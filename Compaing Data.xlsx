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arketing-campaign\"/>
    </mc:Choice>
  </mc:AlternateContent>
  <xr:revisionPtr revIDLastSave="0" documentId="8_{1624A8FC-A292-4FE2-A7A8-BE5EE425D4A4}" xr6:coauthVersionLast="47" xr6:coauthVersionMax="47" xr10:uidLastSave="{00000000-0000-0000-0000-000000000000}"/>
  <bookViews>
    <workbookView xWindow="-120" yWindow="-120" windowWidth="20730" windowHeight="11160" xr2:uid="{615C9121-6999-445B-8BDC-DFF24C635B98}"/>
  </bookViews>
  <sheets>
    <sheet name="Campaign Data" sheetId="1" r:id="rId1"/>
  </sheets>
  <definedNames>
    <definedName name="_xlnm._FilterDatabase" localSheetId="0" hidden="1">'Campaign Data'!$A$1:$T$5001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001" i="1" l="1"/>
  <c r="T5001" i="1"/>
  <c r="S5001" i="1"/>
  <c r="R5001" i="1"/>
  <c r="Q5001" i="1"/>
  <c r="P5001" i="1"/>
  <c r="U5000" i="1"/>
  <c r="T5000" i="1"/>
  <c r="S5000" i="1"/>
  <c r="R5000" i="1"/>
  <c r="Q5000" i="1"/>
  <c r="P5000" i="1"/>
  <c r="U4999" i="1"/>
  <c r="T4999" i="1"/>
  <c r="S4999" i="1"/>
  <c r="R4999" i="1"/>
  <c r="Q4999" i="1"/>
  <c r="P4999" i="1"/>
  <c r="U4998" i="1"/>
  <c r="T4998" i="1"/>
  <c r="S4998" i="1"/>
  <c r="R4998" i="1"/>
  <c r="Q4998" i="1"/>
  <c r="P4998" i="1"/>
  <c r="U4997" i="1"/>
  <c r="T4997" i="1"/>
  <c r="S4997" i="1"/>
  <c r="R4997" i="1"/>
  <c r="Q4997" i="1"/>
  <c r="P4997" i="1"/>
  <c r="U4996" i="1"/>
  <c r="T4996" i="1"/>
  <c r="S4996" i="1"/>
  <c r="R4996" i="1"/>
  <c r="Q4996" i="1"/>
  <c r="P4996" i="1"/>
  <c r="U4995" i="1"/>
  <c r="T4995" i="1"/>
  <c r="S4995" i="1"/>
  <c r="R4995" i="1"/>
  <c r="Q4995" i="1"/>
  <c r="P4995" i="1"/>
  <c r="U4994" i="1"/>
  <c r="T4994" i="1"/>
  <c r="S4994" i="1"/>
  <c r="R4994" i="1"/>
  <c r="Q4994" i="1"/>
  <c r="P4994" i="1"/>
  <c r="U4993" i="1"/>
  <c r="T4993" i="1"/>
  <c r="S4993" i="1"/>
  <c r="R4993" i="1"/>
  <c r="Q4993" i="1"/>
  <c r="P4993" i="1"/>
  <c r="U4992" i="1"/>
  <c r="T4992" i="1"/>
  <c r="S4992" i="1"/>
  <c r="R4992" i="1"/>
  <c r="Q4992" i="1"/>
  <c r="P4992" i="1"/>
  <c r="U4991" i="1"/>
  <c r="T4991" i="1"/>
  <c r="S4991" i="1"/>
  <c r="R4991" i="1"/>
  <c r="Q4991" i="1"/>
  <c r="P4991" i="1"/>
  <c r="U4990" i="1"/>
  <c r="T4990" i="1"/>
  <c r="S4990" i="1"/>
  <c r="R4990" i="1"/>
  <c r="Q4990" i="1"/>
  <c r="P4990" i="1"/>
  <c r="U4989" i="1"/>
  <c r="T4989" i="1"/>
  <c r="S4989" i="1"/>
  <c r="R4989" i="1"/>
  <c r="Q4989" i="1"/>
  <c r="P4989" i="1"/>
  <c r="U4988" i="1"/>
  <c r="T4988" i="1"/>
  <c r="S4988" i="1"/>
  <c r="R4988" i="1"/>
  <c r="Q4988" i="1"/>
  <c r="P4988" i="1"/>
  <c r="U4987" i="1"/>
  <c r="T4987" i="1"/>
  <c r="S4987" i="1"/>
  <c r="R4987" i="1"/>
  <c r="Q4987" i="1"/>
  <c r="P4987" i="1"/>
  <c r="U4986" i="1"/>
  <c r="T4986" i="1"/>
  <c r="S4986" i="1"/>
  <c r="R4986" i="1"/>
  <c r="Q4986" i="1"/>
  <c r="P4986" i="1"/>
  <c r="U4985" i="1"/>
  <c r="T4985" i="1"/>
  <c r="S4985" i="1"/>
  <c r="R4985" i="1"/>
  <c r="Q4985" i="1"/>
  <c r="P4985" i="1"/>
  <c r="U4984" i="1"/>
  <c r="T4984" i="1"/>
  <c r="S4984" i="1"/>
  <c r="R4984" i="1"/>
  <c r="Q4984" i="1"/>
  <c r="P4984" i="1"/>
  <c r="U4983" i="1"/>
  <c r="T4983" i="1"/>
  <c r="S4983" i="1"/>
  <c r="R4983" i="1"/>
  <c r="Q4983" i="1"/>
  <c r="P4983" i="1"/>
  <c r="U4982" i="1"/>
  <c r="T4982" i="1"/>
  <c r="S4982" i="1"/>
  <c r="R4982" i="1"/>
  <c r="Q4982" i="1"/>
  <c r="P4982" i="1"/>
  <c r="U4981" i="1"/>
  <c r="T4981" i="1"/>
  <c r="S4981" i="1"/>
  <c r="R4981" i="1"/>
  <c r="Q4981" i="1"/>
  <c r="P4981" i="1"/>
  <c r="U4980" i="1"/>
  <c r="T4980" i="1"/>
  <c r="S4980" i="1"/>
  <c r="R4980" i="1"/>
  <c r="Q4980" i="1"/>
  <c r="P4980" i="1"/>
  <c r="U4979" i="1"/>
  <c r="T4979" i="1"/>
  <c r="S4979" i="1"/>
  <c r="R4979" i="1"/>
  <c r="Q4979" i="1"/>
  <c r="P4979" i="1"/>
  <c r="U4978" i="1"/>
  <c r="T4978" i="1"/>
  <c r="S4978" i="1"/>
  <c r="R4978" i="1"/>
  <c r="Q4978" i="1"/>
  <c r="P4978" i="1"/>
  <c r="U4977" i="1"/>
  <c r="T4977" i="1"/>
  <c r="S4977" i="1"/>
  <c r="R4977" i="1"/>
  <c r="Q4977" i="1"/>
  <c r="P4977" i="1"/>
  <c r="U4976" i="1"/>
  <c r="T4976" i="1"/>
  <c r="S4976" i="1"/>
  <c r="R4976" i="1"/>
  <c r="Q4976" i="1"/>
  <c r="P4976" i="1"/>
  <c r="U4975" i="1"/>
  <c r="T4975" i="1"/>
  <c r="S4975" i="1"/>
  <c r="R4975" i="1"/>
  <c r="Q4975" i="1"/>
  <c r="P4975" i="1"/>
  <c r="U4974" i="1"/>
  <c r="T4974" i="1"/>
  <c r="S4974" i="1"/>
  <c r="R4974" i="1"/>
  <c r="Q4974" i="1"/>
  <c r="P4974" i="1"/>
  <c r="U4973" i="1"/>
  <c r="T4973" i="1"/>
  <c r="S4973" i="1"/>
  <c r="R4973" i="1"/>
  <c r="Q4973" i="1"/>
  <c r="P4973" i="1"/>
  <c r="U4972" i="1"/>
  <c r="T4972" i="1"/>
  <c r="S4972" i="1"/>
  <c r="R4972" i="1"/>
  <c r="Q4972" i="1"/>
  <c r="P4972" i="1"/>
  <c r="U4971" i="1"/>
  <c r="T4971" i="1"/>
  <c r="S4971" i="1"/>
  <c r="R4971" i="1"/>
  <c r="Q4971" i="1"/>
  <c r="P4971" i="1"/>
  <c r="U4970" i="1"/>
  <c r="T4970" i="1"/>
  <c r="S4970" i="1"/>
  <c r="R4970" i="1"/>
  <c r="Q4970" i="1"/>
  <c r="P4970" i="1"/>
  <c r="U4969" i="1"/>
  <c r="T4969" i="1"/>
  <c r="S4969" i="1"/>
  <c r="R4969" i="1"/>
  <c r="Q4969" i="1"/>
  <c r="P4969" i="1"/>
  <c r="U4968" i="1"/>
  <c r="T4968" i="1"/>
  <c r="S4968" i="1"/>
  <c r="R4968" i="1"/>
  <c r="Q4968" i="1"/>
  <c r="P4968" i="1"/>
  <c r="U4967" i="1"/>
  <c r="T4967" i="1"/>
  <c r="S4967" i="1"/>
  <c r="R4967" i="1"/>
  <c r="Q4967" i="1"/>
  <c r="P4967" i="1"/>
  <c r="U4966" i="1"/>
  <c r="T4966" i="1"/>
  <c r="S4966" i="1"/>
  <c r="R4966" i="1"/>
  <c r="Q4966" i="1"/>
  <c r="P4966" i="1"/>
  <c r="U4965" i="1"/>
  <c r="T4965" i="1"/>
  <c r="S4965" i="1"/>
  <c r="R4965" i="1"/>
  <c r="Q4965" i="1"/>
  <c r="P4965" i="1"/>
  <c r="U4964" i="1"/>
  <c r="T4964" i="1"/>
  <c r="S4964" i="1"/>
  <c r="R4964" i="1"/>
  <c r="Q4964" i="1"/>
  <c r="P4964" i="1"/>
  <c r="U4963" i="1"/>
  <c r="T4963" i="1"/>
  <c r="S4963" i="1"/>
  <c r="R4963" i="1"/>
  <c r="Q4963" i="1"/>
  <c r="P4963" i="1"/>
  <c r="U4962" i="1"/>
  <c r="T4962" i="1"/>
  <c r="S4962" i="1"/>
  <c r="R4962" i="1"/>
  <c r="Q4962" i="1"/>
  <c r="P4962" i="1"/>
  <c r="U4961" i="1"/>
  <c r="T4961" i="1"/>
  <c r="S4961" i="1"/>
  <c r="R4961" i="1"/>
  <c r="Q4961" i="1"/>
  <c r="P4961" i="1"/>
  <c r="U4960" i="1"/>
  <c r="T4960" i="1"/>
  <c r="S4960" i="1"/>
  <c r="R4960" i="1"/>
  <c r="Q4960" i="1"/>
  <c r="P4960" i="1"/>
  <c r="U4959" i="1"/>
  <c r="T4959" i="1"/>
  <c r="S4959" i="1"/>
  <c r="R4959" i="1"/>
  <c r="Q4959" i="1"/>
  <c r="P4959" i="1"/>
  <c r="U4958" i="1"/>
  <c r="T4958" i="1"/>
  <c r="S4958" i="1"/>
  <c r="R4958" i="1"/>
  <c r="Q4958" i="1"/>
  <c r="P4958" i="1"/>
  <c r="U4957" i="1"/>
  <c r="T4957" i="1"/>
  <c r="S4957" i="1"/>
  <c r="R4957" i="1"/>
  <c r="Q4957" i="1"/>
  <c r="P4957" i="1"/>
  <c r="U4956" i="1"/>
  <c r="T4956" i="1"/>
  <c r="S4956" i="1"/>
  <c r="R4956" i="1"/>
  <c r="Q4956" i="1"/>
  <c r="P4956" i="1"/>
  <c r="U4955" i="1"/>
  <c r="T4955" i="1"/>
  <c r="S4955" i="1"/>
  <c r="R4955" i="1"/>
  <c r="Q4955" i="1"/>
  <c r="P4955" i="1"/>
  <c r="U4954" i="1"/>
  <c r="T4954" i="1"/>
  <c r="S4954" i="1"/>
  <c r="R4954" i="1"/>
  <c r="Q4954" i="1"/>
  <c r="P4954" i="1"/>
  <c r="U4953" i="1"/>
  <c r="T4953" i="1"/>
  <c r="S4953" i="1"/>
  <c r="R4953" i="1"/>
  <c r="Q4953" i="1"/>
  <c r="P4953" i="1"/>
  <c r="U4952" i="1"/>
  <c r="T4952" i="1"/>
  <c r="S4952" i="1"/>
  <c r="R4952" i="1"/>
  <c r="Q4952" i="1"/>
  <c r="P4952" i="1"/>
  <c r="U4951" i="1"/>
  <c r="T4951" i="1"/>
  <c r="S4951" i="1"/>
  <c r="R4951" i="1"/>
  <c r="Q4951" i="1"/>
  <c r="P4951" i="1"/>
  <c r="U4950" i="1"/>
  <c r="T4950" i="1"/>
  <c r="S4950" i="1"/>
  <c r="R4950" i="1"/>
  <c r="Q4950" i="1"/>
  <c r="P4950" i="1"/>
  <c r="U4949" i="1"/>
  <c r="T4949" i="1"/>
  <c r="S4949" i="1"/>
  <c r="R4949" i="1"/>
  <c r="Q4949" i="1"/>
  <c r="P4949" i="1"/>
  <c r="U4948" i="1"/>
  <c r="T4948" i="1"/>
  <c r="S4948" i="1"/>
  <c r="R4948" i="1"/>
  <c r="Q4948" i="1"/>
  <c r="P4948" i="1"/>
  <c r="U4947" i="1"/>
  <c r="T4947" i="1"/>
  <c r="S4947" i="1"/>
  <c r="R4947" i="1"/>
  <c r="Q4947" i="1"/>
  <c r="P4947" i="1"/>
  <c r="U4946" i="1"/>
  <c r="T4946" i="1"/>
  <c r="S4946" i="1"/>
  <c r="R4946" i="1"/>
  <c r="Q4946" i="1"/>
  <c r="P4946" i="1"/>
  <c r="U4945" i="1"/>
  <c r="T4945" i="1"/>
  <c r="S4945" i="1"/>
  <c r="R4945" i="1"/>
  <c r="Q4945" i="1"/>
  <c r="P4945" i="1"/>
  <c r="U4944" i="1"/>
  <c r="T4944" i="1"/>
  <c r="S4944" i="1"/>
  <c r="R4944" i="1"/>
  <c r="Q4944" i="1"/>
  <c r="P4944" i="1"/>
  <c r="U4943" i="1"/>
  <c r="T4943" i="1"/>
  <c r="S4943" i="1"/>
  <c r="R4943" i="1"/>
  <c r="Q4943" i="1"/>
  <c r="P4943" i="1"/>
  <c r="U4942" i="1"/>
  <c r="T4942" i="1"/>
  <c r="S4942" i="1"/>
  <c r="R4942" i="1"/>
  <c r="Q4942" i="1"/>
  <c r="P4942" i="1"/>
  <c r="U4941" i="1"/>
  <c r="T4941" i="1"/>
  <c r="S4941" i="1"/>
  <c r="R4941" i="1"/>
  <c r="Q4941" i="1"/>
  <c r="P4941" i="1"/>
  <c r="U4940" i="1"/>
  <c r="T4940" i="1"/>
  <c r="S4940" i="1"/>
  <c r="R4940" i="1"/>
  <c r="Q4940" i="1"/>
  <c r="P4940" i="1"/>
  <c r="U4939" i="1"/>
  <c r="T4939" i="1"/>
  <c r="S4939" i="1"/>
  <c r="R4939" i="1"/>
  <c r="Q4939" i="1"/>
  <c r="P4939" i="1"/>
  <c r="U4938" i="1"/>
  <c r="T4938" i="1"/>
  <c r="S4938" i="1"/>
  <c r="R4938" i="1"/>
  <c r="Q4938" i="1"/>
  <c r="P4938" i="1"/>
  <c r="U4937" i="1"/>
  <c r="T4937" i="1"/>
  <c r="S4937" i="1"/>
  <c r="R4937" i="1"/>
  <c r="Q4937" i="1"/>
  <c r="P4937" i="1"/>
  <c r="U4936" i="1"/>
  <c r="T4936" i="1"/>
  <c r="S4936" i="1"/>
  <c r="R4936" i="1"/>
  <c r="Q4936" i="1"/>
  <c r="P4936" i="1"/>
  <c r="U4935" i="1"/>
  <c r="T4935" i="1"/>
  <c r="S4935" i="1"/>
  <c r="R4935" i="1"/>
  <c r="Q4935" i="1"/>
  <c r="P4935" i="1"/>
  <c r="U4934" i="1"/>
  <c r="T4934" i="1"/>
  <c r="S4934" i="1"/>
  <c r="R4934" i="1"/>
  <c r="Q4934" i="1"/>
  <c r="P4934" i="1"/>
  <c r="U4933" i="1"/>
  <c r="T4933" i="1"/>
  <c r="S4933" i="1"/>
  <c r="R4933" i="1"/>
  <c r="Q4933" i="1"/>
  <c r="P4933" i="1"/>
  <c r="U4932" i="1"/>
  <c r="T4932" i="1"/>
  <c r="S4932" i="1"/>
  <c r="R4932" i="1"/>
  <c r="Q4932" i="1"/>
  <c r="P4932" i="1"/>
  <c r="U4931" i="1"/>
  <c r="T4931" i="1"/>
  <c r="S4931" i="1"/>
  <c r="R4931" i="1"/>
  <c r="Q4931" i="1"/>
  <c r="P4931" i="1"/>
  <c r="U4930" i="1"/>
  <c r="T4930" i="1"/>
  <c r="S4930" i="1"/>
  <c r="R4930" i="1"/>
  <c r="Q4930" i="1"/>
  <c r="P4930" i="1"/>
  <c r="U4929" i="1"/>
  <c r="T4929" i="1"/>
  <c r="S4929" i="1"/>
  <c r="R4929" i="1"/>
  <c r="Q4929" i="1"/>
  <c r="P4929" i="1"/>
  <c r="U4928" i="1"/>
  <c r="T4928" i="1"/>
  <c r="S4928" i="1"/>
  <c r="R4928" i="1"/>
  <c r="Q4928" i="1"/>
  <c r="P4928" i="1"/>
  <c r="U4927" i="1"/>
  <c r="T4927" i="1"/>
  <c r="S4927" i="1"/>
  <c r="R4927" i="1"/>
  <c r="Q4927" i="1"/>
  <c r="P4927" i="1"/>
  <c r="U4926" i="1"/>
  <c r="T4926" i="1"/>
  <c r="S4926" i="1"/>
  <c r="R4926" i="1"/>
  <c r="Q4926" i="1"/>
  <c r="P4926" i="1"/>
  <c r="U4925" i="1"/>
  <c r="T4925" i="1"/>
  <c r="S4925" i="1"/>
  <c r="R4925" i="1"/>
  <c r="Q4925" i="1"/>
  <c r="P4925" i="1"/>
  <c r="U4924" i="1"/>
  <c r="T4924" i="1"/>
  <c r="S4924" i="1"/>
  <c r="R4924" i="1"/>
  <c r="Q4924" i="1"/>
  <c r="P4924" i="1"/>
  <c r="U4923" i="1"/>
  <c r="T4923" i="1"/>
  <c r="S4923" i="1"/>
  <c r="R4923" i="1"/>
  <c r="Q4923" i="1"/>
  <c r="P4923" i="1"/>
  <c r="U4922" i="1"/>
  <c r="T4922" i="1"/>
  <c r="S4922" i="1"/>
  <c r="R4922" i="1"/>
  <c r="Q4922" i="1"/>
  <c r="P4922" i="1"/>
  <c r="U4921" i="1"/>
  <c r="T4921" i="1"/>
  <c r="S4921" i="1"/>
  <c r="R4921" i="1"/>
  <c r="Q4921" i="1"/>
  <c r="P4921" i="1"/>
  <c r="U4920" i="1"/>
  <c r="T4920" i="1"/>
  <c r="S4920" i="1"/>
  <c r="R4920" i="1"/>
  <c r="Q4920" i="1"/>
  <c r="P4920" i="1"/>
  <c r="U4919" i="1"/>
  <c r="T4919" i="1"/>
  <c r="S4919" i="1"/>
  <c r="R4919" i="1"/>
  <c r="Q4919" i="1"/>
  <c r="P4919" i="1"/>
  <c r="U4918" i="1"/>
  <c r="T4918" i="1"/>
  <c r="S4918" i="1"/>
  <c r="R4918" i="1"/>
  <c r="Q4918" i="1"/>
  <c r="P4918" i="1"/>
  <c r="U4917" i="1"/>
  <c r="T4917" i="1"/>
  <c r="S4917" i="1"/>
  <c r="R4917" i="1"/>
  <c r="Q4917" i="1"/>
  <c r="P4917" i="1"/>
  <c r="U4916" i="1"/>
  <c r="T4916" i="1"/>
  <c r="S4916" i="1"/>
  <c r="R4916" i="1"/>
  <c r="Q4916" i="1"/>
  <c r="P4916" i="1"/>
  <c r="U4915" i="1"/>
  <c r="T4915" i="1"/>
  <c r="S4915" i="1"/>
  <c r="R4915" i="1"/>
  <c r="Q4915" i="1"/>
  <c r="P4915" i="1"/>
  <c r="U4914" i="1"/>
  <c r="T4914" i="1"/>
  <c r="S4914" i="1"/>
  <c r="R4914" i="1"/>
  <c r="Q4914" i="1"/>
  <c r="P4914" i="1"/>
  <c r="U4913" i="1"/>
  <c r="T4913" i="1"/>
  <c r="S4913" i="1"/>
  <c r="R4913" i="1"/>
  <c r="Q4913" i="1"/>
  <c r="P4913" i="1"/>
  <c r="U4912" i="1"/>
  <c r="T4912" i="1"/>
  <c r="S4912" i="1"/>
  <c r="R4912" i="1"/>
  <c r="Q4912" i="1"/>
  <c r="P4912" i="1"/>
  <c r="U4911" i="1"/>
  <c r="T4911" i="1"/>
  <c r="S4911" i="1"/>
  <c r="R4911" i="1"/>
  <c r="Q4911" i="1"/>
  <c r="P4911" i="1"/>
  <c r="U4910" i="1"/>
  <c r="T4910" i="1"/>
  <c r="S4910" i="1"/>
  <c r="R4910" i="1"/>
  <c r="Q4910" i="1"/>
  <c r="P4910" i="1"/>
  <c r="U4909" i="1"/>
  <c r="T4909" i="1"/>
  <c r="S4909" i="1"/>
  <c r="R4909" i="1"/>
  <c r="Q4909" i="1"/>
  <c r="P4909" i="1"/>
  <c r="U4908" i="1"/>
  <c r="T4908" i="1"/>
  <c r="S4908" i="1"/>
  <c r="R4908" i="1"/>
  <c r="Q4908" i="1"/>
  <c r="P4908" i="1"/>
  <c r="U4907" i="1"/>
  <c r="T4907" i="1"/>
  <c r="S4907" i="1"/>
  <c r="R4907" i="1"/>
  <c r="Q4907" i="1"/>
  <c r="P4907" i="1"/>
  <c r="U4906" i="1"/>
  <c r="T4906" i="1"/>
  <c r="S4906" i="1"/>
  <c r="R4906" i="1"/>
  <c r="Q4906" i="1"/>
  <c r="P4906" i="1"/>
  <c r="U4905" i="1"/>
  <c r="T4905" i="1"/>
  <c r="S4905" i="1"/>
  <c r="R4905" i="1"/>
  <c r="Q4905" i="1"/>
  <c r="P4905" i="1"/>
  <c r="U4904" i="1"/>
  <c r="T4904" i="1"/>
  <c r="S4904" i="1"/>
  <c r="R4904" i="1"/>
  <c r="Q4904" i="1"/>
  <c r="P4904" i="1"/>
  <c r="U4903" i="1"/>
  <c r="T4903" i="1"/>
  <c r="S4903" i="1"/>
  <c r="R4903" i="1"/>
  <c r="Q4903" i="1"/>
  <c r="P4903" i="1"/>
  <c r="U4902" i="1"/>
  <c r="T4902" i="1"/>
  <c r="S4902" i="1"/>
  <c r="R4902" i="1"/>
  <c r="Q4902" i="1"/>
  <c r="P4902" i="1"/>
  <c r="U4901" i="1"/>
  <c r="T4901" i="1"/>
  <c r="S4901" i="1"/>
  <c r="R4901" i="1"/>
  <c r="Q4901" i="1"/>
  <c r="P4901" i="1"/>
  <c r="U4900" i="1"/>
  <c r="T4900" i="1"/>
  <c r="S4900" i="1"/>
  <c r="R4900" i="1"/>
  <c r="Q4900" i="1"/>
  <c r="P4900" i="1"/>
  <c r="U4899" i="1"/>
  <c r="T4899" i="1"/>
  <c r="S4899" i="1"/>
  <c r="R4899" i="1"/>
  <c r="Q4899" i="1"/>
  <c r="P4899" i="1"/>
  <c r="U4898" i="1"/>
  <c r="T4898" i="1"/>
  <c r="S4898" i="1"/>
  <c r="R4898" i="1"/>
  <c r="Q4898" i="1"/>
  <c r="P4898" i="1"/>
  <c r="U4897" i="1"/>
  <c r="T4897" i="1"/>
  <c r="S4897" i="1"/>
  <c r="R4897" i="1"/>
  <c r="Q4897" i="1"/>
  <c r="P4897" i="1"/>
  <c r="U4896" i="1"/>
  <c r="T4896" i="1"/>
  <c r="S4896" i="1"/>
  <c r="R4896" i="1"/>
  <c r="Q4896" i="1"/>
  <c r="P4896" i="1"/>
  <c r="U4895" i="1"/>
  <c r="T4895" i="1"/>
  <c r="S4895" i="1"/>
  <c r="R4895" i="1"/>
  <c r="Q4895" i="1"/>
  <c r="P4895" i="1"/>
  <c r="U4894" i="1"/>
  <c r="T4894" i="1"/>
  <c r="S4894" i="1"/>
  <c r="R4894" i="1"/>
  <c r="Q4894" i="1"/>
  <c r="P4894" i="1"/>
  <c r="U4893" i="1"/>
  <c r="T4893" i="1"/>
  <c r="S4893" i="1"/>
  <c r="R4893" i="1"/>
  <c r="Q4893" i="1"/>
  <c r="P4893" i="1"/>
  <c r="U4892" i="1"/>
  <c r="T4892" i="1"/>
  <c r="S4892" i="1"/>
  <c r="R4892" i="1"/>
  <c r="Q4892" i="1"/>
  <c r="P4892" i="1"/>
  <c r="U4891" i="1"/>
  <c r="T4891" i="1"/>
  <c r="S4891" i="1"/>
  <c r="R4891" i="1"/>
  <c r="Q4891" i="1"/>
  <c r="P4891" i="1"/>
  <c r="U4890" i="1"/>
  <c r="T4890" i="1"/>
  <c r="S4890" i="1"/>
  <c r="R4890" i="1"/>
  <c r="Q4890" i="1"/>
  <c r="P4890" i="1"/>
  <c r="U4889" i="1"/>
  <c r="T4889" i="1"/>
  <c r="S4889" i="1"/>
  <c r="R4889" i="1"/>
  <c r="Q4889" i="1"/>
  <c r="P4889" i="1"/>
  <c r="U4888" i="1"/>
  <c r="T4888" i="1"/>
  <c r="S4888" i="1"/>
  <c r="R4888" i="1"/>
  <c r="Q4888" i="1"/>
  <c r="P4888" i="1"/>
  <c r="U4887" i="1"/>
  <c r="T4887" i="1"/>
  <c r="S4887" i="1"/>
  <c r="R4887" i="1"/>
  <c r="Q4887" i="1"/>
  <c r="P4887" i="1"/>
  <c r="U4886" i="1"/>
  <c r="T4886" i="1"/>
  <c r="S4886" i="1"/>
  <c r="R4886" i="1"/>
  <c r="Q4886" i="1"/>
  <c r="P4886" i="1"/>
  <c r="U4885" i="1"/>
  <c r="T4885" i="1"/>
  <c r="S4885" i="1"/>
  <c r="R4885" i="1"/>
  <c r="Q4885" i="1"/>
  <c r="P4885" i="1"/>
  <c r="U4884" i="1"/>
  <c r="T4884" i="1"/>
  <c r="S4884" i="1"/>
  <c r="R4884" i="1"/>
  <c r="Q4884" i="1"/>
  <c r="P4884" i="1"/>
  <c r="U4883" i="1"/>
  <c r="T4883" i="1"/>
  <c r="S4883" i="1"/>
  <c r="R4883" i="1"/>
  <c r="Q4883" i="1"/>
  <c r="P4883" i="1"/>
  <c r="U4882" i="1"/>
  <c r="T4882" i="1"/>
  <c r="S4882" i="1"/>
  <c r="R4882" i="1"/>
  <c r="Q4882" i="1"/>
  <c r="P4882" i="1"/>
  <c r="U4881" i="1"/>
  <c r="T4881" i="1"/>
  <c r="S4881" i="1"/>
  <c r="R4881" i="1"/>
  <c r="Q4881" i="1"/>
  <c r="P4881" i="1"/>
  <c r="U4880" i="1"/>
  <c r="T4880" i="1"/>
  <c r="S4880" i="1"/>
  <c r="R4880" i="1"/>
  <c r="Q4880" i="1"/>
  <c r="P4880" i="1"/>
  <c r="U4879" i="1"/>
  <c r="T4879" i="1"/>
  <c r="S4879" i="1"/>
  <c r="R4879" i="1"/>
  <c r="Q4879" i="1"/>
  <c r="P4879" i="1"/>
  <c r="U4878" i="1"/>
  <c r="T4878" i="1"/>
  <c r="S4878" i="1"/>
  <c r="R4878" i="1"/>
  <c r="Q4878" i="1"/>
  <c r="P4878" i="1"/>
  <c r="U4877" i="1"/>
  <c r="T4877" i="1"/>
  <c r="S4877" i="1"/>
  <c r="R4877" i="1"/>
  <c r="Q4877" i="1"/>
  <c r="P4877" i="1"/>
  <c r="U4876" i="1"/>
  <c r="T4876" i="1"/>
  <c r="S4876" i="1"/>
  <c r="R4876" i="1"/>
  <c r="Q4876" i="1"/>
  <c r="P4876" i="1"/>
  <c r="U4875" i="1"/>
  <c r="T4875" i="1"/>
  <c r="S4875" i="1"/>
  <c r="R4875" i="1"/>
  <c r="Q4875" i="1"/>
  <c r="P4875" i="1"/>
  <c r="U4874" i="1"/>
  <c r="T4874" i="1"/>
  <c r="S4874" i="1"/>
  <c r="R4874" i="1"/>
  <c r="Q4874" i="1"/>
  <c r="P4874" i="1"/>
  <c r="U4873" i="1"/>
  <c r="T4873" i="1"/>
  <c r="S4873" i="1"/>
  <c r="R4873" i="1"/>
  <c r="Q4873" i="1"/>
  <c r="P4873" i="1"/>
  <c r="U4872" i="1"/>
  <c r="T4872" i="1"/>
  <c r="S4872" i="1"/>
  <c r="R4872" i="1"/>
  <c r="Q4872" i="1"/>
  <c r="P4872" i="1"/>
  <c r="U4871" i="1"/>
  <c r="T4871" i="1"/>
  <c r="S4871" i="1"/>
  <c r="R4871" i="1"/>
  <c r="Q4871" i="1"/>
  <c r="P4871" i="1"/>
  <c r="U4870" i="1"/>
  <c r="T4870" i="1"/>
  <c r="S4870" i="1"/>
  <c r="R4870" i="1"/>
  <c r="Q4870" i="1"/>
  <c r="P4870" i="1"/>
  <c r="U4869" i="1"/>
  <c r="T4869" i="1"/>
  <c r="S4869" i="1"/>
  <c r="R4869" i="1"/>
  <c r="Q4869" i="1"/>
  <c r="P4869" i="1"/>
  <c r="U4868" i="1"/>
  <c r="T4868" i="1"/>
  <c r="S4868" i="1"/>
  <c r="R4868" i="1"/>
  <c r="Q4868" i="1"/>
  <c r="P4868" i="1"/>
  <c r="U4867" i="1"/>
  <c r="T4867" i="1"/>
  <c r="S4867" i="1"/>
  <c r="R4867" i="1"/>
  <c r="Q4867" i="1"/>
  <c r="P4867" i="1"/>
  <c r="U4866" i="1"/>
  <c r="T4866" i="1"/>
  <c r="S4866" i="1"/>
  <c r="R4866" i="1"/>
  <c r="Q4866" i="1"/>
  <c r="P4866" i="1"/>
  <c r="U4865" i="1"/>
  <c r="T4865" i="1"/>
  <c r="S4865" i="1"/>
  <c r="R4865" i="1"/>
  <c r="Q4865" i="1"/>
  <c r="P4865" i="1"/>
  <c r="U4864" i="1"/>
  <c r="T4864" i="1"/>
  <c r="S4864" i="1"/>
  <c r="R4864" i="1"/>
  <c r="Q4864" i="1"/>
  <c r="P4864" i="1"/>
  <c r="U4863" i="1"/>
  <c r="T4863" i="1"/>
  <c r="S4863" i="1"/>
  <c r="R4863" i="1"/>
  <c r="Q4863" i="1"/>
  <c r="P4863" i="1"/>
  <c r="U4862" i="1"/>
  <c r="T4862" i="1"/>
  <c r="S4862" i="1"/>
  <c r="R4862" i="1"/>
  <c r="Q4862" i="1"/>
  <c r="P4862" i="1"/>
  <c r="U4861" i="1"/>
  <c r="T4861" i="1"/>
  <c r="S4861" i="1"/>
  <c r="R4861" i="1"/>
  <c r="Q4861" i="1"/>
  <c r="P4861" i="1"/>
  <c r="U4860" i="1"/>
  <c r="T4860" i="1"/>
  <c r="S4860" i="1"/>
  <c r="R4860" i="1"/>
  <c r="Q4860" i="1"/>
  <c r="P4860" i="1"/>
  <c r="U4859" i="1"/>
  <c r="T4859" i="1"/>
  <c r="S4859" i="1"/>
  <c r="R4859" i="1"/>
  <c r="Q4859" i="1"/>
  <c r="P4859" i="1"/>
  <c r="U4858" i="1"/>
  <c r="T4858" i="1"/>
  <c r="S4858" i="1"/>
  <c r="R4858" i="1"/>
  <c r="Q4858" i="1"/>
  <c r="P4858" i="1"/>
  <c r="U4857" i="1"/>
  <c r="T4857" i="1"/>
  <c r="S4857" i="1"/>
  <c r="R4857" i="1"/>
  <c r="Q4857" i="1"/>
  <c r="P4857" i="1"/>
  <c r="U4856" i="1"/>
  <c r="T4856" i="1"/>
  <c r="S4856" i="1"/>
  <c r="R4856" i="1"/>
  <c r="Q4856" i="1"/>
  <c r="P4856" i="1"/>
  <c r="U4855" i="1"/>
  <c r="T4855" i="1"/>
  <c r="S4855" i="1"/>
  <c r="R4855" i="1"/>
  <c r="Q4855" i="1"/>
  <c r="P4855" i="1"/>
  <c r="U4854" i="1"/>
  <c r="T4854" i="1"/>
  <c r="S4854" i="1"/>
  <c r="R4854" i="1"/>
  <c r="Q4854" i="1"/>
  <c r="P4854" i="1"/>
  <c r="U4853" i="1"/>
  <c r="T4853" i="1"/>
  <c r="S4853" i="1"/>
  <c r="R4853" i="1"/>
  <c r="Q4853" i="1"/>
  <c r="P4853" i="1"/>
  <c r="U4852" i="1"/>
  <c r="T4852" i="1"/>
  <c r="S4852" i="1"/>
  <c r="R4852" i="1"/>
  <c r="Q4852" i="1"/>
  <c r="P4852" i="1"/>
  <c r="U4851" i="1"/>
  <c r="T4851" i="1"/>
  <c r="S4851" i="1"/>
  <c r="R4851" i="1"/>
  <c r="Q4851" i="1"/>
  <c r="P4851" i="1"/>
  <c r="U4850" i="1"/>
  <c r="T4850" i="1"/>
  <c r="S4850" i="1"/>
  <c r="R4850" i="1"/>
  <c r="Q4850" i="1"/>
  <c r="P4850" i="1"/>
  <c r="U4849" i="1"/>
  <c r="T4849" i="1"/>
  <c r="S4849" i="1"/>
  <c r="R4849" i="1"/>
  <c r="Q4849" i="1"/>
  <c r="P4849" i="1"/>
  <c r="U4848" i="1"/>
  <c r="T4848" i="1"/>
  <c r="S4848" i="1"/>
  <c r="R4848" i="1"/>
  <c r="Q4848" i="1"/>
  <c r="P4848" i="1"/>
  <c r="U4847" i="1"/>
  <c r="T4847" i="1"/>
  <c r="S4847" i="1"/>
  <c r="R4847" i="1"/>
  <c r="Q4847" i="1"/>
  <c r="P4847" i="1"/>
  <c r="U4846" i="1"/>
  <c r="T4846" i="1"/>
  <c r="S4846" i="1"/>
  <c r="R4846" i="1"/>
  <c r="Q4846" i="1"/>
  <c r="P4846" i="1"/>
  <c r="U4845" i="1"/>
  <c r="T4845" i="1"/>
  <c r="S4845" i="1"/>
  <c r="R4845" i="1"/>
  <c r="Q4845" i="1"/>
  <c r="P4845" i="1"/>
  <c r="U4844" i="1"/>
  <c r="T4844" i="1"/>
  <c r="S4844" i="1"/>
  <c r="R4844" i="1"/>
  <c r="Q4844" i="1"/>
  <c r="P4844" i="1"/>
  <c r="U4843" i="1"/>
  <c r="T4843" i="1"/>
  <c r="S4843" i="1"/>
  <c r="R4843" i="1"/>
  <c r="Q4843" i="1"/>
  <c r="P4843" i="1"/>
  <c r="U4842" i="1"/>
  <c r="T4842" i="1"/>
  <c r="S4842" i="1"/>
  <c r="R4842" i="1"/>
  <c r="Q4842" i="1"/>
  <c r="P4842" i="1"/>
  <c r="U4841" i="1"/>
  <c r="T4841" i="1"/>
  <c r="S4841" i="1"/>
  <c r="R4841" i="1"/>
  <c r="Q4841" i="1"/>
  <c r="P4841" i="1"/>
  <c r="U4840" i="1"/>
  <c r="T4840" i="1"/>
  <c r="S4840" i="1"/>
  <c r="R4840" i="1"/>
  <c r="Q4840" i="1"/>
  <c r="P4840" i="1"/>
  <c r="U4839" i="1"/>
  <c r="T4839" i="1"/>
  <c r="S4839" i="1"/>
  <c r="R4839" i="1"/>
  <c r="Q4839" i="1"/>
  <c r="P4839" i="1"/>
  <c r="U4838" i="1"/>
  <c r="T4838" i="1"/>
  <c r="S4838" i="1"/>
  <c r="R4838" i="1"/>
  <c r="Q4838" i="1"/>
  <c r="P4838" i="1"/>
  <c r="U4837" i="1"/>
  <c r="T4837" i="1"/>
  <c r="S4837" i="1"/>
  <c r="R4837" i="1"/>
  <c r="Q4837" i="1"/>
  <c r="P4837" i="1"/>
  <c r="U4836" i="1"/>
  <c r="T4836" i="1"/>
  <c r="S4836" i="1"/>
  <c r="R4836" i="1"/>
  <c r="Q4836" i="1"/>
  <c r="P4836" i="1"/>
  <c r="U4835" i="1"/>
  <c r="T4835" i="1"/>
  <c r="S4835" i="1"/>
  <c r="R4835" i="1"/>
  <c r="Q4835" i="1"/>
  <c r="P4835" i="1"/>
  <c r="U4834" i="1"/>
  <c r="T4834" i="1"/>
  <c r="S4834" i="1"/>
  <c r="R4834" i="1"/>
  <c r="Q4834" i="1"/>
  <c r="P4834" i="1"/>
  <c r="U4833" i="1"/>
  <c r="T4833" i="1"/>
  <c r="S4833" i="1"/>
  <c r="R4833" i="1"/>
  <c r="Q4833" i="1"/>
  <c r="P4833" i="1"/>
  <c r="U4832" i="1"/>
  <c r="T4832" i="1"/>
  <c r="S4832" i="1"/>
  <c r="R4832" i="1"/>
  <c r="Q4832" i="1"/>
  <c r="P4832" i="1"/>
  <c r="U4831" i="1"/>
  <c r="T4831" i="1"/>
  <c r="S4831" i="1"/>
  <c r="R4831" i="1"/>
  <c r="Q4831" i="1"/>
  <c r="P4831" i="1"/>
  <c r="U4830" i="1"/>
  <c r="T4830" i="1"/>
  <c r="S4830" i="1"/>
  <c r="R4830" i="1"/>
  <c r="Q4830" i="1"/>
  <c r="P4830" i="1"/>
  <c r="U4829" i="1"/>
  <c r="T4829" i="1"/>
  <c r="S4829" i="1"/>
  <c r="R4829" i="1"/>
  <c r="Q4829" i="1"/>
  <c r="P4829" i="1"/>
  <c r="U4828" i="1"/>
  <c r="T4828" i="1"/>
  <c r="S4828" i="1"/>
  <c r="R4828" i="1"/>
  <c r="Q4828" i="1"/>
  <c r="P4828" i="1"/>
  <c r="U4827" i="1"/>
  <c r="T4827" i="1"/>
  <c r="S4827" i="1"/>
  <c r="R4827" i="1"/>
  <c r="Q4827" i="1"/>
  <c r="P4827" i="1"/>
  <c r="U4826" i="1"/>
  <c r="T4826" i="1"/>
  <c r="S4826" i="1"/>
  <c r="R4826" i="1"/>
  <c r="Q4826" i="1"/>
  <c r="P4826" i="1"/>
  <c r="U4825" i="1"/>
  <c r="T4825" i="1"/>
  <c r="S4825" i="1"/>
  <c r="R4825" i="1"/>
  <c r="Q4825" i="1"/>
  <c r="P4825" i="1"/>
  <c r="U4824" i="1"/>
  <c r="T4824" i="1"/>
  <c r="S4824" i="1"/>
  <c r="R4824" i="1"/>
  <c r="Q4824" i="1"/>
  <c r="P4824" i="1"/>
  <c r="U4823" i="1"/>
  <c r="T4823" i="1"/>
  <c r="S4823" i="1"/>
  <c r="R4823" i="1"/>
  <c r="Q4823" i="1"/>
  <c r="P4823" i="1"/>
  <c r="U4822" i="1"/>
  <c r="T4822" i="1"/>
  <c r="S4822" i="1"/>
  <c r="R4822" i="1"/>
  <c r="Q4822" i="1"/>
  <c r="P4822" i="1"/>
  <c r="U4821" i="1"/>
  <c r="T4821" i="1"/>
  <c r="S4821" i="1"/>
  <c r="R4821" i="1"/>
  <c r="Q4821" i="1"/>
  <c r="P4821" i="1"/>
  <c r="U4820" i="1"/>
  <c r="T4820" i="1"/>
  <c r="S4820" i="1"/>
  <c r="R4820" i="1"/>
  <c r="Q4820" i="1"/>
  <c r="P4820" i="1"/>
  <c r="U4819" i="1"/>
  <c r="T4819" i="1"/>
  <c r="S4819" i="1"/>
  <c r="R4819" i="1"/>
  <c r="Q4819" i="1"/>
  <c r="P4819" i="1"/>
  <c r="U4818" i="1"/>
  <c r="T4818" i="1"/>
  <c r="S4818" i="1"/>
  <c r="R4818" i="1"/>
  <c r="Q4818" i="1"/>
  <c r="P4818" i="1"/>
  <c r="U4817" i="1"/>
  <c r="T4817" i="1"/>
  <c r="S4817" i="1"/>
  <c r="R4817" i="1"/>
  <c r="Q4817" i="1"/>
  <c r="P4817" i="1"/>
  <c r="U4816" i="1"/>
  <c r="T4816" i="1"/>
  <c r="S4816" i="1"/>
  <c r="R4816" i="1"/>
  <c r="Q4816" i="1"/>
  <c r="P4816" i="1"/>
  <c r="U4815" i="1"/>
  <c r="T4815" i="1"/>
  <c r="S4815" i="1"/>
  <c r="R4815" i="1"/>
  <c r="Q4815" i="1"/>
  <c r="P4815" i="1"/>
  <c r="U4814" i="1"/>
  <c r="T4814" i="1"/>
  <c r="S4814" i="1"/>
  <c r="R4814" i="1"/>
  <c r="Q4814" i="1"/>
  <c r="P4814" i="1"/>
  <c r="U4813" i="1"/>
  <c r="T4813" i="1"/>
  <c r="S4813" i="1"/>
  <c r="R4813" i="1"/>
  <c r="Q4813" i="1"/>
  <c r="P4813" i="1"/>
  <c r="U4812" i="1"/>
  <c r="T4812" i="1"/>
  <c r="S4812" i="1"/>
  <c r="R4812" i="1"/>
  <c r="Q4812" i="1"/>
  <c r="P4812" i="1"/>
  <c r="U4811" i="1"/>
  <c r="T4811" i="1"/>
  <c r="S4811" i="1"/>
  <c r="R4811" i="1"/>
  <c r="Q4811" i="1"/>
  <c r="P4811" i="1"/>
  <c r="U4810" i="1"/>
  <c r="T4810" i="1"/>
  <c r="S4810" i="1"/>
  <c r="R4810" i="1"/>
  <c r="Q4810" i="1"/>
  <c r="P4810" i="1"/>
  <c r="U4809" i="1"/>
  <c r="T4809" i="1"/>
  <c r="S4809" i="1"/>
  <c r="R4809" i="1"/>
  <c r="Q4809" i="1"/>
  <c r="P4809" i="1"/>
  <c r="U4808" i="1"/>
  <c r="T4808" i="1"/>
  <c r="S4808" i="1"/>
  <c r="R4808" i="1"/>
  <c r="Q4808" i="1"/>
  <c r="P4808" i="1"/>
  <c r="U4807" i="1"/>
  <c r="T4807" i="1"/>
  <c r="S4807" i="1"/>
  <c r="R4807" i="1"/>
  <c r="Q4807" i="1"/>
  <c r="P4807" i="1"/>
  <c r="U4806" i="1"/>
  <c r="T4806" i="1"/>
  <c r="S4806" i="1"/>
  <c r="R4806" i="1"/>
  <c r="Q4806" i="1"/>
  <c r="P4806" i="1"/>
  <c r="U4805" i="1"/>
  <c r="T4805" i="1"/>
  <c r="S4805" i="1"/>
  <c r="R4805" i="1"/>
  <c r="Q4805" i="1"/>
  <c r="P4805" i="1"/>
  <c r="U4804" i="1"/>
  <c r="T4804" i="1"/>
  <c r="S4804" i="1"/>
  <c r="R4804" i="1"/>
  <c r="Q4804" i="1"/>
  <c r="P4804" i="1"/>
  <c r="U4803" i="1"/>
  <c r="T4803" i="1"/>
  <c r="S4803" i="1"/>
  <c r="R4803" i="1"/>
  <c r="Q4803" i="1"/>
  <c r="P4803" i="1"/>
  <c r="U4802" i="1"/>
  <c r="T4802" i="1"/>
  <c r="S4802" i="1"/>
  <c r="R4802" i="1"/>
  <c r="Q4802" i="1"/>
  <c r="P4802" i="1"/>
  <c r="U4801" i="1"/>
  <c r="T4801" i="1"/>
  <c r="S4801" i="1"/>
  <c r="R4801" i="1"/>
  <c r="Q4801" i="1"/>
  <c r="P4801" i="1"/>
  <c r="U4800" i="1"/>
  <c r="T4800" i="1"/>
  <c r="S4800" i="1"/>
  <c r="R4800" i="1"/>
  <c r="Q4800" i="1"/>
  <c r="P4800" i="1"/>
  <c r="U4799" i="1"/>
  <c r="T4799" i="1"/>
  <c r="S4799" i="1"/>
  <c r="R4799" i="1"/>
  <c r="Q4799" i="1"/>
  <c r="P4799" i="1"/>
  <c r="U4798" i="1"/>
  <c r="T4798" i="1"/>
  <c r="S4798" i="1"/>
  <c r="R4798" i="1"/>
  <c r="Q4798" i="1"/>
  <c r="P4798" i="1"/>
  <c r="U4797" i="1"/>
  <c r="T4797" i="1"/>
  <c r="S4797" i="1"/>
  <c r="R4797" i="1"/>
  <c r="Q4797" i="1"/>
  <c r="P4797" i="1"/>
  <c r="U4796" i="1"/>
  <c r="T4796" i="1"/>
  <c r="S4796" i="1"/>
  <c r="R4796" i="1"/>
  <c r="Q4796" i="1"/>
  <c r="P4796" i="1"/>
  <c r="U4795" i="1"/>
  <c r="T4795" i="1"/>
  <c r="S4795" i="1"/>
  <c r="R4795" i="1"/>
  <c r="Q4795" i="1"/>
  <c r="P4795" i="1"/>
  <c r="U4794" i="1"/>
  <c r="T4794" i="1"/>
  <c r="S4794" i="1"/>
  <c r="R4794" i="1"/>
  <c r="Q4794" i="1"/>
  <c r="P4794" i="1"/>
  <c r="U4793" i="1"/>
  <c r="T4793" i="1"/>
  <c r="S4793" i="1"/>
  <c r="R4793" i="1"/>
  <c r="Q4793" i="1"/>
  <c r="P4793" i="1"/>
  <c r="U4792" i="1"/>
  <c r="T4792" i="1"/>
  <c r="S4792" i="1"/>
  <c r="R4792" i="1"/>
  <c r="Q4792" i="1"/>
  <c r="P4792" i="1"/>
  <c r="U4791" i="1"/>
  <c r="T4791" i="1"/>
  <c r="S4791" i="1"/>
  <c r="R4791" i="1"/>
  <c r="Q4791" i="1"/>
  <c r="P4791" i="1"/>
  <c r="U4790" i="1"/>
  <c r="T4790" i="1"/>
  <c r="S4790" i="1"/>
  <c r="R4790" i="1"/>
  <c r="Q4790" i="1"/>
  <c r="P4790" i="1"/>
  <c r="U4789" i="1"/>
  <c r="T4789" i="1"/>
  <c r="S4789" i="1"/>
  <c r="R4789" i="1"/>
  <c r="Q4789" i="1"/>
  <c r="P4789" i="1"/>
  <c r="U4788" i="1"/>
  <c r="T4788" i="1"/>
  <c r="S4788" i="1"/>
  <c r="R4788" i="1"/>
  <c r="Q4788" i="1"/>
  <c r="P4788" i="1"/>
  <c r="U4787" i="1"/>
  <c r="T4787" i="1"/>
  <c r="S4787" i="1"/>
  <c r="R4787" i="1"/>
  <c r="Q4787" i="1"/>
  <c r="P4787" i="1"/>
  <c r="U4786" i="1"/>
  <c r="T4786" i="1"/>
  <c r="S4786" i="1"/>
  <c r="R4786" i="1"/>
  <c r="Q4786" i="1"/>
  <c r="P4786" i="1"/>
  <c r="U4785" i="1"/>
  <c r="T4785" i="1"/>
  <c r="S4785" i="1"/>
  <c r="R4785" i="1"/>
  <c r="Q4785" i="1"/>
  <c r="P4785" i="1"/>
  <c r="U4784" i="1"/>
  <c r="T4784" i="1"/>
  <c r="S4784" i="1"/>
  <c r="R4784" i="1"/>
  <c r="Q4784" i="1"/>
  <c r="P4784" i="1"/>
  <c r="U4783" i="1"/>
  <c r="T4783" i="1"/>
  <c r="S4783" i="1"/>
  <c r="R4783" i="1"/>
  <c r="Q4783" i="1"/>
  <c r="P4783" i="1"/>
  <c r="U4782" i="1"/>
  <c r="T4782" i="1"/>
  <c r="S4782" i="1"/>
  <c r="R4782" i="1"/>
  <c r="Q4782" i="1"/>
  <c r="P4782" i="1"/>
  <c r="U4781" i="1"/>
  <c r="T4781" i="1"/>
  <c r="S4781" i="1"/>
  <c r="R4781" i="1"/>
  <c r="Q4781" i="1"/>
  <c r="P4781" i="1"/>
  <c r="U4780" i="1"/>
  <c r="T4780" i="1"/>
  <c r="S4780" i="1"/>
  <c r="R4780" i="1"/>
  <c r="Q4780" i="1"/>
  <c r="P4780" i="1"/>
  <c r="U4779" i="1"/>
  <c r="T4779" i="1"/>
  <c r="S4779" i="1"/>
  <c r="R4779" i="1"/>
  <c r="Q4779" i="1"/>
  <c r="P4779" i="1"/>
  <c r="U4778" i="1"/>
  <c r="T4778" i="1"/>
  <c r="S4778" i="1"/>
  <c r="R4778" i="1"/>
  <c r="Q4778" i="1"/>
  <c r="P4778" i="1"/>
  <c r="U4777" i="1"/>
  <c r="T4777" i="1"/>
  <c r="S4777" i="1"/>
  <c r="R4777" i="1"/>
  <c r="Q4777" i="1"/>
  <c r="P4777" i="1"/>
  <c r="U4776" i="1"/>
  <c r="T4776" i="1"/>
  <c r="S4776" i="1"/>
  <c r="R4776" i="1"/>
  <c r="Q4776" i="1"/>
  <c r="P4776" i="1"/>
  <c r="U4775" i="1"/>
  <c r="T4775" i="1"/>
  <c r="S4775" i="1"/>
  <c r="R4775" i="1"/>
  <c r="Q4775" i="1"/>
  <c r="P4775" i="1"/>
  <c r="U4774" i="1"/>
  <c r="T4774" i="1"/>
  <c r="S4774" i="1"/>
  <c r="R4774" i="1"/>
  <c r="Q4774" i="1"/>
  <c r="P4774" i="1"/>
  <c r="U4773" i="1"/>
  <c r="T4773" i="1"/>
  <c r="S4773" i="1"/>
  <c r="R4773" i="1"/>
  <c r="Q4773" i="1"/>
  <c r="P4773" i="1"/>
  <c r="U4772" i="1"/>
  <c r="T4772" i="1"/>
  <c r="S4772" i="1"/>
  <c r="R4772" i="1"/>
  <c r="Q4772" i="1"/>
  <c r="P4772" i="1"/>
  <c r="U4771" i="1"/>
  <c r="T4771" i="1"/>
  <c r="S4771" i="1"/>
  <c r="R4771" i="1"/>
  <c r="Q4771" i="1"/>
  <c r="P4771" i="1"/>
  <c r="U4770" i="1"/>
  <c r="T4770" i="1"/>
  <c r="S4770" i="1"/>
  <c r="R4770" i="1"/>
  <c r="Q4770" i="1"/>
  <c r="P4770" i="1"/>
  <c r="U4769" i="1"/>
  <c r="T4769" i="1"/>
  <c r="S4769" i="1"/>
  <c r="R4769" i="1"/>
  <c r="Q4769" i="1"/>
  <c r="P4769" i="1"/>
  <c r="U4768" i="1"/>
  <c r="T4768" i="1"/>
  <c r="S4768" i="1"/>
  <c r="R4768" i="1"/>
  <c r="Q4768" i="1"/>
  <c r="P4768" i="1"/>
  <c r="U4767" i="1"/>
  <c r="T4767" i="1"/>
  <c r="S4767" i="1"/>
  <c r="R4767" i="1"/>
  <c r="Q4767" i="1"/>
  <c r="P4767" i="1"/>
  <c r="U4766" i="1"/>
  <c r="T4766" i="1"/>
  <c r="S4766" i="1"/>
  <c r="R4766" i="1"/>
  <c r="Q4766" i="1"/>
  <c r="P4766" i="1"/>
  <c r="U4765" i="1"/>
  <c r="T4765" i="1"/>
  <c r="S4765" i="1"/>
  <c r="R4765" i="1"/>
  <c r="Q4765" i="1"/>
  <c r="P4765" i="1"/>
  <c r="U4764" i="1"/>
  <c r="T4764" i="1"/>
  <c r="S4764" i="1"/>
  <c r="R4764" i="1"/>
  <c r="Q4764" i="1"/>
  <c r="P4764" i="1"/>
  <c r="U4763" i="1"/>
  <c r="T4763" i="1"/>
  <c r="S4763" i="1"/>
  <c r="R4763" i="1"/>
  <c r="Q4763" i="1"/>
  <c r="P4763" i="1"/>
  <c r="U4762" i="1"/>
  <c r="T4762" i="1"/>
  <c r="S4762" i="1"/>
  <c r="R4762" i="1"/>
  <c r="Q4762" i="1"/>
  <c r="P4762" i="1"/>
  <c r="U4761" i="1"/>
  <c r="T4761" i="1"/>
  <c r="S4761" i="1"/>
  <c r="R4761" i="1"/>
  <c r="Q4761" i="1"/>
  <c r="P4761" i="1"/>
  <c r="U4760" i="1"/>
  <c r="T4760" i="1"/>
  <c r="S4760" i="1"/>
  <c r="R4760" i="1"/>
  <c r="Q4760" i="1"/>
  <c r="P4760" i="1"/>
  <c r="U4759" i="1"/>
  <c r="T4759" i="1"/>
  <c r="S4759" i="1"/>
  <c r="R4759" i="1"/>
  <c r="Q4759" i="1"/>
  <c r="P4759" i="1"/>
  <c r="U4758" i="1"/>
  <c r="T4758" i="1"/>
  <c r="S4758" i="1"/>
  <c r="R4758" i="1"/>
  <c r="Q4758" i="1"/>
  <c r="P4758" i="1"/>
  <c r="U4757" i="1"/>
  <c r="T4757" i="1"/>
  <c r="S4757" i="1"/>
  <c r="R4757" i="1"/>
  <c r="Q4757" i="1"/>
  <c r="P4757" i="1"/>
  <c r="U4756" i="1"/>
  <c r="T4756" i="1"/>
  <c r="S4756" i="1"/>
  <c r="R4756" i="1"/>
  <c r="Q4756" i="1"/>
  <c r="P4756" i="1"/>
  <c r="U4755" i="1"/>
  <c r="T4755" i="1"/>
  <c r="S4755" i="1"/>
  <c r="R4755" i="1"/>
  <c r="Q4755" i="1"/>
  <c r="P4755" i="1"/>
  <c r="U4754" i="1"/>
  <c r="T4754" i="1"/>
  <c r="S4754" i="1"/>
  <c r="R4754" i="1"/>
  <c r="Q4754" i="1"/>
  <c r="P4754" i="1"/>
  <c r="U4753" i="1"/>
  <c r="T4753" i="1"/>
  <c r="S4753" i="1"/>
  <c r="R4753" i="1"/>
  <c r="Q4753" i="1"/>
  <c r="P4753" i="1"/>
  <c r="U4752" i="1"/>
  <c r="T4752" i="1"/>
  <c r="S4752" i="1"/>
  <c r="R4752" i="1"/>
  <c r="Q4752" i="1"/>
  <c r="P4752" i="1"/>
  <c r="U4751" i="1"/>
  <c r="T4751" i="1"/>
  <c r="S4751" i="1"/>
  <c r="R4751" i="1"/>
  <c r="Q4751" i="1"/>
  <c r="P4751" i="1"/>
  <c r="U4750" i="1"/>
  <c r="T4750" i="1"/>
  <c r="S4750" i="1"/>
  <c r="R4750" i="1"/>
  <c r="Q4750" i="1"/>
  <c r="P4750" i="1"/>
  <c r="U4749" i="1"/>
  <c r="T4749" i="1"/>
  <c r="S4749" i="1"/>
  <c r="R4749" i="1"/>
  <c r="Q4749" i="1"/>
  <c r="P4749" i="1"/>
  <c r="U4748" i="1"/>
  <c r="T4748" i="1"/>
  <c r="S4748" i="1"/>
  <c r="R4748" i="1"/>
  <c r="Q4748" i="1"/>
  <c r="P4748" i="1"/>
  <c r="U4747" i="1"/>
  <c r="T4747" i="1"/>
  <c r="S4747" i="1"/>
  <c r="R4747" i="1"/>
  <c r="Q4747" i="1"/>
  <c r="P4747" i="1"/>
  <c r="U4746" i="1"/>
  <c r="T4746" i="1"/>
  <c r="S4746" i="1"/>
  <c r="R4746" i="1"/>
  <c r="Q4746" i="1"/>
  <c r="P4746" i="1"/>
  <c r="U4745" i="1"/>
  <c r="T4745" i="1"/>
  <c r="S4745" i="1"/>
  <c r="R4745" i="1"/>
  <c r="Q4745" i="1"/>
  <c r="P4745" i="1"/>
  <c r="U4744" i="1"/>
  <c r="T4744" i="1"/>
  <c r="S4744" i="1"/>
  <c r="R4744" i="1"/>
  <c r="Q4744" i="1"/>
  <c r="P4744" i="1"/>
  <c r="U4743" i="1"/>
  <c r="T4743" i="1"/>
  <c r="S4743" i="1"/>
  <c r="R4743" i="1"/>
  <c r="Q4743" i="1"/>
  <c r="P4743" i="1"/>
  <c r="U4742" i="1"/>
  <c r="T4742" i="1"/>
  <c r="S4742" i="1"/>
  <c r="R4742" i="1"/>
  <c r="Q4742" i="1"/>
  <c r="P4742" i="1"/>
  <c r="U4741" i="1"/>
  <c r="T4741" i="1"/>
  <c r="S4741" i="1"/>
  <c r="R4741" i="1"/>
  <c r="Q4741" i="1"/>
  <c r="P4741" i="1"/>
  <c r="U4740" i="1"/>
  <c r="T4740" i="1"/>
  <c r="S4740" i="1"/>
  <c r="R4740" i="1"/>
  <c r="Q4740" i="1"/>
  <c r="P4740" i="1"/>
  <c r="U4739" i="1"/>
  <c r="T4739" i="1"/>
  <c r="S4739" i="1"/>
  <c r="R4739" i="1"/>
  <c r="Q4739" i="1"/>
  <c r="P4739" i="1"/>
  <c r="U4738" i="1"/>
  <c r="T4738" i="1"/>
  <c r="S4738" i="1"/>
  <c r="R4738" i="1"/>
  <c r="Q4738" i="1"/>
  <c r="P4738" i="1"/>
  <c r="U4737" i="1"/>
  <c r="T4737" i="1"/>
  <c r="S4737" i="1"/>
  <c r="R4737" i="1"/>
  <c r="Q4737" i="1"/>
  <c r="P4737" i="1"/>
  <c r="U4736" i="1"/>
  <c r="T4736" i="1"/>
  <c r="S4736" i="1"/>
  <c r="R4736" i="1"/>
  <c r="Q4736" i="1"/>
  <c r="P4736" i="1"/>
  <c r="U4735" i="1"/>
  <c r="T4735" i="1"/>
  <c r="S4735" i="1"/>
  <c r="R4735" i="1"/>
  <c r="Q4735" i="1"/>
  <c r="P4735" i="1"/>
  <c r="U4734" i="1"/>
  <c r="T4734" i="1"/>
  <c r="S4734" i="1"/>
  <c r="R4734" i="1"/>
  <c r="Q4734" i="1"/>
  <c r="P4734" i="1"/>
  <c r="U4733" i="1"/>
  <c r="T4733" i="1"/>
  <c r="S4733" i="1"/>
  <c r="R4733" i="1"/>
  <c r="Q4733" i="1"/>
  <c r="P4733" i="1"/>
  <c r="U4732" i="1"/>
  <c r="T4732" i="1"/>
  <c r="S4732" i="1"/>
  <c r="R4732" i="1"/>
  <c r="Q4732" i="1"/>
  <c r="P4732" i="1"/>
  <c r="U4731" i="1"/>
  <c r="T4731" i="1"/>
  <c r="S4731" i="1"/>
  <c r="R4731" i="1"/>
  <c r="Q4731" i="1"/>
  <c r="P4731" i="1"/>
  <c r="U4730" i="1"/>
  <c r="T4730" i="1"/>
  <c r="S4730" i="1"/>
  <c r="R4730" i="1"/>
  <c r="Q4730" i="1"/>
  <c r="P4730" i="1"/>
  <c r="U4729" i="1"/>
  <c r="T4729" i="1"/>
  <c r="S4729" i="1"/>
  <c r="R4729" i="1"/>
  <c r="Q4729" i="1"/>
  <c r="P4729" i="1"/>
  <c r="U4728" i="1"/>
  <c r="T4728" i="1"/>
  <c r="S4728" i="1"/>
  <c r="R4728" i="1"/>
  <c r="Q4728" i="1"/>
  <c r="P4728" i="1"/>
  <c r="U4727" i="1"/>
  <c r="T4727" i="1"/>
  <c r="S4727" i="1"/>
  <c r="R4727" i="1"/>
  <c r="Q4727" i="1"/>
  <c r="P4727" i="1"/>
  <c r="U4726" i="1"/>
  <c r="T4726" i="1"/>
  <c r="S4726" i="1"/>
  <c r="R4726" i="1"/>
  <c r="Q4726" i="1"/>
  <c r="P4726" i="1"/>
  <c r="U4725" i="1"/>
  <c r="T4725" i="1"/>
  <c r="S4725" i="1"/>
  <c r="R4725" i="1"/>
  <c r="Q4725" i="1"/>
  <c r="P4725" i="1"/>
  <c r="U4724" i="1"/>
  <c r="T4724" i="1"/>
  <c r="S4724" i="1"/>
  <c r="R4724" i="1"/>
  <c r="Q4724" i="1"/>
  <c r="P4724" i="1"/>
  <c r="U4723" i="1"/>
  <c r="T4723" i="1"/>
  <c r="S4723" i="1"/>
  <c r="R4723" i="1"/>
  <c r="Q4723" i="1"/>
  <c r="P4723" i="1"/>
  <c r="U4722" i="1"/>
  <c r="T4722" i="1"/>
  <c r="S4722" i="1"/>
  <c r="R4722" i="1"/>
  <c r="Q4722" i="1"/>
  <c r="P4722" i="1"/>
  <c r="U4721" i="1"/>
  <c r="T4721" i="1"/>
  <c r="S4721" i="1"/>
  <c r="R4721" i="1"/>
  <c r="Q4721" i="1"/>
  <c r="P4721" i="1"/>
  <c r="U4720" i="1"/>
  <c r="T4720" i="1"/>
  <c r="S4720" i="1"/>
  <c r="R4720" i="1"/>
  <c r="Q4720" i="1"/>
  <c r="P4720" i="1"/>
  <c r="U4719" i="1"/>
  <c r="T4719" i="1"/>
  <c r="S4719" i="1"/>
  <c r="R4719" i="1"/>
  <c r="Q4719" i="1"/>
  <c r="P4719" i="1"/>
  <c r="U4718" i="1"/>
  <c r="T4718" i="1"/>
  <c r="S4718" i="1"/>
  <c r="R4718" i="1"/>
  <c r="Q4718" i="1"/>
  <c r="P4718" i="1"/>
  <c r="U4717" i="1"/>
  <c r="T4717" i="1"/>
  <c r="S4717" i="1"/>
  <c r="R4717" i="1"/>
  <c r="Q4717" i="1"/>
  <c r="P4717" i="1"/>
  <c r="U4716" i="1"/>
  <c r="T4716" i="1"/>
  <c r="S4716" i="1"/>
  <c r="R4716" i="1"/>
  <c r="Q4716" i="1"/>
  <c r="P4716" i="1"/>
  <c r="U4715" i="1"/>
  <c r="T4715" i="1"/>
  <c r="S4715" i="1"/>
  <c r="R4715" i="1"/>
  <c r="Q4715" i="1"/>
  <c r="P4715" i="1"/>
  <c r="U4714" i="1"/>
  <c r="T4714" i="1"/>
  <c r="S4714" i="1"/>
  <c r="R4714" i="1"/>
  <c r="Q4714" i="1"/>
  <c r="P4714" i="1"/>
  <c r="U4713" i="1"/>
  <c r="T4713" i="1"/>
  <c r="S4713" i="1"/>
  <c r="R4713" i="1"/>
  <c r="Q4713" i="1"/>
  <c r="P4713" i="1"/>
  <c r="U4712" i="1"/>
  <c r="T4712" i="1"/>
  <c r="S4712" i="1"/>
  <c r="R4712" i="1"/>
  <c r="Q4712" i="1"/>
  <c r="P4712" i="1"/>
  <c r="U4711" i="1"/>
  <c r="T4711" i="1"/>
  <c r="S4711" i="1"/>
  <c r="R4711" i="1"/>
  <c r="Q4711" i="1"/>
  <c r="P4711" i="1"/>
  <c r="U4710" i="1"/>
  <c r="T4710" i="1"/>
  <c r="S4710" i="1"/>
  <c r="R4710" i="1"/>
  <c r="Q4710" i="1"/>
  <c r="P4710" i="1"/>
  <c r="U4709" i="1"/>
  <c r="T4709" i="1"/>
  <c r="S4709" i="1"/>
  <c r="R4709" i="1"/>
  <c r="Q4709" i="1"/>
  <c r="P4709" i="1"/>
  <c r="U4708" i="1"/>
  <c r="T4708" i="1"/>
  <c r="S4708" i="1"/>
  <c r="R4708" i="1"/>
  <c r="Q4708" i="1"/>
  <c r="P4708" i="1"/>
  <c r="U4707" i="1"/>
  <c r="T4707" i="1"/>
  <c r="S4707" i="1"/>
  <c r="R4707" i="1"/>
  <c r="Q4707" i="1"/>
  <c r="P4707" i="1"/>
  <c r="U4706" i="1"/>
  <c r="T4706" i="1"/>
  <c r="S4706" i="1"/>
  <c r="R4706" i="1"/>
  <c r="Q4706" i="1"/>
  <c r="P4706" i="1"/>
  <c r="U4705" i="1"/>
  <c r="T4705" i="1"/>
  <c r="S4705" i="1"/>
  <c r="R4705" i="1"/>
  <c r="Q4705" i="1"/>
  <c r="P4705" i="1"/>
  <c r="U4704" i="1"/>
  <c r="T4704" i="1"/>
  <c r="S4704" i="1"/>
  <c r="R4704" i="1"/>
  <c r="Q4704" i="1"/>
  <c r="P4704" i="1"/>
  <c r="U4703" i="1"/>
  <c r="T4703" i="1"/>
  <c r="S4703" i="1"/>
  <c r="R4703" i="1"/>
  <c r="Q4703" i="1"/>
  <c r="P4703" i="1"/>
  <c r="U4702" i="1"/>
  <c r="T4702" i="1"/>
  <c r="S4702" i="1"/>
  <c r="R4702" i="1"/>
  <c r="Q4702" i="1"/>
  <c r="P4702" i="1"/>
  <c r="U4701" i="1"/>
  <c r="T4701" i="1"/>
  <c r="S4701" i="1"/>
  <c r="R4701" i="1"/>
  <c r="Q4701" i="1"/>
  <c r="P4701" i="1"/>
  <c r="U4700" i="1"/>
  <c r="T4700" i="1"/>
  <c r="S4700" i="1"/>
  <c r="R4700" i="1"/>
  <c r="Q4700" i="1"/>
  <c r="P4700" i="1"/>
  <c r="U4699" i="1"/>
  <c r="T4699" i="1"/>
  <c r="S4699" i="1"/>
  <c r="R4699" i="1"/>
  <c r="Q4699" i="1"/>
  <c r="P4699" i="1"/>
  <c r="U4698" i="1"/>
  <c r="T4698" i="1"/>
  <c r="S4698" i="1"/>
  <c r="R4698" i="1"/>
  <c r="Q4698" i="1"/>
  <c r="P4698" i="1"/>
  <c r="U4697" i="1"/>
  <c r="T4697" i="1"/>
  <c r="S4697" i="1"/>
  <c r="R4697" i="1"/>
  <c r="Q4697" i="1"/>
  <c r="P4697" i="1"/>
  <c r="U4696" i="1"/>
  <c r="T4696" i="1"/>
  <c r="S4696" i="1"/>
  <c r="R4696" i="1"/>
  <c r="Q4696" i="1"/>
  <c r="P4696" i="1"/>
  <c r="U4695" i="1"/>
  <c r="T4695" i="1"/>
  <c r="S4695" i="1"/>
  <c r="R4695" i="1"/>
  <c r="Q4695" i="1"/>
  <c r="P4695" i="1"/>
  <c r="U4694" i="1"/>
  <c r="T4694" i="1"/>
  <c r="S4694" i="1"/>
  <c r="R4694" i="1"/>
  <c r="Q4694" i="1"/>
  <c r="P4694" i="1"/>
  <c r="U4693" i="1"/>
  <c r="T4693" i="1"/>
  <c r="S4693" i="1"/>
  <c r="R4693" i="1"/>
  <c r="Q4693" i="1"/>
  <c r="P4693" i="1"/>
  <c r="U4692" i="1"/>
  <c r="T4692" i="1"/>
  <c r="S4692" i="1"/>
  <c r="R4692" i="1"/>
  <c r="Q4692" i="1"/>
  <c r="P4692" i="1"/>
  <c r="U4691" i="1"/>
  <c r="T4691" i="1"/>
  <c r="S4691" i="1"/>
  <c r="R4691" i="1"/>
  <c r="Q4691" i="1"/>
  <c r="P4691" i="1"/>
  <c r="U4690" i="1"/>
  <c r="T4690" i="1"/>
  <c r="S4690" i="1"/>
  <c r="R4690" i="1"/>
  <c r="Q4690" i="1"/>
  <c r="P4690" i="1"/>
  <c r="U4689" i="1"/>
  <c r="T4689" i="1"/>
  <c r="S4689" i="1"/>
  <c r="R4689" i="1"/>
  <c r="Q4689" i="1"/>
  <c r="P4689" i="1"/>
  <c r="U4688" i="1"/>
  <c r="T4688" i="1"/>
  <c r="S4688" i="1"/>
  <c r="R4688" i="1"/>
  <c r="Q4688" i="1"/>
  <c r="P4688" i="1"/>
  <c r="U4687" i="1"/>
  <c r="T4687" i="1"/>
  <c r="S4687" i="1"/>
  <c r="R4687" i="1"/>
  <c r="Q4687" i="1"/>
  <c r="P4687" i="1"/>
  <c r="U4686" i="1"/>
  <c r="T4686" i="1"/>
  <c r="S4686" i="1"/>
  <c r="R4686" i="1"/>
  <c r="Q4686" i="1"/>
  <c r="P4686" i="1"/>
  <c r="U4685" i="1"/>
  <c r="T4685" i="1"/>
  <c r="S4685" i="1"/>
  <c r="R4685" i="1"/>
  <c r="Q4685" i="1"/>
  <c r="P4685" i="1"/>
  <c r="U4684" i="1"/>
  <c r="T4684" i="1"/>
  <c r="S4684" i="1"/>
  <c r="R4684" i="1"/>
  <c r="Q4684" i="1"/>
  <c r="P4684" i="1"/>
  <c r="U4683" i="1"/>
  <c r="T4683" i="1"/>
  <c r="S4683" i="1"/>
  <c r="R4683" i="1"/>
  <c r="Q4683" i="1"/>
  <c r="P4683" i="1"/>
  <c r="U4682" i="1"/>
  <c r="T4682" i="1"/>
  <c r="S4682" i="1"/>
  <c r="R4682" i="1"/>
  <c r="Q4682" i="1"/>
  <c r="P4682" i="1"/>
  <c r="U4681" i="1"/>
  <c r="T4681" i="1"/>
  <c r="S4681" i="1"/>
  <c r="R4681" i="1"/>
  <c r="Q4681" i="1"/>
  <c r="P4681" i="1"/>
  <c r="U4680" i="1"/>
  <c r="T4680" i="1"/>
  <c r="S4680" i="1"/>
  <c r="R4680" i="1"/>
  <c r="Q4680" i="1"/>
  <c r="P4680" i="1"/>
  <c r="U4679" i="1"/>
  <c r="T4679" i="1"/>
  <c r="S4679" i="1"/>
  <c r="R4679" i="1"/>
  <c r="Q4679" i="1"/>
  <c r="P4679" i="1"/>
  <c r="U4678" i="1"/>
  <c r="T4678" i="1"/>
  <c r="S4678" i="1"/>
  <c r="R4678" i="1"/>
  <c r="Q4678" i="1"/>
  <c r="P4678" i="1"/>
  <c r="U4677" i="1"/>
  <c r="T4677" i="1"/>
  <c r="S4677" i="1"/>
  <c r="R4677" i="1"/>
  <c r="Q4677" i="1"/>
  <c r="P4677" i="1"/>
  <c r="U4676" i="1"/>
  <c r="T4676" i="1"/>
  <c r="S4676" i="1"/>
  <c r="R4676" i="1"/>
  <c r="Q4676" i="1"/>
  <c r="P4676" i="1"/>
  <c r="U4675" i="1"/>
  <c r="T4675" i="1"/>
  <c r="S4675" i="1"/>
  <c r="R4675" i="1"/>
  <c r="Q4675" i="1"/>
  <c r="P4675" i="1"/>
  <c r="U4674" i="1"/>
  <c r="T4674" i="1"/>
  <c r="S4674" i="1"/>
  <c r="R4674" i="1"/>
  <c r="Q4674" i="1"/>
  <c r="P4674" i="1"/>
  <c r="U4673" i="1"/>
  <c r="T4673" i="1"/>
  <c r="S4673" i="1"/>
  <c r="R4673" i="1"/>
  <c r="Q4673" i="1"/>
  <c r="P4673" i="1"/>
  <c r="U4672" i="1"/>
  <c r="T4672" i="1"/>
  <c r="S4672" i="1"/>
  <c r="R4672" i="1"/>
  <c r="Q4672" i="1"/>
  <c r="P4672" i="1"/>
  <c r="U4671" i="1"/>
  <c r="T4671" i="1"/>
  <c r="S4671" i="1"/>
  <c r="R4671" i="1"/>
  <c r="Q4671" i="1"/>
  <c r="P4671" i="1"/>
  <c r="U4670" i="1"/>
  <c r="T4670" i="1"/>
  <c r="S4670" i="1"/>
  <c r="R4670" i="1"/>
  <c r="Q4670" i="1"/>
  <c r="P4670" i="1"/>
  <c r="U4669" i="1"/>
  <c r="T4669" i="1"/>
  <c r="S4669" i="1"/>
  <c r="R4669" i="1"/>
  <c r="Q4669" i="1"/>
  <c r="P4669" i="1"/>
  <c r="U4668" i="1"/>
  <c r="T4668" i="1"/>
  <c r="S4668" i="1"/>
  <c r="R4668" i="1"/>
  <c r="Q4668" i="1"/>
  <c r="P4668" i="1"/>
  <c r="U4667" i="1"/>
  <c r="T4667" i="1"/>
  <c r="S4667" i="1"/>
  <c r="R4667" i="1"/>
  <c r="Q4667" i="1"/>
  <c r="P4667" i="1"/>
  <c r="U4666" i="1"/>
  <c r="T4666" i="1"/>
  <c r="S4666" i="1"/>
  <c r="R4666" i="1"/>
  <c r="Q4666" i="1"/>
  <c r="P4666" i="1"/>
  <c r="U4665" i="1"/>
  <c r="T4665" i="1"/>
  <c r="S4665" i="1"/>
  <c r="R4665" i="1"/>
  <c r="Q4665" i="1"/>
  <c r="P4665" i="1"/>
  <c r="U4664" i="1"/>
  <c r="T4664" i="1"/>
  <c r="S4664" i="1"/>
  <c r="R4664" i="1"/>
  <c r="Q4664" i="1"/>
  <c r="P4664" i="1"/>
  <c r="U4663" i="1"/>
  <c r="T4663" i="1"/>
  <c r="S4663" i="1"/>
  <c r="R4663" i="1"/>
  <c r="Q4663" i="1"/>
  <c r="P4663" i="1"/>
  <c r="U4662" i="1"/>
  <c r="T4662" i="1"/>
  <c r="S4662" i="1"/>
  <c r="R4662" i="1"/>
  <c r="Q4662" i="1"/>
  <c r="P4662" i="1"/>
  <c r="U4661" i="1"/>
  <c r="T4661" i="1"/>
  <c r="S4661" i="1"/>
  <c r="R4661" i="1"/>
  <c r="Q4661" i="1"/>
  <c r="P4661" i="1"/>
  <c r="U4660" i="1"/>
  <c r="T4660" i="1"/>
  <c r="S4660" i="1"/>
  <c r="R4660" i="1"/>
  <c r="Q4660" i="1"/>
  <c r="P4660" i="1"/>
  <c r="U4659" i="1"/>
  <c r="T4659" i="1"/>
  <c r="S4659" i="1"/>
  <c r="R4659" i="1"/>
  <c r="Q4659" i="1"/>
  <c r="P4659" i="1"/>
  <c r="U4658" i="1"/>
  <c r="T4658" i="1"/>
  <c r="S4658" i="1"/>
  <c r="R4658" i="1"/>
  <c r="Q4658" i="1"/>
  <c r="P4658" i="1"/>
  <c r="U4657" i="1"/>
  <c r="T4657" i="1"/>
  <c r="S4657" i="1"/>
  <c r="R4657" i="1"/>
  <c r="Q4657" i="1"/>
  <c r="P4657" i="1"/>
  <c r="U4656" i="1"/>
  <c r="T4656" i="1"/>
  <c r="S4656" i="1"/>
  <c r="R4656" i="1"/>
  <c r="Q4656" i="1"/>
  <c r="P4656" i="1"/>
  <c r="U4655" i="1"/>
  <c r="T4655" i="1"/>
  <c r="S4655" i="1"/>
  <c r="R4655" i="1"/>
  <c r="Q4655" i="1"/>
  <c r="P4655" i="1"/>
  <c r="U4654" i="1"/>
  <c r="T4654" i="1"/>
  <c r="S4654" i="1"/>
  <c r="R4654" i="1"/>
  <c r="Q4654" i="1"/>
  <c r="P4654" i="1"/>
  <c r="U4653" i="1"/>
  <c r="T4653" i="1"/>
  <c r="S4653" i="1"/>
  <c r="R4653" i="1"/>
  <c r="Q4653" i="1"/>
  <c r="P4653" i="1"/>
  <c r="U4652" i="1"/>
  <c r="T4652" i="1"/>
  <c r="S4652" i="1"/>
  <c r="R4652" i="1"/>
  <c r="Q4652" i="1"/>
  <c r="P4652" i="1"/>
  <c r="U4651" i="1"/>
  <c r="T4651" i="1"/>
  <c r="S4651" i="1"/>
  <c r="R4651" i="1"/>
  <c r="Q4651" i="1"/>
  <c r="P4651" i="1"/>
  <c r="U4650" i="1"/>
  <c r="T4650" i="1"/>
  <c r="S4650" i="1"/>
  <c r="R4650" i="1"/>
  <c r="Q4650" i="1"/>
  <c r="P4650" i="1"/>
  <c r="U4649" i="1"/>
  <c r="T4649" i="1"/>
  <c r="S4649" i="1"/>
  <c r="R4649" i="1"/>
  <c r="Q4649" i="1"/>
  <c r="P4649" i="1"/>
  <c r="U4648" i="1"/>
  <c r="T4648" i="1"/>
  <c r="S4648" i="1"/>
  <c r="R4648" i="1"/>
  <c r="Q4648" i="1"/>
  <c r="P4648" i="1"/>
  <c r="U4647" i="1"/>
  <c r="T4647" i="1"/>
  <c r="S4647" i="1"/>
  <c r="R4647" i="1"/>
  <c r="Q4647" i="1"/>
  <c r="P4647" i="1"/>
  <c r="U4646" i="1"/>
  <c r="T4646" i="1"/>
  <c r="S4646" i="1"/>
  <c r="R4646" i="1"/>
  <c r="Q4646" i="1"/>
  <c r="P4646" i="1"/>
  <c r="U4645" i="1"/>
  <c r="T4645" i="1"/>
  <c r="S4645" i="1"/>
  <c r="R4645" i="1"/>
  <c r="Q4645" i="1"/>
  <c r="P4645" i="1"/>
  <c r="U4644" i="1"/>
  <c r="T4644" i="1"/>
  <c r="S4644" i="1"/>
  <c r="R4644" i="1"/>
  <c r="Q4644" i="1"/>
  <c r="P4644" i="1"/>
  <c r="U4643" i="1"/>
  <c r="T4643" i="1"/>
  <c r="S4643" i="1"/>
  <c r="R4643" i="1"/>
  <c r="Q4643" i="1"/>
  <c r="P4643" i="1"/>
  <c r="U4642" i="1"/>
  <c r="T4642" i="1"/>
  <c r="S4642" i="1"/>
  <c r="R4642" i="1"/>
  <c r="Q4642" i="1"/>
  <c r="P4642" i="1"/>
  <c r="U4641" i="1"/>
  <c r="T4641" i="1"/>
  <c r="S4641" i="1"/>
  <c r="R4641" i="1"/>
  <c r="Q4641" i="1"/>
  <c r="P4641" i="1"/>
  <c r="U4640" i="1"/>
  <c r="T4640" i="1"/>
  <c r="S4640" i="1"/>
  <c r="R4640" i="1"/>
  <c r="Q4640" i="1"/>
  <c r="P4640" i="1"/>
  <c r="U4639" i="1"/>
  <c r="T4639" i="1"/>
  <c r="S4639" i="1"/>
  <c r="R4639" i="1"/>
  <c r="Q4639" i="1"/>
  <c r="P4639" i="1"/>
  <c r="U4638" i="1"/>
  <c r="T4638" i="1"/>
  <c r="S4638" i="1"/>
  <c r="R4638" i="1"/>
  <c r="Q4638" i="1"/>
  <c r="P4638" i="1"/>
  <c r="U4637" i="1"/>
  <c r="T4637" i="1"/>
  <c r="S4637" i="1"/>
  <c r="R4637" i="1"/>
  <c r="Q4637" i="1"/>
  <c r="P4637" i="1"/>
  <c r="U4636" i="1"/>
  <c r="T4636" i="1"/>
  <c r="S4636" i="1"/>
  <c r="R4636" i="1"/>
  <c r="Q4636" i="1"/>
  <c r="P4636" i="1"/>
  <c r="U4635" i="1"/>
  <c r="T4635" i="1"/>
  <c r="S4635" i="1"/>
  <c r="R4635" i="1"/>
  <c r="Q4635" i="1"/>
  <c r="P4635" i="1"/>
  <c r="U4634" i="1"/>
  <c r="T4634" i="1"/>
  <c r="S4634" i="1"/>
  <c r="R4634" i="1"/>
  <c r="Q4634" i="1"/>
  <c r="P4634" i="1"/>
  <c r="U4633" i="1"/>
  <c r="T4633" i="1"/>
  <c r="S4633" i="1"/>
  <c r="R4633" i="1"/>
  <c r="Q4633" i="1"/>
  <c r="P4633" i="1"/>
  <c r="U4632" i="1"/>
  <c r="T4632" i="1"/>
  <c r="S4632" i="1"/>
  <c r="R4632" i="1"/>
  <c r="Q4632" i="1"/>
  <c r="P4632" i="1"/>
  <c r="U4631" i="1"/>
  <c r="T4631" i="1"/>
  <c r="S4631" i="1"/>
  <c r="R4631" i="1"/>
  <c r="Q4631" i="1"/>
  <c r="P4631" i="1"/>
  <c r="U4630" i="1"/>
  <c r="T4630" i="1"/>
  <c r="S4630" i="1"/>
  <c r="R4630" i="1"/>
  <c r="Q4630" i="1"/>
  <c r="P4630" i="1"/>
  <c r="U4629" i="1"/>
  <c r="T4629" i="1"/>
  <c r="S4629" i="1"/>
  <c r="R4629" i="1"/>
  <c r="Q4629" i="1"/>
  <c r="P4629" i="1"/>
  <c r="U4628" i="1"/>
  <c r="T4628" i="1"/>
  <c r="S4628" i="1"/>
  <c r="R4628" i="1"/>
  <c r="Q4628" i="1"/>
  <c r="P4628" i="1"/>
  <c r="U4627" i="1"/>
  <c r="T4627" i="1"/>
  <c r="S4627" i="1"/>
  <c r="R4627" i="1"/>
  <c r="Q4627" i="1"/>
  <c r="P4627" i="1"/>
  <c r="U4626" i="1"/>
  <c r="T4626" i="1"/>
  <c r="S4626" i="1"/>
  <c r="R4626" i="1"/>
  <c r="Q4626" i="1"/>
  <c r="P4626" i="1"/>
  <c r="U4625" i="1"/>
  <c r="T4625" i="1"/>
  <c r="S4625" i="1"/>
  <c r="R4625" i="1"/>
  <c r="Q4625" i="1"/>
  <c r="P4625" i="1"/>
  <c r="U4624" i="1"/>
  <c r="T4624" i="1"/>
  <c r="S4624" i="1"/>
  <c r="R4624" i="1"/>
  <c r="Q4624" i="1"/>
  <c r="P4624" i="1"/>
  <c r="U4623" i="1"/>
  <c r="T4623" i="1"/>
  <c r="S4623" i="1"/>
  <c r="R4623" i="1"/>
  <c r="Q4623" i="1"/>
  <c r="P4623" i="1"/>
  <c r="U4622" i="1"/>
  <c r="T4622" i="1"/>
  <c r="S4622" i="1"/>
  <c r="R4622" i="1"/>
  <c r="Q4622" i="1"/>
  <c r="P4622" i="1"/>
  <c r="U4621" i="1"/>
  <c r="T4621" i="1"/>
  <c r="S4621" i="1"/>
  <c r="R4621" i="1"/>
  <c r="Q4621" i="1"/>
  <c r="P4621" i="1"/>
  <c r="U4620" i="1"/>
  <c r="T4620" i="1"/>
  <c r="S4620" i="1"/>
  <c r="R4620" i="1"/>
  <c r="Q4620" i="1"/>
  <c r="P4620" i="1"/>
  <c r="U4619" i="1"/>
  <c r="T4619" i="1"/>
  <c r="S4619" i="1"/>
  <c r="R4619" i="1"/>
  <c r="Q4619" i="1"/>
  <c r="P4619" i="1"/>
  <c r="U4618" i="1"/>
  <c r="T4618" i="1"/>
  <c r="S4618" i="1"/>
  <c r="R4618" i="1"/>
  <c r="Q4618" i="1"/>
  <c r="P4618" i="1"/>
  <c r="U4617" i="1"/>
  <c r="T4617" i="1"/>
  <c r="S4617" i="1"/>
  <c r="R4617" i="1"/>
  <c r="Q4617" i="1"/>
  <c r="P4617" i="1"/>
  <c r="U4616" i="1"/>
  <c r="T4616" i="1"/>
  <c r="S4616" i="1"/>
  <c r="R4616" i="1"/>
  <c r="Q4616" i="1"/>
  <c r="P4616" i="1"/>
  <c r="U4615" i="1"/>
  <c r="T4615" i="1"/>
  <c r="S4615" i="1"/>
  <c r="R4615" i="1"/>
  <c r="Q4615" i="1"/>
  <c r="P4615" i="1"/>
  <c r="U4614" i="1"/>
  <c r="T4614" i="1"/>
  <c r="S4614" i="1"/>
  <c r="R4614" i="1"/>
  <c r="Q4614" i="1"/>
  <c r="P4614" i="1"/>
  <c r="U4613" i="1"/>
  <c r="T4613" i="1"/>
  <c r="S4613" i="1"/>
  <c r="R4613" i="1"/>
  <c r="Q4613" i="1"/>
  <c r="P4613" i="1"/>
  <c r="U4612" i="1"/>
  <c r="T4612" i="1"/>
  <c r="S4612" i="1"/>
  <c r="R4612" i="1"/>
  <c r="Q4612" i="1"/>
  <c r="P4612" i="1"/>
  <c r="U4611" i="1"/>
  <c r="T4611" i="1"/>
  <c r="S4611" i="1"/>
  <c r="R4611" i="1"/>
  <c r="Q4611" i="1"/>
  <c r="P4611" i="1"/>
  <c r="U4610" i="1"/>
  <c r="T4610" i="1"/>
  <c r="S4610" i="1"/>
  <c r="R4610" i="1"/>
  <c r="Q4610" i="1"/>
  <c r="P4610" i="1"/>
  <c r="U4609" i="1"/>
  <c r="T4609" i="1"/>
  <c r="S4609" i="1"/>
  <c r="R4609" i="1"/>
  <c r="Q4609" i="1"/>
  <c r="P4609" i="1"/>
  <c r="U4608" i="1"/>
  <c r="T4608" i="1"/>
  <c r="S4608" i="1"/>
  <c r="R4608" i="1"/>
  <c r="Q4608" i="1"/>
  <c r="P4608" i="1"/>
  <c r="U4607" i="1"/>
  <c r="T4607" i="1"/>
  <c r="S4607" i="1"/>
  <c r="R4607" i="1"/>
  <c r="Q4607" i="1"/>
  <c r="P4607" i="1"/>
  <c r="U4606" i="1"/>
  <c r="T4606" i="1"/>
  <c r="S4606" i="1"/>
  <c r="R4606" i="1"/>
  <c r="Q4606" i="1"/>
  <c r="P4606" i="1"/>
  <c r="U4605" i="1"/>
  <c r="T4605" i="1"/>
  <c r="S4605" i="1"/>
  <c r="R4605" i="1"/>
  <c r="Q4605" i="1"/>
  <c r="P4605" i="1"/>
  <c r="U4604" i="1"/>
  <c r="T4604" i="1"/>
  <c r="S4604" i="1"/>
  <c r="R4604" i="1"/>
  <c r="Q4604" i="1"/>
  <c r="P4604" i="1"/>
  <c r="U4603" i="1"/>
  <c r="T4603" i="1"/>
  <c r="S4603" i="1"/>
  <c r="R4603" i="1"/>
  <c r="Q4603" i="1"/>
  <c r="P4603" i="1"/>
  <c r="U4602" i="1"/>
  <c r="T4602" i="1"/>
  <c r="S4602" i="1"/>
  <c r="R4602" i="1"/>
  <c r="Q4602" i="1"/>
  <c r="P4602" i="1"/>
  <c r="U4601" i="1"/>
  <c r="T4601" i="1"/>
  <c r="S4601" i="1"/>
  <c r="R4601" i="1"/>
  <c r="Q4601" i="1"/>
  <c r="P4601" i="1"/>
  <c r="U4600" i="1"/>
  <c r="T4600" i="1"/>
  <c r="S4600" i="1"/>
  <c r="R4600" i="1"/>
  <c r="Q4600" i="1"/>
  <c r="P4600" i="1"/>
  <c r="U4599" i="1"/>
  <c r="T4599" i="1"/>
  <c r="S4599" i="1"/>
  <c r="R4599" i="1"/>
  <c r="Q4599" i="1"/>
  <c r="P4599" i="1"/>
  <c r="U4598" i="1"/>
  <c r="T4598" i="1"/>
  <c r="S4598" i="1"/>
  <c r="R4598" i="1"/>
  <c r="Q4598" i="1"/>
  <c r="P4598" i="1"/>
  <c r="U4597" i="1"/>
  <c r="T4597" i="1"/>
  <c r="S4597" i="1"/>
  <c r="R4597" i="1"/>
  <c r="Q4597" i="1"/>
  <c r="P4597" i="1"/>
  <c r="U4596" i="1"/>
  <c r="T4596" i="1"/>
  <c r="S4596" i="1"/>
  <c r="R4596" i="1"/>
  <c r="Q4596" i="1"/>
  <c r="P4596" i="1"/>
  <c r="U4595" i="1"/>
  <c r="T4595" i="1"/>
  <c r="S4595" i="1"/>
  <c r="R4595" i="1"/>
  <c r="Q4595" i="1"/>
  <c r="P4595" i="1"/>
  <c r="U4594" i="1"/>
  <c r="T4594" i="1"/>
  <c r="S4594" i="1"/>
  <c r="R4594" i="1"/>
  <c r="Q4594" i="1"/>
  <c r="P4594" i="1"/>
  <c r="U4593" i="1"/>
  <c r="T4593" i="1"/>
  <c r="S4593" i="1"/>
  <c r="R4593" i="1"/>
  <c r="Q4593" i="1"/>
  <c r="P4593" i="1"/>
  <c r="U4592" i="1"/>
  <c r="T4592" i="1"/>
  <c r="S4592" i="1"/>
  <c r="R4592" i="1"/>
  <c r="Q4592" i="1"/>
  <c r="P4592" i="1"/>
  <c r="U4591" i="1"/>
  <c r="T4591" i="1"/>
  <c r="S4591" i="1"/>
  <c r="R4591" i="1"/>
  <c r="Q4591" i="1"/>
  <c r="P4591" i="1"/>
  <c r="U4590" i="1"/>
  <c r="T4590" i="1"/>
  <c r="S4590" i="1"/>
  <c r="R4590" i="1"/>
  <c r="Q4590" i="1"/>
  <c r="P4590" i="1"/>
  <c r="U4589" i="1"/>
  <c r="T4589" i="1"/>
  <c r="S4589" i="1"/>
  <c r="R4589" i="1"/>
  <c r="Q4589" i="1"/>
  <c r="P4589" i="1"/>
  <c r="U4588" i="1"/>
  <c r="T4588" i="1"/>
  <c r="S4588" i="1"/>
  <c r="R4588" i="1"/>
  <c r="Q4588" i="1"/>
  <c r="P4588" i="1"/>
  <c r="U4587" i="1"/>
  <c r="T4587" i="1"/>
  <c r="S4587" i="1"/>
  <c r="R4587" i="1"/>
  <c r="Q4587" i="1"/>
  <c r="P4587" i="1"/>
  <c r="U4586" i="1"/>
  <c r="T4586" i="1"/>
  <c r="S4586" i="1"/>
  <c r="R4586" i="1"/>
  <c r="Q4586" i="1"/>
  <c r="P4586" i="1"/>
  <c r="U4585" i="1"/>
  <c r="T4585" i="1"/>
  <c r="S4585" i="1"/>
  <c r="R4585" i="1"/>
  <c r="Q4585" i="1"/>
  <c r="P4585" i="1"/>
  <c r="U4584" i="1"/>
  <c r="T4584" i="1"/>
  <c r="S4584" i="1"/>
  <c r="R4584" i="1"/>
  <c r="Q4584" i="1"/>
  <c r="P4584" i="1"/>
  <c r="U4583" i="1"/>
  <c r="T4583" i="1"/>
  <c r="S4583" i="1"/>
  <c r="R4583" i="1"/>
  <c r="Q4583" i="1"/>
  <c r="P4583" i="1"/>
  <c r="U4582" i="1"/>
  <c r="T4582" i="1"/>
  <c r="S4582" i="1"/>
  <c r="R4582" i="1"/>
  <c r="Q4582" i="1"/>
  <c r="P4582" i="1"/>
  <c r="U4581" i="1"/>
  <c r="T4581" i="1"/>
  <c r="S4581" i="1"/>
  <c r="R4581" i="1"/>
  <c r="Q4581" i="1"/>
  <c r="P4581" i="1"/>
  <c r="U4580" i="1"/>
  <c r="T4580" i="1"/>
  <c r="S4580" i="1"/>
  <c r="R4580" i="1"/>
  <c r="Q4580" i="1"/>
  <c r="P4580" i="1"/>
  <c r="U4579" i="1"/>
  <c r="T4579" i="1"/>
  <c r="S4579" i="1"/>
  <c r="R4579" i="1"/>
  <c r="Q4579" i="1"/>
  <c r="P4579" i="1"/>
  <c r="U4578" i="1"/>
  <c r="T4578" i="1"/>
  <c r="S4578" i="1"/>
  <c r="R4578" i="1"/>
  <c r="Q4578" i="1"/>
  <c r="P4578" i="1"/>
  <c r="U4577" i="1"/>
  <c r="T4577" i="1"/>
  <c r="S4577" i="1"/>
  <c r="R4577" i="1"/>
  <c r="Q4577" i="1"/>
  <c r="P4577" i="1"/>
  <c r="U4576" i="1"/>
  <c r="T4576" i="1"/>
  <c r="S4576" i="1"/>
  <c r="R4576" i="1"/>
  <c r="Q4576" i="1"/>
  <c r="P4576" i="1"/>
  <c r="U4575" i="1"/>
  <c r="T4575" i="1"/>
  <c r="S4575" i="1"/>
  <c r="R4575" i="1"/>
  <c r="Q4575" i="1"/>
  <c r="P4575" i="1"/>
  <c r="U4574" i="1"/>
  <c r="T4574" i="1"/>
  <c r="S4574" i="1"/>
  <c r="R4574" i="1"/>
  <c r="Q4574" i="1"/>
  <c r="P4574" i="1"/>
  <c r="U4573" i="1"/>
  <c r="T4573" i="1"/>
  <c r="S4573" i="1"/>
  <c r="R4573" i="1"/>
  <c r="Q4573" i="1"/>
  <c r="P4573" i="1"/>
  <c r="U4572" i="1"/>
  <c r="T4572" i="1"/>
  <c r="S4572" i="1"/>
  <c r="R4572" i="1"/>
  <c r="Q4572" i="1"/>
  <c r="P4572" i="1"/>
  <c r="U4571" i="1"/>
  <c r="T4571" i="1"/>
  <c r="S4571" i="1"/>
  <c r="R4571" i="1"/>
  <c r="Q4571" i="1"/>
  <c r="P4571" i="1"/>
  <c r="U4570" i="1"/>
  <c r="T4570" i="1"/>
  <c r="S4570" i="1"/>
  <c r="R4570" i="1"/>
  <c r="Q4570" i="1"/>
  <c r="P4570" i="1"/>
  <c r="U4569" i="1"/>
  <c r="T4569" i="1"/>
  <c r="S4569" i="1"/>
  <c r="R4569" i="1"/>
  <c r="Q4569" i="1"/>
  <c r="P4569" i="1"/>
  <c r="U4568" i="1"/>
  <c r="T4568" i="1"/>
  <c r="S4568" i="1"/>
  <c r="R4568" i="1"/>
  <c r="Q4568" i="1"/>
  <c r="P4568" i="1"/>
  <c r="U4567" i="1"/>
  <c r="T4567" i="1"/>
  <c r="S4567" i="1"/>
  <c r="R4567" i="1"/>
  <c r="Q4567" i="1"/>
  <c r="P4567" i="1"/>
  <c r="U4566" i="1"/>
  <c r="T4566" i="1"/>
  <c r="S4566" i="1"/>
  <c r="R4566" i="1"/>
  <c r="Q4566" i="1"/>
  <c r="P4566" i="1"/>
  <c r="U4565" i="1"/>
  <c r="T4565" i="1"/>
  <c r="S4565" i="1"/>
  <c r="R4565" i="1"/>
  <c r="Q4565" i="1"/>
  <c r="P4565" i="1"/>
  <c r="U4564" i="1"/>
  <c r="T4564" i="1"/>
  <c r="S4564" i="1"/>
  <c r="R4564" i="1"/>
  <c r="Q4564" i="1"/>
  <c r="P4564" i="1"/>
  <c r="U4563" i="1"/>
  <c r="T4563" i="1"/>
  <c r="S4563" i="1"/>
  <c r="R4563" i="1"/>
  <c r="Q4563" i="1"/>
  <c r="P4563" i="1"/>
  <c r="U4562" i="1"/>
  <c r="T4562" i="1"/>
  <c r="S4562" i="1"/>
  <c r="R4562" i="1"/>
  <c r="Q4562" i="1"/>
  <c r="P4562" i="1"/>
  <c r="U4561" i="1"/>
  <c r="T4561" i="1"/>
  <c r="S4561" i="1"/>
  <c r="R4561" i="1"/>
  <c r="Q4561" i="1"/>
  <c r="P4561" i="1"/>
  <c r="U4560" i="1"/>
  <c r="T4560" i="1"/>
  <c r="S4560" i="1"/>
  <c r="R4560" i="1"/>
  <c r="Q4560" i="1"/>
  <c r="P4560" i="1"/>
  <c r="U4559" i="1"/>
  <c r="T4559" i="1"/>
  <c r="S4559" i="1"/>
  <c r="R4559" i="1"/>
  <c r="Q4559" i="1"/>
  <c r="P4559" i="1"/>
  <c r="U4558" i="1"/>
  <c r="T4558" i="1"/>
  <c r="S4558" i="1"/>
  <c r="R4558" i="1"/>
  <c r="Q4558" i="1"/>
  <c r="P4558" i="1"/>
  <c r="U4557" i="1"/>
  <c r="T4557" i="1"/>
  <c r="S4557" i="1"/>
  <c r="R4557" i="1"/>
  <c r="Q4557" i="1"/>
  <c r="P4557" i="1"/>
  <c r="U4556" i="1"/>
  <c r="T4556" i="1"/>
  <c r="S4556" i="1"/>
  <c r="R4556" i="1"/>
  <c r="Q4556" i="1"/>
  <c r="P4556" i="1"/>
  <c r="U4555" i="1"/>
  <c r="T4555" i="1"/>
  <c r="S4555" i="1"/>
  <c r="R4555" i="1"/>
  <c r="Q4555" i="1"/>
  <c r="P4555" i="1"/>
  <c r="U4554" i="1"/>
  <c r="T4554" i="1"/>
  <c r="S4554" i="1"/>
  <c r="R4554" i="1"/>
  <c r="Q4554" i="1"/>
  <c r="P4554" i="1"/>
  <c r="U4553" i="1"/>
  <c r="T4553" i="1"/>
  <c r="S4553" i="1"/>
  <c r="R4553" i="1"/>
  <c r="Q4553" i="1"/>
  <c r="P4553" i="1"/>
  <c r="U4552" i="1"/>
  <c r="T4552" i="1"/>
  <c r="S4552" i="1"/>
  <c r="R4552" i="1"/>
  <c r="Q4552" i="1"/>
  <c r="P4552" i="1"/>
  <c r="U4551" i="1"/>
  <c r="T4551" i="1"/>
  <c r="S4551" i="1"/>
  <c r="R4551" i="1"/>
  <c r="Q4551" i="1"/>
  <c r="P4551" i="1"/>
  <c r="U4550" i="1"/>
  <c r="T4550" i="1"/>
  <c r="S4550" i="1"/>
  <c r="R4550" i="1"/>
  <c r="Q4550" i="1"/>
  <c r="P4550" i="1"/>
  <c r="U4549" i="1"/>
  <c r="T4549" i="1"/>
  <c r="S4549" i="1"/>
  <c r="R4549" i="1"/>
  <c r="Q4549" i="1"/>
  <c r="P4549" i="1"/>
  <c r="U4548" i="1"/>
  <c r="T4548" i="1"/>
  <c r="S4548" i="1"/>
  <c r="R4548" i="1"/>
  <c r="Q4548" i="1"/>
  <c r="P4548" i="1"/>
  <c r="U4547" i="1"/>
  <c r="T4547" i="1"/>
  <c r="S4547" i="1"/>
  <c r="R4547" i="1"/>
  <c r="Q4547" i="1"/>
  <c r="P4547" i="1"/>
  <c r="U4546" i="1"/>
  <c r="T4546" i="1"/>
  <c r="S4546" i="1"/>
  <c r="R4546" i="1"/>
  <c r="Q4546" i="1"/>
  <c r="P4546" i="1"/>
  <c r="U4545" i="1"/>
  <c r="T4545" i="1"/>
  <c r="S4545" i="1"/>
  <c r="R4545" i="1"/>
  <c r="Q4545" i="1"/>
  <c r="P4545" i="1"/>
  <c r="U4544" i="1"/>
  <c r="T4544" i="1"/>
  <c r="S4544" i="1"/>
  <c r="R4544" i="1"/>
  <c r="Q4544" i="1"/>
  <c r="P4544" i="1"/>
  <c r="U4543" i="1"/>
  <c r="T4543" i="1"/>
  <c r="S4543" i="1"/>
  <c r="R4543" i="1"/>
  <c r="Q4543" i="1"/>
  <c r="P4543" i="1"/>
  <c r="U4542" i="1"/>
  <c r="T4542" i="1"/>
  <c r="S4542" i="1"/>
  <c r="R4542" i="1"/>
  <c r="Q4542" i="1"/>
  <c r="P4542" i="1"/>
  <c r="U4541" i="1"/>
  <c r="T4541" i="1"/>
  <c r="S4541" i="1"/>
  <c r="R4541" i="1"/>
  <c r="Q4541" i="1"/>
  <c r="P4541" i="1"/>
  <c r="U4540" i="1"/>
  <c r="T4540" i="1"/>
  <c r="S4540" i="1"/>
  <c r="R4540" i="1"/>
  <c r="Q4540" i="1"/>
  <c r="P4540" i="1"/>
  <c r="U4539" i="1"/>
  <c r="T4539" i="1"/>
  <c r="S4539" i="1"/>
  <c r="R4539" i="1"/>
  <c r="Q4539" i="1"/>
  <c r="P4539" i="1"/>
  <c r="U4538" i="1"/>
  <c r="T4538" i="1"/>
  <c r="S4538" i="1"/>
  <c r="R4538" i="1"/>
  <c r="Q4538" i="1"/>
  <c r="P4538" i="1"/>
  <c r="U4537" i="1"/>
  <c r="T4537" i="1"/>
  <c r="S4537" i="1"/>
  <c r="R4537" i="1"/>
  <c r="Q4537" i="1"/>
  <c r="P4537" i="1"/>
  <c r="U4536" i="1"/>
  <c r="T4536" i="1"/>
  <c r="S4536" i="1"/>
  <c r="R4536" i="1"/>
  <c r="Q4536" i="1"/>
  <c r="P4536" i="1"/>
  <c r="U4535" i="1"/>
  <c r="T4535" i="1"/>
  <c r="S4535" i="1"/>
  <c r="R4535" i="1"/>
  <c r="Q4535" i="1"/>
  <c r="P4535" i="1"/>
  <c r="U4534" i="1"/>
  <c r="T4534" i="1"/>
  <c r="S4534" i="1"/>
  <c r="R4534" i="1"/>
  <c r="Q4534" i="1"/>
  <c r="P4534" i="1"/>
  <c r="U4533" i="1"/>
  <c r="T4533" i="1"/>
  <c r="S4533" i="1"/>
  <c r="R4533" i="1"/>
  <c r="Q4533" i="1"/>
  <c r="P4533" i="1"/>
  <c r="U4532" i="1"/>
  <c r="T4532" i="1"/>
  <c r="S4532" i="1"/>
  <c r="R4532" i="1"/>
  <c r="Q4532" i="1"/>
  <c r="P4532" i="1"/>
  <c r="U4531" i="1"/>
  <c r="T4531" i="1"/>
  <c r="S4531" i="1"/>
  <c r="R4531" i="1"/>
  <c r="Q4531" i="1"/>
  <c r="P4531" i="1"/>
  <c r="U4530" i="1"/>
  <c r="T4530" i="1"/>
  <c r="S4530" i="1"/>
  <c r="R4530" i="1"/>
  <c r="Q4530" i="1"/>
  <c r="P4530" i="1"/>
  <c r="U4529" i="1"/>
  <c r="T4529" i="1"/>
  <c r="S4529" i="1"/>
  <c r="R4529" i="1"/>
  <c r="Q4529" i="1"/>
  <c r="P4529" i="1"/>
  <c r="U4528" i="1"/>
  <c r="T4528" i="1"/>
  <c r="S4528" i="1"/>
  <c r="R4528" i="1"/>
  <c r="Q4528" i="1"/>
  <c r="P4528" i="1"/>
  <c r="U4527" i="1"/>
  <c r="T4527" i="1"/>
  <c r="S4527" i="1"/>
  <c r="R4527" i="1"/>
  <c r="Q4527" i="1"/>
  <c r="P4527" i="1"/>
  <c r="U4526" i="1"/>
  <c r="T4526" i="1"/>
  <c r="S4526" i="1"/>
  <c r="R4526" i="1"/>
  <c r="Q4526" i="1"/>
  <c r="P4526" i="1"/>
  <c r="U4525" i="1"/>
  <c r="T4525" i="1"/>
  <c r="S4525" i="1"/>
  <c r="R4525" i="1"/>
  <c r="Q4525" i="1"/>
  <c r="P4525" i="1"/>
  <c r="U4524" i="1"/>
  <c r="T4524" i="1"/>
  <c r="S4524" i="1"/>
  <c r="R4524" i="1"/>
  <c r="Q4524" i="1"/>
  <c r="P4524" i="1"/>
  <c r="U4523" i="1"/>
  <c r="T4523" i="1"/>
  <c r="S4523" i="1"/>
  <c r="R4523" i="1"/>
  <c r="Q4523" i="1"/>
  <c r="P4523" i="1"/>
  <c r="U4522" i="1"/>
  <c r="T4522" i="1"/>
  <c r="S4522" i="1"/>
  <c r="R4522" i="1"/>
  <c r="Q4522" i="1"/>
  <c r="P4522" i="1"/>
  <c r="U4521" i="1"/>
  <c r="T4521" i="1"/>
  <c r="S4521" i="1"/>
  <c r="R4521" i="1"/>
  <c r="Q4521" i="1"/>
  <c r="P4521" i="1"/>
  <c r="U4520" i="1"/>
  <c r="T4520" i="1"/>
  <c r="S4520" i="1"/>
  <c r="R4520" i="1"/>
  <c r="Q4520" i="1"/>
  <c r="P4520" i="1"/>
  <c r="U4519" i="1"/>
  <c r="T4519" i="1"/>
  <c r="S4519" i="1"/>
  <c r="R4519" i="1"/>
  <c r="Q4519" i="1"/>
  <c r="P4519" i="1"/>
  <c r="U4518" i="1"/>
  <c r="T4518" i="1"/>
  <c r="S4518" i="1"/>
  <c r="R4518" i="1"/>
  <c r="Q4518" i="1"/>
  <c r="P4518" i="1"/>
  <c r="U4517" i="1"/>
  <c r="T4517" i="1"/>
  <c r="S4517" i="1"/>
  <c r="R4517" i="1"/>
  <c r="Q4517" i="1"/>
  <c r="P4517" i="1"/>
  <c r="U4516" i="1"/>
  <c r="T4516" i="1"/>
  <c r="S4516" i="1"/>
  <c r="R4516" i="1"/>
  <c r="Q4516" i="1"/>
  <c r="P4516" i="1"/>
  <c r="U4515" i="1"/>
  <c r="T4515" i="1"/>
  <c r="S4515" i="1"/>
  <c r="R4515" i="1"/>
  <c r="Q4515" i="1"/>
  <c r="P4515" i="1"/>
  <c r="U4514" i="1"/>
  <c r="T4514" i="1"/>
  <c r="S4514" i="1"/>
  <c r="R4514" i="1"/>
  <c r="Q4514" i="1"/>
  <c r="P4514" i="1"/>
  <c r="U4513" i="1"/>
  <c r="T4513" i="1"/>
  <c r="S4513" i="1"/>
  <c r="R4513" i="1"/>
  <c r="Q4513" i="1"/>
  <c r="P4513" i="1"/>
  <c r="U4512" i="1"/>
  <c r="T4512" i="1"/>
  <c r="S4512" i="1"/>
  <c r="R4512" i="1"/>
  <c r="Q4512" i="1"/>
  <c r="P4512" i="1"/>
  <c r="U4511" i="1"/>
  <c r="T4511" i="1"/>
  <c r="S4511" i="1"/>
  <c r="R4511" i="1"/>
  <c r="Q4511" i="1"/>
  <c r="P4511" i="1"/>
  <c r="U4510" i="1"/>
  <c r="T4510" i="1"/>
  <c r="S4510" i="1"/>
  <c r="R4510" i="1"/>
  <c r="Q4510" i="1"/>
  <c r="P4510" i="1"/>
  <c r="U4509" i="1"/>
  <c r="T4509" i="1"/>
  <c r="S4509" i="1"/>
  <c r="R4509" i="1"/>
  <c r="Q4509" i="1"/>
  <c r="P4509" i="1"/>
  <c r="U4508" i="1"/>
  <c r="T4508" i="1"/>
  <c r="S4508" i="1"/>
  <c r="R4508" i="1"/>
  <c r="Q4508" i="1"/>
  <c r="P4508" i="1"/>
  <c r="U4507" i="1"/>
  <c r="T4507" i="1"/>
  <c r="S4507" i="1"/>
  <c r="R4507" i="1"/>
  <c r="Q4507" i="1"/>
  <c r="P4507" i="1"/>
  <c r="U4506" i="1"/>
  <c r="T4506" i="1"/>
  <c r="S4506" i="1"/>
  <c r="R4506" i="1"/>
  <c r="Q4506" i="1"/>
  <c r="P4506" i="1"/>
  <c r="U4505" i="1"/>
  <c r="T4505" i="1"/>
  <c r="S4505" i="1"/>
  <c r="R4505" i="1"/>
  <c r="Q4505" i="1"/>
  <c r="P4505" i="1"/>
  <c r="U4504" i="1"/>
  <c r="T4504" i="1"/>
  <c r="S4504" i="1"/>
  <c r="R4504" i="1"/>
  <c r="Q4504" i="1"/>
  <c r="P4504" i="1"/>
  <c r="U4503" i="1"/>
  <c r="T4503" i="1"/>
  <c r="S4503" i="1"/>
  <c r="R4503" i="1"/>
  <c r="Q4503" i="1"/>
  <c r="P4503" i="1"/>
  <c r="U4502" i="1"/>
  <c r="T4502" i="1"/>
  <c r="S4502" i="1"/>
  <c r="R4502" i="1"/>
  <c r="Q4502" i="1"/>
  <c r="P4502" i="1"/>
  <c r="U4501" i="1"/>
  <c r="T4501" i="1"/>
  <c r="S4501" i="1"/>
  <c r="R4501" i="1"/>
  <c r="Q4501" i="1"/>
  <c r="P4501" i="1"/>
  <c r="U4500" i="1"/>
  <c r="T4500" i="1"/>
  <c r="S4500" i="1"/>
  <c r="R4500" i="1"/>
  <c r="Q4500" i="1"/>
  <c r="P4500" i="1"/>
  <c r="U4499" i="1"/>
  <c r="T4499" i="1"/>
  <c r="S4499" i="1"/>
  <c r="R4499" i="1"/>
  <c r="Q4499" i="1"/>
  <c r="P4499" i="1"/>
  <c r="U4498" i="1"/>
  <c r="T4498" i="1"/>
  <c r="S4498" i="1"/>
  <c r="R4498" i="1"/>
  <c r="Q4498" i="1"/>
  <c r="P4498" i="1"/>
  <c r="U4497" i="1"/>
  <c r="T4497" i="1"/>
  <c r="S4497" i="1"/>
  <c r="R4497" i="1"/>
  <c r="Q4497" i="1"/>
  <c r="P4497" i="1"/>
  <c r="U4496" i="1"/>
  <c r="T4496" i="1"/>
  <c r="S4496" i="1"/>
  <c r="R4496" i="1"/>
  <c r="Q4496" i="1"/>
  <c r="P4496" i="1"/>
  <c r="U4495" i="1"/>
  <c r="T4495" i="1"/>
  <c r="S4495" i="1"/>
  <c r="R4495" i="1"/>
  <c r="Q4495" i="1"/>
  <c r="P4495" i="1"/>
  <c r="U4494" i="1"/>
  <c r="T4494" i="1"/>
  <c r="S4494" i="1"/>
  <c r="R4494" i="1"/>
  <c r="Q4494" i="1"/>
  <c r="P4494" i="1"/>
  <c r="U4493" i="1"/>
  <c r="T4493" i="1"/>
  <c r="S4493" i="1"/>
  <c r="R4493" i="1"/>
  <c r="Q4493" i="1"/>
  <c r="P4493" i="1"/>
  <c r="U4492" i="1"/>
  <c r="T4492" i="1"/>
  <c r="S4492" i="1"/>
  <c r="R4492" i="1"/>
  <c r="Q4492" i="1"/>
  <c r="P4492" i="1"/>
  <c r="U4491" i="1"/>
  <c r="T4491" i="1"/>
  <c r="S4491" i="1"/>
  <c r="R4491" i="1"/>
  <c r="Q4491" i="1"/>
  <c r="P4491" i="1"/>
  <c r="U4490" i="1"/>
  <c r="T4490" i="1"/>
  <c r="S4490" i="1"/>
  <c r="R4490" i="1"/>
  <c r="Q4490" i="1"/>
  <c r="P4490" i="1"/>
  <c r="U4489" i="1"/>
  <c r="T4489" i="1"/>
  <c r="S4489" i="1"/>
  <c r="R4489" i="1"/>
  <c r="Q4489" i="1"/>
  <c r="P4489" i="1"/>
  <c r="U4488" i="1"/>
  <c r="T4488" i="1"/>
  <c r="S4488" i="1"/>
  <c r="R4488" i="1"/>
  <c r="Q4488" i="1"/>
  <c r="P4488" i="1"/>
  <c r="U4487" i="1"/>
  <c r="T4487" i="1"/>
  <c r="S4487" i="1"/>
  <c r="R4487" i="1"/>
  <c r="Q4487" i="1"/>
  <c r="P4487" i="1"/>
  <c r="U4486" i="1"/>
  <c r="T4486" i="1"/>
  <c r="S4486" i="1"/>
  <c r="R4486" i="1"/>
  <c r="Q4486" i="1"/>
  <c r="P4486" i="1"/>
  <c r="U4485" i="1"/>
  <c r="T4485" i="1"/>
  <c r="S4485" i="1"/>
  <c r="R4485" i="1"/>
  <c r="Q4485" i="1"/>
  <c r="P4485" i="1"/>
  <c r="U4484" i="1"/>
  <c r="T4484" i="1"/>
  <c r="S4484" i="1"/>
  <c r="R4484" i="1"/>
  <c r="Q4484" i="1"/>
  <c r="P4484" i="1"/>
  <c r="U4483" i="1"/>
  <c r="T4483" i="1"/>
  <c r="S4483" i="1"/>
  <c r="R4483" i="1"/>
  <c r="Q4483" i="1"/>
  <c r="P4483" i="1"/>
  <c r="U4482" i="1"/>
  <c r="T4482" i="1"/>
  <c r="S4482" i="1"/>
  <c r="R4482" i="1"/>
  <c r="Q4482" i="1"/>
  <c r="P4482" i="1"/>
  <c r="U4481" i="1"/>
  <c r="T4481" i="1"/>
  <c r="S4481" i="1"/>
  <c r="R4481" i="1"/>
  <c r="Q4481" i="1"/>
  <c r="P4481" i="1"/>
  <c r="U4480" i="1"/>
  <c r="T4480" i="1"/>
  <c r="S4480" i="1"/>
  <c r="R4480" i="1"/>
  <c r="Q4480" i="1"/>
  <c r="P4480" i="1"/>
  <c r="U4479" i="1"/>
  <c r="T4479" i="1"/>
  <c r="S4479" i="1"/>
  <c r="R4479" i="1"/>
  <c r="Q4479" i="1"/>
  <c r="P4479" i="1"/>
  <c r="U4478" i="1"/>
  <c r="T4478" i="1"/>
  <c r="S4478" i="1"/>
  <c r="R4478" i="1"/>
  <c r="Q4478" i="1"/>
  <c r="P4478" i="1"/>
  <c r="U4477" i="1"/>
  <c r="T4477" i="1"/>
  <c r="S4477" i="1"/>
  <c r="R4477" i="1"/>
  <c r="Q4477" i="1"/>
  <c r="P4477" i="1"/>
  <c r="U4476" i="1"/>
  <c r="T4476" i="1"/>
  <c r="S4476" i="1"/>
  <c r="R4476" i="1"/>
  <c r="Q4476" i="1"/>
  <c r="P4476" i="1"/>
  <c r="U4475" i="1"/>
  <c r="T4475" i="1"/>
  <c r="S4475" i="1"/>
  <c r="R4475" i="1"/>
  <c r="Q4475" i="1"/>
  <c r="P4475" i="1"/>
  <c r="U4474" i="1"/>
  <c r="T4474" i="1"/>
  <c r="S4474" i="1"/>
  <c r="R4474" i="1"/>
  <c r="Q4474" i="1"/>
  <c r="P4474" i="1"/>
  <c r="U4473" i="1"/>
  <c r="T4473" i="1"/>
  <c r="S4473" i="1"/>
  <c r="R4473" i="1"/>
  <c r="Q4473" i="1"/>
  <c r="P4473" i="1"/>
  <c r="U4472" i="1"/>
  <c r="T4472" i="1"/>
  <c r="S4472" i="1"/>
  <c r="R4472" i="1"/>
  <c r="Q4472" i="1"/>
  <c r="P4472" i="1"/>
  <c r="U4471" i="1"/>
  <c r="T4471" i="1"/>
  <c r="S4471" i="1"/>
  <c r="R4471" i="1"/>
  <c r="Q4471" i="1"/>
  <c r="P4471" i="1"/>
  <c r="U4470" i="1"/>
  <c r="T4470" i="1"/>
  <c r="S4470" i="1"/>
  <c r="R4470" i="1"/>
  <c r="Q4470" i="1"/>
  <c r="P4470" i="1"/>
  <c r="U4469" i="1"/>
  <c r="T4469" i="1"/>
  <c r="S4469" i="1"/>
  <c r="R4469" i="1"/>
  <c r="Q4469" i="1"/>
  <c r="P4469" i="1"/>
  <c r="U4468" i="1"/>
  <c r="T4468" i="1"/>
  <c r="S4468" i="1"/>
  <c r="R4468" i="1"/>
  <c r="Q4468" i="1"/>
  <c r="P4468" i="1"/>
  <c r="U4467" i="1"/>
  <c r="T4467" i="1"/>
  <c r="S4467" i="1"/>
  <c r="R4467" i="1"/>
  <c r="Q4467" i="1"/>
  <c r="P4467" i="1"/>
  <c r="U4466" i="1"/>
  <c r="T4466" i="1"/>
  <c r="S4466" i="1"/>
  <c r="R4466" i="1"/>
  <c r="Q4466" i="1"/>
  <c r="P4466" i="1"/>
  <c r="U4465" i="1"/>
  <c r="T4465" i="1"/>
  <c r="S4465" i="1"/>
  <c r="R4465" i="1"/>
  <c r="Q4465" i="1"/>
  <c r="P4465" i="1"/>
  <c r="U4464" i="1"/>
  <c r="T4464" i="1"/>
  <c r="S4464" i="1"/>
  <c r="R4464" i="1"/>
  <c r="Q4464" i="1"/>
  <c r="P4464" i="1"/>
  <c r="U4463" i="1"/>
  <c r="T4463" i="1"/>
  <c r="S4463" i="1"/>
  <c r="R4463" i="1"/>
  <c r="Q4463" i="1"/>
  <c r="P4463" i="1"/>
  <c r="U4462" i="1"/>
  <c r="T4462" i="1"/>
  <c r="S4462" i="1"/>
  <c r="R4462" i="1"/>
  <c r="Q4462" i="1"/>
  <c r="P4462" i="1"/>
  <c r="U4461" i="1"/>
  <c r="T4461" i="1"/>
  <c r="S4461" i="1"/>
  <c r="R4461" i="1"/>
  <c r="Q4461" i="1"/>
  <c r="P4461" i="1"/>
  <c r="U4460" i="1"/>
  <c r="T4460" i="1"/>
  <c r="S4460" i="1"/>
  <c r="R4460" i="1"/>
  <c r="Q4460" i="1"/>
  <c r="P4460" i="1"/>
  <c r="U4459" i="1"/>
  <c r="T4459" i="1"/>
  <c r="S4459" i="1"/>
  <c r="R4459" i="1"/>
  <c r="Q4459" i="1"/>
  <c r="P4459" i="1"/>
  <c r="U4458" i="1"/>
  <c r="T4458" i="1"/>
  <c r="S4458" i="1"/>
  <c r="R4458" i="1"/>
  <c r="Q4458" i="1"/>
  <c r="P4458" i="1"/>
  <c r="U4457" i="1"/>
  <c r="T4457" i="1"/>
  <c r="S4457" i="1"/>
  <c r="R4457" i="1"/>
  <c r="Q4457" i="1"/>
  <c r="P4457" i="1"/>
  <c r="U4456" i="1"/>
  <c r="T4456" i="1"/>
  <c r="S4456" i="1"/>
  <c r="R4456" i="1"/>
  <c r="Q4456" i="1"/>
  <c r="P4456" i="1"/>
  <c r="U4455" i="1"/>
  <c r="T4455" i="1"/>
  <c r="S4455" i="1"/>
  <c r="R4455" i="1"/>
  <c r="Q4455" i="1"/>
  <c r="P4455" i="1"/>
  <c r="U4454" i="1"/>
  <c r="T4454" i="1"/>
  <c r="S4454" i="1"/>
  <c r="R4454" i="1"/>
  <c r="Q4454" i="1"/>
  <c r="P4454" i="1"/>
  <c r="U4453" i="1"/>
  <c r="T4453" i="1"/>
  <c r="S4453" i="1"/>
  <c r="R4453" i="1"/>
  <c r="Q4453" i="1"/>
  <c r="P4453" i="1"/>
  <c r="U4452" i="1"/>
  <c r="T4452" i="1"/>
  <c r="S4452" i="1"/>
  <c r="R4452" i="1"/>
  <c r="Q4452" i="1"/>
  <c r="P4452" i="1"/>
  <c r="U4451" i="1"/>
  <c r="T4451" i="1"/>
  <c r="S4451" i="1"/>
  <c r="R4451" i="1"/>
  <c r="Q4451" i="1"/>
  <c r="P4451" i="1"/>
  <c r="U4450" i="1"/>
  <c r="T4450" i="1"/>
  <c r="S4450" i="1"/>
  <c r="R4450" i="1"/>
  <c r="Q4450" i="1"/>
  <c r="P4450" i="1"/>
  <c r="U4449" i="1"/>
  <c r="T4449" i="1"/>
  <c r="S4449" i="1"/>
  <c r="R4449" i="1"/>
  <c r="Q4449" i="1"/>
  <c r="P4449" i="1"/>
  <c r="U4448" i="1"/>
  <c r="T4448" i="1"/>
  <c r="S4448" i="1"/>
  <c r="R4448" i="1"/>
  <c r="Q4448" i="1"/>
  <c r="P4448" i="1"/>
  <c r="U4447" i="1"/>
  <c r="T4447" i="1"/>
  <c r="S4447" i="1"/>
  <c r="R4447" i="1"/>
  <c r="Q4447" i="1"/>
  <c r="P4447" i="1"/>
  <c r="U4446" i="1"/>
  <c r="T4446" i="1"/>
  <c r="S4446" i="1"/>
  <c r="R4446" i="1"/>
  <c r="Q4446" i="1"/>
  <c r="P4446" i="1"/>
  <c r="U4445" i="1"/>
  <c r="T4445" i="1"/>
  <c r="S4445" i="1"/>
  <c r="R4445" i="1"/>
  <c r="Q4445" i="1"/>
  <c r="P4445" i="1"/>
  <c r="U4444" i="1"/>
  <c r="T4444" i="1"/>
  <c r="S4444" i="1"/>
  <c r="R4444" i="1"/>
  <c r="Q4444" i="1"/>
  <c r="P4444" i="1"/>
  <c r="U4443" i="1"/>
  <c r="T4443" i="1"/>
  <c r="S4443" i="1"/>
  <c r="R4443" i="1"/>
  <c r="Q4443" i="1"/>
  <c r="P4443" i="1"/>
  <c r="U4442" i="1"/>
  <c r="T4442" i="1"/>
  <c r="S4442" i="1"/>
  <c r="R4442" i="1"/>
  <c r="Q4442" i="1"/>
  <c r="P4442" i="1"/>
  <c r="U4441" i="1"/>
  <c r="T4441" i="1"/>
  <c r="S4441" i="1"/>
  <c r="R4441" i="1"/>
  <c r="Q4441" i="1"/>
  <c r="P4441" i="1"/>
  <c r="U4440" i="1"/>
  <c r="T4440" i="1"/>
  <c r="S4440" i="1"/>
  <c r="R4440" i="1"/>
  <c r="Q4440" i="1"/>
  <c r="P4440" i="1"/>
  <c r="U4439" i="1"/>
  <c r="T4439" i="1"/>
  <c r="S4439" i="1"/>
  <c r="R4439" i="1"/>
  <c r="Q4439" i="1"/>
  <c r="P4439" i="1"/>
  <c r="U4438" i="1"/>
  <c r="T4438" i="1"/>
  <c r="S4438" i="1"/>
  <c r="R4438" i="1"/>
  <c r="Q4438" i="1"/>
  <c r="P4438" i="1"/>
  <c r="U4437" i="1"/>
  <c r="T4437" i="1"/>
  <c r="S4437" i="1"/>
  <c r="R4437" i="1"/>
  <c r="Q4437" i="1"/>
  <c r="P4437" i="1"/>
  <c r="U4436" i="1"/>
  <c r="T4436" i="1"/>
  <c r="S4436" i="1"/>
  <c r="R4436" i="1"/>
  <c r="Q4436" i="1"/>
  <c r="P4436" i="1"/>
  <c r="U4435" i="1"/>
  <c r="T4435" i="1"/>
  <c r="S4435" i="1"/>
  <c r="R4435" i="1"/>
  <c r="Q4435" i="1"/>
  <c r="P4435" i="1"/>
  <c r="U4434" i="1"/>
  <c r="T4434" i="1"/>
  <c r="S4434" i="1"/>
  <c r="R4434" i="1"/>
  <c r="Q4434" i="1"/>
  <c r="P4434" i="1"/>
  <c r="U4433" i="1"/>
  <c r="T4433" i="1"/>
  <c r="S4433" i="1"/>
  <c r="R4433" i="1"/>
  <c r="Q4433" i="1"/>
  <c r="P4433" i="1"/>
  <c r="U4432" i="1"/>
  <c r="T4432" i="1"/>
  <c r="S4432" i="1"/>
  <c r="R4432" i="1"/>
  <c r="Q4432" i="1"/>
  <c r="P4432" i="1"/>
  <c r="U4431" i="1"/>
  <c r="T4431" i="1"/>
  <c r="S4431" i="1"/>
  <c r="R4431" i="1"/>
  <c r="Q4431" i="1"/>
  <c r="P4431" i="1"/>
  <c r="U4430" i="1"/>
  <c r="T4430" i="1"/>
  <c r="S4430" i="1"/>
  <c r="R4430" i="1"/>
  <c r="Q4430" i="1"/>
  <c r="P4430" i="1"/>
  <c r="U4429" i="1"/>
  <c r="T4429" i="1"/>
  <c r="S4429" i="1"/>
  <c r="R4429" i="1"/>
  <c r="Q4429" i="1"/>
  <c r="P4429" i="1"/>
  <c r="U4428" i="1"/>
  <c r="T4428" i="1"/>
  <c r="S4428" i="1"/>
  <c r="R4428" i="1"/>
  <c r="Q4428" i="1"/>
  <c r="P4428" i="1"/>
  <c r="U4427" i="1"/>
  <c r="T4427" i="1"/>
  <c r="S4427" i="1"/>
  <c r="R4427" i="1"/>
  <c r="Q4427" i="1"/>
  <c r="P4427" i="1"/>
  <c r="U4426" i="1"/>
  <c r="T4426" i="1"/>
  <c r="S4426" i="1"/>
  <c r="R4426" i="1"/>
  <c r="Q4426" i="1"/>
  <c r="P4426" i="1"/>
  <c r="U4425" i="1"/>
  <c r="T4425" i="1"/>
  <c r="S4425" i="1"/>
  <c r="R4425" i="1"/>
  <c r="Q4425" i="1"/>
  <c r="P4425" i="1"/>
  <c r="U4424" i="1"/>
  <c r="T4424" i="1"/>
  <c r="S4424" i="1"/>
  <c r="R4424" i="1"/>
  <c r="Q4424" i="1"/>
  <c r="P4424" i="1"/>
  <c r="U4423" i="1"/>
  <c r="T4423" i="1"/>
  <c r="S4423" i="1"/>
  <c r="R4423" i="1"/>
  <c r="Q4423" i="1"/>
  <c r="P4423" i="1"/>
  <c r="U4422" i="1"/>
  <c r="T4422" i="1"/>
  <c r="S4422" i="1"/>
  <c r="R4422" i="1"/>
  <c r="Q4422" i="1"/>
  <c r="P4422" i="1"/>
  <c r="U4421" i="1"/>
  <c r="T4421" i="1"/>
  <c r="S4421" i="1"/>
  <c r="R4421" i="1"/>
  <c r="Q4421" i="1"/>
  <c r="P4421" i="1"/>
  <c r="U4420" i="1"/>
  <c r="T4420" i="1"/>
  <c r="S4420" i="1"/>
  <c r="R4420" i="1"/>
  <c r="Q4420" i="1"/>
  <c r="P4420" i="1"/>
  <c r="U4419" i="1"/>
  <c r="T4419" i="1"/>
  <c r="S4419" i="1"/>
  <c r="R4419" i="1"/>
  <c r="Q4419" i="1"/>
  <c r="P4419" i="1"/>
  <c r="U4418" i="1"/>
  <c r="T4418" i="1"/>
  <c r="S4418" i="1"/>
  <c r="R4418" i="1"/>
  <c r="Q4418" i="1"/>
  <c r="P4418" i="1"/>
  <c r="U4417" i="1"/>
  <c r="T4417" i="1"/>
  <c r="S4417" i="1"/>
  <c r="R4417" i="1"/>
  <c r="Q4417" i="1"/>
  <c r="P4417" i="1"/>
  <c r="U4416" i="1"/>
  <c r="T4416" i="1"/>
  <c r="S4416" i="1"/>
  <c r="R4416" i="1"/>
  <c r="Q4416" i="1"/>
  <c r="P4416" i="1"/>
  <c r="U4415" i="1"/>
  <c r="T4415" i="1"/>
  <c r="S4415" i="1"/>
  <c r="R4415" i="1"/>
  <c r="Q4415" i="1"/>
  <c r="P4415" i="1"/>
  <c r="U4414" i="1"/>
  <c r="T4414" i="1"/>
  <c r="S4414" i="1"/>
  <c r="R4414" i="1"/>
  <c r="Q4414" i="1"/>
  <c r="P4414" i="1"/>
  <c r="U4413" i="1"/>
  <c r="T4413" i="1"/>
  <c r="S4413" i="1"/>
  <c r="R4413" i="1"/>
  <c r="Q4413" i="1"/>
  <c r="P4413" i="1"/>
  <c r="U4412" i="1"/>
  <c r="T4412" i="1"/>
  <c r="S4412" i="1"/>
  <c r="R4412" i="1"/>
  <c r="Q4412" i="1"/>
  <c r="P4412" i="1"/>
  <c r="U4411" i="1"/>
  <c r="T4411" i="1"/>
  <c r="S4411" i="1"/>
  <c r="R4411" i="1"/>
  <c r="Q4411" i="1"/>
  <c r="P4411" i="1"/>
  <c r="U4410" i="1"/>
  <c r="T4410" i="1"/>
  <c r="S4410" i="1"/>
  <c r="R4410" i="1"/>
  <c r="Q4410" i="1"/>
  <c r="P4410" i="1"/>
  <c r="U4409" i="1"/>
  <c r="T4409" i="1"/>
  <c r="S4409" i="1"/>
  <c r="R4409" i="1"/>
  <c r="Q4409" i="1"/>
  <c r="P4409" i="1"/>
  <c r="U4408" i="1"/>
  <c r="T4408" i="1"/>
  <c r="S4408" i="1"/>
  <c r="R4408" i="1"/>
  <c r="Q4408" i="1"/>
  <c r="P4408" i="1"/>
  <c r="U4407" i="1"/>
  <c r="T4407" i="1"/>
  <c r="S4407" i="1"/>
  <c r="R4407" i="1"/>
  <c r="Q4407" i="1"/>
  <c r="P4407" i="1"/>
  <c r="U4406" i="1"/>
  <c r="T4406" i="1"/>
  <c r="S4406" i="1"/>
  <c r="R4406" i="1"/>
  <c r="Q4406" i="1"/>
  <c r="P4406" i="1"/>
  <c r="U4405" i="1"/>
  <c r="T4405" i="1"/>
  <c r="S4405" i="1"/>
  <c r="R4405" i="1"/>
  <c r="Q4405" i="1"/>
  <c r="P4405" i="1"/>
  <c r="U4404" i="1"/>
  <c r="T4404" i="1"/>
  <c r="S4404" i="1"/>
  <c r="R4404" i="1"/>
  <c r="Q4404" i="1"/>
  <c r="P4404" i="1"/>
  <c r="U4403" i="1"/>
  <c r="T4403" i="1"/>
  <c r="S4403" i="1"/>
  <c r="R4403" i="1"/>
  <c r="Q4403" i="1"/>
  <c r="P4403" i="1"/>
  <c r="U4402" i="1"/>
  <c r="T4402" i="1"/>
  <c r="S4402" i="1"/>
  <c r="R4402" i="1"/>
  <c r="Q4402" i="1"/>
  <c r="P4402" i="1"/>
  <c r="U4401" i="1"/>
  <c r="T4401" i="1"/>
  <c r="S4401" i="1"/>
  <c r="R4401" i="1"/>
  <c r="Q4401" i="1"/>
  <c r="P4401" i="1"/>
  <c r="U4400" i="1"/>
  <c r="T4400" i="1"/>
  <c r="S4400" i="1"/>
  <c r="R4400" i="1"/>
  <c r="Q4400" i="1"/>
  <c r="P4400" i="1"/>
  <c r="U4399" i="1"/>
  <c r="T4399" i="1"/>
  <c r="S4399" i="1"/>
  <c r="R4399" i="1"/>
  <c r="Q4399" i="1"/>
  <c r="P4399" i="1"/>
  <c r="U4398" i="1"/>
  <c r="T4398" i="1"/>
  <c r="S4398" i="1"/>
  <c r="R4398" i="1"/>
  <c r="Q4398" i="1"/>
  <c r="P4398" i="1"/>
  <c r="U4397" i="1"/>
  <c r="T4397" i="1"/>
  <c r="S4397" i="1"/>
  <c r="R4397" i="1"/>
  <c r="Q4397" i="1"/>
  <c r="P4397" i="1"/>
  <c r="U4396" i="1"/>
  <c r="T4396" i="1"/>
  <c r="S4396" i="1"/>
  <c r="R4396" i="1"/>
  <c r="Q4396" i="1"/>
  <c r="P4396" i="1"/>
  <c r="U4395" i="1"/>
  <c r="T4395" i="1"/>
  <c r="S4395" i="1"/>
  <c r="R4395" i="1"/>
  <c r="Q4395" i="1"/>
  <c r="P4395" i="1"/>
  <c r="U4394" i="1"/>
  <c r="T4394" i="1"/>
  <c r="S4394" i="1"/>
  <c r="R4394" i="1"/>
  <c r="Q4394" i="1"/>
  <c r="P4394" i="1"/>
  <c r="U4393" i="1"/>
  <c r="T4393" i="1"/>
  <c r="S4393" i="1"/>
  <c r="R4393" i="1"/>
  <c r="Q4393" i="1"/>
  <c r="P4393" i="1"/>
  <c r="U4392" i="1"/>
  <c r="T4392" i="1"/>
  <c r="S4392" i="1"/>
  <c r="R4392" i="1"/>
  <c r="Q4392" i="1"/>
  <c r="P4392" i="1"/>
  <c r="U4391" i="1"/>
  <c r="T4391" i="1"/>
  <c r="S4391" i="1"/>
  <c r="R4391" i="1"/>
  <c r="Q4391" i="1"/>
  <c r="P4391" i="1"/>
  <c r="U4390" i="1"/>
  <c r="T4390" i="1"/>
  <c r="S4390" i="1"/>
  <c r="R4390" i="1"/>
  <c r="Q4390" i="1"/>
  <c r="P4390" i="1"/>
  <c r="U4389" i="1"/>
  <c r="T4389" i="1"/>
  <c r="S4389" i="1"/>
  <c r="R4389" i="1"/>
  <c r="Q4389" i="1"/>
  <c r="P4389" i="1"/>
  <c r="U4388" i="1"/>
  <c r="T4388" i="1"/>
  <c r="S4388" i="1"/>
  <c r="R4388" i="1"/>
  <c r="Q4388" i="1"/>
  <c r="P4388" i="1"/>
  <c r="U4387" i="1"/>
  <c r="T4387" i="1"/>
  <c r="S4387" i="1"/>
  <c r="R4387" i="1"/>
  <c r="Q4387" i="1"/>
  <c r="P4387" i="1"/>
  <c r="U4386" i="1"/>
  <c r="T4386" i="1"/>
  <c r="S4386" i="1"/>
  <c r="R4386" i="1"/>
  <c r="Q4386" i="1"/>
  <c r="P4386" i="1"/>
  <c r="U4385" i="1"/>
  <c r="T4385" i="1"/>
  <c r="S4385" i="1"/>
  <c r="R4385" i="1"/>
  <c r="Q4385" i="1"/>
  <c r="P4385" i="1"/>
  <c r="U4384" i="1"/>
  <c r="T4384" i="1"/>
  <c r="S4384" i="1"/>
  <c r="R4384" i="1"/>
  <c r="Q4384" i="1"/>
  <c r="P4384" i="1"/>
  <c r="U4383" i="1"/>
  <c r="T4383" i="1"/>
  <c r="S4383" i="1"/>
  <c r="R4383" i="1"/>
  <c r="Q4383" i="1"/>
  <c r="P4383" i="1"/>
  <c r="U4382" i="1"/>
  <c r="T4382" i="1"/>
  <c r="S4382" i="1"/>
  <c r="R4382" i="1"/>
  <c r="Q4382" i="1"/>
  <c r="P4382" i="1"/>
  <c r="U4381" i="1"/>
  <c r="T4381" i="1"/>
  <c r="S4381" i="1"/>
  <c r="R4381" i="1"/>
  <c r="Q4381" i="1"/>
  <c r="P4381" i="1"/>
  <c r="U4380" i="1"/>
  <c r="T4380" i="1"/>
  <c r="S4380" i="1"/>
  <c r="R4380" i="1"/>
  <c r="Q4380" i="1"/>
  <c r="P4380" i="1"/>
  <c r="U4379" i="1"/>
  <c r="T4379" i="1"/>
  <c r="S4379" i="1"/>
  <c r="R4379" i="1"/>
  <c r="Q4379" i="1"/>
  <c r="P4379" i="1"/>
  <c r="U4378" i="1"/>
  <c r="T4378" i="1"/>
  <c r="S4378" i="1"/>
  <c r="R4378" i="1"/>
  <c r="Q4378" i="1"/>
  <c r="P4378" i="1"/>
  <c r="U4377" i="1"/>
  <c r="T4377" i="1"/>
  <c r="S4377" i="1"/>
  <c r="R4377" i="1"/>
  <c r="Q4377" i="1"/>
  <c r="P4377" i="1"/>
  <c r="U4376" i="1"/>
  <c r="T4376" i="1"/>
  <c r="S4376" i="1"/>
  <c r="R4376" i="1"/>
  <c r="Q4376" i="1"/>
  <c r="P4376" i="1"/>
  <c r="U4375" i="1"/>
  <c r="T4375" i="1"/>
  <c r="S4375" i="1"/>
  <c r="R4375" i="1"/>
  <c r="Q4375" i="1"/>
  <c r="P4375" i="1"/>
  <c r="U4374" i="1"/>
  <c r="T4374" i="1"/>
  <c r="S4374" i="1"/>
  <c r="R4374" i="1"/>
  <c r="Q4374" i="1"/>
  <c r="P4374" i="1"/>
  <c r="U4373" i="1"/>
  <c r="T4373" i="1"/>
  <c r="S4373" i="1"/>
  <c r="R4373" i="1"/>
  <c r="Q4373" i="1"/>
  <c r="P4373" i="1"/>
  <c r="U4372" i="1"/>
  <c r="T4372" i="1"/>
  <c r="S4372" i="1"/>
  <c r="R4372" i="1"/>
  <c r="Q4372" i="1"/>
  <c r="P4372" i="1"/>
  <c r="U4371" i="1"/>
  <c r="T4371" i="1"/>
  <c r="S4371" i="1"/>
  <c r="R4371" i="1"/>
  <c r="Q4371" i="1"/>
  <c r="P4371" i="1"/>
  <c r="U4370" i="1"/>
  <c r="T4370" i="1"/>
  <c r="S4370" i="1"/>
  <c r="R4370" i="1"/>
  <c r="Q4370" i="1"/>
  <c r="P4370" i="1"/>
  <c r="U4369" i="1"/>
  <c r="T4369" i="1"/>
  <c r="S4369" i="1"/>
  <c r="R4369" i="1"/>
  <c r="Q4369" i="1"/>
  <c r="P4369" i="1"/>
  <c r="U4368" i="1"/>
  <c r="T4368" i="1"/>
  <c r="S4368" i="1"/>
  <c r="R4368" i="1"/>
  <c r="Q4368" i="1"/>
  <c r="P4368" i="1"/>
  <c r="U4367" i="1"/>
  <c r="T4367" i="1"/>
  <c r="S4367" i="1"/>
  <c r="R4367" i="1"/>
  <c r="Q4367" i="1"/>
  <c r="P4367" i="1"/>
  <c r="U4366" i="1"/>
  <c r="T4366" i="1"/>
  <c r="S4366" i="1"/>
  <c r="R4366" i="1"/>
  <c r="Q4366" i="1"/>
  <c r="P4366" i="1"/>
  <c r="U4365" i="1"/>
  <c r="T4365" i="1"/>
  <c r="S4365" i="1"/>
  <c r="R4365" i="1"/>
  <c r="Q4365" i="1"/>
  <c r="P4365" i="1"/>
  <c r="U4364" i="1"/>
  <c r="T4364" i="1"/>
  <c r="S4364" i="1"/>
  <c r="R4364" i="1"/>
  <c r="Q4364" i="1"/>
  <c r="P4364" i="1"/>
  <c r="U4363" i="1"/>
  <c r="T4363" i="1"/>
  <c r="S4363" i="1"/>
  <c r="R4363" i="1"/>
  <c r="Q4363" i="1"/>
  <c r="P4363" i="1"/>
  <c r="U4362" i="1"/>
  <c r="T4362" i="1"/>
  <c r="S4362" i="1"/>
  <c r="R4362" i="1"/>
  <c r="Q4362" i="1"/>
  <c r="P4362" i="1"/>
  <c r="U4361" i="1"/>
  <c r="T4361" i="1"/>
  <c r="S4361" i="1"/>
  <c r="R4361" i="1"/>
  <c r="Q4361" i="1"/>
  <c r="P4361" i="1"/>
  <c r="U4360" i="1"/>
  <c r="T4360" i="1"/>
  <c r="S4360" i="1"/>
  <c r="R4360" i="1"/>
  <c r="Q4360" i="1"/>
  <c r="P4360" i="1"/>
  <c r="U4359" i="1"/>
  <c r="T4359" i="1"/>
  <c r="S4359" i="1"/>
  <c r="R4359" i="1"/>
  <c r="Q4359" i="1"/>
  <c r="P4359" i="1"/>
  <c r="U4358" i="1"/>
  <c r="T4358" i="1"/>
  <c r="S4358" i="1"/>
  <c r="R4358" i="1"/>
  <c r="Q4358" i="1"/>
  <c r="P4358" i="1"/>
  <c r="U4357" i="1"/>
  <c r="T4357" i="1"/>
  <c r="S4357" i="1"/>
  <c r="R4357" i="1"/>
  <c r="Q4357" i="1"/>
  <c r="P4357" i="1"/>
  <c r="U4356" i="1"/>
  <c r="T4356" i="1"/>
  <c r="S4356" i="1"/>
  <c r="R4356" i="1"/>
  <c r="Q4356" i="1"/>
  <c r="P4356" i="1"/>
  <c r="U4355" i="1"/>
  <c r="T4355" i="1"/>
  <c r="S4355" i="1"/>
  <c r="R4355" i="1"/>
  <c r="Q4355" i="1"/>
  <c r="P4355" i="1"/>
  <c r="U4354" i="1"/>
  <c r="T4354" i="1"/>
  <c r="S4354" i="1"/>
  <c r="R4354" i="1"/>
  <c r="Q4354" i="1"/>
  <c r="P4354" i="1"/>
  <c r="U4353" i="1"/>
  <c r="T4353" i="1"/>
  <c r="S4353" i="1"/>
  <c r="R4353" i="1"/>
  <c r="Q4353" i="1"/>
  <c r="P4353" i="1"/>
  <c r="U4352" i="1"/>
  <c r="T4352" i="1"/>
  <c r="S4352" i="1"/>
  <c r="R4352" i="1"/>
  <c r="Q4352" i="1"/>
  <c r="P4352" i="1"/>
  <c r="U4351" i="1"/>
  <c r="T4351" i="1"/>
  <c r="S4351" i="1"/>
  <c r="R4351" i="1"/>
  <c r="Q4351" i="1"/>
  <c r="P4351" i="1"/>
  <c r="U4350" i="1"/>
  <c r="T4350" i="1"/>
  <c r="S4350" i="1"/>
  <c r="R4350" i="1"/>
  <c r="Q4350" i="1"/>
  <c r="P4350" i="1"/>
  <c r="U4349" i="1"/>
  <c r="T4349" i="1"/>
  <c r="S4349" i="1"/>
  <c r="R4349" i="1"/>
  <c r="Q4349" i="1"/>
  <c r="P4349" i="1"/>
  <c r="U4348" i="1"/>
  <c r="T4348" i="1"/>
  <c r="S4348" i="1"/>
  <c r="R4348" i="1"/>
  <c r="Q4348" i="1"/>
  <c r="P4348" i="1"/>
  <c r="U4347" i="1"/>
  <c r="T4347" i="1"/>
  <c r="S4347" i="1"/>
  <c r="R4347" i="1"/>
  <c r="Q4347" i="1"/>
  <c r="P4347" i="1"/>
  <c r="U4346" i="1"/>
  <c r="T4346" i="1"/>
  <c r="S4346" i="1"/>
  <c r="R4346" i="1"/>
  <c r="Q4346" i="1"/>
  <c r="P4346" i="1"/>
  <c r="U4345" i="1"/>
  <c r="T4345" i="1"/>
  <c r="S4345" i="1"/>
  <c r="R4345" i="1"/>
  <c r="Q4345" i="1"/>
  <c r="P4345" i="1"/>
  <c r="U4344" i="1"/>
  <c r="T4344" i="1"/>
  <c r="S4344" i="1"/>
  <c r="R4344" i="1"/>
  <c r="Q4344" i="1"/>
  <c r="P4344" i="1"/>
  <c r="U4343" i="1"/>
  <c r="T4343" i="1"/>
  <c r="S4343" i="1"/>
  <c r="R4343" i="1"/>
  <c r="Q4343" i="1"/>
  <c r="P4343" i="1"/>
  <c r="U4342" i="1"/>
  <c r="T4342" i="1"/>
  <c r="S4342" i="1"/>
  <c r="R4342" i="1"/>
  <c r="Q4342" i="1"/>
  <c r="P4342" i="1"/>
  <c r="U4341" i="1"/>
  <c r="T4341" i="1"/>
  <c r="S4341" i="1"/>
  <c r="R4341" i="1"/>
  <c r="Q4341" i="1"/>
  <c r="P4341" i="1"/>
  <c r="U4340" i="1"/>
  <c r="T4340" i="1"/>
  <c r="S4340" i="1"/>
  <c r="R4340" i="1"/>
  <c r="Q4340" i="1"/>
  <c r="P4340" i="1"/>
  <c r="U4339" i="1"/>
  <c r="T4339" i="1"/>
  <c r="S4339" i="1"/>
  <c r="R4339" i="1"/>
  <c r="Q4339" i="1"/>
  <c r="P4339" i="1"/>
  <c r="U4338" i="1"/>
  <c r="T4338" i="1"/>
  <c r="S4338" i="1"/>
  <c r="R4338" i="1"/>
  <c r="Q4338" i="1"/>
  <c r="P4338" i="1"/>
  <c r="U4337" i="1"/>
  <c r="T4337" i="1"/>
  <c r="S4337" i="1"/>
  <c r="R4337" i="1"/>
  <c r="Q4337" i="1"/>
  <c r="P4337" i="1"/>
  <c r="U4336" i="1"/>
  <c r="T4336" i="1"/>
  <c r="S4336" i="1"/>
  <c r="R4336" i="1"/>
  <c r="Q4336" i="1"/>
  <c r="P4336" i="1"/>
  <c r="U4335" i="1"/>
  <c r="T4335" i="1"/>
  <c r="S4335" i="1"/>
  <c r="R4335" i="1"/>
  <c r="Q4335" i="1"/>
  <c r="P4335" i="1"/>
  <c r="U4334" i="1"/>
  <c r="T4334" i="1"/>
  <c r="S4334" i="1"/>
  <c r="R4334" i="1"/>
  <c r="Q4334" i="1"/>
  <c r="P4334" i="1"/>
  <c r="U4333" i="1"/>
  <c r="T4333" i="1"/>
  <c r="S4333" i="1"/>
  <c r="R4333" i="1"/>
  <c r="Q4333" i="1"/>
  <c r="P4333" i="1"/>
  <c r="U4332" i="1"/>
  <c r="T4332" i="1"/>
  <c r="S4332" i="1"/>
  <c r="R4332" i="1"/>
  <c r="Q4332" i="1"/>
  <c r="P4332" i="1"/>
  <c r="U4331" i="1"/>
  <c r="T4331" i="1"/>
  <c r="S4331" i="1"/>
  <c r="R4331" i="1"/>
  <c r="Q4331" i="1"/>
  <c r="P4331" i="1"/>
  <c r="U4330" i="1"/>
  <c r="T4330" i="1"/>
  <c r="S4330" i="1"/>
  <c r="R4330" i="1"/>
  <c r="Q4330" i="1"/>
  <c r="P4330" i="1"/>
  <c r="U4329" i="1"/>
  <c r="T4329" i="1"/>
  <c r="S4329" i="1"/>
  <c r="R4329" i="1"/>
  <c r="Q4329" i="1"/>
  <c r="P4329" i="1"/>
  <c r="U4328" i="1"/>
  <c r="T4328" i="1"/>
  <c r="S4328" i="1"/>
  <c r="R4328" i="1"/>
  <c r="Q4328" i="1"/>
  <c r="P4328" i="1"/>
  <c r="U4327" i="1"/>
  <c r="T4327" i="1"/>
  <c r="S4327" i="1"/>
  <c r="R4327" i="1"/>
  <c r="Q4327" i="1"/>
  <c r="P4327" i="1"/>
  <c r="U4326" i="1"/>
  <c r="T4326" i="1"/>
  <c r="S4326" i="1"/>
  <c r="R4326" i="1"/>
  <c r="Q4326" i="1"/>
  <c r="P4326" i="1"/>
  <c r="U4325" i="1"/>
  <c r="T4325" i="1"/>
  <c r="S4325" i="1"/>
  <c r="R4325" i="1"/>
  <c r="Q4325" i="1"/>
  <c r="P4325" i="1"/>
  <c r="U4324" i="1"/>
  <c r="T4324" i="1"/>
  <c r="S4324" i="1"/>
  <c r="R4324" i="1"/>
  <c r="Q4324" i="1"/>
  <c r="P4324" i="1"/>
  <c r="U4323" i="1"/>
  <c r="T4323" i="1"/>
  <c r="S4323" i="1"/>
  <c r="R4323" i="1"/>
  <c r="Q4323" i="1"/>
  <c r="P4323" i="1"/>
  <c r="U4322" i="1"/>
  <c r="T4322" i="1"/>
  <c r="S4322" i="1"/>
  <c r="R4322" i="1"/>
  <c r="Q4322" i="1"/>
  <c r="P4322" i="1"/>
  <c r="U4321" i="1"/>
  <c r="T4321" i="1"/>
  <c r="S4321" i="1"/>
  <c r="R4321" i="1"/>
  <c r="Q4321" i="1"/>
  <c r="P4321" i="1"/>
  <c r="U4320" i="1"/>
  <c r="T4320" i="1"/>
  <c r="S4320" i="1"/>
  <c r="R4320" i="1"/>
  <c r="Q4320" i="1"/>
  <c r="P4320" i="1"/>
  <c r="U4319" i="1"/>
  <c r="T4319" i="1"/>
  <c r="S4319" i="1"/>
  <c r="R4319" i="1"/>
  <c r="Q4319" i="1"/>
  <c r="P4319" i="1"/>
  <c r="U4318" i="1"/>
  <c r="T4318" i="1"/>
  <c r="S4318" i="1"/>
  <c r="R4318" i="1"/>
  <c r="Q4318" i="1"/>
  <c r="P4318" i="1"/>
  <c r="U4317" i="1"/>
  <c r="T4317" i="1"/>
  <c r="S4317" i="1"/>
  <c r="R4317" i="1"/>
  <c r="Q4317" i="1"/>
  <c r="P4317" i="1"/>
  <c r="U4316" i="1"/>
  <c r="T4316" i="1"/>
  <c r="S4316" i="1"/>
  <c r="R4316" i="1"/>
  <c r="Q4316" i="1"/>
  <c r="P4316" i="1"/>
  <c r="U4315" i="1"/>
  <c r="T4315" i="1"/>
  <c r="S4315" i="1"/>
  <c r="R4315" i="1"/>
  <c r="Q4315" i="1"/>
  <c r="P4315" i="1"/>
  <c r="U4314" i="1"/>
  <c r="T4314" i="1"/>
  <c r="S4314" i="1"/>
  <c r="R4314" i="1"/>
  <c r="Q4314" i="1"/>
  <c r="P4314" i="1"/>
  <c r="U4313" i="1"/>
  <c r="T4313" i="1"/>
  <c r="S4313" i="1"/>
  <c r="R4313" i="1"/>
  <c r="Q4313" i="1"/>
  <c r="P4313" i="1"/>
  <c r="U4312" i="1"/>
  <c r="T4312" i="1"/>
  <c r="S4312" i="1"/>
  <c r="R4312" i="1"/>
  <c r="Q4312" i="1"/>
  <c r="P4312" i="1"/>
  <c r="U4311" i="1"/>
  <c r="T4311" i="1"/>
  <c r="S4311" i="1"/>
  <c r="R4311" i="1"/>
  <c r="Q4311" i="1"/>
  <c r="P4311" i="1"/>
  <c r="U4310" i="1"/>
  <c r="T4310" i="1"/>
  <c r="S4310" i="1"/>
  <c r="R4310" i="1"/>
  <c r="Q4310" i="1"/>
  <c r="P4310" i="1"/>
  <c r="U4309" i="1"/>
  <c r="T4309" i="1"/>
  <c r="S4309" i="1"/>
  <c r="R4309" i="1"/>
  <c r="Q4309" i="1"/>
  <c r="P4309" i="1"/>
  <c r="U4308" i="1"/>
  <c r="T4308" i="1"/>
  <c r="S4308" i="1"/>
  <c r="R4308" i="1"/>
  <c r="Q4308" i="1"/>
  <c r="P4308" i="1"/>
  <c r="U4307" i="1"/>
  <c r="T4307" i="1"/>
  <c r="S4307" i="1"/>
  <c r="R4307" i="1"/>
  <c r="Q4307" i="1"/>
  <c r="P4307" i="1"/>
  <c r="U4306" i="1"/>
  <c r="T4306" i="1"/>
  <c r="S4306" i="1"/>
  <c r="R4306" i="1"/>
  <c r="Q4306" i="1"/>
  <c r="P4306" i="1"/>
  <c r="U4305" i="1"/>
  <c r="T4305" i="1"/>
  <c r="S4305" i="1"/>
  <c r="R4305" i="1"/>
  <c r="Q4305" i="1"/>
  <c r="P4305" i="1"/>
  <c r="U4304" i="1"/>
  <c r="T4304" i="1"/>
  <c r="S4304" i="1"/>
  <c r="R4304" i="1"/>
  <c r="Q4304" i="1"/>
  <c r="P4304" i="1"/>
  <c r="U4303" i="1"/>
  <c r="T4303" i="1"/>
  <c r="S4303" i="1"/>
  <c r="R4303" i="1"/>
  <c r="Q4303" i="1"/>
  <c r="P4303" i="1"/>
  <c r="U4302" i="1"/>
  <c r="T4302" i="1"/>
  <c r="S4302" i="1"/>
  <c r="R4302" i="1"/>
  <c r="Q4302" i="1"/>
  <c r="P4302" i="1"/>
  <c r="U4301" i="1"/>
  <c r="T4301" i="1"/>
  <c r="S4301" i="1"/>
  <c r="R4301" i="1"/>
  <c r="Q4301" i="1"/>
  <c r="P4301" i="1"/>
  <c r="U4300" i="1"/>
  <c r="T4300" i="1"/>
  <c r="S4300" i="1"/>
  <c r="R4300" i="1"/>
  <c r="Q4300" i="1"/>
  <c r="P4300" i="1"/>
  <c r="U4299" i="1"/>
  <c r="T4299" i="1"/>
  <c r="S4299" i="1"/>
  <c r="R4299" i="1"/>
  <c r="Q4299" i="1"/>
  <c r="P4299" i="1"/>
  <c r="U4298" i="1"/>
  <c r="T4298" i="1"/>
  <c r="S4298" i="1"/>
  <c r="R4298" i="1"/>
  <c r="Q4298" i="1"/>
  <c r="P4298" i="1"/>
  <c r="U4297" i="1"/>
  <c r="T4297" i="1"/>
  <c r="S4297" i="1"/>
  <c r="R4297" i="1"/>
  <c r="Q4297" i="1"/>
  <c r="P4297" i="1"/>
  <c r="U4296" i="1"/>
  <c r="T4296" i="1"/>
  <c r="S4296" i="1"/>
  <c r="R4296" i="1"/>
  <c r="Q4296" i="1"/>
  <c r="P4296" i="1"/>
  <c r="U4295" i="1"/>
  <c r="T4295" i="1"/>
  <c r="S4295" i="1"/>
  <c r="R4295" i="1"/>
  <c r="Q4295" i="1"/>
  <c r="P4295" i="1"/>
  <c r="U4294" i="1"/>
  <c r="T4294" i="1"/>
  <c r="S4294" i="1"/>
  <c r="R4294" i="1"/>
  <c r="Q4294" i="1"/>
  <c r="P4294" i="1"/>
  <c r="U4293" i="1"/>
  <c r="T4293" i="1"/>
  <c r="S4293" i="1"/>
  <c r="R4293" i="1"/>
  <c r="Q4293" i="1"/>
  <c r="P4293" i="1"/>
  <c r="U4292" i="1"/>
  <c r="T4292" i="1"/>
  <c r="S4292" i="1"/>
  <c r="R4292" i="1"/>
  <c r="Q4292" i="1"/>
  <c r="P4292" i="1"/>
  <c r="U4291" i="1"/>
  <c r="T4291" i="1"/>
  <c r="S4291" i="1"/>
  <c r="R4291" i="1"/>
  <c r="Q4291" i="1"/>
  <c r="P4291" i="1"/>
  <c r="U4290" i="1"/>
  <c r="T4290" i="1"/>
  <c r="S4290" i="1"/>
  <c r="R4290" i="1"/>
  <c r="Q4290" i="1"/>
  <c r="P4290" i="1"/>
  <c r="U4289" i="1"/>
  <c r="T4289" i="1"/>
  <c r="S4289" i="1"/>
  <c r="R4289" i="1"/>
  <c r="Q4289" i="1"/>
  <c r="P4289" i="1"/>
  <c r="U4288" i="1"/>
  <c r="T4288" i="1"/>
  <c r="S4288" i="1"/>
  <c r="R4288" i="1"/>
  <c r="Q4288" i="1"/>
  <c r="P4288" i="1"/>
  <c r="U4287" i="1"/>
  <c r="T4287" i="1"/>
  <c r="S4287" i="1"/>
  <c r="R4287" i="1"/>
  <c r="Q4287" i="1"/>
  <c r="P4287" i="1"/>
  <c r="U4286" i="1"/>
  <c r="T4286" i="1"/>
  <c r="S4286" i="1"/>
  <c r="R4286" i="1"/>
  <c r="Q4286" i="1"/>
  <c r="P4286" i="1"/>
  <c r="U4285" i="1"/>
  <c r="T4285" i="1"/>
  <c r="S4285" i="1"/>
  <c r="R4285" i="1"/>
  <c r="Q4285" i="1"/>
  <c r="P4285" i="1"/>
  <c r="U4284" i="1"/>
  <c r="T4284" i="1"/>
  <c r="S4284" i="1"/>
  <c r="R4284" i="1"/>
  <c r="Q4284" i="1"/>
  <c r="P4284" i="1"/>
  <c r="U4283" i="1"/>
  <c r="T4283" i="1"/>
  <c r="S4283" i="1"/>
  <c r="R4283" i="1"/>
  <c r="Q4283" i="1"/>
  <c r="P4283" i="1"/>
  <c r="U4282" i="1"/>
  <c r="T4282" i="1"/>
  <c r="S4282" i="1"/>
  <c r="R4282" i="1"/>
  <c r="Q4282" i="1"/>
  <c r="P4282" i="1"/>
  <c r="U4281" i="1"/>
  <c r="T4281" i="1"/>
  <c r="S4281" i="1"/>
  <c r="R4281" i="1"/>
  <c r="Q4281" i="1"/>
  <c r="P4281" i="1"/>
  <c r="U4280" i="1"/>
  <c r="T4280" i="1"/>
  <c r="S4280" i="1"/>
  <c r="R4280" i="1"/>
  <c r="Q4280" i="1"/>
  <c r="P4280" i="1"/>
  <c r="U4279" i="1"/>
  <c r="T4279" i="1"/>
  <c r="S4279" i="1"/>
  <c r="R4279" i="1"/>
  <c r="Q4279" i="1"/>
  <c r="P4279" i="1"/>
  <c r="U4278" i="1"/>
  <c r="T4278" i="1"/>
  <c r="S4278" i="1"/>
  <c r="R4278" i="1"/>
  <c r="Q4278" i="1"/>
  <c r="P4278" i="1"/>
  <c r="U4277" i="1"/>
  <c r="T4277" i="1"/>
  <c r="S4277" i="1"/>
  <c r="R4277" i="1"/>
  <c r="Q4277" i="1"/>
  <c r="P4277" i="1"/>
  <c r="U4276" i="1"/>
  <c r="T4276" i="1"/>
  <c r="S4276" i="1"/>
  <c r="R4276" i="1"/>
  <c r="Q4276" i="1"/>
  <c r="P4276" i="1"/>
  <c r="U4275" i="1"/>
  <c r="T4275" i="1"/>
  <c r="S4275" i="1"/>
  <c r="R4275" i="1"/>
  <c r="Q4275" i="1"/>
  <c r="P4275" i="1"/>
  <c r="U4274" i="1"/>
  <c r="T4274" i="1"/>
  <c r="S4274" i="1"/>
  <c r="R4274" i="1"/>
  <c r="Q4274" i="1"/>
  <c r="P4274" i="1"/>
  <c r="U4273" i="1"/>
  <c r="T4273" i="1"/>
  <c r="S4273" i="1"/>
  <c r="R4273" i="1"/>
  <c r="Q4273" i="1"/>
  <c r="P4273" i="1"/>
  <c r="U4272" i="1"/>
  <c r="T4272" i="1"/>
  <c r="S4272" i="1"/>
  <c r="R4272" i="1"/>
  <c r="Q4272" i="1"/>
  <c r="P4272" i="1"/>
  <c r="U4271" i="1"/>
  <c r="T4271" i="1"/>
  <c r="S4271" i="1"/>
  <c r="R4271" i="1"/>
  <c r="Q4271" i="1"/>
  <c r="P4271" i="1"/>
  <c r="U4270" i="1"/>
  <c r="T4270" i="1"/>
  <c r="S4270" i="1"/>
  <c r="R4270" i="1"/>
  <c r="Q4270" i="1"/>
  <c r="P4270" i="1"/>
  <c r="U4269" i="1"/>
  <c r="T4269" i="1"/>
  <c r="S4269" i="1"/>
  <c r="R4269" i="1"/>
  <c r="Q4269" i="1"/>
  <c r="P4269" i="1"/>
  <c r="U4268" i="1"/>
  <c r="T4268" i="1"/>
  <c r="S4268" i="1"/>
  <c r="R4268" i="1"/>
  <c r="Q4268" i="1"/>
  <c r="P4268" i="1"/>
  <c r="U4267" i="1"/>
  <c r="T4267" i="1"/>
  <c r="S4267" i="1"/>
  <c r="R4267" i="1"/>
  <c r="Q4267" i="1"/>
  <c r="P4267" i="1"/>
  <c r="U4266" i="1"/>
  <c r="T4266" i="1"/>
  <c r="S4266" i="1"/>
  <c r="R4266" i="1"/>
  <c r="Q4266" i="1"/>
  <c r="P4266" i="1"/>
  <c r="U4265" i="1"/>
  <c r="T4265" i="1"/>
  <c r="S4265" i="1"/>
  <c r="R4265" i="1"/>
  <c r="Q4265" i="1"/>
  <c r="P4265" i="1"/>
  <c r="U4264" i="1"/>
  <c r="T4264" i="1"/>
  <c r="S4264" i="1"/>
  <c r="R4264" i="1"/>
  <c r="Q4264" i="1"/>
  <c r="P4264" i="1"/>
  <c r="U4263" i="1"/>
  <c r="T4263" i="1"/>
  <c r="S4263" i="1"/>
  <c r="R4263" i="1"/>
  <c r="Q4263" i="1"/>
  <c r="P4263" i="1"/>
  <c r="U4262" i="1"/>
  <c r="T4262" i="1"/>
  <c r="S4262" i="1"/>
  <c r="R4262" i="1"/>
  <c r="Q4262" i="1"/>
  <c r="P4262" i="1"/>
  <c r="U4261" i="1"/>
  <c r="T4261" i="1"/>
  <c r="S4261" i="1"/>
  <c r="R4261" i="1"/>
  <c r="Q4261" i="1"/>
  <c r="P4261" i="1"/>
  <c r="U4260" i="1"/>
  <c r="T4260" i="1"/>
  <c r="S4260" i="1"/>
  <c r="R4260" i="1"/>
  <c r="Q4260" i="1"/>
  <c r="P4260" i="1"/>
  <c r="U4259" i="1"/>
  <c r="T4259" i="1"/>
  <c r="S4259" i="1"/>
  <c r="R4259" i="1"/>
  <c r="Q4259" i="1"/>
  <c r="P4259" i="1"/>
  <c r="U4258" i="1"/>
  <c r="T4258" i="1"/>
  <c r="S4258" i="1"/>
  <c r="R4258" i="1"/>
  <c r="Q4258" i="1"/>
  <c r="P4258" i="1"/>
  <c r="U4257" i="1"/>
  <c r="T4257" i="1"/>
  <c r="S4257" i="1"/>
  <c r="R4257" i="1"/>
  <c r="Q4257" i="1"/>
  <c r="P4257" i="1"/>
  <c r="U4256" i="1"/>
  <c r="T4256" i="1"/>
  <c r="S4256" i="1"/>
  <c r="R4256" i="1"/>
  <c r="Q4256" i="1"/>
  <c r="P4256" i="1"/>
  <c r="U4255" i="1"/>
  <c r="T4255" i="1"/>
  <c r="S4255" i="1"/>
  <c r="R4255" i="1"/>
  <c r="Q4255" i="1"/>
  <c r="P4255" i="1"/>
  <c r="U4254" i="1"/>
  <c r="T4254" i="1"/>
  <c r="S4254" i="1"/>
  <c r="R4254" i="1"/>
  <c r="Q4254" i="1"/>
  <c r="P4254" i="1"/>
  <c r="U4253" i="1"/>
  <c r="T4253" i="1"/>
  <c r="S4253" i="1"/>
  <c r="R4253" i="1"/>
  <c r="Q4253" i="1"/>
  <c r="P4253" i="1"/>
  <c r="U4252" i="1"/>
  <c r="T4252" i="1"/>
  <c r="S4252" i="1"/>
  <c r="R4252" i="1"/>
  <c r="Q4252" i="1"/>
  <c r="P4252" i="1"/>
  <c r="U4251" i="1"/>
  <c r="T4251" i="1"/>
  <c r="S4251" i="1"/>
  <c r="R4251" i="1"/>
  <c r="Q4251" i="1"/>
  <c r="P4251" i="1"/>
  <c r="U4250" i="1"/>
  <c r="T4250" i="1"/>
  <c r="S4250" i="1"/>
  <c r="R4250" i="1"/>
  <c r="Q4250" i="1"/>
  <c r="P4250" i="1"/>
  <c r="U4249" i="1"/>
  <c r="T4249" i="1"/>
  <c r="S4249" i="1"/>
  <c r="R4249" i="1"/>
  <c r="Q4249" i="1"/>
  <c r="P4249" i="1"/>
  <c r="U4248" i="1"/>
  <c r="T4248" i="1"/>
  <c r="S4248" i="1"/>
  <c r="R4248" i="1"/>
  <c r="Q4248" i="1"/>
  <c r="P4248" i="1"/>
  <c r="U4247" i="1"/>
  <c r="T4247" i="1"/>
  <c r="S4247" i="1"/>
  <c r="R4247" i="1"/>
  <c r="Q4247" i="1"/>
  <c r="P4247" i="1"/>
  <c r="U4246" i="1"/>
  <c r="T4246" i="1"/>
  <c r="S4246" i="1"/>
  <c r="R4246" i="1"/>
  <c r="Q4246" i="1"/>
  <c r="P4246" i="1"/>
  <c r="U4245" i="1"/>
  <c r="T4245" i="1"/>
  <c r="S4245" i="1"/>
  <c r="R4245" i="1"/>
  <c r="Q4245" i="1"/>
  <c r="P4245" i="1"/>
  <c r="U4244" i="1"/>
  <c r="T4244" i="1"/>
  <c r="S4244" i="1"/>
  <c r="R4244" i="1"/>
  <c r="Q4244" i="1"/>
  <c r="P4244" i="1"/>
  <c r="U4243" i="1"/>
  <c r="T4243" i="1"/>
  <c r="S4243" i="1"/>
  <c r="R4243" i="1"/>
  <c r="Q4243" i="1"/>
  <c r="P4243" i="1"/>
  <c r="U4242" i="1"/>
  <c r="T4242" i="1"/>
  <c r="S4242" i="1"/>
  <c r="R4242" i="1"/>
  <c r="Q4242" i="1"/>
  <c r="P4242" i="1"/>
  <c r="U4241" i="1"/>
  <c r="T4241" i="1"/>
  <c r="S4241" i="1"/>
  <c r="R4241" i="1"/>
  <c r="Q4241" i="1"/>
  <c r="P4241" i="1"/>
  <c r="U4240" i="1"/>
  <c r="T4240" i="1"/>
  <c r="S4240" i="1"/>
  <c r="R4240" i="1"/>
  <c r="Q4240" i="1"/>
  <c r="P4240" i="1"/>
  <c r="U4239" i="1"/>
  <c r="T4239" i="1"/>
  <c r="S4239" i="1"/>
  <c r="R4239" i="1"/>
  <c r="Q4239" i="1"/>
  <c r="P4239" i="1"/>
  <c r="U4238" i="1"/>
  <c r="T4238" i="1"/>
  <c r="S4238" i="1"/>
  <c r="R4238" i="1"/>
  <c r="Q4238" i="1"/>
  <c r="P4238" i="1"/>
  <c r="U4237" i="1"/>
  <c r="T4237" i="1"/>
  <c r="S4237" i="1"/>
  <c r="R4237" i="1"/>
  <c r="Q4237" i="1"/>
  <c r="P4237" i="1"/>
  <c r="U4236" i="1"/>
  <c r="T4236" i="1"/>
  <c r="S4236" i="1"/>
  <c r="R4236" i="1"/>
  <c r="Q4236" i="1"/>
  <c r="P4236" i="1"/>
  <c r="U4235" i="1"/>
  <c r="T4235" i="1"/>
  <c r="S4235" i="1"/>
  <c r="R4235" i="1"/>
  <c r="Q4235" i="1"/>
  <c r="P4235" i="1"/>
  <c r="U4234" i="1"/>
  <c r="T4234" i="1"/>
  <c r="S4234" i="1"/>
  <c r="R4234" i="1"/>
  <c r="Q4234" i="1"/>
  <c r="P4234" i="1"/>
  <c r="U4233" i="1"/>
  <c r="T4233" i="1"/>
  <c r="S4233" i="1"/>
  <c r="R4233" i="1"/>
  <c r="Q4233" i="1"/>
  <c r="P4233" i="1"/>
  <c r="U4232" i="1"/>
  <c r="T4232" i="1"/>
  <c r="S4232" i="1"/>
  <c r="R4232" i="1"/>
  <c r="Q4232" i="1"/>
  <c r="P4232" i="1"/>
  <c r="U4231" i="1"/>
  <c r="T4231" i="1"/>
  <c r="S4231" i="1"/>
  <c r="R4231" i="1"/>
  <c r="Q4231" i="1"/>
  <c r="P4231" i="1"/>
  <c r="U4230" i="1"/>
  <c r="T4230" i="1"/>
  <c r="S4230" i="1"/>
  <c r="R4230" i="1"/>
  <c r="Q4230" i="1"/>
  <c r="P4230" i="1"/>
  <c r="U4229" i="1"/>
  <c r="T4229" i="1"/>
  <c r="S4229" i="1"/>
  <c r="R4229" i="1"/>
  <c r="Q4229" i="1"/>
  <c r="P4229" i="1"/>
  <c r="U4228" i="1"/>
  <c r="T4228" i="1"/>
  <c r="S4228" i="1"/>
  <c r="R4228" i="1"/>
  <c r="Q4228" i="1"/>
  <c r="P4228" i="1"/>
  <c r="U4227" i="1"/>
  <c r="T4227" i="1"/>
  <c r="S4227" i="1"/>
  <c r="R4227" i="1"/>
  <c r="Q4227" i="1"/>
  <c r="P4227" i="1"/>
  <c r="U4226" i="1"/>
  <c r="T4226" i="1"/>
  <c r="S4226" i="1"/>
  <c r="R4226" i="1"/>
  <c r="Q4226" i="1"/>
  <c r="P4226" i="1"/>
  <c r="U4225" i="1"/>
  <c r="T4225" i="1"/>
  <c r="S4225" i="1"/>
  <c r="R4225" i="1"/>
  <c r="Q4225" i="1"/>
  <c r="P4225" i="1"/>
  <c r="U4224" i="1"/>
  <c r="T4224" i="1"/>
  <c r="S4224" i="1"/>
  <c r="R4224" i="1"/>
  <c r="Q4224" i="1"/>
  <c r="P4224" i="1"/>
  <c r="U4223" i="1"/>
  <c r="T4223" i="1"/>
  <c r="S4223" i="1"/>
  <c r="R4223" i="1"/>
  <c r="Q4223" i="1"/>
  <c r="P4223" i="1"/>
  <c r="U4222" i="1"/>
  <c r="T4222" i="1"/>
  <c r="S4222" i="1"/>
  <c r="R4222" i="1"/>
  <c r="Q4222" i="1"/>
  <c r="P4222" i="1"/>
  <c r="U4221" i="1"/>
  <c r="T4221" i="1"/>
  <c r="S4221" i="1"/>
  <c r="R4221" i="1"/>
  <c r="Q4221" i="1"/>
  <c r="P4221" i="1"/>
  <c r="U4220" i="1"/>
  <c r="T4220" i="1"/>
  <c r="S4220" i="1"/>
  <c r="R4220" i="1"/>
  <c r="Q4220" i="1"/>
  <c r="P4220" i="1"/>
  <c r="U4219" i="1"/>
  <c r="T4219" i="1"/>
  <c r="S4219" i="1"/>
  <c r="R4219" i="1"/>
  <c r="Q4219" i="1"/>
  <c r="P4219" i="1"/>
  <c r="U4218" i="1"/>
  <c r="T4218" i="1"/>
  <c r="S4218" i="1"/>
  <c r="R4218" i="1"/>
  <c r="Q4218" i="1"/>
  <c r="P4218" i="1"/>
  <c r="U4217" i="1"/>
  <c r="T4217" i="1"/>
  <c r="S4217" i="1"/>
  <c r="R4217" i="1"/>
  <c r="Q4217" i="1"/>
  <c r="P4217" i="1"/>
  <c r="U4216" i="1"/>
  <c r="T4216" i="1"/>
  <c r="S4216" i="1"/>
  <c r="R4216" i="1"/>
  <c r="Q4216" i="1"/>
  <c r="P4216" i="1"/>
  <c r="U4215" i="1"/>
  <c r="T4215" i="1"/>
  <c r="S4215" i="1"/>
  <c r="R4215" i="1"/>
  <c r="Q4215" i="1"/>
  <c r="P4215" i="1"/>
  <c r="U4214" i="1"/>
  <c r="T4214" i="1"/>
  <c r="S4214" i="1"/>
  <c r="R4214" i="1"/>
  <c r="Q4214" i="1"/>
  <c r="P4214" i="1"/>
  <c r="U4213" i="1"/>
  <c r="T4213" i="1"/>
  <c r="S4213" i="1"/>
  <c r="R4213" i="1"/>
  <c r="Q4213" i="1"/>
  <c r="P4213" i="1"/>
  <c r="U4212" i="1"/>
  <c r="T4212" i="1"/>
  <c r="S4212" i="1"/>
  <c r="R4212" i="1"/>
  <c r="Q4212" i="1"/>
  <c r="P4212" i="1"/>
  <c r="U4211" i="1"/>
  <c r="T4211" i="1"/>
  <c r="S4211" i="1"/>
  <c r="R4211" i="1"/>
  <c r="Q4211" i="1"/>
  <c r="P4211" i="1"/>
  <c r="U4210" i="1"/>
  <c r="T4210" i="1"/>
  <c r="S4210" i="1"/>
  <c r="R4210" i="1"/>
  <c r="Q4210" i="1"/>
  <c r="P4210" i="1"/>
  <c r="U4209" i="1"/>
  <c r="T4209" i="1"/>
  <c r="S4209" i="1"/>
  <c r="R4209" i="1"/>
  <c r="Q4209" i="1"/>
  <c r="P4209" i="1"/>
  <c r="U4208" i="1"/>
  <c r="T4208" i="1"/>
  <c r="S4208" i="1"/>
  <c r="R4208" i="1"/>
  <c r="Q4208" i="1"/>
  <c r="P4208" i="1"/>
  <c r="U4207" i="1"/>
  <c r="T4207" i="1"/>
  <c r="S4207" i="1"/>
  <c r="R4207" i="1"/>
  <c r="Q4207" i="1"/>
  <c r="P4207" i="1"/>
  <c r="U4206" i="1"/>
  <c r="T4206" i="1"/>
  <c r="S4206" i="1"/>
  <c r="R4206" i="1"/>
  <c r="Q4206" i="1"/>
  <c r="P4206" i="1"/>
  <c r="U4205" i="1"/>
  <c r="T4205" i="1"/>
  <c r="S4205" i="1"/>
  <c r="R4205" i="1"/>
  <c r="Q4205" i="1"/>
  <c r="P4205" i="1"/>
  <c r="U4204" i="1"/>
  <c r="T4204" i="1"/>
  <c r="S4204" i="1"/>
  <c r="R4204" i="1"/>
  <c r="Q4204" i="1"/>
  <c r="P4204" i="1"/>
  <c r="U4203" i="1"/>
  <c r="T4203" i="1"/>
  <c r="S4203" i="1"/>
  <c r="R4203" i="1"/>
  <c r="Q4203" i="1"/>
  <c r="P4203" i="1"/>
  <c r="U4202" i="1"/>
  <c r="T4202" i="1"/>
  <c r="S4202" i="1"/>
  <c r="R4202" i="1"/>
  <c r="Q4202" i="1"/>
  <c r="P4202" i="1"/>
  <c r="U4201" i="1"/>
  <c r="T4201" i="1"/>
  <c r="S4201" i="1"/>
  <c r="R4201" i="1"/>
  <c r="Q4201" i="1"/>
  <c r="P4201" i="1"/>
  <c r="U4200" i="1"/>
  <c r="T4200" i="1"/>
  <c r="S4200" i="1"/>
  <c r="R4200" i="1"/>
  <c r="Q4200" i="1"/>
  <c r="P4200" i="1"/>
  <c r="U4199" i="1"/>
  <c r="T4199" i="1"/>
  <c r="S4199" i="1"/>
  <c r="R4199" i="1"/>
  <c r="Q4199" i="1"/>
  <c r="P4199" i="1"/>
  <c r="U4198" i="1"/>
  <c r="T4198" i="1"/>
  <c r="S4198" i="1"/>
  <c r="R4198" i="1"/>
  <c r="Q4198" i="1"/>
  <c r="P4198" i="1"/>
  <c r="U4197" i="1"/>
  <c r="T4197" i="1"/>
  <c r="S4197" i="1"/>
  <c r="R4197" i="1"/>
  <c r="Q4197" i="1"/>
  <c r="P4197" i="1"/>
  <c r="U4196" i="1"/>
  <c r="T4196" i="1"/>
  <c r="S4196" i="1"/>
  <c r="R4196" i="1"/>
  <c r="Q4196" i="1"/>
  <c r="P4196" i="1"/>
  <c r="U4195" i="1"/>
  <c r="T4195" i="1"/>
  <c r="S4195" i="1"/>
  <c r="R4195" i="1"/>
  <c r="Q4195" i="1"/>
  <c r="P4195" i="1"/>
  <c r="U4194" i="1"/>
  <c r="T4194" i="1"/>
  <c r="S4194" i="1"/>
  <c r="R4194" i="1"/>
  <c r="Q4194" i="1"/>
  <c r="P4194" i="1"/>
  <c r="U4193" i="1"/>
  <c r="T4193" i="1"/>
  <c r="S4193" i="1"/>
  <c r="R4193" i="1"/>
  <c r="Q4193" i="1"/>
  <c r="P4193" i="1"/>
  <c r="U4192" i="1"/>
  <c r="T4192" i="1"/>
  <c r="S4192" i="1"/>
  <c r="R4192" i="1"/>
  <c r="Q4192" i="1"/>
  <c r="P4192" i="1"/>
  <c r="U4191" i="1"/>
  <c r="T4191" i="1"/>
  <c r="S4191" i="1"/>
  <c r="R4191" i="1"/>
  <c r="Q4191" i="1"/>
  <c r="P4191" i="1"/>
  <c r="U4190" i="1"/>
  <c r="T4190" i="1"/>
  <c r="S4190" i="1"/>
  <c r="R4190" i="1"/>
  <c r="Q4190" i="1"/>
  <c r="P4190" i="1"/>
  <c r="U4189" i="1"/>
  <c r="T4189" i="1"/>
  <c r="S4189" i="1"/>
  <c r="R4189" i="1"/>
  <c r="Q4189" i="1"/>
  <c r="P4189" i="1"/>
  <c r="U4188" i="1"/>
  <c r="T4188" i="1"/>
  <c r="S4188" i="1"/>
  <c r="R4188" i="1"/>
  <c r="Q4188" i="1"/>
  <c r="P4188" i="1"/>
  <c r="U4187" i="1"/>
  <c r="T4187" i="1"/>
  <c r="S4187" i="1"/>
  <c r="R4187" i="1"/>
  <c r="Q4187" i="1"/>
  <c r="P4187" i="1"/>
  <c r="U4186" i="1"/>
  <c r="T4186" i="1"/>
  <c r="S4186" i="1"/>
  <c r="R4186" i="1"/>
  <c r="Q4186" i="1"/>
  <c r="P4186" i="1"/>
  <c r="U4185" i="1"/>
  <c r="T4185" i="1"/>
  <c r="S4185" i="1"/>
  <c r="R4185" i="1"/>
  <c r="Q4185" i="1"/>
  <c r="P4185" i="1"/>
  <c r="U4184" i="1"/>
  <c r="T4184" i="1"/>
  <c r="S4184" i="1"/>
  <c r="R4184" i="1"/>
  <c r="Q4184" i="1"/>
  <c r="P4184" i="1"/>
  <c r="U4183" i="1"/>
  <c r="T4183" i="1"/>
  <c r="S4183" i="1"/>
  <c r="R4183" i="1"/>
  <c r="Q4183" i="1"/>
  <c r="P4183" i="1"/>
  <c r="U4182" i="1"/>
  <c r="T4182" i="1"/>
  <c r="S4182" i="1"/>
  <c r="R4182" i="1"/>
  <c r="Q4182" i="1"/>
  <c r="P4182" i="1"/>
  <c r="U4181" i="1"/>
  <c r="T4181" i="1"/>
  <c r="S4181" i="1"/>
  <c r="R4181" i="1"/>
  <c r="Q4181" i="1"/>
  <c r="P4181" i="1"/>
  <c r="U4180" i="1"/>
  <c r="T4180" i="1"/>
  <c r="S4180" i="1"/>
  <c r="R4180" i="1"/>
  <c r="Q4180" i="1"/>
  <c r="P4180" i="1"/>
  <c r="U4179" i="1"/>
  <c r="T4179" i="1"/>
  <c r="S4179" i="1"/>
  <c r="R4179" i="1"/>
  <c r="Q4179" i="1"/>
  <c r="P4179" i="1"/>
  <c r="U4178" i="1"/>
  <c r="T4178" i="1"/>
  <c r="S4178" i="1"/>
  <c r="R4178" i="1"/>
  <c r="Q4178" i="1"/>
  <c r="P4178" i="1"/>
  <c r="U4177" i="1"/>
  <c r="T4177" i="1"/>
  <c r="S4177" i="1"/>
  <c r="R4177" i="1"/>
  <c r="Q4177" i="1"/>
  <c r="P4177" i="1"/>
  <c r="U4176" i="1"/>
  <c r="T4176" i="1"/>
  <c r="S4176" i="1"/>
  <c r="R4176" i="1"/>
  <c r="Q4176" i="1"/>
  <c r="P4176" i="1"/>
  <c r="U4175" i="1"/>
  <c r="T4175" i="1"/>
  <c r="S4175" i="1"/>
  <c r="R4175" i="1"/>
  <c r="Q4175" i="1"/>
  <c r="P4175" i="1"/>
  <c r="U4174" i="1"/>
  <c r="T4174" i="1"/>
  <c r="S4174" i="1"/>
  <c r="R4174" i="1"/>
  <c r="Q4174" i="1"/>
  <c r="P4174" i="1"/>
  <c r="U4173" i="1"/>
  <c r="T4173" i="1"/>
  <c r="S4173" i="1"/>
  <c r="R4173" i="1"/>
  <c r="Q4173" i="1"/>
  <c r="P4173" i="1"/>
  <c r="U4172" i="1"/>
  <c r="T4172" i="1"/>
  <c r="S4172" i="1"/>
  <c r="R4172" i="1"/>
  <c r="Q4172" i="1"/>
  <c r="P4172" i="1"/>
  <c r="U4171" i="1"/>
  <c r="T4171" i="1"/>
  <c r="S4171" i="1"/>
  <c r="R4171" i="1"/>
  <c r="Q4171" i="1"/>
  <c r="P4171" i="1"/>
  <c r="U4170" i="1"/>
  <c r="T4170" i="1"/>
  <c r="S4170" i="1"/>
  <c r="R4170" i="1"/>
  <c r="Q4170" i="1"/>
  <c r="P4170" i="1"/>
  <c r="U4169" i="1"/>
  <c r="T4169" i="1"/>
  <c r="S4169" i="1"/>
  <c r="R4169" i="1"/>
  <c r="Q4169" i="1"/>
  <c r="P4169" i="1"/>
  <c r="U4168" i="1"/>
  <c r="T4168" i="1"/>
  <c r="S4168" i="1"/>
  <c r="R4168" i="1"/>
  <c r="Q4168" i="1"/>
  <c r="P4168" i="1"/>
  <c r="U4167" i="1"/>
  <c r="T4167" i="1"/>
  <c r="S4167" i="1"/>
  <c r="R4167" i="1"/>
  <c r="Q4167" i="1"/>
  <c r="P4167" i="1"/>
  <c r="U4166" i="1"/>
  <c r="T4166" i="1"/>
  <c r="S4166" i="1"/>
  <c r="R4166" i="1"/>
  <c r="Q4166" i="1"/>
  <c r="P4166" i="1"/>
  <c r="U4165" i="1"/>
  <c r="T4165" i="1"/>
  <c r="S4165" i="1"/>
  <c r="R4165" i="1"/>
  <c r="Q4165" i="1"/>
  <c r="P4165" i="1"/>
  <c r="U4164" i="1"/>
  <c r="T4164" i="1"/>
  <c r="S4164" i="1"/>
  <c r="R4164" i="1"/>
  <c r="Q4164" i="1"/>
  <c r="P4164" i="1"/>
  <c r="U4163" i="1"/>
  <c r="T4163" i="1"/>
  <c r="S4163" i="1"/>
  <c r="R4163" i="1"/>
  <c r="Q4163" i="1"/>
  <c r="P4163" i="1"/>
  <c r="U4162" i="1"/>
  <c r="T4162" i="1"/>
  <c r="S4162" i="1"/>
  <c r="R4162" i="1"/>
  <c r="Q4162" i="1"/>
  <c r="P4162" i="1"/>
  <c r="U4161" i="1"/>
  <c r="T4161" i="1"/>
  <c r="S4161" i="1"/>
  <c r="R4161" i="1"/>
  <c r="Q4161" i="1"/>
  <c r="P4161" i="1"/>
  <c r="U4160" i="1"/>
  <c r="T4160" i="1"/>
  <c r="S4160" i="1"/>
  <c r="R4160" i="1"/>
  <c r="Q4160" i="1"/>
  <c r="P4160" i="1"/>
  <c r="U4159" i="1"/>
  <c r="T4159" i="1"/>
  <c r="S4159" i="1"/>
  <c r="R4159" i="1"/>
  <c r="Q4159" i="1"/>
  <c r="P4159" i="1"/>
  <c r="U4158" i="1"/>
  <c r="T4158" i="1"/>
  <c r="S4158" i="1"/>
  <c r="R4158" i="1"/>
  <c r="Q4158" i="1"/>
  <c r="P4158" i="1"/>
  <c r="U4157" i="1"/>
  <c r="T4157" i="1"/>
  <c r="S4157" i="1"/>
  <c r="R4157" i="1"/>
  <c r="Q4157" i="1"/>
  <c r="P4157" i="1"/>
  <c r="U4156" i="1"/>
  <c r="T4156" i="1"/>
  <c r="S4156" i="1"/>
  <c r="R4156" i="1"/>
  <c r="Q4156" i="1"/>
  <c r="P4156" i="1"/>
  <c r="U4155" i="1"/>
  <c r="T4155" i="1"/>
  <c r="S4155" i="1"/>
  <c r="R4155" i="1"/>
  <c r="Q4155" i="1"/>
  <c r="P4155" i="1"/>
  <c r="U4154" i="1"/>
  <c r="T4154" i="1"/>
  <c r="S4154" i="1"/>
  <c r="R4154" i="1"/>
  <c r="Q4154" i="1"/>
  <c r="P4154" i="1"/>
  <c r="U4153" i="1"/>
  <c r="T4153" i="1"/>
  <c r="S4153" i="1"/>
  <c r="R4153" i="1"/>
  <c r="Q4153" i="1"/>
  <c r="P4153" i="1"/>
  <c r="U4152" i="1"/>
  <c r="T4152" i="1"/>
  <c r="S4152" i="1"/>
  <c r="R4152" i="1"/>
  <c r="Q4152" i="1"/>
  <c r="P4152" i="1"/>
  <c r="U4151" i="1"/>
  <c r="T4151" i="1"/>
  <c r="S4151" i="1"/>
  <c r="R4151" i="1"/>
  <c r="Q4151" i="1"/>
  <c r="P4151" i="1"/>
  <c r="U4150" i="1"/>
  <c r="T4150" i="1"/>
  <c r="S4150" i="1"/>
  <c r="R4150" i="1"/>
  <c r="Q4150" i="1"/>
  <c r="P4150" i="1"/>
  <c r="U4149" i="1"/>
  <c r="T4149" i="1"/>
  <c r="S4149" i="1"/>
  <c r="R4149" i="1"/>
  <c r="Q4149" i="1"/>
  <c r="P4149" i="1"/>
  <c r="U4148" i="1"/>
  <c r="T4148" i="1"/>
  <c r="S4148" i="1"/>
  <c r="R4148" i="1"/>
  <c r="Q4148" i="1"/>
  <c r="P4148" i="1"/>
  <c r="U4147" i="1"/>
  <c r="T4147" i="1"/>
  <c r="S4147" i="1"/>
  <c r="R4147" i="1"/>
  <c r="Q4147" i="1"/>
  <c r="P4147" i="1"/>
  <c r="U4146" i="1"/>
  <c r="T4146" i="1"/>
  <c r="S4146" i="1"/>
  <c r="R4146" i="1"/>
  <c r="Q4146" i="1"/>
  <c r="P4146" i="1"/>
  <c r="U4145" i="1"/>
  <c r="T4145" i="1"/>
  <c r="S4145" i="1"/>
  <c r="R4145" i="1"/>
  <c r="Q4145" i="1"/>
  <c r="P4145" i="1"/>
  <c r="U4144" i="1"/>
  <c r="T4144" i="1"/>
  <c r="S4144" i="1"/>
  <c r="R4144" i="1"/>
  <c r="Q4144" i="1"/>
  <c r="P4144" i="1"/>
  <c r="U4143" i="1"/>
  <c r="T4143" i="1"/>
  <c r="S4143" i="1"/>
  <c r="R4143" i="1"/>
  <c r="Q4143" i="1"/>
  <c r="P4143" i="1"/>
  <c r="U4142" i="1"/>
  <c r="T4142" i="1"/>
  <c r="S4142" i="1"/>
  <c r="R4142" i="1"/>
  <c r="Q4142" i="1"/>
  <c r="P4142" i="1"/>
  <c r="U4141" i="1"/>
  <c r="T4141" i="1"/>
  <c r="S4141" i="1"/>
  <c r="R4141" i="1"/>
  <c r="Q4141" i="1"/>
  <c r="P4141" i="1"/>
  <c r="U4140" i="1"/>
  <c r="T4140" i="1"/>
  <c r="S4140" i="1"/>
  <c r="R4140" i="1"/>
  <c r="Q4140" i="1"/>
  <c r="P4140" i="1"/>
  <c r="U4139" i="1"/>
  <c r="T4139" i="1"/>
  <c r="S4139" i="1"/>
  <c r="R4139" i="1"/>
  <c r="Q4139" i="1"/>
  <c r="P4139" i="1"/>
  <c r="U4138" i="1"/>
  <c r="T4138" i="1"/>
  <c r="S4138" i="1"/>
  <c r="R4138" i="1"/>
  <c r="Q4138" i="1"/>
  <c r="P4138" i="1"/>
  <c r="U4137" i="1"/>
  <c r="T4137" i="1"/>
  <c r="S4137" i="1"/>
  <c r="R4137" i="1"/>
  <c r="Q4137" i="1"/>
  <c r="P4137" i="1"/>
  <c r="U4136" i="1"/>
  <c r="T4136" i="1"/>
  <c r="S4136" i="1"/>
  <c r="R4136" i="1"/>
  <c r="Q4136" i="1"/>
  <c r="P4136" i="1"/>
  <c r="U4135" i="1"/>
  <c r="T4135" i="1"/>
  <c r="S4135" i="1"/>
  <c r="R4135" i="1"/>
  <c r="Q4135" i="1"/>
  <c r="P4135" i="1"/>
  <c r="U4134" i="1"/>
  <c r="T4134" i="1"/>
  <c r="S4134" i="1"/>
  <c r="R4134" i="1"/>
  <c r="Q4134" i="1"/>
  <c r="P4134" i="1"/>
  <c r="U4133" i="1"/>
  <c r="T4133" i="1"/>
  <c r="S4133" i="1"/>
  <c r="R4133" i="1"/>
  <c r="Q4133" i="1"/>
  <c r="P4133" i="1"/>
  <c r="U4132" i="1"/>
  <c r="T4132" i="1"/>
  <c r="S4132" i="1"/>
  <c r="R4132" i="1"/>
  <c r="Q4132" i="1"/>
  <c r="P4132" i="1"/>
  <c r="U4131" i="1"/>
  <c r="T4131" i="1"/>
  <c r="S4131" i="1"/>
  <c r="R4131" i="1"/>
  <c r="Q4131" i="1"/>
  <c r="P4131" i="1"/>
  <c r="U4130" i="1"/>
  <c r="T4130" i="1"/>
  <c r="S4130" i="1"/>
  <c r="R4130" i="1"/>
  <c r="Q4130" i="1"/>
  <c r="P4130" i="1"/>
  <c r="U4129" i="1"/>
  <c r="T4129" i="1"/>
  <c r="S4129" i="1"/>
  <c r="R4129" i="1"/>
  <c r="Q4129" i="1"/>
  <c r="P4129" i="1"/>
  <c r="U4128" i="1"/>
  <c r="T4128" i="1"/>
  <c r="S4128" i="1"/>
  <c r="R4128" i="1"/>
  <c r="Q4128" i="1"/>
  <c r="P4128" i="1"/>
  <c r="U4127" i="1"/>
  <c r="T4127" i="1"/>
  <c r="S4127" i="1"/>
  <c r="R4127" i="1"/>
  <c r="Q4127" i="1"/>
  <c r="P4127" i="1"/>
  <c r="U4126" i="1"/>
  <c r="T4126" i="1"/>
  <c r="S4126" i="1"/>
  <c r="R4126" i="1"/>
  <c r="Q4126" i="1"/>
  <c r="P4126" i="1"/>
  <c r="U4125" i="1"/>
  <c r="T4125" i="1"/>
  <c r="S4125" i="1"/>
  <c r="R4125" i="1"/>
  <c r="Q4125" i="1"/>
  <c r="P4125" i="1"/>
  <c r="U4124" i="1"/>
  <c r="T4124" i="1"/>
  <c r="S4124" i="1"/>
  <c r="R4124" i="1"/>
  <c r="Q4124" i="1"/>
  <c r="P4124" i="1"/>
  <c r="U4123" i="1"/>
  <c r="T4123" i="1"/>
  <c r="S4123" i="1"/>
  <c r="R4123" i="1"/>
  <c r="Q4123" i="1"/>
  <c r="P4123" i="1"/>
  <c r="U4122" i="1"/>
  <c r="T4122" i="1"/>
  <c r="S4122" i="1"/>
  <c r="R4122" i="1"/>
  <c r="Q4122" i="1"/>
  <c r="P4122" i="1"/>
  <c r="U4121" i="1"/>
  <c r="T4121" i="1"/>
  <c r="S4121" i="1"/>
  <c r="R4121" i="1"/>
  <c r="Q4121" i="1"/>
  <c r="P4121" i="1"/>
  <c r="U4120" i="1"/>
  <c r="T4120" i="1"/>
  <c r="S4120" i="1"/>
  <c r="R4120" i="1"/>
  <c r="Q4120" i="1"/>
  <c r="P4120" i="1"/>
  <c r="U4119" i="1"/>
  <c r="T4119" i="1"/>
  <c r="S4119" i="1"/>
  <c r="R4119" i="1"/>
  <c r="Q4119" i="1"/>
  <c r="P4119" i="1"/>
  <c r="U4118" i="1"/>
  <c r="T4118" i="1"/>
  <c r="S4118" i="1"/>
  <c r="R4118" i="1"/>
  <c r="Q4118" i="1"/>
  <c r="P4118" i="1"/>
  <c r="U4117" i="1"/>
  <c r="T4117" i="1"/>
  <c r="S4117" i="1"/>
  <c r="R4117" i="1"/>
  <c r="Q4117" i="1"/>
  <c r="P4117" i="1"/>
  <c r="U4116" i="1"/>
  <c r="T4116" i="1"/>
  <c r="S4116" i="1"/>
  <c r="R4116" i="1"/>
  <c r="Q4116" i="1"/>
  <c r="P4116" i="1"/>
  <c r="U4115" i="1"/>
  <c r="T4115" i="1"/>
  <c r="S4115" i="1"/>
  <c r="R4115" i="1"/>
  <c r="Q4115" i="1"/>
  <c r="P4115" i="1"/>
  <c r="U4114" i="1"/>
  <c r="T4114" i="1"/>
  <c r="S4114" i="1"/>
  <c r="R4114" i="1"/>
  <c r="Q4114" i="1"/>
  <c r="P4114" i="1"/>
  <c r="U4113" i="1"/>
  <c r="T4113" i="1"/>
  <c r="S4113" i="1"/>
  <c r="R4113" i="1"/>
  <c r="Q4113" i="1"/>
  <c r="P4113" i="1"/>
  <c r="U4112" i="1"/>
  <c r="T4112" i="1"/>
  <c r="S4112" i="1"/>
  <c r="R4112" i="1"/>
  <c r="Q4112" i="1"/>
  <c r="P4112" i="1"/>
  <c r="U4111" i="1"/>
  <c r="T4111" i="1"/>
  <c r="S4111" i="1"/>
  <c r="R4111" i="1"/>
  <c r="Q4111" i="1"/>
  <c r="P4111" i="1"/>
  <c r="U4110" i="1"/>
  <c r="T4110" i="1"/>
  <c r="S4110" i="1"/>
  <c r="R4110" i="1"/>
  <c r="Q4110" i="1"/>
  <c r="P4110" i="1"/>
  <c r="U4109" i="1"/>
  <c r="T4109" i="1"/>
  <c r="S4109" i="1"/>
  <c r="R4109" i="1"/>
  <c r="Q4109" i="1"/>
  <c r="P4109" i="1"/>
  <c r="U4108" i="1"/>
  <c r="T4108" i="1"/>
  <c r="S4108" i="1"/>
  <c r="R4108" i="1"/>
  <c r="Q4108" i="1"/>
  <c r="P4108" i="1"/>
  <c r="U4107" i="1"/>
  <c r="T4107" i="1"/>
  <c r="S4107" i="1"/>
  <c r="R4107" i="1"/>
  <c r="Q4107" i="1"/>
  <c r="P4107" i="1"/>
  <c r="U4106" i="1"/>
  <c r="T4106" i="1"/>
  <c r="S4106" i="1"/>
  <c r="R4106" i="1"/>
  <c r="Q4106" i="1"/>
  <c r="P4106" i="1"/>
  <c r="U4105" i="1"/>
  <c r="T4105" i="1"/>
  <c r="S4105" i="1"/>
  <c r="R4105" i="1"/>
  <c r="Q4105" i="1"/>
  <c r="P4105" i="1"/>
  <c r="U4104" i="1"/>
  <c r="T4104" i="1"/>
  <c r="S4104" i="1"/>
  <c r="R4104" i="1"/>
  <c r="Q4104" i="1"/>
  <c r="P4104" i="1"/>
  <c r="U4103" i="1"/>
  <c r="T4103" i="1"/>
  <c r="S4103" i="1"/>
  <c r="R4103" i="1"/>
  <c r="Q4103" i="1"/>
  <c r="P4103" i="1"/>
  <c r="U4102" i="1"/>
  <c r="T4102" i="1"/>
  <c r="S4102" i="1"/>
  <c r="R4102" i="1"/>
  <c r="Q4102" i="1"/>
  <c r="P4102" i="1"/>
  <c r="U4101" i="1"/>
  <c r="T4101" i="1"/>
  <c r="S4101" i="1"/>
  <c r="R4101" i="1"/>
  <c r="Q4101" i="1"/>
  <c r="P4101" i="1"/>
  <c r="U4100" i="1"/>
  <c r="T4100" i="1"/>
  <c r="S4100" i="1"/>
  <c r="R4100" i="1"/>
  <c r="Q4100" i="1"/>
  <c r="P4100" i="1"/>
  <c r="U4099" i="1"/>
  <c r="T4099" i="1"/>
  <c r="S4099" i="1"/>
  <c r="R4099" i="1"/>
  <c r="Q4099" i="1"/>
  <c r="P4099" i="1"/>
  <c r="U4098" i="1"/>
  <c r="T4098" i="1"/>
  <c r="S4098" i="1"/>
  <c r="R4098" i="1"/>
  <c r="Q4098" i="1"/>
  <c r="P4098" i="1"/>
  <c r="U4097" i="1"/>
  <c r="T4097" i="1"/>
  <c r="S4097" i="1"/>
  <c r="R4097" i="1"/>
  <c r="Q4097" i="1"/>
  <c r="P4097" i="1"/>
  <c r="U4096" i="1"/>
  <c r="T4096" i="1"/>
  <c r="S4096" i="1"/>
  <c r="R4096" i="1"/>
  <c r="Q4096" i="1"/>
  <c r="P4096" i="1"/>
  <c r="U4095" i="1"/>
  <c r="T4095" i="1"/>
  <c r="S4095" i="1"/>
  <c r="R4095" i="1"/>
  <c r="Q4095" i="1"/>
  <c r="P4095" i="1"/>
  <c r="U4094" i="1"/>
  <c r="T4094" i="1"/>
  <c r="S4094" i="1"/>
  <c r="R4094" i="1"/>
  <c r="Q4094" i="1"/>
  <c r="P4094" i="1"/>
  <c r="U4093" i="1"/>
  <c r="T4093" i="1"/>
  <c r="S4093" i="1"/>
  <c r="R4093" i="1"/>
  <c r="Q4093" i="1"/>
  <c r="P4093" i="1"/>
  <c r="U4092" i="1"/>
  <c r="T4092" i="1"/>
  <c r="S4092" i="1"/>
  <c r="R4092" i="1"/>
  <c r="Q4092" i="1"/>
  <c r="P4092" i="1"/>
  <c r="U4091" i="1"/>
  <c r="T4091" i="1"/>
  <c r="S4091" i="1"/>
  <c r="R4091" i="1"/>
  <c r="Q4091" i="1"/>
  <c r="P4091" i="1"/>
  <c r="U4090" i="1"/>
  <c r="T4090" i="1"/>
  <c r="S4090" i="1"/>
  <c r="R4090" i="1"/>
  <c r="Q4090" i="1"/>
  <c r="P4090" i="1"/>
  <c r="U4089" i="1"/>
  <c r="T4089" i="1"/>
  <c r="S4089" i="1"/>
  <c r="R4089" i="1"/>
  <c r="Q4089" i="1"/>
  <c r="P4089" i="1"/>
  <c r="U4088" i="1"/>
  <c r="T4088" i="1"/>
  <c r="S4088" i="1"/>
  <c r="R4088" i="1"/>
  <c r="Q4088" i="1"/>
  <c r="P4088" i="1"/>
  <c r="U4087" i="1"/>
  <c r="T4087" i="1"/>
  <c r="S4087" i="1"/>
  <c r="R4087" i="1"/>
  <c r="Q4087" i="1"/>
  <c r="P4087" i="1"/>
  <c r="U4086" i="1"/>
  <c r="T4086" i="1"/>
  <c r="S4086" i="1"/>
  <c r="R4086" i="1"/>
  <c r="Q4086" i="1"/>
  <c r="P4086" i="1"/>
  <c r="U4085" i="1"/>
  <c r="T4085" i="1"/>
  <c r="S4085" i="1"/>
  <c r="R4085" i="1"/>
  <c r="Q4085" i="1"/>
  <c r="P4085" i="1"/>
  <c r="U4084" i="1"/>
  <c r="T4084" i="1"/>
  <c r="S4084" i="1"/>
  <c r="R4084" i="1"/>
  <c r="Q4084" i="1"/>
  <c r="P4084" i="1"/>
  <c r="U4083" i="1"/>
  <c r="T4083" i="1"/>
  <c r="S4083" i="1"/>
  <c r="R4083" i="1"/>
  <c r="Q4083" i="1"/>
  <c r="P4083" i="1"/>
  <c r="U4082" i="1"/>
  <c r="T4082" i="1"/>
  <c r="S4082" i="1"/>
  <c r="R4082" i="1"/>
  <c r="Q4082" i="1"/>
  <c r="P4082" i="1"/>
  <c r="U4081" i="1"/>
  <c r="T4081" i="1"/>
  <c r="S4081" i="1"/>
  <c r="R4081" i="1"/>
  <c r="Q4081" i="1"/>
  <c r="P4081" i="1"/>
  <c r="U4080" i="1"/>
  <c r="T4080" i="1"/>
  <c r="S4080" i="1"/>
  <c r="R4080" i="1"/>
  <c r="Q4080" i="1"/>
  <c r="P4080" i="1"/>
  <c r="U4079" i="1"/>
  <c r="T4079" i="1"/>
  <c r="S4079" i="1"/>
  <c r="R4079" i="1"/>
  <c r="Q4079" i="1"/>
  <c r="P4079" i="1"/>
  <c r="U4078" i="1"/>
  <c r="T4078" i="1"/>
  <c r="S4078" i="1"/>
  <c r="R4078" i="1"/>
  <c r="Q4078" i="1"/>
  <c r="P4078" i="1"/>
  <c r="U4077" i="1"/>
  <c r="T4077" i="1"/>
  <c r="S4077" i="1"/>
  <c r="R4077" i="1"/>
  <c r="Q4077" i="1"/>
  <c r="P4077" i="1"/>
  <c r="U4076" i="1"/>
  <c r="T4076" i="1"/>
  <c r="S4076" i="1"/>
  <c r="R4076" i="1"/>
  <c r="Q4076" i="1"/>
  <c r="P4076" i="1"/>
  <c r="U4075" i="1"/>
  <c r="T4075" i="1"/>
  <c r="S4075" i="1"/>
  <c r="R4075" i="1"/>
  <c r="Q4075" i="1"/>
  <c r="P4075" i="1"/>
  <c r="U4074" i="1"/>
  <c r="T4074" i="1"/>
  <c r="S4074" i="1"/>
  <c r="R4074" i="1"/>
  <c r="Q4074" i="1"/>
  <c r="P4074" i="1"/>
  <c r="U4073" i="1"/>
  <c r="T4073" i="1"/>
  <c r="S4073" i="1"/>
  <c r="R4073" i="1"/>
  <c r="Q4073" i="1"/>
  <c r="P4073" i="1"/>
  <c r="U4072" i="1"/>
  <c r="T4072" i="1"/>
  <c r="S4072" i="1"/>
  <c r="R4072" i="1"/>
  <c r="Q4072" i="1"/>
  <c r="P4072" i="1"/>
  <c r="U4071" i="1"/>
  <c r="T4071" i="1"/>
  <c r="S4071" i="1"/>
  <c r="R4071" i="1"/>
  <c r="Q4071" i="1"/>
  <c r="P4071" i="1"/>
  <c r="U4070" i="1"/>
  <c r="T4070" i="1"/>
  <c r="S4070" i="1"/>
  <c r="R4070" i="1"/>
  <c r="Q4070" i="1"/>
  <c r="P4070" i="1"/>
  <c r="U4069" i="1"/>
  <c r="T4069" i="1"/>
  <c r="S4069" i="1"/>
  <c r="R4069" i="1"/>
  <c r="Q4069" i="1"/>
  <c r="P4069" i="1"/>
  <c r="U4068" i="1"/>
  <c r="T4068" i="1"/>
  <c r="S4068" i="1"/>
  <c r="R4068" i="1"/>
  <c r="Q4068" i="1"/>
  <c r="P4068" i="1"/>
  <c r="U4067" i="1"/>
  <c r="T4067" i="1"/>
  <c r="S4067" i="1"/>
  <c r="R4067" i="1"/>
  <c r="Q4067" i="1"/>
  <c r="P4067" i="1"/>
  <c r="U4066" i="1"/>
  <c r="T4066" i="1"/>
  <c r="S4066" i="1"/>
  <c r="R4066" i="1"/>
  <c r="Q4066" i="1"/>
  <c r="P4066" i="1"/>
  <c r="U4065" i="1"/>
  <c r="T4065" i="1"/>
  <c r="S4065" i="1"/>
  <c r="R4065" i="1"/>
  <c r="Q4065" i="1"/>
  <c r="P4065" i="1"/>
  <c r="U4064" i="1"/>
  <c r="T4064" i="1"/>
  <c r="S4064" i="1"/>
  <c r="R4064" i="1"/>
  <c r="Q4064" i="1"/>
  <c r="P4064" i="1"/>
  <c r="U4063" i="1"/>
  <c r="T4063" i="1"/>
  <c r="S4063" i="1"/>
  <c r="R4063" i="1"/>
  <c r="Q4063" i="1"/>
  <c r="P4063" i="1"/>
  <c r="U4062" i="1"/>
  <c r="T4062" i="1"/>
  <c r="S4062" i="1"/>
  <c r="R4062" i="1"/>
  <c r="Q4062" i="1"/>
  <c r="P4062" i="1"/>
  <c r="U4061" i="1"/>
  <c r="T4061" i="1"/>
  <c r="S4061" i="1"/>
  <c r="R4061" i="1"/>
  <c r="Q4061" i="1"/>
  <c r="P4061" i="1"/>
  <c r="U4060" i="1"/>
  <c r="T4060" i="1"/>
  <c r="S4060" i="1"/>
  <c r="R4060" i="1"/>
  <c r="Q4060" i="1"/>
  <c r="P4060" i="1"/>
  <c r="U4059" i="1"/>
  <c r="T4059" i="1"/>
  <c r="S4059" i="1"/>
  <c r="R4059" i="1"/>
  <c r="Q4059" i="1"/>
  <c r="P4059" i="1"/>
  <c r="U4058" i="1"/>
  <c r="T4058" i="1"/>
  <c r="S4058" i="1"/>
  <c r="R4058" i="1"/>
  <c r="Q4058" i="1"/>
  <c r="P4058" i="1"/>
  <c r="U4057" i="1"/>
  <c r="T4057" i="1"/>
  <c r="S4057" i="1"/>
  <c r="R4057" i="1"/>
  <c r="Q4057" i="1"/>
  <c r="P4057" i="1"/>
  <c r="U4056" i="1"/>
  <c r="T4056" i="1"/>
  <c r="S4056" i="1"/>
  <c r="R4056" i="1"/>
  <c r="Q4056" i="1"/>
  <c r="P4056" i="1"/>
  <c r="U4055" i="1"/>
  <c r="T4055" i="1"/>
  <c r="S4055" i="1"/>
  <c r="R4055" i="1"/>
  <c r="Q4055" i="1"/>
  <c r="P4055" i="1"/>
  <c r="U4054" i="1"/>
  <c r="T4054" i="1"/>
  <c r="S4054" i="1"/>
  <c r="R4054" i="1"/>
  <c r="Q4054" i="1"/>
  <c r="P4054" i="1"/>
  <c r="U4053" i="1"/>
  <c r="T4053" i="1"/>
  <c r="S4053" i="1"/>
  <c r="R4053" i="1"/>
  <c r="Q4053" i="1"/>
  <c r="P4053" i="1"/>
  <c r="U4052" i="1"/>
  <c r="T4052" i="1"/>
  <c r="S4052" i="1"/>
  <c r="R4052" i="1"/>
  <c r="Q4052" i="1"/>
  <c r="P4052" i="1"/>
  <c r="U4051" i="1"/>
  <c r="T4051" i="1"/>
  <c r="S4051" i="1"/>
  <c r="R4051" i="1"/>
  <c r="Q4051" i="1"/>
  <c r="P4051" i="1"/>
  <c r="U4050" i="1"/>
  <c r="T4050" i="1"/>
  <c r="S4050" i="1"/>
  <c r="R4050" i="1"/>
  <c r="Q4050" i="1"/>
  <c r="P4050" i="1"/>
  <c r="U4049" i="1"/>
  <c r="T4049" i="1"/>
  <c r="S4049" i="1"/>
  <c r="R4049" i="1"/>
  <c r="Q4049" i="1"/>
  <c r="P4049" i="1"/>
  <c r="U4048" i="1"/>
  <c r="T4048" i="1"/>
  <c r="S4048" i="1"/>
  <c r="R4048" i="1"/>
  <c r="Q4048" i="1"/>
  <c r="P4048" i="1"/>
  <c r="U4047" i="1"/>
  <c r="T4047" i="1"/>
  <c r="S4047" i="1"/>
  <c r="R4047" i="1"/>
  <c r="Q4047" i="1"/>
  <c r="P4047" i="1"/>
  <c r="U4046" i="1"/>
  <c r="T4046" i="1"/>
  <c r="S4046" i="1"/>
  <c r="R4046" i="1"/>
  <c r="Q4046" i="1"/>
  <c r="P4046" i="1"/>
  <c r="U4045" i="1"/>
  <c r="T4045" i="1"/>
  <c r="S4045" i="1"/>
  <c r="R4045" i="1"/>
  <c r="Q4045" i="1"/>
  <c r="P4045" i="1"/>
  <c r="U4044" i="1"/>
  <c r="T4044" i="1"/>
  <c r="S4044" i="1"/>
  <c r="R4044" i="1"/>
  <c r="Q4044" i="1"/>
  <c r="P4044" i="1"/>
  <c r="U4043" i="1"/>
  <c r="T4043" i="1"/>
  <c r="S4043" i="1"/>
  <c r="R4043" i="1"/>
  <c r="Q4043" i="1"/>
  <c r="P4043" i="1"/>
  <c r="U4042" i="1"/>
  <c r="T4042" i="1"/>
  <c r="S4042" i="1"/>
  <c r="R4042" i="1"/>
  <c r="Q4042" i="1"/>
  <c r="P4042" i="1"/>
  <c r="U4041" i="1"/>
  <c r="T4041" i="1"/>
  <c r="S4041" i="1"/>
  <c r="R4041" i="1"/>
  <c r="Q4041" i="1"/>
  <c r="P4041" i="1"/>
  <c r="U4040" i="1"/>
  <c r="T4040" i="1"/>
  <c r="S4040" i="1"/>
  <c r="R4040" i="1"/>
  <c r="Q4040" i="1"/>
  <c r="P4040" i="1"/>
  <c r="U4039" i="1"/>
  <c r="T4039" i="1"/>
  <c r="S4039" i="1"/>
  <c r="R4039" i="1"/>
  <c r="Q4039" i="1"/>
  <c r="P4039" i="1"/>
  <c r="U4038" i="1"/>
  <c r="T4038" i="1"/>
  <c r="S4038" i="1"/>
  <c r="R4038" i="1"/>
  <c r="Q4038" i="1"/>
  <c r="P4038" i="1"/>
  <c r="U4037" i="1"/>
  <c r="T4037" i="1"/>
  <c r="S4037" i="1"/>
  <c r="R4037" i="1"/>
  <c r="Q4037" i="1"/>
  <c r="P4037" i="1"/>
  <c r="U4036" i="1"/>
  <c r="T4036" i="1"/>
  <c r="S4036" i="1"/>
  <c r="R4036" i="1"/>
  <c r="Q4036" i="1"/>
  <c r="P4036" i="1"/>
  <c r="U4035" i="1"/>
  <c r="T4035" i="1"/>
  <c r="S4035" i="1"/>
  <c r="R4035" i="1"/>
  <c r="Q4035" i="1"/>
  <c r="P4035" i="1"/>
  <c r="U4034" i="1"/>
  <c r="T4034" i="1"/>
  <c r="S4034" i="1"/>
  <c r="R4034" i="1"/>
  <c r="Q4034" i="1"/>
  <c r="P4034" i="1"/>
  <c r="U4033" i="1"/>
  <c r="T4033" i="1"/>
  <c r="S4033" i="1"/>
  <c r="R4033" i="1"/>
  <c r="Q4033" i="1"/>
  <c r="P4033" i="1"/>
  <c r="U4032" i="1"/>
  <c r="T4032" i="1"/>
  <c r="S4032" i="1"/>
  <c r="R4032" i="1"/>
  <c r="Q4032" i="1"/>
  <c r="P4032" i="1"/>
  <c r="U4031" i="1"/>
  <c r="T4031" i="1"/>
  <c r="S4031" i="1"/>
  <c r="R4031" i="1"/>
  <c r="Q4031" i="1"/>
  <c r="P4031" i="1"/>
  <c r="U4030" i="1"/>
  <c r="T4030" i="1"/>
  <c r="S4030" i="1"/>
  <c r="R4030" i="1"/>
  <c r="Q4030" i="1"/>
  <c r="P4030" i="1"/>
  <c r="U4029" i="1"/>
  <c r="T4029" i="1"/>
  <c r="S4029" i="1"/>
  <c r="R4029" i="1"/>
  <c r="Q4029" i="1"/>
  <c r="P4029" i="1"/>
  <c r="U4028" i="1"/>
  <c r="T4028" i="1"/>
  <c r="S4028" i="1"/>
  <c r="R4028" i="1"/>
  <c r="Q4028" i="1"/>
  <c r="P4028" i="1"/>
  <c r="U4027" i="1"/>
  <c r="T4027" i="1"/>
  <c r="S4027" i="1"/>
  <c r="R4027" i="1"/>
  <c r="Q4027" i="1"/>
  <c r="P4027" i="1"/>
  <c r="U4026" i="1"/>
  <c r="T4026" i="1"/>
  <c r="S4026" i="1"/>
  <c r="R4026" i="1"/>
  <c r="Q4026" i="1"/>
  <c r="P4026" i="1"/>
  <c r="U4025" i="1"/>
  <c r="T4025" i="1"/>
  <c r="S4025" i="1"/>
  <c r="R4025" i="1"/>
  <c r="Q4025" i="1"/>
  <c r="P4025" i="1"/>
  <c r="U4024" i="1"/>
  <c r="T4024" i="1"/>
  <c r="S4024" i="1"/>
  <c r="R4024" i="1"/>
  <c r="Q4024" i="1"/>
  <c r="P4024" i="1"/>
  <c r="U4023" i="1"/>
  <c r="T4023" i="1"/>
  <c r="S4023" i="1"/>
  <c r="R4023" i="1"/>
  <c r="Q4023" i="1"/>
  <c r="P4023" i="1"/>
  <c r="U4022" i="1"/>
  <c r="T4022" i="1"/>
  <c r="S4022" i="1"/>
  <c r="R4022" i="1"/>
  <c r="Q4022" i="1"/>
  <c r="P4022" i="1"/>
  <c r="U4021" i="1"/>
  <c r="T4021" i="1"/>
  <c r="S4021" i="1"/>
  <c r="R4021" i="1"/>
  <c r="Q4021" i="1"/>
  <c r="P4021" i="1"/>
  <c r="U4020" i="1"/>
  <c r="T4020" i="1"/>
  <c r="S4020" i="1"/>
  <c r="R4020" i="1"/>
  <c r="Q4020" i="1"/>
  <c r="P4020" i="1"/>
  <c r="U4019" i="1"/>
  <c r="T4019" i="1"/>
  <c r="S4019" i="1"/>
  <c r="R4019" i="1"/>
  <c r="Q4019" i="1"/>
  <c r="P4019" i="1"/>
  <c r="U4018" i="1"/>
  <c r="T4018" i="1"/>
  <c r="S4018" i="1"/>
  <c r="R4018" i="1"/>
  <c r="Q4018" i="1"/>
  <c r="P4018" i="1"/>
  <c r="U4017" i="1"/>
  <c r="T4017" i="1"/>
  <c r="S4017" i="1"/>
  <c r="R4017" i="1"/>
  <c r="Q4017" i="1"/>
  <c r="P4017" i="1"/>
  <c r="U4016" i="1"/>
  <c r="T4016" i="1"/>
  <c r="S4016" i="1"/>
  <c r="R4016" i="1"/>
  <c r="Q4016" i="1"/>
  <c r="P4016" i="1"/>
  <c r="U4015" i="1"/>
  <c r="T4015" i="1"/>
  <c r="S4015" i="1"/>
  <c r="R4015" i="1"/>
  <c r="Q4015" i="1"/>
  <c r="P4015" i="1"/>
  <c r="U4014" i="1"/>
  <c r="T4014" i="1"/>
  <c r="S4014" i="1"/>
  <c r="R4014" i="1"/>
  <c r="Q4014" i="1"/>
  <c r="P4014" i="1"/>
  <c r="U4013" i="1"/>
  <c r="T4013" i="1"/>
  <c r="S4013" i="1"/>
  <c r="R4013" i="1"/>
  <c r="Q4013" i="1"/>
  <c r="P4013" i="1"/>
  <c r="U4012" i="1"/>
  <c r="T4012" i="1"/>
  <c r="S4012" i="1"/>
  <c r="R4012" i="1"/>
  <c r="Q4012" i="1"/>
  <c r="P4012" i="1"/>
  <c r="U4011" i="1"/>
  <c r="T4011" i="1"/>
  <c r="S4011" i="1"/>
  <c r="R4011" i="1"/>
  <c r="Q4011" i="1"/>
  <c r="P4011" i="1"/>
  <c r="U4010" i="1"/>
  <c r="T4010" i="1"/>
  <c r="S4010" i="1"/>
  <c r="R4010" i="1"/>
  <c r="Q4010" i="1"/>
  <c r="P4010" i="1"/>
  <c r="U4009" i="1"/>
  <c r="T4009" i="1"/>
  <c r="S4009" i="1"/>
  <c r="R4009" i="1"/>
  <c r="Q4009" i="1"/>
  <c r="P4009" i="1"/>
  <c r="U4008" i="1"/>
  <c r="T4008" i="1"/>
  <c r="S4008" i="1"/>
  <c r="R4008" i="1"/>
  <c r="Q4008" i="1"/>
  <c r="P4008" i="1"/>
  <c r="U4007" i="1"/>
  <c r="T4007" i="1"/>
  <c r="S4007" i="1"/>
  <c r="R4007" i="1"/>
  <c r="Q4007" i="1"/>
  <c r="P4007" i="1"/>
  <c r="U4006" i="1"/>
  <c r="T4006" i="1"/>
  <c r="S4006" i="1"/>
  <c r="R4006" i="1"/>
  <c r="Q4006" i="1"/>
  <c r="P4006" i="1"/>
  <c r="U4005" i="1"/>
  <c r="T4005" i="1"/>
  <c r="S4005" i="1"/>
  <c r="R4005" i="1"/>
  <c r="Q4005" i="1"/>
  <c r="P4005" i="1"/>
  <c r="U4004" i="1"/>
  <c r="T4004" i="1"/>
  <c r="S4004" i="1"/>
  <c r="R4004" i="1"/>
  <c r="Q4004" i="1"/>
  <c r="P4004" i="1"/>
  <c r="U4003" i="1"/>
  <c r="T4003" i="1"/>
  <c r="S4003" i="1"/>
  <c r="R4003" i="1"/>
  <c r="Q4003" i="1"/>
  <c r="P4003" i="1"/>
  <c r="U4002" i="1"/>
  <c r="T4002" i="1"/>
  <c r="S4002" i="1"/>
  <c r="R4002" i="1"/>
  <c r="Q4002" i="1"/>
  <c r="P4002" i="1"/>
  <c r="U4001" i="1"/>
  <c r="T4001" i="1"/>
  <c r="S4001" i="1"/>
  <c r="R4001" i="1"/>
  <c r="Q4001" i="1"/>
  <c r="P4001" i="1"/>
  <c r="U4000" i="1"/>
  <c r="T4000" i="1"/>
  <c r="S4000" i="1"/>
  <c r="R4000" i="1"/>
  <c r="Q4000" i="1"/>
  <c r="P4000" i="1"/>
  <c r="U3999" i="1"/>
  <c r="T3999" i="1"/>
  <c r="S3999" i="1"/>
  <c r="R3999" i="1"/>
  <c r="Q3999" i="1"/>
  <c r="P3999" i="1"/>
  <c r="U3998" i="1"/>
  <c r="T3998" i="1"/>
  <c r="S3998" i="1"/>
  <c r="R3998" i="1"/>
  <c r="Q3998" i="1"/>
  <c r="P3998" i="1"/>
  <c r="U3997" i="1"/>
  <c r="T3997" i="1"/>
  <c r="S3997" i="1"/>
  <c r="R3997" i="1"/>
  <c r="Q3997" i="1"/>
  <c r="P3997" i="1"/>
  <c r="U3996" i="1"/>
  <c r="T3996" i="1"/>
  <c r="S3996" i="1"/>
  <c r="R3996" i="1"/>
  <c r="Q3996" i="1"/>
  <c r="P3996" i="1"/>
  <c r="U3995" i="1"/>
  <c r="T3995" i="1"/>
  <c r="S3995" i="1"/>
  <c r="R3995" i="1"/>
  <c r="Q3995" i="1"/>
  <c r="P3995" i="1"/>
  <c r="U3994" i="1"/>
  <c r="T3994" i="1"/>
  <c r="S3994" i="1"/>
  <c r="R3994" i="1"/>
  <c r="Q3994" i="1"/>
  <c r="P3994" i="1"/>
  <c r="U3993" i="1"/>
  <c r="T3993" i="1"/>
  <c r="S3993" i="1"/>
  <c r="R3993" i="1"/>
  <c r="Q3993" i="1"/>
  <c r="P3993" i="1"/>
  <c r="U3992" i="1"/>
  <c r="T3992" i="1"/>
  <c r="S3992" i="1"/>
  <c r="R3992" i="1"/>
  <c r="Q3992" i="1"/>
  <c r="P3992" i="1"/>
  <c r="U3991" i="1"/>
  <c r="T3991" i="1"/>
  <c r="S3991" i="1"/>
  <c r="R3991" i="1"/>
  <c r="Q3991" i="1"/>
  <c r="P3991" i="1"/>
  <c r="U3990" i="1"/>
  <c r="T3990" i="1"/>
  <c r="S3990" i="1"/>
  <c r="R3990" i="1"/>
  <c r="Q3990" i="1"/>
  <c r="P3990" i="1"/>
  <c r="U3989" i="1"/>
  <c r="T3989" i="1"/>
  <c r="S3989" i="1"/>
  <c r="R3989" i="1"/>
  <c r="Q3989" i="1"/>
  <c r="P3989" i="1"/>
  <c r="U3988" i="1"/>
  <c r="T3988" i="1"/>
  <c r="S3988" i="1"/>
  <c r="R3988" i="1"/>
  <c r="Q3988" i="1"/>
  <c r="P3988" i="1"/>
  <c r="U3987" i="1"/>
  <c r="T3987" i="1"/>
  <c r="S3987" i="1"/>
  <c r="R3987" i="1"/>
  <c r="Q3987" i="1"/>
  <c r="P3987" i="1"/>
  <c r="U3986" i="1"/>
  <c r="T3986" i="1"/>
  <c r="S3986" i="1"/>
  <c r="R3986" i="1"/>
  <c r="Q3986" i="1"/>
  <c r="P3986" i="1"/>
  <c r="U3985" i="1"/>
  <c r="T3985" i="1"/>
  <c r="S3985" i="1"/>
  <c r="R3985" i="1"/>
  <c r="Q3985" i="1"/>
  <c r="P3985" i="1"/>
  <c r="U3984" i="1"/>
  <c r="T3984" i="1"/>
  <c r="S3984" i="1"/>
  <c r="R3984" i="1"/>
  <c r="Q3984" i="1"/>
  <c r="P3984" i="1"/>
  <c r="U3983" i="1"/>
  <c r="T3983" i="1"/>
  <c r="S3983" i="1"/>
  <c r="R3983" i="1"/>
  <c r="Q3983" i="1"/>
  <c r="P3983" i="1"/>
  <c r="U3982" i="1"/>
  <c r="T3982" i="1"/>
  <c r="S3982" i="1"/>
  <c r="R3982" i="1"/>
  <c r="Q3982" i="1"/>
  <c r="P3982" i="1"/>
  <c r="U3981" i="1"/>
  <c r="T3981" i="1"/>
  <c r="S3981" i="1"/>
  <c r="R3981" i="1"/>
  <c r="Q3981" i="1"/>
  <c r="P3981" i="1"/>
  <c r="U3980" i="1"/>
  <c r="T3980" i="1"/>
  <c r="S3980" i="1"/>
  <c r="R3980" i="1"/>
  <c r="Q3980" i="1"/>
  <c r="P3980" i="1"/>
  <c r="U3979" i="1"/>
  <c r="T3979" i="1"/>
  <c r="S3979" i="1"/>
  <c r="R3979" i="1"/>
  <c r="Q3979" i="1"/>
  <c r="P3979" i="1"/>
  <c r="U3978" i="1"/>
  <c r="T3978" i="1"/>
  <c r="S3978" i="1"/>
  <c r="R3978" i="1"/>
  <c r="Q3978" i="1"/>
  <c r="P3978" i="1"/>
  <c r="U3977" i="1"/>
  <c r="T3977" i="1"/>
  <c r="S3977" i="1"/>
  <c r="R3977" i="1"/>
  <c r="Q3977" i="1"/>
  <c r="P3977" i="1"/>
  <c r="U3976" i="1"/>
  <c r="T3976" i="1"/>
  <c r="S3976" i="1"/>
  <c r="R3976" i="1"/>
  <c r="Q3976" i="1"/>
  <c r="P3976" i="1"/>
  <c r="U3975" i="1"/>
  <c r="T3975" i="1"/>
  <c r="S3975" i="1"/>
  <c r="R3975" i="1"/>
  <c r="Q3975" i="1"/>
  <c r="P3975" i="1"/>
  <c r="U3974" i="1"/>
  <c r="T3974" i="1"/>
  <c r="S3974" i="1"/>
  <c r="R3974" i="1"/>
  <c r="Q3974" i="1"/>
  <c r="P3974" i="1"/>
  <c r="U3973" i="1"/>
  <c r="T3973" i="1"/>
  <c r="S3973" i="1"/>
  <c r="R3973" i="1"/>
  <c r="Q3973" i="1"/>
  <c r="P3973" i="1"/>
  <c r="U3972" i="1"/>
  <c r="T3972" i="1"/>
  <c r="S3972" i="1"/>
  <c r="R3972" i="1"/>
  <c r="Q3972" i="1"/>
  <c r="P3972" i="1"/>
  <c r="U3971" i="1"/>
  <c r="T3971" i="1"/>
  <c r="S3971" i="1"/>
  <c r="R3971" i="1"/>
  <c r="Q3971" i="1"/>
  <c r="P3971" i="1"/>
  <c r="U3970" i="1"/>
  <c r="T3970" i="1"/>
  <c r="S3970" i="1"/>
  <c r="R3970" i="1"/>
  <c r="Q3970" i="1"/>
  <c r="P3970" i="1"/>
  <c r="U3969" i="1"/>
  <c r="T3969" i="1"/>
  <c r="S3969" i="1"/>
  <c r="R3969" i="1"/>
  <c r="Q3969" i="1"/>
  <c r="P3969" i="1"/>
  <c r="U3968" i="1"/>
  <c r="T3968" i="1"/>
  <c r="S3968" i="1"/>
  <c r="R3968" i="1"/>
  <c r="Q3968" i="1"/>
  <c r="P3968" i="1"/>
  <c r="U3967" i="1"/>
  <c r="T3967" i="1"/>
  <c r="S3967" i="1"/>
  <c r="R3967" i="1"/>
  <c r="Q3967" i="1"/>
  <c r="P3967" i="1"/>
  <c r="U3966" i="1"/>
  <c r="T3966" i="1"/>
  <c r="S3966" i="1"/>
  <c r="R3966" i="1"/>
  <c r="Q3966" i="1"/>
  <c r="P3966" i="1"/>
  <c r="U3965" i="1"/>
  <c r="T3965" i="1"/>
  <c r="S3965" i="1"/>
  <c r="R3965" i="1"/>
  <c r="Q3965" i="1"/>
  <c r="P3965" i="1"/>
  <c r="U3964" i="1"/>
  <c r="T3964" i="1"/>
  <c r="S3964" i="1"/>
  <c r="R3964" i="1"/>
  <c r="Q3964" i="1"/>
  <c r="P3964" i="1"/>
  <c r="U3963" i="1"/>
  <c r="T3963" i="1"/>
  <c r="S3963" i="1"/>
  <c r="R3963" i="1"/>
  <c r="Q3963" i="1"/>
  <c r="P3963" i="1"/>
  <c r="U3962" i="1"/>
  <c r="T3962" i="1"/>
  <c r="S3962" i="1"/>
  <c r="R3962" i="1"/>
  <c r="Q3962" i="1"/>
  <c r="P3962" i="1"/>
  <c r="U3961" i="1"/>
  <c r="T3961" i="1"/>
  <c r="S3961" i="1"/>
  <c r="R3961" i="1"/>
  <c r="Q3961" i="1"/>
  <c r="P3961" i="1"/>
  <c r="U3960" i="1"/>
  <c r="T3960" i="1"/>
  <c r="S3960" i="1"/>
  <c r="R3960" i="1"/>
  <c r="Q3960" i="1"/>
  <c r="P3960" i="1"/>
  <c r="U3959" i="1"/>
  <c r="T3959" i="1"/>
  <c r="S3959" i="1"/>
  <c r="R3959" i="1"/>
  <c r="Q3959" i="1"/>
  <c r="P3959" i="1"/>
  <c r="U3958" i="1"/>
  <c r="T3958" i="1"/>
  <c r="S3958" i="1"/>
  <c r="R3958" i="1"/>
  <c r="Q3958" i="1"/>
  <c r="P3958" i="1"/>
  <c r="U3957" i="1"/>
  <c r="T3957" i="1"/>
  <c r="S3957" i="1"/>
  <c r="R3957" i="1"/>
  <c r="Q3957" i="1"/>
  <c r="P3957" i="1"/>
  <c r="U3956" i="1"/>
  <c r="T3956" i="1"/>
  <c r="S3956" i="1"/>
  <c r="R3956" i="1"/>
  <c r="Q3956" i="1"/>
  <c r="P3956" i="1"/>
  <c r="U3955" i="1"/>
  <c r="T3955" i="1"/>
  <c r="S3955" i="1"/>
  <c r="R3955" i="1"/>
  <c r="Q3955" i="1"/>
  <c r="P3955" i="1"/>
  <c r="U3954" i="1"/>
  <c r="T3954" i="1"/>
  <c r="S3954" i="1"/>
  <c r="R3954" i="1"/>
  <c r="Q3954" i="1"/>
  <c r="P3954" i="1"/>
  <c r="U3953" i="1"/>
  <c r="T3953" i="1"/>
  <c r="S3953" i="1"/>
  <c r="R3953" i="1"/>
  <c r="Q3953" i="1"/>
  <c r="P3953" i="1"/>
  <c r="U3952" i="1"/>
  <c r="T3952" i="1"/>
  <c r="S3952" i="1"/>
  <c r="R3952" i="1"/>
  <c r="Q3952" i="1"/>
  <c r="P3952" i="1"/>
  <c r="U3951" i="1"/>
  <c r="T3951" i="1"/>
  <c r="S3951" i="1"/>
  <c r="R3951" i="1"/>
  <c r="Q3951" i="1"/>
  <c r="P3951" i="1"/>
  <c r="U3950" i="1"/>
  <c r="T3950" i="1"/>
  <c r="S3950" i="1"/>
  <c r="R3950" i="1"/>
  <c r="Q3950" i="1"/>
  <c r="P3950" i="1"/>
  <c r="U3949" i="1"/>
  <c r="T3949" i="1"/>
  <c r="S3949" i="1"/>
  <c r="R3949" i="1"/>
  <c r="Q3949" i="1"/>
  <c r="P3949" i="1"/>
  <c r="U3948" i="1"/>
  <c r="T3948" i="1"/>
  <c r="S3948" i="1"/>
  <c r="R3948" i="1"/>
  <c r="Q3948" i="1"/>
  <c r="P3948" i="1"/>
  <c r="U3947" i="1"/>
  <c r="T3947" i="1"/>
  <c r="S3947" i="1"/>
  <c r="R3947" i="1"/>
  <c r="Q3947" i="1"/>
  <c r="P3947" i="1"/>
  <c r="U3946" i="1"/>
  <c r="T3946" i="1"/>
  <c r="S3946" i="1"/>
  <c r="R3946" i="1"/>
  <c r="Q3946" i="1"/>
  <c r="P3946" i="1"/>
  <c r="U3945" i="1"/>
  <c r="T3945" i="1"/>
  <c r="S3945" i="1"/>
  <c r="R3945" i="1"/>
  <c r="Q3945" i="1"/>
  <c r="P3945" i="1"/>
  <c r="U3944" i="1"/>
  <c r="T3944" i="1"/>
  <c r="S3944" i="1"/>
  <c r="R3944" i="1"/>
  <c r="Q3944" i="1"/>
  <c r="P3944" i="1"/>
  <c r="U3943" i="1"/>
  <c r="T3943" i="1"/>
  <c r="S3943" i="1"/>
  <c r="R3943" i="1"/>
  <c r="Q3943" i="1"/>
  <c r="P3943" i="1"/>
  <c r="U3942" i="1"/>
  <c r="T3942" i="1"/>
  <c r="S3942" i="1"/>
  <c r="R3942" i="1"/>
  <c r="Q3942" i="1"/>
  <c r="P3942" i="1"/>
  <c r="U3941" i="1"/>
  <c r="T3941" i="1"/>
  <c r="S3941" i="1"/>
  <c r="R3941" i="1"/>
  <c r="Q3941" i="1"/>
  <c r="P3941" i="1"/>
  <c r="U3940" i="1"/>
  <c r="T3940" i="1"/>
  <c r="S3940" i="1"/>
  <c r="R3940" i="1"/>
  <c r="Q3940" i="1"/>
  <c r="P3940" i="1"/>
  <c r="U3939" i="1"/>
  <c r="T3939" i="1"/>
  <c r="S3939" i="1"/>
  <c r="R3939" i="1"/>
  <c r="Q3939" i="1"/>
  <c r="P3939" i="1"/>
  <c r="U3938" i="1"/>
  <c r="T3938" i="1"/>
  <c r="S3938" i="1"/>
  <c r="R3938" i="1"/>
  <c r="Q3938" i="1"/>
  <c r="P3938" i="1"/>
  <c r="U3937" i="1"/>
  <c r="T3937" i="1"/>
  <c r="S3937" i="1"/>
  <c r="R3937" i="1"/>
  <c r="Q3937" i="1"/>
  <c r="P3937" i="1"/>
  <c r="U3936" i="1"/>
  <c r="T3936" i="1"/>
  <c r="S3936" i="1"/>
  <c r="R3936" i="1"/>
  <c r="Q3936" i="1"/>
  <c r="P3936" i="1"/>
  <c r="U3935" i="1"/>
  <c r="T3935" i="1"/>
  <c r="S3935" i="1"/>
  <c r="R3935" i="1"/>
  <c r="Q3935" i="1"/>
  <c r="P3935" i="1"/>
  <c r="U3934" i="1"/>
  <c r="T3934" i="1"/>
  <c r="S3934" i="1"/>
  <c r="R3934" i="1"/>
  <c r="Q3934" i="1"/>
  <c r="P3934" i="1"/>
  <c r="U3933" i="1"/>
  <c r="T3933" i="1"/>
  <c r="S3933" i="1"/>
  <c r="R3933" i="1"/>
  <c r="Q3933" i="1"/>
  <c r="P3933" i="1"/>
  <c r="U3932" i="1"/>
  <c r="T3932" i="1"/>
  <c r="S3932" i="1"/>
  <c r="R3932" i="1"/>
  <c r="Q3932" i="1"/>
  <c r="P3932" i="1"/>
  <c r="U3931" i="1"/>
  <c r="T3931" i="1"/>
  <c r="S3931" i="1"/>
  <c r="R3931" i="1"/>
  <c r="Q3931" i="1"/>
  <c r="P3931" i="1"/>
  <c r="U3930" i="1"/>
  <c r="T3930" i="1"/>
  <c r="S3930" i="1"/>
  <c r="R3930" i="1"/>
  <c r="Q3930" i="1"/>
  <c r="P3930" i="1"/>
  <c r="U3929" i="1"/>
  <c r="T3929" i="1"/>
  <c r="S3929" i="1"/>
  <c r="R3929" i="1"/>
  <c r="Q3929" i="1"/>
  <c r="P3929" i="1"/>
  <c r="U3928" i="1"/>
  <c r="T3928" i="1"/>
  <c r="S3928" i="1"/>
  <c r="R3928" i="1"/>
  <c r="Q3928" i="1"/>
  <c r="P3928" i="1"/>
  <c r="U3927" i="1"/>
  <c r="T3927" i="1"/>
  <c r="S3927" i="1"/>
  <c r="R3927" i="1"/>
  <c r="Q3927" i="1"/>
  <c r="P3927" i="1"/>
  <c r="U3926" i="1"/>
  <c r="T3926" i="1"/>
  <c r="S3926" i="1"/>
  <c r="R3926" i="1"/>
  <c r="Q3926" i="1"/>
  <c r="P3926" i="1"/>
  <c r="U3925" i="1"/>
  <c r="T3925" i="1"/>
  <c r="S3925" i="1"/>
  <c r="R3925" i="1"/>
  <c r="Q3925" i="1"/>
  <c r="P3925" i="1"/>
  <c r="U3924" i="1"/>
  <c r="T3924" i="1"/>
  <c r="S3924" i="1"/>
  <c r="R3924" i="1"/>
  <c r="Q3924" i="1"/>
  <c r="P3924" i="1"/>
  <c r="U3923" i="1"/>
  <c r="T3923" i="1"/>
  <c r="S3923" i="1"/>
  <c r="R3923" i="1"/>
  <c r="Q3923" i="1"/>
  <c r="P3923" i="1"/>
  <c r="U3922" i="1"/>
  <c r="T3922" i="1"/>
  <c r="S3922" i="1"/>
  <c r="R3922" i="1"/>
  <c r="Q3922" i="1"/>
  <c r="P3922" i="1"/>
  <c r="U3921" i="1"/>
  <c r="T3921" i="1"/>
  <c r="S3921" i="1"/>
  <c r="R3921" i="1"/>
  <c r="Q3921" i="1"/>
  <c r="P3921" i="1"/>
  <c r="U3920" i="1"/>
  <c r="T3920" i="1"/>
  <c r="S3920" i="1"/>
  <c r="R3920" i="1"/>
  <c r="Q3920" i="1"/>
  <c r="P3920" i="1"/>
  <c r="U3919" i="1"/>
  <c r="T3919" i="1"/>
  <c r="S3919" i="1"/>
  <c r="R3919" i="1"/>
  <c r="Q3919" i="1"/>
  <c r="P3919" i="1"/>
  <c r="U3918" i="1"/>
  <c r="T3918" i="1"/>
  <c r="S3918" i="1"/>
  <c r="R3918" i="1"/>
  <c r="Q3918" i="1"/>
  <c r="P3918" i="1"/>
  <c r="U3917" i="1"/>
  <c r="T3917" i="1"/>
  <c r="S3917" i="1"/>
  <c r="R3917" i="1"/>
  <c r="Q3917" i="1"/>
  <c r="P3917" i="1"/>
  <c r="U3916" i="1"/>
  <c r="T3916" i="1"/>
  <c r="S3916" i="1"/>
  <c r="R3916" i="1"/>
  <c r="Q3916" i="1"/>
  <c r="P3916" i="1"/>
  <c r="U3915" i="1"/>
  <c r="T3915" i="1"/>
  <c r="S3915" i="1"/>
  <c r="R3915" i="1"/>
  <c r="Q3915" i="1"/>
  <c r="P3915" i="1"/>
  <c r="U3914" i="1"/>
  <c r="T3914" i="1"/>
  <c r="S3914" i="1"/>
  <c r="R3914" i="1"/>
  <c r="Q3914" i="1"/>
  <c r="P3914" i="1"/>
  <c r="U3913" i="1"/>
  <c r="T3913" i="1"/>
  <c r="S3913" i="1"/>
  <c r="R3913" i="1"/>
  <c r="Q3913" i="1"/>
  <c r="P3913" i="1"/>
  <c r="U3912" i="1"/>
  <c r="T3912" i="1"/>
  <c r="S3912" i="1"/>
  <c r="R3912" i="1"/>
  <c r="Q3912" i="1"/>
  <c r="P3912" i="1"/>
  <c r="U3911" i="1"/>
  <c r="T3911" i="1"/>
  <c r="S3911" i="1"/>
  <c r="R3911" i="1"/>
  <c r="Q3911" i="1"/>
  <c r="P3911" i="1"/>
  <c r="U3910" i="1"/>
  <c r="T3910" i="1"/>
  <c r="S3910" i="1"/>
  <c r="R3910" i="1"/>
  <c r="Q3910" i="1"/>
  <c r="P3910" i="1"/>
  <c r="U3909" i="1"/>
  <c r="T3909" i="1"/>
  <c r="S3909" i="1"/>
  <c r="R3909" i="1"/>
  <c r="Q3909" i="1"/>
  <c r="P3909" i="1"/>
  <c r="U3908" i="1"/>
  <c r="T3908" i="1"/>
  <c r="S3908" i="1"/>
  <c r="R3908" i="1"/>
  <c r="Q3908" i="1"/>
  <c r="P3908" i="1"/>
  <c r="U3907" i="1"/>
  <c r="T3907" i="1"/>
  <c r="S3907" i="1"/>
  <c r="R3907" i="1"/>
  <c r="Q3907" i="1"/>
  <c r="P3907" i="1"/>
  <c r="U3906" i="1"/>
  <c r="T3906" i="1"/>
  <c r="S3906" i="1"/>
  <c r="R3906" i="1"/>
  <c r="Q3906" i="1"/>
  <c r="P3906" i="1"/>
  <c r="U3905" i="1"/>
  <c r="T3905" i="1"/>
  <c r="S3905" i="1"/>
  <c r="R3905" i="1"/>
  <c r="Q3905" i="1"/>
  <c r="P3905" i="1"/>
  <c r="U3904" i="1"/>
  <c r="T3904" i="1"/>
  <c r="S3904" i="1"/>
  <c r="R3904" i="1"/>
  <c r="Q3904" i="1"/>
  <c r="P3904" i="1"/>
  <c r="U3903" i="1"/>
  <c r="T3903" i="1"/>
  <c r="S3903" i="1"/>
  <c r="R3903" i="1"/>
  <c r="Q3903" i="1"/>
  <c r="P3903" i="1"/>
  <c r="U3902" i="1"/>
  <c r="T3902" i="1"/>
  <c r="S3902" i="1"/>
  <c r="R3902" i="1"/>
  <c r="Q3902" i="1"/>
  <c r="P3902" i="1"/>
  <c r="U3901" i="1"/>
  <c r="T3901" i="1"/>
  <c r="S3901" i="1"/>
  <c r="R3901" i="1"/>
  <c r="Q3901" i="1"/>
  <c r="P3901" i="1"/>
  <c r="U3900" i="1"/>
  <c r="T3900" i="1"/>
  <c r="S3900" i="1"/>
  <c r="R3900" i="1"/>
  <c r="Q3900" i="1"/>
  <c r="P3900" i="1"/>
  <c r="U3899" i="1"/>
  <c r="T3899" i="1"/>
  <c r="S3899" i="1"/>
  <c r="R3899" i="1"/>
  <c r="Q3899" i="1"/>
  <c r="P3899" i="1"/>
  <c r="U3898" i="1"/>
  <c r="T3898" i="1"/>
  <c r="S3898" i="1"/>
  <c r="R3898" i="1"/>
  <c r="Q3898" i="1"/>
  <c r="P3898" i="1"/>
  <c r="U3897" i="1"/>
  <c r="T3897" i="1"/>
  <c r="S3897" i="1"/>
  <c r="R3897" i="1"/>
  <c r="Q3897" i="1"/>
  <c r="P3897" i="1"/>
  <c r="U3896" i="1"/>
  <c r="T3896" i="1"/>
  <c r="S3896" i="1"/>
  <c r="R3896" i="1"/>
  <c r="Q3896" i="1"/>
  <c r="P3896" i="1"/>
  <c r="U3895" i="1"/>
  <c r="T3895" i="1"/>
  <c r="S3895" i="1"/>
  <c r="R3895" i="1"/>
  <c r="Q3895" i="1"/>
  <c r="P3895" i="1"/>
  <c r="U3894" i="1"/>
  <c r="T3894" i="1"/>
  <c r="S3894" i="1"/>
  <c r="R3894" i="1"/>
  <c r="Q3894" i="1"/>
  <c r="P3894" i="1"/>
  <c r="U3893" i="1"/>
  <c r="T3893" i="1"/>
  <c r="S3893" i="1"/>
  <c r="R3893" i="1"/>
  <c r="Q3893" i="1"/>
  <c r="P3893" i="1"/>
  <c r="U3892" i="1"/>
  <c r="T3892" i="1"/>
  <c r="S3892" i="1"/>
  <c r="R3892" i="1"/>
  <c r="Q3892" i="1"/>
  <c r="P3892" i="1"/>
  <c r="U3891" i="1"/>
  <c r="T3891" i="1"/>
  <c r="S3891" i="1"/>
  <c r="R3891" i="1"/>
  <c r="Q3891" i="1"/>
  <c r="P3891" i="1"/>
  <c r="U3890" i="1"/>
  <c r="T3890" i="1"/>
  <c r="S3890" i="1"/>
  <c r="R3890" i="1"/>
  <c r="Q3890" i="1"/>
  <c r="P3890" i="1"/>
  <c r="U3889" i="1"/>
  <c r="T3889" i="1"/>
  <c r="S3889" i="1"/>
  <c r="R3889" i="1"/>
  <c r="Q3889" i="1"/>
  <c r="P3889" i="1"/>
  <c r="U3888" i="1"/>
  <c r="T3888" i="1"/>
  <c r="S3888" i="1"/>
  <c r="R3888" i="1"/>
  <c r="Q3888" i="1"/>
  <c r="P3888" i="1"/>
  <c r="U3887" i="1"/>
  <c r="T3887" i="1"/>
  <c r="S3887" i="1"/>
  <c r="R3887" i="1"/>
  <c r="Q3887" i="1"/>
  <c r="P3887" i="1"/>
  <c r="U3886" i="1"/>
  <c r="T3886" i="1"/>
  <c r="S3886" i="1"/>
  <c r="R3886" i="1"/>
  <c r="Q3886" i="1"/>
  <c r="P3886" i="1"/>
  <c r="U3885" i="1"/>
  <c r="T3885" i="1"/>
  <c r="S3885" i="1"/>
  <c r="R3885" i="1"/>
  <c r="Q3885" i="1"/>
  <c r="P3885" i="1"/>
  <c r="U3884" i="1"/>
  <c r="T3884" i="1"/>
  <c r="S3884" i="1"/>
  <c r="R3884" i="1"/>
  <c r="Q3884" i="1"/>
  <c r="P3884" i="1"/>
  <c r="U3883" i="1"/>
  <c r="T3883" i="1"/>
  <c r="S3883" i="1"/>
  <c r="R3883" i="1"/>
  <c r="Q3883" i="1"/>
  <c r="P3883" i="1"/>
  <c r="U3882" i="1"/>
  <c r="T3882" i="1"/>
  <c r="S3882" i="1"/>
  <c r="R3882" i="1"/>
  <c r="Q3882" i="1"/>
  <c r="P3882" i="1"/>
  <c r="U3881" i="1"/>
  <c r="T3881" i="1"/>
  <c r="S3881" i="1"/>
  <c r="R3881" i="1"/>
  <c r="Q3881" i="1"/>
  <c r="P3881" i="1"/>
  <c r="U3880" i="1"/>
  <c r="T3880" i="1"/>
  <c r="S3880" i="1"/>
  <c r="R3880" i="1"/>
  <c r="Q3880" i="1"/>
  <c r="P3880" i="1"/>
  <c r="U3879" i="1"/>
  <c r="T3879" i="1"/>
  <c r="S3879" i="1"/>
  <c r="R3879" i="1"/>
  <c r="Q3879" i="1"/>
  <c r="P3879" i="1"/>
  <c r="U3878" i="1"/>
  <c r="T3878" i="1"/>
  <c r="S3878" i="1"/>
  <c r="R3878" i="1"/>
  <c r="Q3878" i="1"/>
  <c r="P3878" i="1"/>
  <c r="U3877" i="1"/>
  <c r="T3877" i="1"/>
  <c r="S3877" i="1"/>
  <c r="R3877" i="1"/>
  <c r="Q3877" i="1"/>
  <c r="P3877" i="1"/>
  <c r="U3876" i="1"/>
  <c r="T3876" i="1"/>
  <c r="S3876" i="1"/>
  <c r="R3876" i="1"/>
  <c r="Q3876" i="1"/>
  <c r="P3876" i="1"/>
  <c r="U3875" i="1"/>
  <c r="T3875" i="1"/>
  <c r="S3875" i="1"/>
  <c r="R3875" i="1"/>
  <c r="Q3875" i="1"/>
  <c r="P3875" i="1"/>
  <c r="U3874" i="1"/>
  <c r="T3874" i="1"/>
  <c r="S3874" i="1"/>
  <c r="R3874" i="1"/>
  <c r="Q3874" i="1"/>
  <c r="P3874" i="1"/>
  <c r="U3873" i="1"/>
  <c r="T3873" i="1"/>
  <c r="S3873" i="1"/>
  <c r="R3873" i="1"/>
  <c r="Q3873" i="1"/>
  <c r="P3873" i="1"/>
  <c r="U3872" i="1"/>
  <c r="T3872" i="1"/>
  <c r="S3872" i="1"/>
  <c r="R3872" i="1"/>
  <c r="Q3872" i="1"/>
  <c r="P3872" i="1"/>
  <c r="U3871" i="1"/>
  <c r="T3871" i="1"/>
  <c r="S3871" i="1"/>
  <c r="R3871" i="1"/>
  <c r="Q3871" i="1"/>
  <c r="P3871" i="1"/>
  <c r="U3870" i="1"/>
  <c r="T3870" i="1"/>
  <c r="S3870" i="1"/>
  <c r="R3870" i="1"/>
  <c r="Q3870" i="1"/>
  <c r="P3870" i="1"/>
  <c r="U3869" i="1"/>
  <c r="T3869" i="1"/>
  <c r="S3869" i="1"/>
  <c r="R3869" i="1"/>
  <c r="Q3869" i="1"/>
  <c r="P3869" i="1"/>
  <c r="U3868" i="1"/>
  <c r="T3868" i="1"/>
  <c r="S3868" i="1"/>
  <c r="R3868" i="1"/>
  <c r="Q3868" i="1"/>
  <c r="P3868" i="1"/>
  <c r="U3867" i="1"/>
  <c r="T3867" i="1"/>
  <c r="S3867" i="1"/>
  <c r="R3867" i="1"/>
  <c r="Q3867" i="1"/>
  <c r="P3867" i="1"/>
  <c r="U3866" i="1"/>
  <c r="T3866" i="1"/>
  <c r="S3866" i="1"/>
  <c r="R3866" i="1"/>
  <c r="Q3866" i="1"/>
  <c r="P3866" i="1"/>
  <c r="U3865" i="1"/>
  <c r="T3865" i="1"/>
  <c r="S3865" i="1"/>
  <c r="R3865" i="1"/>
  <c r="Q3865" i="1"/>
  <c r="P3865" i="1"/>
  <c r="U3864" i="1"/>
  <c r="T3864" i="1"/>
  <c r="S3864" i="1"/>
  <c r="R3864" i="1"/>
  <c r="Q3864" i="1"/>
  <c r="P3864" i="1"/>
  <c r="U3863" i="1"/>
  <c r="T3863" i="1"/>
  <c r="S3863" i="1"/>
  <c r="R3863" i="1"/>
  <c r="Q3863" i="1"/>
  <c r="P3863" i="1"/>
  <c r="U3862" i="1"/>
  <c r="T3862" i="1"/>
  <c r="S3862" i="1"/>
  <c r="R3862" i="1"/>
  <c r="Q3862" i="1"/>
  <c r="P3862" i="1"/>
  <c r="U3861" i="1"/>
  <c r="T3861" i="1"/>
  <c r="S3861" i="1"/>
  <c r="R3861" i="1"/>
  <c r="Q3861" i="1"/>
  <c r="P3861" i="1"/>
  <c r="U3860" i="1"/>
  <c r="T3860" i="1"/>
  <c r="S3860" i="1"/>
  <c r="R3860" i="1"/>
  <c r="Q3860" i="1"/>
  <c r="P3860" i="1"/>
  <c r="U3859" i="1"/>
  <c r="T3859" i="1"/>
  <c r="S3859" i="1"/>
  <c r="R3859" i="1"/>
  <c r="Q3859" i="1"/>
  <c r="P3859" i="1"/>
  <c r="U3858" i="1"/>
  <c r="T3858" i="1"/>
  <c r="S3858" i="1"/>
  <c r="R3858" i="1"/>
  <c r="Q3858" i="1"/>
  <c r="P3858" i="1"/>
  <c r="U3857" i="1"/>
  <c r="T3857" i="1"/>
  <c r="S3857" i="1"/>
  <c r="R3857" i="1"/>
  <c r="Q3857" i="1"/>
  <c r="P3857" i="1"/>
  <c r="U3856" i="1"/>
  <c r="T3856" i="1"/>
  <c r="S3856" i="1"/>
  <c r="R3856" i="1"/>
  <c r="Q3856" i="1"/>
  <c r="P3856" i="1"/>
  <c r="U3855" i="1"/>
  <c r="T3855" i="1"/>
  <c r="S3855" i="1"/>
  <c r="R3855" i="1"/>
  <c r="Q3855" i="1"/>
  <c r="P3855" i="1"/>
  <c r="U3854" i="1"/>
  <c r="T3854" i="1"/>
  <c r="S3854" i="1"/>
  <c r="R3854" i="1"/>
  <c r="Q3854" i="1"/>
  <c r="P3854" i="1"/>
  <c r="U3853" i="1"/>
  <c r="T3853" i="1"/>
  <c r="S3853" i="1"/>
  <c r="R3853" i="1"/>
  <c r="Q3853" i="1"/>
  <c r="P3853" i="1"/>
  <c r="U3852" i="1"/>
  <c r="T3852" i="1"/>
  <c r="S3852" i="1"/>
  <c r="R3852" i="1"/>
  <c r="Q3852" i="1"/>
  <c r="P3852" i="1"/>
  <c r="U3851" i="1"/>
  <c r="T3851" i="1"/>
  <c r="S3851" i="1"/>
  <c r="R3851" i="1"/>
  <c r="Q3851" i="1"/>
  <c r="P3851" i="1"/>
  <c r="U3850" i="1"/>
  <c r="T3850" i="1"/>
  <c r="S3850" i="1"/>
  <c r="R3850" i="1"/>
  <c r="Q3850" i="1"/>
  <c r="P3850" i="1"/>
  <c r="U3849" i="1"/>
  <c r="T3849" i="1"/>
  <c r="S3849" i="1"/>
  <c r="R3849" i="1"/>
  <c r="Q3849" i="1"/>
  <c r="P3849" i="1"/>
  <c r="U3848" i="1"/>
  <c r="T3848" i="1"/>
  <c r="S3848" i="1"/>
  <c r="R3848" i="1"/>
  <c r="Q3848" i="1"/>
  <c r="P3848" i="1"/>
  <c r="U3847" i="1"/>
  <c r="T3847" i="1"/>
  <c r="S3847" i="1"/>
  <c r="R3847" i="1"/>
  <c r="Q3847" i="1"/>
  <c r="P3847" i="1"/>
  <c r="U3846" i="1"/>
  <c r="T3846" i="1"/>
  <c r="S3846" i="1"/>
  <c r="R3846" i="1"/>
  <c r="Q3846" i="1"/>
  <c r="P3846" i="1"/>
  <c r="U3845" i="1"/>
  <c r="T3845" i="1"/>
  <c r="S3845" i="1"/>
  <c r="R3845" i="1"/>
  <c r="Q3845" i="1"/>
  <c r="P3845" i="1"/>
  <c r="U3844" i="1"/>
  <c r="T3844" i="1"/>
  <c r="S3844" i="1"/>
  <c r="R3844" i="1"/>
  <c r="Q3844" i="1"/>
  <c r="P3844" i="1"/>
  <c r="U3843" i="1"/>
  <c r="T3843" i="1"/>
  <c r="S3843" i="1"/>
  <c r="R3843" i="1"/>
  <c r="Q3843" i="1"/>
  <c r="P3843" i="1"/>
  <c r="U3842" i="1"/>
  <c r="T3842" i="1"/>
  <c r="S3842" i="1"/>
  <c r="R3842" i="1"/>
  <c r="Q3842" i="1"/>
  <c r="P3842" i="1"/>
  <c r="U3841" i="1"/>
  <c r="T3841" i="1"/>
  <c r="S3841" i="1"/>
  <c r="R3841" i="1"/>
  <c r="Q3841" i="1"/>
  <c r="P3841" i="1"/>
  <c r="U3840" i="1"/>
  <c r="T3840" i="1"/>
  <c r="S3840" i="1"/>
  <c r="R3840" i="1"/>
  <c r="Q3840" i="1"/>
  <c r="P3840" i="1"/>
  <c r="U3839" i="1"/>
  <c r="T3839" i="1"/>
  <c r="S3839" i="1"/>
  <c r="R3839" i="1"/>
  <c r="Q3839" i="1"/>
  <c r="P3839" i="1"/>
  <c r="U3838" i="1"/>
  <c r="T3838" i="1"/>
  <c r="S3838" i="1"/>
  <c r="R3838" i="1"/>
  <c r="Q3838" i="1"/>
  <c r="P3838" i="1"/>
  <c r="U3837" i="1"/>
  <c r="T3837" i="1"/>
  <c r="S3837" i="1"/>
  <c r="R3837" i="1"/>
  <c r="Q3837" i="1"/>
  <c r="P3837" i="1"/>
  <c r="U3836" i="1"/>
  <c r="T3836" i="1"/>
  <c r="S3836" i="1"/>
  <c r="R3836" i="1"/>
  <c r="Q3836" i="1"/>
  <c r="P3836" i="1"/>
  <c r="U3835" i="1"/>
  <c r="T3835" i="1"/>
  <c r="S3835" i="1"/>
  <c r="R3835" i="1"/>
  <c r="Q3835" i="1"/>
  <c r="P3835" i="1"/>
  <c r="U3834" i="1"/>
  <c r="T3834" i="1"/>
  <c r="S3834" i="1"/>
  <c r="R3834" i="1"/>
  <c r="Q3834" i="1"/>
  <c r="P3834" i="1"/>
  <c r="U3833" i="1"/>
  <c r="T3833" i="1"/>
  <c r="S3833" i="1"/>
  <c r="R3833" i="1"/>
  <c r="Q3833" i="1"/>
  <c r="P3833" i="1"/>
  <c r="U3832" i="1"/>
  <c r="T3832" i="1"/>
  <c r="S3832" i="1"/>
  <c r="R3832" i="1"/>
  <c r="Q3832" i="1"/>
  <c r="P3832" i="1"/>
  <c r="U3831" i="1"/>
  <c r="T3831" i="1"/>
  <c r="S3831" i="1"/>
  <c r="R3831" i="1"/>
  <c r="Q3831" i="1"/>
  <c r="P3831" i="1"/>
  <c r="U3830" i="1"/>
  <c r="T3830" i="1"/>
  <c r="S3830" i="1"/>
  <c r="R3830" i="1"/>
  <c r="Q3830" i="1"/>
  <c r="P3830" i="1"/>
  <c r="U3829" i="1"/>
  <c r="T3829" i="1"/>
  <c r="S3829" i="1"/>
  <c r="R3829" i="1"/>
  <c r="Q3829" i="1"/>
  <c r="P3829" i="1"/>
  <c r="U3828" i="1"/>
  <c r="T3828" i="1"/>
  <c r="S3828" i="1"/>
  <c r="R3828" i="1"/>
  <c r="Q3828" i="1"/>
  <c r="P3828" i="1"/>
  <c r="U3827" i="1"/>
  <c r="T3827" i="1"/>
  <c r="S3827" i="1"/>
  <c r="R3827" i="1"/>
  <c r="Q3827" i="1"/>
  <c r="P3827" i="1"/>
  <c r="U3826" i="1"/>
  <c r="T3826" i="1"/>
  <c r="S3826" i="1"/>
  <c r="R3826" i="1"/>
  <c r="Q3826" i="1"/>
  <c r="P3826" i="1"/>
  <c r="U3825" i="1"/>
  <c r="T3825" i="1"/>
  <c r="S3825" i="1"/>
  <c r="R3825" i="1"/>
  <c r="Q3825" i="1"/>
  <c r="P3825" i="1"/>
  <c r="U3824" i="1"/>
  <c r="T3824" i="1"/>
  <c r="S3824" i="1"/>
  <c r="R3824" i="1"/>
  <c r="Q3824" i="1"/>
  <c r="P3824" i="1"/>
  <c r="U3823" i="1"/>
  <c r="T3823" i="1"/>
  <c r="S3823" i="1"/>
  <c r="R3823" i="1"/>
  <c r="Q3823" i="1"/>
  <c r="P3823" i="1"/>
  <c r="U3822" i="1"/>
  <c r="T3822" i="1"/>
  <c r="S3822" i="1"/>
  <c r="R3822" i="1"/>
  <c r="Q3822" i="1"/>
  <c r="P3822" i="1"/>
  <c r="U3821" i="1"/>
  <c r="T3821" i="1"/>
  <c r="S3821" i="1"/>
  <c r="R3821" i="1"/>
  <c r="Q3821" i="1"/>
  <c r="P3821" i="1"/>
  <c r="U3820" i="1"/>
  <c r="T3820" i="1"/>
  <c r="S3820" i="1"/>
  <c r="R3820" i="1"/>
  <c r="Q3820" i="1"/>
  <c r="P3820" i="1"/>
  <c r="U3819" i="1"/>
  <c r="T3819" i="1"/>
  <c r="S3819" i="1"/>
  <c r="R3819" i="1"/>
  <c r="Q3819" i="1"/>
  <c r="P3819" i="1"/>
  <c r="U3818" i="1"/>
  <c r="T3818" i="1"/>
  <c r="S3818" i="1"/>
  <c r="R3818" i="1"/>
  <c r="Q3818" i="1"/>
  <c r="P3818" i="1"/>
  <c r="U3817" i="1"/>
  <c r="T3817" i="1"/>
  <c r="S3817" i="1"/>
  <c r="R3817" i="1"/>
  <c r="Q3817" i="1"/>
  <c r="P3817" i="1"/>
  <c r="U3816" i="1"/>
  <c r="T3816" i="1"/>
  <c r="S3816" i="1"/>
  <c r="R3816" i="1"/>
  <c r="Q3816" i="1"/>
  <c r="P3816" i="1"/>
  <c r="U3815" i="1"/>
  <c r="T3815" i="1"/>
  <c r="S3815" i="1"/>
  <c r="R3815" i="1"/>
  <c r="Q3815" i="1"/>
  <c r="P3815" i="1"/>
  <c r="U3814" i="1"/>
  <c r="T3814" i="1"/>
  <c r="S3814" i="1"/>
  <c r="R3814" i="1"/>
  <c r="Q3814" i="1"/>
  <c r="P3814" i="1"/>
  <c r="U3813" i="1"/>
  <c r="T3813" i="1"/>
  <c r="S3813" i="1"/>
  <c r="R3813" i="1"/>
  <c r="Q3813" i="1"/>
  <c r="P3813" i="1"/>
  <c r="U3812" i="1"/>
  <c r="T3812" i="1"/>
  <c r="S3812" i="1"/>
  <c r="R3812" i="1"/>
  <c r="Q3812" i="1"/>
  <c r="P3812" i="1"/>
  <c r="U3811" i="1"/>
  <c r="T3811" i="1"/>
  <c r="S3811" i="1"/>
  <c r="R3811" i="1"/>
  <c r="Q3811" i="1"/>
  <c r="P3811" i="1"/>
  <c r="U3810" i="1"/>
  <c r="T3810" i="1"/>
  <c r="S3810" i="1"/>
  <c r="R3810" i="1"/>
  <c r="Q3810" i="1"/>
  <c r="P3810" i="1"/>
  <c r="U3809" i="1"/>
  <c r="T3809" i="1"/>
  <c r="S3809" i="1"/>
  <c r="R3809" i="1"/>
  <c r="Q3809" i="1"/>
  <c r="P3809" i="1"/>
  <c r="U3808" i="1"/>
  <c r="T3808" i="1"/>
  <c r="S3808" i="1"/>
  <c r="R3808" i="1"/>
  <c r="Q3808" i="1"/>
  <c r="P3808" i="1"/>
  <c r="U3807" i="1"/>
  <c r="T3807" i="1"/>
  <c r="S3807" i="1"/>
  <c r="R3807" i="1"/>
  <c r="Q3807" i="1"/>
  <c r="P3807" i="1"/>
  <c r="U3806" i="1"/>
  <c r="T3806" i="1"/>
  <c r="S3806" i="1"/>
  <c r="R3806" i="1"/>
  <c r="Q3806" i="1"/>
  <c r="P3806" i="1"/>
  <c r="U3805" i="1"/>
  <c r="T3805" i="1"/>
  <c r="S3805" i="1"/>
  <c r="R3805" i="1"/>
  <c r="Q3805" i="1"/>
  <c r="P3805" i="1"/>
  <c r="U3804" i="1"/>
  <c r="T3804" i="1"/>
  <c r="S3804" i="1"/>
  <c r="R3804" i="1"/>
  <c r="Q3804" i="1"/>
  <c r="P3804" i="1"/>
  <c r="U3803" i="1"/>
  <c r="T3803" i="1"/>
  <c r="S3803" i="1"/>
  <c r="R3803" i="1"/>
  <c r="Q3803" i="1"/>
  <c r="P3803" i="1"/>
  <c r="U3802" i="1"/>
  <c r="T3802" i="1"/>
  <c r="S3802" i="1"/>
  <c r="R3802" i="1"/>
  <c r="Q3802" i="1"/>
  <c r="P3802" i="1"/>
  <c r="U3801" i="1"/>
  <c r="T3801" i="1"/>
  <c r="S3801" i="1"/>
  <c r="R3801" i="1"/>
  <c r="Q3801" i="1"/>
  <c r="P3801" i="1"/>
  <c r="U3800" i="1"/>
  <c r="T3800" i="1"/>
  <c r="S3800" i="1"/>
  <c r="R3800" i="1"/>
  <c r="Q3800" i="1"/>
  <c r="P3800" i="1"/>
  <c r="U3799" i="1"/>
  <c r="T3799" i="1"/>
  <c r="S3799" i="1"/>
  <c r="R3799" i="1"/>
  <c r="Q3799" i="1"/>
  <c r="P3799" i="1"/>
  <c r="U3798" i="1"/>
  <c r="T3798" i="1"/>
  <c r="S3798" i="1"/>
  <c r="R3798" i="1"/>
  <c r="Q3798" i="1"/>
  <c r="P3798" i="1"/>
  <c r="U3797" i="1"/>
  <c r="T3797" i="1"/>
  <c r="S3797" i="1"/>
  <c r="R3797" i="1"/>
  <c r="Q3797" i="1"/>
  <c r="P3797" i="1"/>
  <c r="U3796" i="1"/>
  <c r="T3796" i="1"/>
  <c r="S3796" i="1"/>
  <c r="R3796" i="1"/>
  <c r="Q3796" i="1"/>
  <c r="P3796" i="1"/>
  <c r="U3795" i="1"/>
  <c r="T3795" i="1"/>
  <c r="S3795" i="1"/>
  <c r="R3795" i="1"/>
  <c r="Q3795" i="1"/>
  <c r="P3795" i="1"/>
  <c r="U3794" i="1"/>
  <c r="T3794" i="1"/>
  <c r="S3794" i="1"/>
  <c r="R3794" i="1"/>
  <c r="Q3794" i="1"/>
  <c r="P3794" i="1"/>
  <c r="U3793" i="1"/>
  <c r="T3793" i="1"/>
  <c r="S3793" i="1"/>
  <c r="R3793" i="1"/>
  <c r="Q3793" i="1"/>
  <c r="P3793" i="1"/>
  <c r="U3792" i="1"/>
  <c r="T3792" i="1"/>
  <c r="S3792" i="1"/>
  <c r="R3792" i="1"/>
  <c r="Q3792" i="1"/>
  <c r="P3792" i="1"/>
  <c r="U3791" i="1"/>
  <c r="T3791" i="1"/>
  <c r="S3791" i="1"/>
  <c r="R3791" i="1"/>
  <c r="Q3791" i="1"/>
  <c r="P3791" i="1"/>
  <c r="U3790" i="1"/>
  <c r="T3790" i="1"/>
  <c r="S3790" i="1"/>
  <c r="R3790" i="1"/>
  <c r="Q3790" i="1"/>
  <c r="P3790" i="1"/>
  <c r="U3789" i="1"/>
  <c r="T3789" i="1"/>
  <c r="S3789" i="1"/>
  <c r="R3789" i="1"/>
  <c r="Q3789" i="1"/>
  <c r="P3789" i="1"/>
  <c r="U3788" i="1"/>
  <c r="T3788" i="1"/>
  <c r="S3788" i="1"/>
  <c r="R3788" i="1"/>
  <c r="Q3788" i="1"/>
  <c r="P3788" i="1"/>
  <c r="U3787" i="1"/>
  <c r="T3787" i="1"/>
  <c r="S3787" i="1"/>
  <c r="R3787" i="1"/>
  <c r="Q3787" i="1"/>
  <c r="P3787" i="1"/>
  <c r="U3786" i="1"/>
  <c r="T3786" i="1"/>
  <c r="S3786" i="1"/>
  <c r="R3786" i="1"/>
  <c r="Q3786" i="1"/>
  <c r="P3786" i="1"/>
  <c r="U3785" i="1"/>
  <c r="T3785" i="1"/>
  <c r="S3785" i="1"/>
  <c r="R3785" i="1"/>
  <c r="Q3785" i="1"/>
  <c r="P3785" i="1"/>
  <c r="U3784" i="1"/>
  <c r="T3784" i="1"/>
  <c r="S3784" i="1"/>
  <c r="R3784" i="1"/>
  <c r="Q3784" i="1"/>
  <c r="P3784" i="1"/>
  <c r="U3783" i="1"/>
  <c r="T3783" i="1"/>
  <c r="S3783" i="1"/>
  <c r="R3783" i="1"/>
  <c r="Q3783" i="1"/>
  <c r="P3783" i="1"/>
  <c r="U3782" i="1"/>
  <c r="T3782" i="1"/>
  <c r="S3782" i="1"/>
  <c r="R3782" i="1"/>
  <c r="Q3782" i="1"/>
  <c r="P3782" i="1"/>
  <c r="U3781" i="1"/>
  <c r="T3781" i="1"/>
  <c r="S3781" i="1"/>
  <c r="R3781" i="1"/>
  <c r="Q3781" i="1"/>
  <c r="P3781" i="1"/>
  <c r="U3780" i="1"/>
  <c r="T3780" i="1"/>
  <c r="S3780" i="1"/>
  <c r="R3780" i="1"/>
  <c r="Q3780" i="1"/>
  <c r="P3780" i="1"/>
  <c r="U3779" i="1"/>
  <c r="T3779" i="1"/>
  <c r="S3779" i="1"/>
  <c r="R3779" i="1"/>
  <c r="Q3779" i="1"/>
  <c r="P3779" i="1"/>
  <c r="U3778" i="1"/>
  <c r="T3778" i="1"/>
  <c r="S3778" i="1"/>
  <c r="R3778" i="1"/>
  <c r="Q3778" i="1"/>
  <c r="P3778" i="1"/>
  <c r="U3777" i="1"/>
  <c r="T3777" i="1"/>
  <c r="S3777" i="1"/>
  <c r="R3777" i="1"/>
  <c r="Q3777" i="1"/>
  <c r="P3777" i="1"/>
  <c r="U3776" i="1"/>
  <c r="T3776" i="1"/>
  <c r="S3776" i="1"/>
  <c r="R3776" i="1"/>
  <c r="Q3776" i="1"/>
  <c r="P3776" i="1"/>
  <c r="U3775" i="1"/>
  <c r="T3775" i="1"/>
  <c r="S3775" i="1"/>
  <c r="R3775" i="1"/>
  <c r="Q3775" i="1"/>
  <c r="P3775" i="1"/>
  <c r="U3774" i="1"/>
  <c r="T3774" i="1"/>
  <c r="S3774" i="1"/>
  <c r="R3774" i="1"/>
  <c r="Q3774" i="1"/>
  <c r="P3774" i="1"/>
  <c r="U3773" i="1"/>
  <c r="T3773" i="1"/>
  <c r="S3773" i="1"/>
  <c r="R3773" i="1"/>
  <c r="Q3773" i="1"/>
  <c r="P3773" i="1"/>
  <c r="U3772" i="1"/>
  <c r="T3772" i="1"/>
  <c r="S3772" i="1"/>
  <c r="R3772" i="1"/>
  <c r="Q3772" i="1"/>
  <c r="P3772" i="1"/>
  <c r="U3771" i="1"/>
  <c r="T3771" i="1"/>
  <c r="S3771" i="1"/>
  <c r="R3771" i="1"/>
  <c r="Q3771" i="1"/>
  <c r="P3771" i="1"/>
  <c r="U3770" i="1"/>
  <c r="T3770" i="1"/>
  <c r="S3770" i="1"/>
  <c r="R3770" i="1"/>
  <c r="Q3770" i="1"/>
  <c r="P3770" i="1"/>
  <c r="U3769" i="1"/>
  <c r="T3769" i="1"/>
  <c r="S3769" i="1"/>
  <c r="R3769" i="1"/>
  <c r="Q3769" i="1"/>
  <c r="P3769" i="1"/>
  <c r="U3768" i="1"/>
  <c r="T3768" i="1"/>
  <c r="S3768" i="1"/>
  <c r="R3768" i="1"/>
  <c r="Q3768" i="1"/>
  <c r="P3768" i="1"/>
  <c r="U3767" i="1"/>
  <c r="T3767" i="1"/>
  <c r="S3767" i="1"/>
  <c r="R3767" i="1"/>
  <c r="Q3767" i="1"/>
  <c r="P3767" i="1"/>
  <c r="U3766" i="1"/>
  <c r="T3766" i="1"/>
  <c r="S3766" i="1"/>
  <c r="R3766" i="1"/>
  <c r="Q3766" i="1"/>
  <c r="P3766" i="1"/>
  <c r="U3765" i="1"/>
  <c r="T3765" i="1"/>
  <c r="S3765" i="1"/>
  <c r="R3765" i="1"/>
  <c r="Q3765" i="1"/>
  <c r="P3765" i="1"/>
  <c r="U3764" i="1"/>
  <c r="T3764" i="1"/>
  <c r="S3764" i="1"/>
  <c r="R3764" i="1"/>
  <c r="Q3764" i="1"/>
  <c r="P3764" i="1"/>
  <c r="U3763" i="1"/>
  <c r="T3763" i="1"/>
  <c r="S3763" i="1"/>
  <c r="R3763" i="1"/>
  <c r="Q3763" i="1"/>
  <c r="P3763" i="1"/>
  <c r="U3762" i="1"/>
  <c r="T3762" i="1"/>
  <c r="S3762" i="1"/>
  <c r="R3762" i="1"/>
  <c r="Q3762" i="1"/>
  <c r="P3762" i="1"/>
  <c r="U3761" i="1"/>
  <c r="T3761" i="1"/>
  <c r="S3761" i="1"/>
  <c r="R3761" i="1"/>
  <c r="Q3761" i="1"/>
  <c r="P3761" i="1"/>
  <c r="U3760" i="1"/>
  <c r="T3760" i="1"/>
  <c r="S3760" i="1"/>
  <c r="R3760" i="1"/>
  <c r="Q3760" i="1"/>
  <c r="P3760" i="1"/>
  <c r="U3759" i="1"/>
  <c r="T3759" i="1"/>
  <c r="S3759" i="1"/>
  <c r="R3759" i="1"/>
  <c r="Q3759" i="1"/>
  <c r="P3759" i="1"/>
  <c r="U3758" i="1"/>
  <c r="T3758" i="1"/>
  <c r="S3758" i="1"/>
  <c r="R3758" i="1"/>
  <c r="Q3758" i="1"/>
  <c r="P3758" i="1"/>
  <c r="U3757" i="1"/>
  <c r="T3757" i="1"/>
  <c r="S3757" i="1"/>
  <c r="R3757" i="1"/>
  <c r="Q3757" i="1"/>
  <c r="P3757" i="1"/>
  <c r="U3756" i="1"/>
  <c r="T3756" i="1"/>
  <c r="S3756" i="1"/>
  <c r="R3756" i="1"/>
  <c r="Q3756" i="1"/>
  <c r="P3756" i="1"/>
  <c r="U3755" i="1"/>
  <c r="T3755" i="1"/>
  <c r="S3755" i="1"/>
  <c r="R3755" i="1"/>
  <c r="Q3755" i="1"/>
  <c r="P3755" i="1"/>
  <c r="U3754" i="1"/>
  <c r="T3754" i="1"/>
  <c r="S3754" i="1"/>
  <c r="R3754" i="1"/>
  <c r="Q3754" i="1"/>
  <c r="P3754" i="1"/>
  <c r="U3753" i="1"/>
  <c r="T3753" i="1"/>
  <c r="S3753" i="1"/>
  <c r="R3753" i="1"/>
  <c r="Q3753" i="1"/>
  <c r="P3753" i="1"/>
  <c r="U3752" i="1"/>
  <c r="T3752" i="1"/>
  <c r="S3752" i="1"/>
  <c r="R3752" i="1"/>
  <c r="Q3752" i="1"/>
  <c r="P3752" i="1"/>
  <c r="U3751" i="1"/>
  <c r="T3751" i="1"/>
  <c r="S3751" i="1"/>
  <c r="R3751" i="1"/>
  <c r="Q3751" i="1"/>
  <c r="P3751" i="1"/>
  <c r="U3750" i="1"/>
  <c r="T3750" i="1"/>
  <c r="S3750" i="1"/>
  <c r="R3750" i="1"/>
  <c r="Q3750" i="1"/>
  <c r="P3750" i="1"/>
  <c r="U3749" i="1"/>
  <c r="T3749" i="1"/>
  <c r="S3749" i="1"/>
  <c r="R3749" i="1"/>
  <c r="Q3749" i="1"/>
  <c r="P3749" i="1"/>
  <c r="U3748" i="1"/>
  <c r="T3748" i="1"/>
  <c r="S3748" i="1"/>
  <c r="R3748" i="1"/>
  <c r="Q3748" i="1"/>
  <c r="P3748" i="1"/>
  <c r="U3747" i="1"/>
  <c r="T3747" i="1"/>
  <c r="S3747" i="1"/>
  <c r="R3747" i="1"/>
  <c r="Q3747" i="1"/>
  <c r="P3747" i="1"/>
  <c r="U3746" i="1"/>
  <c r="T3746" i="1"/>
  <c r="S3746" i="1"/>
  <c r="R3746" i="1"/>
  <c r="Q3746" i="1"/>
  <c r="P3746" i="1"/>
  <c r="U3745" i="1"/>
  <c r="T3745" i="1"/>
  <c r="S3745" i="1"/>
  <c r="R3745" i="1"/>
  <c r="Q3745" i="1"/>
  <c r="P3745" i="1"/>
  <c r="U3744" i="1"/>
  <c r="T3744" i="1"/>
  <c r="S3744" i="1"/>
  <c r="R3744" i="1"/>
  <c r="Q3744" i="1"/>
  <c r="P3744" i="1"/>
  <c r="U3743" i="1"/>
  <c r="T3743" i="1"/>
  <c r="S3743" i="1"/>
  <c r="R3743" i="1"/>
  <c r="Q3743" i="1"/>
  <c r="P3743" i="1"/>
  <c r="U3742" i="1"/>
  <c r="T3742" i="1"/>
  <c r="S3742" i="1"/>
  <c r="R3742" i="1"/>
  <c r="Q3742" i="1"/>
  <c r="P3742" i="1"/>
  <c r="U3741" i="1"/>
  <c r="T3741" i="1"/>
  <c r="S3741" i="1"/>
  <c r="R3741" i="1"/>
  <c r="Q3741" i="1"/>
  <c r="P3741" i="1"/>
  <c r="U3740" i="1"/>
  <c r="T3740" i="1"/>
  <c r="S3740" i="1"/>
  <c r="R3740" i="1"/>
  <c r="Q3740" i="1"/>
  <c r="P3740" i="1"/>
  <c r="U3739" i="1"/>
  <c r="T3739" i="1"/>
  <c r="S3739" i="1"/>
  <c r="R3739" i="1"/>
  <c r="Q3739" i="1"/>
  <c r="P3739" i="1"/>
  <c r="U3738" i="1"/>
  <c r="T3738" i="1"/>
  <c r="S3738" i="1"/>
  <c r="R3738" i="1"/>
  <c r="Q3738" i="1"/>
  <c r="P3738" i="1"/>
  <c r="U3737" i="1"/>
  <c r="T3737" i="1"/>
  <c r="S3737" i="1"/>
  <c r="R3737" i="1"/>
  <c r="Q3737" i="1"/>
  <c r="P3737" i="1"/>
  <c r="U3736" i="1"/>
  <c r="T3736" i="1"/>
  <c r="S3736" i="1"/>
  <c r="R3736" i="1"/>
  <c r="Q3736" i="1"/>
  <c r="P3736" i="1"/>
  <c r="U3735" i="1"/>
  <c r="T3735" i="1"/>
  <c r="S3735" i="1"/>
  <c r="R3735" i="1"/>
  <c r="Q3735" i="1"/>
  <c r="P3735" i="1"/>
  <c r="U3734" i="1"/>
  <c r="T3734" i="1"/>
  <c r="S3734" i="1"/>
  <c r="R3734" i="1"/>
  <c r="Q3734" i="1"/>
  <c r="P3734" i="1"/>
  <c r="U3733" i="1"/>
  <c r="T3733" i="1"/>
  <c r="S3733" i="1"/>
  <c r="R3733" i="1"/>
  <c r="Q3733" i="1"/>
  <c r="P3733" i="1"/>
  <c r="U3732" i="1"/>
  <c r="T3732" i="1"/>
  <c r="S3732" i="1"/>
  <c r="R3732" i="1"/>
  <c r="Q3732" i="1"/>
  <c r="P3732" i="1"/>
  <c r="U3731" i="1"/>
  <c r="T3731" i="1"/>
  <c r="S3731" i="1"/>
  <c r="R3731" i="1"/>
  <c r="Q3731" i="1"/>
  <c r="P3731" i="1"/>
  <c r="U3730" i="1"/>
  <c r="T3730" i="1"/>
  <c r="S3730" i="1"/>
  <c r="R3730" i="1"/>
  <c r="Q3730" i="1"/>
  <c r="P3730" i="1"/>
  <c r="U3729" i="1"/>
  <c r="T3729" i="1"/>
  <c r="S3729" i="1"/>
  <c r="R3729" i="1"/>
  <c r="Q3729" i="1"/>
  <c r="P3729" i="1"/>
  <c r="U3728" i="1"/>
  <c r="T3728" i="1"/>
  <c r="S3728" i="1"/>
  <c r="R3728" i="1"/>
  <c r="Q3728" i="1"/>
  <c r="P3728" i="1"/>
  <c r="U3727" i="1"/>
  <c r="T3727" i="1"/>
  <c r="S3727" i="1"/>
  <c r="R3727" i="1"/>
  <c r="Q3727" i="1"/>
  <c r="P3727" i="1"/>
  <c r="U3726" i="1"/>
  <c r="T3726" i="1"/>
  <c r="S3726" i="1"/>
  <c r="R3726" i="1"/>
  <c r="Q3726" i="1"/>
  <c r="P3726" i="1"/>
  <c r="U3725" i="1"/>
  <c r="T3725" i="1"/>
  <c r="S3725" i="1"/>
  <c r="R3725" i="1"/>
  <c r="Q3725" i="1"/>
  <c r="P3725" i="1"/>
  <c r="U3724" i="1"/>
  <c r="T3724" i="1"/>
  <c r="S3724" i="1"/>
  <c r="R3724" i="1"/>
  <c r="Q3724" i="1"/>
  <c r="P3724" i="1"/>
  <c r="U3723" i="1"/>
  <c r="T3723" i="1"/>
  <c r="S3723" i="1"/>
  <c r="R3723" i="1"/>
  <c r="Q3723" i="1"/>
  <c r="P3723" i="1"/>
  <c r="U3722" i="1"/>
  <c r="T3722" i="1"/>
  <c r="S3722" i="1"/>
  <c r="R3722" i="1"/>
  <c r="Q3722" i="1"/>
  <c r="P3722" i="1"/>
  <c r="U3721" i="1"/>
  <c r="T3721" i="1"/>
  <c r="S3721" i="1"/>
  <c r="R3721" i="1"/>
  <c r="Q3721" i="1"/>
  <c r="P3721" i="1"/>
  <c r="U3720" i="1"/>
  <c r="T3720" i="1"/>
  <c r="S3720" i="1"/>
  <c r="R3720" i="1"/>
  <c r="Q3720" i="1"/>
  <c r="P3720" i="1"/>
  <c r="U3719" i="1"/>
  <c r="T3719" i="1"/>
  <c r="S3719" i="1"/>
  <c r="R3719" i="1"/>
  <c r="Q3719" i="1"/>
  <c r="P3719" i="1"/>
  <c r="U3718" i="1"/>
  <c r="T3718" i="1"/>
  <c r="S3718" i="1"/>
  <c r="R3718" i="1"/>
  <c r="Q3718" i="1"/>
  <c r="P3718" i="1"/>
  <c r="U3717" i="1"/>
  <c r="T3717" i="1"/>
  <c r="S3717" i="1"/>
  <c r="R3717" i="1"/>
  <c r="Q3717" i="1"/>
  <c r="P3717" i="1"/>
  <c r="U3716" i="1"/>
  <c r="T3716" i="1"/>
  <c r="S3716" i="1"/>
  <c r="R3716" i="1"/>
  <c r="Q3716" i="1"/>
  <c r="P3716" i="1"/>
  <c r="U3715" i="1"/>
  <c r="T3715" i="1"/>
  <c r="S3715" i="1"/>
  <c r="R3715" i="1"/>
  <c r="Q3715" i="1"/>
  <c r="P3715" i="1"/>
  <c r="U3714" i="1"/>
  <c r="T3714" i="1"/>
  <c r="S3714" i="1"/>
  <c r="R3714" i="1"/>
  <c r="Q3714" i="1"/>
  <c r="P3714" i="1"/>
  <c r="U3713" i="1"/>
  <c r="T3713" i="1"/>
  <c r="S3713" i="1"/>
  <c r="R3713" i="1"/>
  <c r="Q3713" i="1"/>
  <c r="P3713" i="1"/>
  <c r="U3712" i="1"/>
  <c r="T3712" i="1"/>
  <c r="S3712" i="1"/>
  <c r="R3712" i="1"/>
  <c r="Q3712" i="1"/>
  <c r="P3712" i="1"/>
  <c r="U3711" i="1"/>
  <c r="T3711" i="1"/>
  <c r="S3711" i="1"/>
  <c r="R3711" i="1"/>
  <c r="Q3711" i="1"/>
  <c r="P3711" i="1"/>
  <c r="U3710" i="1"/>
  <c r="T3710" i="1"/>
  <c r="S3710" i="1"/>
  <c r="R3710" i="1"/>
  <c r="Q3710" i="1"/>
  <c r="P3710" i="1"/>
  <c r="U3709" i="1"/>
  <c r="T3709" i="1"/>
  <c r="S3709" i="1"/>
  <c r="R3709" i="1"/>
  <c r="Q3709" i="1"/>
  <c r="P3709" i="1"/>
  <c r="U3708" i="1"/>
  <c r="T3708" i="1"/>
  <c r="S3708" i="1"/>
  <c r="R3708" i="1"/>
  <c r="Q3708" i="1"/>
  <c r="P3708" i="1"/>
  <c r="U3707" i="1"/>
  <c r="T3707" i="1"/>
  <c r="S3707" i="1"/>
  <c r="R3707" i="1"/>
  <c r="Q3707" i="1"/>
  <c r="P3707" i="1"/>
  <c r="U3706" i="1"/>
  <c r="T3706" i="1"/>
  <c r="S3706" i="1"/>
  <c r="R3706" i="1"/>
  <c r="Q3706" i="1"/>
  <c r="P3706" i="1"/>
  <c r="U3705" i="1"/>
  <c r="T3705" i="1"/>
  <c r="S3705" i="1"/>
  <c r="R3705" i="1"/>
  <c r="Q3705" i="1"/>
  <c r="P3705" i="1"/>
  <c r="U3704" i="1"/>
  <c r="T3704" i="1"/>
  <c r="S3704" i="1"/>
  <c r="R3704" i="1"/>
  <c r="Q3704" i="1"/>
  <c r="P3704" i="1"/>
  <c r="U3703" i="1"/>
  <c r="T3703" i="1"/>
  <c r="S3703" i="1"/>
  <c r="R3703" i="1"/>
  <c r="Q3703" i="1"/>
  <c r="P3703" i="1"/>
  <c r="U3702" i="1"/>
  <c r="T3702" i="1"/>
  <c r="S3702" i="1"/>
  <c r="R3702" i="1"/>
  <c r="Q3702" i="1"/>
  <c r="P3702" i="1"/>
  <c r="U3701" i="1"/>
  <c r="T3701" i="1"/>
  <c r="S3701" i="1"/>
  <c r="R3701" i="1"/>
  <c r="Q3701" i="1"/>
  <c r="P3701" i="1"/>
  <c r="U3700" i="1"/>
  <c r="T3700" i="1"/>
  <c r="S3700" i="1"/>
  <c r="R3700" i="1"/>
  <c r="Q3700" i="1"/>
  <c r="P3700" i="1"/>
  <c r="U3699" i="1"/>
  <c r="T3699" i="1"/>
  <c r="S3699" i="1"/>
  <c r="R3699" i="1"/>
  <c r="Q3699" i="1"/>
  <c r="P3699" i="1"/>
  <c r="U3698" i="1"/>
  <c r="T3698" i="1"/>
  <c r="S3698" i="1"/>
  <c r="R3698" i="1"/>
  <c r="Q3698" i="1"/>
  <c r="P3698" i="1"/>
  <c r="U3697" i="1"/>
  <c r="T3697" i="1"/>
  <c r="S3697" i="1"/>
  <c r="R3697" i="1"/>
  <c r="Q3697" i="1"/>
  <c r="P3697" i="1"/>
  <c r="U3696" i="1"/>
  <c r="T3696" i="1"/>
  <c r="S3696" i="1"/>
  <c r="R3696" i="1"/>
  <c r="Q3696" i="1"/>
  <c r="P3696" i="1"/>
  <c r="U3695" i="1"/>
  <c r="T3695" i="1"/>
  <c r="S3695" i="1"/>
  <c r="R3695" i="1"/>
  <c r="Q3695" i="1"/>
  <c r="P3695" i="1"/>
  <c r="U3694" i="1"/>
  <c r="T3694" i="1"/>
  <c r="S3694" i="1"/>
  <c r="R3694" i="1"/>
  <c r="Q3694" i="1"/>
  <c r="P3694" i="1"/>
  <c r="U3693" i="1"/>
  <c r="T3693" i="1"/>
  <c r="S3693" i="1"/>
  <c r="R3693" i="1"/>
  <c r="Q3693" i="1"/>
  <c r="P3693" i="1"/>
  <c r="U3692" i="1"/>
  <c r="T3692" i="1"/>
  <c r="S3692" i="1"/>
  <c r="R3692" i="1"/>
  <c r="Q3692" i="1"/>
  <c r="P3692" i="1"/>
  <c r="U3691" i="1"/>
  <c r="T3691" i="1"/>
  <c r="S3691" i="1"/>
  <c r="R3691" i="1"/>
  <c r="Q3691" i="1"/>
  <c r="P3691" i="1"/>
  <c r="U3690" i="1"/>
  <c r="T3690" i="1"/>
  <c r="S3690" i="1"/>
  <c r="R3690" i="1"/>
  <c r="Q3690" i="1"/>
  <c r="P3690" i="1"/>
  <c r="U3689" i="1"/>
  <c r="T3689" i="1"/>
  <c r="S3689" i="1"/>
  <c r="R3689" i="1"/>
  <c r="Q3689" i="1"/>
  <c r="P3689" i="1"/>
  <c r="U3688" i="1"/>
  <c r="T3688" i="1"/>
  <c r="S3688" i="1"/>
  <c r="R3688" i="1"/>
  <c r="Q3688" i="1"/>
  <c r="P3688" i="1"/>
  <c r="U3687" i="1"/>
  <c r="T3687" i="1"/>
  <c r="S3687" i="1"/>
  <c r="R3687" i="1"/>
  <c r="Q3687" i="1"/>
  <c r="P3687" i="1"/>
  <c r="U3686" i="1"/>
  <c r="T3686" i="1"/>
  <c r="S3686" i="1"/>
  <c r="R3686" i="1"/>
  <c r="Q3686" i="1"/>
  <c r="P3686" i="1"/>
  <c r="U3685" i="1"/>
  <c r="T3685" i="1"/>
  <c r="S3685" i="1"/>
  <c r="R3685" i="1"/>
  <c r="Q3685" i="1"/>
  <c r="P3685" i="1"/>
  <c r="U3684" i="1"/>
  <c r="T3684" i="1"/>
  <c r="S3684" i="1"/>
  <c r="R3684" i="1"/>
  <c r="Q3684" i="1"/>
  <c r="P3684" i="1"/>
  <c r="U3683" i="1"/>
  <c r="T3683" i="1"/>
  <c r="S3683" i="1"/>
  <c r="R3683" i="1"/>
  <c r="Q3683" i="1"/>
  <c r="P3683" i="1"/>
  <c r="U3682" i="1"/>
  <c r="T3682" i="1"/>
  <c r="S3682" i="1"/>
  <c r="R3682" i="1"/>
  <c r="Q3682" i="1"/>
  <c r="P3682" i="1"/>
  <c r="U3681" i="1"/>
  <c r="T3681" i="1"/>
  <c r="S3681" i="1"/>
  <c r="R3681" i="1"/>
  <c r="Q3681" i="1"/>
  <c r="P3681" i="1"/>
  <c r="U3680" i="1"/>
  <c r="T3680" i="1"/>
  <c r="S3680" i="1"/>
  <c r="R3680" i="1"/>
  <c r="Q3680" i="1"/>
  <c r="P3680" i="1"/>
  <c r="U3679" i="1"/>
  <c r="T3679" i="1"/>
  <c r="S3679" i="1"/>
  <c r="R3679" i="1"/>
  <c r="Q3679" i="1"/>
  <c r="P3679" i="1"/>
  <c r="U3678" i="1"/>
  <c r="T3678" i="1"/>
  <c r="S3678" i="1"/>
  <c r="R3678" i="1"/>
  <c r="Q3678" i="1"/>
  <c r="P3678" i="1"/>
  <c r="U3677" i="1"/>
  <c r="T3677" i="1"/>
  <c r="S3677" i="1"/>
  <c r="R3677" i="1"/>
  <c r="Q3677" i="1"/>
  <c r="P3677" i="1"/>
  <c r="U3676" i="1"/>
  <c r="T3676" i="1"/>
  <c r="S3676" i="1"/>
  <c r="R3676" i="1"/>
  <c r="Q3676" i="1"/>
  <c r="P3676" i="1"/>
  <c r="U3675" i="1"/>
  <c r="T3675" i="1"/>
  <c r="S3675" i="1"/>
  <c r="R3675" i="1"/>
  <c r="Q3675" i="1"/>
  <c r="P3675" i="1"/>
  <c r="U3674" i="1"/>
  <c r="T3674" i="1"/>
  <c r="S3674" i="1"/>
  <c r="R3674" i="1"/>
  <c r="Q3674" i="1"/>
  <c r="P3674" i="1"/>
  <c r="U3673" i="1"/>
  <c r="T3673" i="1"/>
  <c r="S3673" i="1"/>
  <c r="R3673" i="1"/>
  <c r="Q3673" i="1"/>
  <c r="P3673" i="1"/>
  <c r="U3672" i="1"/>
  <c r="T3672" i="1"/>
  <c r="S3672" i="1"/>
  <c r="R3672" i="1"/>
  <c r="Q3672" i="1"/>
  <c r="P3672" i="1"/>
  <c r="U3671" i="1"/>
  <c r="T3671" i="1"/>
  <c r="S3671" i="1"/>
  <c r="R3671" i="1"/>
  <c r="Q3671" i="1"/>
  <c r="P3671" i="1"/>
  <c r="U3670" i="1"/>
  <c r="T3670" i="1"/>
  <c r="S3670" i="1"/>
  <c r="R3670" i="1"/>
  <c r="Q3670" i="1"/>
  <c r="P3670" i="1"/>
  <c r="U3669" i="1"/>
  <c r="T3669" i="1"/>
  <c r="S3669" i="1"/>
  <c r="R3669" i="1"/>
  <c r="Q3669" i="1"/>
  <c r="P3669" i="1"/>
  <c r="U3668" i="1"/>
  <c r="T3668" i="1"/>
  <c r="S3668" i="1"/>
  <c r="R3668" i="1"/>
  <c r="Q3668" i="1"/>
  <c r="P3668" i="1"/>
  <c r="U3667" i="1"/>
  <c r="T3667" i="1"/>
  <c r="S3667" i="1"/>
  <c r="R3667" i="1"/>
  <c r="Q3667" i="1"/>
  <c r="P3667" i="1"/>
  <c r="U3666" i="1"/>
  <c r="T3666" i="1"/>
  <c r="S3666" i="1"/>
  <c r="R3666" i="1"/>
  <c r="Q3666" i="1"/>
  <c r="P3666" i="1"/>
  <c r="U3665" i="1"/>
  <c r="T3665" i="1"/>
  <c r="S3665" i="1"/>
  <c r="R3665" i="1"/>
  <c r="Q3665" i="1"/>
  <c r="P3665" i="1"/>
  <c r="U3664" i="1"/>
  <c r="T3664" i="1"/>
  <c r="S3664" i="1"/>
  <c r="R3664" i="1"/>
  <c r="Q3664" i="1"/>
  <c r="P3664" i="1"/>
  <c r="U3663" i="1"/>
  <c r="T3663" i="1"/>
  <c r="S3663" i="1"/>
  <c r="R3663" i="1"/>
  <c r="Q3663" i="1"/>
  <c r="P3663" i="1"/>
  <c r="U3662" i="1"/>
  <c r="T3662" i="1"/>
  <c r="S3662" i="1"/>
  <c r="R3662" i="1"/>
  <c r="Q3662" i="1"/>
  <c r="P3662" i="1"/>
  <c r="U3661" i="1"/>
  <c r="T3661" i="1"/>
  <c r="S3661" i="1"/>
  <c r="R3661" i="1"/>
  <c r="Q3661" i="1"/>
  <c r="P3661" i="1"/>
  <c r="U3660" i="1"/>
  <c r="T3660" i="1"/>
  <c r="S3660" i="1"/>
  <c r="R3660" i="1"/>
  <c r="Q3660" i="1"/>
  <c r="P3660" i="1"/>
  <c r="U3659" i="1"/>
  <c r="T3659" i="1"/>
  <c r="S3659" i="1"/>
  <c r="R3659" i="1"/>
  <c r="Q3659" i="1"/>
  <c r="P3659" i="1"/>
  <c r="U3658" i="1"/>
  <c r="T3658" i="1"/>
  <c r="S3658" i="1"/>
  <c r="R3658" i="1"/>
  <c r="Q3658" i="1"/>
  <c r="P3658" i="1"/>
  <c r="U3657" i="1"/>
  <c r="T3657" i="1"/>
  <c r="S3657" i="1"/>
  <c r="R3657" i="1"/>
  <c r="Q3657" i="1"/>
  <c r="P3657" i="1"/>
  <c r="U3656" i="1"/>
  <c r="T3656" i="1"/>
  <c r="S3656" i="1"/>
  <c r="R3656" i="1"/>
  <c r="Q3656" i="1"/>
  <c r="P3656" i="1"/>
  <c r="U3655" i="1"/>
  <c r="T3655" i="1"/>
  <c r="S3655" i="1"/>
  <c r="R3655" i="1"/>
  <c r="Q3655" i="1"/>
  <c r="P3655" i="1"/>
  <c r="U3654" i="1"/>
  <c r="T3654" i="1"/>
  <c r="S3654" i="1"/>
  <c r="R3654" i="1"/>
  <c r="Q3654" i="1"/>
  <c r="P3654" i="1"/>
  <c r="U3653" i="1"/>
  <c r="T3653" i="1"/>
  <c r="S3653" i="1"/>
  <c r="R3653" i="1"/>
  <c r="Q3653" i="1"/>
  <c r="P3653" i="1"/>
  <c r="U3652" i="1"/>
  <c r="T3652" i="1"/>
  <c r="S3652" i="1"/>
  <c r="R3652" i="1"/>
  <c r="Q3652" i="1"/>
  <c r="P3652" i="1"/>
  <c r="U3651" i="1"/>
  <c r="T3651" i="1"/>
  <c r="S3651" i="1"/>
  <c r="R3651" i="1"/>
  <c r="Q3651" i="1"/>
  <c r="P3651" i="1"/>
  <c r="U3650" i="1"/>
  <c r="T3650" i="1"/>
  <c r="S3650" i="1"/>
  <c r="R3650" i="1"/>
  <c r="Q3650" i="1"/>
  <c r="P3650" i="1"/>
  <c r="U3649" i="1"/>
  <c r="T3649" i="1"/>
  <c r="S3649" i="1"/>
  <c r="R3649" i="1"/>
  <c r="Q3649" i="1"/>
  <c r="P3649" i="1"/>
  <c r="U3648" i="1"/>
  <c r="T3648" i="1"/>
  <c r="S3648" i="1"/>
  <c r="R3648" i="1"/>
  <c r="Q3648" i="1"/>
  <c r="P3648" i="1"/>
  <c r="U3647" i="1"/>
  <c r="T3647" i="1"/>
  <c r="S3647" i="1"/>
  <c r="R3647" i="1"/>
  <c r="Q3647" i="1"/>
  <c r="P3647" i="1"/>
  <c r="U3646" i="1"/>
  <c r="T3646" i="1"/>
  <c r="S3646" i="1"/>
  <c r="R3646" i="1"/>
  <c r="Q3646" i="1"/>
  <c r="P3646" i="1"/>
  <c r="U3645" i="1"/>
  <c r="T3645" i="1"/>
  <c r="S3645" i="1"/>
  <c r="R3645" i="1"/>
  <c r="Q3645" i="1"/>
  <c r="P3645" i="1"/>
  <c r="U3644" i="1"/>
  <c r="T3644" i="1"/>
  <c r="S3644" i="1"/>
  <c r="R3644" i="1"/>
  <c r="Q3644" i="1"/>
  <c r="P3644" i="1"/>
  <c r="U3643" i="1"/>
  <c r="T3643" i="1"/>
  <c r="S3643" i="1"/>
  <c r="R3643" i="1"/>
  <c r="Q3643" i="1"/>
  <c r="P3643" i="1"/>
  <c r="U3642" i="1"/>
  <c r="T3642" i="1"/>
  <c r="S3642" i="1"/>
  <c r="R3642" i="1"/>
  <c r="Q3642" i="1"/>
  <c r="P3642" i="1"/>
  <c r="U3641" i="1"/>
  <c r="T3641" i="1"/>
  <c r="S3641" i="1"/>
  <c r="R3641" i="1"/>
  <c r="Q3641" i="1"/>
  <c r="P3641" i="1"/>
  <c r="U3640" i="1"/>
  <c r="T3640" i="1"/>
  <c r="S3640" i="1"/>
  <c r="R3640" i="1"/>
  <c r="Q3640" i="1"/>
  <c r="P3640" i="1"/>
  <c r="U3639" i="1"/>
  <c r="T3639" i="1"/>
  <c r="S3639" i="1"/>
  <c r="R3639" i="1"/>
  <c r="Q3639" i="1"/>
  <c r="P3639" i="1"/>
  <c r="U3638" i="1"/>
  <c r="T3638" i="1"/>
  <c r="S3638" i="1"/>
  <c r="R3638" i="1"/>
  <c r="Q3638" i="1"/>
  <c r="P3638" i="1"/>
  <c r="U3637" i="1"/>
  <c r="T3637" i="1"/>
  <c r="S3637" i="1"/>
  <c r="R3637" i="1"/>
  <c r="Q3637" i="1"/>
  <c r="P3637" i="1"/>
  <c r="U3636" i="1"/>
  <c r="T3636" i="1"/>
  <c r="S3636" i="1"/>
  <c r="R3636" i="1"/>
  <c r="Q3636" i="1"/>
  <c r="P3636" i="1"/>
  <c r="U3635" i="1"/>
  <c r="T3635" i="1"/>
  <c r="S3635" i="1"/>
  <c r="R3635" i="1"/>
  <c r="Q3635" i="1"/>
  <c r="P3635" i="1"/>
  <c r="U3634" i="1"/>
  <c r="T3634" i="1"/>
  <c r="S3634" i="1"/>
  <c r="R3634" i="1"/>
  <c r="Q3634" i="1"/>
  <c r="P3634" i="1"/>
  <c r="U3633" i="1"/>
  <c r="T3633" i="1"/>
  <c r="S3633" i="1"/>
  <c r="R3633" i="1"/>
  <c r="Q3633" i="1"/>
  <c r="P3633" i="1"/>
  <c r="U3632" i="1"/>
  <c r="T3632" i="1"/>
  <c r="S3632" i="1"/>
  <c r="R3632" i="1"/>
  <c r="Q3632" i="1"/>
  <c r="P3632" i="1"/>
  <c r="U3631" i="1"/>
  <c r="T3631" i="1"/>
  <c r="S3631" i="1"/>
  <c r="R3631" i="1"/>
  <c r="Q3631" i="1"/>
  <c r="P3631" i="1"/>
  <c r="U3630" i="1"/>
  <c r="T3630" i="1"/>
  <c r="S3630" i="1"/>
  <c r="R3630" i="1"/>
  <c r="Q3630" i="1"/>
  <c r="P3630" i="1"/>
  <c r="U3629" i="1"/>
  <c r="T3629" i="1"/>
  <c r="S3629" i="1"/>
  <c r="R3629" i="1"/>
  <c r="Q3629" i="1"/>
  <c r="P3629" i="1"/>
  <c r="U3628" i="1"/>
  <c r="T3628" i="1"/>
  <c r="S3628" i="1"/>
  <c r="R3628" i="1"/>
  <c r="Q3628" i="1"/>
  <c r="P3628" i="1"/>
  <c r="U3627" i="1"/>
  <c r="T3627" i="1"/>
  <c r="S3627" i="1"/>
  <c r="R3627" i="1"/>
  <c r="Q3627" i="1"/>
  <c r="P3627" i="1"/>
  <c r="U3626" i="1"/>
  <c r="T3626" i="1"/>
  <c r="S3626" i="1"/>
  <c r="R3626" i="1"/>
  <c r="Q3626" i="1"/>
  <c r="P3626" i="1"/>
  <c r="U3625" i="1"/>
  <c r="T3625" i="1"/>
  <c r="S3625" i="1"/>
  <c r="R3625" i="1"/>
  <c r="Q3625" i="1"/>
  <c r="P3625" i="1"/>
  <c r="U3624" i="1"/>
  <c r="T3624" i="1"/>
  <c r="S3624" i="1"/>
  <c r="R3624" i="1"/>
  <c r="Q3624" i="1"/>
  <c r="P3624" i="1"/>
  <c r="U3623" i="1"/>
  <c r="T3623" i="1"/>
  <c r="S3623" i="1"/>
  <c r="R3623" i="1"/>
  <c r="Q3623" i="1"/>
  <c r="P3623" i="1"/>
  <c r="U3622" i="1"/>
  <c r="T3622" i="1"/>
  <c r="S3622" i="1"/>
  <c r="R3622" i="1"/>
  <c r="Q3622" i="1"/>
  <c r="P3622" i="1"/>
  <c r="U3621" i="1"/>
  <c r="T3621" i="1"/>
  <c r="S3621" i="1"/>
  <c r="R3621" i="1"/>
  <c r="Q3621" i="1"/>
  <c r="P3621" i="1"/>
  <c r="U3620" i="1"/>
  <c r="T3620" i="1"/>
  <c r="S3620" i="1"/>
  <c r="R3620" i="1"/>
  <c r="Q3620" i="1"/>
  <c r="P3620" i="1"/>
  <c r="U3619" i="1"/>
  <c r="T3619" i="1"/>
  <c r="S3619" i="1"/>
  <c r="R3619" i="1"/>
  <c r="Q3619" i="1"/>
  <c r="P3619" i="1"/>
  <c r="U3618" i="1"/>
  <c r="T3618" i="1"/>
  <c r="S3618" i="1"/>
  <c r="R3618" i="1"/>
  <c r="Q3618" i="1"/>
  <c r="P3618" i="1"/>
  <c r="U3617" i="1"/>
  <c r="T3617" i="1"/>
  <c r="S3617" i="1"/>
  <c r="R3617" i="1"/>
  <c r="Q3617" i="1"/>
  <c r="P3617" i="1"/>
  <c r="U3616" i="1"/>
  <c r="T3616" i="1"/>
  <c r="S3616" i="1"/>
  <c r="R3616" i="1"/>
  <c r="Q3616" i="1"/>
  <c r="P3616" i="1"/>
  <c r="U3615" i="1"/>
  <c r="T3615" i="1"/>
  <c r="S3615" i="1"/>
  <c r="R3615" i="1"/>
  <c r="Q3615" i="1"/>
  <c r="P3615" i="1"/>
  <c r="U3614" i="1"/>
  <c r="T3614" i="1"/>
  <c r="S3614" i="1"/>
  <c r="R3614" i="1"/>
  <c r="Q3614" i="1"/>
  <c r="P3614" i="1"/>
  <c r="U3613" i="1"/>
  <c r="T3613" i="1"/>
  <c r="S3613" i="1"/>
  <c r="R3613" i="1"/>
  <c r="Q3613" i="1"/>
  <c r="P3613" i="1"/>
  <c r="U3612" i="1"/>
  <c r="T3612" i="1"/>
  <c r="S3612" i="1"/>
  <c r="R3612" i="1"/>
  <c r="Q3612" i="1"/>
  <c r="P3612" i="1"/>
  <c r="U3611" i="1"/>
  <c r="T3611" i="1"/>
  <c r="S3611" i="1"/>
  <c r="R3611" i="1"/>
  <c r="Q3611" i="1"/>
  <c r="P3611" i="1"/>
  <c r="U3610" i="1"/>
  <c r="T3610" i="1"/>
  <c r="S3610" i="1"/>
  <c r="R3610" i="1"/>
  <c r="Q3610" i="1"/>
  <c r="P3610" i="1"/>
  <c r="U3609" i="1"/>
  <c r="T3609" i="1"/>
  <c r="S3609" i="1"/>
  <c r="R3609" i="1"/>
  <c r="Q3609" i="1"/>
  <c r="P3609" i="1"/>
  <c r="U3608" i="1"/>
  <c r="T3608" i="1"/>
  <c r="S3608" i="1"/>
  <c r="R3608" i="1"/>
  <c r="Q3608" i="1"/>
  <c r="P3608" i="1"/>
  <c r="U3607" i="1"/>
  <c r="T3607" i="1"/>
  <c r="S3607" i="1"/>
  <c r="R3607" i="1"/>
  <c r="Q3607" i="1"/>
  <c r="P3607" i="1"/>
  <c r="U3606" i="1"/>
  <c r="T3606" i="1"/>
  <c r="S3606" i="1"/>
  <c r="R3606" i="1"/>
  <c r="Q3606" i="1"/>
  <c r="P3606" i="1"/>
  <c r="U3605" i="1"/>
  <c r="T3605" i="1"/>
  <c r="S3605" i="1"/>
  <c r="R3605" i="1"/>
  <c r="Q3605" i="1"/>
  <c r="P3605" i="1"/>
  <c r="U3604" i="1"/>
  <c r="T3604" i="1"/>
  <c r="S3604" i="1"/>
  <c r="R3604" i="1"/>
  <c r="Q3604" i="1"/>
  <c r="P3604" i="1"/>
  <c r="U3603" i="1"/>
  <c r="T3603" i="1"/>
  <c r="S3603" i="1"/>
  <c r="R3603" i="1"/>
  <c r="Q3603" i="1"/>
  <c r="P3603" i="1"/>
  <c r="U3602" i="1"/>
  <c r="T3602" i="1"/>
  <c r="S3602" i="1"/>
  <c r="R3602" i="1"/>
  <c r="Q3602" i="1"/>
  <c r="P3602" i="1"/>
  <c r="U3601" i="1"/>
  <c r="T3601" i="1"/>
  <c r="S3601" i="1"/>
  <c r="R3601" i="1"/>
  <c r="Q3601" i="1"/>
  <c r="P3601" i="1"/>
  <c r="U3600" i="1"/>
  <c r="T3600" i="1"/>
  <c r="S3600" i="1"/>
  <c r="R3600" i="1"/>
  <c r="Q3600" i="1"/>
  <c r="P3600" i="1"/>
  <c r="U3599" i="1"/>
  <c r="T3599" i="1"/>
  <c r="S3599" i="1"/>
  <c r="R3599" i="1"/>
  <c r="Q3599" i="1"/>
  <c r="P3599" i="1"/>
  <c r="U3598" i="1"/>
  <c r="T3598" i="1"/>
  <c r="S3598" i="1"/>
  <c r="R3598" i="1"/>
  <c r="Q3598" i="1"/>
  <c r="P3598" i="1"/>
  <c r="U3597" i="1"/>
  <c r="T3597" i="1"/>
  <c r="S3597" i="1"/>
  <c r="R3597" i="1"/>
  <c r="Q3597" i="1"/>
  <c r="P3597" i="1"/>
  <c r="U3596" i="1"/>
  <c r="T3596" i="1"/>
  <c r="S3596" i="1"/>
  <c r="R3596" i="1"/>
  <c r="Q3596" i="1"/>
  <c r="P3596" i="1"/>
  <c r="U3595" i="1"/>
  <c r="T3595" i="1"/>
  <c r="S3595" i="1"/>
  <c r="R3595" i="1"/>
  <c r="Q3595" i="1"/>
  <c r="P3595" i="1"/>
  <c r="U3594" i="1"/>
  <c r="T3594" i="1"/>
  <c r="S3594" i="1"/>
  <c r="R3594" i="1"/>
  <c r="Q3594" i="1"/>
  <c r="P3594" i="1"/>
  <c r="U3593" i="1"/>
  <c r="T3593" i="1"/>
  <c r="S3593" i="1"/>
  <c r="R3593" i="1"/>
  <c r="Q3593" i="1"/>
  <c r="P3593" i="1"/>
  <c r="U3592" i="1"/>
  <c r="T3592" i="1"/>
  <c r="S3592" i="1"/>
  <c r="R3592" i="1"/>
  <c r="Q3592" i="1"/>
  <c r="P3592" i="1"/>
  <c r="U3591" i="1"/>
  <c r="T3591" i="1"/>
  <c r="S3591" i="1"/>
  <c r="R3591" i="1"/>
  <c r="Q3591" i="1"/>
  <c r="P3591" i="1"/>
  <c r="U3590" i="1"/>
  <c r="T3590" i="1"/>
  <c r="S3590" i="1"/>
  <c r="R3590" i="1"/>
  <c r="Q3590" i="1"/>
  <c r="P3590" i="1"/>
  <c r="U3589" i="1"/>
  <c r="T3589" i="1"/>
  <c r="S3589" i="1"/>
  <c r="R3589" i="1"/>
  <c r="Q3589" i="1"/>
  <c r="P3589" i="1"/>
  <c r="U3588" i="1"/>
  <c r="T3588" i="1"/>
  <c r="S3588" i="1"/>
  <c r="R3588" i="1"/>
  <c r="Q3588" i="1"/>
  <c r="P3588" i="1"/>
  <c r="U3587" i="1"/>
  <c r="T3587" i="1"/>
  <c r="S3587" i="1"/>
  <c r="R3587" i="1"/>
  <c r="Q3587" i="1"/>
  <c r="P3587" i="1"/>
  <c r="U3586" i="1"/>
  <c r="T3586" i="1"/>
  <c r="S3586" i="1"/>
  <c r="R3586" i="1"/>
  <c r="Q3586" i="1"/>
  <c r="P3586" i="1"/>
  <c r="U3585" i="1"/>
  <c r="T3585" i="1"/>
  <c r="S3585" i="1"/>
  <c r="R3585" i="1"/>
  <c r="Q3585" i="1"/>
  <c r="P3585" i="1"/>
  <c r="U3584" i="1"/>
  <c r="T3584" i="1"/>
  <c r="S3584" i="1"/>
  <c r="R3584" i="1"/>
  <c r="Q3584" i="1"/>
  <c r="P3584" i="1"/>
  <c r="U3583" i="1"/>
  <c r="T3583" i="1"/>
  <c r="S3583" i="1"/>
  <c r="R3583" i="1"/>
  <c r="Q3583" i="1"/>
  <c r="P3583" i="1"/>
  <c r="U3582" i="1"/>
  <c r="T3582" i="1"/>
  <c r="S3582" i="1"/>
  <c r="R3582" i="1"/>
  <c r="Q3582" i="1"/>
  <c r="P3582" i="1"/>
  <c r="U3581" i="1"/>
  <c r="T3581" i="1"/>
  <c r="S3581" i="1"/>
  <c r="R3581" i="1"/>
  <c r="Q3581" i="1"/>
  <c r="P3581" i="1"/>
  <c r="U3580" i="1"/>
  <c r="T3580" i="1"/>
  <c r="S3580" i="1"/>
  <c r="R3580" i="1"/>
  <c r="Q3580" i="1"/>
  <c r="P3580" i="1"/>
  <c r="U3579" i="1"/>
  <c r="T3579" i="1"/>
  <c r="S3579" i="1"/>
  <c r="R3579" i="1"/>
  <c r="Q3579" i="1"/>
  <c r="P3579" i="1"/>
  <c r="U3578" i="1"/>
  <c r="T3578" i="1"/>
  <c r="S3578" i="1"/>
  <c r="R3578" i="1"/>
  <c r="Q3578" i="1"/>
  <c r="P3578" i="1"/>
  <c r="U3577" i="1"/>
  <c r="T3577" i="1"/>
  <c r="S3577" i="1"/>
  <c r="R3577" i="1"/>
  <c r="Q3577" i="1"/>
  <c r="P3577" i="1"/>
  <c r="U3576" i="1"/>
  <c r="T3576" i="1"/>
  <c r="S3576" i="1"/>
  <c r="R3576" i="1"/>
  <c r="Q3576" i="1"/>
  <c r="P3576" i="1"/>
  <c r="U3575" i="1"/>
  <c r="T3575" i="1"/>
  <c r="S3575" i="1"/>
  <c r="R3575" i="1"/>
  <c r="Q3575" i="1"/>
  <c r="P3575" i="1"/>
  <c r="U3574" i="1"/>
  <c r="T3574" i="1"/>
  <c r="S3574" i="1"/>
  <c r="R3574" i="1"/>
  <c r="Q3574" i="1"/>
  <c r="P3574" i="1"/>
  <c r="U3573" i="1"/>
  <c r="T3573" i="1"/>
  <c r="S3573" i="1"/>
  <c r="R3573" i="1"/>
  <c r="Q3573" i="1"/>
  <c r="P3573" i="1"/>
  <c r="U3572" i="1"/>
  <c r="T3572" i="1"/>
  <c r="S3572" i="1"/>
  <c r="R3572" i="1"/>
  <c r="Q3572" i="1"/>
  <c r="P3572" i="1"/>
  <c r="U3571" i="1"/>
  <c r="T3571" i="1"/>
  <c r="S3571" i="1"/>
  <c r="R3571" i="1"/>
  <c r="Q3571" i="1"/>
  <c r="P3571" i="1"/>
  <c r="U3570" i="1"/>
  <c r="T3570" i="1"/>
  <c r="S3570" i="1"/>
  <c r="R3570" i="1"/>
  <c r="Q3570" i="1"/>
  <c r="P3570" i="1"/>
  <c r="U3569" i="1"/>
  <c r="T3569" i="1"/>
  <c r="S3569" i="1"/>
  <c r="R3569" i="1"/>
  <c r="Q3569" i="1"/>
  <c r="P3569" i="1"/>
  <c r="U3568" i="1"/>
  <c r="T3568" i="1"/>
  <c r="S3568" i="1"/>
  <c r="R3568" i="1"/>
  <c r="Q3568" i="1"/>
  <c r="P3568" i="1"/>
  <c r="U3567" i="1"/>
  <c r="T3567" i="1"/>
  <c r="S3567" i="1"/>
  <c r="R3567" i="1"/>
  <c r="Q3567" i="1"/>
  <c r="P3567" i="1"/>
  <c r="U3566" i="1"/>
  <c r="T3566" i="1"/>
  <c r="S3566" i="1"/>
  <c r="R3566" i="1"/>
  <c r="Q3566" i="1"/>
  <c r="P3566" i="1"/>
  <c r="U3565" i="1"/>
  <c r="T3565" i="1"/>
  <c r="S3565" i="1"/>
  <c r="R3565" i="1"/>
  <c r="Q3565" i="1"/>
  <c r="P3565" i="1"/>
  <c r="U3564" i="1"/>
  <c r="T3564" i="1"/>
  <c r="S3564" i="1"/>
  <c r="R3564" i="1"/>
  <c r="Q3564" i="1"/>
  <c r="P3564" i="1"/>
  <c r="U3563" i="1"/>
  <c r="T3563" i="1"/>
  <c r="S3563" i="1"/>
  <c r="R3563" i="1"/>
  <c r="Q3563" i="1"/>
  <c r="P3563" i="1"/>
  <c r="U3562" i="1"/>
  <c r="T3562" i="1"/>
  <c r="S3562" i="1"/>
  <c r="R3562" i="1"/>
  <c r="Q3562" i="1"/>
  <c r="P3562" i="1"/>
  <c r="U3561" i="1"/>
  <c r="T3561" i="1"/>
  <c r="S3561" i="1"/>
  <c r="R3561" i="1"/>
  <c r="Q3561" i="1"/>
  <c r="P3561" i="1"/>
  <c r="U3560" i="1"/>
  <c r="T3560" i="1"/>
  <c r="S3560" i="1"/>
  <c r="R3560" i="1"/>
  <c r="Q3560" i="1"/>
  <c r="P3560" i="1"/>
  <c r="U3559" i="1"/>
  <c r="T3559" i="1"/>
  <c r="S3559" i="1"/>
  <c r="R3559" i="1"/>
  <c r="Q3559" i="1"/>
  <c r="P3559" i="1"/>
  <c r="U3558" i="1"/>
  <c r="T3558" i="1"/>
  <c r="S3558" i="1"/>
  <c r="R3558" i="1"/>
  <c r="Q3558" i="1"/>
  <c r="P3558" i="1"/>
  <c r="U3557" i="1"/>
  <c r="T3557" i="1"/>
  <c r="S3557" i="1"/>
  <c r="R3557" i="1"/>
  <c r="Q3557" i="1"/>
  <c r="P3557" i="1"/>
  <c r="U3556" i="1"/>
  <c r="T3556" i="1"/>
  <c r="S3556" i="1"/>
  <c r="R3556" i="1"/>
  <c r="Q3556" i="1"/>
  <c r="P3556" i="1"/>
  <c r="U3555" i="1"/>
  <c r="T3555" i="1"/>
  <c r="S3555" i="1"/>
  <c r="R3555" i="1"/>
  <c r="Q3555" i="1"/>
  <c r="P3555" i="1"/>
  <c r="U3554" i="1"/>
  <c r="T3554" i="1"/>
  <c r="S3554" i="1"/>
  <c r="R3554" i="1"/>
  <c r="Q3554" i="1"/>
  <c r="P3554" i="1"/>
  <c r="U3553" i="1"/>
  <c r="T3553" i="1"/>
  <c r="S3553" i="1"/>
  <c r="R3553" i="1"/>
  <c r="Q3553" i="1"/>
  <c r="P3553" i="1"/>
  <c r="U3552" i="1"/>
  <c r="T3552" i="1"/>
  <c r="S3552" i="1"/>
  <c r="R3552" i="1"/>
  <c r="Q3552" i="1"/>
  <c r="P3552" i="1"/>
  <c r="U3551" i="1"/>
  <c r="T3551" i="1"/>
  <c r="S3551" i="1"/>
  <c r="R3551" i="1"/>
  <c r="Q3551" i="1"/>
  <c r="P3551" i="1"/>
  <c r="U3550" i="1"/>
  <c r="T3550" i="1"/>
  <c r="S3550" i="1"/>
  <c r="R3550" i="1"/>
  <c r="Q3550" i="1"/>
  <c r="P3550" i="1"/>
  <c r="U3549" i="1"/>
  <c r="T3549" i="1"/>
  <c r="S3549" i="1"/>
  <c r="R3549" i="1"/>
  <c r="Q3549" i="1"/>
  <c r="P3549" i="1"/>
  <c r="U3548" i="1"/>
  <c r="T3548" i="1"/>
  <c r="S3548" i="1"/>
  <c r="R3548" i="1"/>
  <c r="Q3548" i="1"/>
  <c r="P3548" i="1"/>
  <c r="U3547" i="1"/>
  <c r="T3547" i="1"/>
  <c r="S3547" i="1"/>
  <c r="R3547" i="1"/>
  <c r="Q3547" i="1"/>
  <c r="P3547" i="1"/>
  <c r="U3546" i="1"/>
  <c r="T3546" i="1"/>
  <c r="S3546" i="1"/>
  <c r="R3546" i="1"/>
  <c r="Q3546" i="1"/>
  <c r="P3546" i="1"/>
  <c r="U3545" i="1"/>
  <c r="T3545" i="1"/>
  <c r="S3545" i="1"/>
  <c r="R3545" i="1"/>
  <c r="Q3545" i="1"/>
  <c r="P3545" i="1"/>
  <c r="U3544" i="1"/>
  <c r="T3544" i="1"/>
  <c r="S3544" i="1"/>
  <c r="R3544" i="1"/>
  <c r="Q3544" i="1"/>
  <c r="P3544" i="1"/>
  <c r="U3543" i="1"/>
  <c r="T3543" i="1"/>
  <c r="S3543" i="1"/>
  <c r="R3543" i="1"/>
  <c r="Q3543" i="1"/>
  <c r="P3543" i="1"/>
  <c r="U3542" i="1"/>
  <c r="T3542" i="1"/>
  <c r="S3542" i="1"/>
  <c r="R3542" i="1"/>
  <c r="Q3542" i="1"/>
  <c r="P3542" i="1"/>
  <c r="U3541" i="1"/>
  <c r="T3541" i="1"/>
  <c r="S3541" i="1"/>
  <c r="R3541" i="1"/>
  <c r="Q3541" i="1"/>
  <c r="P3541" i="1"/>
  <c r="U3540" i="1"/>
  <c r="T3540" i="1"/>
  <c r="S3540" i="1"/>
  <c r="R3540" i="1"/>
  <c r="Q3540" i="1"/>
  <c r="P3540" i="1"/>
  <c r="U3539" i="1"/>
  <c r="T3539" i="1"/>
  <c r="S3539" i="1"/>
  <c r="R3539" i="1"/>
  <c r="Q3539" i="1"/>
  <c r="P3539" i="1"/>
  <c r="U3538" i="1"/>
  <c r="T3538" i="1"/>
  <c r="S3538" i="1"/>
  <c r="R3538" i="1"/>
  <c r="Q3538" i="1"/>
  <c r="P3538" i="1"/>
  <c r="U3537" i="1"/>
  <c r="T3537" i="1"/>
  <c r="S3537" i="1"/>
  <c r="R3537" i="1"/>
  <c r="Q3537" i="1"/>
  <c r="P3537" i="1"/>
  <c r="U3536" i="1"/>
  <c r="T3536" i="1"/>
  <c r="S3536" i="1"/>
  <c r="R3536" i="1"/>
  <c r="Q3536" i="1"/>
  <c r="P3536" i="1"/>
  <c r="U3535" i="1"/>
  <c r="T3535" i="1"/>
  <c r="S3535" i="1"/>
  <c r="R3535" i="1"/>
  <c r="Q3535" i="1"/>
  <c r="P3535" i="1"/>
  <c r="U3534" i="1"/>
  <c r="T3534" i="1"/>
  <c r="S3534" i="1"/>
  <c r="R3534" i="1"/>
  <c r="Q3534" i="1"/>
  <c r="P3534" i="1"/>
  <c r="U3533" i="1"/>
  <c r="T3533" i="1"/>
  <c r="S3533" i="1"/>
  <c r="R3533" i="1"/>
  <c r="Q3533" i="1"/>
  <c r="P3533" i="1"/>
  <c r="U3532" i="1"/>
  <c r="T3532" i="1"/>
  <c r="S3532" i="1"/>
  <c r="R3532" i="1"/>
  <c r="Q3532" i="1"/>
  <c r="P3532" i="1"/>
  <c r="U3531" i="1"/>
  <c r="T3531" i="1"/>
  <c r="S3531" i="1"/>
  <c r="R3531" i="1"/>
  <c r="Q3531" i="1"/>
  <c r="P3531" i="1"/>
  <c r="U3530" i="1"/>
  <c r="T3530" i="1"/>
  <c r="S3530" i="1"/>
  <c r="R3530" i="1"/>
  <c r="Q3530" i="1"/>
  <c r="P3530" i="1"/>
  <c r="U3529" i="1"/>
  <c r="T3529" i="1"/>
  <c r="S3529" i="1"/>
  <c r="R3529" i="1"/>
  <c r="Q3529" i="1"/>
  <c r="P3529" i="1"/>
  <c r="U3528" i="1"/>
  <c r="T3528" i="1"/>
  <c r="S3528" i="1"/>
  <c r="R3528" i="1"/>
  <c r="Q3528" i="1"/>
  <c r="P3528" i="1"/>
  <c r="U3527" i="1"/>
  <c r="T3527" i="1"/>
  <c r="S3527" i="1"/>
  <c r="R3527" i="1"/>
  <c r="Q3527" i="1"/>
  <c r="P3527" i="1"/>
  <c r="U3526" i="1"/>
  <c r="T3526" i="1"/>
  <c r="S3526" i="1"/>
  <c r="R3526" i="1"/>
  <c r="Q3526" i="1"/>
  <c r="P3526" i="1"/>
  <c r="U3525" i="1"/>
  <c r="T3525" i="1"/>
  <c r="S3525" i="1"/>
  <c r="R3525" i="1"/>
  <c r="Q3525" i="1"/>
  <c r="P3525" i="1"/>
  <c r="U3524" i="1"/>
  <c r="T3524" i="1"/>
  <c r="S3524" i="1"/>
  <c r="R3524" i="1"/>
  <c r="Q3524" i="1"/>
  <c r="P3524" i="1"/>
  <c r="U3523" i="1"/>
  <c r="T3523" i="1"/>
  <c r="S3523" i="1"/>
  <c r="R3523" i="1"/>
  <c r="Q3523" i="1"/>
  <c r="P3523" i="1"/>
  <c r="U3522" i="1"/>
  <c r="T3522" i="1"/>
  <c r="S3522" i="1"/>
  <c r="R3522" i="1"/>
  <c r="Q3522" i="1"/>
  <c r="P3522" i="1"/>
  <c r="U3521" i="1"/>
  <c r="T3521" i="1"/>
  <c r="S3521" i="1"/>
  <c r="R3521" i="1"/>
  <c r="Q3521" i="1"/>
  <c r="P3521" i="1"/>
  <c r="U3520" i="1"/>
  <c r="T3520" i="1"/>
  <c r="S3520" i="1"/>
  <c r="R3520" i="1"/>
  <c r="Q3520" i="1"/>
  <c r="P3520" i="1"/>
  <c r="U3519" i="1"/>
  <c r="T3519" i="1"/>
  <c r="S3519" i="1"/>
  <c r="R3519" i="1"/>
  <c r="Q3519" i="1"/>
  <c r="P3519" i="1"/>
  <c r="U3518" i="1"/>
  <c r="T3518" i="1"/>
  <c r="S3518" i="1"/>
  <c r="R3518" i="1"/>
  <c r="Q3518" i="1"/>
  <c r="P3518" i="1"/>
  <c r="U3517" i="1"/>
  <c r="T3517" i="1"/>
  <c r="S3517" i="1"/>
  <c r="R3517" i="1"/>
  <c r="Q3517" i="1"/>
  <c r="P3517" i="1"/>
  <c r="U3516" i="1"/>
  <c r="T3516" i="1"/>
  <c r="S3516" i="1"/>
  <c r="R3516" i="1"/>
  <c r="Q3516" i="1"/>
  <c r="P3516" i="1"/>
  <c r="U3515" i="1"/>
  <c r="T3515" i="1"/>
  <c r="S3515" i="1"/>
  <c r="R3515" i="1"/>
  <c r="Q3515" i="1"/>
  <c r="P3515" i="1"/>
  <c r="U3514" i="1"/>
  <c r="T3514" i="1"/>
  <c r="S3514" i="1"/>
  <c r="R3514" i="1"/>
  <c r="Q3514" i="1"/>
  <c r="P3514" i="1"/>
  <c r="U3513" i="1"/>
  <c r="T3513" i="1"/>
  <c r="S3513" i="1"/>
  <c r="R3513" i="1"/>
  <c r="Q3513" i="1"/>
  <c r="P3513" i="1"/>
  <c r="U3512" i="1"/>
  <c r="T3512" i="1"/>
  <c r="S3512" i="1"/>
  <c r="R3512" i="1"/>
  <c r="Q3512" i="1"/>
  <c r="P3512" i="1"/>
  <c r="U3511" i="1"/>
  <c r="T3511" i="1"/>
  <c r="S3511" i="1"/>
  <c r="R3511" i="1"/>
  <c r="Q3511" i="1"/>
  <c r="P3511" i="1"/>
  <c r="U3510" i="1"/>
  <c r="T3510" i="1"/>
  <c r="S3510" i="1"/>
  <c r="R3510" i="1"/>
  <c r="Q3510" i="1"/>
  <c r="P3510" i="1"/>
  <c r="U3509" i="1"/>
  <c r="T3509" i="1"/>
  <c r="S3509" i="1"/>
  <c r="R3509" i="1"/>
  <c r="Q3509" i="1"/>
  <c r="P3509" i="1"/>
  <c r="U3508" i="1"/>
  <c r="T3508" i="1"/>
  <c r="S3508" i="1"/>
  <c r="R3508" i="1"/>
  <c r="Q3508" i="1"/>
  <c r="P3508" i="1"/>
  <c r="U3507" i="1"/>
  <c r="T3507" i="1"/>
  <c r="S3507" i="1"/>
  <c r="R3507" i="1"/>
  <c r="Q3507" i="1"/>
  <c r="P3507" i="1"/>
  <c r="U3506" i="1"/>
  <c r="T3506" i="1"/>
  <c r="S3506" i="1"/>
  <c r="R3506" i="1"/>
  <c r="Q3506" i="1"/>
  <c r="P3506" i="1"/>
  <c r="U3505" i="1"/>
  <c r="T3505" i="1"/>
  <c r="S3505" i="1"/>
  <c r="R3505" i="1"/>
  <c r="Q3505" i="1"/>
  <c r="P3505" i="1"/>
  <c r="U3504" i="1"/>
  <c r="T3504" i="1"/>
  <c r="S3504" i="1"/>
  <c r="R3504" i="1"/>
  <c r="Q3504" i="1"/>
  <c r="P3504" i="1"/>
  <c r="U3503" i="1"/>
  <c r="T3503" i="1"/>
  <c r="S3503" i="1"/>
  <c r="R3503" i="1"/>
  <c r="Q3503" i="1"/>
  <c r="P3503" i="1"/>
  <c r="U3502" i="1"/>
  <c r="T3502" i="1"/>
  <c r="S3502" i="1"/>
  <c r="R3502" i="1"/>
  <c r="Q3502" i="1"/>
  <c r="P3502" i="1"/>
  <c r="U3501" i="1"/>
  <c r="T3501" i="1"/>
  <c r="S3501" i="1"/>
  <c r="R3501" i="1"/>
  <c r="Q3501" i="1"/>
  <c r="P3501" i="1"/>
  <c r="U3500" i="1"/>
  <c r="T3500" i="1"/>
  <c r="S3500" i="1"/>
  <c r="R3500" i="1"/>
  <c r="Q3500" i="1"/>
  <c r="P3500" i="1"/>
  <c r="U3499" i="1"/>
  <c r="T3499" i="1"/>
  <c r="S3499" i="1"/>
  <c r="R3499" i="1"/>
  <c r="Q3499" i="1"/>
  <c r="P3499" i="1"/>
  <c r="U3498" i="1"/>
  <c r="T3498" i="1"/>
  <c r="S3498" i="1"/>
  <c r="R3498" i="1"/>
  <c r="Q3498" i="1"/>
  <c r="P3498" i="1"/>
  <c r="U3497" i="1"/>
  <c r="T3497" i="1"/>
  <c r="S3497" i="1"/>
  <c r="R3497" i="1"/>
  <c r="Q3497" i="1"/>
  <c r="P3497" i="1"/>
  <c r="U3496" i="1"/>
  <c r="T3496" i="1"/>
  <c r="S3496" i="1"/>
  <c r="R3496" i="1"/>
  <c r="Q3496" i="1"/>
  <c r="P3496" i="1"/>
  <c r="U3495" i="1"/>
  <c r="T3495" i="1"/>
  <c r="S3495" i="1"/>
  <c r="R3495" i="1"/>
  <c r="Q3495" i="1"/>
  <c r="P3495" i="1"/>
  <c r="U3494" i="1"/>
  <c r="T3494" i="1"/>
  <c r="S3494" i="1"/>
  <c r="R3494" i="1"/>
  <c r="Q3494" i="1"/>
  <c r="P3494" i="1"/>
  <c r="U3493" i="1"/>
  <c r="T3493" i="1"/>
  <c r="S3493" i="1"/>
  <c r="R3493" i="1"/>
  <c r="Q3493" i="1"/>
  <c r="P3493" i="1"/>
  <c r="U3492" i="1"/>
  <c r="T3492" i="1"/>
  <c r="S3492" i="1"/>
  <c r="R3492" i="1"/>
  <c r="Q3492" i="1"/>
  <c r="P3492" i="1"/>
  <c r="U3491" i="1"/>
  <c r="T3491" i="1"/>
  <c r="S3491" i="1"/>
  <c r="R3491" i="1"/>
  <c r="Q3491" i="1"/>
  <c r="P3491" i="1"/>
  <c r="U3490" i="1"/>
  <c r="T3490" i="1"/>
  <c r="S3490" i="1"/>
  <c r="R3490" i="1"/>
  <c r="Q3490" i="1"/>
  <c r="P3490" i="1"/>
  <c r="U3489" i="1"/>
  <c r="T3489" i="1"/>
  <c r="S3489" i="1"/>
  <c r="R3489" i="1"/>
  <c r="Q3489" i="1"/>
  <c r="P3489" i="1"/>
  <c r="U3488" i="1"/>
  <c r="T3488" i="1"/>
  <c r="S3488" i="1"/>
  <c r="R3488" i="1"/>
  <c r="Q3488" i="1"/>
  <c r="P3488" i="1"/>
  <c r="U3487" i="1"/>
  <c r="T3487" i="1"/>
  <c r="S3487" i="1"/>
  <c r="R3487" i="1"/>
  <c r="Q3487" i="1"/>
  <c r="P3487" i="1"/>
  <c r="U3486" i="1"/>
  <c r="T3486" i="1"/>
  <c r="S3486" i="1"/>
  <c r="R3486" i="1"/>
  <c r="Q3486" i="1"/>
  <c r="P3486" i="1"/>
  <c r="U3485" i="1"/>
  <c r="T3485" i="1"/>
  <c r="S3485" i="1"/>
  <c r="R3485" i="1"/>
  <c r="Q3485" i="1"/>
  <c r="P3485" i="1"/>
  <c r="U3484" i="1"/>
  <c r="T3484" i="1"/>
  <c r="S3484" i="1"/>
  <c r="R3484" i="1"/>
  <c r="Q3484" i="1"/>
  <c r="P3484" i="1"/>
  <c r="U3483" i="1"/>
  <c r="T3483" i="1"/>
  <c r="S3483" i="1"/>
  <c r="R3483" i="1"/>
  <c r="Q3483" i="1"/>
  <c r="P3483" i="1"/>
  <c r="U3482" i="1"/>
  <c r="T3482" i="1"/>
  <c r="S3482" i="1"/>
  <c r="R3482" i="1"/>
  <c r="Q3482" i="1"/>
  <c r="P3482" i="1"/>
  <c r="U3481" i="1"/>
  <c r="T3481" i="1"/>
  <c r="S3481" i="1"/>
  <c r="R3481" i="1"/>
  <c r="Q3481" i="1"/>
  <c r="P3481" i="1"/>
  <c r="U3480" i="1"/>
  <c r="T3480" i="1"/>
  <c r="S3480" i="1"/>
  <c r="R3480" i="1"/>
  <c r="Q3480" i="1"/>
  <c r="P3480" i="1"/>
  <c r="U3479" i="1"/>
  <c r="T3479" i="1"/>
  <c r="S3479" i="1"/>
  <c r="R3479" i="1"/>
  <c r="Q3479" i="1"/>
  <c r="P3479" i="1"/>
  <c r="U3478" i="1"/>
  <c r="T3478" i="1"/>
  <c r="S3478" i="1"/>
  <c r="R3478" i="1"/>
  <c r="Q3478" i="1"/>
  <c r="P3478" i="1"/>
  <c r="U3477" i="1"/>
  <c r="T3477" i="1"/>
  <c r="S3477" i="1"/>
  <c r="R3477" i="1"/>
  <c r="Q3477" i="1"/>
  <c r="P3477" i="1"/>
  <c r="U3476" i="1"/>
  <c r="T3476" i="1"/>
  <c r="S3476" i="1"/>
  <c r="R3476" i="1"/>
  <c r="Q3476" i="1"/>
  <c r="P3476" i="1"/>
  <c r="U3475" i="1"/>
  <c r="T3475" i="1"/>
  <c r="S3475" i="1"/>
  <c r="R3475" i="1"/>
  <c r="Q3475" i="1"/>
  <c r="P3475" i="1"/>
  <c r="U3474" i="1"/>
  <c r="T3474" i="1"/>
  <c r="S3474" i="1"/>
  <c r="R3474" i="1"/>
  <c r="Q3474" i="1"/>
  <c r="P3474" i="1"/>
  <c r="U3473" i="1"/>
  <c r="T3473" i="1"/>
  <c r="S3473" i="1"/>
  <c r="R3473" i="1"/>
  <c r="Q3473" i="1"/>
  <c r="P3473" i="1"/>
  <c r="U3472" i="1"/>
  <c r="T3472" i="1"/>
  <c r="S3472" i="1"/>
  <c r="R3472" i="1"/>
  <c r="Q3472" i="1"/>
  <c r="P3472" i="1"/>
  <c r="U3471" i="1"/>
  <c r="T3471" i="1"/>
  <c r="S3471" i="1"/>
  <c r="R3471" i="1"/>
  <c r="Q3471" i="1"/>
  <c r="P3471" i="1"/>
  <c r="U3470" i="1"/>
  <c r="T3470" i="1"/>
  <c r="S3470" i="1"/>
  <c r="R3470" i="1"/>
  <c r="Q3470" i="1"/>
  <c r="P3470" i="1"/>
  <c r="U3469" i="1"/>
  <c r="T3469" i="1"/>
  <c r="S3469" i="1"/>
  <c r="R3469" i="1"/>
  <c r="Q3469" i="1"/>
  <c r="P3469" i="1"/>
  <c r="U3468" i="1"/>
  <c r="T3468" i="1"/>
  <c r="S3468" i="1"/>
  <c r="R3468" i="1"/>
  <c r="Q3468" i="1"/>
  <c r="P3468" i="1"/>
  <c r="U3467" i="1"/>
  <c r="T3467" i="1"/>
  <c r="S3467" i="1"/>
  <c r="R3467" i="1"/>
  <c r="Q3467" i="1"/>
  <c r="P3467" i="1"/>
  <c r="U3466" i="1"/>
  <c r="T3466" i="1"/>
  <c r="S3466" i="1"/>
  <c r="R3466" i="1"/>
  <c r="Q3466" i="1"/>
  <c r="P3466" i="1"/>
  <c r="U3465" i="1"/>
  <c r="T3465" i="1"/>
  <c r="S3465" i="1"/>
  <c r="R3465" i="1"/>
  <c r="Q3465" i="1"/>
  <c r="P3465" i="1"/>
  <c r="U3464" i="1"/>
  <c r="T3464" i="1"/>
  <c r="S3464" i="1"/>
  <c r="R3464" i="1"/>
  <c r="Q3464" i="1"/>
  <c r="P3464" i="1"/>
  <c r="U3463" i="1"/>
  <c r="T3463" i="1"/>
  <c r="S3463" i="1"/>
  <c r="R3463" i="1"/>
  <c r="Q3463" i="1"/>
  <c r="P3463" i="1"/>
  <c r="U3462" i="1"/>
  <c r="T3462" i="1"/>
  <c r="S3462" i="1"/>
  <c r="R3462" i="1"/>
  <c r="Q3462" i="1"/>
  <c r="P3462" i="1"/>
  <c r="U3461" i="1"/>
  <c r="T3461" i="1"/>
  <c r="S3461" i="1"/>
  <c r="R3461" i="1"/>
  <c r="Q3461" i="1"/>
  <c r="P3461" i="1"/>
  <c r="U3460" i="1"/>
  <c r="T3460" i="1"/>
  <c r="S3460" i="1"/>
  <c r="R3460" i="1"/>
  <c r="Q3460" i="1"/>
  <c r="P3460" i="1"/>
  <c r="U3459" i="1"/>
  <c r="T3459" i="1"/>
  <c r="S3459" i="1"/>
  <c r="R3459" i="1"/>
  <c r="Q3459" i="1"/>
  <c r="P3459" i="1"/>
  <c r="U3458" i="1"/>
  <c r="T3458" i="1"/>
  <c r="S3458" i="1"/>
  <c r="R3458" i="1"/>
  <c r="Q3458" i="1"/>
  <c r="P3458" i="1"/>
  <c r="U3457" i="1"/>
  <c r="T3457" i="1"/>
  <c r="S3457" i="1"/>
  <c r="R3457" i="1"/>
  <c r="Q3457" i="1"/>
  <c r="P3457" i="1"/>
  <c r="U3456" i="1"/>
  <c r="T3456" i="1"/>
  <c r="S3456" i="1"/>
  <c r="R3456" i="1"/>
  <c r="Q3456" i="1"/>
  <c r="P3456" i="1"/>
  <c r="U3455" i="1"/>
  <c r="T3455" i="1"/>
  <c r="S3455" i="1"/>
  <c r="R3455" i="1"/>
  <c r="Q3455" i="1"/>
  <c r="P3455" i="1"/>
  <c r="U3454" i="1"/>
  <c r="T3454" i="1"/>
  <c r="S3454" i="1"/>
  <c r="R3454" i="1"/>
  <c r="Q3454" i="1"/>
  <c r="P3454" i="1"/>
  <c r="U3453" i="1"/>
  <c r="T3453" i="1"/>
  <c r="S3453" i="1"/>
  <c r="R3453" i="1"/>
  <c r="Q3453" i="1"/>
  <c r="P3453" i="1"/>
  <c r="U3452" i="1"/>
  <c r="T3452" i="1"/>
  <c r="S3452" i="1"/>
  <c r="R3452" i="1"/>
  <c r="Q3452" i="1"/>
  <c r="P3452" i="1"/>
  <c r="U3451" i="1"/>
  <c r="T3451" i="1"/>
  <c r="S3451" i="1"/>
  <c r="R3451" i="1"/>
  <c r="Q3451" i="1"/>
  <c r="P3451" i="1"/>
  <c r="U3450" i="1"/>
  <c r="T3450" i="1"/>
  <c r="S3450" i="1"/>
  <c r="R3450" i="1"/>
  <c r="Q3450" i="1"/>
  <c r="P3450" i="1"/>
  <c r="U3449" i="1"/>
  <c r="T3449" i="1"/>
  <c r="S3449" i="1"/>
  <c r="R3449" i="1"/>
  <c r="Q3449" i="1"/>
  <c r="P3449" i="1"/>
  <c r="U3448" i="1"/>
  <c r="T3448" i="1"/>
  <c r="S3448" i="1"/>
  <c r="R3448" i="1"/>
  <c r="Q3448" i="1"/>
  <c r="P3448" i="1"/>
  <c r="U3447" i="1"/>
  <c r="T3447" i="1"/>
  <c r="S3447" i="1"/>
  <c r="R3447" i="1"/>
  <c r="Q3447" i="1"/>
  <c r="P3447" i="1"/>
  <c r="U3446" i="1"/>
  <c r="T3446" i="1"/>
  <c r="S3446" i="1"/>
  <c r="R3446" i="1"/>
  <c r="Q3446" i="1"/>
  <c r="P3446" i="1"/>
  <c r="U3445" i="1"/>
  <c r="T3445" i="1"/>
  <c r="S3445" i="1"/>
  <c r="R3445" i="1"/>
  <c r="Q3445" i="1"/>
  <c r="P3445" i="1"/>
  <c r="U3444" i="1"/>
  <c r="T3444" i="1"/>
  <c r="S3444" i="1"/>
  <c r="R3444" i="1"/>
  <c r="Q3444" i="1"/>
  <c r="P3444" i="1"/>
  <c r="U3443" i="1"/>
  <c r="T3443" i="1"/>
  <c r="S3443" i="1"/>
  <c r="R3443" i="1"/>
  <c r="Q3443" i="1"/>
  <c r="P3443" i="1"/>
  <c r="U3442" i="1"/>
  <c r="T3442" i="1"/>
  <c r="S3442" i="1"/>
  <c r="R3442" i="1"/>
  <c r="Q3442" i="1"/>
  <c r="P3442" i="1"/>
  <c r="U3441" i="1"/>
  <c r="T3441" i="1"/>
  <c r="S3441" i="1"/>
  <c r="R3441" i="1"/>
  <c r="Q3441" i="1"/>
  <c r="P3441" i="1"/>
  <c r="U3440" i="1"/>
  <c r="T3440" i="1"/>
  <c r="S3440" i="1"/>
  <c r="R3440" i="1"/>
  <c r="Q3440" i="1"/>
  <c r="P3440" i="1"/>
  <c r="U3439" i="1"/>
  <c r="T3439" i="1"/>
  <c r="S3439" i="1"/>
  <c r="R3439" i="1"/>
  <c r="Q3439" i="1"/>
  <c r="P3439" i="1"/>
  <c r="U3438" i="1"/>
  <c r="T3438" i="1"/>
  <c r="S3438" i="1"/>
  <c r="R3438" i="1"/>
  <c r="Q3438" i="1"/>
  <c r="P3438" i="1"/>
  <c r="U3437" i="1"/>
  <c r="T3437" i="1"/>
  <c r="S3437" i="1"/>
  <c r="R3437" i="1"/>
  <c r="Q3437" i="1"/>
  <c r="P3437" i="1"/>
  <c r="U3436" i="1"/>
  <c r="T3436" i="1"/>
  <c r="S3436" i="1"/>
  <c r="R3436" i="1"/>
  <c r="Q3436" i="1"/>
  <c r="P3436" i="1"/>
  <c r="U3435" i="1"/>
  <c r="T3435" i="1"/>
  <c r="S3435" i="1"/>
  <c r="R3435" i="1"/>
  <c r="Q3435" i="1"/>
  <c r="P3435" i="1"/>
  <c r="U3434" i="1"/>
  <c r="T3434" i="1"/>
  <c r="S3434" i="1"/>
  <c r="R3434" i="1"/>
  <c r="Q3434" i="1"/>
  <c r="P3434" i="1"/>
  <c r="U3433" i="1"/>
  <c r="T3433" i="1"/>
  <c r="S3433" i="1"/>
  <c r="R3433" i="1"/>
  <c r="Q3433" i="1"/>
  <c r="P3433" i="1"/>
  <c r="U3432" i="1"/>
  <c r="T3432" i="1"/>
  <c r="S3432" i="1"/>
  <c r="R3432" i="1"/>
  <c r="Q3432" i="1"/>
  <c r="P3432" i="1"/>
  <c r="U3431" i="1"/>
  <c r="T3431" i="1"/>
  <c r="S3431" i="1"/>
  <c r="R3431" i="1"/>
  <c r="Q3431" i="1"/>
  <c r="P3431" i="1"/>
  <c r="U3430" i="1"/>
  <c r="T3430" i="1"/>
  <c r="S3430" i="1"/>
  <c r="R3430" i="1"/>
  <c r="Q3430" i="1"/>
  <c r="P3430" i="1"/>
  <c r="U3429" i="1"/>
  <c r="T3429" i="1"/>
  <c r="S3429" i="1"/>
  <c r="R3429" i="1"/>
  <c r="Q3429" i="1"/>
  <c r="P3429" i="1"/>
  <c r="U3428" i="1"/>
  <c r="T3428" i="1"/>
  <c r="S3428" i="1"/>
  <c r="R3428" i="1"/>
  <c r="Q3428" i="1"/>
  <c r="P3428" i="1"/>
  <c r="U3427" i="1"/>
  <c r="T3427" i="1"/>
  <c r="S3427" i="1"/>
  <c r="R3427" i="1"/>
  <c r="Q3427" i="1"/>
  <c r="P3427" i="1"/>
  <c r="U3426" i="1"/>
  <c r="T3426" i="1"/>
  <c r="S3426" i="1"/>
  <c r="R3426" i="1"/>
  <c r="Q3426" i="1"/>
  <c r="P3426" i="1"/>
  <c r="U3425" i="1"/>
  <c r="T3425" i="1"/>
  <c r="S3425" i="1"/>
  <c r="R3425" i="1"/>
  <c r="Q3425" i="1"/>
  <c r="P3425" i="1"/>
  <c r="U3424" i="1"/>
  <c r="T3424" i="1"/>
  <c r="S3424" i="1"/>
  <c r="R3424" i="1"/>
  <c r="Q3424" i="1"/>
  <c r="P3424" i="1"/>
  <c r="U3423" i="1"/>
  <c r="T3423" i="1"/>
  <c r="S3423" i="1"/>
  <c r="R3423" i="1"/>
  <c r="Q3423" i="1"/>
  <c r="P3423" i="1"/>
  <c r="U3422" i="1"/>
  <c r="T3422" i="1"/>
  <c r="S3422" i="1"/>
  <c r="R3422" i="1"/>
  <c r="Q3422" i="1"/>
  <c r="P3422" i="1"/>
  <c r="U3421" i="1"/>
  <c r="T3421" i="1"/>
  <c r="S3421" i="1"/>
  <c r="R3421" i="1"/>
  <c r="Q3421" i="1"/>
  <c r="P3421" i="1"/>
  <c r="U3420" i="1"/>
  <c r="T3420" i="1"/>
  <c r="S3420" i="1"/>
  <c r="R3420" i="1"/>
  <c r="Q3420" i="1"/>
  <c r="P3420" i="1"/>
  <c r="U3419" i="1"/>
  <c r="T3419" i="1"/>
  <c r="S3419" i="1"/>
  <c r="R3419" i="1"/>
  <c r="Q3419" i="1"/>
  <c r="P3419" i="1"/>
  <c r="U3418" i="1"/>
  <c r="T3418" i="1"/>
  <c r="S3418" i="1"/>
  <c r="R3418" i="1"/>
  <c r="Q3418" i="1"/>
  <c r="P3418" i="1"/>
  <c r="U3417" i="1"/>
  <c r="T3417" i="1"/>
  <c r="S3417" i="1"/>
  <c r="R3417" i="1"/>
  <c r="Q3417" i="1"/>
  <c r="P3417" i="1"/>
  <c r="U3416" i="1"/>
  <c r="T3416" i="1"/>
  <c r="S3416" i="1"/>
  <c r="R3416" i="1"/>
  <c r="Q3416" i="1"/>
  <c r="P3416" i="1"/>
  <c r="U3415" i="1"/>
  <c r="T3415" i="1"/>
  <c r="S3415" i="1"/>
  <c r="R3415" i="1"/>
  <c r="Q3415" i="1"/>
  <c r="P3415" i="1"/>
  <c r="U3414" i="1"/>
  <c r="T3414" i="1"/>
  <c r="S3414" i="1"/>
  <c r="R3414" i="1"/>
  <c r="Q3414" i="1"/>
  <c r="P3414" i="1"/>
  <c r="U3413" i="1"/>
  <c r="T3413" i="1"/>
  <c r="S3413" i="1"/>
  <c r="R3413" i="1"/>
  <c r="Q3413" i="1"/>
  <c r="P3413" i="1"/>
  <c r="U3412" i="1"/>
  <c r="T3412" i="1"/>
  <c r="S3412" i="1"/>
  <c r="R3412" i="1"/>
  <c r="Q3412" i="1"/>
  <c r="P3412" i="1"/>
  <c r="U3411" i="1"/>
  <c r="T3411" i="1"/>
  <c r="S3411" i="1"/>
  <c r="R3411" i="1"/>
  <c r="Q3411" i="1"/>
  <c r="P3411" i="1"/>
  <c r="U3410" i="1"/>
  <c r="T3410" i="1"/>
  <c r="S3410" i="1"/>
  <c r="R3410" i="1"/>
  <c r="Q3410" i="1"/>
  <c r="P3410" i="1"/>
  <c r="U3409" i="1"/>
  <c r="T3409" i="1"/>
  <c r="S3409" i="1"/>
  <c r="R3409" i="1"/>
  <c r="Q3409" i="1"/>
  <c r="P3409" i="1"/>
  <c r="U3408" i="1"/>
  <c r="T3408" i="1"/>
  <c r="S3408" i="1"/>
  <c r="R3408" i="1"/>
  <c r="Q3408" i="1"/>
  <c r="P3408" i="1"/>
  <c r="U3407" i="1"/>
  <c r="T3407" i="1"/>
  <c r="S3407" i="1"/>
  <c r="R3407" i="1"/>
  <c r="Q3407" i="1"/>
  <c r="P3407" i="1"/>
  <c r="U3406" i="1"/>
  <c r="T3406" i="1"/>
  <c r="S3406" i="1"/>
  <c r="R3406" i="1"/>
  <c r="Q3406" i="1"/>
  <c r="P3406" i="1"/>
  <c r="U3405" i="1"/>
  <c r="T3405" i="1"/>
  <c r="S3405" i="1"/>
  <c r="R3405" i="1"/>
  <c r="Q3405" i="1"/>
  <c r="P3405" i="1"/>
  <c r="U3404" i="1"/>
  <c r="T3404" i="1"/>
  <c r="S3404" i="1"/>
  <c r="R3404" i="1"/>
  <c r="Q3404" i="1"/>
  <c r="P3404" i="1"/>
  <c r="U3403" i="1"/>
  <c r="T3403" i="1"/>
  <c r="S3403" i="1"/>
  <c r="R3403" i="1"/>
  <c r="Q3403" i="1"/>
  <c r="P3403" i="1"/>
  <c r="U3402" i="1"/>
  <c r="T3402" i="1"/>
  <c r="S3402" i="1"/>
  <c r="R3402" i="1"/>
  <c r="Q3402" i="1"/>
  <c r="P3402" i="1"/>
  <c r="U3401" i="1"/>
  <c r="T3401" i="1"/>
  <c r="S3401" i="1"/>
  <c r="R3401" i="1"/>
  <c r="Q3401" i="1"/>
  <c r="P3401" i="1"/>
  <c r="U3400" i="1"/>
  <c r="T3400" i="1"/>
  <c r="S3400" i="1"/>
  <c r="R3400" i="1"/>
  <c r="Q3400" i="1"/>
  <c r="P3400" i="1"/>
  <c r="U3399" i="1"/>
  <c r="T3399" i="1"/>
  <c r="S3399" i="1"/>
  <c r="R3399" i="1"/>
  <c r="Q3399" i="1"/>
  <c r="P3399" i="1"/>
  <c r="U3398" i="1"/>
  <c r="T3398" i="1"/>
  <c r="S3398" i="1"/>
  <c r="R3398" i="1"/>
  <c r="Q3398" i="1"/>
  <c r="P3398" i="1"/>
  <c r="U3397" i="1"/>
  <c r="T3397" i="1"/>
  <c r="S3397" i="1"/>
  <c r="R3397" i="1"/>
  <c r="Q3397" i="1"/>
  <c r="P3397" i="1"/>
  <c r="U3396" i="1"/>
  <c r="T3396" i="1"/>
  <c r="S3396" i="1"/>
  <c r="R3396" i="1"/>
  <c r="Q3396" i="1"/>
  <c r="P3396" i="1"/>
  <c r="U3395" i="1"/>
  <c r="T3395" i="1"/>
  <c r="S3395" i="1"/>
  <c r="R3395" i="1"/>
  <c r="Q3395" i="1"/>
  <c r="P3395" i="1"/>
  <c r="U3394" i="1"/>
  <c r="T3394" i="1"/>
  <c r="S3394" i="1"/>
  <c r="R3394" i="1"/>
  <c r="Q3394" i="1"/>
  <c r="P3394" i="1"/>
  <c r="U3393" i="1"/>
  <c r="T3393" i="1"/>
  <c r="S3393" i="1"/>
  <c r="R3393" i="1"/>
  <c r="Q3393" i="1"/>
  <c r="P3393" i="1"/>
  <c r="U3392" i="1"/>
  <c r="T3392" i="1"/>
  <c r="S3392" i="1"/>
  <c r="R3392" i="1"/>
  <c r="Q3392" i="1"/>
  <c r="P3392" i="1"/>
  <c r="U3391" i="1"/>
  <c r="T3391" i="1"/>
  <c r="S3391" i="1"/>
  <c r="R3391" i="1"/>
  <c r="Q3391" i="1"/>
  <c r="P3391" i="1"/>
  <c r="U3390" i="1"/>
  <c r="T3390" i="1"/>
  <c r="S3390" i="1"/>
  <c r="R3390" i="1"/>
  <c r="Q3390" i="1"/>
  <c r="P3390" i="1"/>
  <c r="U3389" i="1"/>
  <c r="T3389" i="1"/>
  <c r="S3389" i="1"/>
  <c r="R3389" i="1"/>
  <c r="Q3389" i="1"/>
  <c r="P3389" i="1"/>
  <c r="U3388" i="1"/>
  <c r="T3388" i="1"/>
  <c r="S3388" i="1"/>
  <c r="R3388" i="1"/>
  <c r="Q3388" i="1"/>
  <c r="P3388" i="1"/>
  <c r="U3387" i="1"/>
  <c r="T3387" i="1"/>
  <c r="S3387" i="1"/>
  <c r="R3387" i="1"/>
  <c r="Q3387" i="1"/>
  <c r="P3387" i="1"/>
  <c r="U3386" i="1"/>
  <c r="T3386" i="1"/>
  <c r="S3386" i="1"/>
  <c r="R3386" i="1"/>
  <c r="Q3386" i="1"/>
  <c r="P3386" i="1"/>
  <c r="U3385" i="1"/>
  <c r="T3385" i="1"/>
  <c r="S3385" i="1"/>
  <c r="R3385" i="1"/>
  <c r="Q3385" i="1"/>
  <c r="P3385" i="1"/>
  <c r="U3384" i="1"/>
  <c r="T3384" i="1"/>
  <c r="S3384" i="1"/>
  <c r="R3384" i="1"/>
  <c r="Q3384" i="1"/>
  <c r="P3384" i="1"/>
  <c r="U3383" i="1"/>
  <c r="T3383" i="1"/>
  <c r="S3383" i="1"/>
  <c r="R3383" i="1"/>
  <c r="Q3383" i="1"/>
  <c r="P3383" i="1"/>
  <c r="U3382" i="1"/>
  <c r="T3382" i="1"/>
  <c r="S3382" i="1"/>
  <c r="R3382" i="1"/>
  <c r="Q3382" i="1"/>
  <c r="P3382" i="1"/>
  <c r="U3381" i="1"/>
  <c r="T3381" i="1"/>
  <c r="S3381" i="1"/>
  <c r="R3381" i="1"/>
  <c r="Q3381" i="1"/>
  <c r="P3381" i="1"/>
  <c r="U3380" i="1"/>
  <c r="T3380" i="1"/>
  <c r="S3380" i="1"/>
  <c r="R3380" i="1"/>
  <c r="Q3380" i="1"/>
  <c r="P3380" i="1"/>
  <c r="U3379" i="1"/>
  <c r="T3379" i="1"/>
  <c r="S3379" i="1"/>
  <c r="R3379" i="1"/>
  <c r="Q3379" i="1"/>
  <c r="P3379" i="1"/>
  <c r="U3378" i="1"/>
  <c r="T3378" i="1"/>
  <c r="S3378" i="1"/>
  <c r="R3378" i="1"/>
  <c r="Q3378" i="1"/>
  <c r="P3378" i="1"/>
  <c r="U3377" i="1"/>
  <c r="T3377" i="1"/>
  <c r="S3377" i="1"/>
  <c r="R3377" i="1"/>
  <c r="Q3377" i="1"/>
  <c r="P3377" i="1"/>
  <c r="U3376" i="1"/>
  <c r="T3376" i="1"/>
  <c r="S3376" i="1"/>
  <c r="R3376" i="1"/>
  <c r="Q3376" i="1"/>
  <c r="P3376" i="1"/>
  <c r="U3375" i="1"/>
  <c r="T3375" i="1"/>
  <c r="S3375" i="1"/>
  <c r="R3375" i="1"/>
  <c r="Q3375" i="1"/>
  <c r="P3375" i="1"/>
  <c r="U3374" i="1"/>
  <c r="T3374" i="1"/>
  <c r="S3374" i="1"/>
  <c r="R3374" i="1"/>
  <c r="Q3374" i="1"/>
  <c r="P3374" i="1"/>
  <c r="U3373" i="1"/>
  <c r="T3373" i="1"/>
  <c r="S3373" i="1"/>
  <c r="R3373" i="1"/>
  <c r="Q3373" i="1"/>
  <c r="P3373" i="1"/>
  <c r="U3372" i="1"/>
  <c r="T3372" i="1"/>
  <c r="S3372" i="1"/>
  <c r="R3372" i="1"/>
  <c r="Q3372" i="1"/>
  <c r="P3372" i="1"/>
  <c r="U3371" i="1"/>
  <c r="T3371" i="1"/>
  <c r="S3371" i="1"/>
  <c r="R3371" i="1"/>
  <c r="Q3371" i="1"/>
  <c r="P3371" i="1"/>
  <c r="U3370" i="1"/>
  <c r="T3370" i="1"/>
  <c r="S3370" i="1"/>
  <c r="R3370" i="1"/>
  <c r="Q3370" i="1"/>
  <c r="P3370" i="1"/>
  <c r="U3369" i="1"/>
  <c r="T3369" i="1"/>
  <c r="S3369" i="1"/>
  <c r="R3369" i="1"/>
  <c r="Q3369" i="1"/>
  <c r="P3369" i="1"/>
  <c r="U3368" i="1"/>
  <c r="T3368" i="1"/>
  <c r="S3368" i="1"/>
  <c r="R3368" i="1"/>
  <c r="Q3368" i="1"/>
  <c r="P3368" i="1"/>
  <c r="U3367" i="1"/>
  <c r="T3367" i="1"/>
  <c r="S3367" i="1"/>
  <c r="R3367" i="1"/>
  <c r="Q3367" i="1"/>
  <c r="P3367" i="1"/>
  <c r="U3366" i="1"/>
  <c r="T3366" i="1"/>
  <c r="S3366" i="1"/>
  <c r="R3366" i="1"/>
  <c r="Q3366" i="1"/>
  <c r="P3366" i="1"/>
  <c r="U3365" i="1"/>
  <c r="T3365" i="1"/>
  <c r="S3365" i="1"/>
  <c r="R3365" i="1"/>
  <c r="Q3365" i="1"/>
  <c r="P3365" i="1"/>
  <c r="U3364" i="1"/>
  <c r="T3364" i="1"/>
  <c r="S3364" i="1"/>
  <c r="R3364" i="1"/>
  <c r="Q3364" i="1"/>
  <c r="P3364" i="1"/>
  <c r="U3363" i="1"/>
  <c r="T3363" i="1"/>
  <c r="S3363" i="1"/>
  <c r="R3363" i="1"/>
  <c r="Q3363" i="1"/>
  <c r="P3363" i="1"/>
  <c r="U3362" i="1"/>
  <c r="T3362" i="1"/>
  <c r="S3362" i="1"/>
  <c r="R3362" i="1"/>
  <c r="Q3362" i="1"/>
  <c r="P3362" i="1"/>
  <c r="U3361" i="1"/>
  <c r="T3361" i="1"/>
  <c r="S3361" i="1"/>
  <c r="R3361" i="1"/>
  <c r="Q3361" i="1"/>
  <c r="P3361" i="1"/>
  <c r="U3360" i="1"/>
  <c r="T3360" i="1"/>
  <c r="S3360" i="1"/>
  <c r="R3360" i="1"/>
  <c r="Q3360" i="1"/>
  <c r="P3360" i="1"/>
  <c r="U3359" i="1"/>
  <c r="T3359" i="1"/>
  <c r="S3359" i="1"/>
  <c r="R3359" i="1"/>
  <c r="Q3359" i="1"/>
  <c r="P3359" i="1"/>
  <c r="U3358" i="1"/>
  <c r="T3358" i="1"/>
  <c r="S3358" i="1"/>
  <c r="R3358" i="1"/>
  <c r="Q3358" i="1"/>
  <c r="P3358" i="1"/>
  <c r="U3357" i="1"/>
  <c r="T3357" i="1"/>
  <c r="S3357" i="1"/>
  <c r="R3357" i="1"/>
  <c r="Q3357" i="1"/>
  <c r="P3357" i="1"/>
  <c r="U3356" i="1"/>
  <c r="T3356" i="1"/>
  <c r="S3356" i="1"/>
  <c r="R3356" i="1"/>
  <c r="Q3356" i="1"/>
  <c r="P3356" i="1"/>
  <c r="U3355" i="1"/>
  <c r="T3355" i="1"/>
  <c r="S3355" i="1"/>
  <c r="R3355" i="1"/>
  <c r="Q3355" i="1"/>
  <c r="P3355" i="1"/>
  <c r="U3354" i="1"/>
  <c r="T3354" i="1"/>
  <c r="S3354" i="1"/>
  <c r="R3354" i="1"/>
  <c r="Q3354" i="1"/>
  <c r="P3354" i="1"/>
  <c r="U3353" i="1"/>
  <c r="T3353" i="1"/>
  <c r="S3353" i="1"/>
  <c r="R3353" i="1"/>
  <c r="Q3353" i="1"/>
  <c r="P3353" i="1"/>
  <c r="U3352" i="1"/>
  <c r="T3352" i="1"/>
  <c r="S3352" i="1"/>
  <c r="R3352" i="1"/>
  <c r="Q3352" i="1"/>
  <c r="P3352" i="1"/>
  <c r="U3351" i="1"/>
  <c r="T3351" i="1"/>
  <c r="S3351" i="1"/>
  <c r="R3351" i="1"/>
  <c r="Q3351" i="1"/>
  <c r="P3351" i="1"/>
  <c r="U3350" i="1"/>
  <c r="T3350" i="1"/>
  <c r="S3350" i="1"/>
  <c r="R3350" i="1"/>
  <c r="Q3350" i="1"/>
  <c r="P3350" i="1"/>
  <c r="U3349" i="1"/>
  <c r="T3349" i="1"/>
  <c r="S3349" i="1"/>
  <c r="R3349" i="1"/>
  <c r="Q3349" i="1"/>
  <c r="P3349" i="1"/>
  <c r="U3348" i="1"/>
  <c r="T3348" i="1"/>
  <c r="S3348" i="1"/>
  <c r="R3348" i="1"/>
  <c r="Q3348" i="1"/>
  <c r="P3348" i="1"/>
  <c r="U3347" i="1"/>
  <c r="T3347" i="1"/>
  <c r="S3347" i="1"/>
  <c r="R3347" i="1"/>
  <c r="Q3347" i="1"/>
  <c r="P3347" i="1"/>
  <c r="U3346" i="1"/>
  <c r="T3346" i="1"/>
  <c r="S3346" i="1"/>
  <c r="R3346" i="1"/>
  <c r="Q3346" i="1"/>
  <c r="P3346" i="1"/>
  <c r="U3345" i="1"/>
  <c r="T3345" i="1"/>
  <c r="S3345" i="1"/>
  <c r="R3345" i="1"/>
  <c r="Q3345" i="1"/>
  <c r="P3345" i="1"/>
  <c r="U3344" i="1"/>
  <c r="T3344" i="1"/>
  <c r="S3344" i="1"/>
  <c r="R3344" i="1"/>
  <c r="Q3344" i="1"/>
  <c r="P3344" i="1"/>
  <c r="U3343" i="1"/>
  <c r="T3343" i="1"/>
  <c r="S3343" i="1"/>
  <c r="R3343" i="1"/>
  <c r="Q3343" i="1"/>
  <c r="P3343" i="1"/>
  <c r="U3342" i="1"/>
  <c r="T3342" i="1"/>
  <c r="S3342" i="1"/>
  <c r="R3342" i="1"/>
  <c r="Q3342" i="1"/>
  <c r="P3342" i="1"/>
  <c r="U3341" i="1"/>
  <c r="T3341" i="1"/>
  <c r="S3341" i="1"/>
  <c r="R3341" i="1"/>
  <c r="Q3341" i="1"/>
  <c r="P3341" i="1"/>
  <c r="U3340" i="1"/>
  <c r="T3340" i="1"/>
  <c r="S3340" i="1"/>
  <c r="R3340" i="1"/>
  <c r="Q3340" i="1"/>
  <c r="P3340" i="1"/>
  <c r="U3339" i="1"/>
  <c r="T3339" i="1"/>
  <c r="S3339" i="1"/>
  <c r="R3339" i="1"/>
  <c r="Q3339" i="1"/>
  <c r="P3339" i="1"/>
  <c r="U3338" i="1"/>
  <c r="T3338" i="1"/>
  <c r="S3338" i="1"/>
  <c r="R3338" i="1"/>
  <c r="Q3338" i="1"/>
  <c r="P3338" i="1"/>
  <c r="U3337" i="1"/>
  <c r="T3337" i="1"/>
  <c r="S3337" i="1"/>
  <c r="R3337" i="1"/>
  <c r="Q3337" i="1"/>
  <c r="P3337" i="1"/>
  <c r="U3336" i="1"/>
  <c r="T3336" i="1"/>
  <c r="S3336" i="1"/>
  <c r="R3336" i="1"/>
  <c r="Q3336" i="1"/>
  <c r="P3336" i="1"/>
  <c r="U3335" i="1"/>
  <c r="T3335" i="1"/>
  <c r="S3335" i="1"/>
  <c r="R3335" i="1"/>
  <c r="Q3335" i="1"/>
  <c r="P3335" i="1"/>
  <c r="U3334" i="1"/>
  <c r="T3334" i="1"/>
  <c r="S3334" i="1"/>
  <c r="R3334" i="1"/>
  <c r="Q3334" i="1"/>
  <c r="P3334" i="1"/>
  <c r="U3333" i="1"/>
  <c r="T3333" i="1"/>
  <c r="S3333" i="1"/>
  <c r="R3333" i="1"/>
  <c r="Q3333" i="1"/>
  <c r="P3333" i="1"/>
  <c r="U3332" i="1"/>
  <c r="T3332" i="1"/>
  <c r="S3332" i="1"/>
  <c r="R3332" i="1"/>
  <c r="Q3332" i="1"/>
  <c r="P3332" i="1"/>
  <c r="U3331" i="1"/>
  <c r="T3331" i="1"/>
  <c r="S3331" i="1"/>
  <c r="R3331" i="1"/>
  <c r="Q3331" i="1"/>
  <c r="P3331" i="1"/>
  <c r="U3330" i="1"/>
  <c r="T3330" i="1"/>
  <c r="S3330" i="1"/>
  <c r="R3330" i="1"/>
  <c r="Q3330" i="1"/>
  <c r="P3330" i="1"/>
  <c r="U3329" i="1"/>
  <c r="T3329" i="1"/>
  <c r="S3329" i="1"/>
  <c r="R3329" i="1"/>
  <c r="Q3329" i="1"/>
  <c r="P3329" i="1"/>
  <c r="U3328" i="1"/>
  <c r="T3328" i="1"/>
  <c r="S3328" i="1"/>
  <c r="R3328" i="1"/>
  <c r="Q3328" i="1"/>
  <c r="P3328" i="1"/>
  <c r="U3327" i="1"/>
  <c r="T3327" i="1"/>
  <c r="S3327" i="1"/>
  <c r="R3327" i="1"/>
  <c r="Q3327" i="1"/>
  <c r="P3327" i="1"/>
  <c r="U3326" i="1"/>
  <c r="T3326" i="1"/>
  <c r="S3326" i="1"/>
  <c r="R3326" i="1"/>
  <c r="Q3326" i="1"/>
  <c r="P3326" i="1"/>
  <c r="U3325" i="1"/>
  <c r="T3325" i="1"/>
  <c r="S3325" i="1"/>
  <c r="R3325" i="1"/>
  <c r="Q3325" i="1"/>
  <c r="P3325" i="1"/>
  <c r="U3324" i="1"/>
  <c r="T3324" i="1"/>
  <c r="S3324" i="1"/>
  <c r="R3324" i="1"/>
  <c r="Q3324" i="1"/>
  <c r="P3324" i="1"/>
  <c r="U3323" i="1"/>
  <c r="T3323" i="1"/>
  <c r="S3323" i="1"/>
  <c r="R3323" i="1"/>
  <c r="Q3323" i="1"/>
  <c r="P3323" i="1"/>
  <c r="U3322" i="1"/>
  <c r="T3322" i="1"/>
  <c r="S3322" i="1"/>
  <c r="R3322" i="1"/>
  <c r="Q3322" i="1"/>
  <c r="P3322" i="1"/>
  <c r="U3321" i="1"/>
  <c r="T3321" i="1"/>
  <c r="S3321" i="1"/>
  <c r="R3321" i="1"/>
  <c r="Q3321" i="1"/>
  <c r="P3321" i="1"/>
  <c r="U3320" i="1"/>
  <c r="T3320" i="1"/>
  <c r="S3320" i="1"/>
  <c r="R3320" i="1"/>
  <c r="Q3320" i="1"/>
  <c r="P3320" i="1"/>
  <c r="U3319" i="1"/>
  <c r="T3319" i="1"/>
  <c r="S3319" i="1"/>
  <c r="R3319" i="1"/>
  <c r="Q3319" i="1"/>
  <c r="P3319" i="1"/>
  <c r="U3318" i="1"/>
  <c r="T3318" i="1"/>
  <c r="S3318" i="1"/>
  <c r="R3318" i="1"/>
  <c r="Q3318" i="1"/>
  <c r="P3318" i="1"/>
  <c r="U3317" i="1"/>
  <c r="T3317" i="1"/>
  <c r="S3317" i="1"/>
  <c r="R3317" i="1"/>
  <c r="Q3317" i="1"/>
  <c r="P3317" i="1"/>
  <c r="U3316" i="1"/>
  <c r="T3316" i="1"/>
  <c r="S3316" i="1"/>
  <c r="R3316" i="1"/>
  <c r="Q3316" i="1"/>
  <c r="P3316" i="1"/>
  <c r="U3315" i="1"/>
  <c r="T3315" i="1"/>
  <c r="S3315" i="1"/>
  <c r="R3315" i="1"/>
  <c r="Q3315" i="1"/>
  <c r="P3315" i="1"/>
  <c r="U3314" i="1"/>
  <c r="T3314" i="1"/>
  <c r="S3314" i="1"/>
  <c r="R3314" i="1"/>
  <c r="Q3314" i="1"/>
  <c r="P3314" i="1"/>
  <c r="U3313" i="1"/>
  <c r="T3313" i="1"/>
  <c r="S3313" i="1"/>
  <c r="R3313" i="1"/>
  <c r="Q3313" i="1"/>
  <c r="P3313" i="1"/>
  <c r="U3312" i="1"/>
  <c r="T3312" i="1"/>
  <c r="S3312" i="1"/>
  <c r="R3312" i="1"/>
  <c r="Q3312" i="1"/>
  <c r="P3312" i="1"/>
  <c r="U3311" i="1"/>
  <c r="T3311" i="1"/>
  <c r="S3311" i="1"/>
  <c r="R3311" i="1"/>
  <c r="Q3311" i="1"/>
  <c r="P3311" i="1"/>
  <c r="U3310" i="1"/>
  <c r="T3310" i="1"/>
  <c r="S3310" i="1"/>
  <c r="R3310" i="1"/>
  <c r="Q3310" i="1"/>
  <c r="P3310" i="1"/>
  <c r="U3309" i="1"/>
  <c r="T3309" i="1"/>
  <c r="S3309" i="1"/>
  <c r="R3309" i="1"/>
  <c r="Q3309" i="1"/>
  <c r="P3309" i="1"/>
  <c r="U3308" i="1"/>
  <c r="T3308" i="1"/>
  <c r="S3308" i="1"/>
  <c r="R3308" i="1"/>
  <c r="Q3308" i="1"/>
  <c r="P3308" i="1"/>
  <c r="U3307" i="1"/>
  <c r="T3307" i="1"/>
  <c r="S3307" i="1"/>
  <c r="R3307" i="1"/>
  <c r="Q3307" i="1"/>
  <c r="P3307" i="1"/>
  <c r="U3306" i="1"/>
  <c r="T3306" i="1"/>
  <c r="S3306" i="1"/>
  <c r="R3306" i="1"/>
  <c r="Q3306" i="1"/>
  <c r="P3306" i="1"/>
  <c r="U3305" i="1"/>
  <c r="T3305" i="1"/>
  <c r="S3305" i="1"/>
  <c r="R3305" i="1"/>
  <c r="Q3305" i="1"/>
  <c r="P3305" i="1"/>
  <c r="U3304" i="1"/>
  <c r="T3304" i="1"/>
  <c r="S3304" i="1"/>
  <c r="R3304" i="1"/>
  <c r="Q3304" i="1"/>
  <c r="P3304" i="1"/>
  <c r="U3303" i="1"/>
  <c r="T3303" i="1"/>
  <c r="S3303" i="1"/>
  <c r="R3303" i="1"/>
  <c r="Q3303" i="1"/>
  <c r="P3303" i="1"/>
  <c r="U3302" i="1"/>
  <c r="T3302" i="1"/>
  <c r="S3302" i="1"/>
  <c r="R3302" i="1"/>
  <c r="Q3302" i="1"/>
  <c r="P3302" i="1"/>
  <c r="U3301" i="1"/>
  <c r="T3301" i="1"/>
  <c r="S3301" i="1"/>
  <c r="R3301" i="1"/>
  <c r="Q3301" i="1"/>
  <c r="P3301" i="1"/>
  <c r="U3300" i="1"/>
  <c r="T3300" i="1"/>
  <c r="S3300" i="1"/>
  <c r="R3300" i="1"/>
  <c r="Q3300" i="1"/>
  <c r="P3300" i="1"/>
  <c r="U3299" i="1"/>
  <c r="T3299" i="1"/>
  <c r="S3299" i="1"/>
  <c r="R3299" i="1"/>
  <c r="Q3299" i="1"/>
  <c r="P3299" i="1"/>
  <c r="U3298" i="1"/>
  <c r="T3298" i="1"/>
  <c r="S3298" i="1"/>
  <c r="R3298" i="1"/>
  <c r="Q3298" i="1"/>
  <c r="P3298" i="1"/>
  <c r="U3297" i="1"/>
  <c r="T3297" i="1"/>
  <c r="S3297" i="1"/>
  <c r="R3297" i="1"/>
  <c r="Q3297" i="1"/>
  <c r="P3297" i="1"/>
  <c r="U3296" i="1"/>
  <c r="T3296" i="1"/>
  <c r="S3296" i="1"/>
  <c r="R3296" i="1"/>
  <c r="Q3296" i="1"/>
  <c r="P3296" i="1"/>
  <c r="U3295" i="1"/>
  <c r="T3295" i="1"/>
  <c r="S3295" i="1"/>
  <c r="R3295" i="1"/>
  <c r="Q3295" i="1"/>
  <c r="P3295" i="1"/>
  <c r="U3294" i="1"/>
  <c r="T3294" i="1"/>
  <c r="S3294" i="1"/>
  <c r="R3294" i="1"/>
  <c r="Q3294" i="1"/>
  <c r="P3294" i="1"/>
  <c r="U3293" i="1"/>
  <c r="T3293" i="1"/>
  <c r="S3293" i="1"/>
  <c r="R3293" i="1"/>
  <c r="Q3293" i="1"/>
  <c r="P3293" i="1"/>
  <c r="U3292" i="1"/>
  <c r="T3292" i="1"/>
  <c r="S3292" i="1"/>
  <c r="R3292" i="1"/>
  <c r="Q3292" i="1"/>
  <c r="P3292" i="1"/>
  <c r="U3291" i="1"/>
  <c r="T3291" i="1"/>
  <c r="S3291" i="1"/>
  <c r="R3291" i="1"/>
  <c r="Q3291" i="1"/>
  <c r="P3291" i="1"/>
  <c r="U3290" i="1"/>
  <c r="T3290" i="1"/>
  <c r="S3290" i="1"/>
  <c r="R3290" i="1"/>
  <c r="Q3290" i="1"/>
  <c r="P3290" i="1"/>
  <c r="U3289" i="1"/>
  <c r="T3289" i="1"/>
  <c r="S3289" i="1"/>
  <c r="R3289" i="1"/>
  <c r="Q3289" i="1"/>
  <c r="P3289" i="1"/>
  <c r="U3288" i="1"/>
  <c r="T3288" i="1"/>
  <c r="S3288" i="1"/>
  <c r="R3288" i="1"/>
  <c r="Q3288" i="1"/>
  <c r="P3288" i="1"/>
  <c r="U3287" i="1"/>
  <c r="T3287" i="1"/>
  <c r="S3287" i="1"/>
  <c r="R3287" i="1"/>
  <c r="Q3287" i="1"/>
  <c r="P3287" i="1"/>
  <c r="U3286" i="1"/>
  <c r="T3286" i="1"/>
  <c r="S3286" i="1"/>
  <c r="R3286" i="1"/>
  <c r="Q3286" i="1"/>
  <c r="P3286" i="1"/>
  <c r="U3285" i="1"/>
  <c r="T3285" i="1"/>
  <c r="S3285" i="1"/>
  <c r="R3285" i="1"/>
  <c r="Q3285" i="1"/>
  <c r="P3285" i="1"/>
  <c r="U3284" i="1"/>
  <c r="T3284" i="1"/>
  <c r="S3284" i="1"/>
  <c r="R3284" i="1"/>
  <c r="Q3284" i="1"/>
  <c r="P3284" i="1"/>
  <c r="U3283" i="1"/>
  <c r="T3283" i="1"/>
  <c r="S3283" i="1"/>
  <c r="R3283" i="1"/>
  <c r="Q3283" i="1"/>
  <c r="P3283" i="1"/>
  <c r="U3282" i="1"/>
  <c r="T3282" i="1"/>
  <c r="S3282" i="1"/>
  <c r="R3282" i="1"/>
  <c r="Q3282" i="1"/>
  <c r="P3282" i="1"/>
  <c r="U3281" i="1"/>
  <c r="T3281" i="1"/>
  <c r="S3281" i="1"/>
  <c r="R3281" i="1"/>
  <c r="Q3281" i="1"/>
  <c r="P3281" i="1"/>
  <c r="U3280" i="1"/>
  <c r="T3280" i="1"/>
  <c r="S3280" i="1"/>
  <c r="R3280" i="1"/>
  <c r="Q3280" i="1"/>
  <c r="P3280" i="1"/>
  <c r="U3279" i="1"/>
  <c r="T3279" i="1"/>
  <c r="S3279" i="1"/>
  <c r="R3279" i="1"/>
  <c r="Q3279" i="1"/>
  <c r="P3279" i="1"/>
  <c r="U3278" i="1"/>
  <c r="T3278" i="1"/>
  <c r="S3278" i="1"/>
  <c r="R3278" i="1"/>
  <c r="Q3278" i="1"/>
  <c r="P3278" i="1"/>
  <c r="U3277" i="1"/>
  <c r="T3277" i="1"/>
  <c r="S3277" i="1"/>
  <c r="R3277" i="1"/>
  <c r="Q3277" i="1"/>
  <c r="P3277" i="1"/>
  <c r="U3276" i="1"/>
  <c r="T3276" i="1"/>
  <c r="S3276" i="1"/>
  <c r="R3276" i="1"/>
  <c r="Q3276" i="1"/>
  <c r="P3276" i="1"/>
  <c r="U3275" i="1"/>
  <c r="T3275" i="1"/>
  <c r="S3275" i="1"/>
  <c r="R3275" i="1"/>
  <c r="Q3275" i="1"/>
  <c r="P3275" i="1"/>
  <c r="U3274" i="1"/>
  <c r="T3274" i="1"/>
  <c r="S3274" i="1"/>
  <c r="R3274" i="1"/>
  <c r="Q3274" i="1"/>
  <c r="P3274" i="1"/>
  <c r="U3273" i="1"/>
  <c r="T3273" i="1"/>
  <c r="S3273" i="1"/>
  <c r="R3273" i="1"/>
  <c r="Q3273" i="1"/>
  <c r="P3273" i="1"/>
  <c r="U3272" i="1"/>
  <c r="T3272" i="1"/>
  <c r="S3272" i="1"/>
  <c r="R3272" i="1"/>
  <c r="Q3272" i="1"/>
  <c r="P3272" i="1"/>
  <c r="U3271" i="1"/>
  <c r="T3271" i="1"/>
  <c r="S3271" i="1"/>
  <c r="R3271" i="1"/>
  <c r="Q3271" i="1"/>
  <c r="P3271" i="1"/>
  <c r="U3270" i="1"/>
  <c r="T3270" i="1"/>
  <c r="S3270" i="1"/>
  <c r="R3270" i="1"/>
  <c r="Q3270" i="1"/>
  <c r="P3270" i="1"/>
  <c r="U3269" i="1"/>
  <c r="T3269" i="1"/>
  <c r="S3269" i="1"/>
  <c r="R3269" i="1"/>
  <c r="Q3269" i="1"/>
  <c r="P3269" i="1"/>
  <c r="U3268" i="1"/>
  <c r="T3268" i="1"/>
  <c r="S3268" i="1"/>
  <c r="R3268" i="1"/>
  <c r="Q3268" i="1"/>
  <c r="P3268" i="1"/>
  <c r="U3267" i="1"/>
  <c r="T3267" i="1"/>
  <c r="S3267" i="1"/>
  <c r="R3267" i="1"/>
  <c r="Q3267" i="1"/>
  <c r="P3267" i="1"/>
  <c r="U3266" i="1"/>
  <c r="T3266" i="1"/>
  <c r="S3266" i="1"/>
  <c r="R3266" i="1"/>
  <c r="Q3266" i="1"/>
  <c r="P3266" i="1"/>
  <c r="U3265" i="1"/>
  <c r="T3265" i="1"/>
  <c r="S3265" i="1"/>
  <c r="R3265" i="1"/>
  <c r="Q3265" i="1"/>
  <c r="P3265" i="1"/>
  <c r="U3264" i="1"/>
  <c r="T3264" i="1"/>
  <c r="S3264" i="1"/>
  <c r="R3264" i="1"/>
  <c r="Q3264" i="1"/>
  <c r="P3264" i="1"/>
  <c r="U3263" i="1"/>
  <c r="T3263" i="1"/>
  <c r="S3263" i="1"/>
  <c r="R3263" i="1"/>
  <c r="Q3263" i="1"/>
  <c r="P3263" i="1"/>
  <c r="U3262" i="1"/>
  <c r="T3262" i="1"/>
  <c r="S3262" i="1"/>
  <c r="R3262" i="1"/>
  <c r="Q3262" i="1"/>
  <c r="P3262" i="1"/>
  <c r="U3261" i="1"/>
  <c r="T3261" i="1"/>
  <c r="S3261" i="1"/>
  <c r="R3261" i="1"/>
  <c r="Q3261" i="1"/>
  <c r="P3261" i="1"/>
  <c r="U3260" i="1"/>
  <c r="T3260" i="1"/>
  <c r="S3260" i="1"/>
  <c r="R3260" i="1"/>
  <c r="Q3260" i="1"/>
  <c r="P3260" i="1"/>
  <c r="U3259" i="1"/>
  <c r="T3259" i="1"/>
  <c r="S3259" i="1"/>
  <c r="R3259" i="1"/>
  <c r="Q3259" i="1"/>
  <c r="P3259" i="1"/>
  <c r="U3258" i="1"/>
  <c r="T3258" i="1"/>
  <c r="S3258" i="1"/>
  <c r="R3258" i="1"/>
  <c r="Q3258" i="1"/>
  <c r="P3258" i="1"/>
  <c r="U3257" i="1"/>
  <c r="T3257" i="1"/>
  <c r="S3257" i="1"/>
  <c r="R3257" i="1"/>
  <c r="Q3257" i="1"/>
  <c r="P3257" i="1"/>
  <c r="U3256" i="1"/>
  <c r="T3256" i="1"/>
  <c r="S3256" i="1"/>
  <c r="R3256" i="1"/>
  <c r="Q3256" i="1"/>
  <c r="P3256" i="1"/>
  <c r="U3255" i="1"/>
  <c r="T3255" i="1"/>
  <c r="S3255" i="1"/>
  <c r="R3255" i="1"/>
  <c r="Q3255" i="1"/>
  <c r="P3255" i="1"/>
  <c r="U3254" i="1"/>
  <c r="T3254" i="1"/>
  <c r="S3254" i="1"/>
  <c r="R3254" i="1"/>
  <c r="Q3254" i="1"/>
  <c r="P3254" i="1"/>
  <c r="U3253" i="1"/>
  <c r="T3253" i="1"/>
  <c r="S3253" i="1"/>
  <c r="R3253" i="1"/>
  <c r="Q3253" i="1"/>
  <c r="P3253" i="1"/>
  <c r="U3252" i="1"/>
  <c r="T3252" i="1"/>
  <c r="S3252" i="1"/>
  <c r="R3252" i="1"/>
  <c r="Q3252" i="1"/>
  <c r="P3252" i="1"/>
  <c r="U3251" i="1"/>
  <c r="T3251" i="1"/>
  <c r="S3251" i="1"/>
  <c r="R3251" i="1"/>
  <c r="Q3251" i="1"/>
  <c r="P3251" i="1"/>
  <c r="U3250" i="1"/>
  <c r="T3250" i="1"/>
  <c r="S3250" i="1"/>
  <c r="R3250" i="1"/>
  <c r="Q3250" i="1"/>
  <c r="P3250" i="1"/>
  <c r="U3249" i="1"/>
  <c r="T3249" i="1"/>
  <c r="S3249" i="1"/>
  <c r="R3249" i="1"/>
  <c r="Q3249" i="1"/>
  <c r="P3249" i="1"/>
  <c r="U3248" i="1"/>
  <c r="T3248" i="1"/>
  <c r="S3248" i="1"/>
  <c r="R3248" i="1"/>
  <c r="Q3248" i="1"/>
  <c r="P3248" i="1"/>
  <c r="U3247" i="1"/>
  <c r="T3247" i="1"/>
  <c r="S3247" i="1"/>
  <c r="R3247" i="1"/>
  <c r="Q3247" i="1"/>
  <c r="P3247" i="1"/>
  <c r="U3246" i="1"/>
  <c r="T3246" i="1"/>
  <c r="S3246" i="1"/>
  <c r="R3246" i="1"/>
  <c r="Q3246" i="1"/>
  <c r="P3246" i="1"/>
  <c r="U3245" i="1"/>
  <c r="T3245" i="1"/>
  <c r="S3245" i="1"/>
  <c r="R3245" i="1"/>
  <c r="Q3245" i="1"/>
  <c r="P3245" i="1"/>
  <c r="U3244" i="1"/>
  <c r="T3244" i="1"/>
  <c r="S3244" i="1"/>
  <c r="R3244" i="1"/>
  <c r="Q3244" i="1"/>
  <c r="P3244" i="1"/>
  <c r="U3243" i="1"/>
  <c r="T3243" i="1"/>
  <c r="S3243" i="1"/>
  <c r="R3243" i="1"/>
  <c r="Q3243" i="1"/>
  <c r="P3243" i="1"/>
  <c r="U3242" i="1"/>
  <c r="T3242" i="1"/>
  <c r="S3242" i="1"/>
  <c r="R3242" i="1"/>
  <c r="Q3242" i="1"/>
  <c r="P3242" i="1"/>
  <c r="U3241" i="1"/>
  <c r="T3241" i="1"/>
  <c r="S3241" i="1"/>
  <c r="R3241" i="1"/>
  <c r="Q3241" i="1"/>
  <c r="P3241" i="1"/>
  <c r="U3240" i="1"/>
  <c r="T3240" i="1"/>
  <c r="S3240" i="1"/>
  <c r="R3240" i="1"/>
  <c r="Q3240" i="1"/>
  <c r="P3240" i="1"/>
  <c r="U3239" i="1"/>
  <c r="T3239" i="1"/>
  <c r="S3239" i="1"/>
  <c r="R3239" i="1"/>
  <c r="Q3239" i="1"/>
  <c r="P3239" i="1"/>
  <c r="U3238" i="1"/>
  <c r="T3238" i="1"/>
  <c r="S3238" i="1"/>
  <c r="R3238" i="1"/>
  <c r="Q3238" i="1"/>
  <c r="P3238" i="1"/>
  <c r="U3237" i="1"/>
  <c r="T3237" i="1"/>
  <c r="S3237" i="1"/>
  <c r="R3237" i="1"/>
  <c r="Q3237" i="1"/>
  <c r="P3237" i="1"/>
  <c r="U3236" i="1"/>
  <c r="T3236" i="1"/>
  <c r="S3236" i="1"/>
  <c r="R3236" i="1"/>
  <c r="Q3236" i="1"/>
  <c r="P3236" i="1"/>
  <c r="U3235" i="1"/>
  <c r="T3235" i="1"/>
  <c r="S3235" i="1"/>
  <c r="R3235" i="1"/>
  <c r="Q3235" i="1"/>
  <c r="P3235" i="1"/>
  <c r="U3234" i="1"/>
  <c r="T3234" i="1"/>
  <c r="S3234" i="1"/>
  <c r="R3234" i="1"/>
  <c r="Q3234" i="1"/>
  <c r="P3234" i="1"/>
  <c r="U3233" i="1"/>
  <c r="T3233" i="1"/>
  <c r="S3233" i="1"/>
  <c r="R3233" i="1"/>
  <c r="Q3233" i="1"/>
  <c r="P3233" i="1"/>
  <c r="U3232" i="1"/>
  <c r="T3232" i="1"/>
  <c r="S3232" i="1"/>
  <c r="R3232" i="1"/>
  <c r="Q3232" i="1"/>
  <c r="P3232" i="1"/>
  <c r="U3231" i="1"/>
  <c r="T3231" i="1"/>
  <c r="S3231" i="1"/>
  <c r="R3231" i="1"/>
  <c r="Q3231" i="1"/>
  <c r="P3231" i="1"/>
  <c r="U3230" i="1"/>
  <c r="T3230" i="1"/>
  <c r="S3230" i="1"/>
  <c r="R3230" i="1"/>
  <c r="Q3230" i="1"/>
  <c r="P3230" i="1"/>
  <c r="U3229" i="1"/>
  <c r="T3229" i="1"/>
  <c r="S3229" i="1"/>
  <c r="R3229" i="1"/>
  <c r="Q3229" i="1"/>
  <c r="P3229" i="1"/>
  <c r="U3228" i="1"/>
  <c r="T3228" i="1"/>
  <c r="S3228" i="1"/>
  <c r="R3228" i="1"/>
  <c r="Q3228" i="1"/>
  <c r="P3228" i="1"/>
  <c r="U3227" i="1"/>
  <c r="T3227" i="1"/>
  <c r="S3227" i="1"/>
  <c r="R3227" i="1"/>
  <c r="Q3227" i="1"/>
  <c r="P3227" i="1"/>
  <c r="U3226" i="1"/>
  <c r="T3226" i="1"/>
  <c r="S3226" i="1"/>
  <c r="R3226" i="1"/>
  <c r="Q3226" i="1"/>
  <c r="P3226" i="1"/>
  <c r="U3225" i="1"/>
  <c r="T3225" i="1"/>
  <c r="S3225" i="1"/>
  <c r="R3225" i="1"/>
  <c r="Q3225" i="1"/>
  <c r="P3225" i="1"/>
  <c r="U3224" i="1"/>
  <c r="T3224" i="1"/>
  <c r="S3224" i="1"/>
  <c r="R3224" i="1"/>
  <c r="Q3224" i="1"/>
  <c r="P3224" i="1"/>
  <c r="U3223" i="1"/>
  <c r="T3223" i="1"/>
  <c r="S3223" i="1"/>
  <c r="R3223" i="1"/>
  <c r="Q3223" i="1"/>
  <c r="P3223" i="1"/>
  <c r="U3222" i="1"/>
  <c r="T3222" i="1"/>
  <c r="S3222" i="1"/>
  <c r="R3222" i="1"/>
  <c r="Q3222" i="1"/>
  <c r="P3222" i="1"/>
  <c r="U3221" i="1"/>
  <c r="T3221" i="1"/>
  <c r="S3221" i="1"/>
  <c r="R3221" i="1"/>
  <c r="Q3221" i="1"/>
  <c r="P3221" i="1"/>
  <c r="U3220" i="1"/>
  <c r="T3220" i="1"/>
  <c r="S3220" i="1"/>
  <c r="R3220" i="1"/>
  <c r="Q3220" i="1"/>
  <c r="P3220" i="1"/>
  <c r="U3219" i="1"/>
  <c r="T3219" i="1"/>
  <c r="S3219" i="1"/>
  <c r="R3219" i="1"/>
  <c r="Q3219" i="1"/>
  <c r="P3219" i="1"/>
  <c r="U3218" i="1"/>
  <c r="T3218" i="1"/>
  <c r="S3218" i="1"/>
  <c r="R3218" i="1"/>
  <c r="Q3218" i="1"/>
  <c r="P3218" i="1"/>
  <c r="U3217" i="1"/>
  <c r="T3217" i="1"/>
  <c r="S3217" i="1"/>
  <c r="R3217" i="1"/>
  <c r="Q3217" i="1"/>
  <c r="P3217" i="1"/>
  <c r="U3216" i="1"/>
  <c r="T3216" i="1"/>
  <c r="S3216" i="1"/>
  <c r="R3216" i="1"/>
  <c r="Q3216" i="1"/>
  <c r="P3216" i="1"/>
  <c r="U3215" i="1"/>
  <c r="T3215" i="1"/>
  <c r="S3215" i="1"/>
  <c r="R3215" i="1"/>
  <c r="Q3215" i="1"/>
  <c r="P3215" i="1"/>
  <c r="U3214" i="1"/>
  <c r="T3214" i="1"/>
  <c r="S3214" i="1"/>
  <c r="R3214" i="1"/>
  <c r="Q3214" i="1"/>
  <c r="P3214" i="1"/>
  <c r="U3213" i="1"/>
  <c r="T3213" i="1"/>
  <c r="S3213" i="1"/>
  <c r="R3213" i="1"/>
  <c r="Q3213" i="1"/>
  <c r="P3213" i="1"/>
  <c r="U3212" i="1"/>
  <c r="T3212" i="1"/>
  <c r="S3212" i="1"/>
  <c r="R3212" i="1"/>
  <c r="Q3212" i="1"/>
  <c r="P3212" i="1"/>
  <c r="U3211" i="1"/>
  <c r="T3211" i="1"/>
  <c r="S3211" i="1"/>
  <c r="R3211" i="1"/>
  <c r="Q3211" i="1"/>
  <c r="P3211" i="1"/>
  <c r="U3210" i="1"/>
  <c r="T3210" i="1"/>
  <c r="S3210" i="1"/>
  <c r="R3210" i="1"/>
  <c r="Q3210" i="1"/>
  <c r="P3210" i="1"/>
  <c r="U3209" i="1"/>
  <c r="T3209" i="1"/>
  <c r="S3209" i="1"/>
  <c r="R3209" i="1"/>
  <c r="Q3209" i="1"/>
  <c r="P3209" i="1"/>
  <c r="U3208" i="1"/>
  <c r="T3208" i="1"/>
  <c r="S3208" i="1"/>
  <c r="R3208" i="1"/>
  <c r="Q3208" i="1"/>
  <c r="P3208" i="1"/>
  <c r="U3207" i="1"/>
  <c r="T3207" i="1"/>
  <c r="S3207" i="1"/>
  <c r="R3207" i="1"/>
  <c r="Q3207" i="1"/>
  <c r="P3207" i="1"/>
  <c r="U3206" i="1"/>
  <c r="T3206" i="1"/>
  <c r="S3206" i="1"/>
  <c r="R3206" i="1"/>
  <c r="Q3206" i="1"/>
  <c r="P3206" i="1"/>
  <c r="U3205" i="1"/>
  <c r="T3205" i="1"/>
  <c r="S3205" i="1"/>
  <c r="R3205" i="1"/>
  <c r="Q3205" i="1"/>
  <c r="P3205" i="1"/>
  <c r="U3204" i="1"/>
  <c r="T3204" i="1"/>
  <c r="S3204" i="1"/>
  <c r="R3204" i="1"/>
  <c r="Q3204" i="1"/>
  <c r="P3204" i="1"/>
  <c r="U3203" i="1"/>
  <c r="T3203" i="1"/>
  <c r="S3203" i="1"/>
  <c r="R3203" i="1"/>
  <c r="Q3203" i="1"/>
  <c r="P3203" i="1"/>
  <c r="U3202" i="1"/>
  <c r="T3202" i="1"/>
  <c r="S3202" i="1"/>
  <c r="R3202" i="1"/>
  <c r="Q3202" i="1"/>
  <c r="P3202" i="1"/>
  <c r="U3201" i="1"/>
  <c r="T3201" i="1"/>
  <c r="S3201" i="1"/>
  <c r="R3201" i="1"/>
  <c r="Q3201" i="1"/>
  <c r="P3201" i="1"/>
  <c r="U3200" i="1"/>
  <c r="T3200" i="1"/>
  <c r="S3200" i="1"/>
  <c r="R3200" i="1"/>
  <c r="Q3200" i="1"/>
  <c r="P3200" i="1"/>
  <c r="U3199" i="1"/>
  <c r="T3199" i="1"/>
  <c r="S3199" i="1"/>
  <c r="R3199" i="1"/>
  <c r="Q3199" i="1"/>
  <c r="P3199" i="1"/>
  <c r="U3198" i="1"/>
  <c r="T3198" i="1"/>
  <c r="S3198" i="1"/>
  <c r="R3198" i="1"/>
  <c r="Q3198" i="1"/>
  <c r="P3198" i="1"/>
  <c r="U3197" i="1"/>
  <c r="T3197" i="1"/>
  <c r="S3197" i="1"/>
  <c r="R3197" i="1"/>
  <c r="Q3197" i="1"/>
  <c r="P3197" i="1"/>
  <c r="U3196" i="1"/>
  <c r="T3196" i="1"/>
  <c r="S3196" i="1"/>
  <c r="R3196" i="1"/>
  <c r="Q3196" i="1"/>
  <c r="P3196" i="1"/>
  <c r="U3195" i="1"/>
  <c r="T3195" i="1"/>
  <c r="S3195" i="1"/>
  <c r="R3195" i="1"/>
  <c r="Q3195" i="1"/>
  <c r="P3195" i="1"/>
  <c r="U3194" i="1"/>
  <c r="T3194" i="1"/>
  <c r="S3194" i="1"/>
  <c r="R3194" i="1"/>
  <c r="Q3194" i="1"/>
  <c r="P3194" i="1"/>
  <c r="U3193" i="1"/>
  <c r="T3193" i="1"/>
  <c r="S3193" i="1"/>
  <c r="R3193" i="1"/>
  <c r="Q3193" i="1"/>
  <c r="P3193" i="1"/>
  <c r="U3192" i="1"/>
  <c r="T3192" i="1"/>
  <c r="S3192" i="1"/>
  <c r="R3192" i="1"/>
  <c r="Q3192" i="1"/>
  <c r="P3192" i="1"/>
  <c r="U3191" i="1"/>
  <c r="T3191" i="1"/>
  <c r="S3191" i="1"/>
  <c r="R3191" i="1"/>
  <c r="Q3191" i="1"/>
  <c r="P3191" i="1"/>
  <c r="U3190" i="1"/>
  <c r="T3190" i="1"/>
  <c r="S3190" i="1"/>
  <c r="R3190" i="1"/>
  <c r="Q3190" i="1"/>
  <c r="P3190" i="1"/>
  <c r="U3189" i="1"/>
  <c r="T3189" i="1"/>
  <c r="S3189" i="1"/>
  <c r="R3189" i="1"/>
  <c r="Q3189" i="1"/>
  <c r="P3189" i="1"/>
  <c r="U3188" i="1"/>
  <c r="T3188" i="1"/>
  <c r="S3188" i="1"/>
  <c r="R3188" i="1"/>
  <c r="Q3188" i="1"/>
  <c r="P3188" i="1"/>
  <c r="U3187" i="1"/>
  <c r="T3187" i="1"/>
  <c r="S3187" i="1"/>
  <c r="R3187" i="1"/>
  <c r="Q3187" i="1"/>
  <c r="P3187" i="1"/>
  <c r="U3186" i="1"/>
  <c r="T3186" i="1"/>
  <c r="S3186" i="1"/>
  <c r="R3186" i="1"/>
  <c r="Q3186" i="1"/>
  <c r="P3186" i="1"/>
  <c r="U3185" i="1"/>
  <c r="T3185" i="1"/>
  <c r="S3185" i="1"/>
  <c r="R3185" i="1"/>
  <c r="Q3185" i="1"/>
  <c r="P3185" i="1"/>
  <c r="U3184" i="1"/>
  <c r="T3184" i="1"/>
  <c r="S3184" i="1"/>
  <c r="R3184" i="1"/>
  <c r="Q3184" i="1"/>
  <c r="P3184" i="1"/>
  <c r="U3183" i="1"/>
  <c r="T3183" i="1"/>
  <c r="S3183" i="1"/>
  <c r="R3183" i="1"/>
  <c r="Q3183" i="1"/>
  <c r="P3183" i="1"/>
  <c r="U3182" i="1"/>
  <c r="T3182" i="1"/>
  <c r="S3182" i="1"/>
  <c r="R3182" i="1"/>
  <c r="Q3182" i="1"/>
  <c r="P3182" i="1"/>
  <c r="U3181" i="1"/>
  <c r="T3181" i="1"/>
  <c r="S3181" i="1"/>
  <c r="R3181" i="1"/>
  <c r="Q3181" i="1"/>
  <c r="P3181" i="1"/>
  <c r="U3180" i="1"/>
  <c r="T3180" i="1"/>
  <c r="S3180" i="1"/>
  <c r="R3180" i="1"/>
  <c r="Q3180" i="1"/>
  <c r="P3180" i="1"/>
  <c r="U3179" i="1"/>
  <c r="T3179" i="1"/>
  <c r="S3179" i="1"/>
  <c r="R3179" i="1"/>
  <c r="Q3179" i="1"/>
  <c r="P3179" i="1"/>
  <c r="U3178" i="1"/>
  <c r="T3178" i="1"/>
  <c r="S3178" i="1"/>
  <c r="R3178" i="1"/>
  <c r="Q3178" i="1"/>
  <c r="P3178" i="1"/>
  <c r="U3177" i="1"/>
  <c r="T3177" i="1"/>
  <c r="S3177" i="1"/>
  <c r="R3177" i="1"/>
  <c r="Q3177" i="1"/>
  <c r="P3177" i="1"/>
  <c r="U3176" i="1"/>
  <c r="T3176" i="1"/>
  <c r="S3176" i="1"/>
  <c r="R3176" i="1"/>
  <c r="Q3176" i="1"/>
  <c r="P3176" i="1"/>
  <c r="U3175" i="1"/>
  <c r="T3175" i="1"/>
  <c r="S3175" i="1"/>
  <c r="R3175" i="1"/>
  <c r="Q3175" i="1"/>
  <c r="P3175" i="1"/>
  <c r="U3174" i="1"/>
  <c r="T3174" i="1"/>
  <c r="S3174" i="1"/>
  <c r="R3174" i="1"/>
  <c r="Q3174" i="1"/>
  <c r="P3174" i="1"/>
  <c r="U3173" i="1"/>
  <c r="T3173" i="1"/>
  <c r="S3173" i="1"/>
  <c r="R3173" i="1"/>
  <c r="Q3173" i="1"/>
  <c r="P3173" i="1"/>
  <c r="U3172" i="1"/>
  <c r="T3172" i="1"/>
  <c r="S3172" i="1"/>
  <c r="R3172" i="1"/>
  <c r="Q3172" i="1"/>
  <c r="P3172" i="1"/>
  <c r="U3171" i="1"/>
  <c r="T3171" i="1"/>
  <c r="S3171" i="1"/>
  <c r="R3171" i="1"/>
  <c r="Q3171" i="1"/>
  <c r="P3171" i="1"/>
  <c r="U3170" i="1"/>
  <c r="T3170" i="1"/>
  <c r="S3170" i="1"/>
  <c r="R3170" i="1"/>
  <c r="Q3170" i="1"/>
  <c r="P3170" i="1"/>
  <c r="U3169" i="1"/>
  <c r="T3169" i="1"/>
  <c r="S3169" i="1"/>
  <c r="R3169" i="1"/>
  <c r="Q3169" i="1"/>
  <c r="P3169" i="1"/>
  <c r="U3168" i="1"/>
  <c r="T3168" i="1"/>
  <c r="S3168" i="1"/>
  <c r="R3168" i="1"/>
  <c r="Q3168" i="1"/>
  <c r="P3168" i="1"/>
  <c r="U3167" i="1"/>
  <c r="T3167" i="1"/>
  <c r="S3167" i="1"/>
  <c r="R3167" i="1"/>
  <c r="Q3167" i="1"/>
  <c r="P3167" i="1"/>
  <c r="U3166" i="1"/>
  <c r="T3166" i="1"/>
  <c r="S3166" i="1"/>
  <c r="R3166" i="1"/>
  <c r="Q3166" i="1"/>
  <c r="P3166" i="1"/>
  <c r="U3165" i="1"/>
  <c r="T3165" i="1"/>
  <c r="S3165" i="1"/>
  <c r="R3165" i="1"/>
  <c r="Q3165" i="1"/>
  <c r="P3165" i="1"/>
  <c r="U3164" i="1"/>
  <c r="T3164" i="1"/>
  <c r="S3164" i="1"/>
  <c r="R3164" i="1"/>
  <c r="Q3164" i="1"/>
  <c r="P3164" i="1"/>
  <c r="U3163" i="1"/>
  <c r="T3163" i="1"/>
  <c r="S3163" i="1"/>
  <c r="R3163" i="1"/>
  <c r="Q3163" i="1"/>
  <c r="P3163" i="1"/>
  <c r="U3162" i="1"/>
  <c r="T3162" i="1"/>
  <c r="S3162" i="1"/>
  <c r="R3162" i="1"/>
  <c r="Q3162" i="1"/>
  <c r="P3162" i="1"/>
  <c r="U3161" i="1"/>
  <c r="T3161" i="1"/>
  <c r="S3161" i="1"/>
  <c r="R3161" i="1"/>
  <c r="Q3161" i="1"/>
  <c r="P3161" i="1"/>
  <c r="U3160" i="1"/>
  <c r="T3160" i="1"/>
  <c r="S3160" i="1"/>
  <c r="R3160" i="1"/>
  <c r="Q3160" i="1"/>
  <c r="P3160" i="1"/>
  <c r="U3159" i="1"/>
  <c r="T3159" i="1"/>
  <c r="S3159" i="1"/>
  <c r="R3159" i="1"/>
  <c r="Q3159" i="1"/>
  <c r="P3159" i="1"/>
  <c r="U3158" i="1"/>
  <c r="T3158" i="1"/>
  <c r="S3158" i="1"/>
  <c r="R3158" i="1"/>
  <c r="Q3158" i="1"/>
  <c r="P3158" i="1"/>
  <c r="U3157" i="1"/>
  <c r="T3157" i="1"/>
  <c r="S3157" i="1"/>
  <c r="R3157" i="1"/>
  <c r="Q3157" i="1"/>
  <c r="P3157" i="1"/>
  <c r="U3156" i="1"/>
  <c r="T3156" i="1"/>
  <c r="S3156" i="1"/>
  <c r="R3156" i="1"/>
  <c r="Q3156" i="1"/>
  <c r="P3156" i="1"/>
  <c r="U3155" i="1"/>
  <c r="T3155" i="1"/>
  <c r="S3155" i="1"/>
  <c r="R3155" i="1"/>
  <c r="Q3155" i="1"/>
  <c r="P3155" i="1"/>
  <c r="U3154" i="1"/>
  <c r="T3154" i="1"/>
  <c r="S3154" i="1"/>
  <c r="R3154" i="1"/>
  <c r="Q3154" i="1"/>
  <c r="P3154" i="1"/>
  <c r="U3153" i="1"/>
  <c r="T3153" i="1"/>
  <c r="S3153" i="1"/>
  <c r="R3153" i="1"/>
  <c r="Q3153" i="1"/>
  <c r="P3153" i="1"/>
  <c r="U3152" i="1"/>
  <c r="T3152" i="1"/>
  <c r="S3152" i="1"/>
  <c r="R3152" i="1"/>
  <c r="Q3152" i="1"/>
  <c r="P3152" i="1"/>
  <c r="U3151" i="1"/>
  <c r="T3151" i="1"/>
  <c r="S3151" i="1"/>
  <c r="R3151" i="1"/>
  <c r="Q3151" i="1"/>
  <c r="P3151" i="1"/>
  <c r="U3150" i="1"/>
  <c r="T3150" i="1"/>
  <c r="S3150" i="1"/>
  <c r="R3150" i="1"/>
  <c r="Q3150" i="1"/>
  <c r="P3150" i="1"/>
  <c r="U3149" i="1"/>
  <c r="T3149" i="1"/>
  <c r="S3149" i="1"/>
  <c r="R3149" i="1"/>
  <c r="Q3149" i="1"/>
  <c r="P3149" i="1"/>
  <c r="U3148" i="1"/>
  <c r="T3148" i="1"/>
  <c r="S3148" i="1"/>
  <c r="R3148" i="1"/>
  <c r="Q3148" i="1"/>
  <c r="P3148" i="1"/>
  <c r="U3147" i="1"/>
  <c r="T3147" i="1"/>
  <c r="S3147" i="1"/>
  <c r="R3147" i="1"/>
  <c r="Q3147" i="1"/>
  <c r="P3147" i="1"/>
  <c r="U3146" i="1"/>
  <c r="T3146" i="1"/>
  <c r="S3146" i="1"/>
  <c r="R3146" i="1"/>
  <c r="Q3146" i="1"/>
  <c r="P3146" i="1"/>
  <c r="U3145" i="1"/>
  <c r="T3145" i="1"/>
  <c r="S3145" i="1"/>
  <c r="R3145" i="1"/>
  <c r="Q3145" i="1"/>
  <c r="P3145" i="1"/>
  <c r="U3144" i="1"/>
  <c r="T3144" i="1"/>
  <c r="S3144" i="1"/>
  <c r="R3144" i="1"/>
  <c r="Q3144" i="1"/>
  <c r="P3144" i="1"/>
  <c r="U3143" i="1"/>
  <c r="T3143" i="1"/>
  <c r="S3143" i="1"/>
  <c r="R3143" i="1"/>
  <c r="Q3143" i="1"/>
  <c r="P3143" i="1"/>
  <c r="U3142" i="1"/>
  <c r="T3142" i="1"/>
  <c r="S3142" i="1"/>
  <c r="R3142" i="1"/>
  <c r="Q3142" i="1"/>
  <c r="P3142" i="1"/>
  <c r="U3141" i="1"/>
  <c r="T3141" i="1"/>
  <c r="S3141" i="1"/>
  <c r="R3141" i="1"/>
  <c r="Q3141" i="1"/>
  <c r="P3141" i="1"/>
  <c r="U3140" i="1"/>
  <c r="T3140" i="1"/>
  <c r="S3140" i="1"/>
  <c r="R3140" i="1"/>
  <c r="Q3140" i="1"/>
  <c r="P3140" i="1"/>
  <c r="U3139" i="1"/>
  <c r="T3139" i="1"/>
  <c r="S3139" i="1"/>
  <c r="R3139" i="1"/>
  <c r="Q3139" i="1"/>
  <c r="P3139" i="1"/>
  <c r="U3138" i="1"/>
  <c r="T3138" i="1"/>
  <c r="S3138" i="1"/>
  <c r="R3138" i="1"/>
  <c r="Q3138" i="1"/>
  <c r="P3138" i="1"/>
  <c r="U3137" i="1"/>
  <c r="T3137" i="1"/>
  <c r="S3137" i="1"/>
  <c r="R3137" i="1"/>
  <c r="Q3137" i="1"/>
  <c r="P3137" i="1"/>
  <c r="U3136" i="1"/>
  <c r="T3136" i="1"/>
  <c r="S3136" i="1"/>
  <c r="R3136" i="1"/>
  <c r="Q3136" i="1"/>
  <c r="P3136" i="1"/>
  <c r="U3135" i="1"/>
  <c r="T3135" i="1"/>
  <c r="S3135" i="1"/>
  <c r="R3135" i="1"/>
  <c r="Q3135" i="1"/>
  <c r="P3135" i="1"/>
  <c r="U3134" i="1"/>
  <c r="T3134" i="1"/>
  <c r="S3134" i="1"/>
  <c r="R3134" i="1"/>
  <c r="Q3134" i="1"/>
  <c r="P3134" i="1"/>
  <c r="U3133" i="1"/>
  <c r="T3133" i="1"/>
  <c r="S3133" i="1"/>
  <c r="R3133" i="1"/>
  <c r="Q3133" i="1"/>
  <c r="P3133" i="1"/>
  <c r="U3132" i="1"/>
  <c r="T3132" i="1"/>
  <c r="S3132" i="1"/>
  <c r="R3132" i="1"/>
  <c r="Q3132" i="1"/>
  <c r="P3132" i="1"/>
  <c r="U3131" i="1"/>
  <c r="T3131" i="1"/>
  <c r="S3131" i="1"/>
  <c r="R3131" i="1"/>
  <c r="Q3131" i="1"/>
  <c r="P3131" i="1"/>
  <c r="U3130" i="1"/>
  <c r="T3130" i="1"/>
  <c r="S3130" i="1"/>
  <c r="R3130" i="1"/>
  <c r="Q3130" i="1"/>
  <c r="P3130" i="1"/>
  <c r="U3129" i="1"/>
  <c r="T3129" i="1"/>
  <c r="S3129" i="1"/>
  <c r="R3129" i="1"/>
  <c r="Q3129" i="1"/>
  <c r="P3129" i="1"/>
  <c r="U3128" i="1"/>
  <c r="T3128" i="1"/>
  <c r="S3128" i="1"/>
  <c r="R3128" i="1"/>
  <c r="Q3128" i="1"/>
  <c r="P3128" i="1"/>
  <c r="U3127" i="1"/>
  <c r="T3127" i="1"/>
  <c r="S3127" i="1"/>
  <c r="R3127" i="1"/>
  <c r="Q3127" i="1"/>
  <c r="P3127" i="1"/>
  <c r="U3126" i="1"/>
  <c r="T3126" i="1"/>
  <c r="S3126" i="1"/>
  <c r="R3126" i="1"/>
  <c r="Q3126" i="1"/>
  <c r="P3126" i="1"/>
  <c r="U3125" i="1"/>
  <c r="T3125" i="1"/>
  <c r="S3125" i="1"/>
  <c r="R3125" i="1"/>
  <c r="Q3125" i="1"/>
  <c r="P3125" i="1"/>
  <c r="U3124" i="1"/>
  <c r="T3124" i="1"/>
  <c r="S3124" i="1"/>
  <c r="R3124" i="1"/>
  <c r="Q3124" i="1"/>
  <c r="P3124" i="1"/>
  <c r="U3123" i="1"/>
  <c r="T3123" i="1"/>
  <c r="S3123" i="1"/>
  <c r="R3123" i="1"/>
  <c r="Q3123" i="1"/>
  <c r="P3123" i="1"/>
  <c r="U3122" i="1"/>
  <c r="T3122" i="1"/>
  <c r="S3122" i="1"/>
  <c r="R3122" i="1"/>
  <c r="Q3122" i="1"/>
  <c r="P3122" i="1"/>
  <c r="U3121" i="1"/>
  <c r="T3121" i="1"/>
  <c r="S3121" i="1"/>
  <c r="R3121" i="1"/>
  <c r="Q3121" i="1"/>
  <c r="P3121" i="1"/>
  <c r="U3120" i="1"/>
  <c r="T3120" i="1"/>
  <c r="S3120" i="1"/>
  <c r="R3120" i="1"/>
  <c r="Q3120" i="1"/>
  <c r="P3120" i="1"/>
  <c r="U3119" i="1"/>
  <c r="T3119" i="1"/>
  <c r="S3119" i="1"/>
  <c r="R3119" i="1"/>
  <c r="Q3119" i="1"/>
  <c r="P3119" i="1"/>
  <c r="U3118" i="1"/>
  <c r="T3118" i="1"/>
  <c r="S3118" i="1"/>
  <c r="R3118" i="1"/>
  <c r="Q3118" i="1"/>
  <c r="P3118" i="1"/>
  <c r="U3117" i="1"/>
  <c r="T3117" i="1"/>
  <c r="S3117" i="1"/>
  <c r="R3117" i="1"/>
  <c r="Q3117" i="1"/>
  <c r="P3117" i="1"/>
  <c r="U3116" i="1"/>
  <c r="T3116" i="1"/>
  <c r="S3116" i="1"/>
  <c r="R3116" i="1"/>
  <c r="Q3116" i="1"/>
  <c r="P3116" i="1"/>
  <c r="U3115" i="1"/>
  <c r="T3115" i="1"/>
  <c r="S3115" i="1"/>
  <c r="R3115" i="1"/>
  <c r="Q3115" i="1"/>
  <c r="P3115" i="1"/>
  <c r="U3114" i="1"/>
  <c r="T3114" i="1"/>
  <c r="S3114" i="1"/>
  <c r="R3114" i="1"/>
  <c r="Q3114" i="1"/>
  <c r="P3114" i="1"/>
  <c r="U3113" i="1"/>
  <c r="T3113" i="1"/>
  <c r="S3113" i="1"/>
  <c r="R3113" i="1"/>
  <c r="Q3113" i="1"/>
  <c r="P3113" i="1"/>
  <c r="U3112" i="1"/>
  <c r="T3112" i="1"/>
  <c r="S3112" i="1"/>
  <c r="R3112" i="1"/>
  <c r="Q3112" i="1"/>
  <c r="P3112" i="1"/>
  <c r="U3111" i="1"/>
  <c r="T3111" i="1"/>
  <c r="S3111" i="1"/>
  <c r="R3111" i="1"/>
  <c r="Q3111" i="1"/>
  <c r="P3111" i="1"/>
  <c r="U3110" i="1"/>
  <c r="T3110" i="1"/>
  <c r="S3110" i="1"/>
  <c r="R3110" i="1"/>
  <c r="Q3110" i="1"/>
  <c r="P3110" i="1"/>
  <c r="U3109" i="1"/>
  <c r="T3109" i="1"/>
  <c r="S3109" i="1"/>
  <c r="R3109" i="1"/>
  <c r="Q3109" i="1"/>
  <c r="P3109" i="1"/>
  <c r="U3108" i="1"/>
  <c r="T3108" i="1"/>
  <c r="S3108" i="1"/>
  <c r="R3108" i="1"/>
  <c r="Q3108" i="1"/>
  <c r="P3108" i="1"/>
  <c r="U3107" i="1"/>
  <c r="T3107" i="1"/>
  <c r="S3107" i="1"/>
  <c r="R3107" i="1"/>
  <c r="Q3107" i="1"/>
  <c r="P3107" i="1"/>
  <c r="U3106" i="1"/>
  <c r="T3106" i="1"/>
  <c r="S3106" i="1"/>
  <c r="R3106" i="1"/>
  <c r="Q3106" i="1"/>
  <c r="P3106" i="1"/>
  <c r="U3105" i="1"/>
  <c r="T3105" i="1"/>
  <c r="S3105" i="1"/>
  <c r="R3105" i="1"/>
  <c r="Q3105" i="1"/>
  <c r="P3105" i="1"/>
  <c r="U3104" i="1"/>
  <c r="T3104" i="1"/>
  <c r="S3104" i="1"/>
  <c r="R3104" i="1"/>
  <c r="Q3104" i="1"/>
  <c r="P3104" i="1"/>
  <c r="U3103" i="1"/>
  <c r="T3103" i="1"/>
  <c r="S3103" i="1"/>
  <c r="R3103" i="1"/>
  <c r="Q3103" i="1"/>
  <c r="P3103" i="1"/>
  <c r="U3102" i="1"/>
  <c r="T3102" i="1"/>
  <c r="S3102" i="1"/>
  <c r="R3102" i="1"/>
  <c r="Q3102" i="1"/>
  <c r="P3102" i="1"/>
  <c r="U3101" i="1"/>
  <c r="T3101" i="1"/>
  <c r="S3101" i="1"/>
  <c r="R3101" i="1"/>
  <c r="Q3101" i="1"/>
  <c r="P3101" i="1"/>
  <c r="U3100" i="1"/>
  <c r="T3100" i="1"/>
  <c r="S3100" i="1"/>
  <c r="R3100" i="1"/>
  <c r="Q3100" i="1"/>
  <c r="P3100" i="1"/>
  <c r="U3099" i="1"/>
  <c r="T3099" i="1"/>
  <c r="S3099" i="1"/>
  <c r="R3099" i="1"/>
  <c r="Q3099" i="1"/>
  <c r="P3099" i="1"/>
  <c r="U3098" i="1"/>
  <c r="T3098" i="1"/>
  <c r="S3098" i="1"/>
  <c r="R3098" i="1"/>
  <c r="Q3098" i="1"/>
  <c r="P3098" i="1"/>
  <c r="U3097" i="1"/>
  <c r="T3097" i="1"/>
  <c r="S3097" i="1"/>
  <c r="R3097" i="1"/>
  <c r="Q3097" i="1"/>
  <c r="P3097" i="1"/>
  <c r="U3096" i="1"/>
  <c r="T3096" i="1"/>
  <c r="S3096" i="1"/>
  <c r="R3096" i="1"/>
  <c r="Q3096" i="1"/>
  <c r="P3096" i="1"/>
  <c r="U3095" i="1"/>
  <c r="T3095" i="1"/>
  <c r="S3095" i="1"/>
  <c r="R3095" i="1"/>
  <c r="Q3095" i="1"/>
  <c r="P3095" i="1"/>
  <c r="U3094" i="1"/>
  <c r="T3094" i="1"/>
  <c r="S3094" i="1"/>
  <c r="R3094" i="1"/>
  <c r="Q3094" i="1"/>
  <c r="P3094" i="1"/>
  <c r="U3093" i="1"/>
  <c r="T3093" i="1"/>
  <c r="S3093" i="1"/>
  <c r="R3093" i="1"/>
  <c r="Q3093" i="1"/>
  <c r="P3093" i="1"/>
  <c r="U3092" i="1"/>
  <c r="T3092" i="1"/>
  <c r="S3092" i="1"/>
  <c r="R3092" i="1"/>
  <c r="Q3092" i="1"/>
  <c r="P3092" i="1"/>
  <c r="U3091" i="1"/>
  <c r="T3091" i="1"/>
  <c r="S3091" i="1"/>
  <c r="R3091" i="1"/>
  <c r="Q3091" i="1"/>
  <c r="P3091" i="1"/>
  <c r="U3090" i="1"/>
  <c r="T3090" i="1"/>
  <c r="S3090" i="1"/>
  <c r="R3090" i="1"/>
  <c r="Q3090" i="1"/>
  <c r="P3090" i="1"/>
  <c r="U3089" i="1"/>
  <c r="T3089" i="1"/>
  <c r="S3089" i="1"/>
  <c r="R3089" i="1"/>
  <c r="Q3089" i="1"/>
  <c r="P3089" i="1"/>
  <c r="U3088" i="1"/>
  <c r="T3088" i="1"/>
  <c r="S3088" i="1"/>
  <c r="R3088" i="1"/>
  <c r="Q3088" i="1"/>
  <c r="P3088" i="1"/>
  <c r="U3087" i="1"/>
  <c r="T3087" i="1"/>
  <c r="S3087" i="1"/>
  <c r="R3087" i="1"/>
  <c r="Q3087" i="1"/>
  <c r="P3087" i="1"/>
  <c r="U3086" i="1"/>
  <c r="T3086" i="1"/>
  <c r="S3086" i="1"/>
  <c r="R3086" i="1"/>
  <c r="Q3086" i="1"/>
  <c r="P3086" i="1"/>
  <c r="U3085" i="1"/>
  <c r="T3085" i="1"/>
  <c r="S3085" i="1"/>
  <c r="R3085" i="1"/>
  <c r="Q3085" i="1"/>
  <c r="P3085" i="1"/>
  <c r="U3084" i="1"/>
  <c r="T3084" i="1"/>
  <c r="S3084" i="1"/>
  <c r="R3084" i="1"/>
  <c r="Q3084" i="1"/>
  <c r="P3084" i="1"/>
  <c r="U3083" i="1"/>
  <c r="T3083" i="1"/>
  <c r="S3083" i="1"/>
  <c r="R3083" i="1"/>
  <c r="Q3083" i="1"/>
  <c r="P3083" i="1"/>
  <c r="U3082" i="1"/>
  <c r="T3082" i="1"/>
  <c r="S3082" i="1"/>
  <c r="R3082" i="1"/>
  <c r="Q3082" i="1"/>
  <c r="P3082" i="1"/>
  <c r="U3081" i="1"/>
  <c r="T3081" i="1"/>
  <c r="S3081" i="1"/>
  <c r="R3081" i="1"/>
  <c r="Q3081" i="1"/>
  <c r="P3081" i="1"/>
  <c r="U3080" i="1"/>
  <c r="T3080" i="1"/>
  <c r="S3080" i="1"/>
  <c r="R3080" i="1"/>
  <c r="Q3080" i="1"/>
  <c r="P3080" i="1"/>
  <c r="U3079" i="1"/>
  <c r="T3079" i="1"/>
  <c r="S3079" i="1"/>
  <c r="R3079" i="1"/>
  <c r="Q3079" i="1"/>
  <c r="P3079" i="1"/>
  <c r="U3078" i="1"/>
  <c r="T3078" i="1"/>
  <c r="S3078" i="1"/>
  <c r="R3078" i="1"/>
  <c r="Q3078" i="1"/>
  <c r="P3078" i="1"/>
  <c r="U3077" i="1"/>
  <c r="T3077" i="1"/>
  <c r="S3077" i="1"/>
  <c r="R3077" i="1"/>
  <c r="Q3077" i="1"/>
  <c r="P3077" i="1"/>
  <c r="U3076" i="1"/>
  <c r="T3076" i="1"/>
  <c r="S3076" i="1"/>
  <c r="R3076" i="1"/>
  <c r="Q3076" i="1"/>
  <c r="P3076" i="1"/>
  <c r="U3075" i="1"/>
  <c r="T3075" i="1"/>
  <c r="S3075" i="1"/>
  <c r="R3075" i="1"/>
  <c r="Q3075" i="1"/>
  <c r="P3075" i="1"/>
  <c r="U3074" i="1"/>
  <c r="T3074" i="1"/>
  <c r="S3074" i="1"/>
  <c r="R3074" i="1"/>
  <c r="Q3074" i="1"/>
  <c r="P3074" i="1"/>
  <c r="U3073" i="1"/>
  <c r="T3073" i="1"/>
  <c r="S3073" i="1"/>
  <c r="R3073" i="1"/>
  <c r="Q3073" i="1"/>
  <c r="P3073" i="1"/>
  <c r="U3072" i="1"/>
  <c r="T3072" i="1"/>
  <c r="S3072" i="1"/>
  <c r="R3072" i="1"/>
  <c r="Q3072" i="1"/>
  <c r="P3072" i="1"/>
  <c r="U3071" i="1"/>
  <c r="T3071" i="1"/>
  <c r="S3071" i="1"/>
  <c r="R3071" i="1"/>
  <c r="Q3071" i="1"/>
  <c r="P3071" i="1"/>
  <c r="U3070" i="1"/>
  <c r="T3070" i="1"/>
  <c r="S3070" i="1"/>
  <c r="R3070" i="1"/>
  <c r="Q3070" i="1"/>
  <c r="P3070" i="1"/>
  <c r="U3069" i="1"/>
  <c r="T3069" i="1"/>
  <c r="S3069" i="1"/>
  <c r="R3069" i="1"/>
  <c r="Q3069" i="1"/>
  <c r="P3069" i="1"/>
  <c r="U3068" i="1"/>
  <c r="T3068" i="1"/>
  <c r="S3068" i="1"/>
  <c r="R3068" i="1"/>
  <c r="Q3068" i="1"/>
  <c r="P3068" i="1"/>
  <c r="U3067" i="1"/>
  <c r="T3067" i="1"/>
  <c r="S3067" i="1"/>
  <c r="R3067" i="1"/>
  <c r="Q3067" i="1"/>
  <c r="P3067" i="1"/>
  <c r="U3066" i="1"/>
  <c r="T3066" i="1"/>
  <c r="S3066" i="1"/>
  <c r="R3066" i="1"/>
  <c r="Q3066" i="1"/>
  <c r="P3066" i="1"/>
  <c r="U3065" i="1"/>
  <c r="T3065" i="1"/>
  <c r="S3065" i="1"/>
  <c r="R3065" i="1"/>
  <c r="Q3065" i="1"/>
  <c r="P3065" i="1"/>
  <c r="U3064" i="1"/>
  <c r="T3064" i="1"/>
  <c r="S3064" i="1"/>
  <c r="R3064" i="1"/>
  <c r="Q3064" i="1"/>
  <c r="P3064" i="1"/>
  <c r="U3063" i="1"/>
  <c r="T3063" i="1"/>
  <c r="S3063" i="1"/>
  <c r="R3063" i="1"/>
  <c r="Q3063" i="1"/>
  <c r="P3063" i="1"/>
  <c r="U3062" i="1"/>
  <c r="T3062" i="1"/>
  <c r="S3062" i="1"/>
  <c r="R3062" i="1"/>
  <c r="Q3062" i="1"/>
  <c r="P3062" i="1"/>
  <c r="U3061" i="1"/>
  <c r="T3061" i="1"/>
  <c r="S3061" i="1"/>
  <c r="R3061" i="1"/>
  <c r="Q3061" i="1"/>
  <c r="P3061" i="1"/>
  <c r="U3060" i="1"/>
  <c r="T3060" i="1"/>
  <c r="S3060" i="1"/>
  <c r="R3060" i="1"/>
  <c r="Q3060" i="1"/>
  <c r="P3060" i="1"/>
  <c r="U3059" i="1"/>
  <c r="T3059" i="1"/>
  <c r="S3059" i="1"/>
  <c r="R3059" i="1"/>
  <c r="Q3059" i="1"/>
  <c r="P3059" i="1"/>
  <c r="U3058" i="1"/>
  <c r="T3058" i="1"/>
  <c r="S3058" i="1"/>
  <c r="R3058" i="1"/>
  <c r="Q3058" i="1"/>
  <c r="P3058" i="1"/>
  <c r="U3057" i="1"/>
  <c r="T3057" i="1"/>
  <c r="S3057" i="1"/>
  <c r="R3057" i="1"/>
  <c r="Q3057" i="1"/>
  <c r="P3057" i="1"/>
  <c r="U3056" i="1"/>
  <c r="T3056" i="1"/>
  <c r="S3056" i="1"/>
  <c r="R3056" i="1"/>
  <c r="Q3056" i="1"/>
  <c r="P3056" i="1"/>
  <c r="U3055" i="1"/>
  <c r="T3055" i="1"/>
  <c r="S3055" i="1"/>
  <c r="R3055" i="1"/>
  <c r="Q3055" i="1"/>
  <c r="P3055" i="1"/>
  <c r="U3054" i="1"/>
  <c r="T3054" i="1"/>
  <c r="S3054" i="1"/>
  <c r="R3054" i="1"/>
  <c r="Q3054" i="1"/>
  <c r="P3054" i="1"/>
  <c r="U3053" i="1"/>
  <c r="T3053" i="1"/>
  <c r="S3053" i="1"/>
  <c r="R3053" i="1"/>
  <c r="Q3053" i="1"/>
  <c r="P3053" i="1"/>
  <c r="U3052" i="1"/>
  <c r="T3052" i="1"/>
  <c r="S3052" i="1"/>
  <c r="R3052" i="1"/>
  <c r="Q3052" i="1"/>
  <c r="P3052" i="1"/>
  <c r="U3051" i="1"/>
  <c r="T3051" i="1"/>
  <c r="S3051" i="1"/>
  <c r="R3051" i="1"/>
  <c r="Q3051" i="1"/>
  <c r="P3051" i="1"/>
  <c r="U3050" i="1"/>
  <c r="T3050" i="1"/>
  <c r="S3050" i="1"/>
  <c r="R3050" i="1"/>
  <c r="Q3050" i="1"/>
  <c r="P3050" i="1"/>
  <c r="U3049" i="1"/>
  <c r="T3049" i="1"/>
  <c r="S3049" i="1"/>
  <c r="R3049" i="1"/>
  <c r="Q3049" i="1"/>
  <c r="P3049" i="1"/>
  <c r="U3048" i="1"/>
  <c r="T3048" i="1"/>
  <c r="S3048" i="1"/>
  <c r="R3048" i="1"/>
  <c r="Q3048" i="1"/>
  <c r="P3048" i="1"/>
  <c r="U3047" i="1"/>
  <c r="T3047" i="1"/>
  <c r="S3047" i="1"/>
  <c r="R3047" i="1"/>
  <c r="Q3047" i="1"/>
  <c r="P3047" i="1"/>
  <c r="U3046" i="1"/>
  <c r="T3046" i="1"/>
  <c r="S3046" i="1"/>
  <c r="R3046" i="1"/>
  <c r="Q3046" i="1"/>
  <c r="P3046" i="1"/>
  <c r="U3045" i="1"/>
  <c r="T3045" i="1"/>
  <c r="S3045" i="1"/>
  <c r="R3045" i="1"/>
  <c r="Q3045" i="1"/>
  <c r="P3045" i="1"/>
  <c r="U3044" i="1"/>
  <c r="T3044" i="1"/>
  <c r="S3044" i="1"/>
  <c r="R3044" i="1"/>
  <c r="Q3044" i="1"/>
  <c r="P3044" i="1"/>
  <c r="U3043" i="1"/>
  <c r="T3043" i="1"/>
  <c r="S3043" i="1"/>
  <c r="R3043" i="1"/>
  <c r="Q3043" i="1"/>
  <c r="P3043" i="1"/>
  <c r="U3042" i="1"/>
  <c r="T3042" i="1"/>
  <c r="S3042" i="1"/>
  <c r="R3042" i="1"/>
  <c r="Q3042" i="1"/>
  <c r="P3042" i="1"/>
  <c r="U3041" i="1"/>
  <c r="T3041" i="1"/>
  <c r="S3041" i="1"/>
  <c r="R3041" i="1"/>
  <c r="Q3041" i="1"/>
  <c r="P3041" i="1"/>
  <c r="U3040" i="1"/>
  <c r="T3040" i="1"/>
  <c r="S3040" i="1"/>
  <c r="R3040" i="1"/>
  <c r="Q3040" i="1"/>
  <c r="P3040" i="1"/>
  <c r="U3039" i="1"/>
  <c r="T3039" i="1"/>
  <c r="S3039" i="1"/>
  <c r="R3039" i="1"/>
  <c r="Q3039" i="1"/>
  <c r="P3039" i="1"/>
  <c r="U3038" i="1"/>
  <c r="T3038" i="1"/>
  <c r="S3038" i="1"/>
  <c r="R3038" i="1"/>
  <c r="Q3038" i="1"/>
  <c r="P3038" i="1"/>
  <c r="U3037" i="1"/>
  <c r="T3037" i="1"/>
  <c r="S3037" i="1"/>
  <c r="R3037" i="1"/>
  <c r="Q3037" i="1"/>
  <c r="P3037" i="1"/>
  <c r="U3036" i="1"/>
  <c r="T3036" i="1"/>
  <c r="S3036" i="1"/>
  <c r="R3036" i="1"/>
  <c r="Q3036" i="1"/>
  <c r="P3036" i="1"/>
  <c r="U3035" i="1"/>
  <c r="T3035" i="1"/>
  <c r="S3035" i="1"/>
  <c r="R3035" i="1"/>
  <c r="Q3035" i="1"/>
  <c r="P3035" i="1"/>
  <c r="U3034" i="1"/>
  <c r="T3034" i="1"/>
  <c r="S3034" i="1"/>
  <c r="R3034" i="1"/>
  <c r="Q3034" i="1"/>
  <c r="P3034" i="1"/>
  <c r="U3033" i="1"/>
  <c r="T3033" i="1"/>
  <c r="S3033" i="1"/>
  <c r="R3033" i="1"/>
  <c r="Q3033" i="1"/>
  <c r="P3033" i="1"/>
  <c r="U3032" i="1"/>
  <c r="T3032" i="1"/>
  <c r="S3032" i="1"/>
  <c r="R3032" i="1"/>
  <c r="Q3032" i="1"/>
  <c r="P3032" i="1"/>
  <c r="U3031" i="1"/>
  <c r="T3031" i="1"/>
  <c r="S3031" i="1"/>
  <c r="R3031" i="1"/>
  <c r="Q3031" i="1"/>
  <c r="P3031" i="1"/>
  <c r="U3030" i="1"/>
  <c r="T3030" i="1"/>
  <c r="S3030" i="1"/>
  <c r="R3030" i="1"/>
  <c r="Q3030" i="1"/>
  <c r="P3030" i="1"/>
  <c r="U3029" i="1"/>
  <c r="T3029" i="1"/>
  <c r="S3029" i="1"/>
  <c r="R3029" i="1"/>
  <c r="Q3029" i="1"/>
  <c r="P3029" i="1"/>
  <c r="U3028" i="1"/>
  <c r="T3028" i="1"/>
  <c r="S3028" i="1"/>
  <c r="R3028" i="1"/>
  <c r="Q3028" i="1"/>
  <c r="P3028" i="1"/>
  <c r="U3027" i="1"/>
  <c r="T3027" i="1"/>
  <c r="S3027" i="1"/>
  <c r="R3027" i="1"/>
  <c r="Q3027" i="1"/>
  <c r="P3027" i="1"/>
  <c r="U3026" i="1"/>
  <c r="T3026" i="1"/>
  <c r="S3026" i="1"/>
  <c r="R3026" i="1"/>
  <c r="Q3026" i="1"/>
  <c r="P3026" i="1"/>
  <c r="U3025" i="1"/>
  <c r="T3025" i="1"/>
  <c r="S3025" i="1"/>
  <c r="R3025" i="1"/>
  <c r="Q3025" i="1"/>
  <c r="P3025" i="1"/>
  <c r="U3024" i="1"/>
  <c r="T3024" i="1"/>
  <c r="S3024" i="1"/>
  <c r="R3024" i="1"/>
  <c r="Q3024" i="1"/>
  <c r="P3024" i="1"/>
  <c r="U3023" i="1"/>
  <c r="T3023" i="1"/>
  <c r="S3023" i="1"/>
  <c r="R3023" i="1"/>
  <c r="Q3023" i="1"/>
  <c r="P3023" i="1"/>
  <c r="U3022" i="1"/>
  <c r="T3022" i="1"/>
  <c r="S3022" i="1"/>
  <c r="R3022" i="1"/>
  <c r="Q3022" i="1"/>
  <c r="P3022" i="1"/>
  <c r="U3021" i="1"/>
  <c r="T3021" i="1"/>
  <c r="S3021" i="1"/>
  <c r="R3021" i="1"/>
  <c r="Q3021" i="1"/>
  <c r="P3021" i="1"/>
  <c r="U3020" i="1"/>
  <c r="T3020" i="1"/>
  <c r="S3020" i="1"/>
  <c r="R3020" i="1"/>
  <c r="Q3020" i="1"/>
  <c r="P3020" i="1"/>
  <c r="U3019" i="1"/>
  <c r="T3019" i="1"/>
  <c r="S3019" i="1"/>
  <c r="R3019" i="1"/>
  <c r="Q3019" i="1"/>
  <c r="P3019" i="1"/>
  <c r="U3018" i="1"/>
  <c r="T3018" i="1"/>
  <c r="S3018" i="1"/>
  <c r="R3018" i="1"/>
  <c r="Q3018" i="1"/>
  <c r="P3018" i="1"/>
  <c r="U3017" i="1"/>
  <c r="T3017" i="1"/>
  <c r="S3017" i="1"/>
  <c r="R3017" i="1"/>
  <c r="Q3017" i="1"/>
  <c r="P3017" i="1"/>
  <c r="U3016" i="1"/>
  <c r="T3016" i="1"/>
  <c r="S3016" i="1"/>
  <c r="R3016" i="1"/>
  <c r="Q3016" i="1"/>
  <c r="P3016" i="1"/>
  <c r="U3015" i="1"/>
  <c r="T3015" i="1"/>
  <c r="S3015" i="1"/>
  <c r="R3015" i="1"/>
  <c r="Q3015" i="1"/>
  <c r="P3015" i="1"/>
  <c r="U3014" i="1"/>
  <c r="T3014" i="1"/>
  <c r="S3014" i="1"/>
  <c r="R3014" i="1"/>
  <c r="Q3014" i="1"/>
  <c r="P3014" i="1"/>
  <c r="U3013" i="1"/>
  <c r="T3013" i="1"/>
  <c r="S3013" i="1"/>
  <c r="R3013" i="1"/>
  <c r="Q3013" i="1"/>
  <c r="P3013" i="1"/>
  <c r="U3012" i="1"/>
  <c r="T3012" i="1"/>
  <c r="S3012" i="1"/>
  <c r="R3012" i="1"/>
  <c r="Q3012" i="1"/>
  <c r="P3012" i="1"/>
  <c r="U3011" i="1"/>
  <c r="T3011" i="1"/>
  <c r="S3011" i="1"/>
  <c r="R3011" i="1"/>
  <c r="Q3011" i="1"/>
  <c r="P3011" i="1"/>
  <c r="U3010" i="1"/>
  <c r="T3010" i="1"/>
  <c r="S3010" i="1"/>
  <c r="R3010" i="1"/>
  <c r="Q3010" i="1"/>
  <c r="P3010" i="1"/>
  <c r="U3009" i="1"/>
  <c r="T3009" i="1"/>
  <c r="S3009" i="1"/>
  <c r="R3009" i="1"/>
  <c r="Q3009" i="1"/>
  <c r="P3009" i="1"/>
  <c r="U3008" i="1"/>
  <c r="T3008" i="1"/>
  <c r="S3008" i="1"/>
  <c r="R3008" i="1"/>
  <c r="Q3008" i="1"/>
  <c r="P3008" i="1"/>
  <c r="U3007" i="1"/>
  <c r="T3007" i="1"/>
  <c r="S3007" i="1"/>
  <c r="R3007" i="1"/>
  <c r="Q3007" i="1"/>
  <c r="P3007" i="1"/>
  <c r="U3006" i="1"/>
  <c r="T3006" i="1"/>
  <c r="S3006" i="1"/>
  <c r="R3006" i="1"/>
  <c r="Q3006" i="1"/>
  <c r="P3006" i="1"/>
  <c r="U3005" i="1"/>
  <c r="T3005" i="1"/>
  <c r="S3005" i="1"/>
  <c r="R3005" i="1"/>
  <c r="Q3005" i="1"/>
  <c r="P3005" i="1"/>
  <c r="U3004" i="1"/>
  <c r="T3004" i="1"/>
  <c r="S3004" i="1"/>
  <c r="R3004" i="1"/>
  <c r="Q3004" i="1"/>
  <c r="P3004" i="1"/>
  <c r="U3003" i="1"/>
  <c r="T3003" i="1"/>
  <c r="S3003" i="1"/>
  <c r="R3003" i="1"/>
  <c r="Q3003" i="1"/>
  <c r="P3003" i="1"/>
  <c r="U3002" i="1"/>
  <c r="T3002" i="1"/>
  <c r="S3002" i="1"/>
  <c r="R3002" i="1"/>
  <c r="Q3002" i="1"/>
  <c r="P3002" i="1"/>
  <c r="U3001" i="1"/>
  <c r="T3001" i="1"/>
  <c r="S3001" i="1"/>
  <c r="R3001" i="1"/>
  <c r="Q3001" i="1"/>
  <c r="P3001" i="1"/>
  <c r="U3000" i="1"/>
  <c r="T3000" i="1"/>
  <c r="S3000" i="1"/>
  <c r="R3000" i="1"/>
  <c r="Q3000" i="1"/>
  <c r="P3000" i="1"/>
  <c r="U2999" i="1"/>
  <c r="T2999" i="1"/>
  <c r="S2999" i="1"/>
  <c r="R2999" i="1"/>
  <c r="Q2999" i="1"/>
  <c r="P2999" i="1"/>
  <c r="U2998" i="1"/>
  <c r="T2998" i="1"/>
  <c r="S2998" i="1"/>
  <c r="R2998" i="1"/>
  <c r="Q2998" i="1"/>
  <c r="P2998" i="1"/>
  <c r="U2997" i="1"/>
  <c r="T2997" i="1"/>
  <c r="S2997" i="1"/>
  <c r="R2997" i="1"/>
  <c r="Q2997" i="1"/>
  <c r="P2997" i="1"/>
  <c r="U2996" i="1"/>
  <c r="T2996" i="1"/>
  <c r="S2996" i="1"/>
  <c r="R2996" i="1"/>
  <c r="Q2996" i="1"/>
  <c r="P2996" i="1"/>
  <c r="U2995" i="1"/>
  <c r="T2995" i="1"/>
  <c r="S2995" i="1"/>
  <c r="R2995" i="1"/>
  <c r="Q2995" i="1"/>
  <c r="P2995" i="1"/>
  <c r="U2994" i="1"/>
  <c r="T2994" i="1"/>
  <c r="S2994" i="1"/>
  <c r="R2994" i="1"/>
  <c r="Q2994" i="1"/>
  <c r="P2994" i="1"/>
  <c r="U2993" i="1"/>
  <c r="T2993" i="1"/>
  <c r="S2993" i="1"/>
  <c r="R2993" i="1"/>
  <c r="Q2993" i="1"/>
  <c r="P2993" i="1"/>
  <c r="U2992" i="1"/>
  <c r="T2992" i="1"/>
  <c r="S2992" i="1"/>
  <c r="R2992" i="1"/>
  <c r="Q2992" i="1"/>
  <c r="P2992" i="1"/>
  <c r="U2991" i="1"/>
  <c r="T2991" i="1"/>
  <c r="S2991" i="1"/>
  <c r="R2991" i="1"/>
  <c r="Q2991" i="1"/>
  <c r="P2991" i="1"/>
  <c r="U2990" i="1"/>
  <c r="T2990" i="1"/>
  <c r="S2990" i="1"/>
  <c r="R2990" i="1"/>
  <c r="Q2990" i="1"/>
  <c r="P2990" i="1"/>
  <c r="U2989" i="1"/>
  <c r="T2989" i="1"/>
  <c r="S2989" i="1"/>
  <c r="R2989" i="1"/>
  <c r="Q2989" i="1"/>
  <c r="P2989" i="1"/>
  <c r="U2988" i="1"/>
  <c r="T2988" i="1"/>
  <c r="S2988" i="1"/>
  <c r="R2988" i="1"/>
  <c r="Q2988" i="1"/>
  <c r="P2988" i="1"/>
  <c r="U2987" i="1"/>
  <c r="T2987" i="1"/>
  <c r="S2987" i="1"/>
  <c r="R2987" i="1"/>
  <c r="Q2987" i="1"/>
  <c r="P2987" i="1"/>
  <c r="U2986" i="1"/>
  <c r="T2986" i="1"/>
  <c r="S2986" i="1"/>
  <c r="R2986" i="1"/>
  <c r="Q2986" i="1"/>
  <c r="P2986" i="1"/>
  <c r="U2985" i="1"/>
  <c r="T2985" i="1"/>
  <c r="S2985" i="1"/>
  <c r="R2985" i="1"/>
  <c r="Q2985" i="1"/>
  <c r="P2985" i="1"/>
  <c r="U2984" i="1"/>
  <c r="T2984" i="1"/>
  <c r="S2984" i="1"/>
  <c r="R2984" i="1"/>
  <c r="Q2984" i="1"/>
  <c r="P2984" i="1"/>
  <c r="U2983" i="1"/>
  <c r="T2983" i="1"/>
  <c r="S2983" i="1"/>
  <c r="R2983" i="1"/>
  <c r="Q2983" i="1"/>
  <c r="P2983" i="1"/>
  <c r="U2982" i="1"/>
  <c r="T2982" i="1"/>
  <c r="S2982" i="1"/>
  <c r="R2982" i="1"/>
  <c r="Q2982" i="1"/>
  <c r="P2982" i="1"/>
  <c r="U2981" i="1"/>
  <c r="T2981" i="1"/>
  <c r="S2981" i="1"/>
  <c r="R2981" i="1"/>
  <c r="Q2981" i="1"/>
  <c r="P2981" i="1"/>
  <c r="U2980" i="1"/>
  <c r="T2980" i="1"/>
  <c r="S2980" i="1"/>
  <c r="R2980" i="1"/>
  <c r="Q2980" i="1"/>
  <c r="P2980" i="1"/>
  <c r="U2979" i="1"/>
  <c r="T2979" i="1"/>
  <c r="S2979" i="1"/>
  <c r="R2979" i="1"/>
  <c r="Q2979" i="1"/>
  <c r="P2979" i="1"/>
  <c r="U2978" i="1"/>
  <c r="T2978" i="1"/>
  <c r="S2978" i="1"/>
  <c r="R2978" i="1"/>
  <c r="Q2978" i="1"/>
  <c r="P2978" i="1"/>
  <c r="U2977" i="1"/>
  <c r="T2977" i="1"/>
  <c r="S2977" i="1"/>
  <c r="R2977" i="1"/>
  <c r="Q2977" i="1"/>
  <c r="P2977" i="1"/>
  <c r="U2976" i="1"/>
  <c r="T2976" i="1"/>
  <c r="S2976" i="1"/>
  <c r="R2976" i="1"/>
  <c r="Q2976" i="1"/>
  <c r="P2976" i="1"/>
  <c r="U2975" i="1"/>
  <c r="T2975" i="1"/>
  <c r="S2975" i="1"/>
  <c r="R2975" i="1"/>
  <c r="Q2975" i="1"/>
  <c r="P2975" i="1"/>
  <c r="U2974" i="1"/>
  <c r="T2974" i="1"/>
  <c r="S2974" i="1"/>
  <c r="R2974" i="1"/>
  <c r="Q2974" i="1"/>
  <c r="P2974" i="1"/>
  <c r="U2973" i="1"/>
  <c r="T2973" i="1"/>
  <c r="S2973" i="1"/>
  <c r="R2973" i="1"/>
  <c r="Q2973" i="1"/>
  <c r="P2973" i="1"/>
  <c r="U2972" i="1"/>
  <c r="T2972" i="1"/>
  <c r="S2972" i="1"/>
  <c r="R2972" i="1"/>
  <c r="Q2972" i="1"/>
  <c r="P2972" i="1"/>
  <c r="U2971" i="1"/>
  <c r="T2971" i="1"/>
  <c r="S2971" i="1"/>
  <c r="R2971" i="1"/>
  <c r="Q2971" i="1"/>
  <c r="P2971" i="1"/>
  <c r="U2970" i="1"/>
  <c r="T2970" i="1"/>
  <c r="S2970" i="1"/>
  <c r="R2970" i="1"/>
  <c r="Q2970" i="1"/>
  <c r="P2970" i="1"/>
  <c r="U2969" i="1"/>
  <c r="T2969" i="1"/>
  <c r="S2969" i="1"/>
  <c r="R2969" i="1"/>
  <c r="Q2969" i="1"/>
  <c r="P2969" i="1"/>
  <c r="U2968" i="1"/>
  <c r="T2968" i="1"/>
  <c r="S2968" i="1"/>
  <c r="R2968" i="1"/>
  <c r="Q2968" i="1"/>
  <c r="P2968" i="1"/>
  <c r="U2967" i="1"/>
  <c r="T2967" i="1"/>
  <c r="S2967" i="1"/>
  <c r="R2967" i="1"/>
  <c r="Q2967" i="1"/>
  <c r="P2967" i="1"/>
  <c r="U2966" i="1"/>
  <c r="T2966" i="1"/>
  <c r="S2966" i="1"/>
  <c r="R2966" i="1"/>
  <c r="Q2966" i="1"/>
  <c r="P2966" i="1"/>
  <c r="U2965" i="1"/>
  <c r="T2965" i="1"/>
  <c r="S2965" i="1"/>
  <c r="R2965" i="1"/>
  <c r="Q2965" i="1"/>
  <c r="P2965" i="1"/>
  <c r="U2964" i="1"/>
  <c r="T2964" i="1"/>
  <c r="S2964" i="1"/>
  <c r="R2964" i="1"/>
  <c r="Q2964" i="1"/>
  <c r="P2964" i="1"/>
  <c r="U2963" i="1"/>
  <c r="T2963" i="1"/>
  <c r="S2963" i="1"/>
  <c r="R2963" i="1"/>
  <c r="Q2963" i="1"/>
  <c r="P2963" i="1"/>
  <c r="U2962" i="1"/>
  <c r="T2962" i="1"/>
  <c r="S2962" i="1"/>
  <c r="R2962" i="1"/>
  <c r="Q2962" i="1"/>
  <c r="P2962" i="1"/>
  <c r="U2961" i="1"/>
  <c r="T2961" i="1"/>
  <c r="S2961" i="1"/>
  <c r="R2961" i="1"/>
  <c r="Q2961" i="1"/>
  <c r="P2961" i="1"/>
  <c r="U2960" i="1"/>
  <c r="T2960" i="1"/>
  <c r="S2960" i="1"/>
  <c r="R2960" i="1"/>
  <c r="Q2960" i="1"/>
  <c r="P2960" i="1"/>
  <c r="U2959" i="1"/>
  <c r="T2959" i="1"/>
  <c r="S2959" i="1"/>
  <c r="R2959" i="1"/>
  <c r="Q2959" i="1"/>
  <c r="P2959" i="1"/>
  <c r="U2958" i="1"/>
  <c r="T2958" i="1"/>
  <c r="S2958" i="1"/>
  <c r="R2958" i="1"/>
  <c r="Q2958" i="1"/>
  <c r="P2958" i="1"/>
  <c r="U2957" i="1"/>
  <c r="T2957" i="1"/>
  <c r="S2957" i="1"/>
  <c r="R2957" i="1"/>
  <c r="Q2957" i="1"/>
  <c r="P2957" i="1"/>
  <c r="U2956" i="1"/>
  <c r="T2956" i="1"/>
  <c r="S2956" i="1"/>
  <c r="R2956" i="1"/>
  <c r="Q2956" i="1"/>
  <c r="P2956" i="1"/>
  <c r="U2955" i="1"/>
  <c r="T2955" i="1"/>
  <c r="S2955" i="1"/>
  <c r="R2955" i="1"/>
  <c r="Q2955" i="1"/>
  <c r="P2955" i="1"/>
  <c r="U2954" i="1"/>
  <c r="T2954" i="1"/>
  <c r="S2954" i="1"/>
  <c r="R2954" i="1"/>
  <c r="Q2954" i="1"/>
  <c r="P2954" i="1"/>
  <c r="U2953" i="1"/>
  <c r="T2953" i="1"/>
  <c r="S2953" i="1"/>
  <c r="R2953" i="1"/>
  <c r="Q2953" i="1"/>
  <c r="P2953" i="1"/>
  <c r="U2952" i="1"/>
  <c r="T2952" i="1"/>
  <c r="S2952" i="1"/>
  <c r="R2952" i="1"/>
  <c r="Q2952" i="1"/>
  <c r="P2952" i="1"/>
  <c r="U2951" i="1"/>
  <c r="T2951" i="1"/>
  <c r="S2951" i="1"/>
  <c r="R2951" i="1"/>
  <c r="Q2951" i="1"/>
  <c r="P2951" i="1"/>
  <c r="U2950" i="1"/>
  <c r="T2950" i="1"/>
  <c r="S2950" i="1"/>
  <c r="R2950" i="1"/>
  <c r="Q2950" i="1"/>
  <c r="P2950" i="1"/>
  <c r="U2949" i="1"/>
  <c r="T2949" i="1"/>
  <c r="S2949" i="1"/>
  <c r="R2949" i="1"/>
  <c r="Q2949" i="1"/>
  <c r="P2949" i="1"/>
  <c r="U2948" i="1"/>
  <c r="T2948" i="1"/>
  <c r="S2948" i="1"/>
  <c r="R2948" i="1"/>
  <c r="Q2948" i="1"/>
  <c r="P2948" i="1"/>
  <c r="U2947" i="1"/>
  <c r="T2947" i="1"/>
  <c r="S2947" i="1"/>
  <c r="R2947" i="1"/>
  <c r="Q2947" i="1"/>
  <c r="P2947" i="1"/>
  <c r="U2946" i="1"/>
  <c r="T2946" i="1"/>
  <c r="S2946" i="1"/>
  <c r="R2946" i="1"/>
  <c r="Q2946" i="1"/>
  <c r="P2946" i="1"/>
  <c r="U2945" i="1"/>
  <c r="T2945" i="1"/>
  <c r="S2945" i="1"/>
  <c r="R2945" i="1"/>
  <c r="Q2945" i="1"/>
  <c r="P2945" i="1"/>
  <c r="U2944" i="1"/>
  <c r="T2944" i="1"/>
  <c r="S2944" i="1"/>
  <c r="R2944" i="1"/>
  <c r="Q2944" i="1"/>
  <c r="P2944" i="1"/>
  <c r="U2943" i="1"/>
  <c r="T2943" i="1"/>
  <c r="S2943" i="1"/>
  <c r="R2943" i="1"/>
  <c r="Q2943" i="1"/>
  <c r="P2943" i="1"/>
  <c r="U2942" i="1"/>
  <c r="T2942" i="1"/>
  <c r="S2942" i="1"/>
  <c r="R2942" i="1"/>
  <c r="Q2942" i="1"/>
  <c r="P2942" i="1"/>
  <c r="U2941" i="1"/>
  <c r="T2941" i="1"/>
  <c r="S2941" i="1"/>
  <c r="R2941" i="1"/>
  <c r="Q2941" i="1"/>
  <c r="P2941" i="1"/>
  <c r="U2940" i="1"/>
  <c r="T2940" i="1"/>
  <c r="S2940" i="1"/>
  <c r="R2940" i="1"/>
  <c r="Q2940" i="1"/>
  <c r="P2940" i="1"/>
  <c r="U2939" i="1"/>
  <c r="T2939" i="1"/>
  <c r="S2939" i="1"/>
  <c r="R2939" i="1"/>
  <c r="Q2939" i="1"/>
  <c r="P2939" i="1"/>
  <c r="U2938" i="1"/>
  <c r="T2938" i="1"/>
  <c r="S2938" i="1"/>
  <c r="R2938" i="1"/>
  <c r="Q2938" i="1"/>
  <c r="P2938" i="1"/>
  <c r="U2937" i="1"/>
  <c r="T2937" i="1"/>
  <c r="S2937" i="1"/>
  <c r="R2937" i="1"/>
  <c r="Q2937" i="1"/>
  <c r="P2937" i="1"/>
  <c r="U2936" i="1"/>
  <c r="T2936" i="1"/>
  <c r="S2936" i="1"/>
  <c r="R2936" i="1"/>
  <c r="Q2936" i="1"/>
  <c r="P2936" i="1"/>
  <c r="U2935" i="1"/>
  <c r="T2935" i="1"/>
  <c r="S2935" i="1"/>
  <c r="R2935" i="1"/>
  <c r="Q2935" i="1"/>
  <c r="P2935" i="1"/>
  <c r="U2934" i="1"/>
  <c r="T2934" i="1"/>
  <c r="S2934" i="1"/>
  <c r="R2934" i="1"/>
  <c r="Q2934" i="1"/>
  <c r="P2934" i="1"/>
  <c r="U2933" i="1"/>
  <c r="T2933" i="1"/>
  <c r="S2933" i="1"/>
  <c r="R2933" i="1"/>
  <c r="Q2933" i="1"/>
  <c r="P2933" i="1"/>
  <c r="U2932" i="1"/>
  <c r="T2932" i="1"/>
  <c r="S2932" i="1"/>
  <c r="R2932" i="1"/>
  <c r="Q2932" i="1"/>
  <c r="P2932" i="1"/>
  <c r="U2931" i="1"/>
  <c r="T2931" i="1"/>
  <c r="S2931" i="1"/>
  <c r="R2931" i="1"/>
  <c r="Q2931" i="1"/>
  <c r="P2931" i="1"/>
  <c r="U2930" i="1"/>
  <c r="T2930" i="1"/>
  <c r="S2930" i="1"/>
  <c r="R2930" i="1"/>
  <c r="Q2930" i="1"/>
  <c r="P2930" i="1"/>
  <c r="U2929" i="1"/>
  <c r="T2929" i="1"/>
  <c r="S2929" i="1"/>
  <c r="R2929" i="1"/>
  <c r="Q2929" i="1"/>
  <c r="P2929" i="1"/>
  <c r="U2928" i="1"/>
  <c r="T2928" i="1"/>
  <c r="S2928" i="1"/>
  <c r="R2928" i="1"/>
  <c r="Q2928" i="1"/>
  <c r="P2928" i="1"/>
  <c r="U2927" i="1"/>
  <c r="T2927" i="1"/>
  <c r="S2927" i="1"/>
  <c r="R2927" i="1"/>
  <c r="Q2927" i="1"/>
  <c r="P2927" i="1"/>
  <c r="U2926" i="1"/>
  <c r="T2926" i="1"/>
  <c r="S2926" i="1"/>
  <c r="R2926" i="1"/>
  <c r="Q2926" i="1"/>
  <c r="P2926" i="1"/>
  <c r="U2925" i="1"/>
  <c r="T2925" i="1"/>
  <c r="S2925" i="1"/>
  <c r="R2925" i="1"/>
  <c r="Q2925" i="1"/>
  <c r="P2925" i="1"/>
  <c r="U2924" i="1"/>
  <c r="T2924" i="1"/>
  <c r="S2924" i="1"/>
  <c r="R2924" i="1"/>
  <c r="Q2924" i="1"/>
  <c r="P2924" i="1"/>
  <c r="U2923" i="1"/>
  <c r="T2923" i="1"/>
  <c r="S2923" i="1"/>
  <c r="R2923" i="1"/>
  <c r="Q2923" i="1"/>
  <c r="P2923" i="1"/>
  <c r="U2922" i="1"/>
  <c r="T2922" i="1"/>
  <c r="S2922" i="1"/>
  <c r="R2922" i="1"/>
  <c r="Q2922" i="1"/>
  <c r="P2922" i="1"/>
  <c r="U2921" i="1"/>
  <c r="T2921" i="1"/>
  <c r="S2921" i="1"/>
  <c r="R2921" i="1"/>
  <c r="Q2921" i="1"/>
  <c r="P2921" i="1"/>
  <c r="U2920" i="1"/>
  <c r="T2920" i="1"/>
  <c r="S2920" i="1"/>
  <c r="R2920" i="1"/>
  <c r="Q2920" i="1"/>
  <c r="P2920" i="1"/>
  <c r="U2919" i="1"/>
  <c r="T2919" i="1"/>
  <c r="S2919" i="1"/>
  <c r="R2919" i="1"/>
  <c r="Q2919" i="1"/>
  <c r="P2919" i="1"/>
  <c r="U2918" i="1"/>
  <c r="T2918" i="1"/>
  <c r="S2918" i="1"/>
  <c r="R2918" i="1"/>
  <c r="Q2918" i="1"/>
  <c r="P2918" i="1"/>
  <c r="U2917" i="1"/>
  <c r="T2917" i="1"/>
  <c r="S2917" i="1"/>
  <c r="R2917" i="1"/>
  <c r="Q2917" i="1"/>
  <c r="P2917" i="1"/>
  <c r="U2916" i="1"/>
  <c r="T2916" i="1"/>
  <c r="S2916" i="1"/>
  <c r="R2916" i="1"/>
  <c r="Q2916" i="1"/>
  <c r="P2916" i="1"/>
  <c r="U2915" i="1"/>
  <c r="T2915" i="1"/>
  <c r="S2915" i="1"/>
  <c r="R2915" i="1"/>
  <c r="Q2915" i="1"/>
  <c r="P2915" i="1"/>
  <c r="U2914" i="1"/>
  <c r="T2914" i="1"/>
  <c r="S2914" i="1"/>
  <c r="R2914" i="1"/>
  <c r="Q2914" i="1"/>
  <c r="P2914" i="1"/>
  <c r="U2913" i="1"/>
  <c r="T2913" i="1"/>
  <c r="S2913" i="1"/>
  <c r="R2913" i="1"/>
  <c r="Q2913" i="1"/>
  <c r="P2913" i="1"/>
  <c r="U2912" i="1"/>
  <c r="T2912" i="1"/>
  <c r="S2912" i="1"/>
  <c r="R2912" i="1"/>
  <c r="Q2912" i="1"/>
  <c r="P2912" i="1"/>
  <c r="U2911" i="1"/>
  <c r="T2911" i="1"/>
  <c r="S2911" i="1"/>
  <c r="R2911" i="1"/>
  <c r="Q2911" i="1"/>
  <c r="P2911" i="1"/>
  <c r="U2910" i="1"/>
  <c r="T2910" i="1"/>
  <c r="S2910" i="1"/>
  <c r="R2910" i="1"/>
  <c r="Q2910" i="1"/>
  <c r="P2910" i="1"/>
  <c r="U2909" i="1"/>
  <c r="T2909" i="1"/>
  <c r="S2909" i="1"/>
  <c r="R2909" i="1"/>
  <c r="Q2909" i="1"/>
  <c r="P2909" i="1"/>
  <c r="U2908" i="1"/>
  <c r="T2908" i="1"/>
  <c r="S2908" i="1"/>
  <c r="R2908" i="1"/>
  <c r="Q2908" i="1"/>
  <c r="P2908" i="1"/>
  <c r="U2907" i="1"/>
  <c r="T2907" i="1"/>
  <c r="S2907" i="1"/>
  <c r="R2907" i="1"/>
  <c r="Q2907" i="1"/>
  <c r="P2907" i="1"/>
  <c r="U2906" i="1"/>
  <c r="T2906" i="1"/>
  <c r="S2906" i="1"/>
  <c r="R2906" i="1"/>
  <c r="Q2906" i="1"/>
  <c r="P2906" i="1"/>
  <c r="U2905" i="1"/>
  <c r="T2905" i="1"/>
  <c r="S2905" i="1"/>
  <c r="R2905" i="1"/>
  <c r="Q2905" i="1"/>
  <c r="P2905" i="1"/>
  <c r="U2904" i="1"/>
  <c r="T2904" i="1"/>
  <c r="S2904" i="1"/>
  <c r="R2904" i="1"/>
  <c r="Q2904" i="1"/>
  <c r="P2904" i="1"/>
  <c r="U2903" i="1"/>
  <c r="T2903" i="1"/>
  <c r="S2903" i="1"/>
  <c r="R2903" i="1"/>
  <c r="Q2903" i="1"/>
  <c r="P2903" i="1"/>
  <c r="U2902" i="1"/>
  <c r="T2902" i="1"/>
  <c r="S2902" i="1"/>
  <c r="R2902" i="1"/>
  <c r="Q2902" i="1"/>
  <c r="P2902" i="1"/>
  <c r="U2901" i="1"/>
  <c r="T2901" i="1"/>
  <c r="S2901" i="1"/>
  <c r="R2901" i="1"/>
  <c r="Q2901" i="1"/>
  <c r="P2901" i="1"/>
  <c r="U2900" i="1"/>
  <c r="T2900" i="1"/>
  <c r="S2900" i="1"/>
  <c r="R2900" i="1"/>
  <c r="Q2900" i="1"/>
  <c r="P2900" i="1"/>
  <c r="U2899" i="1"/>
  <c r="T2899" i="1"/>
  <c r="S2899" i="1"/>
  <c r="R2899" i="1"/>
  <c r="Q2899" i="1"/>
  <c r="P2899" i="1"/>
  <c r="U2898" i="1"/>
  <c r="T2898" i="1"/>
  <c r="S2898" i="1"/>
  <c r="R2898" i="1"/>
  <c r="Q2898" i="1"/>
  <c r="P2898" i="1"/>
  <c r="U2897" i="1"/>
  <c r="T2897" i="1"/>
  <c r="S2897" i="1"/>
  <c r="R2897" i="1"/>
  <c r="Q2897" i="1"/>
  <c r="P2897" i="1"/>
  <c r="U2896" i="1"/>
  <c r="T2896" i="1"/>
  <c r="S2896" i="1"/>
  <c r="R2896" i="1"/>
  <c r="Q2896" i="1"/>
  <c r="P2896" i="1"/>
  <c r="U2895" i="1"/>
  <c r="T2895" i="1"/>
  <c r="S2895" i="1"/>
  <c r="R2895" i="1"/>
  <c r="Q2895" i="1"/>
  <c r="P2895" i="1"/>
  <c r="U2894" i="1"/>
  <c r="T2894" i="1"/>
  <c r="S2894" i="1"/>
  <c r="R2894" i="1"/>
  <c r="Q2894" i="1"/>
  <c r="P2894" i="1"/>
  <c r="U2893" i="1"/>
  <c r="T2893" i="1"/>
  <c r="S2893" i="1"/>
  <c r="R2893" i="1"/>
  <c r="Q2893" i="1"/>
  <c r="P2893" i="1"/>
  <c r="U2892" i="1"/>
  <c r="T2892" i="1"/>
  <c r="S2892" i="1"/>
  <c r="R2892" i="1"/>
  <c r="Q2892" i="1"/>
  <c r="P2892" i="1"/>
  <c r="U2891" i="1"/>
  <c r="T2891" i="1"/>
  <c r="S2891" i="1"/>
  <c r="R2891" i="1"/>
  <c r="Q2891" i="1"/>
  <c r="P2891" i="1"/>
  <c r="U2890" i="1"/>
  <c r="T2890" i="1"/>
  <c r="S2890" i="1"/>
  <c r="R2890" i="1"/>
  <c r="Q2890" i="1"/>
  <c r="P2890" i="1"/>
  <c r="U2889" i="1"/>
  <c r="T2889" i="1"/>
  <c r="S2889" i="1"/>
  <c r="R2889" i="1"/>
  <c r="Q2889" i="1"/>
  <c r="P2889" i="1"/>
  <c r="U2888" i="1"/>
  <c r="T2888" i="1"/>
  <c r="S2888" i="1"/>
  <c r="R2888" i="1"/>
  <c r="Q2888" i="1"/>
  <c r="P2888" i="1"/>
  <c r="U2887" i="1"/>
  <c r="T2887" i="1"/>
  <c r="S2887" i="1"/>
  <c r="R2887" i="1"/>
  <c r="Q2887" i="1"/>
  <c r="P2887" i="1"/>
  <c r="U2886" i="1"/>
  <c r="T2886" i="1"/>
  <c r="S2886" i="1"/>
  <c r="R2886" i="1"/>
  <c r="Q2886" i="1"/>
  <c r="P2886" i="1"/>
  <c r="U2885" i="1"/>
  <c r="T2885" i="1"/>
  <c r="S2885" i="1"/>
  <c r="R2885" i="1"/>
  <c r="Q2885" i="1"/>
  <c r="P2885" i="1"/>
  <c r="U2884" i="1"/>
  <c r="T2884" i="1"/>
  <c r="S2884" i="1"/>
  <c r="R2884" i="1"/>
  <c r="Q2884" i="1"/>
  <c r="P2884" i="1"/>
  <c r="U2883" i="1"/>
  <c r="T2883" i="1"/>
  <c r="S2883" i="1"/>
  <c r="R2883" i="1"/>
  <c r="Q2883" i="1"/>
  <c r="P2883" i="1"/>
  <c r="U2882" i="1"/>
  <c r="T2882" i="1"/>
  <c r="S2882" i="1"/>
  <c r="R2882" i="1"/>
  <c r="Q2882" i="1"/>
  <c r="P2882" i="1"/>
  <c r="U2881" i="1"/>
  <c r="T2881" i="1"/>
  <c r="S2881" i="1"/>
  <c r="R2881" i="1"/>
  <c r="Q2881" i="1"/>
  <c r="P2881" i="1"/>
  <c r="U2880" i="1"/>
  <c r="T2880" i="1"/>
  <c r="S2880" i="1"/>
  <c r="R2880" i="1"/>
  <c r="Q2880" i="1"/>
  <c r="P2880" i="1"/>
  <c r="U2879" i="1"/>
  <c r="T2879" i="1"/>
  <c r="S2879" i="1"/>
  <c r="R2879" i="1"/>
  <c r="Q2879" i="1"/>
  <c r="P2879" i="1"/>
  <c r="U2878" i="1"/>
  <c r="T2878" i="1"/>
  <c r="S2878" i="1"/>
  <c r="R2878" i="1"/>
  <c r="Q2878" i="1"/>
  <c r="P2878" i="1"/>
  <c r="U2877" i="1"/>
  <c r="T2877" i="1"/>
  <c r="S2877" i="1"/>
  <c r="R2877" i="1"/>
  <c r="Q2877" i="1"/>
  <c r="P2877" i="1"/>
  <c r="U2876" i="1"/>
  <c r="T2876" i="1"/>
  <c r="S2876" i="1"/>
  <c r="R2876" i="1"/>
  <c r="Q2876" i="1"/>
  <c r="P2876" i="1"/>
  <c r="U2875" i="1"/>
  <c r="T2875" i="1"/>
  <c r="S2875" i="1"/>
  <c r="R2875" i="1"/>
  <c r="Q2875" i="1"/>
  <c r="P2875" i="1"/>
  <c r="U2874" i="1"/>
  <c r="T2874" i="1"/>
  <c r="S2874" i="1"/>
  <c r="R2874" i="1"/>
  <c r="Q2874" i="1"/>
  <c r="P2874" i="1"/>
  <c r="U2873" i="1"/>
  <c r="T2873" i="1"/>
  <c r="S2873" i="1"/>
  <c r="R2873" i="1"/>
  <c r="Q2873" i="1"/>
  <c r="P2873" i="1"/>
  <c r="U2872" i="1"/>
  <c r="T2872" i="1"/>
  <c r="S2872" i="1"/>
  <c r="R2872" i="1"/>
  <c r="Q2872" i="1"/>
  <c r="P2872" i="1"/>
  <c r="U2871" i="1"/>
  <c r="T2871" i="1"/>
  <c r="S2871" i="1"/>
  <c r="R2871" i="1"/>
  <c r="Q2871" i="1"/>
  <c r="P2871" i="1"/>
  <c r="U2870" i="1"/>
  <c r="T2870" i="1"/>
  <c r="S2870" i="1"/>
  <c r="R2870" i="1"/>
  <c r="Q2870" i="1"/>
  <c r="P2870" i="1"/>
  <c r="U2869" i="1"/>
  <c r="T2869" i="1"/>
  <c r="S2869" i="1"/>
  <c r="R2869" i="1"/>
  <c r="Q2869" i="1"/>
  <c r="P2869" i="1"/>
  <c r="U2868" i="1"/>
  <c r="T2868" i="1"/>
  <c r="S2868" i="1"/>
  <c r="R2868" i="1"/>
  <c r="Q2868" i="1"/>
  <c r="P2868" i="1"/>
  <c r="U2867" i="1"/>
  <c r="T2867" i="1"/>
  <c r="S2867" i="1"/>
  <c r="R2867" i="1"/>
  <c r="Q2867" i="1"/>
  <c r="P2867" i="1"/>
  <c r="U2866" i="1"/>
  <c r="T2866" i="1"/>
  <c r="S2866" i="1"/>
  <c r="R2866" i="1"/>
  <c r="Q2866" i="1"/>
  <c r="P2866" i="1"/>
  <c r="U2865" i="1"/>
  <c r="T2865" i="1"/>
  <c r="S2865" i="1"/>
  <c r="R2865" i="1"/>
  <c r="Q2865" i="1"/>
  <c r="P2865" i="1"/>
  <c r="U2864" i="1"/>
  <c r="T2864" i="1"/>
  <c r="S2864" i="1"/>
  <c r="R2864" i="1"/>
  <c r="Q2864" i="1"/>
  <c r="P2864" i="1"/>
  <c r="U2863" i="1"/>
  <c r="T2863" i="1"/>
  <c r="S2863" i="1"/>
  <c r="R2863" i="1"/>
  <c r="Q2863" i="1"/>
  <c r="P2863" i="1"/>
  <c r="U2862" i="1"/>
  <c r="T2862" i="1"/>
  <c r="S2862" i="1"/>
  <c r="R2862" i="1"/>
  <c r="Q2862" i="1"/>
  <c r="P2862" i="1"/>
  <c r="U2861" i="1"/>
  <c r="T2861" i="1"/>
  <c r="S2861" i="1"/>
  <c r="R2861" i="1"/>
  <c r="Q2861" i="1"/>
  <c r="P2861" i="1"/>
  <c r="U2860" i="1"/>
  <c r="T2860" i="1"/>
  <c r="S2860" i="1"/>
  <c r="R2860" i="1"/>
  <c r="Q2860" i="1"/>
  <c r="P2860" i="1"/>
  <c r="U2859" i="1"/>
  <c r="T2859" i="1"/>
  <c r="S2859" i="1"/>
  <c r="R2859" i="1"/>
  <c r="Q2859" i="1"/>
  <c r="P2859" i="1"/>
  <c r="U2858" i="1"/>
  <c r="T2858" i="1"/>
  <c r="S2858" i="1"/>
  <c r="R2858" i="1"/>
  <c r="Q2858" i="1"/>
  <c r="P2858" i="1"/>
  <c r="U2857" i="1"/>
  <c r="T2857" i="1"/>
  <c r="S2857" i="1"/>
  <c r="R2857" i="1"/>
  <c r="Q2857" i="1"/>
  <c r="P2857" i="1"/>
  <c r="U2856" i="1"/>
  <c r="T2856" i="1"/>
  <c r="S2856" i="1"/>
  <c r="R2856" i="1"/>
  <c r="Q2856" i="1"/>
  <c r="P2856" i="1"/>
  <c r="U2855" i="1"/>
  <c r="T2855" i="1"/>
  <c r="S2855" i="1"/>
  <c r="R2855" i="1"/>
  <c r="Q2855" i="1"/>
  <c r="P2855" i="1"/>
  <c r="U2854" i="1"/>
  <c r="T2854" i="1"/>
  <c r="S2854" i="1"/>
  <c r="R2854" i="1"/>
  <c r="Q2854" i="1"/>
  <c r="P2854" i="1"/>
  <c r="U2853" i="1"/>
  <c r="T2853" i="1"/>
  <c r="S2853" i="1"/>
  <c r="R2853" i="1"/>
  <c r="Q2853" i="1"/>
  <c r="P2853" i="1"/>
  <c r="U2852" i="1"/>
  <c r="T2852" i="1"/>
  <c r="S2852" i="1"/>
  <c r="R2852" i="1"/>
  <c r="Q2852" i="1"/>
  <c r="P2852" i="1"/>
  <c r="U2851" i="1"/>
  <c r="T2851" i="1"/>
  <c r="S2851" i="1"/>
  <c r="R2851" i="1"/>
  <c r="Q2851" i="1"/>
  <c r="P2851" i="1"/>
  <c r="U2850" i="1"/>
  <c r="T2850" i="1"/>
  <c r="S2850" i="1"/>
  <c r="R2850" i="1"/>
  <c r="Q2850" i="1"/>
  <c r="P2850" i="1"/>
  <c r="U2849" i="1"/>
  <c r="T2849" i="1"/>
  <c r="S2849" i="1"/>
  <c r="R2849" i="1"/>
  <c r="Q2849" i="1"/>
  <c r="P2849" i="1"/>
  <c r="U2848" i="1"/>
  <c r="T2848" i="1"/>
  <c r="S2848" i="1"/>
  <c r="R2848" i="1"/>
  <c r="Q2848" i="1"/>
  <c r="P2848" i="1"/>
  <c r="U2847" i="1"/>
  <c r="T2847" i="1"/>
  <c r="S2847" i="1"/>
  <c r="R2847" i="1"/>
  <c r="Q2847" i="1"/>
  <c r="P2847" i="1"/>
  <c r="U2846" i="1"/>
  <c r="T2846" i="1"/>
  <c r="S2846" i="1"/>
  <c r="R2846" i="1"/>
  <c r="Q2846" i="1"/>
  <c r="P2846" i="1"/>
  <c r="U2845" i="1"/>
  <c r="T2845" i="1"/>
  <c r="S2845" i="1"/>
  <c r="R2845" i="1"/>
  <c r="Q2845" i="1"/>
  <c r="P2845" i="1"/>
  <c r="U2844" i="1"/>
  <c r="T2844" i="1"/>
  <c r="S2844" i="1"/>
  <c r="R2844" i="1"/>
  <c r="Q2844" i="1"/>
  <c r="P2844" i="1"/>
  <c r="U2843" i="1"/>
  <c r="T2843" i="1"/>
  <c r="S2843" i="1"/>
  <c r="R2843" i="1"/>
  <c r="Q2843" i="1"/>
  <c r="P2843" i="1"/>
  <c r="U2842" i="1"/>
  <c r="T2842" i="1"/>
  <c r="S2842" i="1"/>
  <c r="R2842" i="1"/>
  <c r="Q2842" i="1"/>
  <c r="P2842" i="1"/>
  <c r="U2841" i="1"/>
  <c r="T2841" i="1"/>
  <c r="S2841" i="1"/>
  <c r="R2841" i="1"/>
  <c r="Q2841" i="1"/>
  <c r="P2841" i="1"/>
  <c r="U2840" i="1"/>
  <c r="T2840" i="1"/>
  <c r="S2840" i="1"/>
  <c r="R2840" i="1"/>
  <c r="Q2840" i="1"/>
  <c r="P2840" i="1"/>
  <c r="U2839" i="1"/>
  <c r="T2839" i="1"/>
  <c r="S2839" i="1"/>
  <c r="R2839" i="1"/>
  <c r="Q2839" i="1"/>
  <c r="P2839" i="1"/>
  <c r="U2838" i="1"/>
  <c r="T2838" i="1"/>
  <c r="S2838" i="1"/>
  <c r="R2838" i="1"/>
  <c r="Q2838" i="1"/>
  <c r="P2838" i="1"/>
  <c r="U2837" i="1"/>
  <c r="T2837" i="1"/>
  <c r="S2837" i="1"/>
  <c r="R2837" i="1"/>
  <c r="Q2837" i="1"/>
  <c r="P2837" i="1"/>
  <c r="U2836" i="1"/>
  <c r="T2836" i="1"/>
  <c r="S2836" i="1"/>
  <c r="R2836" i="1"/>
  <c r="Q2836" i="1"/>
  <c r="P2836" i="1"/>
  <c r="U2835" i="1"/>
  <c r="T2835" i="1"/>
  <c r="S2835" i="1"/>
  <c r="R2835" i="1"/>
  <c r="Q2835" i="1"/>
  <c r="P2835" i="1"/>
  <c r="U2834" i="1"/>
  <c r="T2834" i="1"/>
  <c r="S2834" i="1"/>
  <c r="R2834" i="1"/>
  <c r="Q2834" i="1"/>
  <c r="P2834" i="1"/>
  <c r="U2833" i="1"/>
  <c r="T2833" i="1"/>
  <c r="S2833" i="1"/>
  <c r="R2833" i="1"/>
  <c r="Q2833" i="1"/>
  <c r="P2833" i="1"/>
  <c r="U2832" i="1"/>
  <c r="T2832" i="1"/>
  <c r="S2832" i="1"/>
  <c r="R2832" i="1"/>
  <c r="Q2832" i="1"/>
  <c r="P2832" i="1"/>
  <c r="U2831" i="1"/>
  <c r="T2831" i="1"/>
  <c r="S2831" i="1"/>
  <c r="R2831" i="1"/>
  <c r="Q2831" i="1"/>
  <c r="P2831" i="1"/>
  <c r="U2830" i="1"/>
  <c r="T2830" i="1"/>
  <c r="S2830" i="1"/>
  <c r="R2830" i="1"/>
  <c r="Q2830" i="1"/>
  <c r="P2830" i="1"/>
  <c r="U2829" i="1"/>
  <c r="T2829" i="1"/>
  <c r="S2829" i="1"/>
  <c r="R2829" i="1"/>
  <c r="Q2829" i="1"/>
  <c r="P2829" i="1"/>
  <c r="U2828" i="1"/>
  <c r="T2828" i="1"/>
  <c r="S2828" i="1"/>
  <c r="R2828" i="1"/>
  <c r="Q2828" i="1"/>
  <c r="P2828" i="1"/>
  <c r="U2827" i="1"/>
  <c r="T2827" i="1"/>
  <c r="S2827" i="1"/>
  <c r="R2827" i="1"/>
  <c r="Q2827" i="1"/>
  <c r="P2827" i="1"/>
  <c r="U2826" i="1"/>
  <c r="T2826" i="1"/>
  <c r="S2826" i="1"/>
  <c r="R2826" i="1"/>
  <c r="Q2826" i="1"/>
  <c r="P2826" i="1"/>
  <c r="U2825" i="1"/>
  <c r="T2825" i="1"/>
  <c r="S2825" i="1"/>
  <c r="R2825" i="1"/>
  <c r="Q2825" i="1"/>
  <c r="P2825" i="1"/>
  <c r="U2824" i="1"/>
  <c r="T2824" i="1"/>
  <c r="S2824" i="1"/>
  <c r="R2824" i="1"/>
  <c r="Q2824" i="1"/>
  <c r="P2824" i="1"/>
  <c r="U2823" i="1"/>
  <c r="T2823" i="1"/>
  <c r="S2823" i="1"/>
  <c r="R2823" i="1"/>
  <c r="Q2823" i="1"/>
  <c r="P2823" i="1"/>
  <c r="U2822" i="1"/>
  <c r="T2822" i="1"/>
  <c r="S2822" i="1"/>
  <c r="R2822" i="1"/>
  <c r="Q2822" i="1"/>
  <c r="P2822" i="1"/>
  <c r="U2821" i="1"/>
  <c r="T2821" i="1"/>
  <c r="S2821" i="1"/>
  <c r="R2821" i="1"/>
  <c r="Q2821" i="1"/>
  <c r="P2821" i="1"/>
  <c r="U2820" i="1"/>
  <c r="T2820" i="1"/>
  <c r="S2820" i="1"/>
  <c r="R2820" i="1"/>
  <c r="Q2820" i="1"/>
  <c r="P2820" i="1"/>
  <c r="U2819" i="1"/>
  <c r="T2819" i="1"/>
  <c r="S2819" i="1"/>
  <c r="R2819" i="1"/>
  <c r="Q2819" i="1"/>
  <c r="P2819" i="1"/>
  <c r="U2818" i="1"/>
  <c r="T2818" i="1"/>
  <c r="S2818" i="1"/>
  <c r="R2818" i="1"/>
  <c r="Q2818" i="1"/>
  <c r="P2818" i="1"/>
  <c r="U2817" i="1"/>
  <c r="T2817" i="1"/>
  <c r="S2817" i="1"/>
  <c r="R2817" i="1"/>
  <c r="Q2817" i="1"/>
  <c r="P2817" i="1"/>
  <c r="U2816" i="1"/>
  <c r="T2816" i="1"/>
  <c r="S2816" i="1"/>
  <c r="R2816" i="1"/>
  <c r="Q2816" i="1"/>
  <c r="P2816" i="1"/>
  <c r="U2815" i="1"/>
  <c r="T2815" i="1"/>
  <c r="S2815" i="1"/>
  <c r="R2815" i="1"/>
  <c r="Q2815" i="1"/>
  <c r="P2815" i="1"/>
  <c r="U2814" i="1"/>
  <c r="T2814" i="1"/>
  <c r="S2814" i="1"/>
  <c r="R2814" i="1"/>
  <c r="Q2814" i="1"/>
  <c r="P2814" i="1"/>
  <c r="U2813" i="1"/>
  <c r="T2813" i="1"/>
  <c r="S2813" i="1"/>
  <c r="R2813" i="1"/>
  <c r="Q2813" i="1"/>
  <c r="P2813" i="1"/>
  <c r="U2812" i="1"/>
  <c r="T2812" i="1"/>
  <c r="S2812" i="1"/>
  <c r="R2812" i="1"/>
  <c r="Q2812" i="1"/>
  <c r="P2812" i="1"/>
  <c r="U2811" i="1"/>
  <c r="T2811" i="1"/>
  <c r="S2811" i="1"/>
  <c r="R2811" i="1"/>
  <c r="Q2811" i="1"/>
  <c r="P2811" i="1"/>
  <c r="U2810" i="1"/>
  <c r="T2810" i="1"/>
  <c r="S2810" i="1"/>
  <c r="R2810" i="1"/>
  <c r="Q2810" i="1"/>
  <c r="P2810" i="1"/>
  <c r="U2809" i="1"/>
  <c r="T2809" i="1"/>
  <c r="S2809" i="1"/>
  <c r="R2809" i="1"/>
  <c r="Q2809" i="1"/>
  <c r="P2809" i="1"/>
  <c r="U2808" i="1"/>
  <c r="T2808" i="1"/>
  <c r="S2808" i="1"/>
  <c r="R2808" i="1"/>
  <c r="Q2808" i="1"/>
  <c r="P2808" i="1"/>
  <c r="U2807" i="1"/>
  <c r="T2807" i="1"/>
  <c r="S2807" i="1"/>
  <c r="R2807" i="1"/>
  <c r="Q2807" i="1"/>
  <c r="P2807" i="1"/>
  <c r="U2806" i="1"/>
  <c r="T2806" i="1"/>
  <c r="S2806" i="1"/>
  <c r="R2806" i="1"/>
  <c r="Q2806" i="1"/>
  <c r="P2806" i="1"/>
  <c r="U2805" i="1"/>
  <c r="T2805" i="1"/>
  <c r="S2805" i="1"/>
  <c r="R2805" i="1"/>
  <c r="Q2805" i="1"/>
  <c r="P2805" i="1"/>
  <c r="U2804" i="1"/>
  <c r="T2804" i="1"/>
  <c r="S2804" i="1"/>
  <c r="R2804" i="1"/>
  <c r="Q2804" i="1"/>
  <c r="P2804" i="1"/>
  <c r="U2803" i="1"/>
  <c r="T2803" i="1"/>
  <c r="S2803" i="1"/>
  <c r="R2803" i="1"/>
  <c r="Q2803" i="1"/>
  <c r="P2803" i="1"/>
  <c r="U2802" i="1"/>
  <c r="T2802" i="1"/>
  <c r="S2802" i="1"/>
  <c r="R2802" i="1"/>
  <c r="Q2802" i="1"/>
  <c r="P2802" i="1"/>
  <c r="U2801" i="1"/>
  <c r="T2801" i="1"/>
  <c r="S2801" i="1"/>
  <c r="R2801" i="1"/>
  <c r="Q2801" i="1"/>
  <c r="P2801" i="1"/>
  <c r="U2800" i="1"/>
  <c r="T2800" i="1"/>
  <c r="S2800" i="1"/>
  <c r="R2800" i="1"/>
  <c r="Q2800" i="1"/>
  <c r="P2800" i="1"/>
  <c r="U2799" i="1"/>
  <c r="T2799" i="1"/>
  <c r="S2799" i="1"/>
  <c r="R2799" i="1"/>
  <c r="Q2799" i="1"/>
  <c r="P2799" i="1"/>
  <c r="U2798" i="1"/>
  <c r="T2798" i="1"/>
  <c r="S2798" i="1"/>
  <c r="R2798" i="1"/>
  <c r="Q2798" i="1"/>
  <c r="P2798" i="1"/>
  <c r="U2797" i="1"/>
  <c r="T2797" i="1"/>
  <c r="S2797" i="1"/>
  <c r="R2797" i="1"/>
  <c r="Q2797" i="1"/>
  <c r="P2797" i="1"/>
  <c r="U2796" i="1"/>
  <c r="T2796" i="1"/>
  <c r="S2796" i="1"/>
  <c r="R2796" i="1"/>
  <c r="Q2796" i="1"/>
  <c r="P2796" i="1"/>
  <c r="U2795" i="1"/>
  <c r="T2795" i="1"/>
  <c r="S2795" i="1"/>
  <c r="R2795" i="1"/>
  <c r="Q2795" i="1"/>
  <c r="P2795" i="1"/>
  <c r="U2794" i="1"/>
  <c r="T2794" i="1"/>
  <c r="S2794" i="1"/>
  <c r="R2794" i="1"/>
  <c r="Q2794" i="1"/>
  <c r="P2794" i="1"/>
  <c r="U2793" i="1"/>
  <c r="T2793" i="1"/>
  <c r="S2793" i="1"/>
  <c r="R2793" i="1"/>
  <c r="Q2793" i="1"/>
  <c r="P2793" i="1"/>
  <c r="U2792" i="1"/>
  <c r="T2792" i="1"/>
  <c r="S2792" i="1"/>
  <c r="R2792" i="1"/>
  <c r="Q2792" i="1"/>
  <c r="P2792" i="1"/>
  <c r="U2791" i="1"/>
  <c r="T2791" i="1"/>
  <c r="S2791" i="1"/>
  <c r="R2791" i="1"/>
  <c r="Q2791" i="1"/>
  <c r="P2791" i="1"/>
  <c r="U2790" i="1"/>
  <c r="T2790" i="1"/>
  <c r="S2790" i="1"/>
  <c r="R2790" i="1"/>
  <c r="Q2790" i="1"/>
  <c r="P2790" i="1"/>
  <c r="U2789" i="1"/>
  <c r="T2789" i="1"/>
  <c r="S2789" i="1"/>
  <c r="R2789" i="1"/>
  <c r="Q2789" i="1"/>
  <c r="P2789" i="1"/>
  <c r="U2788" i="1"/>
  <c r="T2788" i="1"/>
  <c r="S2788" i="1"/>
  <c r="R2788" i="1"/>
  <c r="Q2788" i="1"/>
  <c r="P2788" i="1"/>
  <c r="U2787" i="1"/>
  <c r="T2787" i="1"/>
  <c r="S2787" i="1"/>
  <c r="R2787" i="1"/>
  <c r="Q2787" i="1"/>
  <c r="P2787" i="1"/>
  <c r="U2786" i="1"/>
  <c r="T2786" i="1"/>
  <c r="S2786" i="1"/>
  <c r="R2786" i="1"/>
  <c r="Q2786" i="1"/>
  <c r="P2786" i="1"/>
  <c r="U2785" i="1"/>
  <c r="T2785" i="1"/>
  <c r="S2785" i="1"/>
  <c r="R2785" i="1"/>
  <c r="Q2785" i="1"/>
  <c r="P2785" i="1"/>
  <c r="U2784" i="1"/>
  <c r="T2784" i="1"/>
  <c r="S2784" i="1"/>
  <c r="R2784" i="1"/>
  <c r="Q2784" i="1"/>
  <c r="P2784" i="1"/>
  <c r="U2783" i="1"/>
  <c r="T2783" i="1"/>
  <c r="S2783" i="1"/>
  <c r="R2783" i="1"/>
  <c r="Q2783" i="1"/>
  <c r="P2783" i="1"/>
  <c r="U2782" i="1"/>
  <c r="T2782" i="1"/>
  <c r="S2782" i="1"/>
  <c r="R2782" i="1"/>
  <c r="Q2782" i="1"/>
  <c r="P2782" i="1"/>
  <c r="U2781" i="1"/>
  <c r="T2781" i="1"/>
  <c r="S2781" i="1"/>
  <c r="R2781" i="1"/>
  <c r="Q2781" i="1"/>
  <c r="P2781" i="1"/>
  <c r="U2780" i="1"/>
  <c r="T2780" i="1"/>
  <c r="S2780" i="1"/>
  <c r="R2780" i="1"/>
  <c r="Q2780" i="1"/>
  <c r="P2780" i="1"/>
  <c r="U2779" i="1"/>
  <c r="T2779" i="1"/>
  <c r="S2779" i="1"/>
  <c r="R2779" i="1"/>
  <c r="Q2779" i="1"/>
  <c r="P2779" i="1"/>
  <c r="U2778" i="1"/>
  <c r="T2778" i="1"/>
  <c r="S2778" i="1"/>
  <c r="R2778" i="1"/>
  <c r="Q2778" i="1"/>
  <c r="P2778" i="1"/>
  <c r="U2777" i="1"/>
  <c r="T2777" i="1"/>
  <c r="S2777" i="1"/>
  <c r="R2777" i="1"/>
  <c r="Q2777" i="1"/>
  <c r="P2777" i="1"/>
  <c r="U2776" i="1"/>
  <c r="T2776" i="1"/>
  <c r="S2776" i="1"/>
  <c r="R2776" i="1"/>
  <c r="Q2776" i="1"/>
  <c r="P2776" i="1"/>
  <c r="U2775" i="1"/>
  <c r="T2775" i="1"/>
  <c r="S2775" i="1"/>
  <c r="R2775" i="1"/>
  <c r="Q2775" i="1"/>
  <c r="P2775" i="1"/>
  <c r="U2774" i="1"/>
  <c r="T2774" i="1"/>
  <c r="S2774" i="1"/>
  <c r="R2774" i="1"/>
  <c r="Q2774" i="1"/>
  <c r="P2774" i="1"/>
  <c r="U2773" i="1"/>
  <c r="T2773" i="1"/>
  <c r="S2773" i="1"/>
  <c r="R2773" i="1"/>
  <c r="Q2773" i="1"/>
  <c r="P2773" i="1"/>
  <c r="U2772" i="1"/>
  <c r="T2772" i="1"/>
  <c r="S2772" i="1"/>
  <c r="R2772" i="1"/>
  <c r="Q2772" i="1"/>
  <c r="P2772" i="1"/>
  <c r="U2771" i="1"/>
  <c r="T2771" i="1"/>
  <c r="S2771" i="1"/>
  <c r="R2771" i="1"/>
  <c r="Q2771" i="1"/>
  <c r="P2771" i="1"/>
  <c r="U2770" i="1"/>
  <c r="T2770" i="1"/>
  <c r="S2770" i="1"/>
  <c r="R2770" i="1"/>
  <c r="Q2770" i="1"/>
  <c r="P2770" i="1"/>
  <c r="U2769" i="1"/>
  <c r="T2769" i="1"/>
  <c r="S2769" i="1"/>
  <c r="R2769" i="1"/>
  <c r="Q2769" i="1"/>
  <c r="P2769" i="1"/>
  <c r="U2768" i="1"/>
  <c r="T2768" i="1"/>
  <c r="S2768" i="1"/>
  <c r="R2768" i="1"/>
  <c r="Q2768" i="1"/>
  <c r="P2768" i="1"/>
  <c r="U2767" i="1"/>
  <c r="T2767" i="1"/>
  <c r="S2767" i="1"/>
  <c r="R2767" i="1"/>
  <c r="Q2767" i="1"/>
  <c r="P2767" i="1"/>
  <c r="U2766" i="1"/>
  <c r="T2766" i="1"/>
  <c r="S2766" i="1"/>
  <c r="R2766" i="1"/>
  <c r="Q2766" i="1"/>
  <c r="P2766" i="1"/>
  <c r="U2765" i="1"/>
  <c r="T2765" i="1"/>
  <c r="S2765" i="1"/>
  <c r="R2765" i="1"/>
  <c r="Q2765" i="1"/>
  <c r="P2765" i="1"/>
  <c r="U2764" i="1"/>
  <c r="T2764" i="1"/>
  <c r="S2764" i="1"/>
  <c r="R2764" i="1"/>
  <c r="Q2764" i="1"/>
  <c r="P2764" i="1"/>
  <c r="U2763" i="1"/>
  <c r="T2763" i="1"/>
  <c r="S2763" i="1"/>
  <c r="R2763" i="1"/>
  <c r="Q2763" i="1"/>
  <c r="P2763" i="1"/>
  <c r="U2762" i="1"/>
  <c r="T2762" i="1"/>
  <c r="S2762" i="1"/>
  <c r="R2762" i="1"/>
  <c r="Q2762" i="1"/>
  <c r="P2762" i="1"/>
  <c r="U2761" i="1"/>
  <c r="T2761" i="1"/>
  <c r="S2761" i="1"/>
  <c r="R2761" i="1"/>
  <c r="Q2761" i="1"/>
  <c r="P2761" i="1"/>
  <c r="U2760" i="1"/>
  <c r="T2760" i="1"/>
  <c r="S2760" i="1"/>
  <c r="R2760" i="1"/>
  <c r="Q2760" i="1"/>
  <c r="P2760" i="1"/>
  <c r="U2759" i="1"/>
  <c r="T2759" i="1"/>
  <c r="S2759" i="1"/>
  <c r="R2759" i="1"/>
  <c r="Q2759" i="1"/>
  <c r="P2759" i="1"/>
  <c r="U2758" i="1"/>
  <c r="T2758" i="1"/>
  <c r="S2758" i="1"/>
  <c r="R2758" i="1"/>
  <c r="Q2758" i="1"/>
  <c r="P2758" i="1"/>
  <c r="U2757" i="1"/>
  <c r="T2757" i="1"/>
  <c r="S2757" i="1"/>
  <c r="R2757" i="1"/>
  <c r="Q2757" i="1"/>
  <c r="P2757" i="1"/>
  <c r="U2756" i="1"/>
  <c r="T2756" i="1"/>
  <c r="S2756" i="1"/>
  <c r="R2756" i="1"/>
  <c r="Q2756" i="1"/>
  <c r="P2756" i="1"/>
  <c r="U2755" i="1"/>
  <c r="T2755" i="1"/>
  <c r="S2755" i="1"/>
  <c r="R2755" i="1"/>
  <c r="Q2755" i="1"/>
  <c r="P2755" i="1"/>
  <c r="U2754" i="1"/>
  <c r="T2754" i="1"/>
  <c r="S2754" i="1"/>
  <c r="R2754" i="1"/>
  <c r="Q2754" i="1"/>
  <c r="P2754" i="1"/>
  <c r="U2753" i="1"/>
  <c r="T2753" i="1"/>
  <c r="S2753" i="1"/>
  <c r="R2753" i="1"/>
  <c r="Q2753" i="1"/>
  <c r="P2753" i="1"/>
  <c r="U2752" i="1"/>
  <c r="T2752" i="1"/>
  <c r="S2752" i="1"/>
  <c r="R2752" i="1"/>
  <c r="Q2752" i="1"/>
  <c r="P2752" i="1"/>
  <c r="U2751" i="1"/>
  <c r="T2751" i="1"/>
  <c r="S2751" i="1"/>
  <c r="R2751" i="1"/>
  <c r="Q2751" i="1"/>
  <c r="P2751" i="1"/>
  <c r="U2750" i="1"/>
  <c r="T2750" i="1"/>
  <c r="S2750" i="1"/>
  <c r="R2750" i="1"/>
  <c r="Q2750" i="1"/>
  <c r="P2750" i="1"/>
  <c r="U2749" i="1"/>
  <c r="T2749" i="1"/>
  <c r="S2749" i="1"/>
  <c r="R2749" i="1"/>
  <c r="Q2749" i="1"/>
  <c r="P2749" i="1"/>
  <c r="U2748" i="1"/>
  <c r="T2748" i="1"/>
  <c r="S2748" i="1"/>
  <c r="R2748" i="1"/>
  <c r="Q2748" i="1"/>
  <c r="P2748" i="1"/>
  <c r="U2747" i="1"/>
  <c r="T2747" i="1"/>
  <c r="S2747" i="1"/>
  <c r="R2747" i="1"/>
  <c r="Q2747" i="1"/>
  <c r="P2747" i="1"/>
  <c r="U2746" i="1"/>
  <c r="T2746" i="1"/>
  <c r="S2746" i="1"/>
  <c r="R2746" i="1"/>
  <c r="Q2746" i="1"/>
  <c r="P2746" i="1"/>
  <c r="U2745" i="1"/>
  <c r="T2745" i="1"/>
  <c r="S2745" i="1"/>
  <c r="R2745" i="1"/>
  <c r="Q2745" i="1"/>
  <c r="P2745" i="1"/>
  <c r="U2744" i="1"/>
  <c r="T2744" i="1"/>
  <c r="S2744" i="1"/>
  <c r="R2744" i="1"/>
  <c r="Q2744" i="1"/>
  <c r="P2744" i="1"/>
  <c r="U2743" i="1"/>
  <c r="T2743" i="1"/>
  <c r="S2743" i="1"/>
  <c r="R2743" i="1"/>
  <c r="Q2743" i="1"/>
  <c r="P2743" i="1"/>
  <c r="U2742" i="1"/>
  <c r="T2742" i="1"/>
  <c r="S2742" i="1"/>
  <c r="R2742" i="1"/>
  <c r="Q2742" i="1"/>
  <c r="P2742" i="1"/>
  <c r="U2741" i="1"/>
  <c r="T2741" i="1"/>
  <c r="S2741" i="1"/>
  <c r="R2741" i="1"/>
  <c r="Q2741" i="1"/>
  <c r="P2741" i="1"/>
  <c r="U2740" i="1"/>
  <c r="T2740" i="1"/>
  <c r="S2740" i="1"/>
  <c r="R2740" i="1"/>
  <c r="Q2740" i="1"/>
  <c r="P2740" i="1"/>
  <c r="U2739" i="1"/>
  <c r="T2739" i="1"/>
  <c r="S2739" i="1"/>
  <c r="R2739" i="1"/>
  <c r="Q2739" i="1"/>
  <c r="P2739" i="1"/>
  <c r="U2738" i="1"/>
  <c r="T2738" i="1"/>
  <c r="S2738" i="1"/>
  <c r="R2738" i="1"/>
  <c r="Q2738" i="1"/>
  <c r="P2738" i="1"/>
  <c r="U2737" i="1"/>
  <c r="T2737" i="1"/>
  <c r="S2737" i="1"/>
  <c r="R2737" i="1"/>
  <c r="Q2737" i="1"/>
  <c r="P2737" i="1"/>
  <c r="U2736" i="1"/>
  <c r="T2736" i="1"/>
  <c r="S2736" i="1"/>
  <c r="R2736" i="1"/>
  <c r="Q2736" i="1"/>
  <c r="P2736" i="1"/>
  <c r="U2735" i="1"/>
  <c r="T2735" i="1"/>
  <c r="S2735" i="1"/>
  <c r="R2735" i="1"/>
  <c r="Q2735" i="1"/>
  <c r="P2735" i="1"/>
  <c r="U2734" i="1"/>
  <c r="T2734" i="1"/>
  <c r="S2734" i="1"/>
  <c r="R2734" i="1"/>
  <c r="Q2734" i="1"/>
  <c r="P2734" i="1"/>
  <c r="U2733" i="1"/>
  <c r="T2733" i="1"/>
  <c r="S2733" i="1"/>
  <c r="R2733" i="1"/>
  <c r="Q2733" i="1"/>
  <c r="P2733" i="1"/>
  <c r="U2732" i="1"/>
  <c r="T2732" i="1"/>
  <c r="S2732" i="1"/>
  <c r="R2732" i="1"/>
  <c r="Q2732" i="1"/>
  <c r="P2732" i="1"/>
  <c r="U2731" i="1"/>
  <c r="T2731" i="1"/>
  <c r="S2731" i="1"/>
  <c r="R2731" i="1"/>
  <c r="Q2731" i="1"/>
  <c r="P2731" i="1"/>
  <c r="U2730" i="1"/>
  <c r="T2730" i="1"/>
  <c r="S2730" i="1"/>
  <c r="R2730" i="1"/>
  <c r="Q2730" i="1"/>
  <c r="P2730" i="1"/>
  <c r="U2729" i="1"/>
  <c r="T2729" i="1"/>
  <c r="S2729" i="1"/>
  <c r="R2729" i="1"/>
  <c r="Q2729" i="1"/>
  <c r="P2729" i="1"/>
  <c r="U2728" i="1"/>
  <c r="T2728" i="1"/>
  <c r="S2728" i="1"/>
  <c r="R2728" i="1"/>
  <c r="Q2728" i="1"/>
  <c r="P2728" i="1"/>
  <c r="U2727" i="1"/>
  <c r="T2727" i="1"/>
  <c r="S2727" i="1"/>
  <c r="R2727" i="1"/>
  <c r="Q2727" i="1"/>
  <c r="P2727" i="1"/>
  <c r="U2726" i="1"/>
  <c r="T2726" i="1"/>
  <c r="S2726" i="1"/>
  <c r="R2726" i="1"/>
  <c r="Q2726" i="1"/>
  <c r="P2726" i="1"/>
  <c r="U2725" i="1"/>
  <c r="T2725" i="1"/>
  <c r="S2725" i="1"/>
  <c r="R2725" i="1"/>
  <c r="Q2725" i="1"/>
  <c r="P2725" i="1"/>
  <c r="U2724" i="1"/>
  <c r="T2724" i="1"/>
  <c r="S2724" i="1"/>
  <c r="R2724" i="1"/>
  <c r="Q2724" i="1"/>
  <c r="P2724" i="1"/>
  <c r="U2723" i="1"/>
  <c r="T2723" i="1"/>
  <c r="S2723" i="1"/>
  <c r="R2723" i="1"/>
  <c r="Q2723" i="1"/>
  <c r="P2723" i="1"/>
  <c r="U2722" i="1"/>
  <c r="T2722" i="1"/>
  <c r="S2722" i="1"/>
  <c r="R2722" i="1"/>
  <c r="Q2722" i="1"/>
  <c r="P2722" i="1"/>
  <c r="U2721" i="1"/>
  <c r="T2721" i="1"/>
  <c r="S2721" i="1"/>
  <c r="R2721" i="1"/>
  <c r="Q2721" i="1"/>
  <c r="P2721" i="1"/>
  <c r="U2720" i="1"/>
  <c r="T2720" i="1"/>
  <c r="S2720" i="1"/>
  <c r="R2720" i="1"/>
  <c r="Q2720" i="1"/>
  <c r="P2720" i="1"/>
  <c r="U2719" i="1"/>
  <c r="T2719" i="1"/>
  <c r="S2719" i="1"/>
  <c r="R2719" i="1"/>
  <c r="Q2719" i="1"/>
  <c r="P2719" i="1"/>
  <c r="U2718" i="1"/>
  <c r="T2718" i="1"/>
  <c r="S2718" i="1"/>
  <c r="R2718" i="1"/>
  <c r="Q2718" i="1"/>
  <c r="P2718" i="1"/>
  <c r="U2717" i="1"/>
  <c r="T2717" i="1"/>
  <c r="S2717" i="1"/>
  <c r="R2717" i="1"/>
  <c r="Q2717" i="1"/>
  <c r="P2717" i="1"/>
  <c r="U2716" i="1"/>
  <c r="T2716" i="1"/>
  <c r="S2716" i="1"/>
  <c r="R2716" i="1"/>
  <c r="Q2716" i="1"/>
  <c r="P2716" i="1"/>
  <c r="U2715" i="1"/>
  <c r="T2715" i="1"/>
  <c r="S2715" i="1"/>
  <c r="R2715" i="1"/>
  <c r="Q2715" i="1"/>
  <c r="P2715" i="1"/>
  <c r="U2714" i="1"/>
  <c r="T2714" i="1"/>
  <c r="S2714" i="1"/>
  <c r="R2714" i="1"/>
  <c r="Q2714" i="1"/>
  <c r="P2714" i="1"/>
  <c r="U2713" i="1"/>
  <c r="T2713" i="1"/>
  <c r="S2713" i="1"/>
  <c r="R2713" i="1"/>
  <c r="Q2713" i="1"/>
  <c r="P2713" i="1"/>
  <c r="U2712" i="1"/>
  <c r="T2712" i="1"/>
  <c r="S2712" i="1"/>
  <c r="R2712" i="1"/>
  <c r="Q2712" i="1"/>
  <c r="P2712" i="1"/>
  <c r="U2711" i="1"/>
  <c r="T2711" i="1"/>
  <c r="S2711" i="1"/>
  <c r="R2711" i="1"/>
  <c r="Q2711" i="1"/>
  <c r="P2711" i="1"/>
  <c r="U2710" i="1"/>
  <c r="T2710" i="1"/>
  <c r="S2710" i="1"/>
  <c r="R2710" i="1"/>
  <c r="Q2710" i="1"/>
  <c r="P2710" i="1"/>
  <c r="U2709" i="1"/>
  <c r="T2709" i="1"/>
  <c r="S2709" i="1"/>
  <c r="R2709" i="1"/>
  <c r="Q2709" i="1"/>
  <c r="P2709" i="1"/>
  <c r="U2708" i="1"/>
  <c r="T2708" i="1"/>
  <c r="S2708" i="1"/>
  <c r="R2708" i="1"/>
  <c r="Q2708" i="1"/>
  <c r="P2708" i="1"/>
  <c r="U2707" i="1"/>
  <c r="T2707" i="1"/>
  <c r="S2707" i="1"/>
  <c r="R2707" i="1"/>
  <c r="Q2707" i="1"/>
  <c r="P2707" i="1"/>
  <c r="U2706" i="1"/>
  <c r="T2706" i="1"/>
  <c r="S2706" i="1"/>
  <c r="R2706" i="1"/>
  <c r="Q2706" i="1"/>
  <c r="P2706" i="1"/>
  <c r="U2705" i="1"/>
  <c r="T2705" i="1"/>
  <c r="S2705" i="1"/>
  <c r="R2705" i="1"/>
  <c r="Q2705" i="1"/>
  <c r="P2705" i="1"/>
  <c r="U2704" i="1"/>
  <c r="T2704" i="1"/>
  <c r="S2704" i="1"/>
  <c r="R2704" i="1"/>
  <c r="Q2704" i="1"/>
  <c r="P2704" i="1"/>
  <c r="U2703" i="1"/>
  <c r="T2703" i="1"/>
  <c r="S2703" i="1"/>
  <c r="R2703" i="1"/>
  <c r="Q2703" i="1"/>
  <c r="P2703" i="1"/>
  <c r="U2702" i="1"/>
  <c r="T2702" i="1"/>
  <c r="S2702" i="1"/>
  <c r="R2702" i="1"/>
  <c r="Q2702" i="1"/>
  <c r="P2702" i="1"/>
  <c r="U2701" i="1"/>
  <c r="T2701" i="1"/>
  <c r="S2701" i="1"/>
  <c r="R2701" i="1"/>
  <c r="Q2701" i="1"/>
  <c r="P2701" i="1"/>
  <c r="U2700" i="1"/>
  <c r="T2700" i="1"/>
  <c r="S2700" i="1"/>
  <c r="R2700" i="1"/>
  <c r="Q2700" i="1"/>
  <c r="P2700" i="1"/>
  <c r="U2699" i="1"/>
  <c r="T2699" i="1"/>
  <c r="S2699" i="1"/>
  <c r="R2699" i="1"/>
  <c r="Q2699" i="1"/>
  <c r="P2699" i="1"/>
  <c r="U2698" i="1"/>
  <c r="T2698" i="1"/>
  <c r="S2698" i="1"/>
  <c r="R2698" i="1"/>
  <c r="Q2698" i="1"/>
  <c r="P2698" i="1"/>
  <c r="U2697" i="1"/>
  <c r="T2697" i="1"/>
  <c r="S2697" i="1"/>
  <c r="R2697" i="1"/>
  <c r="Q2697" i="1"/>
  <c r="P2697" i="1"/>
  <c r="U2696" i="1"/>
  <c r="T2696" i="1"/>
  <c r="S2696" i="1"/>
  <c r="R2696" i="1"/>
  <c r="Q2696" i="1"/>
  <c r="P2696" i="1"/>
  <c r="U2695" i="1"/>
  <c r="T2695" i="1"/>
  <c r="S2695" i="1"/>
  <c r="R2695" i="1"/>
  <c r="Q2695" i="1"/>
  <c r="P2695" i="1"/>
  <c r="U2694" i="1"/>
  <c r="T2694" i="1"/>
  <c r="S2694" i="1"/>
  <c r="R2694" i="1"/>
  <c r="Q2694" i="1"/>
  <c r="P2694" i="1"/>
  <c r="U2693" i="1"/>
  <c r="T2693" i="1"/>
  <c r="S2693" i="1"/>
  <c r="R2693" i="1"/>
  <c r="Q2693" i="1"/>
  <c r="P2693" i="1"/>
  <c r="U2692" i="1"/>
  <c r="T2692" i="1"/>
  <c r="S2692" i="1"/>
  <c r="R2692" i="1"/>
  <c r="Q2692" i="1"/>
  <c r="P2692" i="1"/>
  <c r="U2691" i="1"/>
  <c r="T2691" i="1"/>
  <c r="S2691" i="1"/>
  <c r="R2691" i="1"/>
  <c r="Q2691" i="1"/>
  <c r="P2691" i="1"/>
  <c r="U2690" i="1"/>
  <c r="T2690" i="1"/>
  <c r="S2690" i="1"/>
  <c r="R2690" i="1"/>
  <c r="Q2690" i="1"/>
  <c r="P2690" i="1"/>
  <c r="U2689" i="1"/>
  <c r="T2689" i="1"/>
  <c r="S2689" i="1"/>
  <c r="R2689" i="1"/>
  <c r="Q2689" i="1"/>
  <c r="P2689" i="1"/>
  <c r="U2688" i="1"/>
  <c r="T2688" i="1"/>
  <c r="S2688" i="1"/>
  <c r="R2688" i="1"/>
  <c r="Q2688" i="1"/>
  <c r="P2688" i="1"/>
  <c r="U2687" i="1"/>
  <c r="T2687" i="1"/>
  <c r="S2687" i="1"/>
  <c r="R2687" i="1"/>
  <c r="Q2687" i="1"/>
  <c r="P2687" i="1"/>
  <c r="U2686" i="1"/>
  <c r="T2686" i="1"/>
  <c r="S2686" i="1"/>
  <c r="R2686" i="1"/>
  <c r="Q2686" i="1"/>
  <c r="P2686" i="1"/>
  <c r="U2685" i="1"/>
  <c r="T2685" i="1"/>
  <c r="S2685" i="1"/>
  <c r="R2685" i="1"/>
  <c r="Q2685" i="1"/>
  <c r="P2685" i="1"/>
  <c r="U2684" i="1"/>
  <c r="T2684" i="1"/>
  <c r="S2684" i="1"/>
  <c r="R2684" i="1"/>
  <c r="Q2684" i="1"/>
  <c r="P2684" i="1"/>
  <c r="U2683" i="1"/>
  <c r="T2683" i="1"/>
  <c r="S2683" i="1"/>
  <c r="R2683" i="1"/>
  <c r="Q2683" i="1"/>
  <c r="P2683" i="1"/>
  <c r="U2682" i="1"/>
  <c r="T2682" i="1"/>
  <c r="S2682" i="1"/>
  <c r="R2682" i="1"/>
  <c r="Q2682" i="1"/>
  <c r="P2682" i="1"/>
  <c r="U2681" i="1"/>
  <c r="T2681" i="1"/>
  <c r="S2681" i="1"/>
  <c r="R2681" i="1"/>
  <c r="Q2681" i="1"/>
  <c r="P2681" i="1"/>
  <c r="U2680" i="1"/>
  <c r="T2680" i="1"/>
  <c r="S2680" i="1"/>
  <c r="R2680" i="1"/>
  <c r="Q2680" i="1"/>
  <c r="P2680" i="1"/>
  <c r="U2679" i="1"/>
  <c r="T2679" i="1"/>
  <c r="S2679" i="1"/>
  <c r="R2679" i="1"/>
  <c r="Q2679" i="1"/>
  <c r="P2679" i="1"/>
  <c r="U2678" i="1"/>
  <c r="T2678" i="1"/>
  <c r="S2678" i="1"/>
  <c r="R2678" i="1"/>
  <c r="Q2678" i="1"/>
  <c r="P2678" i="1"/>
  <c r="U2677" i="1"/>
  <c r="T2677" i="1"/>
  <c r="S2677" i="1"/>
  <c r="R2677" i="1"/>
  <c r="Q2677" i="1"/>
  <c r="P2677" i="1"/>
  <c r="U2676" i="1"/>
  <c r="T2676" i="1"/>
  <c r="S2676" i="1"/>
  <c r="R2676" i="1"/>
  <c r="Q2676" i="1"/>
  <c r="P2676" i="1"/>
  <c r="U2675" i="1"/>
  <c r="T2675" i="1"/>
  <c r="S2675" i="1"/>
  <c r="R2675" i="1"/>
  <c r="Q2675" i="1"/>
  <c r="P2675" i="1"/>
  <c r="U2674" i="1"/>
  <c r="T2674" i="1"/>
  <c r="S2674" i="1"/>
  <c r="R2674" i="1"/>
  <c r="Q2674" i="1"/>
  <c r="P2674" i="1"/>
  <c r="U2673" i="1"/>
  <c r="T2673" i="1"/>
  <c r="S2673" i="1"/>
  <c r="R2673" i="1"/>
  <c r="Q2673" i="1"/>
  <c r="P2673" i="1"/>
  <c r="U2672" i="1"/>
  <c r="T2672" i="1"/>
  <c r="S2672" i="1"/>
  <c r="R2672" i="1"/>
  <c r="Q2672" i="1"/>
  <c r="P2672" i="1"/>
  <c r="U2671" i="1"/>
  <c r="T2671" i="1"/>
  <c r="S2671" i="1"/>
  <c r="R2671" i="1"/>
  <c r="Q2671" i="1"/>
  <c r="P2671" i="1"/>
  <c r="U2670" i="1"/>
  <c r="T2670" i="1"/>
  <c r="S2670" i="1"/>
  <c r="R2670" i="1"/>
  <c r="Q2670" i="1"/>
  <c r="P2670" i="1"/>
  <c r="U2669" i="1"/>
  <c r="T2669" i="1"/>
  <c r="S2669" i="1"/>
  <c r="R2669" i="1"/>
  <c r="Q2669" i="1"/>
  <c r="P2669" i="1"/>
  <c r="U2668" i="1"/>
  <c r="T2668" i="1"/>
  <c r="S2668" i="1"/>
  <c r="R2668" i="1"/>
  <c r="Q2668" i="1"/>
  <c r="P2668" i="1"/>
  <c r="U2667" i="1"/>
  <c r="T2667" i="1"/>
  <c r="S2667" i="1"/>
  <c r="R2667" i="1"/>
  <c r="Q2667" i="1"/>
  <c r="P2667" i="1"/>
  <c r="U2666" i="1"/>
  <c r="T2666" i="1"/>
  <c r="S2666" i="1"/>
  <c r="R2666" i="1"/>
  <c r="Q2666" i="1"/>
  <c r="P2666" i="1"/>
  <c r="U2665" i="1"/>
  <c r="T2665" i="1"/>
  <c r="S2665" i="1"/>
  <c r="R2665" i="1"/>
  <c r="Q2665" i="1"/>
  <c r="P2665" i="1"/>
  <c r="U2664" i="1"/>
  <c r="T2664" i="1"/>
  <c r="S2664" i="1"/>
  <c r="R2664" i="1"/>
  <c r="Q2664" i="1"/>
  <c r="P2664" i="1"/>
  <c r="U2663" i="1"/>
  <c r="T2663" i="1"/>
  <c r="S2663" i="1"/>
  <c r="R2663" i="1"/>
  <c r="Q2663" i="1"/>
  <c r="P2663" i="1"/>
  <c r="U2662" i="1"/>
  <c r="T2662" i="1"/>
  <c r="S2662" i="1"/>
  <c r="R2662" i="1"/>
  <c r="Q2662" i="1"/>
  <c r="P2662" i="1"/>
  <c r="U2661" i="1"/>
  <c r="T2661" i="1"/>
  <c r="S2661" i="1"/>
  <c r="R2661" i="1"/>
  <c r="Q2661" i="1"/>
  <c r="P2661" i="1"/>
  <c r="U2660" i="1"/>
  <c r="T2660" i="1"/>
  <c r="S2660" i="1"/>
  <c r="R2660" i="1"/>
  <c r="Q2660" i="1"/>
  <c r="P2660" i="1"/>
  <c r="U2659" i="1"/>
  <c r="T2659" i="1"/>
  <c r="S2659" i="1"/>
  <c r="R2659" i="1"/>
  <c r="Q2659" i="1"/>
  <c r="P2659" i="1"/>
  <c r="U2658" i="1"/>
  <c r="T2658" i="1"/>
  <c r="S2658" i="1"/>
  <c r="R2658" i="1"/>
  <c r="Q2658" i="1"/>
  <c r="P2658" i="1"/>
  <c r="U2657" i="1"/>
  <c r="T2657" i="1"/>
  <c r="S2657" i="1"/>
  <c r="R2657" i="1"/>
  <c r="Q2657" i="1"/>
  <c r="P2657" i="1"/>
  <c r="U2656" i="1"/>
  <c r="T2656" i="1"/>
  <c r="S2656" i="1"/>
  <c r="R2656" i="1"/>
  <c r="Q2656" i="1"/>
  <c r="P2656" i="1"/>
  <c r="U2655" i="1"/>
  <c r="T2655" i="1"/>
  <c r="S2655" i="1"/>
  <c r="R2655" i="1"/>
  <c r="Q2655" i="1"/>
  <c r="P2655" i="1"/>
  <c r="U2654" i="1"/>
  <c r="T2654" i="1"/>
  <c r="S2654" i="1"/>
  <c r="R2654" i="1"/>
  <c r="Q2654" i="1"/>
  <c r="P2654" i="1"/>
  <c r="U2653" i="1"/>
  <c r="T2653" i="1"/>
  <c r="S2653" i="1"/>
  <c r="R2653" i="1"/>
  <c r="Q2653" i="1"/>
  <c r="P2653" i="1"/>
  <c r="U2652" i="1"/>
  <c r="T2652" i="1"/>
  <c r="S2652" i="1"/>
  <c r="R2652" i="1"/>
  <c r="Q2652" i="1"/>
  <c r="P2652" i="1"/>
  <c r="U2651" i="1"/>
  <c r="T2651" i="1"/>
  <c r="S2651" i="1"/>
  <c r="R2651" i="1"/>
  <c r="Q2651" i="1"/>
  <c r="P2651" i="1"/>
  <c r="U2650" i="1"/>
  <c r="T2650" i="1"/>
  <c r="S2650" i="1"/>
  <c r="R2650" i="1"/>
  <c r="Q2650" i="1"/>
  <c r="P2650" i="1"/>
  <c r="U2649" i="1"/>
  <c r="T2649" i="1"/>
  <c r="S2649" i="1"/>
  <c r="R2649" i="1"/>
  <c r="Q2649" i="1"/>
  <c r="P2649" i="1"/>
  <c r="U2648" i="1"/>
  <c r="T2648" i="1"/>
  <c r="S2648" i="1"/>
  <c r="R2648" i="1"/>
  <c r="Q2648" i="1"/>
  <c r="P2648" i="1"/>
  <c r="U2647" i="1"/>
  <c r="T2647" i="1"/>
  <c r="S2647" i="1"/>
  <c r="R2647" i="1"/>
  <c r="Q2647" i="1"/>
  <c r="P2647" i="1"/>
  <c r="U2646" i="1"/>
  <c r="T2646" i="1"/>
  <c r="S2646" i="1"/>
  <c r="R2646" i="1"/>
  <c r="Q2646" i="1"/>
  <c r="P2646" i="1"/>
  <c r="U2645" i="1"/>
  <c r="T2645" i="1"/>
  <c r="S2645" i="1"/>
  <c r="R2645" i="1"/>
  <c r="Q2645" i="1"/>
  <c r="P2645" i="1"/>
  <c r="U2644" i="1"/>
  <c r="T2644" i="1"/>
  <c r="S2644" i="1"/>
  <c r="R2644" i="1"/>
  <c r="Q2644" i="1"/>
  <c r="P2644" i="1"/>
  <c r="U2643" i="1"/>
  <c r="T2643" i="1"/>
  <c r="S2643" i="1"/>
  <c r="R2643" i="1"/>
  <c r="Q2643" i="1"/>
  <c r="P2643" i="1"/>
  <c r="U2642" i="1"/>
  <c r="T2642" i="1"/>
  <c r="S2642" i="1"/>
  <c r="R2642" i="1"/>
  <c r="Q2642" i="1"/>
  <c r="P2642" i="1"/>
  <c r="U2641" i="1"/>
  <c r="T2641" i="1"/>
  <c r="S2641" i="1"/>
  <c r="R2641" i="1"/>
  <c r="Q2641" i="1"/>
  <c r="P2641" i="1"/>
  <c r="U2640" i="1"/>
  <c r="T2640" i="1"/>
  <c r="S2640" i="1"/>
  <c r="R2640" i="1"/>
  <c r="Q2640" i="1"/>
  <c r="P2640" i="1"/>
  <c r="U2639" i="1"/>
  <c r="T2639" i="1"/>
  <c r="S2639" i="1"/>
  <c r="R2639" i="1"/>
  <c r="Q2639" i="1"/>
  <c r="P2639" i="1"/>
  <c r="U2638" i="1"/>
  <c r="T2638" i="1"/>
  <c r="S2638" i="1"/>
  <c r="R2638" i="1"/>
  <c r="Q2638" i="1"/>
  <c r="P2638" i="1"/>
  <c r="U2637" i="1"/>
  <c r="T2637" i="1"/>
  <c r="S2637" i="1"/>
  <c r="R2637" i="1"/>
  <c r="Q2637" i="1"/>
  <c r="P2637" i="1"/>
  <c r="U2636" i="1"/>
  <c r="T2636" i="1"/>
  <c r="S2636" i="1"/>
  <c r="R2636" i="1"/>
  <c r="Q2636" i="1"/>
  <c r="P2636" i="1"/>
  <c r="U2635" i="1"/>
  <c r="T2635" i="1"/>
  <c r="S2635" i="1"/>
  <c r="R2635" i="1"/>
  <c r="Q2635" i="1"/>
  <c r="P2635" i="1"/>
  <c r="U2634" i="1"/>
  <c r="T2634" i="1"/>
  <c r="S2634" i="1"/>
  <c r="R2634" i="1"/>
  <c r="Q2634" i="1"/>
  <c r="P2634" i="1"/>
  <c r="U2633" i="1"/>
  <c r="T2633" i="1"/>
  <c r="S2633" i="1"/>
  <c r="R2633" i="1"/>
  <c r="Q2633" i="1"/>
  <c r="P2633" i="1"/>
  <c r="U2632" i="1"/>
  <c r="T2632" i="1"/>
  <c r="S2632" i="1"/>
  <c r="R2632" i="1"/>
  <c r="Q2632" i="1"/>
  <c r="P2632" i="1"/>
  <c r="U2631" i="1"/>
  <c r="T2631" i="1"/>
  <c r="S2631" i="1"/>
  <c r="R2631" i="1"/>
  <c r="Q2631" i="1"/>
  <c r="P2631" i="1"/>
  <c r="U2630" i="1"/>
  <c r="T2630" i="1"/>
  <c r="S2630" i="1"/>
  <c r="R2630" i="1"/>
  <c r="Q2630" i="1"/>
  <c r="P2630" i="1"/>
  <c r="U2629" i="1"/>
  <c r="T2629" i="1"/>
  <c r="S2629" i="1"/>
  <c r="R2629" i="1"/>
  <c r="Q2629" i="1"/>
  <c r="P2629" i="1"/>
  <c r="U2628" i="1"/>
  <c r="T2628" i="1"/>
  <c r="S2628" i="1"/>
  <c r="R2628" i="1"/>
  <c r="Q2628" i="1"/>
  <c r="P2628" i="1"/>
  <c r="U2627" i="1"/>
  <c r="T2627" i="1"/>
  <c r="S2627" i="1"/>
  <c r="R2627" i="1"/>
  <c r="Q2627" i="1"/>
  <c r="P2627" i="1"/>
  <c r="U2626" i="1"/>
  <c r="T2626" i="1"/>
  <c r="S2626" i="1"/>
  <c r="R2626" i="1"/>
  <c r="Q2626" i="1"/>
  <c r="P2626" i="1"/>
  <c r="U2625" i="1"/>
  <c r="T2625" i="1"/>
  <c r="S2625" i="1"/>
  <c r="R2625" i="1"/>
  <c r="Q2625" i="1"/>
  <c r="P2625" i="1"/>
  <c r="U2624" i="1"/>
  <c r="T2624" i="1"/>
  <c r="S2624" i="1"/>
  <c r="R2624" i="1"/>
  <c r="Q2624" i="1"/>
  <c r="P2624" i="1"/>
  <c r="U2623" i="1"/>
  <c r="T2623" i="1"/>
  <c r="S2623" i="1"/>
  <c r="R2623" i="1"/>
  <c r="Q2623" i="1"/>
  <c r="P2623" i="1"/>
  <c r="U2622" i="1"/>
  <c r="T2622" i="1"/>
  <c r="S2622" i="1"/>
  <c r="R2622" i="1"/>
  <c r="Q2622" i="1"/>
  <c r="P2622" i="1"/>
  <c r="U2621" i="1"/>
  <c r="T2621" i="1"/>
  <c r="S2621" i="1"/>
  <c r="R2621" i="1"/>
  <c r="Q2621" i="1"/>
  <c r="P2621" i="1"/>
  <c r="U2620" i="1"/>
  <c r="T2620" i="1"/>
  <c r="S2620" i="1"/>
  <c r="R2620" i="1"/>
  <c r="Q2620" i="1"/>
  <c r="P2620" i="1"/>
  <c r="U2619" i="1"/>
  <c r="T2619" i="1"/>
  <c r="S2619" i="1"/>
  <c r="R2619" i="1"/>
  <c r="Q2619" i="1"/>
  <c r="P2619" i="1"/>
  <c r="U2618" i="1"/>
  <c r="T2618" i="1"/>
  <c r="S2618" i="1"/>
  <c r="R2618" i="1"/>
  <c r="Q2618" i="1"/>
  <c r="P2618" i="1"/>
  <c r="U2617" i="1"/>
  <c r="T2617" i="1"/>
  <c r="S2617" i="1"/>
  <c r="R2617" i="1"/>
  <c r="Q2617" i="1"/>
  <c r="P2617" i="1"/>
  <c r="U2616" i="1"/>
  <c r="T2616" i="1"/>
  <c r="S2616" i="1"/>
  <c r="R2616" i="1"/>
  <c r="Q2616" i="1"/>
  <c r="P2616" i="1"/>
  <c r="U2615" i="1"/>
  <c r="T2615" i="1"/>
  <c r="S2615" i="1"/>
  <c r="R2615" i="1"/>
  <c r="Q2615" i="1"/>
  <c r="P2615" i="1"/>
  <c r="U2614" i="1"/>
  <c r="T2614" i="1"/>
  <c r="S2614" i="1"/>
  <c r="R2614" i="1"/>
  <c r="Q2614" i="1"/>
  <c r="P2614" i="1"/>
  <c r="U2613" i="1"/>
  <c r="T2613" i="1"/>
  <c r="S2613" i="1"/>
  <c r="R2613" i="1"/>
  <c r="Q2613" i="1"/>
  <c r="P2613" i="1"/>
  <c r="U2612" i="1"/>
  <c r="T2612" i="1"/>
  <c r="S2612" i="1"/>
  <c r="R2612" i="1"/>
  <c r="Q2612" i="1"/>
  <c r="P2612" i="1"/>
  <c r="U2611" i="1"/>
  <c r="T2611" i="1"/>
  <c r="S2611" i="1"/>
  <c r="R2611" i="1"/>
  <c r="Q2611" i="1"/>
  <c r="P2611" i="1"/>
  <c r="U2610" i="1"/>
  <c r="T2610" i="1"/>
  <c r="S2610" i="1"/>
  <c r="R2610" i="1"/>
  <c r="Q2610" i="1"/>
  <c r="P2610" i="1"/>
  <c r="U2609" i="1"/>
  <c r="T2609" i="1"/>
  <c r="S2609" i="1"/>
  <c r="R2609" i="1"/>
  <c r="Q2609" i="1"/>
  <c r="P2609" i="1"/>
  <c r="U2608" i="1"/>
  <c r="T2608" i="1"/>
  <c r="S2608" i="1"/>
  <c r="R2608" i="1"/>
  <c r="Q2608" i="1"/>
  <c r="P2608" i="1"/>
  <c r="U2607" i="1"/>
  <c r="T2607" i="1"/>
  <c r="S2607" i="1"/>
  <c r="R2607" i="1"/>
  <c r="Q2607" i="1"/>
  <c r="P2607" i="1"/>
  <c r="U2606" i="1"/>
  <c r="T2606" i="1"/>
  <c r="S2606" i="1"/>
  <c r="R2606" i="1"/>
  <c r="Q2606" i="1"/>
  <c r="P2606" i="1"/>
  <c r="U2605" i="1"/>
  <c r="T2605" i="1"/>
  <c r="S2605" i="1"/>
  <c r="R2605" i="1"/>
  <c r="Q2605" i="1"/>
  <c r="P2605" i="1"/>
  <c r="U2604" i="1"/>
  <c r="T2604" i="1"/>
  <c r="S2604" i="1"/>
  <c r="R2604" i="1"/>
  <c r="Q2604" i="1"/>
  <c r="P2604" i="1"/>
  <c r="U2603" i="1"/>
  <c r="T2603" i="1"/>
  <c r="S2603" i="1"/>
  <c r="R2603" i="1"/>
  <c r="Q2603" i="1"/>
  <c r="P2603" i="1"/>
  <c r="U2602" i="1"/>
  <c r="T2602" i="1"/>
  <c r="S2602" i="1"/>
  <c r="R2602" i="1"/>
  <c r="Q2602" i="1"/>
  <c r="P2602" i="1"/>
  <c r="U2601" i="1"/>
  <c r="T2601" i="1"/>
  <c r="S2601" i="1"/>
  <c r="R2601" i="1"/>
  <c r="Q2601" i="1"/>
  <c r="P2601" i="1"/>
  <c r="U2600" i="1"/>
  <c r="T2600" i="1"/>
  <c r="S2600" i="1"/>
  <c r="R2600" i="1"/>
  <c r="Q2600" i="1"/>
  <c r="P2600" i="1"/>
  <c r="U2599" i="1"/>
  <c r="T2599" i="1"/>
  <c r="S2599" i="1"/>
  <c r="R2599" i="1"/>
  <c r="Q2599" i="1"/>
  <c r="P2599" i="1"/>
  <c r="U2598" i="1"/>
  <c r="T2598" i="1"/>
  <c r="S2598" i="1"/>
  <c r="R2598" i="1"/>
  <c r="Q2598" i="1"/>
  <c r="P2598" i="1"/>
  <c r="U2597" i="1"/>
  <c r="T2597" i="1"/>
  <c r="S2597" i="1"/>
  <c r="R2597" i="1"/>
  <c r="Q2597" i="1"/>
  <c r="P2597" i="1"/>
  <c r="U2596" i="1"/>
  <c r="T2596" i="1"/>
  <c r="S2596" i="1"/>
  <c r="R2596" i="1"/>
  <c r="Q2596" i="1"/>
  <c r="P2596" i="1"/>
  <c r="U2595" i="1"/>
  <c r="T2595" i="1"/>
  <c r="S2595" i="1"/>
  <c r="R2595" i="1"/>
  <c r="Q2595" i="1"/>
  <c r="P2595" i="1"/>
  <c r="U2594" i="1"/>
  <c r="T2594" i="1"/>
  <c r="S2594" i="1"/>
  <c r="R2594" i="1"/>
  <c r="Q2594" i="1"/>
  <c r="P2594" i="1"/>
  <c r="U2593" i="1"/>
  <c r="T2593" i="1"/>
  <c r="S2593" i="1"/>
  <c r="R2593" i="1"/>
  <c r="Q2593" i="1"/>
  <c r="P2593" i="1"/>
  <c r="U2592" i="1"/>
  <c r="T2592" i="1"/>
  <c r="S2592" i="1"/>
  <c r="R2592" i="1"/>
  <c r="Q2592" i="1"/>
  <c r="P2592" i="1"/>
  <c r="U2591" i="1"/>
  <c r="T2591" i="1"/>
  <c r="S2591" i="1"/>
  <c r="R2591" i="1"/>
  <c r="Q2591" i="1"/>
  <c r="P2591" i="1"/>
  <c r="U2590" i="1"/>
  <c r="T2590" i="1"/>
  <c r="S2590" i="1"/>
  <c r="R2590" i="1"/>
  <c r="Q2590" i="1"/>
  <c r="P2590" i="1"/>
  <c r="U2589" i="1"/>
  <c r="T2589" i="1"/>
  <c r="S2589" i="1"/>
  <c r="R2589" i="1"/>
  <c r="Q2589" i="1"/>
  <c r="P2589" i="1"/>
  <c r="U2588" i="1"/>
  <c r="T2588" i="1"/>
  <c r="S2588" i="1"/>
  <c r="R2588" i="1"/>
  <c r="Q2588" i="1"/>
  <c r="P2588" i="1"/>
  <c r="U2587" i="1"/>
  <c r="T2587" i="1"/>
  <c r="S2587" i="1"/>
  <c r="R2587" i="1"/>
  <c r="Q2587" i="1"/>
  <c r="P2587" i="1"/>
  <c r="U2586" i="1"/>
  <c r="T2586" i="1"/>
  <c r="S2586" i="1"/>
  <c r="R2586" i="1"/>
  <c r="Q2586" i="1"/>
  <c r="P2586" i="1"/>
  <c r="U2585" i="1"/>
  <c r="T2585" i="1"/>
  <c r="S2585" i="1"/>
  <c r="R2585" i="1"/>
  <c r="Q2585" i="1"/>
  <c r="P2585" i="1"/>
  <c r="U2584" i="1"/>
  <c r="T2584" i="1"/>
  <c r="S2584" i="1"/>
  <c r="R2584" i="1"/>
  <c r="Q2584" i="1"/>
  <c r="P2584" i="1"/>
  <c r="U2583" i="1"/>
  <c r="T2583" i="1"/>
  <c r="S2583" i="1"/>
  <c r="R2583" i="1"/>
  <c r="Q2583" i="1"/>
  <c r="P2583" i="1"/>
  <c r="U2582" i="1"/>
  <c r="T2582" i="1"/>
  <c r="S2582" i="1"/>
  <c r="R2582" i="1"/>
  <c r="Q2582" i="1"/>
  <c r="P2582" i="1"/>
  <c r="U2581" i="1"/>
  <c r="T2581" i="1"/>
  <c r="S2581" i="1"/>
  <c r="R2581" i="1"/>
  <c r="Q2581" i="1"/>
  <c r="P2581" i="1"/>
  <c r="U2580" i="1"/>
  <c r="T2580" i="1"/>
  <c r="S2580" i="1"/>
  <c r="R2580" i="1"/>
  <c r="Q2580" i="1"/>
  <c r="P2580" i="1"/>
  <c r="U2579" i="1"/>
  <c r="T2579" i="1"/>
  <c r="S2579" i="1"/>
  <c r="R2579" i="1"/>
  <c r="Q2579" i="1"/>
  <c r="P2579" i="1"/>
  <c r="U2578" i="1"/>
  <c r="T2578" i="1"/>
  <c r="S2578" i="1"/>
  <c r="R2578" i="1"/>
  <c r="Q2578" i="1"/>
  <c r="P2578" i="1"/>
  <c r="U2577" i="1"/>
  <c r="T2577" i="1"/>
  <c r="S2577" i="1"/>
  <c r="R2577" i="1"/>
  <c r="Q2577" i="1"/>
  <c r="P2577" i="1"/>
  <c r="U2576" i="1"/>
  <c r="T2576" i="1"/>
  <c r="S2576" i="1"/>
  <c r="R2576" i="1"/>
  <c r="Q2576" i="1"/>
  <c r="P2576" i="1"/>
  <c r="U2575" i="1"/>
  <c r="T2575" i="1"/>
  <c r="S2575" i="1"/>
  <c r="R2575" i="1"/>
  <c r="Q2575" i="1"/>
  <c r="P2575" i="1"/>
  <c r="U2574" i="1"/>
  <c r="T2574" i="1"/>
  <c r="S2574" i="1"/>
  <c r="R2574" i="1"/>
  <c r="Q2574" i="1"/>
  <c r="P2574" i="1"/>
  <c r="U2573" i="1"/>
  <c r="T2573" i="1"/>
  <c r="S2573" i="1"/>
  <c r="R2573" i="1"/>
  <c r="Q2573" i="1"/>
  <c r="P2573" i="1"/>
  <c r="U2572" i="1"/>
  <c r="T2572" i="1"/>
  <c r="S2572" i="1"/>
  <c r="R2572" i="1"/>
  <c r="Q2572" i="1"/>
  <c r="P2572" i="1"/>
  <c r="U2571" i="1"/>
  <c r="T2571" i="1"/>
  <c r="S2571" i="1"/>
  <c r="R2571" i="1"/>
  <c r="Q2571" i="1"/>
  <c r="P2571" i="1"/>
  <c r="U2570" i="1"/>
  <c r="T2570" i="1"/>
  <c r="S2570" i="1"/>
  <c r="R2570" i="1"/>
  <c r="Q2570" i="1"/>
  <c r="P2570" i="1"/>
  <c r="U2569" i="1"/>
  <c r="T2569" i="1"/>
  <c r="S2569" i="1"/>
  <c r="R2569" i="1"/>
  <c r="Q2569" i="1"/>
  <c r="P2569" i="1"/>
  <c r="U2568" i="1"/>
  <c r="T2568" i="1"/>
  <c r="S2568" i="1"/>
  <c r="R2568" i="1"/>
  <c r="Q2568" i="1"/>
  <c r="P2568" i="1"/>
  <c r="U2567" i="1"/>
  <c r="T2567" i="1"/>
  <c r="S2567" i="1"/>
  <c r="R2567" i="1"/>
  <c r="Q2567" i="1"/>
  <c r="P2567" i="1"/>
  <c r="U2566" i="1"/>
  <c r="T2566" i="1"/>
  <c r="S2566" i="1"/>
  <c r="R2566" i="1"/>
  <c r="Q2566" i="1"/>
  <c r="P2566" i="1"/>
  <c r="U2565" i="1"/>
  <c r="T2565" i="1"/>
  <c r="S2565" i="1"/>
  <c r="R2565" i="1"/>
  <c r="Q2565" i="1"/>
  <c r="P2565" i="1"/>
  <c r="U2564" i="1"/>
  <c r="T2564" i="1"/>
  <c r="S2564" i="1"/>
  <c r="R2564" i="1"/>
  <c r="Q2564" i="1"/>
  <c r="P2564" i="1"/>
  <c r="U2563" i="1"/>
  <c r="T2563" i="1"/>
  <c r="S2563" i="1"/>
  <c r="R2563" i="1"/>
  <c r="Q2563" i="1"/>
  <c r="P2563" i="1"/>
  <c r="U2562" i="1"/>
  <c r="T2562" i="1"/>
  <c r="S2562" i="1"/>
  <c r="R2562" i="1"/>
  <c r="Q2562" i="1"/>
  <c r="P2562" i="1"/>
  <c r="U2561" i="1"/>
  <c r="T2561" i="1"/>
  <c r="S2561" i="1"/>
  <c r="R2561" i="1"/>
  <c r="Q2561" i="1"/>
  <c r="P2561" i="1"/>
  <c r="U2560" i="1"/>
  <c r="T2560" i="1"/>
  <c r="S2560" i="1"/>
  <c r="R2560" i="1"/>
  <c r="Q2560" i="1"/>
  <c r="P2560" i="1"/>
  <c r="U2559" i="1"/>
  <c r="T2559" i="1"/>
  <c r="S2559" i="1"/>
  <c r="R2559" i="1"/>
  <c r="Q2559" i="1"/>
  <c r="P2559" i="1"/>
  <c r="U2558" i="1"/>
  <c r="T2558" i="1"/>
  <c r="S2558" i="1"/>
  <c r="R2558" i="1"/>
  <c r="Q2558" i="1"/>
  <c r="P2558" i="1"/>
  <c r="U2557" i="1"/>
  <c r="T2557" i="1"/>
  <c r="S2557" i="1"/>
  <c r="R2557" i="1"/>
  <c r="Q2557" i="1"/>
  <c r="P2557" i="1"/>
  <c r="U2556" i="1"/>
  <c r="T2556" i="1"/>
  <c r="S2556" i="1"/>
  <c r="R2556" i="1"/>
  <c r="Q2556" i="1"/>
  <c r="P2556" i="1"/>
  <c r="U2555" i="1"/>
  <c r="T2555" i="1"/>
  <c r="S2555" i="1"/>
  <c r="R2555" i="1"/>
  <c r="Q2555" i="1"/>
  <c r="P2555" i="1"/>
  <c r="U2554" i="1"/>
  <c r="T2554" i="1"/>
  <c r="S2554" i="1"/>
  <c r="R2554" i="1"/>
  <c r="Q2554" i="1"/>
  <c r="P2554" i="1"/>
  <c r="U2553" i="1"/>
  <c r="T2553" i="1"/>
  <c r="S2553" i="1"/>
  <c r="R2553" i="1"/>
  <c r="Q2553" i="1"/>
  <c r="P2553" i="1"/>
  <c r="U2552" i="1"/>
  <c r="T2552" i="1"/>
  <c r="S2552" i="1"/>
  <c r="R2552" i="1"/>
  <c r="Q2552" i="1"/>
  <c r="P2552" i="1"/>
  <c r="U2551" i="1"/>
  <c r="T2551" i="1"/>
  <c r="S2551" i="1"/>
  <c r="R2551" i="1"/>
  <c r="Q2551" i="1"/>
  <c r="P2551" i="1"/>
  <c r="U2550" i="1"/>
  <c r="T2550" i="1"/>
  <c r="S2550" i="1"/>
  <c r="R2550" i="1"/>
  <c r="Q2550" i="1"/>
  <c r="P2550" i="1"/>
  <c r="U2549" i="1"/>
  <c r="T2549" i="1"/>
  <c r="S2549" i="1"/>
  <c r="R2549" i="1"/>
  <c r="Q2549" i="1"/>
  <c r="P2549" i="1"/>
  <c r="U2548" i="1"/>
  <c r="T2548" i="1"/>
  <c r="S2548" i="1"/>
  <c r="R2548" i="1"/>
  <c r="Q2548" i="1"/>
  <c r="P2548" i="1"/>
  <c r="U2547" i="1"/>
  <c r="T2547" i="1"/>
  <c r="S2547" i="1"/>
  <c r="R2547" i="1"/>
  <c r="Q2547" i="1"/>
  <c r="P2547" i="1"/>
  <c r="U2546" i="1"/>
  <c r="T2546" i="1"/>
  <c r="S2546" i="1"/>
  <c r="R2546" i="1"/>
  <c r="Q2546" i="1"/>
  <c r="P2546" i="1"/>
  <c r="U2545" i="1"/>
  <c r="T2545" i="1"/>
  <c r="S2545" i="1"/>
  <c r="R2545" i="1"/>
  <c r="Q2545" i="1"/>
  <c r="P2545" i="1"/>
  <c r="U2544" i="1"/>
  <c r="T2544" i="1"/>
  <c r="S2544" i="1"/>
  <c r="R2544" i="1"/>
  <c r="Q2544" i="1"/>
  <c r="P2544" i="1"/>
  <c r="U2543" i="1"/>
  <c r="T2543" i="1"/>
  <c r="S2543" i="1"/>
  <c r="R2543" i="1"/>
  <c r="Q2543" i="1"/>
  <c r="P2543" i="1"/>
  <c r="U2542" i="1"/>
  <c r="T2542" i="1"/>
  <c r="S2542" i="1"/>
  <c r="R2542" i="1"/>
  <c r="Q2542" i="1"/>
  <c r="P2542" i="1"/>
  <c r="U2541" i="1"/>
  <c r="T2541" i="1"/>
  <c r="S2541" i="1"/>
  <c r="R2541" i="1"/>
  <c r="Q2541" i="1"/>
  <c r="P2541" i="1"/>
  <c r="U2540" i="1"/>
  <c r="T2540" i="1"/>
  <c r="S2540" i="1"/>
  <c r="R2540" i="1"/>
  <c r="Q2540" i="1"/>
  <c r="P2540" i="1"/>
  <c r="U2539" i="1"/>
  <c r="T2539" i="1"/>
  <c r="S2539" i="1"/>
  <c r="R2539" i="1"/>
  <c r="Q2539" i="1"/>
  <c r="P2539" i="1"/>
  <c r="U2538" i="1"/>
  <c r="T2538" i="1"/>
  <c r="S2538" i="1"/>
  <c r="R2538" i="1"/>
  <c r="Q2538" i="1"/>
  <c r="P2538" i="1"/>
  <c r="U2537" i="1"/>
  <c r="T2537" i="1"/>
  <c r="S2537" i="1"/>
  <c r="R2537" i="1"/>
  <c r="Q2537" i="1"/>
  <c r="P2537" i="1"/>
  <c r="U2536" i="1"/>
  <c r="T2536" i="1"/>
  <c r="S2536" i="1"/>
  <c r="R2536" i="1"/>
  <c r="Q2536" i="1"/>
  <c r="P2536" i="1"/>
  <c r="U2535" i="1"/>
  <c r="T2535" i="1"/>
  <c r="S2535" i="1"/>
  <c r="R2535" i="1"/>
  <c r="Q2535" i="1"/>
  <c r="P2535" i="1"/>
  <c r="U2534" i="1"/>
  <c r="T2534" i="1"/>
  <c r="S2534" i="1"/>
  <c r="R2534" i="1"/>
  <c r="Q2534" i="1"/>
  <c r="P2534" i="1"/>
  <c r="U2533" i="1"/>
  <c r="T2533" i="1"/>
  <c r="S2533" i="1"/>
  <c r="R2533" i="1"/>
  <c r="Q2533" i="1"/>
  <c r="P2533" i="1"/>
  <c r="U2532" i="1"/>
  <c r="T2532" i="1"/>
  <c r="S2532" i="1"/>
  <c r="R2532" i="1"/>
  <c r="Q2532" i="1"/>
  <c r="P2532" i="1"/>
  <c r="U2531" i="1"/>
  <c r="T2531" i="1"/>
  <c r="S2531" i="1"/>
  <c r="R2531" i="1"/>
  <c r="Q2531" i="1"/>
  <c r="P2531" i="1"/>
  <c r="U2530" i="1"/>
  <c r="T2530" i="1"/>
  <c r="S2530" i="1"/>
  <c r="R2530" i="1"/>
  <c r="Q2530" i="1"/>
  <c r="P2530" i="1"/>
  <c r="U2529" i="1"/>
  <c r="T2529" i="1"/>
  <c r="S2529" i="1"/>
  <c r="R2529" i="1"/>
  <c r="Q2529" i="1"/>
  <c r="P2529" i="1"/>
  <c r="U2528" i="1"/>
  <c r="T2528" i="1"/>
  <c r="S2528" i="1"/>
  <c r="R2528" i="1"/>
  <c r="Q2528" i="1"/>
  <c r="P2528" i="1"/>
  <c r="U2527" i="1"/>
  <c r="T2527" i="1"/>
  <c r="S2527" i="1"/>
  <c r="R2527" i="1"/>
  <c r="Q2527" i="1"/>
  <c r="P2527" i="1"/>
  <c r="U2526" i="1"/>
  <c r="T2526" i="1"/>
  <c r="S2526" i="1"/>
  <c r="R2526" i="1"/>
  <c r="Q2526" i="1"/>
  <c r="P2526" i="1"/>
  <c r="U2525" i="1"/>
  <c r="T2525" i="1"/>
  <c r="S2525" i="1"/>
  <c r="R2525" i="1"/>
  <c r="Q2525" i="1"/>
  <c r="P2525" i="1"/>
  <c r="U2524" i="1"/>
  <c r="T2524" i="1"/>
  <c r="S2524" i="1"/>
  <c r="R2524" i="1"/>
  <c r="Q2524" i="1"/>
  <c r="P2524" i="1"/>
  <c r="U2523" i="1"/>
  <c r="T2523" i="1"/>
  <c r="S2523" i="1"/>
  <c r="R2523" i="1"/>
  <c r="Q2523" i="1"/>
  <c r="P2523" i="1"/>
  <c r="U2522" i="1"/>
  <c r="T2522" i="1"/>
  <c r="S2522" i="1"/>
  <c r="R2522" i="1"/>
  <c r="Q2522" i="1"/>
  <c r="P2522" i="1"/>
  <c r="U2521" i="1"/>
  <c r="T2521" i="1"/>
  <c r="S2521" i="1"/>
  <c r="R2521" i="1"/>
  <c r="Q2521" i="1"/>
  <c r="P2521" i="1"/>
  <c r="U2520" i="1"/>
  <c r="T2520" i="1"/>
  <c r="S2520" i="1"/>
  <c r="R2520" i="1"/>
  <c r="Q2520" i="1"/>
  <c r="P2520" i="1"/>
  <c r="U2519" i="1"/>
  <c r="T2519" i="1"/>
  <c r="S2519" i="1"/>
  <c r="R2519" i="1"/>
  <c r="Q2519" i="1"/>
  <c r="P2519" i="1"/>
  <c r="U2518" i="1"/>
  <c r="T2518" i="1"/>
  <c r="S2518" i="1"/>
  <c r="R2518" i="1"/>
  <c r="Q2518" i="1"/>
  <c r="P2518" i="1"/>
  <c r="U2517" i="1"/>
  <c r="T2517" i="1"/>
  <c r="S2517" i="1"/>
  <c r="R2517" i="1"/>
  <c r="Q2517" i="1"/>
  <c r="P2517" i="1"/>
  <c r="U2516" i="1"/>
  <c r="T2516" i="1"/>
  <c r="S2516" i="1"/>
  <c r="R2516" i="1"/>
  <c r="Q2516" i="1"/>
  <c r="P2516" i="1"/>
  <c r="U2515" i="1"/>
  <c r="T2515" i="1"/>
  <c r="S2515" i="1"/>
  <c r="R2515" i="1"/>
  <c r="Q2515" i="1"/>
  <c r="P2515" i="1"/>
  <c r="U2514" i="1"/>
  <c r="T2514" i="1"/>
  <c r="S2514" i="1"/>
  <c r="R2514" i="1"/>
  <c r="Q2514" i="1"/>
  <c r="P2514" i="1"/>
  <c r="U2513" i="1"/>
  <c r="T2513" i="1"/>
  <c r="S2513" i="1"/>
  <c r="R2513" i="1"/>
  <c r="Q2513" i="1"/>
  <c r="P2513" i="1"/>
  <c r="U2512" i="1"/>
  <c r="T2512" i="1"/>
  <c r="S2512" i="1"/>
  <c r="R2512" i="1"/>
  <c r="Q2512" i="1"/>
  <c r="P2512" i="1"/>
  <c r="U2511" i="1"/>
  <c r="T2511" i="1"/>
  <c r="S2511" i="1"/>
  <c r="R2511" i="1"/>
  <c r="Q2511" i="1"/>
  <c r="P2511" i="1"/>
  <c r="U2510" i="1"/>
  <c r="T2510" i="1"/>
  <c r="S2510" i="1"/>
  <c r="R2510" i="1"/>
  <c r="Q2510" i="1"/>
  <c r="P2510" i="1"/>
  <c r="U2509" i="1"/>
  <c r="T2509" i="1"/>
  <c r="S2509" i="1"/>
  <c r="R2509" i="1"/>
  <c r="Q2509" i="1"/>
  <c r="P2509" i="1"/>
  <c r="U2508" i="1"/>
  <c r="T2508" i="1"/>
  <c r="S2508" i="1"/>
  <c r="R2508" i="1"/>
  <c r="Q2508" i="1"/>
  <c r="P2508" i="1"/>
  <c r="U2507" i="1"/>
  <c r="T2507" i="1"/>
  <c r="S2507" i="1"/>
  <c r="R2507" i="1"/>
  <c r="Q2507" i="1"/>
  <c r="P2507" i="1"/>
  <c r="U2506" i="1"/>
  <c r="T2506" i="1"/>
  <c r="S2506" i="1"/>
  <c r="R2506" i="1"/>
  <c r="Q2506" i="1"/>
  <c r="P2506" i="1"/>
  <c r="U2505" i="1"/>
  <c r="T2505" i="1"/>
  <c r="S2505" i="1"/>
  <c r="R2505" i="1"/>
  <c r="Q2505" i="1"/>
  <c r="P2505" i="1"/>
  <c r="U2504" i="1"/>
  <c r="T2504" i="1"/>
  <c r="S2504" i="1"/>
  <c r="R2504" i="1"/>
  <c r="Q2504" i="1"/>
  <c r="P2504" i="1"/>
  <c r="U2503" i="1"/>
  <c r="T2503" i="1"/>
  <c r="S2503" i="1"/>
  <c r="R2503" i="1"/>
  <c r="Q2503" i="1"/>
  <c r="P2503" i="1"/>
  <c r="U2502" i="1"/>
  <c r="T2502" i="1"/>
  <c r="S2502" i="1"/>
  <c r="R2502" i="1"/>
  <c r="Q2502" i="1"/>
  <c r="P2502" i="1"/>
  <c r="U2501" i="1"/>
  <c r="T2501" i="1"/>
  <c r="S2501" i="1"/>
  <c r="R2501" i="1"/>
  <c r="Q2501" i="1"/>
  <c r="P2501" i="1"/>
  <c r="U2500" i="1"/>
  <c r="T2500" i="1"/>
  <c r="S2500" i="1"/>
  <c r="R2500" i="1"/>
  <c r="Q2500" i="1"/>
  <c r="P2500" i="1"/>
  <c r="U2499" i="1"/>
  <c r="T2499" i="1"/>
  <c r="S2499" i="1"/>
  <c r="R2499" i="1"/>
  <c r="Q2499" i="1"/>
  <c r="P2499" i="1"/>
  <c r="U2498" i="1"/>
  <c r="T2498" i="1"/>
  <c r="S2498" i="1"/>
  <c r="R2498" i="1"/>
  <c r="Q2498" i="1"/>
  <c r="P2498" i="1"/>
  <c r="U2497" i="1"/>
  <c r="T2497" i="1"/>
  <c r="S2497" i="1"/>
  <c r="R2497" i="1"/>
  <c r="Q2497" i="1"/>
  <c r="P2497" i="1"/>
  <c r="U2496" i="1"/>
  <c r="T2496" i="1"/>
  <c r="S2496" i="1"/>
  <c r="R2496" i="1"/>
  <c r="Q2496" i="1"/>
  <c r="P2496" i="1"/>
  <c r="U2495" i="1"/>
  <c r="T2495" i="1"/>
  <c r="S2495" i="1"/>
  <c r="R2495" i="1"/>
  <c r="Q2495" i="1"/>
  <c r="P2495" i="1"/>
  <c r="U2494" i="1"/>
  <c r="T2494" i="1"/>
  <c r="S2494" i="1"/>
  <c r="R2494" i="1"/>
  <c r="Q2494" i="1"/>
  <c r="P2494" i="1"/>
  <c r="U2493" i="1"/>
  <c r="T2493" i="1"/>
  <c r="S2493" i="1"/>
  <c r="R2493" i="1"/>
  <c r="Q2493" i="1"/>
  <c r="P2493" i="1"/>
  <c r="U2492" i="1"/>
  <c r="T2492" i="1"/>
  <c r="S2492" i="1"/>
  <c r="R2492" i="1"/>
  <c r="Q2492" i="1"/>
  <c r="P2492" i="1"/>
  <c r="U2491" i="1"/>
  <c r="T2491" i="1"/>
  <c r="S2491" i="1"/>
  <c r="R2491" i="1"/>
  <c r="Q2491" i="1"/>
  <c r="P2491" i="1"/>
  <c r="U2490" i="1"/>
  <c r="T2490" i="1"/>
  <c r="S2490" i="1"/>
  <c r="R2490" i="1"/>
  <c r="Q2490" i="1"/>
  <c r="P2490" i="1"/>
  <c r="U2489" i="1"/>
  <c r="T2489" i="1"/>
  <c r="S2489" i="1"/>
  <c r="R2489" i="1"/>
  <c r="Q2489" i="1"/>
  <c r="P2489" i="1"/>
  <c r="U2488" i="1"/>
  <c r="T2488" i="1"/>
  <c r="S2488" i="1"/>
  <c r="R2488" i="1"/>
  <c r="Q2488" i="1"/>
  <c r="P2488" i="1"/>
  <c r="U2487" i="1"/>
  <c r="T2487" i="1"/>
  <c r="S2487" i="1"/>
  <c r="R2487" i="1"/>
  <c r="Q2487" i="1"/>
  <c r="P2487" i="1"/>
  <c r="U2486" i="1"/>
  <c r="T2486" i="1"/>
  <c r="S2486" i="1"/>
  <c r="R2486" i="1"/>
  <c r="Q2486" i="1"/>
  <c r="P2486" i="1"/>
  <c r="U2485" i="1"/>
  <c r="T2485" i="1"/>
  <c r="S2485" i="1"/>
  <c r="R2485" i="1"/>
  <c r="Q2485" i="1"/>
  <c r="P2485" i="1"/>
  <c r="U2484" i="1"/>
  <c r="T2484" i="1"/>
  <c r="S2484" i="1"/>
  <c r="R2484" i="1"/>
  <c r="Q2484" i="1"/>
  <c r="P2484" i="1"/>
  <c r="U2483" i="1"/>
  <c r="T2483" i="1"/>
  <c r="S2483" i="1"/>
  <c r="R2483" i="1"/>
  <c r="Q2483" i="1"/>
  <c r="P2483" i="1"/>
  <c r="U2482" i="1"/>
  <c r="T2482" i="1"/>
  <c r="S2482" i="1"/>
  <c r="R2482" i="1"/>
  <c r="Q2482" i="1"/>
  <c r="P2482" i="1"/>
  <c r="U2481" i="1"/>
  <c r="T2481" i="1"/>
  <c r="S2481" i="1"/>
  <c r="R2481" i="1"/>
  <c r="Q2481" i="1"/>
  <c r="P2481" i="1"/>
  <c r="U2480" i="1"/>
  <c r="T2480" i="1"/>
  <c r="S2480" i="1"/>
  <c r="R2480" i="1"/>
  <c r="Q2480" i="1"/>
  <c r="P2480" i="1"/>
  <c r="U2479" i="1"/>
  <c r="T2479" i="1"/>
  <c r="S2479" i="1"/>
  <c r="R2479" i="1"/>
  <c r="Q2479" i="1"/>
  <c r="P2479" i="1"/>
  <c r="U2478" i="1"/>
  <c r="T2478" i="1"/>
  <c r="S2478" i="1"/>
  <c r="R2478" i="1"/>
  <c r="Q2478" i="1"/>
  <c r="P2478" i="1"/>
  <c r="U2477" i="1"/>
  <c r="T2477" i="1"/>
  <c r="S2477" i="1"/>
  <c r="R2477" i="1"/>
  <c r="Q2477" i="1"/>
  <c r="P2477" i="1"/>
  <c r="U2476" i="1"/>
  <c r="T2476" i="1"/>
  <c r="S2476" i="1"/>
  <c r="R2476" i="1"/>
  <c r="Q2476" i="1"/>
  <c r="P2476" i="1"/>
  <c r="U2475" i="1"/>
  <c r="T2475" i="1"/>
  <c r="S2475" i="1"/>
  <c r="R2475" i="1"/>
  <c r="Q2475" i="1"/>
  <c r="P2475" i="1"/>
  <c r="U2474" i="1"/>
  <c r="T2474" i="1"/>
  <c r="S2474" i="1"/>
  <c r="R2474" i="1"/>
  <c r="Q2474" i="1"/>
  <c r="P2474" i="1"/>
  <c r="U2473" i="1"/>
  <c r="T2473" i="1"/>
  <c r="S2473" i="1"/>
  <c r="R2473" i="1"/>
  <c r="Q2473" i="1"/>
  <c r="P2473" i="1"/>
  <c r="U2472" i="1"/>
  <c r="T2472" i="1"/>
  <c r="S2472" i="1"/>
  <c r="R2472" i="1"/>
  <c r="Q2472" i="1"/>
  <c r="P2472" i="1"/>
  <c r="U2471" i="1"/>
  <c r="T2471" i="1"/>
  <c r="S2471" i="1"/>
  <c r="R2471" i="1"/>
  <c r="Q2471" i="1"/>
  <c r="P2471" i="1"/>
  <c r="U2470" i="1"/>
  <c r="T2470" i="1"/>
  <c r="S2470" i="1"/>
  <c r="R2470" i="1"/>
  <c r="Q2470" i="1"/>
  <c r="P2470" i="1"/>
  <c r="U2469" i="1"/>
  <c r="T2469" i="1"/>
  <c r="S2469" i="1"/>
  <c r="R2469" i="1"/>
  <c r="Q2469" i="1"/>
  <c r="P2469" i="1"/>
  <c r="U2468" i="1"/>
  <c r="T2468" i="1"/>
  <c r="S2468" i="1"/>
  <c r="R2468" i="1"/>
  <c r="Q2468" i="1"/>
  <c r="P2468" i="1"/>
  <c r="U2467" i="1"/>
  <c r="T2467" i="1"/>
  <c r="S2467" i="1"/>
  <c r="R2467" i="1"/>
  <c r="Q2467" i="1"/>
  <c r="P2467" i="1"/>
  <c r="U2466" i="1"/>
  <c r="T2466" i="1"/>
  <c r="S2466" i="1"/>
  <c r="R2466" i="1"/>
  <c r="Q2466" i="1"/>
  <c r="P2466" i="1"/>
  <c r="U2465" i="1"/>
  <c r="T2465" i="1"/>
  <c r="S2465" i="1"/>
  <c r="R2465" i="1"/>
  <c r="Q2465" i="1"/>
  <c r="P2465" i="1"/>
  <c r="U2464" i="1"/>
  <c r="T2464" i="1"/>
  <c r="S2464" i="1"/>
  <c r="R2464" i="1"/>
  <c r="Q2464" i="1"/>
  <c r="P2464" i="1"/>
  <c r="U2463" i="1"/>
  <c r="T2463" i="1"/>
  <c r="S2463" i="1"/>
  <c r="R2463" i="1"/>
  <c r="Q2463" i="1"/>
  <c r="P2463" i="1"/>
  <c r="U2462" i="1"/>
  <c r="T2462" i="1"/>
  <c r="S2462" i="1"/>
  <c r="R2462" i="1"/>
  <c r="Q2462" i="1"/>
  <c r="P2462" i="1"/>
  <c r="U2461" i="1"/>
  <c r="T2461" i="1"/>
  <c r="S2461" i="1"/>
  <c r="R2461" i="1"/>
  <c r="Q2461" i="1"/>
  <c r="P2461" i="1"/>
  <c r="U2460" i="1"/>
  <c r="T2460" i="1"/>
  <c r="S2460" i="1"/>
  <c r="R2460" i="1"/>
  <c r="Q2460" i="1"/>
  <c r="P2460" i="1"/>
  <c r="U2459" i="1"/>
  <c r="T2459" i="1"/>
  <c r="S2459" i="1"/>
  <c r="R2459" i="1"/>
  <c r="Q2459" i="1"/>
  <c r="P2459" i="1"/>
  <c r="U2458" i="1"/>
  <c r="T2458" i="1"/>
  <c r="S2458" i="1"/>
  <c r="R2458" i="1"/>
  <c r="Q2458" i="1"/>
  <c r="P2458" i="1"/>
  <c r="U2457" i="1"/>
  <c r="T2457" i="1"/>
  <c r="S2457" i="1"/>
  <c r="R2457" i="1"/>
  <c r="Q2457" i="1"/>
  <c r="P2457" i="1"/>
  <c r="U2456" i="1"/>
  <c r="T2456" i="1"/>
  <c r="S2456" i="1"/>
  <c r="R2456" i="1"/>
  <c r="Q2456" i="1"/>
  <c r="P2456" i="1"/>
  <c r="U2455" i="1"/>
  <c r="T2455" i="1"/>
  <c r="S2455" i="1"/>
  <c r="R2455" i="1"/>
  <c r="Q2455" i="1"/>
  <c r="P2455" i="1"/>
  <c r="U2454" i="1"/>
  <c r="T2454" i="1"/>
  <c r="S2454" i="1"/>
  <c r="R2454" i="1"/>
  <c r="Q2454" i="1"/>
  <c r="P2454" i="1"/>
  <c r="U2453" i="1"/>
  <c r="T2453" i="1"/>
  <c r="S2453" i="1"/>
  <c r="R2453" i="1"/>
  <c r="Q2453" i="1"/>
  <c r="P2453" i="1"/>
  <c r="U2452" i="1"/>
  <c r="T2452" i="1"/>
  <c r="S2452" i="1"/>
  <c r="R2452" i="1"/>
  <c r="Q2452" i="1"/>
  <c r="P2452" i="1"/>
  <c r="U2451" i="1"/>
  <c r="T2451" i="1"/>
  <c r="S2451" i="1"/>
  <c r="R2451" i="1"/>
  <c r="Q2451" i="1"/>
  <c r="P2451" i="1"/>
  <c r="U2450" i="1"/>
  <c r="T2450" i="1"/>
  <c r="S2450" i="1"/>
  <c r="R2450" i="1"/>
  <c r="Q2450" i="1"/>
  <c r="P2450" i="1"/>
  <c r="U2449" i="1"/>
  <c r="T2449" i="1"/>
  <c r="S2449" i="1"/>
  <c r="R2449" i="1"/>
  <c r="Q2449" i="1"/>
  <c r="P2449" i="1"/>
  <c r="U2448" i="1"/>
  <c r="T2448" i="1"/>
  <c r="S2448" i="1"/>
  <c r="R2448" i="1"/>
  <c r="Q2448" i="1"/>
  <c r="P2448" i="1"/>
  <c r="U2447" i="1"/>
  <c r="T2447" i="1"/>
  <c r="S2447" i="1"/>
  <c r="R2447" i="1"/>
  <c r="Q2447" i="1"/>
  <c r="P2447" i="1"/>
  <c r="U2446" i="1"/>
  <c r="T2446" i="1"/>
  <c r="S2446" i="1"/>
  <c r="R2446" i="1"/>
  <c r="Q2446" i="1"/>
  <c r="P2446" i="1"/>
  <c r="U2445" i="1"/>
  <c r="T2445" i="1"/>
  <c r="S2445" i="1"/>
  <c r="R2445" i="1"/>
  <c r="Q2445" i="1"/>
  <c r="P2445" i="1"/>
  <c r="U2444" i="1"/>
  <c r="T2444" i="1"/>
  <c r="S2444" i="1"/>
  <c r="R2444" i="1"/>
  <c r="Q2444" i="1"/>
  <c r="P2444" i="1"/>
  <c r="U2443" i="1"/>
  <c r="T2443" i="1"/>
  <c r="S2443" i="1"/>
  <c r="R2443" i="1"/>
  <c r="Q2443" i="1"/>
  <c r="P2443" i="1"/>
  <c r="U2442" i="1"/>
  <c r="T2442" i="1"/>
  <c r="S2442" i="1"/>
  <c r="R2442" i="1"/>
  <c r="Q2442" i="1"/>
  <c r="P2442" i="1"/>
  <c r="U2441" i="1"/>
  <c r="T2441" i="1"/>
  <c r="S2441" i="1"/>
  <c r="R2441" i="1"/>
  <c r="Q2441" i="1"/>
  <c r="P2441" i="1"/>
  <c r="U2440" i="1"/>
  <c r="T2440" i="1"/>
  <c r="S2440" i="1"/>
  <c r="R2440" i="1"/>
  <c r="Q2440" i="1"/>
  <c r="P2440" i="1"/>
  <c r="U2439" i="1"/>
  <c r="T2439" i="1"/>
  <c r="S2439" i="1"/>
  <c r="R2439" i="1"/>
  <c r="Q2439" i="1"/>
  <c r="P2439" i="1"/>
  <c r="U2438" i="1"/>
  <c r="T2438" i="1"/>
  <c r="S2438" i="1"/>
  <c r="R2438" i="1"/>
  <c r="Q2438" i="1"/>
  <c r="P2438" i="1"/>
  <c r="U2437" i="1"/>
  <c r="T2437" i="1"/>
  <c r="S2437" i="1"/>
  <c r="R2437" i="1"/>
  <c r="Q2437" i="1"/>
  <c r="P2437" i="1"/>
  <c r="U2436" i="1"/>
  <c r="T2436" i="1"/>
  <c r="S2436" i="1"/>
  <c r="R2436" i="1"/>
  <c r="Q2436" i="1"/>
  <c r="P2436" i="1"/>
  <c r="U2435" i="1"/>
  <c r="T2435" i="1"/>
  <c r="S2435" i="1"/>
  <c r="R2435" i="1"/>
  <c r="Q2435" i="1"/>
  <c r="P2435" i="1"/>
  <c r="U2434" i="1"/>
  <c r="T2434" i="1"/>
  <c r="S2434" i="1"/>
  <c r="R2434" i="1"/>
  <c r="Q2434" i="1"/>
  <c r="P2434" i="1"/>
  <c r="U2433" i="1"/>
  <c r="T2433" i="1"/>
  <c r="S2433" i="1"/>
  <c r="R2433" i="1"/>
  <c r="Q2433" i="1"/>
  <c r="P2433" i="1"/>
  <c r="U2432" i="1"/>
  <c r="T2432" i="1"/>
  <c r="S2432" i="1"/>
  <c r="R2432" i="1"/>
  <c r="Q2432" i="1"/>
  <c r="P2432" i="1"/>
  <c r="U2431" i="1"/>
  <c r="T2431" i="1"/>
  <c r="S2431" i="1"/>
  <c r="R2431" i="1"/>
  <c r="Q2431" i="1"/>
  <c r="P2431" i="1"/>
  <c r="U2430" i="1"/>
  <c r="T2430" i="1"/>
  <c r="S2430" i="1"/>
  <c r="R2430" i="1"/>
  <c r="Q2430" i="1"/>
  <c r="P2430" i="1"/>
  <c r="U2429" i="1"/>
  <c r="T2429" i="1"/>
  <c r="S2429" i="1"/>
  <c r="R2429" i="1"/>
  <c r="Q2429" i="1"/>
  <c r="P2429" i="1"/>
  <c r="U2428" i="1"/>
  <c r="T2428" i="1"/>
  <c r="S2428" i="1"/>
  <c r="R2428" i="1"/>
  <c r="Q2428" i="1"/>
  <c r="P2428" i="1"/>
  <c r="U2427" i="1"/>
  <c r="T2427" i="1"/>
  <c r="S2427" i="1"/>
  <c r="R2427" i="1"/>
  <c r="Q2427" i="1"/>
  <c r="P2427" i="1"/>
  <c r="U2426" i="1"/>
  <c r="T2426" i="1"/>
  <c r="S2426" i="1"/>
  <c r="R2426" i="1"/>
  <c r="Q2426" i="1"/>
  <c r="P2426" i="1"/>
  <c r="U2425" i="1"/>
  <c r="T2425" i="1"/>
  <c r="S2425" i="1"/>
  <c r="R2425" i="1"/>
  <c r="Q2425" i="1"/>
  <c r="P2425" i="1"/>
  <c r="U2424" i="1"/>
  <c r="T2424" i="1"/>
  <c r="S2424" i="1"/>
  <c r="R2424" i="1"/>
  <c r="Q2424" i="1"/>
  <c r="P2424" i="1"/>
  <c r="U2423" i="1"/>
  <c r="T2423" i="1"/>
  <c r="S2423" i="1"/>
  <c r="R2423" i="1"/>
  <c r="Q2423" i="1"/>
  <c r="P2423" i="1"/>
  <c r="U2422" i="1"/>
  <c r="T2422" i="1"/>
  <c r="S2422" i="1"/>
  <c r="R2422" i="1"/>
  <c r="Q2422" i="1"/>
  <c r="P2422" i="1"/>
  <c r="U2421" i="1"/>
  <c r="T2421" i="1"/>
  <c r="S2421" i="1"/>
  <c r="R2421" i="1"/>
  <c r="Q2421" i="1"/>
  <c r="P2421" i="1"/>
  <c r="U2420" i="1"/>
  <c r="T2420" i="1"/>
  <c r="S2420" i="1"/>
  <c r="R2420" i="1"/>
  <c r="Q2420" i="1"/>
  <c r="P2420" i="1"/>
  <c r="U2419" i="1"/>
  <c r="T2419" i="1"/>
  <c r="S2419" i="1"/>
  <c r="R2419" i="1"/>
  <c r="Q2419" i="1"/>
  <c r="P2419" i="1"/>
  <c r="U2418" i="1"/>
  <c r="T2418" i="1"/>
  <c r="S2418" i="1"/>
  <c r="R2418" i="1"/>
  <c r="Q2418" i="1"/>
  <c r="P2418" i="1"/>
  <c r="U2417" i="1"/>
  <c r="T2417" i="1"/>
  <c r="S2417" i="1"/>
  <c r="R2417" i="1"/>
  <c r="Q2417" i="1"/>
  <c r="P2417" i="1"/>
  <c r="U2416" i="1"/>
  <c r="T2416" i="1"/>
  <c r="S2416" i="1"/>
  <c r="R2416" i="1"/>
  <c r="Q2416" i="1"/>
  <c r="P2416" i="1"/>
  <c r="U2415" i="1"/>
  <c r="T2415" i="1"/>
  <c r="S2415" i="1"/>
  <c r="R2415" i="1"/>
  <c r="Q2415" i="1"/>
  <c r="P2415" i="1"/>
  <c r="U2414" i="1"/>
  <c r="T2414" i="1"/>
  <c r="S2414" i="1"/>
  <c r="R2414" i="1"/>
  <c r="Q2414" i="1"/>
  <c r="P2414" i="1"/>
  <c r="U2413" i="1"/>
  <c r="T2413" i="1"/>
  <c r="S2413" i="1"/>
  <c r="R2413" i="1"/>
  <c r="Q2413" i="1"/>
  <c r="P2413" i="1"/>
  <c r="U2412" i="1"/>
  <c r="T2412" i="1"/>
  <c r="S2412" i="1"/>
  <c r="R2412" i="1"/>
  <c r="Q2412" i="1"/>
  <c r="P2412" i="1"/>
  <c r="U2411" i="1"/>
  <c r="T2411" i="1"/>
  <c r="S2411" i="1"/>
  <c r="R2411" i="1"/>
  <c r="Q2411" i="1"/>
  <c r="P2411" i="1"/>
  <c r="U2410" i="1"/>
  <c r="T2410" i="1"/>
  <c r="S2410" i="1"/>
  <c r="R2410" i="1"/>
  <c r="Q2410" i="1"/>
  <c r="P2410" i="1"/>
  <c r="U2409" i="1"/>
  <c r="T2409" i="1"/>
  <c r="S2409" i="1"/>
  <c r="R2409" i="1"/>
  <c r="Q2409" i="1"/>
  <c r="P2409" i="1"/>
  <c r="U2408" i="1"/>
  <c r="T2408" i="1"/>
  <c r="S2408" i="1"/>
  <c r="R2408" i="1"/>
  <c r="Q2408" i="1"/>
  <c r="P2408" i="1"/>
  <c r="U2407" i="1"/>
  <c r="T2407" i="1"/>
  <c r="S2407" i="1"/>
  <c r="R2407" i="1"/>
  <c r="Q2407" i="1"/>
  <c r="P2407" i="1"/>
  <c r="U2406" i="1"/>
  <c r="T2406" i="1"/>
  <c r="S2406" i="1"/>
  <c r="R2406" i="1"/>
  <c r="Q2406" i="1"/>
  <c r="P2406" i="1"/>
  <c r="U2405" i="1"/>
  <c r="T2405" i="1"/>
  <c r="S2405" i="1"/>
  <c r="R2405" i="1"/>
  <c r="Q2405" i="1"/>
  <c r="P2405" i="1"/>
  <c r="U2404" i="1"/>
  <c r="T2404" i="1"/>
  <c r="S2404" i="1"/>
  <c r="R2404" i="1"/>
  <c r="Q2404" i="1"/>
  <c r="P2404" i="1"/>
  <c r="U2403" i="1"/>
  <c r="T2403" i="1"/>
  <c r="S2403" i="1"/>
  <c r="R2403" i="1"/>
  <c r="Q2403" i="1"/>
  <c r="P2403" i="1"/>
  <c r="U2402" i="1"/>
  <c r="T2402" i="1"/>
  <c r="S2402" i="1"/>
  <c r="R2402" i="1"/>
  <c r="Q2402" i="1"/>
  <c r="P2402" i="1"/>
  <c r="U2401" i="1"/>
  <c r="T2401" i="1"/>
  <c r="S2401" i="1"/>
  <c r="R2401" i="1"/>
  <c r="Q2401" i="1"/>
  <c r="P2401" i="1"/>
  <c r="U2400" i="1"/>
  <c r="T2400" i="1"/>
  <c r="S2400" i="1"/>
  <c r="R2400" i="1"/>
  <c r="Q2400" i="1"/>
  <c r="P2400" i="1"/>
  <c r="U2399" i="1"/>
  <c r="T2399" i="1"/>
  <c r="S2399" i="1"/>
  <c r="R2399" i="1"/>
  <c r="Q2399" i="1"/>
  <c r="P2399" i="1"/>
  <c r="U2398" i="1"/>
  <c r="T2398" i="1"/>
  <c r="S2398" i="1"/>
  <c r="R2398" i="1"/>
  <c r="Q2398" i="1"/>
  <c r="P2398" i="1"/>
  <c r="U2397" i="1"/>
  <c r="T2397" i="1"/>
  <c r="S2397" i="1"/>
  <c r="R2397" i="1"/>
  <c r="Q2397" i="1"/>
  <c r="P2397" i="1"/>
  <c r="U2396" i="1"/>
  <c r="T2396" i="1"/>
  <c r="S2396" i="1"/>
  <c r="R2396" i="1"/>
  <c r="Q2396" i="1"/>
  <c r="P2396" i="1"/>
  <c r="U2395" i="1"/>
  <c r="T2395" i="1"/>
  <c r="S2395" i="1"/>
  <c r="R2395" i="1"/>
  <c r="Q2395" i="1"/>
  <c r="P2395" i="1"/>
  <c r="U2394" i="1"/>
  <c r="T2394" i="1"/>
  <c r="S2394" i="1"/>
  <c r="R2394" i="1"/>
  <c r="Q2394" i="1"/>
  <c r="P2394" i="1"/>
  <c r="U2393" i="1"/>
  <c r="T2393" i="1"/>
  <c r="S2393" i="1"/>
  <c r="R2393" i="1"/>
  <c r="Q2393" i="1"/>
  <c r="P2393" i="1"/>
  <c r="U2392" i="1"/>
  <c r="T2392" i="1"/>
  <c r="S2392" i="1"/>
  <c r="R2392" i="1"/>
  <c r="Q2392" i="1"/>
  <c r="P2392" i="1"/>
  <c r="U2391" i="1"/>
  <c r="T2391" i="1"/>
  <c r="S2391" i="1"/>
  <c r="R2391" i="1"/>
  <c r="Q2391" i="1"/>
  <c r="P2391" i="1"/>
  <c r="U2390" i="1"/>
  <c r="T2390" i="1"/>
  <c r="S2390" i="1"/>
  <c r="R2390" i="1"/>
  <c r="Q2390" i="1"/>
  <c r="P2390" i="1"/>
  <c r="U2389" i="1"/>
  <c r="T2389" i="1"/>
  <c r="S2389" i="1"/>
  <c r="R2389" i="1"/>
  <c r="Q2389" i="1"/>
  <c r="P2389" i="1"/>
  <c r="U2388" i="1"/>
  <c r="T2388" i="1"/>
  <c r="S2388" i="1"/>
  <c r="R2388" i="1"/>
  <c r="Q2388" i="1"/>
  <c r="P2388" i="1"/>
  <c r="U2387" i="1"/>
  <c r="T2387" i="1"/>
  <c r="S2387" i="1"/>
  <c r="R2387" i="1"/>
  <c r="Q2387" i="1"/>
  <c r="P2387" i="1"/>
  <c r="U2386" i="1"/>
  <c r="T2386" i="1"/>
  <c r="S2386" i="1"/>
  <c r="R2386" i="1"/>
  <c r="Q2386" i="1"/>
  <c r="P2386" i="1"/>
  <c r="U2385" i="1"/>
  <c r="T2385" i="1"/>
  <c r="S2385" i="1"/>
  <c r="R2385" i="1"/>
  <c r="Q2385" i="1"/>
  <c r="P2385" i="1"/>
  <c r="U2384" i="1"/>
  <c r="T2384" i="1"/>
  <c r="S2384" i="1"/>
  <c r="R2384" i="1"/>
  <c r="Q2384" i="1"/>
  <c r="P2384" i="1"/>
  <c r="U2383" i="1"/>
  <c r="T2383" i="1"/>
  <c r="S2383" i="1"/>
  <c r="R2383" i="1"/>
  <c r="Q2383" i="1"/>
  <c r="P2383" i="1"/>
  <c r="U2382" i="1"/>
  <c r="T2382" i="1"/>
  <c r="S2382" i="1"/>
  <c r="R2382" i="1"/>
  <c r="Q2382" i="1"/>
  <c r="P2382" i="1"/>
  <c r="U2381" i="1"/>
  <c r="T2381" i="1"/>
  <c r="S2381" i="1"/>
  <c r="R2381" i="1"/>
  <c r="Q2381" i="1"/>
  <c r="P2381" i="1"/>
  <c r="U2380" i="1"/>
  <c r="T2380" i="1"/>
  <c r="S2380" i="1"/>
  <c r="R2380" i="1"/>
  <c r="Q2380" i="1"/>
  <c r="P2380" i="1"/>
  <c r="U2379" i="1"/>
  <c r="T2379" i="1"/>
  <c r="S2379" i="1"/>
  <c r="R2379" i="1"/>
  <c r="Q2379" i="1"/>
  <c r="P2379" i="1"/>
  <c r="U2378" i="1"/>
  <c r="T2378" i="1"/>
  <c r="S2378" i="1"/>
  <c r="R2378" i="1"/>
  <c r="Q2378" i="1"/>
  <c r="P2378" i="1"/>
  <c r="U2377" i="1"/>
  <c r="T2377" i="1"/>
  <c r="S2377" i="1"/>
  <c r="R2377" i="1"/>
  <c r="Q2377" i="1"/>
  <c r="P2377" i="1"/>
  <c r="U2376" i="1"/>
  <c r="T2376" i="1"/>
  <c r="S2376" i="1"/>
  <c r="R2376" i="1"/>
  <c r="Q2376" i="1"/>
  <c r="P2376" i="1"/>
  <c r="U2375" i="1"/>
  <c r="T2375" i="1"/>
  <c r="S2375" i="1"/>
  <c r="R2375" i="1"/>
  <c r="Q2375" i="1"/>
  <c r="P2375" i="1"/>
  <c r="U2374" i="1"/>
  <c r="T2374" i="1"/>
  <c r="S2374" i="1"/>
  <c r="R2374" i="1"/>
  <c r="Q2374" i="1"/>
  <c r="P2374" i="1"/>
  <c r="U2373" i="1"/>
  <c r="T2373" i="1"/>
  <c r="S2373" i="1"/>
  <c r="R2373" i="1"/>
  <c r="Q2373" i="1"/>
  <c r="P2373" i="1"/>
  <c r="U2372" i="1"/>
  <c r="T2372" i="1"/>
  <c r="S2372" i="1"/>
  <c r="R2372" i="1"/>
  <c r="Q2372" i="1"/>
  <c r="P2372" i="1"/>
  <c r="U2371" i="1"/>
  <c r="T2371" i="1"/>
  <c r="S2371" i="1"/>
  <c r="R2371" i="1"/>
  <c r="Q2371" i="1"/>
  <c r="P2371" i="1"/>
  <c r="U2370" i="1"/>
  <c r="T2370" i="1"/>
  <c r="S2370" i="1"/>
  <c r="R2370" i="1"/>
  <c r="Q2370" i="1"/>
  <c r="P2370" i="1"/>
  <c r="U2369" i="1"/>
  <c r="T2369" i="1"/>
  <c r="S2369" i="1"/>
  <c r="R2369" i="1"/>
  <c r="Q2369" i="1"/>
  <c r="P2369" i="1"/>
  <c r="U2368" i="1"/>
  <c r="T2368" i="1"/>
  <c r="S2368" i="1"/>
  <c r="R2368" i="1"/>
  <c r="Q2368" i="1"/>
  <c r="P2368" i="1"/>
  <c r="U2367" i="1"/>
  <c r="T2367" i="1"/>
  <c r="S2367" i="1"/>
  <c r="R2367" i="1"/>
  <c r="Q2367" i="1"/>
  <c r="P2367" i="1"/>
  <c r="U2366" i="1"/>
  <c r="T2366" i="1"/>
  <c r="S2366" i="1"/>
  <c r="R2366" i="1"/>
  <c r="Q2366" i="1"/>
  <c r="P2366" i="1"/>
  <c r="U2365" i="1"/>
  <c r="T2365" i="1"/>
  <c r="S2365" i="1"/>
  <c r="R2365" i="1"/>
  <c r="Q2365" i="1"/>
  <c r="P2365" i="1"/>
  <c r="U2364" i="1"/>
  <c r="T2364" i="1"/>
  <c r="S2364" i="1"/>
  <c r="R2364" i="1"/>
  <c r="Q2364" i="1"/>
  <c r="P2364" i="1"/>
  <c r="U2363" i="1"/>
  <c r="T2363" i="1"/>
  <c r="S2363" i="1"/>
  <c r="R2363" i="1"/>
  <c r="Q2363" i="1"/>
  <c r="P2363" i="1"/>
  <c r="U2362" i="1"/>
  <c r="T2362" i="1"/>
  <c r="S2362" i="1"/>
  <c r="R2362" i="1"/>
  <c r="Q2362" i="1"/>
  <c r="P2362" i="1"/>
  <c r="U2361" i="1"/>
  <c r="T2361" i="1"/>
  <c r="S2361" i="1"/>
  <c r="R2361" i="1"/>
  <c r="Q2361" i="1"/>
  <c r="P2361" i="1"/>
  <c r="U2360" i="1"/>
  <c r="T2360" i="1"/>
  <c r="S2360" i="1"/>
  <c r="R2360" i="1"/>
  <c r="Q2360" i="1"/>
  <c r="P2360" i="1"/>
  <c r="U2359" i="1"/>
  <c r="T2359" i="1"/>
  <c r="S2359" i="1"/>
  <c r="R2359" i="1"/>
  <c r="Q2359" i="1"/>
  <c r="P2359" i="1"/>
  <c r="U2358" i="1"/>
  <c r="T2358" i="1"/>
  <c r="S2358" i="1"/>
  <c r="R2358" i="1"/>
  <c r="Q2358" i="1"/>
  <c r="P2358" i="1"/>
  <c r="U2357" i="1"/>
  <c r="T2357" i="1"/>
  <c r="S2357" i="1"/>
  <c r="R2357" i="1"/>
  <c r="Q2357" i="1"/>
  <c r="P2357" i="1"/>
  <c r="U2356" i="1"/>
  <c r="T2356" i="1"/>
  <c r="S2356" i="1"/>
  <c r="R2356" i="1"/>
  <c r="Q2356" i="1"/>
  <c r="P2356" i="1"/>
  <c r="U2355" i="1"/>
  <c r="T2355" i="1"/>
  <c r="S2355" i="1"/>
  <c r="R2355" i="1"/>
  <c r="Q2355" i="1"/>
  <c r="P2355" i="1"/>
  <c r="U2354" i="1"/>
  <c r="T2354" i="1"/>
  <c r="S2354" i="1"/>
  <c r="R2354" i="1"/>
  <c r="Q2354" i="1"/>
  <c r="P2354" i="1"/>
  <c r="U2353" i="1"/>
  <c r="T2353" i="1"/>
  <c r="S2353" i="1"/>
  <c r="R2353" i="1"/>
  <c r="Q2353" i="1"/>
  <c r="P2353" i="1"/>
  <c r="U2352" i="1"/>
  <c r="T2352" i="1"/>
  <c r="S2352" i="1"/>
  <c r="R2352" i="1"/>
  <c r="Q2352" i="1"/>
  <c r="P2352" i="1"/>
  <c r="U2351" i="1"/>
  <c r="T2351" i="1"/>
  <c r="S2351" i="1"/>
  <c r="R2351" i="1"/>
  <c r="Q2351" i="1"/>
  <c r="P2351" i="1"/>
  <c r="U2350" i="1"/>
  <c r="T2350" i="1"/>
  <c r="S2350" i="1"/>
  <c r="R2350" i="1"/>
  <c r="Q2350" i="1"/>
  <c r="P2350" i="1"/>
  <c r="U2349" i="1"/>
  <c r="T2349" i="1"/>
  <c r="S2349" i="1"/>
  <c r="R2349" i="1"/>
  <c r="Q2349" i="1"/>
  <c r="P2349" i="1"/>
  <c r="U2348" i="1"/>
  <c r="T2348" i="1"/>
  <c r="S2348" i="1"/>
  <c r="R2348" i="1"/>
  <c r="Q2348" i="1"/>
  <c r="P2348" i="1"/>
  <c r="U2347" i="1"/>
  <c r="T2347" i="1"/>
  <c r="S2347" i="1"/>
  <c r="R2347" i="1"/>
  <c r="Q2347" i="1"/>
  <c r="P2347" i="1"/>
  <c r="U2346" i="1"/>
  <c r="T2346" i="1"/>
  <c r="S2346" i="1"/>
  <c r="R2346" i="1"/>
  <c r="Q2346" i="1"/>
  <c r="P2346" i="1"/>
  <c r="U2345" i="1"/>
  <c r="T2345" i="1"/>
  <c r="S2345" i="1"/>
  <c r="R2345" i="1"/>
  <c r="Q2345" i="1"/>
  <c r="P2345" i="1"/>
  <c r="U2344" i="1"/>
  <c r="T2344" i="1"/>
  <c r="S2344" i="1"/>
  <c r="R2344" i="1"/>
  <c r="Q2344" i="1"/>
  <c r="P2344" i="1"/>
  <c r="U2343" i="1"/>
  <c r="T2343" i="1"/>
  <c r="S2343" i="1"/>
  <c r="R2343" i="1"/>
  <c r="Q2343" i="1"/>
  <c r="P2343" i="1"/>
  <c r="U2342" i="1"/>
  <c r="T2342" i="1"/>
  <c r="S2342" i="1"/>
  <c r="R2342" i="1"/>
  <c r="Q2342" i="1"/>
  <c r="P2342" i="1"/>
  <c r="U2341" i="1"/>
  <c r="T2341" i="1"/>
  <c r="S2341" i="1"/>
  <c r="R2341" i="1"/>
  <c r="Q2341" i="1"/>
  <c r="P2341" i="1"/>
  <c r="U2340" i="1"/>
  <c r="T2340" i="1"/>
  <c r="S2340" i="1"/>
  <c r="R2340" i="1"/>
  <c r="Q2340" i="1"/>
  <c r="P2340" i="1"/>
  <c r="U2339" i="1"/>
  <c r="T2339" i="1"/>
  <c r="S2339" i="1"/>
  <c r="R2339" i="1"/>
  <c r="Q2339" i="1"/>
  <c r="P2339" i="1"/>
  <c r="U2338" i="1"/>
  <c r="T2338" i="1"/>
  <c r="S2338" i="1"/>
  <c r="R2338" i="1"/>
  <c r="Q2338" i="1"/>
  <c r="P2338" i="1"/>
  <c r="U2337" i="1"/>
  <c r="T2337" i="1"/>
  <c r="S2337" i="1"/>
  <c r="R2337" i="1"/>
  <c r="Q2337" i="1"/>
  <c r="P2337" i="1"/>
  <c r="U2336" i="1"/>
  <c r="T2336" i="1"/>
  <c r="S2336" i="1"/>
  <c r="R2336" i="1"/>
  <c r="Q2336" i="1"/>
  <c r="P2336" i="1"/>
  <c r="U2335" i="1"/>
  <c r="T2335" i="1"/>
  <c r="S2335" i="1"/>
  <c r="R2335" i="1"/>
  <c r="Q2335" i="1"/>
  <c r="P2335" i="1"/>
  <c r="U2334" i="1"/>
  <c r="T2334" i="1"/>
  <c r="S2334" i="1"/>
  <c r="R2334" i="1"/>
  <c r="Q2334" i="1"/>
  <c r="P2334" i="1"/>
  <c r="U2333" i="1"/>
  <c r="T2333" i="1"/>
  <c r="S2333" i="1"/>
  <c r="R2333" i="1"/>
  <c r="Q2333" i="1"/>
  <c r="P2333" i="1"/>
  <c r="U2332" i="1"/>
  <c r="T2332" i="1"/>
  <c r="S2332" i="1"/>
  <c r="R2332" i="1"/>
  <c r="Q2332" i="1"/>
  <c r="P2332" i="1"/>
  <c r="U2331" i="1"/>
  <c r="T2331" i="1"/>
  <c r="S2331" i="1"/>
  <c r="R2331" i="1"/>
  <c r="Q2331" i="1"/>
  <c r="P2331" i="1"/>
  <c r="U2330" i="1"/>
  <c r="T2330" i="1"/>
  <c r="S2330" i="1"/>
  <c r="R2330" i="1"/>
  <c r="Q2330" i="1"/>
  <c r="P2330" i="1"/>
  <c r="U2329" i="1"/>
  <c r="T2329" i="1"/>
  <c r="S2329" i="1"/>
  <c r="R2329" i="1"/>
  <c r="Q2329" i="1"/>
  <c r="P2329" i="1"/>
  <c r="U2328" i="1"/>
  <c r="T2328" i="1"/>
  <c r="S2328" i="1"/>
  <c r="R2328" i="1"/>
  <c r="Q2328" i="1"/>
  <c r="P2328" i="1"/>
  <c r="U2327" i="1"/>
  <c r="T2327" i="1"/>
  <c r="S2327" i="1"/>
  <c r="R2327" i="1"/>
  <c r="Q2327" i="1"/>
  <c r="P2327" i="1"/>
  <c r="U2326" i="1"/>
  <c r="T2326" i="1"/>
  <c r="S2326" i="1"/>
  <c r="R2326" i="1"/>
  <c r="Q2326" i="1"/>
  <c r="P2326" i="1"/>
  <c r="U2325" i="1"/>
  <c r="T2325" i="1"/>
  <c r="S2325" i="1"/>
  <c r="R2325" i="1"/>
  <c r="Q2325" i="1"/>
  <c r="P2325" i="1"/>
  <c r="U2324" i="1"/>
  <c r="T2324" i="1"/>
  <c r="S2324" i="1"/>
  <c r="R2324" i="1"/>
  <c r="Q2324" i="1"/>
  <c r="P2324" i="1"/>
  <c r="U2323" i="1"/>
  <c r="T2323" i="1"/>
  <c r="S2323" i="1"/>
  <c r="R2323" i="1"/>
  <c r="Q2323" i="1"/>
  <c r="P2323" i="1"/>
  <c r="U2322" i="1"/>
  <c r="T2322" i="1"/>
  <c r="S2322" i="1"/>
  <c r="R2322" i="1"/>
  <c r="Q2322" i="1"/>
  <c r="P2322" i="1"/>
  <c r="U2321" i="1"/>
  <c r="T2321" i="1"/>
  <c r="S2321" i="1"/>
  <c r="R2321" i="1"/>
  <c r="Q2321" i="1"/>
  <c r="P2321" i="1"/>
  <c r="U2320" i="1"/>
  <c r="T2320" i="1"/>
  <c r="S2320" i="1"/>
  <c r="R2320" i="1"/>
  <c r="Q2320" i="1"/>
  <c r="P2320" i="1"/>
  <c r="U2319" i="1"/>
  <c r="T2319" i="1"/>
  <c r="S2319" i="1"/>
  <c r="R2319" i="1"/>
  <c r="Q2319" i="1"/>
  <c r="P2319" i="1"/>
  <c r="U2318" i="1"/>
  <c r="T2318" i="1"/>
  <c r="S2318" i="1"/>
  <c r="R2318" i="1"/>
  <c r="Q2318" i="1"/>
  <c r="P2318" i="1"/>
  <c r="U2317" i="1"/>
  <c r="T2317" i="1"/>
  <c r="S2317" i="1"/>
  <c r="R2317" i="1"/>
  <c r="Q2317" i="1"/>
  <c r="P2317" i="1"/>
  <c r="U2316" i="1"/>
  <c r="T2316" i="1"/>
  <c r="S2316" i="1"/>
  <c r="R2316" i="1"/>
  <c r="Q2316" i="1"/>
  <c r="P2316" i="1"/>
  <c r="U2315" i="1"/>
  <c r="T2315" i="1"/>
  <c r="S2315" i="1"/>
  <c r="R2315" i="1"/>
  <c r="Q2315" i="1"/>
  <c r="P2315" i="1"/>
  <c r="U2314" i="1"/>
  <c r="T2314" i="1"/>
  <c r="S2314" i="1"/>
  <c r="R2314" i="1"/>
  <c r="Q2314" i="1"/>
  <c r="P2314" i="1"/>
  <c r="U2313" i="1"/>
  <c r="T2313" i="1"/>
  <c r="S2313" i="1"/>
  <c r="R2313" i="1"/>
  <c r="Q2313" i="1"/>
  <c r="P2313" i="1"/>
  <c r="U2312" i="1"/>
  <c r="T2312" i="1"/>
  <c r="S2312" i="1"/>
  <c r="R2312" i="1"/>
  <c r="Q2312" i="1"/>
  <c r="P2312" i="1"/>
  <c r="U2311" i="1"/>
  <c r="T2311" i="1"/>
  <c r="S2311" i="1"/>
  <c r="R2311" i="1"/>
  <c r="Q2311" i="1"/>
  <c r="P2311" i="1"/>
  <c r="U2310" i="1"/>
  <c r="T2310" i="1"/>
  <c r="S2310" i="1"/>
  <c r="R2310" i="1"/>
  <c r="Q2310" i="1"/>
  <c r="P2310" i="1"/>
  <c r="U2309" i="1"/>
  <c r="T2309" i="1"/>
  <c r="S2309" i="1"/>
  <c r="R2309" i="1"/>
  <c r="Q2309" i="1"/>
  <c r="P2309" i="1"/>
  <c r="U2308" i="1"/>
  <c r="T2308" i="1"/>
  <c r="S2308" i="1"/>
  <c r="R2308" i="1"/>
  <c r="Q2308" i="1"/>
  <c r="P2308" i="1"/>
  <c r="U2307" i="1"/>
  <c r="T2307" i="1"/>
  <c r="S2307" i="1"/>
  <c r="R2307" i="1"/>
  <c r="Q2307" i="1"/>
  <c r="P2307" i="1"/>
  <c r="U2306" i="1"/>
  <c r="T2306" i="1"/>
  <c r="S2306" i="1"/>
  <c r="R2306" i="1"/>
  <c r="Q2306" i="1"/>
  <c r="P2306" i="1"/>
  <c r="U2305" i="1"/>
  <c r="T2305" i="1"/>
  <c r="S2305" i="1"/>
  <c r="R2305" i="1"/>
  <c r="Q2305" i="1"/>
  <c r="P2305" i="1"/>
  <c r="U2304" i="1"/>
  <c r="T2304" i="1"/>
  <c r="S2304" i="1"/>
  <c r="R2304" i="1"/>
  <c r="Q2304" i="1"/>
  <c r="P2304" i="1"/>
  <c r="U2303" i="1"/>
  <c r="T2303" i="1"/>
  <c r="S2303" i="1"/>
  <c r="R2303" i="1"/>
  <c r="Q2303" i="1"/>
  <c r="P2303" i="1"/>
  <c r="U2302" i="1"/>
  <c r="T2302" i="1"/>
  <c r="S2302" i="1"/>
  <c r="R2302" i="1"/>
  <c r="Q2302" i="1"/>
  <c r="P2302" i="1"/>
  <c r="U2301" i="1"/>
  <c r="T2301" i="1"/>
  <c r="S2301" i="1"/>
  <c r="R2301" i="1"/>
  <c r="Q2301" i="1"/>
  <c r="P2301" i="1"/>
  <c r="U2300" i="1"/>
  <c r="T2300" i="1"/>
  <c r="S2300" i="1"/>
  <c r="R2300" i="1"/>
  <c r="Q2300" i="1"/>
  <c r="P2300" i="1"/>
  <c r="U2299" i="1"/>
  <c r="T2299" i="1"/>
  <c r="S2299" i="1"/>
  <c r="R2299" i="1"/>
  <c r="Q2299" i="1"/>
  <c r="P2299" i="1"/>
  <c r="U2298" i="1"/>
  <c r="T2298" i="1"/>
  <c r="S2298" i="1"/>
  <c r="R2298" i="1"/>
  <c r="Q2298" i="1"/>
  <c r="P2298" i="1"/>
  <c r="U2297" i="1"/>
  <c r="T2297" i="1"/>
  <c r="S2297" i="1"/>
  <c r="R2297" i="1"/>
  <c r="Q2297" i="1"/>
  <c r="P2297" i="1"/>
  <c r="U2296" i="1"/>
  <c r="T2296" i="1"/>
  <c r="S2296" i="1"/>
  <c r="R2296" i="1"/>
  <c r="Q2296" i="1"/>
  <c r="P2296" i="1"/>
  <c r="U2295" i="1"/>
  <c r="T2295" i="1"/>
  <c r="S2295" i="1"/>
  <c r="R2295" i="1"/>
  <c r="Q2295" i="1"/>
  <c r="P2295" i="1"/>
  <c r="U2294" i="1"/>
  <c r="T2294" i="1"/>
  <c r="S2294" i="1"/>
  <c r="R2294" i="1"/>
  <c r="Q2294" i="1"/>
  <c r="P2294" i="1"/>
  <c r="U2293" i="1"/>
  <c r="T2293" i="1"/>
  <c r="S2293" i="1"/>
  <c r="R2293" i="1"/>
  <c r="Q2293" i="1"/>
  <c r="P2293" i="1"/>
  <c r="U2292" i="1"/>
  <c r="T2292" i="1"/>
  <c r="S2292" i="1"/>
  <c r="R2292" i="1"/>
  <c r="Q2292" i="1"/>
  <c r="P2292" i="1"/>
  <c r="U2291" i="1"/>
  <c r="T2291" i="1"/>
  <c r="S2291" i="1"/>
  <c r="R2291" i="1"/>
  <c r="Q2291" i="1"/>
  <c r="P2291" i="1"/>
  <c r="U2290" i="1"/>
  <c r="T2290" i="1"/>
  <c r="S2290" i="1"/>
  <c r="R2290" i="1"/>
  <c r="Q2290" i="1"/>
  <c r="P2290" i="1"/>
  <c r="U2289" i="1"/>
  <c r="T2289" i="1"/>
  <c r="S2289" i="1"/>
  <c r="R2289" i="1"/>
  <c r="Q2289" i="1"/>
  <c r="P2289" i="1"/>
  <c r="U2288" i="1"/>
  <c r="T2288" i="1"/>
  <c r="S2288" i="1"/>
  <c r="R2288" i="1"/>
  <c r="Q2288" i="1"/>
  <c r="P2288" i="1"/>
  <c r="U2287" i="1"/>
  <c r="T2287" i="1"/>
  <c r="S2287" i="1"/>
  <c r="R2287" i="1"/>
  <c r="Q2287" i="1"/>
  <c r="P2287" i="1"/>
  <c r="U2286" i="1"/>
  <c r="T2286" i="1"/>
  <c r="S2286" i="1"/>
  <c r="R2286" i="1"/>
  <c r="Q2286" i="1"/>
  <c r="P2286" i="1"/>
  <c r="U2285" i="1"/>
  <c r="T2285" i="1"/>
  <c r="S2285" i="1"/>
  <c r="R2285" i="1"/>
  <c r="Q2285" i="1"/>
  <c r="P2285" i="1"/>
  <c r="U2284" i="1"/>
  <c r="T2284" i="1"/>
  <c r="S2284" i="1"/>
  <c r="R2284" i="1"/>
  <c r="Q2284" i="1"/>
  <c r="P2284" i="1"/>
  <c r="U2283" i="1"/>
  <c r="T2283" i="1"/>
  <c r="S2283" i="1"/>
  <c r="R2283" i="1"/>
  <c r="Q2283" i="1"/>
  <c r="P2283" i="1"/>
  <c r="U2282" i="1"/>
  <c r="T2282" i="1"/>
  <c r="S2282" i="1"/>
  <c r="R2282" i="1"/>
  <c r="Q2282" i="1"/>
  <c r="P2282" i="1"/>
  <c r="U2281" i="1"/>
  <c r="T2281" i="1"/>
  <c r="S2281" i="1"/>
  <c r="R2281" i="1"/>
  <c r="Q2281" i="1"/>
  <c r="P2281" i="1"/>
  <c r="U2280" i="1"/>
  <c r="T2280" i="1"/>
  <c r="S2280" i="1"/>
  <c r="R2280" i="1"/>
  <c r="Q2280" i="1"/>
  <c r="P2280" i="1"/>
  <c r="U2279" i="1"/>
  <c r="T2279" i="1"/>
  <c r="S2279" i="1"/>
  <c r="R2279" i="1"/>
  <c r="Q2279" i="1"/>
  <c r="P2279" i="1"/>
  <c r="U2278" i="1"/>
  <c r="T2278" i="1"/>
  <c r="S2278" i="1"/>
  <c r="R2278" i="1"/>
  <c r="Q2278" i="1"/>
  <c r="P2278" i="1"/>
  <c r="U2277" i="1"/>
  <c r="T2277" i="1"/>
  <c r="S2277" i="1"/>
  <c r="R2277" i="1"/>
  <c r="Q2277" i="1"/>
  <c r="P2277" i="1"/>
  <c r="U2276" i="1"/>
  <c r="T2276" i="1"/>
  <c r="S2276" i="1"/>
  <c r="R2276" i="1"/>
  <c r="Q2276" i="1"/>
  <c r="P2276" i="1"/>
  <c r="U2275" i="1"/>
  <c r="T2275" i="1"/>
  <c r="S2275" i="1"/>
  <c r="R2275" i="1"/>
  <c r="Q2275" i="1"/>
  <c r="P2275" i="1"/>
  <c r="U2274" i="1"/>
  <c r="T2274" i="1"/>
  <c r="S2274" i="1"/>
  <c r="R2274" i="1"/>
  <c r="Q2274" i="1"/>
  <c r="P2274" i="1"/>
  <c r="U2273" i="1"/>
  <c r="T2273" i="1"/>
  <c r="S2273" i="1"/>
  <c r="R2273" i="1"/>
  <c r="Q2273" i="1"/>
  <c r="P2273" i="1"/>
  <c r="U2272" i="1"/>
  <c r="T2272" i="1"/>
  <c r="S2272" i="1"/>
  <c r="R2272" i="1"/>
  <c r="Q2272" i="1"/>
  <c r="P2272" i="1"/>
  <c r="U2271" i="1"/>
  <c r="T2271" i="1"/>
  <c r="S2271" i="1"/>
  <c r="R2271" i="1"/>
  <c r="Q2271" i="1"/>
  <c r="P2271" i="1"/>
  <c r="U2270" i="1"/>
  <c r="T2270" i="1"/>
  <c r="S2270" i="1"/>
  <c r="R2270" i="1"/>
  <c r="Q2270" i="1"/>
  <c r="P2270" i="1"/>
  <c r="U2269" i="1"/>
  <c r="T2269" i="1"/>
  <c r="S2269" i="1"/>
  <c r="R2269" i="1"/>
  <c r="Q2269" i="1"/>
  <c r="P2269" i="1"/>
  <c r="U2268" i="1"/>
  <c r="T2268" i="1"/>
  <c r="S2268" i="1"/>
  <c r="R2268" i="1"/>
  <c r="Q2268" i="1"/>
  <c r="P2268" i="1"/>
  <c r="U2267" i="1"/>
  <c r="T2267" i="1"/>
  <c r="S2267" i="1"/>
  <c r="R2267" i="1"/>
  <c r="Q2267" i="1"/>
  <c r="P2267" i="1"/>
  <c r="U2266" i="1"/>
  <c r="T2266" i="1"/>
  <c r="S2266" i="1"/>
  <c r="R2266" i="1"/>
  <c r="Q2266" i="1"/>
  <c r="P2266" i="1"/>
  <c r="U2265" i="1"/>
  <c r="T2265" i="1"/>
  <c r="S2265" i="1"/>
  <c r="R2265" i="1"/>
  <c r="Q2265" i="1"/>
  <c r="P2265" i="1"/>
  <c r="U2264" i="1"/>
  <c r="T2264" i="1"/>
  <c r="S2264" i="1"/>
  <c r="R2264" i="1"/>
  <c r="Q2264" i="1"/>
  <c r="P2264" i="1"/>
  <c r="U2263" i="1"/>
  <c r="T2263" i="1"/>
  <c r="S2263" i="1"/>
  <c r="R2263" i="1"/>
  <c r="Q2263" i="1"/>
  <c r="P2263" i="1"/>
  <c r="U2262" i="1"/>
  <c r="T2262" i="1"/>
  <c r="S2262" i="1"/>
  <c r="R2262" i="1"/>
  <c r="Q2262" i="1"/>
  <c r="P2262" i="1"/>
  <c r="U2261" i="1"/>
  <c r="T2261" i="1"/>
  <c r="S2261" i="1"/>
  <c r="R2261" i="1"/>
  <c r="Q2261" i="1"/>
  <c r="P2261" i="1"/>
  <c r="U2260" i="1"/>
  <c r="T2260" i="1"/>
  <c r="S2260" i="1"/>
  <c r="R2260" i="1"/>
  <c r="Q2260" i="1"/>
  <c r="P2260" i="1"/>
  <c r="U2259" i="1"/>
  <c r="T2259" i="1"/>
  <c r="S2259" i="1"/>
  <c r="R2259" i="1"/>
  <c r="Q2259" i="1"/>
  <c r="P2259" i="1"/>
  <c r="U2258" i="1"/>
  <c r="T2258" i="1"/>
  <c r="S2258" i="1"/>
  <c r="R2258" i="1"/>
  <c r="Q2258" i="1"/>
  <c r="P2258" i="1"/>
  <c r="U2257" i="1"/>
  <c r="T2257" i="1"/>
  <c r="S2257" i="1"/>
  <c r="R2257" i="1"/>
  <c r="Q2257" i="1"/>
  <c r="P2257" i="1"/>
  <c r="U2256" i="1"/>
  <c r="T2256" i="1"/>
  <c r="S2256" i="1"/>
  <c r="R2256" i="1"/>
  <c r="Q2256" i="1"/>
  <c r="P2256" i="1"/>
  <c r="U2255" i="1"/>
  <c r="T2255" i="1"/>
  <c r="S2255" i="1"/>
  <c r="R2255" i="1"/>
  <c r="Q2255" i="1"/>
  <c r="P2255" i="1"/>
  <c r="U2254" i="1"/>
  <c r="T2254" i="1"/>
  <c r="S2254" i="1"/>
  <c r="R2254" i="1"/>
  <c r="Q2254" i="1"/>
  <c r="P2254" i="1"/>
  <c r="U2253" i="1"/>
  <c r="T2253" i="1"/>
  <c r="S2253" i="1"/>
  <c r="R2253" i="1"/>
  <c r="Q2253" i="1"/>
  <c r="P2253" i="1"/>
  <c r="U2252" i="1"/>
  <c r="T2252" i="1"/>
  <c r="S2252" i="1"/>
  <c r="R2252" i="1"/>
  <c r="Q2252" i="1"/>
  <c r="P2252" i="1"/>
  <c r="U2251" i="1"/>
  <c r="T2251" i="1"/>
  <c r="S2251" i="1"/>
  <c r="R2251" i="1"/>
  <c r="Q2251" i="1"/>
  <c r="P2251" i="1"/>
  <c r="U2250" i="1"/>
  <c r="T2250" i="1"/>
  <c r="S2250" i="1"/>
  <c r="R2250" i="1"/>
  <c r="Q2250" i="1"/>
  <c r="P2250" i="1"/>
  <c r="U2249" i="1"/>
  <c r="T2249" i="1"/>
  <c r="S2249" i="1"/>
  <c r="R2249" i="1"/>
  <c r="Q2249" i="1"/>
  <c r="P2249" i="1"/>
  <c r="U2248" i="1"/>
  <c r="T2248" i="1"/>
  <c r="S2248" i="1"/>
  <c r="R2248" i="1"/>
  <c r="Q2248" i="1"/>
  <c r="P2248" i="1"/>
  <c r="U2247" i="1"/>
  <c r="T2247" i="1"/>
  <c r="S2247" i="1"/>
  <c r="R2247" i="1"/>
  <c r="Q2247" i="1"/>
  <c r="P2247" i="1"/>
  <c r="U2246" i="1"/>
  <c r="T2246" i="1"/>
  <c r="S2246" i="1"/>
  <c r="R2246" i="1"/>
  <c r="Q2246" i="1"/>
  <c r="P2246" i="1"/>
  <c r="U2245" i="1"/>
  <c r="T2245" i="1"/>
  <c r="S2245" i="1"/>
  <c r="R2245" i="1"/>
  <c r="Q2245" i="1"/>
  <c r="P2245" i="1"/>
  <c r="U2244" i="1"/>
  <c r="T2244" i="1"/>
  <c r="S2244" i="1"/>
  <c r="R2244" i="1"/>
  <c r="Q2244" i="1"/>
  <c r="P2244" i="1"/>
  <c r="U2243" i="1"/>
  <c r="T2243" i="1"/>
  <c r="S2243" i="1"/>
  <c r="R2243" i="1"/>
  <c r="Q2243" i="1"/>
  <c r="P2243" i="1"/>
  <c r="U2242" i="1"/>
  <c r="T2242" i="1"/>
  <c r="S2242" i="1"/>
  <c r="R2242" i="1"/>
  <c r="Q2242" i="1"/>
  <c r="P2242" i="1"/>
  <c r="U2241" i="1"/>
  <c r="T2241" i="1"/>
  <c r="S2241" i="1"/>
  <c r="R2241" i="1"/>
  <c r="Q2241" i="1"/>
  <c r="P2241" i="1"/>
  <c r="U2240" i="1"/>
  <c r="T2240" i="1"/>
  <c r="S2240" i="1"/>
  <c r="R2240" i="1"/>
  <c r="Q2240" i="1"/>
  <c r="P2240" i="1"/>
  <c r="U2239" i="1"/>
  <c r="T2239" i="1"/>
  <c r="S2239" i="1"/>
  <c r="R2239" i="1"/>
  <c r="Q2239" i="1"/>
  <c r="P2239" i="1"/>
  <c r="U2238" i="1"/>
  <c r="T2238" i="1"/>
  <c r="S2238" i="1"/>
  <c r="R2238" i="1"/>
  <c r="Q2238" i="1"/>
  <c r="P2238" i="1"/>
  <c r="U2237" i="1"/>
  <c r="T2237" i="1"/>
  <c r="S2237" i="1"/>
  <c r="R2237" i="1"/>
  <c r="Q2237" i="1"/>
  <c r="P2237" i="1"/>
  <c r="U2236" i="1"/>
  <c r="T2236" i="1"/>
  <c r="S2236" i="1"/>
  <c r="R2236" i="1"/>
  <c r="Q2236" i="1"/>
  <c r="P2236" i="1"/>
  <c r="U2235" i="1"/>
  <c r="T2235" i="1"/>
  <c r="S2235" i="1"/>
  <c r="R2235" i="1"/>
  <c r="Q2235" i="1"/>
  <c r="P2235" i="1"/>
  <c r="U2234" i="1"/>
  <c r="T2234" i="1"/>
  <c r="S2234" i="1"/>
  <c r="R2234" i="1"/>
  <c r="Q2234" i="1"/>
  <c r="P2234" i="1"/>
  <c r="U2233" i="1"/>
  <c r="T2233" i="1"/>
  <c r="S2233" i="1"/>
  <c r="R2233" i="1"/>
  <c r="Q2233" i="1"/>
  <c r="P2233" i="1"/>
  <c r="U2232" i="1"/>
  <c r="T2232" i="1"/>
  <c r="S2232" i="1"/>
  <c r="R2232" i="1"/>
  <c r="Q2232" i="1"/>
  <c r="P2232" i="1"/>
  <c r="U2231" i="1"/>
  <c r="T2231" i="1"/>
  <c r="S2231" i="1"/>
  <c r="R2231" i="1"/>
  <c r="Q2231" i="1"/>
  <c r="P2231" i="1"/>
  <c r="U2230" i="1"/>
  <c r="T2230" i="1"/>
  <c r="S2230" i="1"/>
  <c r="R2230" i="1"/>
  <c r="Q2230" i="1"/>
  <c r="P2230" i="1"/>
  <c r="U2229" i="1"/>
  <c r="T2229" i="1"/>
  <c r="S2229" i="1"/>
  <c r="R2229" i="1"/>
  <c r="Q2229" i="1"/>
  <c r="P2229" i="1"/>
  <c r="U2228" i="1"/>
  <c r="T2228" i="1"/>
  <c r="S2228" i="1"/>
  <c r="R2228" i="1"/>
  <c r="Q2228" i="1"/>
  <c r="P2228" i="1"/>
  <c r="U2227" i="1"/>
  <c r="T2227" i="1"/>
  <c r="S2227" i="1"/>
  <c r="R2227" i="1"/>
  <c r="Q2227" i="1"/>
  <c r="P2227" i="1"/>
  <c r="U2226" i="1"/>
  <c r="T2226" i="1"/>
  <c r="S2226" i="1"/>
  <c r="R2226" i="1"/>
  <c r="Q2226" i="1"/>
  <c r="P2226" i="1"/>
  <c r="U2225" i="1"/>
  <c r="T2225" i="1"/>
  <c r="S2225" i="1"/>
  <c r="R2225" i="1"/>
  <c r="Q2225" i="1"/>
  <c r="P2225" i="1"/>
  <c r="U2224" i="1"/>
  <c r="T2224" i="1"/>
  <c r="S2224" i="1"/>
  <c r="R2224" i="1"/>
  <c r="Q2224" i="1"/>
  <c r="P2224" i="1"/>
  <c r="U2223" i="1"/>
  <c r="T2223" i="1"/>
  <c r="S2223" i="1"/>
  <c r="R2223" i="1"/>
  <c r="Q2223" i="1"/>
  <c r="P2223" i="1"/>
  <c r="U2222" i="1"/>
  <c r="T2222" i="1"/>
  <c r="S2222" i="1"/>
  <c r="R2222" i="1"/>
  <c r="Q2222" i="1"/>
  <c r="P2222" i="1"/>
  <c r="U2221" i="1"/>
  <c r="T2221" i="1"/>
  <c r="S2221" i="1"/>
  <c r="R2221" i="1"/>
  <c r="Q2221" i="1"/>
  <c r="P2221" i="1"/>
  <c r="U2220" i="1"/>
  <c r="T2220" i="1"/>
  <c r="S2220" i="1"/>
  <c r="R2220" i="1"/>
  <c r="Q2220" i="1"/>
  <c r="P2220" i="1"/>
  <c r="U2219" i="1"/>
  <c r="T2219" i="1"/>
  <c r="S2219" i="1"/>
  <c r="R2219" i="1"/>
  <c r="Q2219" i="1"/>
  <c r="P2219" i="1"/>
  <c r="U2218" i="1"/>
  <c r="T2218" i="1"/>
  <c r="S2218" i="1"/>
  <c r="R2218" i="1"/>
  <c r="Q2218" i="1"/>
  <c r="P2218" i="1"/>
  <c r="U2217" i="1"/>
  <c r="T2217" i="1"/>
  <c r="S2217" i="1"/>
  <c r="R2217" i="1"/>
  <c r="Q2217" i="1"/>
  <c r="P2217" i="1"/>
  <c r="U2216" i="1"/>
  <c r="T2216" i="1"/>
  <c r="S2216" i="1"/>
  <c r="R2216" i="1"/>
  <c r="Q2216" i="1"/>
  <c r="P2216" i="1"/>
  <c r="U2215" i="1"/>
  <c r="T2215" i="1"/>
  <c r="S2215" i="1"/>
  <c r="R2215" i="1"/>
  <c r="Q2215" i="1"/>
  <c r="P2215" i="1"/>
  <c r="U2214" i="1"/>
  <c r="T2214" i="1"/>
  <c r="S2214" i="1"/>
  <c r="R2214" i="1"/>
  <c r="Q2214" i="1"/>
  <c r="P2214" i="1"/>
  <c r="U2213" i="1"/>
  <c r="T2213" i="1"/>
  <c r="S2213" i="1"/>
  <c r="R2213" i="1"/>
  <c r="Q2213" i="1"/>
  <c r="P2213" i="1"/>
  <c r="U2212" i="1"/>
  <c r="T2212" i="1"/>
  <c r="S2212" i="1"/>
  <c r="R2212" i="1"/>
  <c r="Q2212" i="1"/>
  <c r="P2212" i="1"/>
  <c r="U2211" i="1"/>
  <c r="T2211" i="1"/>
  <c r="S2211" i="1"/>
  <c r="R2211" i="1"/>
  <c r="Q2211" i="1"/>
  <c r="P2211" i="1"/>
  <c r="U2210" i="1"/>
  <c r="T2210" i="1"/>
  <c r="S2210" i="1"/>
  <c r="R2210" i="1"/>
  <c r="Q2210" i="1"/>
  <c r="P2210" i="1"/>
  <c r="U2209" i="1"/>
  <c r="T2209" i="1"/>
  <c r="S2209" i="1"/>
  <c r="R2209" i="1"/>
  <c r="Q2209" i="1"/>
  <c r="P2209" i="1"/>
  <c r="U2208" i="1"/>
  <c r="T2208" i="1"/>
  <c r="S2208" i="1"/>
  <c r="R2208" i="1"/>
  <c r="Q2208" i="1"/>
  <c r="P2208" i="1"/>
  <c r="U2207" i="1"/>
  <c r="T2207" i="1"/>
  <c r="S2207" i="1"/>
  <c r="R2207" i="1"/>
  <c r="Q2207" i="1"/>
  <c r="P2207" i="1"/>
  <c r="U2206" i="1"/>
  <c r="T2206" i="1"/>
  <c r="S2206" i="1"/>
  <c r="R2206" i="1"/>
  <c r="Q2206" i="1"/>
  <c r="P2206" i="1"/>
  <c r="U2205" i="1"/>
  <c r="T2205" i="1"/>
  <c r="S2205" i="1"/>
  <c r="R2205" i="1"/>
  <c r="Q2205" i="1"/>
  <c r="P2205" i="1"/>
  <c r="U2204" i="1"/>
  <c r="T2204" i="1"/>
  <c r="S2204" i="1"/>
  <c r="R2204" i="1"/>
  <c r="Q2204" i="1"/>
  <c r="P2204" i="1"/>
  <c r="U2203" i="1"/>
  <c r="T2203" i="1"/>
  <c r="S2203" i="1"/>
  <c r="R2203" i="1"/>
  <c r="Q2203" i="1"/>
  <c r="P2203" i="1"/>
  <c r="U2202" i="1"/>
  <c r="T2202" i="1"/>
  <c r="S2202" i="1"/>
  <c r="R2202" i="1"/>
  <c r="Q2202" i="1"/>
  <c r="P2202" i="1"/>
  <c r="U2201" i="1"/>
  <c r="T2201" i="1"/>
  <c r="S2201" i="1"/>
  <c r="R2201" i="1"/>
  <c r="Q2201" i="1"/>
  <c r="P2201" i="1"/>
  <c r="U2200" i="1"/>
  <c r="T2200" i="1"/>
  <c r="S2200" i="1"/>
  <c r="R2200" i="1"/>
  <c r="Q2200" i="1"/>
  <c r="P2200" i="1"/>
  <c r="U2199" i="1"/>
  <c r="T2199" i="1"/>
  <c r="S2199" i="1"/>
  <c r="R2199" i="1"/>
  <c r="Q2199" i="1"/>
  <c r="P2199" i="1"/>
  <c r="U2198" i="1"/>
  <c r="T2198" i="1"/>
  <c r="S2198" i="1"/>
  <c r="R2198" i="1"/>
  <c r="Q2198" i="1"/>
  <c r="P2198" i="1"/>
  <c r="U2197" i="1"/>
  <c r="T2197" i="1"/>
  <c r="S2197" i="1"/>
  <c r="R2197" i="1"/>
  <c r="Q2197" i="1"/>
  <c r="P2197" i="1"/>
  <c r="U2196" i="1"/>
  <c r="T2196" i="1"/>
  <c r="S2196" i="1"/>
  <c r="R2196" i="1"/>
  <c r="Q2196" i="1"/>
  <c r="P2196" i="1"/>
  <c r="U2195" i="1"/>
  <c r="T2195" i="1"/>
  <c r="S2195" i="1"/>
  <c r="R2195" i="1"/>
  <c r="Q2195" i="1"/>
  <c r="P2195" i="1"/>
  <c r="U2194" i="1"/>
  <c r="T2194" i="1"/>
  <c r="S2194" i="1"/>
  <c r="R2194" i="1"/>
  <c r="Q2194" i="1"/>
  <c r="P2194" i="1"/>
  <c r="U2193" i="1"/>
  <c r="T2193" i="1"/>
  <c r="S2193" i="1"/>
  <c r="R2193" i="1"/>
  <c r="Q2193" i="1"/>
  <c r="P2193" i="1"/>
  <c r="U2192" i="1"/>
  <c r="T2192" i="1"/>
  <c r="S2192" i="1"/>
  <c r="R2192" i="1"/>
  <c r="Q2192" i="1"/>
  <c r="P2192" i="1"/>
  <c r="U2191" i="1"/>
  <c r="T2191" i="1"/>
  <c r="S2191" i="1"/>
  <c r="R2191" i="1"/>
  <c r="Q2191" i="1"/>
  <c r="P2191" i="1"/>
  <c r="U2190" i="1"/>
  <c r="T2190" i="1"/>
  <c r="S2190" i="1"/>
  <c r="R2190" i="1"/>
  <c r="Q2190" i="1"/>
  <c r="P2190" i="1"/>
  <c r="U2189" i="1"/>
  <c r="T2189" i="1"/>
  <c r="S2189" i="1"/>
  <c r="R2189" i="1"/>
  <c r="Q2189" i="1"/>
  <c r="P2189" i="1"/>
  <c r="U2188" i="1"/>
  <c r="T2188" i="1"/>
  <c r="S2188" i="1"/>
  <c r="R2188" i="1"/>
  <c r="Q2188" i="1"/>
  <c r="P2188" i="1"/>
  <c r="U2187" i="1"/>
  <c r="T2187" i="1"/>
  <c r="S2187" i="1"/>
  <c r="R2187" i="1"/>
  <c r="Q2187" i="1"/>
  <c r="P2187" i="1"/>
  <c r="U2186" i="1"/>
  <c r="T2186" i="1"/>
  <c r="S2186" i="1"/>
  <c r="R2186" i="1"/>
  <c r="Q2186" i="1"/>
  <c r="P2186" i="1"/>
  <c r="U2185" i="1"/>
  <c r="T2185" i="1"/>
  <c r="S2185" i="1"/>
  <c r="R2185" i="1"/>
  <c r="Q2185" i="1"/>
  <c r="P2185" i="1"/>
  <c r="U2184" i="1"/>
  <c r="T2184" i="1"/>
  <c r="S2184" i="1"/>
  <c r="R2184" i="1"/>
  <c r="Q2184" i="1"/>
  <c r="P2184" i="1"/>
  <c r="U2183" i="1"/>
  <c r="T2183" i="1"/>
  <c r="S2183" i="1"/>
  <c r="R2183" i="1"/>
  <c r="Q2183" i="1"/>
  <c r="P2183" i="1"/>
  <c r="U2182" i="1"/>
  <c r="T2182" i="1"/>
  <c r="S2182" i="1"/>
  <c r="R2182" i="1"/>
  <c r="Q2182" i="1"/>
  <c r="P2182" i="1"/>
  <c r="U2181" i="1"/>
  <c r="T2181" i="1"/>
  <c r="S2181" i="1"/>
  <c r="R2181" i="1"/>
  <c r="Q2181" i="1"/>
  <c r="P2181" i="1"/>
  <c r="U2180" i="1"/>
  <c r="T2180" i="1"/>
  <c r="S2180" i="1"/>
  <c r="R2180" i="1"/>
  <c r="Q2180" i="1"/>
  <c r="P2180" i="1"/>
  <c r="U2179" i="1"/>
  <c r="T2179" i="1"/>
  <c r="S2179" i="1"/>
  <c r="R2179" i="1"/>
  <c r="Q2179" i="1"/>
  <c r="P2179" i="1"/>
  <c r="U2178" i="1"/>
  <c r="T2178" i="1"/>
  <c r="S2178" i="1"/>
  <c r="R2178" i="1"/>
  <c r="Q2178" i="1"/>
  <c r="P2178" i="1"/>
  <c r="U2177" i="1"/>
  <c r="T2177" i="1"/>
  <c r="S2177" i="1"/>
  <c r="R2177" i="1"/>
  <c r="Q2177" i="1"/>
  <c r="P2177" i="1"/>
  <c r="U2176" i="1"/>
  <c r="T2176" i="1"/>
  <c r="S2176" i="1"/>
  <c r="R2176" i="1"/>
  <c r="Q2176" i="1"/>
  <c r="P2176" i="1"/>
  <c r="U2175" i="1"/>
  <c r="T2175" i="1"/>
  <c r="S2175" i="1"/>
  <c r="R2175" i="1"/>
  <c r="Q2175" i="1"/>
  <c r="P2175" i="1"/>
  <c r="U2174" i="1"/>
  <c r="T2174" i="1"/>
  <c r="S2174" i="1"/>
  <c r="R2174" i="1"/>
  <c r="Q2174" i="1"/>
  <c r="P2174" i="1"/>
  <c r="U2173" i="1"/>
  <c r="T2173" i="1"/>
  <c r="S2173" i="1"/>
  <c r="R2173" i="1"/>
  <c r="Q2173" i="1"/>
  <c r="P2173" i="1"/>
  <c r="U2172" i="1"/>
  <c r="T2172" i="1"/>
  <c r="S2172" i="1"/>
  <c r="R2172" i="1"/>
  <c r="Q2172" i="1"/>
  <c r="P2172" i="1"/>
  <c r="U2171" i="1"/>
  <c r="T2171" i="1"/>
  <c r="S2171" i="1"/>
  <c r="R2171" i="1"/>
  <c r="Q2171" i="1"/>
  <c r="P2171" i="1"/>
  <c r="U2170" i="1"/>
  <c r="T2170" i="1"/>
  <c r="S2170" i="1"/>
  <c r="R2170" i="1"/>
  <c r="Q2170" i="1"/>
  <c r="P2170" i="1"/>
  <c r="U2169" i="1"/>
  <c r="T2169" i="1"/>
  <c r="S2169" i="1"/>
  <c r="R2169" i="1"/>
  <c r="Q2169" i="1"/>
  <c r="P2169" i="1"/>
  <c r="U2168" i="1"/>
  <c r="T2168" i="1"/>
  <c r="S2168" i="1"/>
  <c r="R2168" i="1"/>
  <c r="Q2168" i="1"/>
  <c r="P2168" i="1"/>
  <c r="U2167" i="1"/>
  <c r="T2167" i="1"/>
  <c r="S2167" i="1"/>
  <c r="R2167" i="1"/>
  <c r="Q2167" i="1"/>
  <c r="P2167" i="1"/>
  <c r="U2166" i="1"/>
  <c r="T2166" i="1"/>
  <c r="S2166" i="1"/>
  <c r="R2166" i="1"/>
  <c r="Q2166" i="1"/>
  <c r="P2166" i="1"/>
  <c r="U2165" i="1"/>
  <c r="T2165" i="1"/>
  <c r="S2165" i="1"/>
  <c r="R2165" i="1"/>
  <c r="Q2165" i="1"/>
  <c r="P2165" i="1"/>
  <c r="U2164" i="1"/>
  <c r="T2164" i="1"/>
  <c r="S2164" i="1"/>
  <c r="R2164" i="1"/>
  <c r="Q2164" i="1"/>
  <c r="P2164" i="1"/>
  <c r="U2163" i="1"/>
  <c r="T2163" i="1"/>
  <c r="S2163" i="1"/>
  <c r="R2163" i="1"/>
  <c r="Q2163" i="1"/>
  <c r="P2163" i="1"/>
  <c r="U2162" i="1"/>
  <c r="T2162" i="1"/>
  <c r="S2162" i="1"/>
  <c r="R2162" i="1"/>
  <c r="Q2162" i="1"/>
  <c r="P2162" i="1"/>
  <c r="U2161" i="1"/>
  <c r="T2161" i="1"/>
  <c r="S2161" i="1"/>
  <c r="R2161" i="1"/>
  <c r="Q2161" i="1"/>
  <c r="P2161" i="1"/>
  <c r="U2160" i="1"/>
  <c r="T2160" i="1"/>
  <c r="S2160" i="1"/>
  <c r="R2160" i="1"/>
  <c r="Q2160" i="1"/>
  <c r="P2160" i="1"/>
  <c r="U2159" i="1"/>
  <c r="T2159" i="1"/>
  <c r="S2159" i="1"/>
  <c r="R2159" i="1"/>
  <c r="Q2159" i="1"/>
  <c r="P2159" i="1"/>
  <c r="U2158" i="1"/>
  <c r="T2158" i="1"/>
  <c r="S2158" i="1"/>
  <c r="R2158" i="1"/>
  <c r="Q2158" i="1"/>
  <c r="P2158" i="1"/>
  <c r="U2157" i="1"/>
  <c r="T2157" i="1"/>
  <c r="S2157" i="1"/>
  <c r="R2157" i="1"/>
  <c r="Q2157" i="1"/>
  <c r="P2157" i="1"/>
  <c r="U2156" i="1"/>
  <c r="T2156" i="1"/>
  <c r="S2156" i="1"/>
  <c r="R2156" i="1"/>
  <c r="Q2156" i="1"/>
  <c r="P2156" i="1"/>
  <c r="U2155" i="1"/>
  <c r="T2155" i="1"/>
  <c r="S2155" i="1"/>
  <c r="R2155" i="1"/>
  <c r="Q2155" i="1"/>
  <c r="P2155" i="1"/>
  <c r="U2154" i="1"/>
  <c r="T2154" i="1"/>
  <c r="S2154" i="1"/>
  <c r="R2154" i="1"/>
  <c r="Q2154" i="1"/>
  <c r="P2154" i="1"/>
  <c r="U2153" i="1"/>
  <c r="T2153" i="1"/>
  <c r="S2153" i="1"/>
  <c r="R2153" i="1"/>
  <c r="Q2153" i="1"/>
  <c r="P2153" i="1"/>
  <c r="U2152" i="1"/>
  <c r="T2152" i="1"/>
  <c r="S2152" i="1"/>
  <c r="R2152" i="1"/>
  <c r="Q2152" i="1"/>
  <c r="P2152" i="1"/>
  <c r="U2151" i="1"/>
  <c r="T2151" i="1"/>
  <c r="S2151" i="1"/>
  <c r="R2151" i="1"/>
  <c r="Q2151" i="1"/>
  <c r="P2151" i="1"/>
  <c r="U2150" i="1"/>
  <c r="T2150" i="1"/>
  <c r="S2150" i="1"/>
  <c r="R2150" i="1"/>
  <c r="Q2150" i="1"/>
  <c r="P2150" i="1"/>
  <c r="U2149" i="1"/>
  <c r="T2149" i="1"/>
  <c r="S2149" i="1"/>
  <c r="R2149" i="1"/>
  <c r="Q2149" i="1"/>
  <c r="P2149" i="1"/>
  <c r="U2148" i="1"/>
  <c r="T2148" i="1"/>
  <c r="S2148" i="1"/>
  <c r="R2148" i="1"/>
  <c r="Q2148" i="1"/>
  <c r="P2148" i="1"/>
  <c r="U2147" i="1"/>
  <c r="T2147" i="1"/>
  <c r="S2147" i="1"/>
  <c r="R2147" i="1"/>
  <c r="Q2147" i="1"/>
  <c r="P2147" i="1"/>
  <c r="U2146" i="1"/>
  <c r="T2146" i="1"/>
  <c r="S2146" i="1"/>
  <c r="R2146" i="1"/>
  <c r="Q2146" i="1"/>
  <c r="P2146" i="1"/>
  <c r="U2145" i="1"/>
  <c r="T2145" i="1"/>
  <c r="S2145" i="1"/>
  <c r="R2145" i="1"/>
  <c r="Q2145" i="1"/>
  <c r="P2145" i="1"/>
  <c r="U2144" i="1"/>
  <c r="T2144" i="1"/>
  <c r="S2144" i="1"/>
  <c r="R2144" i="1"/>
  <c r="Q2144" i="1"/>
  <c r="P2144" i="1"/>
  <c r="U2143" i="1"/>
  <c r="T2143" i="1"/>
  <c r="S2143" i="1"/>
  <c r="R2143" i="1"/>
  <c r="Q2143" i="1"/>
  <c r="P2143" i="1"/>
  <c r="U2142" i="1"/>
  <c r="T2142" i="1"/>
  <c r="S2142" i="1"/>
  <c r="R2142" i="1"/>
  <c r="Q2142" i="1"/>
  <c r="P2142" i="1"/>
  <c r="U2141" i="1"/>
  <c r="T2141" i="1"/>
  <c r="S2141" i="1"/>
  <c r="R2141" i="1"/>
  <c r="Q2141" i="1"/>
  <c r="P2141" i="1"/>
  <c r="U2140" i="1"/>
  <c r="T2140" i="1"/>
  <c r="S2140" i="1"/>
  <c r="R2140" i="1"/>
  <c r="Q2140" i="1"/>
  <c r="P2140" i="1"/>
  <c r="U2139" i="1"/>
  <c r="T2139" i="1"/>
  <c r="S2139" i="1"/>
  <c r="R2139" i="1"/>
  <c r="Q2139" i="1"/>
  <c r="P2139" i="1"/>
  <c r="U2138" i="1"/>
  <c r="T2138" i="1"/>
  <c r="S2138" i="1"/>
  <c r="R2138" i="1"/>
  <c r="Q2138" i="1"/>
  <c r="P2138" i="1"/>
  <c r="U2137" i="1"/>
  <c r="T2137" i="1"/>
  <c r="S2137" i="1"/>
  <c r="R2137" i="1"/>
  <c r="Q2137" i="1"/>
  <c r="P2137" i="1"/>
  <c r="U2136" i="1"/>
  <c r="T2136" i="1"/>
  <c r="S2136" i="1"/>
  <c r="R2136" i="1"/>
  <c r="Q2136" i="1"/>
  <c r="P2136" i="1"/>
  <c r="U2135" i="1"/>
  <c r="T2135" i="1"/>
  <c r="S2135" i="1"/>
  <c r="R2135" i="1"/>
  <c r="Q2135" i="1"/>
  <c r="P2135" i="1"/>
  <c r="U2134" i="1"/>
  <c r="T2134" i="1"/>
  <c r="S2134" i="1"/>
  <c r="R2134" i="1"/>
  <c r="Q2134" i="1"/>
  <c r="P2134" i="1"/>
  <c r="U2133" i="1"/>
  <c r="T2133" i="1"/>
  <c r="S2133" i="1"/>
  <c r="R2133" i="1"/>
  <c r="Q2133" i="1"/>
  <c r="P2133" i="1"/>
  <c r="U2132" i="1"/>
  <c r="T2132" i="1"/>
  <c r="S2132" i="1"/>
  <c r="R2132" i="1"/>
  <c r="Q2132" i="1"/>
  <c r="P2132" i="1"/>
  <c r="U2131" i="1"/>
  <c r="T2131" i="1"/>
  <c r="S2131" i="1"/>
  <c r="R2131" i="1"/>
  <c r="Q2131" i="1"/>
  <c r="P2131" i="1"/>
  <c r="U2130" i="1"/>
  <c r="T2130" i="1"/>
  <c r="S2130" i="1"/>
  <c r="R2130" i="1"/>
  <c r="Q2130" i="1"/>
  <c r="P2130" i="1"/>
  <c r="U2129" i="1"/>
  <c r="T2129" i="1"/>
  <c r="S2129" i="1"/>
  <c r="R2129" i="1"/>
  <c r="Q2129" i="1"/>
  <c r="P2129" i="1"/>
  <c r="U2128" i="1"/>
  <c r="T2128" i="1"/>
  <c r="S2128" i="1"/>
  <c r="R2128" i="1"/>
  <c r="Q2128" i="1"/>
  <c r="P2128" i="1"/>
  <c r="U2127" i="1"/>
  <c r="T2127" i="1"/>
  <c r="S2127" i="1"/>
  <c r="R2127" i="1"/>
  <c r="Q2127" i="1"/>
  <c r="P2127" i="1"/>
  <c r="U2126" i="1"/>
  <c r="T2126" i="1"/>
  <c r="S2126" i="1"/>
  <c r="R2126" i="1"/>
  <c r="Q2126" i="1"/>
  <c r="P2126" i="1"/>
  <c r="U2125" i="1"/>
  <c r="T2125" i="1"/>
  <c r="S2125" i="1"/>
  <c r="R2125" i="1"/>
  <c r="Q2125" i="1"/>
  <c r="P2125" i="1"/>
  <c r="U2124" i="1"/>
  <c r="T2124" i="1"/>
  <c r="S2124" i="1"/>
  <c r="R2124" i="1"/>
  <c r="Q2124" i="1"/>
  <c r="P2124" i="1"/>
  <c r="U2123" i="1"/>
  <c r="T2123" i="1"/>
  <c r="S2123" i="1"/>
  <c r="R2123" i="1"/>
  <c r="Q2123" i="1"/>
  <c r="P2123" i="1"/>
  <c r="U2122" i="1"/>
  <c r="T2122" i="1"/>
  <c r="S2122" i="1"/>
  <c r="R2122" i="1"/>
  <c r="Q2122" i="1"/>
  <c r="P2122" i="1"/>
  <c r="U2121" i="1"/>
  <c r="T2121" i="1"/>
  <c r="S2121" i="1"/>
  <c r="R2121" i="1"/>
  <c r="Q2121" i="1"/>
  <c r="P2121" i="1"/>
  <c r="U2120" i="1"/>
  <c r="T2120" i="1"/>
  <c r="S2120" i="1"/>
  <c r="R2120" i="1"/>
  <c r="Q2120" i="1"/>
  <c r="P2120" i="1"/>
  <c r="U2119" i="1"/>
  <c r="T2119" i="1"/>
  <c r="S2119" i="1"/>
  <c r="R2119" i="1"/>
  <c r="Q2119" i="1"/>
  <c r="P2119" i="1"/>
  <c r="U2118" i="1"/>
  <c r="T2118" i="1"/>
  <c r="S2118" i="1"/>
  <c r="R2118" i="1"/>
  <c r="Q2118" i="1"/>
  <c r="P2118" i="1"/>
  <c r="U2117" i="1"/>
  <c r="T2117" i="1"/>
  <c r="S2117" i="1"/>
  <c r="R2117" i="1"/>
  <c r="Q2117" i="1"/>
  <c r="P2117" i="1"/>
  <c r="U2116" i="1"/>
  <c r="T2116" i="1"/>
  <c r="S2116" i="1"/>
  <c r="R2116" i="1"/>
  <c r="Q2116" i="1"/>
  <c r="P2116" i="1"/>
  <c r="U2115" i="1"/>
  <c r="T2115" i="1"/>
  <c r="S2115" i="1"/>
  <c r="R2115" i="1"/>
  <c r="Q2115" i="1"/>
  <c r="P2115" i="1"/>
  <c r="U2114" i="1"/>
  <c r="T2114" i="1"/>
  <c r="S2114" i="1"/>
  <c r="R2114" i="1"/>
  <c r="Q2114" i="1"/>
  <c r="P2114" i="1"/>
  <c r="U2113" i="1"/>
  <c r="T2113" i="1"/>
  <c r="S2113" i="1"/>
  <c r="R2113" i="1"/>
  <c r="Q2113" i="1"/>
  <c r="P2113" i="1"/>
  <c r="U2112" i="1"/>
  <c r="T2112" i="1"/>
  <c r="S2112" i="1"/>
  <c r="R2112" i="1"/>
  <c r="Q2112" i="1"/>
  <c r="P2112" i="1"/>
  <c r="U2111" i="1"/>
  <c r="T2111" i="1"/>
  <c r="S2111" i="1"/>
  <c r="R2111" i="1"/>
  <c r="Q2111" i="1"/>
  <c r="P2111" i="1"/>
  <c r="U2110" i="1"/>
  <c r="T2110" i="1"/>
  <c r="S2110" i="1"/>
  <c r="R2110" i="1"/>
  <c r="Q2110" i="1"/>
  <c r="P2110" i="1"/>
  <c r="U2109" i="1"/>
  <c r="T2109" i="1"/>
  <c r="S2109" i="1"/>
  <c r="R2109" i="1"/>
  <c r="Q2109" i="1"/>
  <c r="P2109" i="1"/>
  <c r="U2108" i="1"/>
  <c r="T2108" i="1"/>
  <c r="S2108" i="1"/>
  <c r="R2108" i="1"/>
  <c r="Q2108" i="1"/>
  <c r="P2108" i="1"/>
  <c r="U2107" i="1"/>
  <c r="T2107" i="1"/>
  <c r="S2107" i="1"/>
  <c r="R2107" i="1"/>
  <c r="Q2107" i="1"/>
  <c r="P2107" i="1"/>
  <c r="U2106" i="1"/>
  <c r="T2106" i="1"/>
  <c r="S2106" i="1"/>
  <c r="R2106" i="1"/>
  <c r="Q2106" i="1"/>
  <c r="P2106" i="1"/>
  <c r="U2105" i="1"/>
  <c r="T2105" i="1"/>
  <c r="S2105" i="1"/>
  <c r="R2105" i="1"/>
  <c r="Q2105" i="1"/>
  <c r="P2105" i="1"/>
  <c r="U2104" i="1"/>
  <c r="T2104" i="1"/>
  <c r="S2104" i="1"/>
  <c r="R2104" i="1"/>
  <c r="Q2104" i="1"/>
  <c r="P2104" i="1"/>
  <c r="U2103" i="1"/>
  <c r="T2103" i="1"/>
  <c r="S2103" i="1"/>
  <c r="R2103" i="1"/>
  <c r="Q2103" i="1"/>
  <c r="P2103" i="1"/>
  <c r="U2102" i="1"/>
  <c r="T2102" i="1"/>
  <c r="S2102" i="1"/>
  <c r="R2102" i="1"/>
  <c r="Q2102" i="1"/>
  <c r="P2102" i="1"/>
  <c r="U2101" i="1"/>
  <c r="T2101" i="1"/>
  <c r="S2101" i="1"/>
  <c r="R2101" i="1"/>
  <c r="Q2101" i="1"/>
  <c r="P2101" i="1"/>
  <c r="U2100" i="1"/>
  <c r="T2100" i="1"/>
  <c r="S2100" i="1"/>
  <c r="R2100" i="1"/>
  <c r="Q2100" i="1"/>
  <c r="P2100" i="1"/>
  <c r="U2099" i="1"/>
  <c r="T2099" i="1"/>
  <c r="S2099" i="1"/>
  <c r="R2099" i="1"/>
  <c r="Q2099" i="1"/>
  <c r="P2099" i="1"/>
  <c r="U2098" i="1"/>
  <c r="T2098" i="1"/>
  <c r="S2098" i="1"/>
  <c r="R2098" i="1"/>
  <c r="Q2098" i="1"/>
  <c r="P2098" i="1"/>
  <c r="U2097" i="1"/>
  <c r="T2097" i="1"/>
  <c r="S2097" i="1"/>
  <c r="R2097" i="1"/>
  <c r="Q2097" i="1"/>
  <c r="P2097" i="1"/>
  <c r="U2096" i="1"/>
  <c r="T2096" i="1"/>
  <c r="S2096" i="1"/>
  <c r="R2096" i="1"/>
  <c r="Q2096" i="1"/>
  <c r="P2096" i="1"/>
  <c r="U2095" i="1"/>
  <c r="T2095" i="1"/>
  <c r="S2095" i="1"/>
  <c r="R2095" i="1"/>
  <c r="Q2095" i="1"/>
  <c r="P2095" i="1"/>
  <c r="U2094" i="1"/>
  <c r="T2094" i="1"/>
  <c r="S2094" i="1"/>
  <c r="R2094" i="1"/>
  <c r="Q2094" i="1"/>
  <c r="P2094" i="1"/>
  <c r="U2093" i="1"/>
  <c r="T2093" i="1"/>
  <c r="S2093" i="1"/>
  <c r="R2093" i="1"/>
  <c r="Q2093" i="1"/>
  <c r="P2093" i="1"/>
  <c r="U2092" i="1"/>
  <c r="T2092" i="1"/>
  <c r="S2092" i="1"/>
  <c r="R2092" i="1"/>
  <c r="Q2092" i="1"/>
  <c r="P2092" i="1"/>
  <c r="U2091" i="1"/>
  <c r="T2091" i="1"/>
  <c r="S2091" i="1"/>
  <c r="R2091" i="1"/>
  <c r="Q2091" i="1"/>
  <c r="P2091" i="1"/>
  <c r="U2090" i="1"/>
  <c r="T2090" i="1"/>
  <c r="S2090" i="1"/>
  <c r="R2090" i="1"/>
  <c r="Q2090" i="1"/>
  <c r="P2090" i="1"/>
  <c r="U2089" i="1"/>
  <c r="T2089" i="1"/>
  <c r="S2089" i="1"/>
  <c r="R2089" i="1"/>
  <c r="Q2089" i="1"/>
  <c r="P2089" i="1"/>
  <c r="U2088" i="1"/>
  <c r="T2088" i="1"/>
  <c r="S2088" i="1"/>
  <c r="R2088" i="1"/>
  <c r="Q2088" i="1"/>
  <c r="P2088" i="1"/>
  <c r="U2087" i="1"/>
  <c r="T2087" i="1"/>
  <c r="S2087" i="1"/>
  <c r="R2087" i="1"/>
  <c r="Q2087" i="1"/>
  <c r="P2087" i="1"/>
  <c r="U2086" i="1"/>
  <c r="T2086" i="1"/>
  <c r="S2086" i="1"/>
  <c r="R2086" i="1"/>
  <c r="Q2086" i="1"/>
  <c r="P2086" i="1"/>
  <c r="U2085" i="1"/>
  <c r="T2085" i="1"/>
  <c r="S2085" i="1"/>
  <c r="R2085" i="1"/>
  <c r="Q2085" i="1"/>
  <c r="P2085" i="1"/>
  <c r="U2084" i="1"/>
  <c r="T2084" i="1"/>
  <c r="S2084" i="1"/>
  <c r="R2084" i="1"/>
  <c r="Q2084" i="1"/>
  <c r="P2084" i="1"/>
  <c r="U2083" i="1"/>
  <c r="T2083" i="1"/>
  <c r="S2083" i="1"/>
  <c r="R2083" i="1"/>
  <c r="Q2083" i="1"/>
  <c r="P2083" i="1"/>
  <c r="U2082" i="1"/>
  <c r="T2082" i="1"/>
  <c r="S2082" i="1"/>
  <c r="R2082" i="1"/>
  <c r="Q2082" i="1"/>
  <c r="P2082" i="1"/>
  <c r="U2081" i="1"/>
  <c r="T2081" i="1"/>
  <c r="S2081" i="1"/>
  <c r="R2081" i="1"/>
  <c r="Q2081" i="1"/>
  <c r="P2081" i="1"/>
  <c r="U2080" i="1"/>
  <c r="T2080" i="1"/>
  <c r="S2080" i="1"/>
  <c r="R2080" i="1"/>
  <c r="Q2080" i="1"/>
  <c r="P2080" i="1"/>
  <c r="U2079" i="1"/>
  <c r="T2079" i="1"/>
  <c r="S2079" i="1"/>
  <c r="R2079" i="1"/>
  <c r="Q2079" i="1"/>
  <c r="P2079" i="1"/>
  <c r="U2078" i="1"/>
  <c r="T2078" i="1"/>
  <c r="S2078" i="1"/>
  <c r="R2078" i="1"/>
  <c r="Q2078" i="1"/>
  <c r="P2078" i="1"/>
  <c r="U2077" i="1"/>
  <c r="T2077" i="1"/>
  <c r="S2077" i="1"/>
  <c r="R2077" i="1"/>
  <c r="Q2077" i="1"/>
  <c r="P2077" i="1"/>
  <c r="U2076" i="1"/>
  <c r="T2076" i="1"/>
  <c r="S2076" i="1"/>
  <c r="R2076" i="1"/>
  <c r="Q2076" i="1"/>
  <c r="P2076" i="1"/>
  <c r="U2075" i="1"/>
  <c r="T2075" i="1"/>
  <c r="S2075" i="1"/>
  <c r="R2075" i="1"/>
  <c r="Q2075" i="1"/>
  <c r="P2075" i="1"/>
  <c r="U2074" i="1"/>
  <c r="T2074" i="1"/>
  <c r="S2074" i="1"/>
  <c r="R2074" i="1"/>
  <c r="Q2074" i="1"/>
  <c r="P2074" i="1"/>
  <c r="U2073" i="1"/>
  <c r="T2073" i="1"/>
  <c r="S2073" i="1"/>
  <c r="R2073" i="1"/>
  <c r="Q2073" i="1"/>
  <c r="P2073" i="1"/>
  <c r="U2072" i="1"/>
  <c r="T2072" i="1"/>
  <c r="S2072" i="1"/>
  <c r="R2072" i="1"/>
  <c r="Q2072" i="1"/>
  <c r="P2072" i="1"/>
  <c r="U2071" i="1"/>
  <c r="T2071" i="1"/>
  <c r="S2071" i="1"/>
  <c r="R2071" i="1"/>
  <c r="Q2071" i="1"/>
  <c r="P2071" i="1"/>
  <c r="U2070" i="1"/>
  <c r="T2070" i="1"/>
  <c r="S2070" i="1"/>
  <c r="R2070" i="1"/>
  <c r="Q2070" i="1"/>
  <c r="P2070" i="1"/>
  <c r="U2069" i="1"/>
  <c r="T2069" i="1"/>
  <c r="S2069" i="1"/>
  <c r="R2069" i="1"/>
  <c r="Q2069" i="1"/>
  <c r="P2069" i="1"/>
  <c r="U2068" i="1"/>
  <c r="T2068" i="1"/>
  <c r="S2068" i="1"/>
  <c r="R2068" i="1"/>
  <c r="Q2068" i="1"/>
  <c r="P2068" i="1"/>
  <c r="U2067" i="1"/>
  <c r="T2067" i="1"/>
  <c r="S2067" i="1"/>
  <c r="R2067" i="1"/>
  <c r="Q2067" i="1"/>
  <c r="P2067" i="1"/>
  <c r="U2066" i="1"/>
  <c r="T2066" i="1"/>
  <c r="S2066" i="1"/>
  <c r="R2066" i="1"/>
  <c r="Q2066" i="1"/>
  <c r="P2066" i="1"/>
  <c r="U2065" i="1"/>
  <c r="T2065" i="1"/>
  <c r="S2065" i="1"/>
  <c r="R2065" i="1"/>
  <c r="Q2065" i="1"/>
  <c r="P2065" i="1"/>
  <c r="U2064" i="1"/>
  <c r="T2064" i="1"/>
  <c r="S2064" i="1"/>
  <c r="R2064" i="1"/>
  <c r="Q2064" i="1"/>
  <c r="P2064" i="1"/>
  <c r="U2063" i="1"/>
  <c r="T2063" i="1"/>
  <c r="S2063" i="1"/>
  <c r="R2063" i="1"/>
  <c r="Q2063" i="1"/>
  <c r="P2063" i="1"/>
  <c r="U2062" i="1"/>
  <c r="T2062" i="1"/>
  <c r="S2062" i="1"/>
  <c r="R2062" i="1"/>
  <c r="Q2062" i="1"/>
  <c r="P2062" i="1"/>
  <c r="U2061" i="1"/>
  <c r="T2061" i="1"/>
  <c r="S2061" i="1"/>
  <c r="R2061" i="1"/>
  <c r="Q2061" i="1"/>
  <c r="P2061" i="1"/>
  <c r="U2060" i="1"/>
  <c r="T2060" i="1"/>
  <c r="S2060" i="1"/>
  <c r="R2060" i="1"/>
  <c r="Q2060" i="1"/>
  <c r="P2060" i="1"/>
  <c r="U2059" i="1"/>
  <c r="T2059" i="1"/>
  <c r="S2059" i="1"/>
  <c r="R2059" i="1"/>
  <c r="Q2059" i="1"/>
  <c r="P2059" i="1"/>
  <c r="U2058" i="1"/>
  <c r="T2058" i="1"/>
  <c r="S2058" i="1"/>
  <c r="R2058" i="1"/>
  <c r="Q2058" i="1"/>
  <c r="P2058" i="1"/>
  <c r="U2057" i="1"/>
  <c r="T2057" i="1"/>
  <c r="S2057" i="1"/>
  <c r="R2057" i="1"/>
  <c r="Q2057" i="1"/>
  <c r="P2057" i="1"/>
  <c r="U2056" i="1"/>
  <c r="T2056" i="1"/>
  <c r="S2056" i="1"/>
  <c r="R2056" i="1"/>
  <c r="Q2056" i="1"/>
  <c r="P2056" i="1"/>
  <c r="U2055" i="1"/>
  <c r="T2055" i="1"/>
  <c r="S2055" i="1"/>
  <c r="R2055" i="1"/>
  <c r="Q2055" i="1"/>
  <c r="P2055" i="1"/>
  <c r="U2054" i="1"/>
  <c r="T2054" i="1"/>
  <c r="S2054" i="1"/>
  <c r="R2054" i="1"/>
  <c r="Q2054" i="1"/>
  <c r="P2054" i="1"/>
  <c r="U2053" i="1"/>
  <c r="T2053" i="1"/>
  <c r="S2053" i="1"/>
  <c r="R2053" i="1"/>
  <c r="Q2053" i="1"/>
  <c r="P2053" i="1"/>
  <c r="U2052" i="1"/>
  <c r="T2052" i="1"/>
  <c r="S2052" i="1"/>
  <c r="R2052" i="1"/>
  <c r="Q2052" i="1"/>
  <c r="P2052" i="1"/>
  <c r="U2051" i="1"/>
  <c r="T2051" i="1"/>
  <c r="S2051" i="1"/>
  <c r="R2051" i="1"/>
  <c r="Q2051" i="1"/>
  <c r="P2051" i="1"/>
  <c r="U2050" i="1"/>
  <c r="T2050" i="1"/>
  <c r="S2050" i="1"/>
  <c r="R2050" i="1"/>
  <c r="Q2050" i="1"/>
  <c r="P2050" i="1"/>
  <c r="U2049" i="1"/>
  <c r="T2049" i="1"/>
  <c r="S2049" i="1"/>
  <c r="R2049" i="1"/>
  <c r="Q2049" i="1"/>
  <c r="P2049" i="1"/>
  <c r="U2048" i="1"/>
  <c r="T2048" i="1"/>
  <c r="S2048" i="1"/>
  <c r="R2048" i="1"/>
  <c r="Q2048" i="1"/>
  <c r="P2048" i="1"/>
  <c r="U2047" i="1"/>
  <c r="T2047" i="1"/>
  <c r="S2047" i="1"/>
  <c r="R2047" i="1"/>
  <c r="Q2047" i="1"/>
  <c r="P2047" i="1"/>
  <c r="U2046" i="1"/>
  <c r="T2046" i="1"/>
  <c r="S2046" i="1"/>
  <c r="R2046" i="1"/>
  <c r="Q2046" i="1"/>
  <c r="P2046" i="1"/>
  <c r="U2045" i="1"/>
  <c r="T2045" i="1"/>
  <c r="S2045" i="1"/>
  <c r="R2045" i="1"/>
  <c r="Q2045" i="1"/>
  <c r="P2045" i="1"/>
  <c r="U2044" i="1"/>
  <c r="T2044" i="1"/>
  <c r="S2044" i="1"/>
  <c r="R2044" i="1"/>
  <c r="Q2044" i="1"/>
  <c r="P2044" i="1"/>
  <c r="U2043" i="1"/>
  <c r="T2043" i="1"/>
  <c r="S2043" i="1"/>
  <c r="R2043" i="1"/>
  <c r="Q2043" i="1"/>
  <c r="P2043" i="1"/>
  <c r="U2042" i="1"/>
  <c r="T2042" i="1"/>
  <c r="S2042" i="1"/>
  <c r="R2042" i="1"/>
  <c r="Q2042" i="1"/>
  <c r="P2042" i="1"/>
  <c r="U2041" i="1"/>
  <c r="T2041" i="1"/>
  <c r="S2041" i="1"/>
  <c r="R2041" i="1"/>
  <c r="Q2041" i="1"/>
  <c r="P2041" i="1"/>
  <c r="U2040" i="1"/>
  <c r="T2040" i="1"/>
  <c r="S2040" i="1"/>
  <c r="R2040" i="1"/>
  <c r="Q2040" i="1"/>
  <c r="P2040" i="1"/>
  <c r="U2039" i="1"/>
  <c r="T2039" i="1"/>
  <c r="S2039" i="1"/>
  <c r="R2039" i="1"/>
  <c r="Q2039" i="1"/>
  <c r="P2039" i="1"/>
  <c r="U2038" i="1"/>
  <c r="T2038" i="1"/>
  <c r="S2038" i="1"/>
  <c r="R2038" i="1"/>
  <c r="Q2038" i="1"/>
  <c r="P2038" i="1"/>
  <c r="U2037" i="1"/>
  <c r="T2037" i="1"/>
  <c r="S2037" i="1"/>
  <c r="R2037" i="1"/>
  <c r="Q2037" i="1"/>
  <c r="P2037" i="1"/>
  <c r="U2036" i="1"/>
  <c r="T2036" i="1"/>
  <c r="S2036" i="1"/>
  <c r="R2036" i="1"/>
  <c r="Q2036" i="1"/>
  <c r="P2036" i="1"/>
  <c r="U2035" i="1"/>
  <c r="T2035" i="1"/>
  <c r="S2035" i="1"/>
  <c r="R2035" i="1"/>
  <c r="Q2035" i="1"/>
  <c r="P2035" i="1"/>
  <c r="U2034" i="1"/>
  <c r="T2034" i="1"/>
  <c r="S2034" i="1"/>
  <c r="R2034" i="1"/>
  <c r="Q2034" i="1"/>
  <c r="P2034" i="1"/>
  <c r="U2033" i="1"/>
  <c r="T2033" i="1"/>
  <c r="S2033" i="1"/>
  <c r="R2033" i="1"/>
  <c r="Q2033" i="1"/>
  <c r="P2033" i="1"/>
  <c r="U2032" i="1"/>
  <c r="T2032" i="1"/>
  <c r="S2032" i="1"/>
  <c r="R2032" i="1"/>
  <c r="Q2032" i="1"/>
  <c r="P2032" i="1"/>
  <c r="U2031" i="1"/>
  <c r="T2031" i="1"/>
  <c r="S2031" i="1"/>
  <c r="R2031" i="1"/>
  <c r="Q2031" i="1"/>
  <c r="P2031" i="1"/>
  <c r="U2030" i="1"/>
  <c r="T2030" i="1"/>
  <c r="S2030" i="1"/>
  <c r="R2030" i="1"/>
  <c r="Q2030" i="1"/>
  <c r="P2030" i="1"/>
  <c r="U2029" i="1"/>
  <c r="T2029" i="1"/>
  <c r="S2029" i="1"/>
  <c r="R2029" i="1"/>
  <c r="Q2029" i="1"/>
  <c r="P2029" i="1"/>
  <c r="U2028" i="1"/>
  <c r="T2028" i="1"/>
  <c r="S2028" i="1"/>
  <c r="R2028" i="1"/>
  <c r="Q2028" i="1"/>
  <c r="P2028" i="1"/>
  <c r="U2027" i="1"/>
  <c r="T2027" i="1"/>
  <c r="S2027" i="1"/>
  <c r="R2027" i="1"/>
  <c r="Q2027" i="1"/>
  <c r="P2027" i="1"/>
  <c r="U2026" i="1"/>
  <c r="T2026" i="1"/>
  <c r="S2026" i="1"/>
  <c r="R2026" i="1"/>
  <c r="Q2026" i="1"/>
  <c r="P2026" i="1"/>
  <c r="U2025" i="1"/>
  <c r="T2025" i="1"/>
  <c r="S2025" i="1"/>
  <c r="R2025" i="1"/>
  <c r="Q2025" i="1"/>
  <c r="P2025" i="1"/>
  <c r="U2024" i="1"/>
  <c r="T2024" i="1"/>
  <c r="S2024" i="1"/>
  <c r="R2024" i="1"/>
  <c r="Q2024" i="1"/>
  <c r="P2024" i="1"/>
  <c r="U2023" i="1"/>
  <c r="T2023" i="1"/>
  <c r="S2023" i="1"/>
  <c r="R2023" i="1"/>
  <c r="Q2023" i="1"/>
  <c r="P2023" i="1"/>
  <c r="U2022" i="1"/>
  <c r="T2022" i="1"/>
  <c r="S2022" i="1"/>
  <c r="R2022" i="1"/>
  <c r="Q2022" i="1"/>
  <c r="P2022" i="1"/>
  <c r="U2021" i="1"/>
  <c r="T2021" i="1"/>
  <c r="S2021" i="1"/>
  <c r="R2021" i="1"/>
  <c r="Q2021" i="1"/>
  <c r="P2021" i="1"/>
  <c r="U2020" i="1"/>
  <c r="T2020" i="1"/>
  <c r="S2020" i="1"/>
  <c r="R2020" i="1"/>
  <c r="Q2020" i="1"/>
  <c r="P2020" i="1"/>
  <c r="U2019" i="1"/>
  <c r="T2019" i="1"/>
  <c r="S2019" i="1"/>
  <c r="R2019" i="1"/>
  <c r="Q2019" i="1"/>
  <c r="P2019" i="1"/>
  <c r="U2018" i="1"/>
  <c r="T2018" i="1"/>
  <c r="S2018" i="1"/>
  <c r="R2018" i="1"/>
  <c r="Q2018" i="1"/>
  <c r="P2018" i="1"/>
  <c r="U2017" i="1"/>
  <c r="T2017" i="1"/>
  <c r="S2017" i="1"/>
  <c r="R2017" i="1"/>
  <c r="Q2017" i="1"/>
  <c r="P2017" i="1"/>
  <c r="U2016" i="1"/>
  <c r="T2016" i="1"/>
  <c r="S2016" i="1"/>
  <c r="R2016" i="1"/>
  <c r="Q2016" i="1"/>
  <c r="P2016" i="1"/>
  <c r="U2015" i="1"/>
  <c r="T2015" i="1"/>
  <c r="S2015" i="1"/>
  <c r="R2015" i="1"/>
  <c r="Q2015" i="1"/>
  <c r="P2015" i="1"/>
  <c r="U2014" i="1"/>
  <c r="T2014" i="1"/>
  <c r="S2014" i="1"/>
  <c r="R2014" i="1"/>
  <c r="Q2014" i="1"/>
  <c r="P2014" i="1"/>
  <c r="U2013" i="1"/>
  <c r="T2013" i="1"/>
  <c r="S2013" i="1"/>
  <c r="R2013" i="1"/>
  <c r="Q2013" i="1"/>
  <c r="P2013" i="1"/>
  <c r="U2012" i="1"/>
  <c r="T2012" i="1"/>
  <c r="S2012" i="1"/>
  <c r="R2012" i="1"/>
  <c r="Q2012" i="1"/>
  <c r="P2012" i="1"/>
  <c r="U2011" i="1"/>
  <c r="T2011" i="1"/>
  <c r="S2011" i="1"/>
  <c r="R2011" i="1"/>
  <c r="Q2011" i="1"/>
  <c r="P2011" i="1"/>
  <c r="U2010" i="1"/>
  <c r="T2010" i="1"/>
  <c r="S2010" i="1"/>
  <c r="R2010" i="1"/>
  <c r="Q2010" i="1"/>
  <c r="P2010" i="1"/>
  <c r="U2009" i="1"/>
  <c r="T2009" i="1"/>
  <c r="S2009" i="1"/>
  <c r="R2009" i="1"/>
  <c r="Q2009" i="1"/>
  <c r="P2009" i="1"/>
  <c r="U2008" i="1"/>
  <c r="T2008" i="1"/>
  <c r="S2008" i="1"/>
  <c r="R2008" i="1"/>
  <c r="Q2008" i="1"/>
  <c r="P2008" i="1"/>
  <c r="U2007" i="1"/>
  <c r="T2007" i="1"/>
  <c r="S2007" i="1"/>
  <c r="R2007" i="1"/>
  <c r="Q2007" i="1"/>
  <c r="P2007" i="1"/>
  <c r="U2006" i="1"/>
  <c r="T2006" i="1"/>
  <c r="S2006" i="1"/>
  <c r="R2006" i="1"/>
  <c r="Q2006" i="1"/>
  <c r="P2006" i="1"/>
  <c r="U2005" i="1"/>
  <c r="T2005" i="1"/>
  <c r="S2005" i="1"/>
  <c r="R2005" i="1"/>
  <c r="Q2005" i="1"/>
  <c r="P2005" i="1"/>
  <c r="U2004" i="1"/>
  <c r="T2004" i="1"/>
  <c r="S2004" i="1"/>
  <c r="R2004" i="1"/>
  <c r="Q2004" i="1"/>
  <c r="P2004" i="1"/>
  <c r="U2003" i="1"/>
  <c r="T2003" i="1"/>
  <c r="S2003" i="1"/>
  <c r="R2003" i="1"/>
  <c r="Q2003" i="1"/>
  <c r="P2003" i="1"/>
  <c r="U2002" i="1"/>
  <c r="T2002" i="1"/>
  <c r="S2002" i="1"/>
  <c r="R2002" i="1"/>
  <c r="Q2002" i="1"/>
  <c r="P2002" i="1"/>
  <c r="U2001" i="1"/>
  <c r="T2001" i="1"/>
  <c r="S2001" i="1"/>
  <c r="R2001" i="1"/>
  <c r="Q2001" i="1"/>
  <c r="P2001" i="1"/>
  <c r="U2000" i="1"/>
  <c r="T2000" i="1"/>
  <c r="S2000" i="1"/>
  <c r="R2000" i="1"/>
  <c r="Q2000" i="1"/>
  <c r="P2000" i="1"/>
  <c r="U1999" i="1"/>
  <c r="T1999" i="1"/>
  <c r="S1999" i="1"/>
  <c r="R1999" i="1"/>
  <c r="Q1999" i="1"/>
  <c r="P1999" i="1"/>
  <c r="U1998" i="1"/>
  <c r="T1998" i="1"/>
  <c r="S1998" i="1"/>
  <c r="R1998" i="1"/>
  <c r="Q1998" i="1"/>
  <c r="P1998" i="1"/>
  <c r="U1997" i="1"/>
  <c r="T1997" i="1"/>
  <c r="S1997" i="1"/>
  <c r="R1997" i="1"/>
  <c r="Q1997" i="1"/>
  <c r="P1997" i="1"/>
  <c r="U1996" i="1"/>
  <c r="T1996" i="1"/>
  <c r="S1996" i="1"/>
  <c r="R1996" i="1"/>
  <c r="Q1996" i="1"/>
  <c r="P1996" i="1"/>
  <c r="U1995" i="1"/>
  <c r="T1995" i="1"/>
  <c r="S1995" i="1"/>
  <c r="R1995" i="1"/>
  <c r="Q1995" i="1"/>
  <c r="P1995" i="1"/>
  <c r="U1994" i="1"/>
  <c r="T1994" i="1"/>
  <c r="S1994" i="1"/>
  <c r="R1994" i="1"/>
  <c r="Q1994" i="1"/>
  <c r="P1994" i="1"/>
  <c r="U1993" i="1"/>
  <c r="T1993" i="1"/>
  <c r="S1993" i="1"/>
  <c r="R1993" i="1"/>
  <c r="Q1993" i="1"/>
  <c r="P1993" i="1"/>
  <c r="U1992" i="1"/>
  <c r="T1992" i="1"/>
  <c r="S1992" i="1"/>
  <c r="R1992" i="1"/>
  <c r="Q1992" i="1"/>
  <c r="P1992" i="1"/>
  <c r="U1991" i="1"/>
  <c r="T1991" i="1"/>
  <c r="S1991" i="1"/>
  <c r="R1991" i="1"/>
  <c r="Q1991" i="1"/>
  <c r="P1991" i="1"/>
  <c r="U1990" i="1"/>
  <c r="T1990" i="1"/>
  <c r="S1990" i="1"/>
  <c r="R1990" i="1"/>
  <c r="Q1990" i="1"/>
  <c r="P1990" i="1"/>
  <c r="U1989" i="1"/>
  <c r="T1989" i="1"/>
  <c r="S1989" i="1"/>
  <c r="R1989" i="1"/>
  <c r="Q1989" i="1"/>
  <c r="P1989" i="1"/>
  <c r="U1988" i="1"/>
  <c r="T1988" i="1"/>
  <c r="S1988" i="1"/>
  <c r="R1988" i="1"/>
  <c r="Q1988" i="1"/>
  <c r="P1988" i="1"/>
  <c r="U1987" i="1"/>
  <c r="T1987" i="1"/>
  <c r="S1987" i="1"/>
  <c r="R1987" i="1"/>
  <c r="Q1987" i="1"/>
  <c r="P1987" i="1"/>
  <c r="U1986" i="1"/>
  <c r="T1986" i="1"/>
  <c r="S1986" i="1"/>
  <c r="R1986" i="1"/>
  <c r="Q1986" i="1"/>
  <c r="P1986" i="1"/>
  <c r="U1985" i="1"/>
  <c r="T1985" i="1"/>
  <c r="S1985" i="1"/>
  <c r="R1985" i="1"/>
  <c r="Q1985" i="1"/>
  <c r="P1985" i="1"/>
  <c r="U1984" i="1"/>
  <c r="T1984" i="1"/>
  <c r="S1984" i="1"/>
  <c r="R1984" i="1"/>
  <c r="Q1984" i="1"/>
  <c r="P1984" i="1"/>
  <c r="U1983" i="1"/>
  <c r="T1983" i="1"/>
  <c r="S1983" i="1"/>
  <c r="R1983" i="1"/>
  <c r="Q1983" i="1"/>
  <c r="P1983" i="1"/>
  <c r="U1982" i="1"/>
  <c r="T1982" i="1"/>
  <c r="S1982" i="1"/>
  <c r="R1982" i="1"/>
  <c r="Q1982" i="1"/>
  <c r="P1982" i="1"/>
  <c r="U1981" i="1"/>
  <c r="T1981" i="1"/>
  <c r="S1981" i="1"/>
  <c r="R1981" i="1"/>
  <c r="Q1981" i="1"/>
  <c r="P1981" i="1"/>
  <c r="U1980" i="1"/>
  <c r="T1980" i="1"/>
  <c r="S1980" i="1"/>
  <c r="R1980" i="1"/>
  <c r="Q1980" i="1"/>
  <c r="P1980" i="1"/>
  <c r="U1979" i="1"/>
  <c r="T1979" i="1"/>
  <c r="S1979" i="1"/>
  <c r="R1979" i="1"/>
  <c r="Q1979" i="1"/>
  <c r="P1979" i="1"/>
  <c r="U1978" i="1"/>
  <c r="T1978" i="1"/>
  <c r="S1978" i="1"/>
  <c r="R1978" i="1"/>
  <c r="Q1978" i="1"/>
  <c r="P1978" i="1"/>
  <c r="U1977" i="1"/>
  <c r="T1977" i="1"/>
  <c r="S1977" i="1"/>
  <c r="R1977" i="1"/>
  <c r="Q1977" i="1"/>
  <c r="P1977" i="1"/>
  <c r="U1976" i="1"/>
  <c r="T1976" i="1"/>
  <c r="S1976" i="1"/>
  <c r="R1976" i="1"/>
  <c r="Q1976" i="1"/>
  <c r="P1976" i="1"/>
  <c r="U1975" i="1"/>
  <c r="T1975" i="1"/>
  <c r="S1975" i="1"/>
  <c r="R1975" i="1"/>
  <c r="Q1975" i="1"/>
  <c r="P1975" i="1"/>
  <c r="U1974" i="1"/>
  <c r="T1974" i="1"/>
  <c r="S1974" i="1"/>
  <c r="R1974" i="1"/>
  <c r="Q1974" i="1"/>
  <c r="P1974" i="1"/>
  <c r="U1973" i="1"/>
  <c r="T1973" i="1"/>
  <c r="S1973" i="1"/>
  <c r="R1973" i="1"/>
  <c r="Q1973" i="1"/>
  <c r="P1973" i="1"/>
  <c r="U1972" i="1"/>
  <c r="T1972" i="1"/>
  <c r="S1972" i="1"/>
  <c r="R1972" i="1"/>
  <c r="Q1972" i="1"/>
  <c r="P1972" i="1"/>
  <c r="U1971" i="1"/>
  <c r="T1971" i="1"/>
  <c r="S1971" i="1"/>
  <c r="R1971" i="1"/>
  <c r="Q1971" i="1"/>
  <c r="P1971" i="1"/>
  <c r="U1970" i="1"/>
  <c r="T1970" i="1"/>
  <c r="S1970" i="1"/>
  <c r="R1970" i="1"/>
  <c r="Q1970" i="1"/>
  <c r="P1970" i="1"/>
  <c r="U1969" i="1"/>
  <c r="T1969" i="1"/>
  <c r="S1969" i="1"/>
  <c r="R1969" i="1"/>
  <c r="Q1969" i="1"/>
  <c r="P1969" i="1"/>
  <c r="U1968" i="1"/>
  <c r="T1968" i="1"/>
  <c r="S1968" i="1"/>
  <c r="R1968" i="1"/>
  <c r="Q1968" i="1"/>
  <c r="P1968" i="1"/>
  <c r="U1967" i="1"/>
  <c r="T1967" i="1"/>
  <c r="S1967" i="1"/>
  <c r="R1967" i="1"/>
  <c r="Q1967" i="1"/>
  <c r="P1967" i="1"/>
  <c r="U1966" i="1"/>
  <c r="T1966" i="1"/>
  <c r="S1966" i="1"/>
  <c r="R1966" i="1"/>
  <c r="Q1966" i="1"/>
  <c r="P1966" i="1"/>
  <c r="U1965" i="1"/>
  <c r="T1965" i="1"/>
  <c r="S1965" i="1"/>
  <c r="R1965" i="1"/>
  <c r="Q1965" i="1"/>
  <c r="P1965" i="1"/>
  <c r="U1964" i="1"/>
  <c r="T1964" i="1"/>
  <c r="S1964" i="1"/>
  <c r="R1964" i="1"/>
  <c r="Q1964" i="1"/>
  <c r="P1964" i="1"/>
  <c r="U1963" i="1"/>
  <c r="T1963" i="1"/>
  <c r="S1963" i="1"/>
  <c r="R1963" i="1"/>
  <c r="Q1963" i="1"/>
  <c r="P1963" i="1"/>
  <c r="U1962" i="1"/>
  <c r="T1962" i="1"/>
  <c r="S1962" i="1"/>
  <c r="R1962" i="1"/>
  <c r="Q1962" i="1"/>
  <c r="P1962" i="1"/>
  <c r="U1961" i="1"/>
  <c r="T1961" i="1"/>
  <c r="S1961" i="1"/>
  <c r="R1961" i="1"/>
  <c r="Q1961" i="1"/>
  <c r="P1961" i="1"/>
  <c r="U1960" i="1"/>
  <c r="T1960" i="1"/>
  <c r="S1960" i="1"/>
  <c r="R1960" i="1"/>
  <c r="Q1960" i="1"/>
  <c r="P1960" i="1"/>
  <c r="U1959" i="1"/>
  <c r="T1959" i="1"/>
  <c r="S1959" i="1"/>
  <c r="R1959" i="1"/>
  <c r="Q1959" i="1"/>
  <c r="P1959" i="1"/>
  <c r="U1958" i="1"/>
  <c r="T1958" i="1"/>
  <c r="S1958" i="1"/>
  <c r="R1958" i="1"/>
  <c r="Q1958" i="1"/>
  <c r="P1958" i="1"/>
  <c r="U1957" i="1"/>
  <c r="T1957" i="1"/>
  <c r="S1957" i="1"/>
  <c r="R1957" i="1"/>
  <c r="Q1957" i="1"/>
  <c r="P1957" i="1"/>
  <c r="U1956" i="1"/>
  <c r="T1956" i="1"/>
  <c r="S1956" i="1"/>
  <c r="R1956" i="1"/>
  <c r="Q1956" i="1"/>
  <c r="P1956" i="1"/>
  <c r="U1955" i="1"/>
  <c r="T1955" i="1"/>
  <c r="S1955" i="1"/>
  <c r="R1955" i="1"/>
  <c r="Q1955" i="1"/>
  <c r="P1955" i="1"/>
  <c r="U1954" i="1"/>
  <c r="T1954" i="1"/>
  <c r="S1954" i="1"/>
  <c r="R1954" i="1"/>
  <c r="Q1954" i="1"/>
  <c r="P1954" i="1"/>
  <c r="U1953" i="1"/>
  <c r="T1953" i="1"/>
  <c r="S1953" i="1"/>
  <c r="R1953" i="1"/>
  <c r="Q1953" i="1"/>
  <c r="P1953" i="1"/>
  <c r="U1952" i="1"/>
  <c r="T1952" i="1"/>
  <c r="S1952" i="1"/>
  <c r="R1952" i="1"/>
  <c r="Q1952" i="1"/>
  <c r="P1952" i="1"/>
  <c r="U1951" i="1"/>
  <c r="T1951" i="1"/>
  <c r="S1951" i="1"/>
  <c r="R1951" i="1"/>
  <c r="Q1951" i="1"/>
  <c r="P1951" i="1"/>
  <c r="U1950" i="1"/>
  <c r="T1950" i="1"/>
  <c r="S1950" i="1"/>
  <c r="R1950" i="1"/>
  <c r="Q1950" i="1"/>
  <c r="P1950" i="1"/>
  <c r="U1949" i="1"/>
  <c r="T1949" i="1"/>
  <c r="S1949" i="1"/>
  <c r="R1949" i="1"/>
  <c r="Q1949" i="1"/>
  <c r="P1949" i="1"/>
  <c r="U1948" i="1"/>
  <c r="T1948" i="1"/>
  <c r="S1948" i="1"/>
  <c r="R1948" i="1"/>
  <c r="Q1948" i="1"/>
  <c r="P1948" i="1"/>
  <c r="U1947" i="1"/>
  <c r="T1947" i="1"/>
  <c r="S1947" i="1"/>
  <c r="R1947" i="1"/>
  <c r="Q1947" i="1"/>
  <c r="P1947" i="1"/>
  <c r="U1946" i="1"/>
  <c r="T1946" i="1"/>
  <c r="S1946" i="1"/>
  <c r="R1946" i="1"/>
  <c r="Q1946" i="1"/>
  <c r="P1946" i="1"/>
  <c r="U1945" i="1"/>
  <c r="T1945" i="1"/>
  <c r="S1945" i="1"/>
  <c r="R1945" i="1"/>
  <c r="Q1945" i="1"/>
  <c r="P1945" i="1"/>
  <c r="U1944" i="1"/>
  <c r="T1944" i="1"/>
  <c r="S1944" i="1"/>
  <c r="R1944" i="1"/>
  <c r="Q1944" i="1"/>
  <c r="P1944" i="1"/>
  <c r="U1943" i="1"/>
  <c r="T1943" i="1"/>
  <c r="S1943" i="1"/>
  <c r="R1943" i="1"/>
  <c r="Q1943" i="1"/>
  <c r="P1943" i="1"/>
  <c r="U1942" i="1"/>
  <c r="T1942" i="1"/>
  <c r="S1942" i="1"/>
  <c r="R1942" i="1"/>
  <c r="Q1942" i="1"/>
  <c r="P1942" i="1"/>
  <c r="U1941" i="1"/>
  <c r="T1941" i="1"/>
  <c r="S1941" i="1"/>
  <c r="R1941" i="1"/>
  <c r="Q1941" i="1"/>
  <c r="P1941" i="1"/>
  <c r="U1940" i="1"/>
  <c r="T1940" i="1"/>
  <c r="S1940" i="1"/>
  <c r="R1940" i="1"/>
  <c r="Q1940" i="1"/>
  <c r="P1940" i="1"/>
  <c r="U1939" i="1"/>
  <c r="T1939" i="1"/>
  <c r="S1939" i="1"/>
  <c r="R1939" i="1"/>
  <c r="Q1939" i="1"/>
  <c r="P1939" i="1"/>
  <c r="U1938" i="1"/>
  <c r="T1938" i="1"/>
  <c r="S1938" i="1"/>
  <c r="R1938" i="1"/>
  <c r="Q1938" i="1"/>
  <c r="P1938" i="1"/>
  <c r="U1937" i="1"/>
  <c r="T1937" i="1"/>
  <c r="S1937" i="1"/>
  <c r="R1937" i="1"/>
  <c r="Q1937" i="1"/>
  <c r="P1937" i="1"/>
  <c r="U1936" i="1"/>
  <c r="T1936" i="1"/>
  <c r="S1936" i="1"/>
  <c r="R1936" i="1"/>
  <c r="Q1936" i="1"/>
  <c r="P1936" i="1"/>
  <c r="U1935" i="1"/>
  <c r="T1935" i="1"/>
  <c r="S1935" i="1"/>
  <c r="R1935" i="1"/>
  <c r="Q1935" i="1"/>
  <c r="P1935" i="1"/>
  <c r="U1934" i="1"/>
  <c r="T1934" i="1"/>
  <c r="S1934" i="1"/>
  <c r="R1934" i="1"/>
  <c r="Q1934" i="1"/>
  <c r="P1934" i="1"/>
  <c r="U1933" i="1"/>
  <c r="T1933" i="1"/>
  <c r="S1933" i="1"/>
  <c r="R1933" i="1"/>
  <c r="Q1933" i="1"/>
  <c r="P1933" i="1"/>
  <c r="U1932" i="1"/>
  <c r="T1932" i="1"/>
  <c r="S1932" i="1"/>
  <c r="R1932" i="1"/>
  <c r="Q1932" i="1"/>
  <c r="P1932" i="1"/>
  <c r="U1931" i="1"/>
  <c r="T1931" i="1"/>
  <c r="S1931" i="1"/>
  <c r="R1931" i="1"/>
  <c r="Q1931" i="1"/>
  <c r="P1931" i="1"/>
  <c r="U1930" i="1"/>
  <c r="T1930" i="1"/>
  <c r="S1930" i="1"/>
  <c r="R1930" i="1"/>
  <c r="Q1930" i="1"/>
  <c r="P1930" i="1"/>
  <c r="U1929" i="1"/>
  <c r="T1929" i="1"/>
  <c r="S1929" i="1"/>
  <c r="R1929" i="1"/>
  <c r="Q1929" i="1"/>
  <c r="P1929" i="1"/>
  <c r="U1928" i="1"/>
  <c r="T1928" i="1"/>
  <c r="S1928" i="1"/>
  <c r="R1928" i="1"/>
  <c r="Q1928" i="1"/>
  <c r="P1928" i="1"/>
  <c r="U1927" i="1"/>
  <c r="T1927" i="1"/>
  <c r="S1927" i="1"/>
  <c r="R1927" i="1"/>
  <c r="Q1927" i="1"/>
  <c r="P1927" i="1"/>
  <c r="U1926" i="1"/>
  <c r="T1926" i="1"/>
  <c r="S1926" i="1"/>
  <c r="R1926" i="1"/>
  <c r="Q1926" i="1"/>
  <c r="P1926" i="1"/>
  <c r="U1925" i="1"/>
  <c r="T1925" i="1"/>
  <c r="S1925" i="1"/>
  <c r="R1925" i="1"/>
  <c r="Q1925" i="1"/>
  <c r="P1925" i="1"/>
  <c r="U1924" i="1"/>
  <c r="T1924" i="1"/>
  <c r="S1924" i="1"/>
  <c r="R1924" i="1"/>
  <c r="Q1924" i="1"/>
  <c r="P1924" i="1"/>
  <c r="U1923" i="1"/>
  <c r="T1923" i="1"/>
  <c r="S1923" i="1"/>
  <c r="R1923" i="1"/>
  <c r="Q1923" i="1"/>
  <c r="P1923" i="1"/>
  <c r="U1922" i="1"/>
  <c r="T1922" i="1"/>
  <c r="S1922" i="1"/>
  <c r="R1922" i="1"/>
  <c r="Q1922" i="1"/>
  <c r="P1922" i="1"/>
  <c r="U1921" i="1"/>
  <c r="T1921" i="1"/>
  <c r="S1921" i="1"/>
  <c r="R1921" i="1"/>
  <c r="Q1921" i="1"/>
  <c r="P1921" i="1"/>
  <c r="U1920" i="1"/>
  <c r="T1920" i="1"/>
  <c r="S1920" i="1"/>
  <c r="R1920" i="1"/>
  <c r="Q1920" i="1"/>
  <c r="P1920" i="1"/>
  <c r="U1919" i="1"/>
  <c r="T1919" i="1"/>
  <c r="S1919" i="1"/>
  <c r="R1919" i="1"/>
  <c r="Q1919" i="1"/>
  <c r="P1919" i="1"/>
  <c r="U1918" i="1"/>
  <c r="T1918" i="1"/>
  <c r="S1918" i="1"/>
  <c r="R1918" i="1"/>
  <c r="Q1918" i="1"/>
  <c r="P1918" i="1"/>
  <c r="U1917" i="1"/>
  <c r="T1917" i="1"/>
  <c r="S1917" i="1"/>
  <c r="R1917" i="1"/>
  <c r="Q1917" i="1"/>
  <c r="P1917" i="1"/>
  <c r="U1916" i="1"/>
  <c r="T1916" i="1"/>
  <c r="S1916" i="1"/>
  <c r="R1916" i="1"/>
  <c r="Q1916" i="1"/>
  <c r="P1916" i="1"/>
  <c r="U1915" i="1"/>
  <c r="T1915" i="1"/>
  <c r="S1915" i="1"/>
  <c r="R1915" i="1"/>
  <c r="Q1915" i="1"/>
  <c r="P1915" i="1"/>
  <c r="U1914" i="1"/>
  <c r="T1914" i="1"/>
  <c r="S1914" i="1"/>
  <c r="R1914" i="1"/>
  <c r="Q1914" i="1"/>
  <c r="P1914" i="1"/>
  <c r="U1913" i="1"/>
  <c r="T1913" i="1"/>
  <c r="S1913" i="1"/>
  <c r="R1913" i="1"/>
  <c r="Q1913" i="1"/>
  <c r="P1913" i="1"/>
  <c r="U1912" i="1"/>
  <c r="T1912" i="1"/>
  <c r="S1912" i="1"/>
  <c r="R1912" i="1"/>
  <c r="Q1912" i="1"/>
  <c r="P1912" i="1"/>
  <c r="U1911" i="1"/>
  <c r="T1911" i="1"/>
  <c r="S1911" i="1"/>
  <c r="R1911" i="1"/>
  <c r="Q1911" i="1"/>
  <c r="P1911" i="1"/>
  <c r="U1910" i="1"/>
  <c r="T1910" i="1"/>
  <c r="S1910" i="1"/>
  <c r="R1910" i="1"/>
  <c r="Q1910" i="1"/>
  <c r="P1910" i="1"/>
  <c r="U1909" i="1"/>
  <c r="T1909" i="1"/>
  <c r="S1909" i="1"/>
  <c r="R1909" i="1"/>
  <c r="Q1909" i="1"/>
  <c r="P1909" i="1"/>
  <c r="U1908" i="1"/>
  <c r="T1908" i="1"/>
  <c r="S1908" i="1"/>
  <c r="R1908" i="1"/>
  <c r="Q1908" i="1"/>
  <c r="P1908" i="1"/>
  <c r="U1907" i="1"/>
  <c r="T1907" i="1"/>
  <c r="S1907" i="1"/>
  <c r="R1907" i="1"/>
  <c r="Q1907" i="1"/>
  <c r="P1907" i="1"/>
  <c r="U1906" i="1"/>
  <c r="T1906" i="1"/>
  <c r="S1906" i="1"/>
  <c r="R1906" i="1"/>
  <c r="Q1906" i="1"/>
  <c r="P1906" i="1"/>
  <c r="U1905" i="1"/>
  <c r="T1905" i="1"/>
  <c r="S1905" i="1"/>
  <c r="R1905" i="1"/>
  <c r="Q1905" i="1"/>
  <c r="P1905" i="1"/>
  <c r="U1904" i="1"/>
  <c r="T1904" i="1"/>
  <c r="S1904" i="1"/>
  <c r="R1904" i="1"/>
  <c r="Q1904" i="1"/>
  <c r="P1904" i="1"/>
  <c r="U1903" i="1"/>
  <c r="T1903" i="1"/>
  <c r="S1903" i="1"/>
  <c r="R1903" i="1"/>
  <c r="Q1903" i="1"/>
  <c r="P1903" i="1"/>
  <c r="U1902" i="1"/>
  <c r="T1902" i="1"/>
  <c r="S1902" i="1"/>
  <c r="R1902" i="1"/>
  <c r="Q1902" i="1"/>
  <c r="P1902" i="1"/>
  <c r="U1901" i="1"/>
  <c r="T1901" i="1"/>
  <c r="S1901" i="1"/>
  <c r="R1901" i="1"/>
  <c r="Q1901" i="1"/>
  <c r="P1901" i="1"/>
  <c r="U1900" i="1"/>
  <c r="T1900" i="1"/>
  <c r="S1900" i="1"/>
  <c r="R1900" i="1"/>
  <c r="Q1900" i="1"/>
  <c r="P1900" i="1"/>
  <c r="U1899" i="1"/>
  <c r="T1899" i="1"/>
  <c r="S1899" i="1"/>
  <c r="R1899" i="1"/>
  <c r="Q1899" i="1"/>
  <c r="P1899" i="1"/>
  <c r="U1898" i="1"/>
  <c r="T1898" i="1"/>
  <c r="S1898" i="1"/>
  <c r="R1898" i="1"/>
  <c r="Q1898" i="1"/>
  <c r="P1898" i="1"/>
  <c r="U1897" i="1"/>
  <c r="T1897" i="1"/>
  <c r="S1897" i="1"/>
  <c r="R1897" i="1"/>
  <c r="Q1897" i="1"/>
  <c r="P1897" i="1"/>
  <c r="U1896" i="1"/>
  <c r="T1896" i="1"/>
  <c r="S1896" i="1"/>
  <c r="R1896" i="1"/>
  <c r="Q1896" i="1"/>
  <c r="P1896" i="1"/>
  <c r="U1895" i="1"/>
  <c r="T1895" i="1"/>
  <c r="S1895" i="1"/>
  <c r="R1895" i="1"/>
  <c r="Q1895" i="1"/>
  <c r="P1895" i="1"/>
  <c r="U1894" i="1"/>
  <c r="T1894" i="1"/>
  <c r="S1894" i="1"/>
  <c r="R1894" i="1"/>
  <c r="Q1894" i="1"/>
  <c r="P1894" i="1"/>
  <c r="U1893" i="1"/>
  <c r="T1893" i="1"/>
  <c r="S1893" i="1"/>
  <c r="R1893" i="1"/>
  <c r="Q1893" i="1"/>
  <c r="P1893" i="1"/>
  <c r="U1892" i="1"/>
  <c r="T1892" i="1"/>
  <c r="S1892" i="1"/>
  <c r="R1892" i="1"/>
  <c r="Q1892" i="1"/>
  <c r="P1892" i="1"/>
  <c r="U1891" i="1"/>
  <c r="T1891" i="1"/>
  <c r="S1891" i="1"/>
  <c r="R1891" i="1"/>
  <c r="Q1891" i="1"/>
  <c r="P1891" i="1"/>
  <c r="U1890" i="1"/>
  <c r="T1890" i="1"/>
  <c r="S1890" i="1"/>
  <c r="R1890" i="1"/>
  <c r="Q1890" i="1"/>
  <c r="P1890" i="1"/>
  <c r="U1889" i="1"/>
  <c r="T1889" i="1"/>
  <c r="S1889" i="1"/>
  <c r="R1889" i="1"/>
  <c r="Q1889" i="1"/>
  <c r="P1889" i="1"/>
  <c r="U1888" i="1"/>
  <c r="T1888" i="1"/>
  <c r="S1888" i="1"/>
  <c r="R1888" i="1"/>
  <c r="Q1888" i="1"/>
  <c r="P1888" i="1"/>
  <c r="U1887" i="1"/>
  <c r="T1887" i="1"/>
  <c r="S1887" i="1"/>
  <c r="R1887" i="1"/>
  <c r="Q1887" i="1"/>
  <c r="P1887" i="1"/>
  <c r="U1886" i="1"/>
  <c r="T1886" i="1"/>
  <c r="S1886" i="1"/>
  <c r="R1886" i="1"/>
  <c r="Q1886" i="1"/>
  <c r="P1886" i="1"/>
  <c r="U1885" i="1"/>
  <c r="T1885" i="1"/>
  <c r="S1885" i="1"/>
  <c r="R1885" i="1"/>
  <c r="Q1885" i="1"/>
  <c r="P1885" i="1"/>
  <c r="U1884" i="1"/>
  <c r="T1884" i="1"/>
  <c r="S1884" i="1"/>
  <c r="R1884" i="1"/>
  <c r="Q1884" i="1"/>
  <c r="P1884" i="1"/>
  <c r="U1883" i="1"/>
  <c r="T1883" i="1"/>
  <c r="S1883" i="1"/>
  <c r="R1883" i="1"/>
  <c r="Q1883" i="1"/>
  <c r="P1883" i="1"/>
  <c r="U1882" i="1"/>
  <c r="T1882" i="1"/>
  <c r="S1882" i="1"/>
  <c r="R1882" i="1"/>
  <c r="Q1882" i="1"/>
  <c r="P1882" i="1"/>
  <c r="U1881" i="1"/>
  <c r="T1881" i="1"/>
  <c r="S1881" i="1"/>
  <c r="R1881" i="1"/>
  <c r="Q1881" i="1"/>
  <c r="P1881" i="1"/>
  <c r="U1880" i="1"/>
  <c r="T1880" i="1"/>
  <c r="S1880" i="1"/>
  <c r="R1880" i="1"/>
  <c r="Q1880" i="1"/>
  <c r="P1880" i="1"/>
  <c r="U1879" i="1"/>
  <c r="T1879" i="1"/>
  <c r="S1879" i="1"/>
  <c r="R1879" i="1"/>
  <c r="Q1879" i="1"/>
  <c r="P1879" i="1"/>
  <c r="U1878" i="1"/>
  <c r="T1878" i="1"/>
  <c r="S1878" i="1"/>
  <c r="R1878" i="1"/>
  <c r="Q1878" i="1"/>
  <c r="P1878" i="1"/>
  <c r="U1877" i="1"/>
  <c r="T1877" i="1"/>
  <c r="S1877" i="1"/>
  <c r="R1877" i="1"/>
  <c r="Q1877" i="1"/>
  <c r="P1877" i="1"/>
  <c r="U1876" i="1"/>
  <c r="T1876" i="1"/>
  <c r="S1876" i="1"/>
  <c r="R1876" i="1"/>
  <c r="Q1876" i="1"/>
  <c r="P1876" i="1"/>
  <c r="U1875" i="1"/>
  <c r="T1875" i="1"/>
  <c r="S1875" i="1"/>
  <c r="R1875" i="1"/>
  <c r="Q1875" i="1"/>
  <c r="P1875" i="1"/>
  <c r="U1874" i="1"/>
  <c r="T1874" i="1"/>
  <c r="S1874" i="1"/>
  <c r="R1874" i="1"/>
  <c r="Q1874" i="1"/>
  <c r="P1874" i="1"/>
  <c r="U1873" i="1"/>
  <c r="T1873" i="1"/>
  <c r="S1873" i="1"/>
  <c r="R1873" i="1"/>
  <c r="Q1873" i="1"/>
  <c r="P1873" i="1"/>
  <c r="U1872" i="1"/>
  <c r="T1872" i="1"/>
  <c r="S1872" i="1"/>
  <c r="R1872" i="1"/>
  <c r="Q1872" i="1"/>
  <c r="P1872" i="1"/>
  <c r="U1871" i="1"/>
  <c r="T1871" i="1"/>
  <c r="S1871" i="1"/>
  <c r="R1871" i="1"/>
  <c r="Q1871" i="1"/>
  <c r="P1871" i="1"/>
  <c r="U1870" i="1"/>
  <c r="T1870" i="1"/>
  <c r="S1870" i="1"/>
  <c r="R1870" i="1"/>
  <c r="Q1870" i="1"/>
  <c r="P1870" i="1"/>
  <c r="U1869" i="1"/>
  <c r="T1869" i="1"/>
  <c r="S1869" i="1"/>
  <c r="R1869" i="1"/>
  <c r="Q1869" i="1"/>
  <c r="P1869" i="1"/>
  <c r="U1868" i="1"/>
  <c r="T1868" i="1"/>
  <c r="S1868" i="1"/>
  <c r="R1868" i="1"/>
  <c r="Q1868" i="1"/>
  <c r="P1868" i="1"/>
  <c r="U1867" i="1"/>
  <c r="T1867" i="1"/>
  <c r="S1867" i="1"/>
  <c r="R1867" i="1"/>
  <c r="Q1867" i="1"/>
  <c r="P1867" i="1"/>
  <c r="U1866" i="1"/>
  <c r="T1866" i="1"/>
  <c r="S1866" i="1"/>
  <c r="R1866" i="1"/>
  <c r="Q1866" i="1"/>
  <c r="P1866" i="1"/>
  <c r="U1865" i="1"/>
  <c r="T1865" i="1"/>
  <c r="S1865" i="1"/>
  <c r="R1865" i="1"/>
  <c r="Q1865" i="1"/>
  <c r="P1865" i="1"/>
  <c r="U1864" i="1"/>
  <c r="T1864" i="1"/>
  <c r="S1864" i="1"/>
  <c r="R1864" i="1"/>
  <c r="Q1864" i="1"/>
  <c r="P1864" i="1"/>
  <c r="U1863" i="1"/>
  <c r="T1863" i="1"/>
  <c r="S1863" i="1"/>
  <c r="R1863" i="1"/>
  <c r="Q1863" i="1"/>
  <c r="P1863" i="1"/>
  <c r="U1862" i="1"/>
  <c r="T1862" i="1"/>
  <c r="S1862" i="1"/>
  <c r="R1862" i="1"/>
  <c r="Q1862" i="1"/>
  <c r="P1862" i="1"/>
  <c r="U1861" i="1"/>
  <c r="T1861" i="1"/>
  <c r="S1861" i="1"/>
  <c r="R1861" i="1"/>
  <c r="Q1861" i="1"/>
  <c r="P1861" i="1"/>
  <c r="U1860" i="1"/>
  <c r="T1860" i="1"/>
  <c r="S1860" i="1"/>
  <c r="R1860" i="1"/>
  <c r="Q1860" i="1"/>
  <c r="P1860" i="1"/>
  <c r="U1859" i="1"/>
  <c r="T1859" i="1"/>
  <c r="S1859" i="1"/>
  <c r="R1859" i="1"/>
  <c r="Q1859" i="1"/>
  <c r="P1859" i="1"/>
  <c r="U1858" i="1"/>
  <c r="T1858" i="1"/>
  <c r="S1858" i="1"/>
  <c r="R1858" i="1"/>
  <c r="Q1858" i="1"/>
  <c r="P1858" i="1"/>
  <c r="U1857" i="1"/>
  <c r="T1857" i="1"/>
  <c r="S1857" i="1"/>
  <c r="R1857" i="1"/>
  <c r="Q1857" i="1"/>
  <c r="P1857" i="1"/>
  <c r="U1856" i="1"/>
  <c r="T1856" i="1"/>
  <c r="S1856" i="1"/>
  <c r="R1856" i="1"/>
  <c r="Q1856" i="1"/>
  <c r="P1856" i="1"/>
  <c r="U1855" i="1"/>
  <c r="T1855" i="1"/>
  <c r="S1855" i="1"/>
  <c r="R1855" i="1"/>
  <c r="Q1855" i="1"/>
  <c r="P1855" i="1"/>
  <c r="U1854" i="1"/>
  <c r="T1854" i="1"/>
  <c r="S1854" i="1"/>
  <c r="R1854" i="1"/>
  <c r="Q1854" i="1"/>
  <c r="P1854" i="1"/>
  <c r="U1853" i="1"/>
  <c r="T1853" i="1"/>
  <c r="S1853" i="1"/>
  <c r="R1853" i="1"/>
  <c r="Q1853" i="1"/>
  <c r="P1853" i="1"/>
  <c r="U1852" i="1"/>
  <c r="T1852" i="1"/>
  <c r="S1852" i="1"/>
  <c r="R1852" i="1"/>
  <c r="Q1852" i="1"/>
  <c r="P1852" i="1"/>
  <c r="U1851" i="1"/>
  <c r="T1851" i="1"/>
  <c r="S1851" i="1"/>
  <c r="R1851" i="1"/>
  <c r="Q1851" i="1"/>
  <c r="P1851" i="1"/>
  <c r="U1850" i="1"/>
  <c r="T1850" i="1"/>
  <c r="S1850" i="1"/>
  <c r="R1850" i="1"/>
  <c r="Q1850" i="1"/>
  <c r="P1850" i="1"/>
  <c r="U1849" i="1"/>
  <c r="T1849" i="1"/>
  <c r="S1849" i="1"/>
  <c r="R1849" i="1"/>
  <c r="Q1849" i="1"/>
  <c r="P1849" i="1"/>
  <c r="U1848" i="1"/>
  <c r="T1848" i="1"/>
  <c r="S1848" i="1"/>
  <c r="R1848" i="1"/>
  <c r="Q1848" i="1"/>
  <c r="P1848" i="1"/>
  <c r="U1847" i="1"/>
  <c r="T1847" i="1"/>
  <c r="S1847" i="1"/>
  <c r="R1847" i="1"/>
  <c r="Q1847" i="1"/>
  <c r="P1847" i="1"/>
  <c r="U1846" i="1"/>
  <c r="T1846" i="1"/>
  <c r="S1846" i="1"/>
  <c r="R1846" i="1"/>
  <c r="Q1846" i="1"/>
  <c r="P1846" i="1"/>
  <c r="U1845" i="1"/>
  <c r="T1845" i="1"/>
  <c r="S1845" i="1"/>
  <c r="R1845" i="1"/>
  <c r="Q1845" i="1"/>
  <c r="P1845" i="1"/>
  <c r="U1844" i="1"/>
  <c r="T1844" i="1"/>
  <c r="S1844" i="1"/>
  <c r="R1844" i="1"/>
  <c r="Q1844" i="1"/>
  <c r="P1844" i="1"/>
  <c r="U1843" i="1"/>
  <c r="T1843" i="1"/>
  <c r="S1843" i="1"/>
  <c r="R1843" i="1"/>
  <c r="Q1843" i="1"/>
  <c r="P1843" i="1"/>
  <c r="U1842" i="1"/>
  <c r="T1842" i="1"/>
  <c r="S1842" i="1"/>
  <c r="R1842" i="1"/>
  <c r="Q1842" i="1"/>
  <c r="P1842" i="1"/>
  <c r="U1841" i="1"/>
  <c r="T1841" i="1"/>
  <c r="S1841" i="1"/>
  <c r="R1841" i="1"/>
  <c r="Q1841" i="1"/>
  <c r="P1841" i="1"/>
  <c r="U1840" i="1"/>
  <c r="T1840" i="1"/>
  <c r="S1840" i="1"/>
  <c r="R1840" i="1"/>
  <c r="Q1840" i="1"/>
  <c r="P1840" i="1"/>
  <c r="U1839" i="1"/>
  <c r="T1839" i="1"/>
  <c r="S1839" i="1"/>
  <c r="R1839" i="1"/>
  <c r="Q1839" i="1"/>
  <c r="P1839" i="1"/>
  <c r="U1838" i="1"/>
  <c r="T1838" i="1"/>
  <c r="S1838" i="1"/>
  <c r="R1838" i="1"/>
  <c r="Q1838" i="1"/>
  <c r="P1838" i="1"/>
  <c r="U1837" i="1"/>
  <c r="T1837" i="1"/>
  <c r="S1837" i="1"/>
  <c r="R1837" i="1"/>
  <c r="Q1837" i="1"/>
  <c r="P1837" i="1"/>
  <c r="U1836" i="1"/>
  <c r="T1836" i="1"/>
  <c r="S1836" i="1"/>
  <c r="R1836" i="1"/>
  <c r="Q1836" i="1"/>
  <c r="P1836" i="1"/>
  <c r="U1835" i="1"/>
  <c r="T1835" i="1"/>
  <c r="S1835" i="1"/>
  <c r="R1835" i="1"/>
  <c r="Q1835" i="1"/>
  <c r="P1835" i="1"/>
  <c r="U1834" i="1"/>
  <c r="T1834" i="1"/>
  <c r="S1834" i="1"/>
  <c r="R1834" i="1"/>
  <c r="Q1834" i="1"/>
  <c r="P1834" i="1"/>
  <c r="U1833" i="1"/>
  <c r="T1833" i="1"/>
  <c r="S1833" i="1"/>
  <c r="R1833" i="1"/>
  <c r="Q1833" i="1"/>
  <c r="P1833" i="1"/>
  <c r="U1832" i="1"/>
  <c r="T1832" i="1"/>
  <c r="S1832" i="1"/>
  <c r="R1832" i="1"/>
  <c r="Q1832" i="1"/>
  <c r="P1832" i="1"/>
  <c r="U1831" i="1"/>
  <c r="T1831" i="1"/>
  <c r="S1831" i="1"/>
  <c r="R1831" i="1"/>
  <c r="Q1831" i="1"/>
  <c r="P1831" i="1"/>
  <c r="U1830" i="1"/>
  <c r="T1830" i="1"/>
  <c r="S1830" i="1"/>
  <c r="R1830" i="1"/>
  <c r="Q1830" i="1"/>
  <c r="P1830" i="1"/>
  <c r="U1829" i="1"/>
  <c r="T1829" i="1"/>
  <c r="S1829" i="1"/>
  <c r="R1829" i="1"/>
  <c r="Q1829" i="1"/>
  <c r="P1829" i="1"/>
  <c r="U1828" i="1"/>
  <c r="T1828" i="1"/>
  <c r="S1828" i="1"/>
  <c r="R1828" i="1"/>
  <c r="Q1828" i="1"/>
  <c r="P1828" i="1"/>
  <c r="U1827" i="1"/>
  <c r="T1827" i="1"/>
  <c r="S1827" i="1"/>
  <c r="R1827" i="1"/>
  <c r="Q1827" i="1"/>
  <c r="P1827" i="1"/>
  <c r="U1826" i="1"/>
  <c r="T1826" i="1"/>
  <c r="S1826" i="1"/>
  <c r="R1826" i="1"/>
  <c r="Q1826" i="1"/>
  <c r="P1826" i="1"/>
  <c r="U1825" i="1"/>
  <c r="T1825" i="1"/>
  <c r="S1825" i="1"/>
  <c r="R1825" i="1"/>
  <c r="Q1825" i="1"/>
  <c r="P1825" i="1"/>
  <c r="U1824" i="1"/>
  <c r="T1824" i="1"/>
  <c r="S1824" i="1"/>
  <c r="R1824" i="1"/>
  <c r="Q1824" i="1"/>
  <c r="P1824" i="1"/>
  <c r="U1823" i="1"/>
  <c r="T1823" i="1"/>
  <c r="S1823" i="1"/>
  <c r="R1823" i="1"/>
  <c r="Q1823" i="1"/>
  <c r="P1823" i="1"/>
  <c r="U1822" i="1"/>
  <c r="T1822" i="1"/>
  <c r="S1822" i="1"/>
  <c r="R1822" i="1"/>
  <c r="Q1822" i="1"/>
  <c r="P1822" i="1"/>
  <c r="U1821" i="1"/>
  <c r="T1821" i="1"/>
  <c r="S1821" i="1"/>
  <c r="R1821" i="1"/>
  <c r="Q1821" i="1"/>
  <c r="P1821" i="1"/>
  <c r="U1820" i="1"/>
  <c r="T1820" i="1"/>
  <c r="S1820" i="1"/>
  <c r="R1820" i="1"/>
  <c r="Q1820" i="1"/>
  <c r="P1820" i="1"/>
  <c r="U1819" i="1"/>
  <c r="T1819" i="1"/>
  <c r="S1819" i="1"/>
  <c r="R1819" i="1"/>
  <c r="Q1819" i="1"/>
  <c r="P1819" i="1"/>
  <c r="U1818" i="1"/>
  <c r="T1818" i="1"/>
  <c r="S1818" i="1"/>
  <c r="R1818" i="1"/>
  <c r="Q1818" i="1"/>
  <c r="P1818" i="1"/>
  <c r="U1817" i="1"/>
  <c r="T1817" i="1"/>
  <c r="S1817" i="1"/>
  <c r="R1817" i="1"/>
  <c r="Q1817" i="1"/>
  <c r="P1817" i="1"/>
  <c r="U1816" i="1"/>
  <c r="T1816" i="1"/>
  <c r="S1816" i="1"/>
  <c r="R1816" i="1"/>
  <c r="Q1816" i="1"/>
  <c r="P1816" i="1"/>
  <c r="U1815" i="1"/>
  <c r="T1815" i="1"/>
  <c r="S1815" i="1"/>
  <c r="R1815" i="1"/>
  <c r="Q1815" i="1"/>
  <c r="P1815" i="1"/>
  <c r="U1814" i="1"/>
  <c r="T1814" i="1"/>
  <c r="S1814" i="1"/>
  <c r="R1814" i="1"/>
  <c r="Q1814" i="1"/>
  <c r="P1814" i="1"/>
  <c r="U1813" i="1"/>
  <c r="T1813" i="1"/>
  <c r="S1813" i="1"/>
  <c r="R1813" i="1"/>
  <c r="Q1813" i="1"/>
  <c r="P1813" i="1"/>
  <c r="U1812" i="1"/>
  <c r="T1812" i="1"/>
  <c r="S1812" i="1"/>
  <c r="R1812" i="1"/>
  <c r="Q1812" i="1"/>
  <c r="P1812" i="1"/>
  <c r="U1811" i="1"/>
  <c r="T1811" i="1"/>
  <c r="S1811" i="1"/>
  <c r="R1811" i="1"/>
  <c r="Q1811" i="1"/>
  <c r="P1811" i="1"/>
  <c r="U1810" i="1"/>
  <c r="T1810" i="1"/>
  <c r="S1810" i="1"/>
  <c r="R1810" i="1"/>
  <c r="Q1810" i="1"/>
  <c r="P1810" i="1"/>
  <c r="U1809" i="1"/>
  <c r="T1809" i="1"/>
  <c r="S1809" i="1"/>
  <c r="R1809" i="1"/>
  <c r="Q1809" i="1"/>
  <c r="P1809" i="1"/>
  <c r="U1808" i="1"/>
  <c r="T1808" i="1"/>
  <c r="S1808" i="1"/>
  <c r="R1808" i="1"/>
  <c r="Q1808" i="1"/>
  <c r="P1808" i="1"/>
  <c r="U1807" i="1"/>
  <c r="T1807" i="1"/>
  <c r="S1807" i="1"/>
  <c r="R1807" i="1"/>
  <c r="Q1807" i="1"/>
  <c r="P1807" i="1"/>
  <c r="U1806" i="1"/>
  <c r="T1806" i="1"/>
  <c r="S1806" i="1"/>
  <c r="R1806" i="1"/>
  <c r="Q1806" i="1"/>
  <c r="P1806" i="1"/>
  <c r="U1805" i="1"/>
  <c r="T1805" i="1"/>
  <c r="S1805" i="1"/>
  <c r="R1805" i="1"/>
  <c r="Q1805" i="1"/>
  <c r="P1805" i="1"/>
  <c r="U1804" i="1"/>
  <c r="T1804" i="1"/>
  <c r="S1804" i="1"/>
  <c r="R1804" i="1"/>
  <c r="Q1804" i="1"/>
  <c r="P1804" i="1"/>
  <c r="U1803" i="1"/>
  <c r="T1803" i="1"/>
  <c r="S1803" i="1"/>
  <c r="R1803" i="1"/>
  <c r="Q1803" i="1"/>
  <c r="P1803" i="1"/>
  <c r="U1802" i="1"/>
  <c r="T1802" i="1"/>
  <c r="S1802" i="1"/>
  <c r="R1802" i="1"/>
  <c r="Q1802" i="1"/>
  <c r="P1802" i="1"/>
  <c r="U1801" i="1"/>
  <c r="T1801" i="1"/>
  <c r="S1801" i="1"/>
  <c r="R1801" i="1"/>
  <c r="Q1801" i="1"/>
  <c r="P1801" i="1"/>
  <c r="U1800" i="1"/>
  <c r="T1800" i="1"/>
  <c r="S1800" i="1"/>
  <c r="R1800" i="1"/>
  <c r="Q1800" i="1"/>
  <c r="P1800" i="1"/>
  <c r="U1799" i="1"/>
  <c r="T1799" i="1"/>
  <c r="S1799" i="1"/>
  <c r="R1799" i="1"/>
  <c r="Q1799" i="1"/>
  <c r="P1799" i="1"/>
  <c r="U1798" i="1"/>
  <c r="T1798" i="1"/>
  <c r="S1798" i="1"/>
  <c r="R1798" i="1"/>
  <c r="Q1798" i="1"/>
  <c r="P1798" i="1"/>
  <c r="U1797" i="1"/>
  <c r="T1797" i="1"/>
  <c r="S1797" i="1"/>
  <c r="R1797" i="1"/>
  <c r="Q1797" i="1"/>
  <c r="P1797" i="1"/>
  <c r="U1796" i="1"/>
  <c r="T1796" i="1"/>
  <c r="S1796" i="1"/>
  <c r="R1796" i="1"/>
  <c r="Q1796" i="1"/>
  <c r="P1796" i="1"/>
  <c r="U1795" i="1"/>
  <c r="T1795" i="1"/>
  <c r="S1795" i="1"/>
  <c r="R1795" i="1"/>
  <c r="Q1795" i="1"/>
  <c r="P1795" i="1"/>
  <c r="U1794" i="1"/>
  <c r="T1794" i="1"/>
  <c r="S1794" i="1"/>
  <c r="R1794" i="1"/>
  <c r="Q1794" i="1"/>
  <c r="P1794" i="1"/>
  <c r="U1793" i="1"/>
  <c r="T1793" i="1"/>
  <c r="S1793" i="1"/>
  <c r="R1793" i="1"/>
  <c r="Q1793" i="1"/>
  <c r="P1793" i="1"/>
  <c r="U1792" i="1"/>
  <c r="T1792" i="1"/>
  <c r="S1792" i="1"/>
  <c r="R1792" i="1"/>
  <c r="Q1792" i="1"/>
  <c r="P1792" i="1"/>
  <c r="U1791" i="1"/>
  <c r="T1791" i="1"/>
  <c r="S1791" i="1"/>
  <c r="R1791" i="1"/>
  <c r="Q1791" i="1"/>
  <c r="P1791" i="1"/>
  <c r="U1790" i="1"/>
  <c r="T1790" i="1"/>
  <c r="S1790" i="1"/>
  <c r="R1790" i="1"/>
  <c r="Q1790" i="1"/>
  <c r="P1790" i="1"/>
  <c r="U1789" i="1"/>
  <c r="T1789" i="1"/>
  <c r="S1789" i="1"/>
  <c r="R1789" i="1"/>
  <c r="Q1789" i="1"/>
  <c r="P1789" i="1"/>
  <c r="U1788" i="1"/>
  <c r="T1788" i="1"/>
  <c r="S1788" i="1"/>
  <c r="R1788" i="1"/>
  <c r="Q1788" i="1"/>
  <c r="P1788" i="1"/>
  <c r="U1787" i="1"/>
  <c r="T1787" i="1"/>
  <c r="S1787" i="1"/>
  <c r="R1787" i="1"/>
  <c r="Q1787" i="1"/>
  <c r="P1787" i="1"/>
  <c r="U1786" i="1"/>
  <c r="T1786" i="1"/>
  <c r="S1786" i="1"/>
  <c r="R1786" i="1"/>
  <c r="Q1786" i="1"/>
  <c r="P1786" i="1"/>
  <c r="U1785" i="1"/>
  <c r="T1785" i="1"/>
  <c r="S1785" i="1"/>
  <c r="R1785" i="1"/>
  <c r="Q1785" i="1"/>
  <c r="P1785" i="1"/>
  <c r="U1784" i="1"/>
  <c r="T1784" i="1"/>
  <c r="S1784" i="1"/>
  <c r="R1784" i="1"/>
  <c r="Q1784" i="1"/>
  <c r="P1784" i="1"/>
  <c r="U1783" i="1"/>
  <c r="T1783" i="1"/>
  <c r="S1783" i="1"/>
  <c r="R1783" i="1"/>
  <c r="Q1783" i="1"/>
  <c r="P1783" i="1"/>
  <c r="U1782" i="1"/>
  <c r="T1782" i="1"/>
  <c r="S1782" i="1"/>
  <c r="R1782" i="1"/>
  <c r="Q1782" i="1"/>
  <c r="P1782" i="1"/>
  <c r="U1781" i="1"/>
  <c r="T1781" i="1"/>
  <c r="S1781" i="1"/>
  <c r="R1781" i="1"/>
  <c r="Q1781" i="1"/>
  <c r="P1781" i="1"/>
  <c r="U1780" i="1"/>
  <c r="T1780" i="1"/>
  <c r="S1780" i="1"/>
  <c r="R1780" i="1"/>
  <c r="Q1780" i="1"/>
  <c r="P1780" i="1"/>
  <c r="U1779" i="1"/>
  <c r="T1779" i="1"/>
  <c r="S1779" i="1"/>
  <c r="R1779" i="1"/>
  <c r="Q1779" i="1"/>
  <c r="P1779" i="1"/>
  <c r="U1778" i="1"/>
  <c r="T1778" i="1"/>
  <c r="S1778" i="1"/>
  <c r="R1778" i="1"/>
  <c r="Q1778" i="1"/>
  <c r="P1778" i="1"/>
  <c r="U1777" i="1"/>
  <c r="T1777" i="1"/>
  <c r="S1777" i="1"/>
  <c r="R1777" i="1"/>
  <c r="Q1777" i="1"/>
  <c r="P1777" i="1"/>
  <c r="U1776" i="1"/>
  <c r="T1776" i="1"/>
  <c r="S1776" i="1"/>
  <c r="R1776" i="1"/>
  <c r="Q1776" i="1"/>
  <c r="P1776" i="1"/>
  <c r="U1775" i="1"/>
  <c r="T1775" i="1"/>
  <c r="S1775" i="1"/>
  <c r="R1775" i="1"/>
  <c r="Q1775" i="1"/>
  <c r="P1775" i="1"/>
  <c r="U1774" i="1"/>
  <c r="T1774" i="1"/>
  <c r="S1774" i="1"/>
  <c r="R1774" i="1"/>
  <c r="Q1774" i="1"/>
  <c r="P1774" i="1"/>
  <c r="U1773" i="1"/>
  <c r="T1773" i="1"/>
  <c r="S1773" i="1"/>
  <c r="R1773" i="1"/>
  <c r="Q1773" i="1"/>
  <c r="P1773" i="1"/>
  <c r="U1772" i="1"/>
  <c r="T1772" i="1"/>
  <c r="S1772" i="1"/>
  <c r="R1772" i="1"/>
  <c r="Q1772" i="1"/>
  <c r="P1772" i="1"/>
  <c r="U1771" i="1"/>
  <c r="T1771" i="1"/>
  <c r="S1771" i="1"/>
  <c r="R1771" i="1"/>
  <c r="Q1771" i="1"/>
  <c r="P1771" i="1"/>
  <c r="U1770" i="1"/>
  <c r="T1770" i="1"/>
  <c r="S1770" i="1"/>
  <c r="R1770" i="1"/>
  <c r="Q1770" i="1"/>
  <c r="P1770" i="1"/>
  <c r="U1769" i="1"/>
  <c r="T1769" i="1"/>
  <c r="S1769" i="1"/>
  <c r="R1769" i="1"/>
  <c r="Q1769" i="1"/>
  <c r="P1769" i="1"/>
  <c r="U1768" i="1"/>
  <c r="T1768" i="1"/>
  <c r="S1768" i="1"/>
  <c r="R1768" i="1"/>
  <c r="Q1768" i="1"/>
  <c r="P1768" i="1"/>
  <c r="U1767" i="1"/>
  <c r="T1767" i="1"/>
  <c r="S1767" i="1"/>
  <c r="R1767" i="1"/>
  <c r="Q1767" i="1"/>
  <c r="P1767" i="1"/>
  <c r="U1766" i="1"/>
  <c r="T1766" i="1"/>
  <c r="S1766" i="1"/>
  <c r="R1766" i="1"/>
  <c r="Q1766" i="1"/>
  <c r="P1766" i="1"/>
  <c r="U1765" i="1"/>
  <c r="T1765" i="1"/>
  <c r="S1765" i="1"/>
  <c r="R1765" i="1"/>
  <c r="Q1765" i="1"/>
  <c r="P1765" i="1"/>
  <c r="U1764" i="1"/>
  <c r="T1764" i="1"/>
  <c r="S1764" i="1"/>
  <c r="R1764" i="1"/>
  <c r="Q1764" i="1"/>
  <c r="P1764" i="1"/>
  <c r="U1763" i="1"/>
  <c r="T1763" i="1"/>
  <c r="S1763" i="1"/>
  <c r="R1763" i="1"/>
  <c r="Q1763" i="1"/>
  <c r="P1763" i="1"/>
  <c r="U1762" i="1"/>
  <c r="T1762" i="1"/>
  <c r="S1762" i="1"/>
  <c r="R1762" i="1"/>
  <c r="Q1762" i="1"/>
  <c r="P1762" i="1"/>
  <c r="U1761" i="1"/>
  <c r="T1761" i="1"/>
  <c r="S1761" i="1"/>
  <c r="R1761" i="1"/>
  <c r="Q1761" i="1"/>
  <c r="P1761" i="1"/>
  <c r="U1760" i="1"/>
  <c r="T1760" i="1"/>
  <c r="S1760" i="1"/>
  <c r="R1760" i="1"/>
  <c r="Q1760" i="1"/>
  <c r="P1760" i="1"/>
  <c r="U1759" i="1"/>
  <c r="T1759" i="1"/>
  <c r="S1759" i="1"/>
  <c r="R1759" i="1"/>
  <c r="Q1759" i="1"/>
  <c r="P1759" i="1"/>
  <c r="U1758" i="1"/>
  <c r="T1758" i="1"/>
  <c r="S1758" i="1"/>
  <c r="R1758" i="1"/>
  <c r="Q1758" i="1"/>
  <c r="P1758" i="1"/>
  <c r="U1757" i="1"/>
  <c r="T1757" i="1"/>
  <c r="S1757" i="1"/>
  <c r="R1757" i="1"/>
  <c r="Q1757" i="1"/>
  <c r="P1757" i="1"/>
  <c r="U1756" i="1"/>
  <c r="T1756" i="1"/>
  <c r="S1756" i="1"/>
  <c r="R1756" i="1"/>
  <c r="Q1756" i="1"/>
  <c r="P1756" i="1"/>
  <c r="U1755" i="1"/>
  <c r="T1755" i="1"/>
  <c r="S1755" i="1"/>
  <c r="R1755" i="1"/>
  <c r="Q1755" i="1"/>
  <c r="P1755" i="1"/>
  <c r="U1754" i="1"/>
  <c r="T1754" i="1"/>
  <c r="S1754" i="1"/>
  <c r="R1754" i="1"/>
  <c r="Q1754" i="1"/>
  <c r="P1754" i="1"/>
  <c r="U1753" i="1"/>
  <c r="T1753" i="1"/>
  <c r="S1753" i="1"/>
  <c r="R1753" i="1"/>
  <c r="Q1753" i="1"/>
  <c r="P1753" i="1"/>
  <c r="U1752" i="1"/>
  <c r="T1752" i="1"/>
  <c r="S1752" i="1"/>
  <c r="R1752" i="1"/>
  <c r="Q1752" i="1"/>
  <c r="P1752" i="1"/>
  <c r="U1751" i="1"/>
  <c r="T1751" i="1"/>
  <c r="S1751" i="1"/>
  <c r="R1751" i="1"/>
  <c r="Q1751" i="1"/>
  <c r="P1751" i="1"/>
  <c r="U1750" i="1"/>
  <c r="T1750" i="1"/>
  <c r="S1750" i="1"/>
  <c r="R1750" i="1"/>
  <c r="Q1750" i="1"/>
  <c r="P1750" i="1"/>
  <c r="U1749" i="1"/>
  <c r="T1749" i="1"/>
  <c r="S1749" i="1"/>
  <c r="R1749" i="1"/>
  <c r="Q1749" i="1"/>
  <c r="P1749" i="1"/>
  <c r="U1748" i="1"/>
  <c r="T1748" i="1"/>
  <c r="S1748" i="1"/>
  <c r="R1748" i="1"/>
  <c r="Q1748" i="1"/>
  <c r="P1748" i="1"/>
  <c r="U1747" i="1"/>
  <c r="T1747" i="1"/>
  <c r="S1747" i="1"/>
  <c r="R1747" i="1"/>
  <c r="Q1747" i="1"/>
  <c r="P1747" i="1"/>
  <c r="U1746" i="1"/>
  <c r="T1746" i="1"/>
  <c r="S1746" i="1"/>
  <c r="R1746" i="1"/>
  <c r="Q1746" i="1"/>
  <c r="P1746" i="1"/>
  <c r="U1745" i="1"/>
  <c r="T1745" i="1"/>
  <c r="S1745" i="1"/>
  <c r="R1745" i="1"/>
  <c r="Q1745" i="1"/>
  <c r="P1745" i="1"/>
  <c r="U1744" i="1"/>
  <c r="T1744" i="1"/>
  <c r="S1744" i="1"/>
  <c r="R1744" i="1"/>
  <c r="Q1744" i="1"/>
  <c r="P1744" i="1"/>
  <c r="U1743" i="1"/>
  <c r="T1743" i="1"/>
  <c r="S1743" i="1"/>
  <c r="R1743" i="1"/>
  <c r="Q1743" i="1"/>
  <c r="P1743" i="1"/>
  <c r="U1742" i="1"/>
  <c r="T1742" i="1"/>
  <c r="S1742" i="1"/>
  <c r="R1742" i="1"/>
  <c r="Q1742" i="1"/>
  <c r="P1742" i="1"/>
  <c r="U1741" i="1"/>
  <c r="T1741" i="1"/>
  <c r="S1741" i="1"/>
  <c r="R1741" i="1"/>
  <c r="Q1741" i="1"/>
  <c r="P1741" i="1"/>
  <c r="U1740" i="1"/>
  <c r="T1740" i="1"/>
  <c r="S1740" i="1"/>
  <c r="R1740" i="1"/>
  <c r="Q1740" i="1"/>
  <c r="P1740" i="1"/>
  <c r="U1739" i="1"/>
  <c r="T1739" i="1"/>
  <c r="S1739" i="1"/>
  <c r="R1739" i="1"/>
  <c r="Q1739" i="1"/>
  <c r="P1739" i="1"/>
  <c r="U1738" i="1"/>
  <c r="T1738" i="1"/>
  <c r="S1738" i="1"/>
  <c r="R1738" i="1"/>
  <c r="Q1738" i="1"/>
  <c r="P1738" i="1"/>
  <c r="U1737" i="1"/>
  <c r="T1737" i="1"/>
  <c r="S1737" i="1"/>
  <c r="R1737" i="1"/>
  <c r="Q1737" i="1"/>
  <c r="P1737" i="1"/>
  <c r="U1736" i="1"/>
  <c r="T1736" i="1"/>
  <c r="S1736" i="1"/>
  <c r="R1736" i="1"/>
  <c r="Q1736" i="1"/>
  <c r="P1736" i="1"/>
  <c r="U1735" i="1"/>
  <c r="T1735" i="1"/>
  <c r="S1735" i="1"/>
  <c r="R1735" i="1"/>
  <c r="Q1735" i="1"/>
  <c r="P1735" i="1"/>
  <c r="U1734" i="1"/>
  <c r="T1734" i="1"/>
  <c r="S1734" i="1"/>
  <c r="R1734" i="1"/>
  <c r="Q1734" i="1"/>
  <c r="P1734" i="1"/>
  <c r="U1733" i="1"/>
  <c r="T1733" i="1"/>
  <c r="S1733" i="1"/>
  <c r="R1733" i="1"/>
  <c r="Q1733" i="1"/>
  <c r="P1733" i="1"/>
  <c r="U1732" i="1"/>
  <c r="T1732" i="1"/>
  <c r="S1732" i="1"/>
  <c r="R1732" i="1"/>
  <c r="Q1732" i="1"/>
  <c r="P1732" i="1"/>
  <c r="U1731" i="1"/>
  <c r="T1731" i="1"/>
  <c r="S1731" i="1"/>
  <c r="R1731" i="1"/>
  <c r="Q1731" i="1"/>
  <c r="P1731" i="1"/>
  <c r="U1730" i="1"/>
  <c r="T1730" i="1"/>
  <c r="S1730" i="1"/>
  <c r="R1730" i="1"/>
  <c r="Q1730" i="1"/>
  <c r="P1730" i="1"/>
  <c r="U1729" i="1"/>
  <c r="T1729" i="1"/>
  <c r="S1729" i="1"/>
  <c r="R1729" i="1"/>
  <c r="Q1729" i="1"/>
  <c r="P1729" i="1"/>
  <c r="U1728" i="1"/>
  <c r="T1728" i="1"/>
  <c r="S1728" i="1"/>
  <c r="R1728" i="1"/>
  <c r="Q1728" i="1"/>
  <c r="P1728" i="1"/>
  <c r="U1727" i="1"/>
  <c r="T1727" i="1"/>
  <c r="S1727" i="1"/>
  <c r="R1727" i="1"/>
  <c r="Q1727" i="1"/>
  <c r="P1727" i="1"/>
  <c r="U1726" i="1"/>
  <c r="T1726" i="1"/>
  <c r="S1726" i="1"/>
  <c r="R1726" i="1"/>
  <c r="Q1726" i="1"/>
  <c r="P1726" i="1"/>
  <c r="U1725" i="1"/>
  <c r="T1725" i="1"/>
  <c r="S1725" i="1"/>
  <c r="R1725" i="1"/>
  <c r="Q1725" i="1"/>
  <c r="P1725" i="1"/>
  <c r="U1724" i="1"/>
  <c r="T1724" i="1"/>
  <c r="S1724" i="1"/>
  <c r="R1724" i="1"/>
  <c r="Q1724" i="1"/>
  <c r="P1724" i="1"/>
  <c r="U1723" i="1"/>
  <c r="T1723" i="1"/>
  <c r="S1723" i="1"/>
  <c r="R1723" i="1"/>
  <c r="Q1723" i="1"/>
  <c r="P1723" i="1"/>
  <c r="U1722" i="1"/>
  <c r="T1722" i="1"/>
  <c r="S1722" i="1"/>
  <c r="R1722" i="1"/>
  <c r="Q1722" i="1"/>
  <c r="P1722" i="1"/>
  <c r="U1721" i="1"/>
  <c r="T1721" i="1"/>
  <c r="S1721" i="1"/>
  <c r="R1721" i="1"/>
  <c r="Q1721" i="1"/>
  <c r="P1721" i="1"/>
  <c r="U1720" i="1"/>
  <c r="T1720" i="1"/>
  <c r="S1720" i="1"/>
  <c r="R1720" i="1"/>
  <c r="Q1720" i="1"/>
  <c r="P1720" i="1"/>
  <c r="U1719" i="1"/>
  <c r="T1719" i="1"/>
  <c r="S1719" i="1"/>
  <c r="R1719" i="1"/>
  <c r="Q1719" i="1"/>
  <c r="P1719" i="1"/>
  <c r="U1718" i="1"/>
  <c r="T1718" i="1"/>
  <c r="S1718" i="1"/>
  <c r="R1718" i="1"/>
  <c r="Q1718" i="1"/>
  <c r="P1718" i="1"/>
  <c r="U1717" i="1"/>
  <c r="T1717" i="1"/>
  <c r="S1717" i="1"/>
  <c r="R1717" i="1"/>
  <c r="Q1717" i="1"/>
  <c r="P1717" i="1"/>
  <c r="U1716" i="1"/>
  <c r="T1716" i="1"/>
  <c r="S1716" i="1"/>
  <c r="R1716" i="1"/>
  <c r="Q1716" i="1"/>
  <c r="P1716" i="1"/>
  <c r="U1715" i="1"/>
  <c r="T1715" i="1"/>
  <c r="S1715" i="1"/>
  <c r="R1715" i="1"/>
  <c r="Q1715" i="1"/>
  <c r="P1715" i="1"/>
  <c r="U1714" i="1"/>
  <c r="T1714" i="1"/>
  <c r="S1714" i="1"/>
  <c r="R1714" i="1"/>
  <c r="Q1714" i="1"/>
  <c r="P1714" i="1"/>
  <c r="U1713" i="1"/>
  <c r="T1713" i="1"/>
  <c r="S1713" i="1"/>
  <c r="R1713" i="1"/>
  <c r="Q1713" i="1"/>
  <c r="P1713" i="1"/>
  <c r="U1712" i="1"/>
  <c r="T1712" i="1"/>
  <c r="S1712" i="1"/>
  <c r="R1712" i="1"/>
  <c r="Q1712" i="1"/>
  <c r="P1712" i="1"/>
  <c r="U1711" i="1"/>
  <c r="T1711" i="1"/>
  <c r="S1711" i="1"/>
  <c r="R1711" i="1"/>
  <c r="Q1711" i="1"/>
  <c r="P1711" i="1"/>
  <c r="U1710" i="1"/>
  <c r="T1710" i="1"/>
  <c r="S1710" i="1"/>
  <c r="R1710" i="1"/>
  <c r="Q1710" i="1"/>
  <c r="P1710" i="1"/>
  <c r="U1709" i="1"/>
  <c r="T1709" i="1"/>
  <c r="S1709" i="1"/>
  <c r="R1709" i="1"/>
  <c r="Q1709" i="1"/>
  <c r="P1709" i="1"/>
  <c r="U1708" i="1"/>
  <c r="T1708" i="1"/>
  <c r="S1708" i="1"/>
  <c r="R1708" i="1"/>
  <c r="Q1708" i="1"/>
  <c r="P1708" i="1"/>
  <c r="U1707" i="1"/>
  <c r="T1707" i="1"/>
  <c r="S1707" i="1"/>
  <c r="R1707" i="1"/>
  <c r="Q1707" i="1"/>
  <c r="P1707" i="1"/>
  <c r="U1706" i="1"/>
  <c r="T1706" i="1"/>
  <c r="S1706" i="1"/>
  <c r="R1706" i="1"/>
  <c r="Q1706" i="1"/>
  <c r="P1706" i="1"/>
  <c r="U1705" i="1"/>
  <c r="T1705" i="1"/>
  <c r="S1705" i="1"/>
  <c r="R1705" i="1"/>
  <c r="Q1705" i="1"/>
  <c r="P1705" i="1"/>
  <c r="U1704" i="1"/>
  <c r="T1704" i="1"/>
  <c r="S1704" i="1"/>
  <c r="R1704" i="1"/>
  <c r="Q1704" i="1"/>
  <c r="P1704" i="1"/>
  <c r="U1703" i="1"/>
  <c r="T1703" i="1"/>
  <c r="S1703" i="1"/>
  <c r="R1703" i="1"/>
  <c r="Q1703" i="1"/>
  <c r="P1703" i="1"/>
  <c r="U1702" i="1"/>
  <c r="T1702" i="1"/>
  <c r="S1702" i="1"/>
  <c r="R1702" i="1"/>
  <c r="Q1702" i="1"/>
  <c r="P1702" i="1"/>
  <c r="U1701" i="1"/>
  <c r="T1701" i="1"/>
  <c r="S1701" i="1"/>
  <c r="R1701" i="1"/>
  <c r="Q1701" i="1"/>
  <c r="P1701" i="1"/>
  <c r="U1700" i="1"/>
  <c r="T1700" i="1"/>
  <c r="S1700" i="1"/>
  <c r="R1700" i="1"/>
  <c r="Q1700" i="1"/>
  <c r="P1700" i="1"/>
  <c r="U1699" i="1"/>
  <c r="T1699" i="1"/>
  <c r="S1699" i="1"/>
  <c r="R1699" i="1"/>
  <c r="Q1699" i="1"/>
  <c r="P1699" i="1"/>
  <c r="U1698" i="1"/>
  <c r="T1698" i="1"/>
  <c r="S1698" i="1"/>
  <c r="R1698" i="1"/>
  <c r="Q1698" i="1"/>
  <c r="P1698" i="1"/>
  <c r="U1697" i="1"/>
  <c r="T1697" i="1"/>
  <c r="S1697" i="1"/>
  <c r="R1697" i="1"/>
  <c r="Q1697" i="1"/>
  <c r="P1697" i="1"/>
  <c r="U1696" i="1"/>
  <c r="T1696" i="1"/>
  <c r="S1696" i="1"/>
  <c r="R1696" i="1"/>
  <c r="Q1696" i="1"/>
  <c r="P1696" i="1"/>
  <c r="U1695" i="1"/>
  <c r="T1695" i="1"/>
  <c r="S1695" i="1"/>
  <c r="R1695" i="1"/>
  <c r="Q1695" i="1"/>
  <c r="P1695" i="1"/>
  <c r="U1694" i="1"/>
  <c r="T1694" i="1"/>
  <c r="S1694" i="1"/>
  <c r="R1694" i="1"/>
  <c r="Q1694" i="1"/>
  <c r="P1694" i="1"/>
  <c r="U1693" i="1"/>
  <c r="T1693" i="1"/>
  <c r="S1693" i="1"/>
  <c r="R1693" i="1"/>
  <c r="Q1693" i="1"/>
  <c r="P1693" i="1"/>
  <c r="U1692" i="1"/>
  <c r="T1692" i="1"/>
  <c r="S1692" i="1"/>
  <c r="R1692" i="1"/>
  <c r="Q1692" i="1"/>
  <c r="P1692" i="1"/>
  <c r="U1691" i="1"/>
  <c r="T1691" i="1"/>
  <c r="S1691" i="1"/>
  <c r="R1691" i="1"/>
  <c r="Q1691" i="1"/>
  <c r="P1691" i="1"/>
  <c r="U1690" i="1"/>
  <c r="T1690" i="1"/>
  <c r="S1690" i="1"/>
  <c r="R1690" i="1"/>
  <c r="Q1690" i="1"/>
  <c r="P1690" i="1"/>
  <c r="U1689" i="1"/>
  <c r="T1689" i="1"/>
  <c r="S1689" i="1"/>
  <c r="R1689" i="1"/>
  <c r="Q1689" i="1"/>
  <c r="P1689" i="1"/>
  <c r="U1688" i="1"/>
  <c r="T1688" i="1"/>
  <c r="S1688" i="1"/>
  <c r="R1688" i="1"/>
  <c r="Q1688" i="1"/>
  <c r="P1688" i="1"/>
  <c r="U1687" i="1"/>
  <c r="T1687" i="1"/>
  <c r="S1687" i="1"/>
  <c r="R1687" i="1"/>
  <c r="Q1687" i="1"/>
  <c r="P1687" i="1"/>
  <c r="U1686" i="1"/>
  <c r="T1686" i="1"/>
  <c r="S1686" i="1"/>
  <c r="R1686" i="1"/>
  <c r="Q1686" i="1"/>
  <c r="P1686" i="1"/>
  <c r="U1685" i="1"/>
  <c r="T1685" i="1"/>
  <c r="S1685" i="1"/>
  <c r="R1685" i="1"/>
  <c r="Q1685" i="1"/>
  <c r="P1685" i="1"/>
  <c r="U1684" i="1"/>
  <c r="T1684" i="1"/>
  <c r="S1684" i="1"/>
  <c r="R1684" i="1"/>
  <c r="Q1684" i="1"/>
  <c r="P1684" i="1"/>
  <c r="U1683" i="1"/>
  <c r="T1683" i="1"/>
  <c r="S1683" i="1"/>
  <c r="R1683" i="1"/>
  <c r="Q1683" i="1"/>
  <c r="P1683" i="1"/>
  <c r="U1682" i="1"/>
  <c r="T1682" i="1"/>
  <c r="S1682" i="1"/>
  <c r="R1682" i="1"/>
  <c r="Q1682" i="1"/>
  <c r="P1682" i="1"/>
  <c r="U1681" i="1"/>
  <c r="T1681" i="1"/>
  <c r="S1681" i="1"/>
  <c r="R1681" i="1"/>
  <c r="Q1681" i="1"/>
  <c r="P1681" i="1"/>
  <c r="U1680" i="1"/>
  <c r="T1680" i="1"/>
  <c r="S1680" i="1"/>
  <c r="R1680" i="1"/>
  <c r="Q1680" i="1"/>
  <c r="P1680" i="1"/>
  <c r="U1679" i="1"/>
  <c r="T1679" i="1"/>
  <c r="S1679" i="1"/>
  <c r="R1679" i="1"/>
  <c r="Q1679" i="1"/>
  <c r="P1679" i="1"/>
  <c r="U1678" i="1"/>
  <c r="T1678" i="1"/>
  <c r="S1678" i="1"/>
  <c r="R1678" i="1"/>
  <c r="Q1678" i="1"/>
  <c r="P1678" i="1"/>
  <c r="U1677" i="1"/>
  <c r="T1677" i="1"/>
  <c r="S1677" i="1"/>
  <c r="R1677" i="1"/>
  <c r="Q1677" i="1"/>
  <c r="P1677" i="1"/>
  <c r="U1676" i="1"/>
  <c r="T1676" i="1"/>
  <c r="S1676" i="1"/>
  <c r="R1676" i="1"/>
  <c r="Q1676" i="1"/>
  <c r="P1676" i="1"/>
  <c r="U1675" i="1"/>
  <c r="T1675" i="1"/>
  <c r="S1675" i="1"/>
  <c r="R1675" i="1"/>
  <c r="Q1675" i="1"/>
  <c r="P1675" i="1"/>
  <c r="U1674" i="1"/>
  <c r="T1674" i="1"/>
  <c r="S1674" i="1"/>
  <c r="R1674" i="1"/>
  <c r="Q1674" i="1"/>
  <c r="P1674" i="1"/>
  <c r="U1673" i="1"/>
  <c r="T1673" i="1"/>
  <c r="S1673" i="1"/>
  <c r="R1673" i="1"/>
  <c r="Q1673" i="1"/>
  <c r="P1673" i="1"/>
  <c r="U1672" i="1"/>
  <c r="T1672" i="1"/>
  <c r="S1672" i="1"/>
  <c r="R1672" i="1"/>
  <c r="Q1672" i="1"/>
  <c r="P1672" i="1"/>
  <c r="U1671" i="1"/>
  <c r="T1671" i="1"/>
  <c r="S1671" i="1"/>
  <c r="R1671" i="1"/>
  <c r="Q1671" i="1"/>
  <c r="P1671" i="1"/>
  <c r="U1670" i="1"/>
  <c r="T1670" i="1"/>
  <c r="S1670" i="1"/>
  <c r="R1670" i="1"/>
  <c r="Q1670" i="1"/>
  <c r="P1670" i="1"/>
  <c r="U1669" i="1"/>
  <c r="T1669" i="1"/>
  <c r="S1669" i="1"/>
  <c r="R1669" i="1"/>
  <c r="Q1669" i="1"/>
  <c r="P1669" i="1"/>
  <c r="U1668" i="1"/>
  <c r="T1668" i="1"/>
  <c r="S1668" i="1"/>
  <c r="R1668" i="1"/>
  <c r="Q1668" i="1"/>
  <c r="P1668" i="1"/>
  <c r="U1667" i="1"/>
  <c r="T1667" i="1"/>
  <c r="S1667" i="1"/>
  <c r="R1667" i="1"/>
  <c r="Q1667" i="1"/>
  <c r="P1667" i="1"/>
  <c r="U1666" i="1"/>
  <c r="T1666" i="1"/>
  <c r="S1666" i="1"/>
  <c r="R1666" i="1"/>
  <c r="Q1666" i="1"/>
  <c r="P1666" i="1"/>
  <c r="U1665" i="1"/>
  <c r="T1665" i="1"/>
  <c r="S1665" i="1"/>
  <c r="R1665" i="1"/>
  <c r="Q1665" i="1"/>
  <c r="P1665" i="1"/>
  <c r="U1664" i="1"/>
  <c r="T1664" i="1"/>
  <c r="S1664" i="1"/>
  <c r="R1664" i="1"/>
  <c r="Q1664" i="1"/>
  <c r="P1664" i="1"/>
  <c r="U1663" i="1"/>
  <c r="T1663" i="1"/>
  <c r="S1663" i="1"/>
  <c r="R1663" i="1"/>
  <c r="Q1663" i="1"/>
  <c r="P1663" i="1"/>
  <c r="U1662" i="1"/>
  <c r="T1662" i="1"/>
  <c r="S1662" i="1"/>
  <c r="R1662" i="1"/>
  <c r="Q1662" i="1"/>
  <c r="P1662" i="1"/>
  <c r="U1661" i="1"/>
  <c r="T1661" i="1"/>
  <c r="S1661" i="1"/>
  <c r="R1661" i="1"/>
  <c r="Q1661" i="1"/>
  <c r="P1661" i="1"/>
  <c r="U1660" i="1"/>
  <c r="T1660" i="1"/>
  <c r="S1660" i="1"/>
  <c r="R1660" i="1"/>
  <c r="Q1660" i="1"/>
  <c r="P1660" i="1"/>
  <c r="U1659" i="1"/>
  <c r="T1659" i="1"/>
  <c r="S1659" i="1"/>
  <c r="R1659" i="1"/>
  <c r="Q1659" i="1"/>
  <c r="P1659" i="1"/>
  <c r="U1658" i="1"/>
  <c r="T1658" i="1"/>
  <c r="S1658" i="1"/>
  <c r="R1658" i="1"/>
  <c r="Q1658" i="1"/>
  <c r="P1658" i="1"/>
  <c r="U1657" i="1"/>
  <c r="T1657" i="1"/>
  <c r="S1657" i="1"/>
  <c r="R1657" i="1"/>
  <c r="Q1657" i="1"/>
  <c r="P1657" i="1"/>
  <c r="U1656" i="1"/>
  <c r="T1656" i="1"/>
  <c r="S1656" i="1"/>
  <c r="R1656" i="1"/>
  <c r="Q1656" i="1"/>
  <c r="P1656" i="1"/>
  <c r="U1655" i="1"/>
  <c r="T1655" i="1"/>
  <c r="S1655" i="1"/>
  <c r="R1655" i="1"/>
  <c r="Q1655" i="1"/>
  <c r="P1655" i="1"/>
  <c r="U1654" i="1"/>
  <c r="T1654" i="1"/>
  <c r="S1654" i="1"/>
  <c r="R1654" i="1"/>
  <c r="Q1654" i="1"/>
  <c r="P1654" i="1"/>
  <c r="U1653" i="1"/>
  <c r="T1653" i="1"/>
  <c r="S1653" i="1"/>
  <c r="R1653" i="1"/>
  <c r="Q1653" i="1"/>
  <c r="P1653" i="1"/>
  <c r="U1652" i="1"/>
  <c r="T1652" i="1"/>
  <c r="S1652" i="1"/>
  <c r="R1652" i="1"/>
  <c r="Q1652" i="1"/>
  <c r="P1652" i="1"/>
  <c r="U1651" i="1"/>
  <c r="T1651" i="1"/>
  <c r="S1651" i="1"/>
  <c r="R1651" i="1"/>
  <c r="Q1651" i="1"/>
  <c r="P1651" i="1"/>
  <c r="U1650" i="1"/>
  <c r="T1650" i="1"/>
  <c r="S1650" i="1"/>
  <c r="R1650" i="1"/>
  <c r="Q1650" i="1"/>
  <c r="P1650" i="1"/>
  <c r="U1649" i="1"/>
  <c r="T1649" i="1"/>
  <c r="S1649" i="1"/>
  <c r="R1649" i="1"/>
  <c r="Q1649" i="1"/>
  <c r="P1649" i="1"/>
  <c r="U1648" i="1"/>
  <c r="T1648" i="1"/>
  <c r="S1648" i="1"/>
  <c r="R1648" i="1"/>
  <c r="Q1648" i="1"/>
  <c r="P1648" i="1"/>
  <c r="U1647" i="1"/>
  <c r="T1647" i="1"/>
  <c r="S1647" i="1"/>
  <c r="R1647" i="1"/>
  <c r="Q1647" i="1"/>
  <c r="P1647" i="1"/>
  <c r="U1646" i="1"/>
  <c r="T1646" i="1"/>
  <c r="S1646" i="1"/>
  <c r="R1646" i="1"/>
  <c r="Q1646" i="1"/>
  <c r="P1646" i="1"/>
  <c r="U1645" i="1"/>
  <c r="T1645" i="1"/>
  <c r="S1645" i="1"/>
  <c r="R1645" i="1"/>
  <c r="Q1645" i="1"/>
  <c r="P1645" i="1"/>
  <c r="U1644" i="1"/>
  <c r="T1644" i="1"/>
  <c r="S1644" i="1"/>
  <c r="R1644" i="1"/>
  <c r="Q1644" i="1"/>
  <c r="P1644" i="1"/>
  <c r="U1643" i="1"/>
  <c r="T1643" i="1"/>
  <c r="S1643" i="1"/>
  <c r="R1643" i="1"/>
  <c r="Q1643" i="1"/>
  <c r="P1643" i="1"/>
  <c r="U1642" i="1"/>
  <c r="T1642" i="1"/>
  <c r="S1642" i="1"/>
  <c r="R1642" i="1"/>
  <c r="Q1642" i="1"/>
  <c r="P1642" i="1"/>
  <c r="U1641" i="1"/>
  <c r="T1641" i="1"/>
  <c r="S1641" i="1"/>
  <c r="R1641" i="1"/>
  <c r="Q1641" i="1"/>
  <c r="P1641" i="1"/>
  <c r="U1640" i="1"/>
  <c r="T1640" i="1"/>
  <c r="S1640" i="1"/>
  <c r="R1640" i="1"/>
  <c r="Q1640" i="1"/>
  <c r="P1640" i="1"/>
  <c r="U1639" i="1"/>
  <c r="T1639" i="1"/>
  <c r="S1639" i="1"/>
  <c r="R1639" i="1"/>
  <c r="Q1639" i="1"/>
  <c r="P1639" i="1"/>
  <c r="U1638" i="1"/>
  <c r="T1638" i="1"/>
  <c r="S1638" i="1"/>
  <c r="R1638" i="1"/>
  <c r="Q1638" i="1"/>
  <c r="P1638" i="1"/>
  <c r="U1637" i="1"/>
  <c r="T1637" i="1"/>
  <c r="S1637" i="1"/>
  <c r="R1637" i="1"/>
  <c r="Q1637" i="1"/>
  <c r="P1637" i="1"/>
  <c r="U1636" i="1"/>
  <c r="T1636" i="1"/>
  <c r="S1636" i="1"/>
  <c r="R1636" i="1"/>
  <c r="Q1636" i="1"/>
  <c r="P1636" i="1"/>
  <c r="U1635" i="1"/>
  <c r="T1635" i="1"/>
  <c r="S1635" i="1"/>
  <c r="R1635" i="1"/>
  <c r="Q1635" i="1"/>
  <c r="P1635" i="1"/>
  <c r="U1634" i="1"/>
  <c r="T1634" i="1"/>
  <c r="S1634" i="1"/>
  <c r="R1634" i="1"/>
  <c r="Q1634" i="1"/>
  <c r="P1634" i="1"/>
  <c r="U1633" i="1"/>
  <c r="T1633" i="1"/>
  <c r="S1633" i="1"/>
  <c r="R1633" i="1"/>
  <c r="Q1633" i="1"/>
  <c r="P1633" i="1"/>
  <c r="U1632" i="1"/>
  <c r="T1632" i="1"/>
  <c r="S1632" i="1"/>
  <c r="R1632" i="1"/>
  <c r="Q1632" i="1"/>
  <c r="P1632" i="1"/>
  <c r="U1631" i="1"/>
  <c r="T1631" i="1"/>
  <c r="S1631" i="1"/>
  <c r="R1631" i="1"/>
  <c r="Q1631" i="1"/>
  <c r="P1631" i="1"/>
  <c r="U1630" i="1"/>
  <c r="T1630" i="1"/>
  <c r="S1630" i="1"/>
  <c r="R1630" i="1"/>
  <c r="Q1630" i="1"/>
  <c r="P1630" i="1"/>
  <c r="U1629" i="1"/>
  <c r="T1629" i="1"/>
  <c r="S1629" i="1"/>
  <c r="R1629" i="1"/>
  <c r="Q1629" i="1"/>
  <c r="P1629" i="1"/>
  <c r="U1628" i="1"/>
  <c r="T1628" i="1"/>
  <c r="S1628" i="1"/>
  <c r="R1628" i="1"/>
  <c r="Q1628" i="1"/>
  <c r="P1628" i="1"/>
  <c r="U1627" i="1"/>
  <c r="T1627" i="1"/>
  <c r="S1627" i="1"/>
  <c r="R1627" i="1"/>
  <c r="Q1627" i="1"/>
  <c r="P1627" i="1"/>
  <c r="U1626" i="1"/>
  <c r="T1626" i="1"/>
  <c r="S1626" i="1"/>
  <c r="R1626" i="1"/>
  <c r="Q1626" i="1"/>
  <c r="P1626" i="1"/>
  <c r="U1625" i="1"/>
  <c r="T1625" i="1"/>
  <c r="S1625" i="1"/>
  <c r="R1625" i="1"/>
  <c r="Q1625" i="1"/>
  <c r="P1625" i="1"/>
  <c r="U1624" i="1"/>
  <c r="T1624" i="1"/>
  <c r="S1624" i="1"/>
  <c r="R1624" i="1"/>
  <c r="Q1624" i="1"/>
  <c r="P1624" i="1"/>
  <c r="U1623" i="1"/>
  <c r="T1623" i="1"/>
  <c r="S1623" i="1"/>
  <c r="R1623" i="1"/>
  <c r="Q1623" i="1"/>
  <c r="P1623" i="1"/>
  <c r="U1622" i="1"/>
  <c r="T1622" i="1"/>
  <c r="S1622" i="1"/>
  <c r="R1622" i="1"/>
  <c r="Q1622" i="1"/>
  <c r="P1622" i="1"/>
  <c r="U1621" i="1"/>
  <c r="T1621" i="1"/>
  <c r="S1621" i="1"/>
  <c r="R1621" i="1"/>
  <c r="Q1621" i="1"/>
  <c r="P1621" i="1"/>
  <c r="U1620" i="1"/>
  <c r="T1620" i="1"/>
  <c r="S1620" i="1"/>
  <c r="R1620" i="1"/>
  <c r="Q1620" i="1"/>
  <c r="P1620" i="1"/>
  <c r="U1619" i="1"/>
  <c r="T1619" i="1"/>
  <c r="S1619" i="1"/>
  <c r="R1619" i="1"/>
  <c r="Q1619" i="1"/>
  <c r="P1619" i="1"/>
  <c r="U1618" i="1"/>
  <c r="T1618" i="1"/>
  <c r="S1618" i="1"/>
  <c r="R1618" i="1"/>
  <c r="Q1618" i="1"/>
  <c r="P1618" i="1"/>
  <c r="U1617" i="1"/>
  <c r="T1617" i="1"/>
  <c r="S1617" i="1"/>
  <c r="R1617" i="1"/>
  <c r="Q1617" i="1"/>
  <c r="P1617" i="1"/>
  <c r="U1616" i="1"/>
  <c r="T1616" i="1"/>
  <c r="S1616" i="1"/>
  <c r="R1616" i="1"/>
  <c r="Q1616" i="1"/>
  <c r="P1616" i="1"/>
  <c r="U1615" i="1"/>
  <c r="T1615" i="1"/>
  <c r="S1615" i="1"/>
  <c r="R1615" i="1"/>
  <c r="Q1615" i="1"/>
  <c r="P1615" i="1"/>
  <c r="U1614" i="1"/>
  <c r="T1614" i="1"/>
  <c r="S1614" i="1"/>
  <c r="R1614" i="1"/>
  <c r="Q1614" i="1"/>
  <c r="P1614" i="1"/>
  <c r="U1613" i="1"/>
  <c r="T1613" i="1"/>
  <c r="S1613" i="1"/>
  <c r="R1613" i="1"/>
  <c r="Q1613" i="1"/>
  <c r="P1613" i="1"/>
  <c r="U1612" i="1"/>
  <c r="T1612" i="1"/>
  <c r="S1612" i="1"/>
  <c r="R1612" i="1"/>
  <c r="Q1612" i="1"/>
  <c r="P1612" i="1"/>
  <c r="U1611" i="1"/>
  <c r="T1611" i="1"/>
  <c r="S1611" i="1"/>
  <c r="R1611" i="1"/>
  <c r="Q1611" i="1"/>
  <c r="P1611" i="1"/>
  <c r="U1610" i="1"/>
  <c r="T1610" i="1"/>
  <c r="S1610" i="1"/>
  <c r="R1610" i="1"/>
  <c r="Q1610" i="1"/>
  <c r="P1610" i="1"/>
  <c r="U1609" i="1"/>
  <c r="T1609" i="1"/>
  <c r="S1609" i="1"/>
  <c r="R1609" i="1"/>
  <c r="Q1609" i="1"/>
  <c r="P1609" i="1"/>
  <c r="U1608" i="1"/>
  <c r="T1608" i="1"/>
  <c r="S1608" i="1"/>
  <c r="R1608" i="1"/>
  <c r="Q1608" i="1"/>
  <c r="P1608" i="1"/>
  <c r="U1607" i="1"/>
  <c r="T1607" i="1"/>
  <c r="S1607" i="1"/>
  <c r="R1607" i="1"/>
  <c r="Q1607" i="1"/>
  <c r="P1607" i="1"/>
  <c r="U1606" i="1"/>
  <c r="T1606" i="1"/>
  <c r="S1606" i="1"/>
  <c r="R1606" i="1"/>
  <c r="Q1606" i="1"/>
  <c r="P1606" i="1"/>
  <c r="U1605" i="1"/>
  <c r="T1605" i="1"/>
  <c r="S1605" i="1"/>
  <c r="R1605" i="1"/>
  <c r="Q1605" i="1"/>
  <c r="P1605" i="1"/>
  <c r="U1604" i="1"/>
  <c r="T1604" i="1"/>
  <c r="S1604" i="1"/>
  <c r="R1604" i="1"/>
  <c r="Q1604" i="1"/>
  <c r="P1604" i="1"/>
  <c r="U1603" i="1"/>
  <c r="T1603" i="1"/>
  <c r="S1603" i="1"/>
  <c r="R1603" i="1"/>
  <c r="Q1603" i="1"/>
  <c r="P1603" i="1"/>
  <c r="U1602" i="1"/>
  <c r="T1602" i="1"/>
  <c r="S1602" i="1"/>
  <c r="R1602" i="1"/>
  <c r="Q1602" i="1"/>
  <c r="P1602" i="1"/>
  <c r="U1601" i="1"/>
  <c r="T1601" i="1"/>
  <c r="S1601" i="1"/>
  <c r="R1601" i="1"/>
  <c r="Q1601" i="1"/>
  <c r="P1601" i="1"/>
  <c r="U1600" i="1"/>
  <c r="T1600" i="1"/>
  <c r="S1600" i="1"/>
  <c r="R1600" i="1"/>
  <c r="Q1600" i="1"/>
  <c r="P1600" i="1"/>
  <c r="U1599" i="1"/>
  <c r="T1599" i="1"/>
  <c r="S1599" i="1"/>
  <c r="R1599" i="1"/>
  <c r="Q1599" i="1"/>
  <c r="P1599" i="1"/>
  <c r="U1598" i="1"/>
  <c r="T1598" i="1"/>
  <c r="S1598" i="1"/>
  <c r="R1598" i="1"/>
  <c r="Q1598" i="1"/>
  <c r="P1598" i="1"/>
  <c r="U1597" i="1"/>
  <c r="T1597" i="1"/>
  <c r="S1597" i="1"/>
  <c r="R1597" i="1"/>
  <c r="Q1597" i="1"/>
  <c r="P1597" i="1"/>
  <c r="U1596" i="1"/>
  <c r="T1596" i="1"/>
  <c r="S1596" i="1"/>
  <c r="R1596" i="1"/>
  <c r="Q1596" i="1"/>
  <c r="P1596" i="1"/>
  <c r="U1595" i="1"/>
  <c r="T1595" i="1"/>
  <c r="S1595" i="1"/>
  <c r="R1595" i="1"/>
  <c r="Q1595" i="1"/>
  <c r="P1595" i="1"/>
  <c r="U1594" i="1"/>
  <c r="T1594" i="1"/>
  <c r="S1594" i="1"/>
  <c r="R1594" i="1"/>
  <c r="Q1594" i="1"/>
  <c r="P1594" i="1"/>
  <c r="U1593" i="1"/>
  <c r="T1593" i="1"/>
  <c r="S1593" i="1"/>
  <c r="R1593" i="1"/>
  <c r="Q1593" i="1"/>
  <c r="P1593" i="1"/>
  <c r="U1592" i="1"/>
  <c r="T1592" i="1"/>
  <c r="S1592" i="1"/>
  <c r="R1592" i="1"/>
  <c r="Q1592" i="1"/>
  <c r="P1592" i="1"/>
  <c r="U1591" i="1"/>
  <c r="T1591" i="1"/>
  <c r="S1591" i="1"/>
  <c r="R1591" i="1"/>
  <c r="Q1591" i="1"/>
  <c r="P1591" i="1"/>
  <c r="U1590" i="1"/>
  <c r="T1590" i="1"/>
  <c r="S1590" i="1"/>
  <c r="R1590" i="1"/>
  <c r="Q1590" i="1"/>
  <c r="P1590" i="1"/>
  <c r="U1589" i="1"/>
  <c r="T1589" i="1"/>
  <c r="S1589" i="1"/>
  <c r="R1589" i="1"/>
  <c r="Q1589" i="1"/>
  <c r="P1589" i="1"/>
  <c r="U1588" i="1"/>
  <c r="T1588" i="1"/>
  <c r="S1588" i="1"/>
  <c r="R1588" i="1"/>
  <c r="Q1588" i="1"/>
  <c r="P1588" i="1"/>
  <c r="U1587" i="1"/>
  <c r="T1587" i="1"/>
  <c r="S1587" i="1"/>
  <c r="R1587" i="1"/>
  <c r="Q1587" i="1"/>
  <c r="P1587" i="1"/>
  <c r="U1586" i="1"/>
  <c r="T1586" i="1"/>
  <c r="S1586" i="1"/>
  <c r="R1586" i="1"/>
  <c r="Q1586" i="1"/>
  <c r="P1586" i="1"/>
  <c r="U1585" i="1"/>
  <c r="T1585" i="1"/>
  <c r="S1585" i="1"/>
  <c r="R1585" i="1"/>
  <c r="Q1585" i="1"/>
  <c r="P1585" i="1"/>
  <c r="U1584" i="1"/>
  <c r="T1584" i="1"/>
  <c r="S1584" i="1"/>
  <c r="R1584" i="1"/>
  <c r="Q1584" i="1"/>
  <c r="P1584" i="1"/>
  <c r="U1583" i="1"/>
  <c r="T1583" i="1"/>
  <c r="S1583" i="1"/>
  <c r="R1583" i="1"/>
  <c r="Q1583" i="1"/>
  <c r="P1583" i="1"/>
  <c r="U1582" i="1"/>
  <c r="T1582" i="1"/>
  <c r="S1582" i="1"/>
  <c r="R1582" i="1"/>
  <c r="Q1582" i="1"/>
  <c r="P1582" i="1"/>
  <c r="U1581" i="1"/>
  <c r="T1581" i="1"/>
  <c r="S1581" i="1"/>
  <c r="R1581" i="1"/>
  <c r="Q1581" i="1"/>
  <c r="P1581" i="1"/>
  <c r="U1580" i="1"/>
  <c r="T1580" i="1"/>
  <c r="S1580" i="1"/>
  <c r="R1580" i="1"/>
  <c r="Q1580" i="1"/>
  <c r="P1580" i="1"/>
  <c r="U1579" i="1"/>
  <c r="T1579" i="1"/>
  <c r="S1579" i="1"/>
  <c r="R1579" i="1"/>
  <c r="Q1579" i="1"/>
  <c r="P1579" i="1"/>
  <c r="U1578" i="1"/>
  <c r="T1578" i="1"/>
  <c r="S1578" i="1"/>
  <c r="R1578" i="1"/>
  <c r="Q1578" i="1"/>
  <c r="P1578" i="1"/>
  <c r="U1577" i="1"/>
  <c r="T1577" i="1"/>
  <c r="S1577" i="1"/>
  <c r="R1577" i="1"/>
  <c r="Q1577" i="1"/>
  <c r="P1577" i="1"/>
  <c r="U1576" i="1"/>
  <c r="T1576" i="1"/>
  <c r="S1576" i="1"/>
  <c r="R1576" i="1"/>
  <c r="Q1576" i="1"/>
  <c r="P1576" i="1"/>
  <c r="U1575" i="1"/>
  <c r="T1575" i="1"/>
  <c r="S1575" i="1"/>
  <c r="R1575" i="1"/>
  <c r="Q1575" i="1"/>
  <c r="P1575" i="1"/>
  <c r="U1574" i="1"/>
  <c r="T1574" i="1"/>
  <c r="S1574" i="1"/>
  <c r="R1574" i="1"/>
  <c r="Q1574" i="1"/>
  <c r="P1574" i="1"/>
  <c r="U1573" i="1"/>
  <c r="T1573" i="1"/>
  <c r="S1573" i="1"/>
  <c r="R1573" i="1"/>
  <c r="Q1573" i="1"/>
  <c r="P1573" i="1"/>
  <c r="U1572" i="1"/>
  <c r="T1572" i="1"/>
  <c r="S1572" i="1"/>
  <c r="R1572" i="1"/>
  <c r="Q1572" i="1"/>
  <c r="P1572" i="1"/>
  <c r="U1571" i="1"/>
  <c r="T1571" i="1"/>
  <c r="S1571" i="1"/>
  <c r="R1571" i="1"/>
  <c r="Q1571" i="1"/>
  <c r="P1571" i="1"/>
  <c r="U1570" i="1"/>
  <c r="T1570" i="1"/>
  <c r="S1570" i="1"/>
  <c r="R1570" i="1"/>
  <c r="Q1570" i="1"/>
  <c r="P1570" i="1"/>
  <c r="U1569" i="1"/>
  <c r="T1569" i="1"/>
  <c r="S1569" i="1"/>
  <c r="R1569" i="1"/>
  <c r="Q1569" i="1"/>
  <c r="P1569" i="1"/>
  <c r="U1568" i="1"/>
  <c r="T1568" i="1"/>
  <c r="S1568" i="1"/>
  <c r="R1568" i="1"/>
  <c r="Q1568" i="1"/>
  <c r="P1568" i="1"/>
  <c r="U1567" i="1"/>
  <c r="T1567" i="1"/>
  <c r="S1567" i="1"/>
  <c r="R1567" i="1"/>
  <c r="Q1567" i="1"/>
  <c r="P1567" i="1"/>
  <c r="U1566" i="1"/>
  <c r="T1566" i="1"/>
  <c r="S1566" i="1"/>
  <c r="R1566" i="1"/>
  <c r="Q1566" i="1"/>
  <c r="P1566" i="1"/>
  <c r="U1565" i="1"/>
  <c r="T1565" i="1"/>
  <c r="S1565" i="1"/>
  <c r="R1565" i="1"/>
  <c r="Q1565" i="1"/>
  <c r="P1565" i="1"/>
  <c r="U1564" i="1"/>
  <c r="T1564" i="1"/>
  <c r="S1564" i="1"/>
  <c r="R1564" i="1"/>
  <c r="Q1564" i="1"/>
  <c r="P1564" i="1"/>
  <c r="U1563" i="1"/>
  <c r="T1563" i="1"/>
  <c r="S1563" i="1"/>
  <c r="R1563" i="1"/>
  <c r="Q1563" i="1"/>
  <c r="P1563" i="1"/>
  <c r="U1562" i="1"/>
  <c r="T1562" i="1"/>
  <c r="S1562" i="1"/>
  <c r="R1562" i="1"/>
  <c r="Q1562" i="1"/>
  <c r="P1562" i="1"/>
  <c r="U1561" i="1"/>
  <c r="T1561" i="1"/>
  <c r="S1561" i="1"/>
  <c r="R1561" i="1"/>
  <c r="Q1561" i="1"/>
  <c r="P1561" i="1"/>
  <c r="U1560" i="1"/>
  <c r="T1560" i="1"/>
  <c r="S1560" i="1"/>
  <c r="R1560" i="1"/>
  <c r="Q1560" i="1"/>
  <c r="P1560" i="1"/>
  <c r="U1559" i="1"/>
  <c r="T1559" i="1"/>
  <c r="S1559" i="1"/>
  <c r="R1559" i="1"/>
  <c r="Q1559" i="1"/>
  <c r="P1559" i="1"/>
  <c r="U1558" i="1"/>
  <c r="T1558" i="1"/>
  <c r="S1558" i="1"/>
  <c r="R1558" i="1"/>
  <c r="Q1558" i="1"/>
  <c r="P1558" i="1"/>
  <c r="U1557" i="1"/>
  <c r="T1557" i="1"/>
  <c r="S1557" i="1"/>
  <c r="R1557" i="1"/>
  <c r="Q1557" i="1"/>
  <c r="P1557" i="1"/>
  <c r="U1556" i="1"/>
  <c r="T1556" i="1"/>
  <c r="S1556" i="1"/>
  <c r="R1556" i="1"/>
  <c r="Q1556" i="1"/>
  <c r="P1556" i="1"/>
  <c r="U1555" i="1"/>
  <c r="T1555" i="1"/>
  <c r="S1555" i="1"/>
  <c r="R1555" i="1"/>
  <c r="Q1555" i="1"/>
  <c r="P1555" i="1"/>
  <c r="U1554" i="1"/>
  <c r="T1554" i="1"/>
  <c r="S1554" i="1"/>
  <c r="R1554" i="1"/>
  <c r="Q1554" i="1"/>
  <c r="P1554" i="1"/>
  <c r="U1553" i="1"/>
  <c r="T1553" i="1"/>
  <c r="S1553" i="1"/>
  <c r="R1553" i="1"/>
  <c r="Q1553" i="1"/>
  <c r="P1553" i="1"/>
  <c r="U1552" i="1"/>
  <c r="T1552" i="1"/>
  <c r="S1552" i="1"/>
  <c r="R1552" i="1"/>
  <c r="Q1552" i="1"/>
  <c r="P1552" i="1"/>
  <c r="U1551" i="1"/>
  <c r="T1551" i="1"/>
  <c r="S1551" i="1"/>
  <c r="R1551" i="1"/>
  <c r="Q1551" i="1"/>
  <c r="P1551" i="1"/>
  <c r="U1550" i="1"/>
  <c r="T1550" i="1"/>
  <c r="S1550" i="1"/>
  <c r="R1550" i="1"/>
  <c r="Q1550" i="1"/>
  <c r="P1550" i="1"/>
  <c r="U1549" i="1"/>
  <c r="T1549" i="1"/>
  <c r="S1549" i="1"/>
  <c r="R1549" i="1"/>
  <c r="Q1549" i="1"/>
  <c r="P1549" i="1"/>
  <c r="U1548" i="1"/>
  <c r="T1548" i="1"/>
  <c r="S1548" i="1"/>
  <c r="R1548" i="1"/>
  <c r="Q1548" i="1"/>
  <c r="P1548" i="1"/>
  <c r="U1547" i="1"/>
  <c r="T1547" i="1"/>
  <c r="S1547" i="1"/>
  <c r="R1547" i="1"/>
  <c r="Q1547" i="1"/>
  <c r="P1547" i="1"/>
  <c r="U1546" i="1"/>
  <c r="T1546" i="1"/>
  <c r="S1546" i="1"/>
  <c r="R1546" i="1"/>
  <c r="Q1546" i="1"/>
  <c r="P1546" i="1"/>
  <c r="U1545" i="1"/>
  <c r="T1545" i="1"/>
  <c r="S1545" i="1"/>
  <c r="R1545" i="1"/>
  <c r="Q1545" i="1"/>
  <c r="P1545" i="1"/>
  <c r="U1544" i="1"/>
  <c r="T1544" i="1"/>
  <c r="S1544" i="1"/>
  <c r="R1544" i="1"/>
  <c r="Q1544" i="1"/>
  <c r="P1544" i="1"/>
  <c r="U1543" i="1"/>
  <c r="T1543" i="1"/>
  <c r="S1543" i="1"/>
  <c r="R1543" i="1"/>
  <c r="Q1543" i="1"/>
  <c r="P1543" i="1"/>
  <c r="U1542" i="1"/>
  <c r="T1542" i="1"/>
  <c r="S1542" i="1"/>
  <c r="R1542" i="1"/>
  <c r="Q1542" i="1"/>
  <c r="P1542" i="1"/>
  <c r="U1541" i="1"/>
  <c r="T1541" i="1"/>
  <c r="S1541" i="1"/>
  <c r="R1541" i="1"/>
  <c r="Q1541" i="1"/>
  <c r="P1541" i="1"/>
  <c r="U1540" i="1"/>
  <c r="T1540" i="1"/>
  <c r="S1540" i="1"/>
  <c r="R1540" i="1"/>
  <c r="Q1540" i="1"/>
  <c r="P1540" i="1"/>
  <c r="U1539" i="1"/>
  <c r="T1539" i="1"/>
  <c r="S1539" i="1"/>
  <c r="R1539" i="1"/>
  <c r="Q1539" i="1"/>
  <c r="P1539" i="1"/>
  <c r="U1538" i="1"/>
  <c r="T1538" i="1"/>
  <c r="S1538" i="1"/>
  <c r="R1538" i="1"/>
  <c r="Q1538" i="1"/>
  <c r="P1538" i="1"/>
  <c r="U1537" i="1"/>
  <c r="T1537" i="1"/>
  <c r="S1537" i="1"/>
  <c r="R1537" i="1"/>
  <c r="Q1537" i="1"/>
  <c r="P1537" i="1"/>
  <c r="U1536" i="1"/>
  <c r="T1536" i="1"/>
  <c r="S1536" i="1"/>
  <c r="R1536" i="1"/>
  <c r="Q1536" i="1"/>
  <c r="P1536" i="1"/>
  <c r="U1535" i="1"/>
  <c r="T1535" i="1"/>
  <c r="S1535" i="1"/>
  <c r="R1535" i="1"/>
  <c r="Q1535" i="1"/>
  <c r="P1535" i="1"/>
  <c r="U1534" i="1"/>
  <c r="T1534" i="1"/>
  <c r="S1534" i="1"/>
  <c r="R1534" i="1"/>
  <c r="Q1534" i="1"/>
  <c r="P1534" i="1"/>
  <c r="U1533" i="1"/>
  <c r="T1533" i="1"/>
  <c r="S1533" i="1"/>
  <c r="R1533" i="1"/>
  <c r="Q1533" i="1"/>
  <c r="P1533" i="1"/>
  <c r="U1532" i="1"/>
  <c r="T1532" i="1"/>
  <c r="S1532" i="1"/>
  <c r="R1532" i="1"/>
  <c r="Q1532" i="1"/>
  <c r="P1532" i="1"/>
  <c r="U1531" i="1"/>
  <c r="T1531" i="1"/>
  <c r="S1531" i="1"/>
  <c r="R1531" i="1"/>
  <c r="Q1531" i="1"/>
  <c r="P1531" i="1"/>
  <c r="U1530" i="1"/>
  <c r="T1530" i="1"/>
  <c r="S1530" i="1"/>
  <c r="R1530" i="1"/>
  <c r="Q1530" i="1"/>
  <c r="P1530" i="1"/>
  <c r="U1529" i="1"/>
  <c r="T1529" i="1"/>
  <c r="S1529" i="1"/>
  <c r="R1529" i="1"/>
  <c r="Q1529" i="1"/>
  <c r="P1529" i="1"/>
  <c r="U1528" i="1"/>
  <c r="T1528" i="1"/>
  <c r="S1528" i="1"/>
  <c r="R1528" i="1"/>
  <c r="Q1528" i="1"/>
  <c r="P1528" i="1"/>
  <c r="U1527" i="1"/>
  <c r="T1527" i="1"/>
  <c r="S1527" i="1"/>
  <c r="R1527" i="1"/>
  <c r="Q1527" i="1"/>
  <c r="P1527" i="1"/>
  <c r="U1526" i="1"/>
  <c r="T1526" i="1"/>
  <c r="S1526" i="1"/>
  <c r="R1526" i="1"/>
  <c r="Q1526" i="1"/>
  <c r="P1526" i="1"/>
  <c r="U1525" i="1"/>
  <c r="T1525" i="1"/>
  <c r="S1525" i="1"/>
  <c r="R1525" i="1"/>
  <c r="Q1525" i="1"/>
  <c r="P1525" i="1"/>
  <c r="U1524" i="1"/>
  <c r="T1524" i="1"/>
  <c r="S1524" i="1"/>
  <c r="R1524" i="1"/>
  <c r="Q1524" i="1"/>
  <c r="P1524" i="1"/>
  <c r="U1523" i="1"/>
  <c r="T1523" i="1"/>
  <c r="S1523" i="1"/>
  <c r="R1523" i="1"/>
  <c r="Q1523" i="1"/>
  <c r="P1523" i="1"/>
  <c r="U1522" i="1"/>
  <c r="T1522" i="1"/>
  <c r="S1522" i="1"/>
  <c r="R1522" i="1"/>
  <c r="Q1522" i="1"/>
  <c r="P1522" i="1"/>
  <c r="U1521" i="1"/>
  <c r="T1521" i="1"/>
  <c r="S1521" i="1"/>
  <c r="R1521" i="1"/>
  <c r="Q1521" i="1"/>
  <c r="P1521" i="1"/>
  <c r="U1520" i="1"/>
  <c r="T1520" i="1"/>
  <c r="S1520" i="1"/>
  <c r="R1520" i="1"/>
  <c r="Q1520" i="1"/>
  <c r="P1520" i="1"/>
  <c r="U1519" i="1"/>
  <c r="T1519" i="1"/>
  <c r="S1519" i="1"/>
  <c r="R1519" i="1"/>
  <c r="Q1519" i="1"/>
  <c r="P1519" i="1"/>
  <c r="U1518" i="1"/>
  <c r="T1518" i="1"/>
  <c r="S1518" i="1"/>
  <c r="R1518" i="1"/>
  <c r="Q1518" i="1"/>
  <c r="P1518" i="1"/>
  <c r="U1517" i="1"/>
  <c r="T1517" i="1"/>
  <c r="S1517" i="1"/>
  <c r="R1517" i="1"/>
  <c r="Q1517" i="1"/>
  <c r="P1517" i="1"/>
  <c r="U1516" i="1"/>
  <c r="T1516" i="1"/>
  <c r="S1516" i="1"/>
  <c r="R1516" i="1"/>
  <c r="Q1516" i="1"/>
  <c r="P1516" i="1"/>
  <c r="U1515" i="1"/>
  <c r="T1515" i="1"/>
  <c r="S1515" i="1"/>
  <c r="R1515" i="1"/>
  <c r="Q1515" i="1"/>
  <c r="P1515" i="1"/>
  <c r="U1514" i="1"/>
  <c r="T1514" i="1"/>
  <c r="S1514" i="1"/>
  <c r="R1514" i="1"/>
  <c r="Q1514" i="1"/>
  <c r="P1514" i="1"/>
  <c r="U1513" i="1"/>
  <c r="T1513" i="1"/>
  <c r="S1513" i="1"/>
  <c r="R1513" i="1"/>
  <c r="Q1513" i="1"/>
  <c r="P1513" i="1"/>
  <c r="U1512" i="1"/>
  <c r="T1512" i="1"/>
  <c r="S1512" i="1"/>
  <c r="R1512" i="1"/>
  <c r="Q1512" i="1"/>
  <c r="P1512" i="1"/>
  <c r="U1511" i="1"/>
  <c r="T1511" i="1"/>
  <c r="S1511" i="1"/>
  <c r="R1511" i="1"/>
  <c r="Q1511" i="1"/>
  <c r="P1511" i="1"/>
  <c r="U1510" i="1"/>
  <c r="T1510" i="1"/>
  <c r="S1510" i="1"/>
  <c r="R1510" i="1"/>
  <c r="Q1510" i="1"/>
  <c r="P1510" i="1"/>
  <c r="U1509" i="1"/>
  <c r="T1509" i="1"/>
  <c r="S1509" i="1"/>
  <c r="R1509" i="1"/>
  <c r="Q1509" i="1"/>
  <c r="P1509" i="1"/>
  <c r="U1508" i="1"/>
  <c r="T1508" i="1"/>
  <c r="S1508" i="1"/>
  <c r="R1508" i="1"/>
  <c r="Q1508" i="1"/>
  <c r="P1508" i="1"/>
  <c r="U1507" i="1"/>
  <c r="T1507" i="1"/>
  <c r="S1507" i="1"/>
  <c r="R1507" i="1"/>
  <c r="Q1507" i="1"/>
  <c r="P1507" i="1"/>
  <c r="U1506" i="1"/>
  <c r="T1506" i="1"/>
  <c r="S1506" i="1"/>
  <c r="R1506" i="1"/>
  <c r="Q1506" i="1"/>
  <c r="P1506" i="1"/>
  <c r="U1505" i="1"/>
  <c r="T1505" i="1"/>
  <c r="S1505" i="1"/>
  <c r="R1505" i="1"/>
  <c r="Q1505" i="1"/>
  <c r="P1505" i="1"/>
  <c r="U1504" i="1"/>
  <c r="T1504" i="1"/>
  <c r="S1504" i="1"/>
  <c r="R1504" i="1"/>
  <c r="Q1504" i="1"/>
  <c r="P1504" i="1"/>
  <c r="U1503" i="1"/>
  <c r="T1503" i="1"/>
  <c r="S1503" i="1"/>
  <c r="R1503" i="1"/>
  <c r="Q1503" i="1"/>
  <c r="P1503" i="1"/>
  <c r="U1502" i="1"/>
  <c r="T1502" i="1"/>
  <c r="S1502" i="1"/>
  <c r="R1502" i="1"/>
  <c r="Q1502" i="1"/>
  <c r="P1502" i="1"/>
  <c r="U1501" i="1"/>
  <c r="T1501" i="1"/>
  <c r="S1501" i="1"/>
  <c r="R1501" i="1"/>
  <c r="Q1501" i="1"/>
  <c r="P1501" i="1"/>
  <c r="U1500" i="1"/>
  <c r="T1500" i="1"/>
  <c r="S1500" i="1"/>
  <c r="R1500" i="1"/>
  <c r="Q1500" i="1"/>
  <c r="P1500" i="1"/>
  <c r="U1499" i="1"/>
  <c r="T1499" i="1"/>
  <c r="S1499" i="1"/>
  <c r="R1499" i="1"/>
  <c r="Q1499" i="1"/>
  <c r="P1499" i="1"/>
  <c r="U1498" i="1"/>
  <c r="T1498" i="1"/>
  <c r="S1498" i="1"/>
  <c r="R1498" i="1"/>
  <c r="Q1498" i="1"/>
  <c r="P1498" i="1"/>
  <c r="U1497" i="1"/>
  <c r="T1497" i="1"/>
  <c r="S1497" i="1"/>
  <c r="R1497" i="1"/>
  <c r="Q1497" i="1"/>
  <c r="P1497" i="1"/>
  <c r="U1496" i="1"/>
  <c r="T1496" i="1"/>
  <c r="S1496" i="1"/>
  <c r="R1496" i="1"/>
  <c r="Q1496" i="1"/>
  <c r="P1496" i="1"/>
  <c r="U1495" i="1"/>
  <c r="T1495" i="1"/>
  <c r="S1495" i="1"/>
  <c r="R1495" i="1"/>
  <c r="Q1495" i="1"/>
  <c r="P1495" i="1"/>
  <c r="U1494" i="1"/>
  <c r="T1494" i="1"/>
  <c r="S1494" i="1"/>
  <c r="R1494" i="1"/>
  <c r="Q1494" i="1"/>
  <c r="P1494" i="1"/>
  <c r="U1493" i="1"/>
  <c r="T1493" i="1"/>
  <c r="S1493" i="1"/>
  <c r="R1493" i="1"/>
  <c r="Q1493" i="1"/>
  <c r="P1493" i="1"/>
  <c r="U1492" i="1"/>
  <c r="T1492" i="1"/>
  <c r="S1492" i="1"/>
  <c r="R1492" i="1"/>
  <c r="Q1492" i="1"/>
  <c r="P1492" i="1"/>
  <c r="U1491" i="1"/>
  <c r="T1491" i="1"/>
  <c r="S1491" i="1"/>
  <c r="R1491" i="1"/>
  <c r="Q1491" i="1"/>
  <c r="P1491" i="1"/>
  <c r="U1490" i="1"/>
  <c r="T1490" i="1"/>
  <c r="S1490" i="1"/>
  <c r="R1490" i="1"/>
  <c r="Q1490" i="1"/>
  <c r="P1490" i="1"/>
  <c r="U1489" i="1"/>
  <c r="T1489" i="1"/>
  <c r="S1489" i="1"/>
  <c r="R1489" i="1"/>
  <c r="Q1489" i="1"/>
  <c r="P1489" i="1"/>
  <c r="U1488" i="1"/>
  <c r="T1488" i="1"/>
  <c r="S1488" i="1"/>
  <c r="R1488" i="1"/>
  <c r="Q1488" i="1"/>
  <c r="P1488" i="1"/>
  <c r="U1487" i="1"/>
  <c r="T1487" i="1"/>
  <c r="S1487" i="1"/>
  <c r="R1487" i="1"/>
  <c r="Q1487" i="1"/>
  <c r="P1487" i="1"/>
  <c r="U1486" i="1"/>
  <c r="T1486" i="1"/>
  <c r="S1486" i="1"/>
  <c r="R1486" i="1"/>
  <c r="Q1486" i="1"/>
  <c r="P1486" i="1"/>
  <c r="U1485" i="1"/>
  <c r="T1485" i="1"/>
  <c r="S1485" i="1"/>
  <c r="R1485" i="1"/>
  <c r="Q1485" i="1"/>
  <c r="P1485" i="1"/>
  <c r="U1484" i="1"/>
  <c r="T1484" i="1"/>
  <c r="S1484" i="1"/>
  <c r="R1484" i="1"/>
  <c r="Q1484" i="1"/>
  <c r="P1484" i="1"/>
  <c r="U1483" i="1"/>
  <c r="T1483" i="1"/>
  <c r="S1483" i="1"/>
  <c r="R1483" i="1"/>
  <c r="Q1483" i="1"/>
  <c r="P1483" i="1"/>
  <c r="U1482" i="1"/>
  <c r="T1482" i="1"/>
  <c r="S1482" i="1"/>
  <c r="R1482" i="1"/>
  <c r="Q1482" i="1"/>
  <c r="P1482" i="1"/>
  <c r="U1481" i="1"/>
  <c r="T1481" i="1"/>
  <c r="S1481" i="1"/>
  <c r="R1481" i="1"/>
  <c r="Q1481" i="1"/>
  <c r="P1481" i="1"/>
  <c r="U1480" i="1"/>
  <c r="T1480" i="1"/>
  <c r="S1480" i="1"/>
  <c r="R1480" i="1"/>
  <c r="Q1480" i="1"/>
  <c r="P1480" i="1"/>
  <c r="U1479" i="1"/>
  <c r="T1479" i="1"/>
  <c r="S1479" i="1"/>
  <c r="R1479" i="1"/>
  <c r="Q1479" i="1"/>
  <c r="P1479" i="1"/>
  <c r="U1478" i="1"/>
  <c r="T1478" i="1"/>
  <c r="S1478" i="1"/>
  <c r="R1478" i="1"/>
  <c r="Q1478" i="1"/>
  <c r="P1478" i="1"/>
  <c r="U1477" i="1"/>
  <c r="T1477" i="1"/>
  <c r="S1477" i="1"/>
  <c r="R1477" i="1"/>
  <c r="Q1477" i="1"/>
  <c r="P1477" i="1"/>
  <c r="U1476" i="1"/>
  <c r="T1476" i="1"/>
  <c r="S1476" i="1"/>
  <c r="R1476" i="1"/>
  <c r="Q1476" i="1"/>
  <c r="P1476" i="1"/>
  <c r="U1475" i="1"/>
  <c r="T1475" i="1"/>
  <c r="S1475" i="1"/>
  <c r="R1475" i="1"/>
  <c r="Q1475" i="1"/>
  <c r="P1475" i="1"/>
  <c r="U1474" i="1"/>
  <c r="T1474" i="1"/>
  <c r="S1474" i="1"/>
  <c r="R1474" i="1"/>
  <c r="Q1474" i="1"/>
  <c r="P1474" i="1"/>
  <c r="U1473" i="1"/>
  <c r="T1473" i="1"/>
  <c r="S1473" i="1"/>
  <c r="R1473" i="1"/>
  <c r="Q1473" i="1"/>
  <c r="P1473" i="1"/>
  <c r="U1472" i="1"/>
  <c r="T1472" i="1"/>
  <c r="S1472" i="1"/>
  <c r="R1472" i="1"/>
  <c r="Q1472" i="1"/>
  <c r="P1472" i="1"/>
  <c r="U1471" i="1"/>
  <c r="T1471" i="1"/>
  <c r="S1471" i="1"/>
  <c r="R1471" i="1"/>
  <c r="Q1471" i="1"/>
  <c r="P1471" i="1"/>
  <c r="U1470" i="1"/>
  <c r="T1470" i="1"/>
  <c r="S1470" i="1"/>
  <c r="R1470" i="1"/>
  <c r="Q1470" i="1"/>
  <c r="P1470" i="1"/>
  <c r="U1469" i="1"/>
  <c r="T1469" i="1"/>
  <c r="S1469" i="1"/>
  <c r="R1469" i="1"/>
  <c r="Q1469" i="1"/>
  <c r="P1469" i="1"/>
  <c r="U1468" i="1"/>
  <c r="T1468" i="1"/>
  <c r="S1468" i="1"/>
  <c r="R1468" i="1"/>
  <c r="Q1468" i="1"/>
  <c r="P1468" i="1"/>
  <c r="U1467" i="1"/>
  <c r="T1467" i="1"/>
  <c r="S1467" i="1"/>
  <c r="R1467" i="1"/>
  <c r="Q1467" i="1"/>
  <c r="P1467" i="1"/>
  <c r="U1466" i="1"/>
  <c r="T1466" i="1"/>
  <c r="S1466" i="1"/>
  <c r="R1466" i="1"/>
  <c r="Q1466" i="1"/>
  <c r="P1466" i="1"/>
  <c r="U1465" i="1"/>
  <c r="T1465" i="1"/>
  <c r="S1465" i="1"/>
  <c r="R1465" i="1"/>
  <c r="Q1465" i="1"/>
  <c r="P1465" i="1"/>
  <c r="U1464" i="1"/>
  <c r="T1464" i="1"/>
  <c r="S1464" i="1"/>
  <c r="R1464" i="1"/>
  <c r="Q1464" i="1"/>
  <c r="P1464" i="1"/>
  <c r="U1463" i="1"/>
  <c r="T1463" i="1"/>
  <c r="S1463" i="1"/>
  <c r="R1463" i="1"/>
  <c r="Q1463" i="1"/>
  <c r="P1463" i="1"/>
  <c r="U1462" i="1"/>
  <c r="T1462" i="1"/>
  <c r="S1462" i="1"/>
  <c r="R1462" i="1"/>
  <c r="Q1462" i="1"/>
  <c r="P1462" i="1"/>
  <c r="U1461" i="1"/>
  <c r="T1461" i="1"/>
  <c r="S1461" i="1"/>
  <c r="R1461" i="1"/>
  <c r="Q1461" i="1"/>
  <c r="P1461" i="1"/>
  <c r="U1460" i="1"/>
  <c r="T1460" i="1"/>
  <c r="S1460" i="1"/>
  <c r="R1460" i="1"/>
  <c r="Q1460" i="1"/>
  <c r="P1460" i="1"/>
  <c r="U1459" i="1"/>
  <c r="T1459" i="1"/>
  <c r="S1459" i="1"/>
  <c r="R1459" i="1"/>
  <c r="Q1459" i="1"/>
  <c r="P1459" i="1"/>
  <c r="U1458" i="1"/>
  <c r="T1458" i="1"/>
  <c r="S1458" i="1"/>
  <c r="R1458" i="1"/>
  <c r="Q1458" i="1"/>
  <c r="P1458" i="1"/>
  <c r="U1457" i="1"/>
  <c r="T1457" i="1"/>
  <c r="S1457" i="1"/>
  <c r="R1457" i="1"/>
  <c r="Q1457" i="1"/>
  <c r="P1457" i="1"/>
  <c r="U1456" i="1"/>
  <c r="T1456" i="1"/>
  <c r="S1456" i="1"/>
  <c r="R1456" i="1"/>
  <c r="Q1456" i="1"/>
  <c r="P1456" i="1"/>
  <c r="U1455" i="1"/>
  <c r="T1455" i="1"/>
  <c r="S1455" i="1"/>
  <c r="R1455" i="1"/>
  <c r="Q1455" i="1"/>
  <c r="P1455" i="1"/>
  <c r="U1454" i="1"/>
  <c r="T1454" i="1"/>
  <c r="S1454" i="1"/>
  <c r="R1454" i="1"/>
  <c r="Q1454" i="1"/>
  <c r="P1454" i="1"/>
  <c r="U1453" i="1"/>
  <c r="T1453" i="1"/>
  <c r="S1453" i="1"/>
  <c r="R1453" i="1"/>
  <c r="Q1453" i="1"/>
  <c r="P1453" i="1"/>
  <c r="U1452" i="1"/>
  <c r="T1452" i="1"/>
  <c r="S1452" i="1"/>
  <c r="R1452" i="1"/>
  <c r="Q1452" i="1"/>
  <c r="P1452" i="1"/>
  <c r="U1451" i="1"/>
  <c r="T1451" i="1"/>
  <c r="S1451" i="1"/>
  <c r="R1451" i="1"/>
  <c r="Q1451" i="1"/>
  <c r="P1451" i="1"/>
  <c r="U1450" i="1"/>
  <c r="T1450" i="1"/>
  <c r="S1450" i="1"/>
  <c r="R1450" i="1"/>
  <c r="Q1450" i="1"/>
  <c r="P1450" i="1"/>
  <c r="U1449" i="1"/>
  <c r="T1449" i="1"/>
  <c r="S1449" i="1"/>
  <c r="R1449" i="1"/>
  <c r="Q1449" i="1"/>
  <c r="P1449" i="1"/>
  <c r="U1448" i="1"/>
  <c r="T1448" i="1"/>
  <c r="S1448" i="1"/>
  <c r="R1448" i="1"/>
  <c r="Q1448" i="1"/>
  <c r="P1448" i="1"/>
  <c r="U1447" i="1"/>
  <c r="T1447" i="1"/>
  <c r="S1447" i="1"/>
  <c r="R1447" i="1"/>
  <c r="Q1447" i="1"/>
  <c r="P1447" i="1"/>
  <c r="U1446" i="1"/>
  <c r="T1446" i="1"/>
  <c r="S1446" i="1"/>
  <c r="R1446" i="1"/>
  <c r="Q1446" i="1"/>
  <c r="P1446" i="1"/>
  <c r="U1445" i="1"/>
  <c r="T1445" i="1"/>
  <c r="S1445" i="1"/>
  <c r="R1445" i="1"/>
  <c r="Q1445" i="1"/>
  <c r="P1445" i="1"/>
  <c r="U1444" i="1"/>
  <c r="T1444" i="1"/>
  <c r="S1444" i="1"/>
  <c r="R1444" i="1"/>
  <c r="Q1444" i="1"/>
  <c r="P1444" i="1"/>
  <c r="U1443" i="1"/>
  <c r="T1443" i="1"/>
  <c r="S1443" i="1"/>
  <c r="R1443" i="1"/>
  <c r="Q1443" i="1"/>
  <c r="P1443" i="1"/>
  <c r="U1442" i="1"/>
  <c r="T1442" i="1"/>
  <c r="S1442" i="1"/>
  <c r="R1442" i="1"/>
  <c r="Q1442" i="1"/>
  <c r="P1442" i="1"/>
  <c r="U1441" i="1"/>
  <c r="T1441" i="1"/>
  <c r="S1441" i="1"/>
  <c r="R1441" i="1"/>
  <c r="Q1441" i="1"/>
  <c r="P1441" i="1"/>
  <c r="U1440" i="1"/>
  <c r="T1440" i="1"/>
  <c r="S1440" i="1"/>
  <c r="R1440" i="1"/>
  <c r="Q1440" i="1"/>
  <c r="P1440" i="1"/>
  <c r="U1439" i="1"/>
  <c r="T1439" i="1"/>
  <c r="S1439" i="1"/>
  <c r="R1439" i="1"/>
  <c r="Q1439" i="1"/>
  <c r="P1439" i="1"/>
  <c r="U1438" i="1"/>
  <c r="T1438" i="1"/>
  <c r="S1438" i="1"/>
  <c r="R1438" i="1"/>
  <c r="Q1438" i="1"/>
  <c r="P1438" i="1"/>
  <c r="U1437" i="1"/>
  <c r="T1437" i="1"/>
  <c r="S1437" i="1"/>
  <c r="R1437" i="1"/>
  <c r="Q1437" i="1"/>
  <c r="P1437" i="1"/>
  <c r="U1436" i="1"/>
  <c r="T1436" i="1"/>
  <c r="S1436" i="1"/>
  <c r="R1436" i="1"/>
  <c r="Q1436" i="1"/>
  <c r="P1436" i="1"/>
  <c r="U1435" i="1"/>
  <c r="T1435" i="1"/>
  <c r="S1435" i="1"/>
  <c r="R1435" i="1"/>
  <c r="Q1435" i="1"/>
  <c r="P1435" i="1"/>
  <c r="U1434" i="1"/>
  <c r="T1434" i="1"/>
  <c r="S1434" i="1"/>
  <c r="R1434" i="1"/>
  <c r="Q1434" i="1"/>
  <c r="P1434" i="1"/>
  <c r="U1433" i="1"/>
  <c r="T1433" i="1"/>
  <c r="S1433" i="1"/>
  <c r="R1433" i="1"/>
  <c r="Q1433" i="1"/>
  <c r="P1433" i="1"/>
  <c r="U1432" i="1"/>
  <c r="T1432" i="1"/>
  <c r="S1432" i="1"/>
  <c r="R1432" i="1"/>
  <c r="Q1432" i="1"/>
  <c r="P1432" i="1"/>
  <c r="U1431" i="1"/>
  <c r="T1431" i="1"/>
  <c r="S1431" i="1"/>
  <c r="R1431" i="1"/>
  <c r="Q1431" i="1"/>
  <c r="P1431" i="1"/>
  <c r="U1430" i="1"/>
  <c r="T1430" i="1"/>
  <c r="S1430" i="1"/>
  <c r="R1430" i="1"/>
  <c r="Q1430" i="1"/>
  <c r="P1430" i="1"/>
  <c r="U1429" i="1"/>
  <c r="T1429" i="1"/>
  <c r="S1429" i="1"/>
  <c r="R1429" i="1"/>
  <c r="Q1429" i="1"/>
  <c r="P1429" i="1"/>
  <c r="U1428" i="1"/>
  <c r="T1428" i="1"/>
  <c r="S1428" i="1"/>
  <c r="R1428" i="1"/>
  <c r="Q1428" i="1"/>
  <c r="P1428" i="1"/>
  <c r="U1427" i="1"/>
  <c r="T1427" i="1"/>
  <c r="S1427" i="1"/>
  <c r="R1427" i="1"/>
  <c r="Q1427" i="1"/>
  <c r="P1427" i="1"/>
  <c r="U1426" i="1"/>
  <c r="T1426" i="1"/>
  <c r="S1426" i="1"/>
  <c r="R1426" i="1"/>
  <c r="Q1426" i="1"/>
  <c r="P1426" i="1"/>
  <c r="U1425" i="1"/>
  <c r="T1425" i="1"/>
  <c r="S1425" i="1"/>
  <c r="R1425" i="1"/>
  <c r="Q1425" i="1"/>
  <c r="P1425" i="1"/>
  <c r="U1424" i="1"/>
  <c r="T1424" i="1"/>
  <c r="S1424" i="1"/>
  <c r="R1424" i="1"/>
  <c r="Q1424" i="1"/>
  <c r="P1424" i="1"/>
  <c r="U1423" i="1"/>
  <c r="T1423" i="1"/>
  <c r="S1423" i="1"/>
  <c r="R1423" i="1"/>
  <c r="Q1423" i="1"/>
  <c r="P1423" i="1"/>
  <c r="U1422" i="1"/>
  <c r="T1422" i="1"/>
  <c r="S1422" i="1"/>
  <c r="R1422" i="1"/>
  <c r="Q1422" i="1"/>
  <c r="P1422" i="1"/>
  <c r="U1421" i="1"/>
  <c r="T1421" i="1"/>
  <c r="S1421" i="1"/>
  <c r="R1421" i="1"/>
  <c r="Q1421" i="1"/>
  <c r="P1421" i="1"/>
  <c r="U1420" i="1"/>
  <c r="T1420" i="1"/>
  <c r="S1420" i="1"/>
  <c r="R1420" i="1"/>
  <c r="Q1420" i="1"/>
  <c r="P1420" i="1"/>
  <c r="U1419" i="1"/>
  <c r="T1419" i="1"/>
  <c r="S1419" i="1"/>
  <c r="R1419" i="1"/>
  <c r="Q1419" i="1"/>
  <c r="P1419" i="1"/>
  <c r="U1418" i="1"/>
  <c r="T1418" i="1"/>
  <c r="S1418" i="1"/>
  <c r="R1418" i="1"/>
  <c r="Q1418" i="1"/>
  <c r="P1418" i="1"/>
  <c r="U1417" i="1"/>
  <c r="T1417" i="1"/>
  <c r="S1417" i="1"/>
  <c r="R1417" i="1"/>
  <c r="Q1417" i="1"/>
  <c r="P1417" i="1"/>
  <c r="U1416" i="1"/>
  <c r="T1416" i="1"/>
  <c r="S1416" i="1"/>
  <c r="R1416" i="1"/>
  <c r="Q1416" i="1"/>
  <c r="P1416" i="1"/>
  <c r="U1415" i="1"/>
  <c r="T1415" i="1"/>
  <c r="S1415" i="1"/>
  <c r="R1415" i="1"/>
  <c r="Q1415" i="1"/>
  <c r="P1415" i="1"/>
  <c r="U1414" i="1"/>
  <c r="T1414" i="1"/>
  <c r="S1414" i="1"/>
  <c r="R1414" i="1"/>
  <c r="Q1414" i="1"/>
  <c r="P1414" i="1"/>
  <c r="U1413" i="1"/>
  <c r="T1413" i="1"/>
  <c r="S1413" i="1"/>
  <c r="R1413" i="1"/>
  <c r="Q1413" i="1"/>
  <c r="P1413" i="1"/>
  <c r="U1412" i="1"/>
  <c r="T1412" i="1"/>
  <c r="S1412" i="1"/>
  <c r="R1412" i="1"/>
  <c r="Q1412" i="1"/>
  <c r="P1412" i="1"/>
  <c r="U1411" i="1"/>
  <c r="T1411" i="1"/>
  <c r="S1411" i="1"/>
  <c r="R1411" i="1"/>
  <c r="Q1411" i="1"/>
  <c r="P1411" i="1"/>
  <c r="U1410" i="1"/>
  <c r="T1410" i="1"/>
  <c r="S1410" i="1"/>
  <c r="R1410" i="1"/>
  <c r="Q1410" i="1"/>
  <c r="P1410" i="1"/>
  <c r="U1409" i="1"/>
  <c r="T1409" i="1"/>
  <c r="S1409" i="1"/>
  <c r="R1409" i="1"/>
  <c r="Q1409" i="1"/>
  <c r="P1409" i="1"/>
  <c r="U1408" i="1"/>
  <c r="T1408" i="1"/>
  <c r="S1408" i="1"/>
  <c r="R1408" i="1"/>
  <c r="Q1408" i="1"/>
  <c r="P1408" i="1"/>
  <c r="U1407" i="1"/>
  <c r="T1407" i="1"/>
  <c r="S1407" i="1"/>
  <c r="R1407" i="1"/>
  <c r="Q1407" i="1"/>
  <c r="P1407" i="1"/>
  <c r="U1406" i="1"/>
  <c r="T1406" i="1"/>
  <c r="S1406" i="1"/>
  <c r="R1406" i="1"/>
  <c r="Q1406" i="1"/>
  <c r="P1406" i="1"/>
  <c r="U1405" i="1"/>
  <c r="T1405" i="1"/>
  <c r="S1405" i="1"/>
  <c r="R1405" i="1"/>
  <c r="Q1405" i="1"/>
  <c r="P1405" i="1"/>
  <c r="U1404" i="1"/>
  <c r="T1404" i="1"/>
  <c r="S1404" i="1"/>
  <c r="R1404" i="1"/>
  <c r="Q1404" i="1"/>
  <c r="P1404" i="1"/>
  <c r="U1403" i="1"/>
  <c r="T1403" i="1"/>
  <c r="S1403" i="1"/>
  <c r="R1403" i="1"/>
  <c r="Q1403" i="1"/>
  <c r="P1403" i="1"/>
  <c r="U1402" i="1"/>
  <c r="T1402" i="1"/>
  <c r="S1402" i="1"/>
  <c r="R1402" i="1"/>
  <c r="Q1402" i="1"/>
  <c r="P1402" i="1"/>
  <c r="U1401" i="1"/>
  <c r="T1401" i="1"/>
  <c r="S1401" i="1"/>
  <c r="R1401" i="1"/>
  <c r="Q1401" i="1"/>
  <c r="P1401" i="1"/>
  <c r="U1400" i="1"/>
  <c r="T1400" i="1"/>
  <c r="S1400" i="1"/>
  <c r="R1400" i="1"/>
  <c r="Q1400" i="1"/>
  <c r="P1400" i="1"/>
  <c r="U1399" i="1"/>
  <c r="T1399" i="1"/>
  <c r="S1399" i="1"/>
  <c r="R1399" i="1"/>
  <c r="Q1399" i="1"/>
  <c r="P1399" i="1"/>
  <c r="U1398" i="1"/>
  <c r="T1398" i="1"/>
  <c r="S1398" i="1"/>
  <c r="R1398" i="1"/>
  <c r="Q1398" i="1"/>
  <c r="P1398" i="1"/>
  <c r="U1397" i="1"/>
  <c r="T1397" i="1"/>
  <c r="S1397" i="1"/>
  <c r="R1397" i="1"/>
  <c r="Q1397" i="1"/>
  <c r="P1397" i="1"/>
  <c r="U1396" i="1"/>
  <c r="T1396" i="1"/>
  <c r="S1396" i="1"/>
  <c r="R1396" i="1"/>
  <c r="Q1396" i="1"/>
  <c r="P1396" i="1"/>
  <c r="U1395" i="1"/>
  <c r="T1395" i="1"/>
  <c r="S1395" i="1"/>
  <c r="R1395" i="1"/>
  <c r="Q1395" i="1"/>
  <c r="P1395" i="1"/>
  <c r="U1394" i="1"/>
  <c r="T1394" i="1"/>
  <c r="S1394" i="1"/>
  <c r="R1394" i="1"/>
  <c r="Q1394" i="1"/>
  <c r="P1394" i="1"/>
  <c r="U1393" i="1"/>
  <c r="T1393" i="1"/>
  <c r="S1393" i="1"/>
  <c r="R1393" i="1"/>
  <c r="Q1393" i="1"/>
  <c r="P1393" i="1"/>
  <c r="U1392" i="1"/>
  <c r="T1392" i="1"/>
  <c r="S1392" i="1"/>
  <c r="R1392" i="1"/>
  <c r="Q1392" i="1"/>
  <c r="P1392" i="1"/>
  <c r="U1391" i="1"/>
  <c r="T1391" i="1"/>
  <c r="S1391" i="1"/>
  <c r="R1391" i="1"/>
  <c r="Q1391" i="1"/>
  <c r="P1391" i="1"/>
  <c r="U1390" i="1"/>
  <c r="T1390" i="1"/>
  <c r="S1390" i="1"/>
  <c r="R1390" i="1"/>
  <c r="Q1390" i="1"/>
  <c r="P1390" i="1"/>
  <c r="U1389" i="1"/>
  <c r="T1389" i="1"/>
  <c r="S1389" i="1"/>
  <c r="R1389" i="1"/>
  <c r="Q1389" i="1"/>
  <c r="P1389" i="1"/>
  <c r="U1388" i="1"/>
  <c r="T1388" i="1"/>
  <c r="S1388" i="1"/>
  <c r="R1388" i="1"/>
  <c r="Q1388" i="1"/>
  <c r="P1388" i="1"/>
  <c r="U1387" i="1"/>
  <c r="T1387" i="1"/>
  <c r="S1387" i="1"/>
  <c r="R1387" i="1"/>
  <c r="Q1387" i="1"/>
  <c r="P1387" i="1"/>
  <c r="U1386" i="1"/>
  <c r="T1386" i="1"/>
  <c r="S1386" i="1"/>
  <c r="R1386" i="1"/>
  <c r="Q1386" i="1"/>
  <c r="P1386" i="1"/>
  <c r="U1385" i="1"/>
  <c r="T1385" i="1"/>
  <c r="S1385" i="1"/>
  <c r="R1385" i="1"/>
  <c r="Q1385" i="1"/>
  <c r="P1385" i="1"/>
  <c r="U1384" i="1"/>
  <c r="T1384" i="1"/>
  <c r="S1384" i="1"/>
  <c r="R1384" i="1"/>
  <c r="Q1384" i="1"/>
  <c r="P1384" i="1"/>
  <c r="U1383" i="1"/>
  <c r="T1383" i="1"/>
  <c r="S1383" i="1"/>
  <c r="R1383" i="1"/>
  <c r="Q1383" i="1"/>
  <c r="P1383" i="1"/>
  <c r="U1382" i="1"/>
  <c r="T1382" i="1"/>
  <c r="S1382" i="1"/>
  <c r="R1382" i="1"/>
  <c r="Q1382" i="1"/>
  <c r="P1382" i="1"/>
  <c r="U1381" i="1"/>
  <c r="T1381" i="1"/>
  <c r="S1381" i="1"/>
  <c r="R1381" i="1"/>
  <c r="Q1381" i="1"/>
  <c r="P1381" i="1"/>
  <c r="U1380" i="1"/>
  <c r="T1380" i="1"/>
  <c r="S1380" i="1"/>
  <c r="R1380" i="1"/>
  <c r="Q1380" i="1"/>
  <c r="P1380" i="1"/>
  <c r="U1379" i="1"/>
  <c r="T1379" i="1"/>
  <c r="S1379" i="1"/>
  <c r="R1379" i="1"/>
  <c r="Q1379" i="1"/>
  <c r="P1379" i="1"/>
  <c r="U1378" i="1"/>
  <c r="T1378" i="1"/>
  <c r="S1378" i="1"/>
  <c r="R1378" i="1"/>
  <c r="Q1378" i="1"/>
  <c r="P1378" i="1"/>
  <c r="U1377" i="1"/>
  <c r="T1377" i="1"/>
  <c r="S1377" i="1"/>
  <c r="R1377" i="1"/>
  <c r="Q1377" i="1"/>
  <c r="P1377" i="1"/>
  <c r="U1376" i="1"/>
  <c r="T1376" i="1"/>
  <c r="S1376" i="1"/>
  <c r="R1376" i="1"/>
  <c r="Q1376" i="1"/>
  <c r="P1376" i="1"/>
  <c r="U1375" i="1"/>
  <c r="T1375" i="1"/>
  <c r="S1375" i="1"/>
  <c r="R1375" i="1"/>
  <c r="Q1375" i="1"/>
  <c r="P1375" i="1"/>
  <c r="U1374" i="1"/>
  <c r="T1374" i="1"/>
  <c r="S1374" i="1"/>
  <c r="R1374" i="1"/>
  <c r="Q1374" i="1"/>
  <c r="P1374" i="1"/>
  <c r="U1373" i="1"/>
  <c r="T1373" i="1"/>
  <c r="S1373" i="1"/>
  <c r="R1373" i="1"/>
  <c r="Q1373" i="1"/>
  <c r="P1373" i="1"/>
  <c r="U1372" i="1"/>
  <c r="T1372" i="1"/>
  <c r="S1372" i="1"/>
  <c r="R1372" i="1"/>
  <c r="Q1372" i="1"/>
  <c r="P1372" i="1"/>
  <c r="U1371" i="1"/>
  <c r="T1371" i="1"/>
  <c r="S1371" i="1"/>
  <c r="R1371" i="1"/>
  <c r="Q1371" i="1"/>
  <c r="P1371" i="1"/>
  <c r="U1370" i="1"/>
  <c r="T1370" i="1"/>
  <c r="S1370" i="1"/>
  <c r="R1370" i="1"/>
  <c r="Q1370" i="1"/>
  <c r="P1370" i="1"/>
  <c r="U1369" i="1"/>
  <c r="T1369" i="1"/>
  <c r="S1369" i="1"/>
  <c r="R1369" i="1"/>
  <c r="Q1369" i="1"/>
  <c r="P1369" i="1"/>
  <c r="U1368" i="1"/>
  <c r="T1368" i="1"/>
  <c r="S1368" i="1"/>
  <c r="R1368" i="1"/>
  <c r="Q1368" i="1"/>
  <c r="P1368" i="1"/>
  <c r="U1367" i="1"/>
  <c r="T1367" i="1"/>
  <c r="S1367" i="1"/>
  <c r="R1367" i="1"/>
  <c r="Q1367" i="1"/>
  <c r="P1367" i="1"/>
  <c r="U1366" i="1"/>
  <c r="T1366" i="1"/>
  <c r="S1366" i="1"/>
  <c r="R1366" i="1"/>
  <c r="Q1366" i="1"/>
  <c r="P1366" i="1"/>
  <c r="U1365" i="1"/>
  <c r="T1365" i="1"/>
  <c r="S1365" i="1"/>
  <c r="R1365" i="1"/>
  <c r="Q1365" i="1"/>
  <c r="P1365" i="1"/>
  <c r="U1364" i="1"/>
  <c r="T1364" i="1"/>
  <c r="S1364" i="1"/>
  <c r="R1364" i="1"/>
  <c r="Q1364" i="1"/>
  <c r="P1364" i="1"/>
  <c r="U1363" i="1"/>
  <c r="T1363" i="1"/>
  <c r="S1363" i="1"/>
  <c r="R1363" i="1"/>
  <c r="Q1363" i="1"/>
  <c r="P1363" i="1"/>
  <c r="U1362" i="1"/>
  <c r="T1362" i="1"/>
  <c r="S1362" i="1"/>
  <c r="R1362" i="1"/>
  <c r="Q1362" i="1"/>
  <c r="P1362" i="1"/>
  <c r="U1361" i="1"/>
  <c r="T1361" i="1"/>
  <c r="S1361" i="1"/>
  <c r="R1361" i="1"/>
  <c r="Q1361" i="1"/>
  <c r="P1361" i="1"/>
  <c r="U1360" i="1"/>
  <c r="T1360" i="1"/>
  <c r="S1360" i="1"/>
  <c r="R1360" i="1"/>
  <c r="Q1360" i="1"/>
  <c r="P1360" i="1"/>
  <c r="U1359" i="1"/>
  <c r="T1359" i="1"/>
  <c r="S1359" i="1"/>
  <c r="R1359" i="1"/>
  <c r="Q1359" i="1"/>
  <c r="P1359" i="1"/>
  <c r="U1358" i="1"/>
  <c r="T1358" i="1"/>
  <c r="S1358" i="1"/>
  <c r="R1358" i="1"/>
  <c r="Q1358" i="1"/>
  <c r="P1358" i="1"/>
  <c r="U1357" i="1"/>
  <c r="T1357" i="1"/>
  <c r="S1357" i="1"/>
  <c r="R1357" i="1"/>
  <c r="Q1357" i="1"/>
  <c r="P1357" i="1"/>
  <c r="U1356" i="1"/>
  <c r="T1356" i="1"/>
  <c r="S1356" i="1"/>
  <c r="R1356" i="1"/>
  <c r="Q1356" i="1"/>
  <c r="P1356" i="1"/>
  <c r="U1355" i="1"/>
  <c r="T1355" i="1"/>
  <c r="S1355" i="1"/>
  <c r="R1355" i="1"/>
  <c r="Q1355" i="1"/>
  <c r="P1355" i="1"/>
  <c r="U1354" i="1"/>
  <c r="T1354" i="1"/>
  <c r="S1354" i="1"/>
  <c r="R1354" i="1"/>
  <c r="Q1354" i="1"/>
  <c r="P1354" i="1"/>
  <c r="U1353" i="1"/>
  <c r="T1353" i="1"/>
  <c r="S1353" i="1"/>
  <c r="R1353" i="1"/>
  <c r="Q1353" i="1"/>
  <c r="P1353" i="1"/>
  <c r="U1352" i="1"/>
  <c r="T1352" i="1"/>
  <c r="S1352" i="1"/>
  <c r="R1352" i="1"/>
  <c r="Q1352" i="1"/>
  <c r="P1352" i="1"/>
  <c r="U1351" i="1"/>
  <c r="T1351" i="1"/>
  <c r="S1351" i="1"/>
  <c r="R1351" i="1"/>
  <c r="Q1351" i="1"/>
  <c r="P1351" i="1"/>
  <c r="U1350" i="1"/>
  <c r="T1350" i="1"/>
  <c r="S1350" i="1"/>
  <c r="R1350" i="1"/>
  <c r="Q1350" i="1"/>
  <c r="P1350" i="1"/>
  <c r="U1349" i="1"/>
  <c r="T1349" i="1"/>
  <c r="S1349" i="1"/>
  <c r="R1349" i="1"/>
  <c r="Q1349" i="1"/>
  <c r="P1349" i="1"/>
  <c r="U1348" i="1"/>
  <c r="T1348" i="1"/>
  <c r="S1348" i="1"/>
  <c r="R1348" i="1"/>
  <c r="Q1348" i="1"/>
  <c r="P1348" i="1"/>
  <c r="U1347" i="1"/>
  <c r="T1347" i="1"/>
  <c r="S1347" i="1"/>
  <c r="R1347" i="1"/>
  <c r="Q1347" i="1"/>
  <c r="P1347" i="1"/>
  <c r="U1346" i="1"/>
  <c r="T1346" i="1"/>
  <c r="S1346" i="1"/>
  <c r="R1346" i="1"/>
  <c r="Q1346" i="1"/>
  <c r="P1346" i="1"/>
  <c r="U1345" i="1"/>
  <c r="T1345" i="1"/>
  <c r="S1345" i="1"/>
  <c r="R1345" i="1"/>
  <c r="Q1345" i="1"/>
  <c r="P1345" i="1"/>
  <c r="U1344" i="1"/>
  <c r="T1344" i="1"/>
  <c r="S1344" i="1"/>
  <c r="R1344" i="1"/>
  <c r="Q1344" i="1"/>
  <c r="P1344" i="1"/>
  <c r="U1343" i="1"/>
  <c r="T1343" i="1"/>
  <c r="S1343" i="1"/>
  <c r="R1343" i="1"/>
  <c r="Q1343" i="1"/>
  <c r="P1343" i="1"/>
  <c r="U1342" i="1"/>
  <c r="T1342" i="1"/>
  <c r="S1342" i="1"/>
  <c r="R1342" i="1"/>
  <c r="Q1342" i="1"/>
  <c r="P1342" i="1"/>
  <c r="U1341" i="1"/>
  <c r="T1341" i="1"/>
  <c r="S1341" i="1"/>
  <c r="R1341" i="1"/>
  <c r="Q1341" i="1"/>
  <c r="P1341" i="1"/>
  <c r="U1340" i="1"/>
  <c r="T1340" i="1"/>
  <c r="S1340" i="1"/>
  <c r="R1340" i="1"/>
  <c r="Q1340" i="1"/>
  <c r="P1340" i="1"/>
  <c r="U1339" i="1"/>
  <c r="T1339" i="1"/>
  <c r="S1339" i="1"/>
  <c r="R1339" i="1"/>
  <c r="Q1339" i="1"/>
  <c r="P1339" i="1"/>
  <c r="U1338" i="1"/>
  <c r="T1338" i="1"/>
  <c r="S1338" i="1"/>
  <c r="R1338" i="1"/>
  <c r="Q1338" i="1"/>
  <c r="P1338" i="1"/>
  <c r="U1337" i="1"/>
  <c r="T1337" i="1"/>
  <c r="S1337" i="1"/>
  <c r="R1337" i="1"/>
  <c r="Q1337" i="1"/>
  <c r="P1337" i="1"/>
  <c r="U1336" i="1"/>
  <c r="T1336" i="1"/>
  <c r="S1336" i="1"/>
  <c r="R1336" i="1"/>
  <c r="Q1336" i="1"/>
  <c r="P1336" i="1"/>
  <c r="U1335" i="1"/>
  <c r="T1335" i="1"/>
  <c r="S1335" i="1"/>
  <c r="R1335" i="1"/>
  <c r="Q1335" i="1"/>
  <c r="P1335" i="1"/>
  <c r="U1334" i="1"/>
  <c r="T1334" i="1"/>
  <c r="S1334" i="1"/>
  <c r="R1334" i="1"/>
  <c r="Q1334" i="1"/>
  <c r="P1334" i="1"/>
  <c r="U1333" i="1"/>
  <c r="T1333" i="1"/>
  <c r="S1333" i="1"/>
  <c r="R1333" i="1"/>
  <c r="Q1333" i="1"/>
  <c r="P1333" i="1"/>
  <c r="U1332" i="1"/>
  <c r="T1332" i="1"/>
  <c r="S1332" i="1"/>
  <c r="R1332" i="1"/>
  <c r="Q1332" i="1"/>
  <c r="P1332" i="1"/>
  <c r="U1331" i="1"/>
  <c r="T1331" i="1"/>
  <c r="S1331" i="1"/>
  <c r="R1331" i="1"/>
  <c r="Q1331" i="1"/>
  <c r="P1331" i="1"/>
  <c r="U1330" i="1"/>
  <c r="T1330" i="1"/>
  <c r="S1330" i="1"/>
  <c r="R1330" i="1"/>
  <c r="Q1330" i="1"/>
  <c r="P1330" i="1"/>
  <c r="U1329" i="1"/>
  <c r="T1329" i="1"/>
  <c r="S1329" i="1"/>
  <c r="R1329" i="1"/>
  <c r="Q1329" i="1"/>
  <c r="P1329" i="1"/>
  <c r="U1328" i="1"/>
  <c r="T1328" i="1"/>
  <c r="S1328" i="1"/>
  <c r="R1328" i="1"/>
  <c r="Q1328" i="1"/>
  <c r="P1328" i="1"/>
  <c r="U1327" i="1"/>
  <c r="T1327" i="1"/>
  <c r="S1327" i="1"/>
  <c r="R1327" i="1"/>
  <c r="Q1327" i="1"/>
  <c r="P1327" i="1"/>
  <c r="U1326" i="1"/>
  <c r="T1326" i="1"/>
  <c r="S1326" i="1"/>
  <c r="R1326" i="1"/>
  <c r="Q1326" i="1"/>
  <c r="P1326" i="1"/>
  <c r="U1325" i="1"/>
  <c r="T1325" i="1"/>
  <c r="S1325" i="1"/>
  <c r="R1325" i="1"/>
  <c r="Q1325" i="1"/>
  <c r="P1325" i="1"/>
  <c r="U1324" i="1"/>
  <c r="T1324" i="1"/>
  <c r="S1324" i="1"/>
  <c r="R1324" i="1"/>
  <c r="Q1324" i="1"/>
  <c r="P1324" i="1"/>
  <c r="U1323" i="1"/>
  <c r="T1323" i="1"/>
  <c r="S1323" i="1"/>
  <c r="R1323" i="1"/>
  <c r="Q1323" i="1"/>
  <c r="P1323" i="1"/>
  <c r="U1322" i="1"/>
  <c r="T1322" i="1"/>
  <c r="S1322" i="1"/>
  <c r="R1322" i="1"/>
  <c r="Q1322" i="1"/>
  <c r="P1322" i="1"/>
  <c r="U1321" i="1"/>
  <c r="T1321" i="1"/>
  <c r="S1321" i="1"/>
  <c r="R1321" i="1"/>
  <c r="Q1321" i="1"/>
  <c r="P1321" i="1"/>
  <c r="U1320" i="1"/>
  <c r="T1320" i="1"/>
  <c r="S1320" i="1"/>
  <c r="R1320" i="1"/>
  <c r="Q1320" i="1"/>
  <c r="P1320" i="1"/>
  <c r="U1319" i="1"/>
  <c r="T1319" i="1"/>
  <c r="S1319" i="1"/>
  <c r="R1319" i="1"/>
  <c r="Q1319" i="1"/>
  <c r="P1319" i="1"/>
  <c r="U1318" i="1"/>
  <c r="T1318" i="1"/>
  <c r="S1318" i="1"/>
  <c r="R1318" i="1"/>
  <c r="Q1318" i="1"/>
  <c r="P1318" i="1"/>
  <c r="U1317" i="1"/>
  <c r="T1317" i="1"/>
  <c r="S1317" i="1"/>
  <c r="R1317" i="1"/>
  <c r="Q1317" i="1"/>
  <c r="P1317" i="1"/>
  <c r="U1316" i="1"/>
  <c r="T1316" i="1"/>
  <c r="S1316" i="1"/>
  <c r="R1316" i="1"/>
  <c r="Q1316" i="1"/>
  <c r="P1316" i="1"/>
  <c r="U1315" i="1"/>
  <c r="T1315" i="1"/>
  <c r="S1315" i="1"/>
  <c r="R1315" i="1"/>
  <c r="Q1315" i="1"/>
  <c r="P1315" i="1"/>
  <c r="U1314" i="1"/>
  <c r="T1314" i="1"/>
  <c r="S1314" i="1"/>
  <c r="R1314" i="1"/>
  <c r="Q1314" i="1"/>
  <c r="P1314" i="1"/>
  <c r="U1313" i="1"/>
  <c r="T1313" i="1"/>
  <c r="S1313" i="1"/>
  <c r="R1313" i="1"/>
  <c r="Q1313" i="1"/>
  <c r="P1313" i="1"/>
  <c r="U1312" i="1"/>
  <c r="T1312" i="1"/>
  <c r="S1312" i="1"/>
  <c r="R1312" i="1"/>
  <c r="Q1312" i="1"/>
  <c r="P1312" i="1"/>
  <c r="U1311" i="1"/>
  <c r="T1311" i="1"/>
  <c r="S1311" i="1"/>
  <c r="R1311" i="1"/>
  <c r="Q1311" i="1"/>
  <c r="P1311" i="1"/>
  <c r="U1310" i="1"/>
  <c r="T1310" i="1"/>
  <c r="S1310" i="1"/>
  <c r="R1310" i="1"/>
  <c r="Q1310" i="1"/>
  <c r="P1310" i="1"/>
  <c r="U1309" i="1"/>
  <c r="T1309" i="1"/>
  <c r="S1309" i="1"/>
  <c r="R1309" i="1"/>
  <c r="Q1309" i="1"/>
  <c r="P1309" i="1"/>
  <c r="U1308" i="1"/>
  <c r="T1308" i="1"/>
  <c r="S1308" i="1"/>
  <c r="R1308" i="1"/>
  <c r="Q1308" i="1"/>
  <c r="P1308" i="1"/>
  <c r="U1307" i="1"/>
  <c r="T1307" i="1"/>
  <c r="S1307" i="1"/>
  <c r="R1307" i="1"/>
  <c r="Q1307" i="1"/>
  <c r="P1307" i="1"/>
  <c r="U1306" i="1"/>
  <c r="T1306" i="1"/>
  <c r="S1306" i="1"/>
  <c r="R1306" i="1"/>
  <c r="Q1306" i="1"/>
  <c r="P1306" i="1"/>
  <c r="U1305" i="1"/>
  <c r="T1305" i="1"/>
  <c r="S1305" i="1"/>
  <c r="R1305" i="1"/>
  <c r="Q1305" i="1"/>
  <c r="P1305" i="1"/>
  <c r="U1304" i="1"/>
  <c r="T1304" i="1"/>
  <c r="S1304" i="1"/>
  <c r="R1304" i="1"/>
  <c r="Q1304" i="1"/>
  <c r="P1304" i="1"/>
  <c r="U1303" i="1"/>
  <c r="T1303" i="1"/>
  <c r="S1303" i="1"/>
  <c r="R1303" i="1"/>
  <c r="Q1303" i="1"/>
  <c r="P1303" i="1"/>
  <c r="U1302" i="1"/>
  <c r="T1302" i="1"/>
  <c r="S1302" i="1"/>
  <c r="R1302" i="1"/>
  <c r="Q1302" i="1"/>
  <c r="P1302" i="1"/>
  <c r="U1301" i="1"/>
  <c r="T1301" i="1"/>
  <c r="S1301" i="1"/>
  <c r="R1301" i="1"/>
  <c r="Q1301" i="1"/>
  <c r="P1301" i="1"/>
  <c r="U1300" i="1"/>
  <c r="T1300" i="1"/>
  <c r="S1300" i="1"/>
  <c r="R1300" i="1"/>
  <c r="Q1300" i="1"/>
  <c r="P1300" i="1"/>
  <c r="U1299" i="1"/>
  <c r="T1299" i="1"/>
  <c r="S1299" i="1"/>
  <c r="R1299" i="1"/>
  <c r="Q1299" i="1"/>
  <c r="P1299" i="1"/>
  <c r="U1298" i="1"/>
  <c r="T1298" i="1"/>
  <c r="S1298" i="1"/>
  <c r="R1298" i="1"/>
  <c r="Q1298" i="1"/>
  <c r="P1298" i="1"/>
  <c r="U1297" i="1"/>
  <c r="T1297" i="1"/>
  <c r="S1297" i="1"/>
  <c r="R1297" i="1"/>
  <c r="Q1297" i="1"/>
  <c r="P1297" i="1"/>
  <c r="U1296" i="1"/>
  <c r="T1296" i="1"/>
  <c r="S1296" i="1"/>
  <c r="R1296" i="1"/>
  <c r="Q1296" i="1"/>
  <c r="P1296" i="1"/>
  <c r="U1295" i="1"/>
  <c r="T1295" i="1"/>
  <c r="S1295" i="1"/>
  <c r="R1295" i="1"/>
  <c r="Q1295" i="1"/>
  <c r="P1295" i="1"/>
  <c r="U1294" i="1"/>
  <c r="T1294" i="1"/>
  <c r="S1294" i="1"/>
  <c r="R1294" i="1"/>
  <c r="Q1294" i="1"/>
  <c r="P1294" i="1"/>
  <c r="U1293" i="1"/>
  <c r="T1293" i="1"/>
  <c r="S1293" i="1"/>
  <c r="R1293" i="1"/>
  <c r="Q1293" i="1"/>
  <c r="P1293" i="1"/>
  <c r="U1292" i="1"/>
  <c r="T1292" i="1"/>
  <c r="S1292" i="1"/>
  <c r="R1292" i="1"/>
  <c r="Q1292" i="1"/>
  <c r="P1292" i="1"/>
  <c r="U1291" i="1"/>
  <c r="T1291" i="1"/>
  <c r="S1291" i="1"/>
  <c r="R1291" i="1"/>
  <c r="Q1291" i="1"/>
  <c r="P1291" i="1"/>
  <c r="U1290" i="1"/>
  <c r="T1290" i="1"/>
  <c r="S1290" i="1"/>
  <c r="R1290" i="1"/>
  <c r="Q1290" i="1"/>
  <c r="P1290" i="1"/>
  <c r="U1289" i="1"/>
  <c r="T1289" i="1"/>
  <c r="S1289" i="1"/>
  <c r="R1289" i="1"/>
  <c r="Q1289" i="1"/>
  <c r="P1289" i="1"/>
  <c r="U1288" i="1"/>
  <c r="T1288" i="1"/>
  <c r="S1288" i="1"/>
  <c r="R1288" i="1"/>
  <c r="Q1288" i="1"/>
  <c r="P1288" i="1"/>
  <c r="U1287" i="1"/>
  <c r="T1287" i="1"/>
  <c r="S1287" i="1"/>
  <c r="R1287" i="1"/>
  <c r="Q1287" i="1"/>
  <c r="P1287" i="1"/>
  <c r="U1286" i="1"/>
  <c r="T1286" i="1"/>
  <c r="S1286" i="1"/>
  <c r="R1286" i="1"/>
  <c r="Q1286" i="1"/>
  <c r="P1286" i="1"/>
  <c r="U1285" i="1"/>
  <c r="T1285" i="1"/>
  <c r="S1285" i="1"/>
  <c r="R1285" i="1"/>
  <c r="Q1285" i="1"/>
  <c r="P1285" i="1"/>
  <c r="U1284" i="1"/>
  <c r="T1284" i="1"/>
  <c r="S1284" i="1"/>
  <c r="R1284" i="1"/>
  <c r="Q1284" i="1"/>
  <c r="P1284" i="1"/>
  <c r="U1283" i="1"/>
  <c r="T1283" i="1"/>
  <c r="S1283" i="1"/>
  <c r="R1283" i="1"/>
  <c r="Q1283" i="1"/>
  <c r="P1283" i="1"/>
  <c r="U1282" i="1"/>
  <c r="T1282" i="1"/>
  <c r="S1282" i="1"/>
  <c r="R1282" i="1"/>
  <c r="Q1282" i="1"/>
  <c r="P1282" i="1"/>
  <c r="U1281" i="1"/>
  <c r="T1281" i="1"/>
  <c r="S1281" i="1"/>
  <c r="R1281" i="1"/>
  <c r="Q1281" i="1"/>
  <c r="P1281" i="1"/>
  <c r="U1280" i="1"/>
  <c r="T1280" i="1"/>
  <c r="S1280" i="1"/>
  <c r="R1280" i="1"/>
  <c r="Q1280" i="1"/>
  <c r="P1280" i="1"/>
  <c r="U1279" i="1"/>
  <c r="T1279" i="1"/>
  <c r="S1279" i="1"/>
  <c r="R1279" i="1"/>
  <c r="Q1279" i="1"/>
  <c r="P1279" i="1"/>
  <c r="U1278" i="1"/>
  <c r="T1278" i="1"/>
  <c r="S1278" i="1"/>
  <c r="R1278" i="1"/>
  <c r="Q1278" i="1"/>
  <c r="P1278" i="1"/>
  <c r="U1277" i="1"/>
  <c r="T1277" i="1"/>
  <c r="S1277" i="1"/>
  <c r="R1277" i="1"/>
  <c r="Q1277" i="1"/>
  <c r="P1277" i="1"/>
  <c r="U1276" i="1"/>
  <c r="T1276" i="1"/>
  <c r="S1276" i="1"/>
  <c r="R1276" i="1"/>
  <c r="Q1276" i="1"/>
  <c r="P1276" i="1"/>
  <c r="U1275" i="1"/>
  <c r="T1275" i="1"/>
  <c r="S1275" i="1"/>
  <c r="R1275" i="1"/>
  <c r="Q1275" i="1"/>
  <c r="P1275" i="1"/>
  <c r="U1274" i="1"/>
  <c r="T1274" i="1"/>
  <c r="S1274" i="1"/>
  <c r="R1274" i="1"/>
  <c r="Q1274" i="1"/>
  <c r="P1274" i="1"/>
  <c r="U1273" i="1"/>
  <c r="T1273" i="1"/>
  <c r="S1273" i="1"/>
  <c r="R1273" i="1"/>
  <c r="Q1273" i="1"/>
  <c r="P1273" i="1"/>
  <c r="U1272" i="1"/>
  <c r="T1272" i="1"/>
  <c r="S1272" i="1"/>
  <c r="R1272" i="1"/>
  <c r="Q1272" i="1"/>
  <c r="P1272" i="1"/>
  <c r="U1271" i="1"/>
  <c r="T1271" i="1"/>
  <c r="S1271" i="1"/>
  <c r="R1271" i="1"/>
  <c r="Q1271" i="1"/>
  <c r="P1271" i="1"/>
  <c r="U1270" i="1"/>
  <c r="T1270" i="1"/>
  <c r="S1270" i="1"/>
  <c r="R1270" i="1"/>
  <c r="Q1270" i="1"/>
  <c r="P1270" i="1"/>
  <c r="U1269" i="1"/>
  <c r="T1269" i="1"/>
  <c r="S1269" i="1"/>
  <c r="R1269" i="1"/>
  <c r="Q1269" i="1"/>
  <c r="P1269" i="1"/>
  <c r="U1268" i="1"/>
  <c r="T1268" i="1"/>
  <c r="S1268" i="1"/>
  <c r="R1268" i="1"/>
  <c r="Q1268" i="1"/>
  <c r="P1268" i="1"/>
  <c r="U1267" i="1"/>
  <c r="T1267" i="1"/>
  <c r="S1267" i="1"/>
  <c r="R1267" i="1"/>
  <c r="Q1267" i="1"/>
  <c r="P1267" i="1"/>
  <c r="U1266" i="1"/>
  <c r="T1266" i="1"/>
  <c r="S1266" i="1"/>
  <c r="R1266" i="1"/>
  <c r="Q1266" i="1"/>
  <c r="P1266" i="1"/>
  <c r="U1265" i="1"/>
  <c r="T1265" i="1"/>
  <c r="S1265" i="1"/>
  <c r="R1265" i="1"/>
  <c r="Q1265" i="1"/>
  <c r="P1265" i="1"/>
  <c r="U1264" i="1"/>
  <c r="T1264" i="1"/>
  <c r="S1264" i="1"/>
  <c r="R1264" i="1"/>
  <c r="Q1264" i="1"/>
  <c r="P1264" i="1"/>
  <c r="U1263" i="1"/>
  <c r="T1263" i="1"/>
  <c r="S1263" i="1"/>
  <c r="R1263" i="1"/>
  <c r="Q1263" i="1"/>
  <c r="P1263" i="1"/>
  <c r="U1262" i="1"/>
  <c r="T1262" i="1"/>
  <c r="S1262" i="1"/>
  <c r="R1262" i="1"/>
  <c r="Q1262" i="1"/>
  <c r="P1262" i="1"/>
  <c r="U1261" i="1"/>
  <c r="T1261" i="1"/>
  <c r="S1261" i="1"/>
  <c r="R1261" i="1"/>
  <c r="Q1261" i="1"/>
  <c r="P1261" i="1"/>
  <c r="U1260" i="1"/>
  <c r="T1260" i="1"/>
  <c r="S1260" i="1"/>
  <c r="R1260" i="1"/>
  <c r="Q1260" i="1"/>
  <c r="P1260" i="1"/>
  <c r="U1259" i="1"/>
  <c r="T1259" i="1"/>
  <c r="S1259" i="1"/>
  <c r="R1259" i="1"/>
  <c r="Q1259" i="1"/>
  <c r="P1259" i="1"/>
  <c r="U1258" i="1"/>
  <c r="T1258" i="1"/>
  <c r="S1258" i="1"/>
  <c r="R1258" i="1"/>
  <c r="Q1258" i="1"/>
  <c r="P1258" i="1"/>
  <c r="U1257" i="1"/>
  <c r="T1257" i="1"/>
  <c r="S1257" i="1"/>
  <c r="R1257" i="1"/>
  <c r="Q1257" i="1"/>
  <c r="P1257" i="1"/>
  <c r="U1256" i="1"/>
  <c r="T1256" i="1"/>
  <c r="S1256" i="1"/>
  <c r="R1256" i="1"/>
  <c r="Q1256" i="1"/>
  <c r="P1256" i="1"/>
  <c r="U1255" i="1"/>
  <c r="T1255" i="1"/>
  <c r="S1255" i="1"/>
  <c r="R1255" i="1"/>
  <c r="Q1255" i="1"/>
  <c r="P1255" i="1"/>
  <c r="U1254" i="1"/>
  <c r="T1254" i="1"/>
  <c r="S1254" i="1"/>
  <c r="R1254" i="1"/>
  <c r="Q1254" i="1"/>
  <c r="P1254" i="1"/>
  <c r="U1253" i="1"/>
  <c r="T1253" i="1"/>
  <c r="S1253" i="1"/>
  <c r="R1253" i="1"/>
  <c r="Q1253" i="1"/>
  <c r="P1253" i="1"/>
  <c r="U1252" i="1"/>
  <c r="T1252" i="1"/>
  <c r="S1252" i="1"/>
  <c r="R1252" i="1"/>
  <c r="Q1252" i="1"/>
  <c r="P1252" i="1"/>
  <c r="U1251" i="1"/>
  <c r="T1251" i="1"/>
  <c r="S1251" i="1"/>
  <c r="R1251" i="1"/>
  <c r="Q1251" i="1"/>
  <c r="P1251" i="1"/>
  <c r="U1250" i="1"/>
  <c r="T1250" i="1"/>
  <c r="S1250" i="1"/>
  <c r="R1250" i="1"/>
  <c r="Q1250" i="1"/>
  <c r="P1250" i="1"/>
  <c r="U1249" i="1"/>
  <c r="T1249" i="1"/>
  <c r="S1249" i="1"/>
  <c r="R1249" i="1"/>
  <c r="Q1249" i="1"/>
  <c r="P1249" i="1"/>
  <c r="U1248" i="1"/>
  <c r="T1248" i="1"/>
  <c r="S1248" i="1"/>
  <c r="R1248" i="1"/>
  <c r="Q1248" i="1"/>
  <c r="P1248" i="1"/>
  <c r="U1247" i="1"/>
  <c r="T1247" i="1"/>
  <c r="S1247" i="1"/>
  <c r="R1247" i="1"/>
  <c r="Q1247" i="1"/>
  <c r="P1247" i="1"/>
  <c r="U1246" i="1"/>
  <c r="T1246" i="1"/>
  <c r="S1246" i="1"/>
  <c r="R1246" i="1"/>
  <c r="Q1246" i="1"/>
  <c r="P1246" i="1"/>
  <c r="U1245" i="1"/>
  <c r="T1245" i="1"/>
  <c r="S1245" i="1"/>
  <c r="R1245" i="1"/>
  <c r="Q1245" i="1"/>
  <c r="P1245" i="1"/>
  <c r="U1244" i="1"/>
  <c r="T1244" i="1"/>
  <c r="S1244" i="1"/>
  <c r="R1244" i="1"/>
  <c r="Q1244" i="1"/>
  <c r="P1244" i="1"/>
  <c r="U1243" i="1"/>
  <c r="T1243" i="1"/>
  <c r="S1243" i="1"/>
  <c r="R1243" i="1"/>
  <c r="Q1243" i="1"/>
  <c r="P1243" i="1"/>
  <c r="U1242" i="1"/>
  <c r="T1242" i="1"/>
  <c r="S1242" i="1"/>
  <c r="R1242" i="1"/>
  <c r="Q1242" i="1"/>
  <c r="P1242" i="1"/>
  <c r="U1241" i="1"/>
  <c r="T1241" i="1"/>
  <c r="S1241" i="1"/>
  <c r="R1241" i="1"/>
  <c r="Q1241" i="1"/>
  <c r="P1241" i="1"/>
  <c r="U1240" i="1"/>
  <c r="T1240" i="1"/>
  <c r="S1240" i="1"/>
  <c r="R1240" i="1"/>
  <c r="Q1240" i="1"/>
  <c r="P1240" i="1"/>
  <c r="U1239" i="1"/>
  <c r="T1239" i="1"/>
  <c r="S1239" i="1"/>
  <c r="R1239" i="1"/>
  <c r="Q1239" i="1"/>
  <c r="P1239" i="1"/>
  <c r="U1238" i="1"/>
  <c r="T1238" i="1"/>
  <c r="S1238" i="1"/>
  <c r="R1238" i="1"/>
  <c r="Q1238" i="1"/>
  <c r="P1238" i="1"/>
  <c r="U1237" i="1"/>
  <c r="T1237" i="1"/>
  <c r="S1237" i="1"/>
  <c r="R1237" i="1"/>
  <c r="Q1237" i="1"/>
  <c r="P1237" i="1"/>
  <c r="U1236" i="1"/>
  <c r="T1236" i="1"/>
  <c r="S1236" i="1"/>
  <c r="R1236" i="1"/>
  <c r="Q1236" i="1"/>
  <c r="P1236" i="1"/>
  <c r="U1235" i="1"/>
  <c r="T1235" i="1"/>
  <c r="S1235" i="1"/>
  <c r="R1235" i="1"/>
  <c r="Q1235" i="1"/>
  <c r="P1235" i="1"/>
  <c r="U1234" i="1"/>
  <c r="T1234" i="1"/>
  <c r="S1234" i="1"/>
  <c r="R1234" i="1"/>
  <c r="Q1234" i="1"/>
  <c r="P1234" i="1"/>
  <c r="U1233" i="1"/>
  <c r="T1233" i="1"/>
  <c r="S1233" i="1"/>
  <c r="R1233" i="1"/>
  <c r="Q1233" i="1"/>
  <c r="P1233" i="1"/>
  <c r="U1232" i="1"/>
  <c r="T1232" i="1"/>
  <c r="S1232" i="1"/>
  <c r="R1232" i="1"/>
  <c r="Q1232" i="1"/>
  <c r="P1232" i="1"/>
  <c r="U1231" i="1"/>
  <c r="T1231" i="1"/>
  <c r="S1231" i="1"/>
  <c r="R1231" i="1"/>
  <c r="Q1231" i="1"/>
  <c r="P1231" i="1"/>
  <c r="U1230" i="1"/>
  <c r="T1230" i="1"/>
  <c r="S1230" i="1"/>
  <c r="R1230" i="1"/>
  <c r="Q1230" i="1"/>
  <c r="P1230" i="1"/>
  <c r="U1229" i="1"/>
  <c r="T1229" i="1"/>
  <c r="S1229" i="1"/>
  <c r="R1229" i="1"/>
  <c r="Q1229" i="1"/>
  <c r="P1229" i="1"/>
  <c r="U1228" i="1"/>
  <c r="T1228" i="1"/>
  <c r="S1228" i="1"/>
  <c r="R1228" i="1"/>
  <c r="Q1228" i="1"/>
  <c r="P1228" i="1"/>
  <c r="U1227" i="1"/>
  <c r="T1227" i="1"/>
  <c r="S1227" i="1"/>
  <c r="R1227" i="1"/>
  <c r="Q1227" i="1"/>
  <c r="P1227" i="1"/>
  <c r="U1226" i="1"/>
  <c r="T1226" i="1"/>
  <c r="S1226" i="1"/>
  <c r="R1226" i="1"/>
  <c r="Q1226" i="1"/>
  <c r="P1226" i="1"/>
  <c r="U1225" i="1"/>
  <c r="T1225" i="1"/>
  <c r="S1225" i="1"/>
  <c r="R1225" i="1"/>
  <c r="Q1225" i="1"/>
  <c r="P1225" i="1"/>
  <c r="U1224" i="1"/>
  <c r="T1224" i="1"/>
  <c r="S1224" i="1"/>
  <c r="R1224" i="1"/>
  <c r="Q1224" i="1"/>
  <c r="P1224" i="1"/>
  <c r="U1223" i="1"/>
  <c r="T1223" i="1"/>
  <c r="S1223" i="1"/>
  <c r="R1223" i="1"/>
  <c r="Q1223" i="1"/>
  <c r="P1223" i="1"/>
  <c r="U1222" i="1"/>
  <c r="T1222" i="1"/>
  <c r="S1222" i="1"/>
  <c r="R1222" i="1"/>
  <c r="Q1222" i="1"/>
  <c r="P1222" i="1"/>
  <c r="U1221" i="1"/>
  <c r="T1221" i="1"/>
  <c r="S1221" i="1"/>
  <c r="R1221" i="1"/>
  <c r="Q1221" i="1"/>
  <c r="P1221" i="1"/>
  <c r="U1220" i="1"/>
  <c r="T1220" i="1"/>
  <c r="S1220" i="1"/>
  <c r="R1220" i="1"/>
  <c r="Q1220" i="1"/>
  <c r="P1220" i="1"/>
  <c r="U1219" i="1"/>
  <c r="T1219" i="1"/>
  <c r="S1219" i="1"/>
  <c r="R1219" i="1"/>
  <c r="Q1219" i="1"/>
  <c r="P1219" i="1"/>
  <c r="U1218" i="1"/>
  <c r="T1218" i="1"/>
  <c r="S1218" i="1"/>
  <c r="R1218" i="1"/>
  <c r="Q1218" i="1"/>
  <c r="P1218" i="1"/>
  <c r="U1217" i="1"/>
  <c r="T1217" i="1"/>
  <c r="S1217" i="1"/>
  <c r="R1217" i="1"/>
  <c r="Q1217" i="1"/>
  <c r="P1217" i="1"/>
  <c r="U1216" i="1"/>
  <c r="T1216" i="1"/>
  <c r="S1216" i="1"/>
  <c r="R1216" i="1"/>
  <c r="Q1216" i="1"/>
  <c r="P1216" i="1"/>
  <c r="U1215" i="1"/>
  <c r="T1215" i="1"/>
  <c r="S1215" i="1"/>
  <c r="R1215" i="1"/>
  <c r="Q1215" i="1"/>
  <c r="P1215" i="1"/>
  <c r="U1214" i="1"/>
  <c r="T1214" i="1"/>
  <c r="S1214" i="1"/>
  <c r="R1214" i="1"/>
  <c r="Q1214" i="1"/>
  <c r="P1214" i="1"/>
  <c r="U1213" i="1"/>
  <c r="T1213" i="1"/>
  <c r="S1213" i="1"/>
  <c r="R1213" i="1"/>
  <c r="Q1213" i="1"/>
  <c r="P1213" i="1"/>
  <c r="U1212" i="1"/>
  <c r="T1212" i="1"/>
  <c r="S1212" i="1"/>
  <c r="R1212" i="1"/>
  <c r="Q1212" i="1"/>
  <c r="P1212" i="1"/>
  <c r="U1211" i="1"/>
  <c r="T1211" i="1"/>
  <c r="S1211" i="1"/>
  <c r="R1211" i="1"/>
  <c r="Q1211" i="1"/>
  <c r="P1211" i="1"/>
  <c r="U1210" i="1"/>
  <c r="T1210" i="1"/>
  <c r="S1210" i="1"/>
  <c r="R1210" i="1"/>
  <c r="Q1210" i="1"/>
  <c r="P1210" i="1"/>
  <c r="U1209" i="1"/>
  <c r="T1209" i="1"/>
  <c r="S1209" i="1"/>
  <c r="R1209" i="1"/>
  <c r="Q1209" i="1"/>
  <c r="P1209" i="1"/>
  <c r="U1208" i="1"/>
  <c r="T1208" i="1"/>
  <c r="S1208" i="1"/>
  <c r="R1208" i="1"/>
  <c r="Q1208" i="1"/>
  <c r="P1208" i="1"/>
  <c r="U1207" i="1"/>
  <c r="T1207" i="1"/>
  <c r="S1207" i="1"/>
  <c r="R1207" i="1"/>
  <c r="Q1207" i="1"/>
  <c r="P1207" i="1"/>
  <c r="U1206" i="1"/>
  <c r="T1206" i="1"/>
  <c r="S1206" i="1"/>
  <c r="R1206" i="1"/>
  <c r="Q1206" i="1"/>
  <c r="P1206" i="1"/>
  <c r="U1205" i="1"/>
  <c r="T1205" i="1"/>
  <c r="S1205" i="1"/>
  <c r="R1205" i="1"/>
  <c r="Q1205" i="1"/>
  <c r="P1205" i="1"/>
  <c r="U1204" i="1"/>
  <c r="T1204" i="1"/>
  <c r="S1204" i="1"/>
  <c r="R1204" i="1"/>
  <c r="Q1204" i="1"/>
  <c r="P1204" i="1"/>
  <c r="U1203" i="1"/>
  <c r="T1203" i="1"/>
  <c r="S1203" i="1"/>
  <c r="R1203" i="1"/>
  <c r="Q1203" i="1"/>
  <c r="P1203" i="1"/>
  <c r="U1202" i="1"/>
  <c r="T1202" i="1"/>
  <c r="S1202" i="1"/>
  <c r="R1202" i="1"/>
  <c r="Q1202" i="1"/>
  <c r="P1202" i="1"/>
  <c r="U1201" i="1"/>
  <c r="T1201" i="1"/>
  <c r="S1201" i="1"/>
  <c r="R1201" i="1"/>
  <c r="Q1201" i="1"/>
  <c r="P1201" i="1"/>
  <c r="U1200" i="1"/>
  <c r="T1200" i="1"/>
  <c r="S1200" i="1"/>
  <c r="R1200" i="1"/>
  <c r="Q1200" i="1"/>
  <c r="P1200" i="1"/>
  <c r="U1199" i="1"/>
  <c r="T1199" i="1"/>
  <c r="S1199" i="1"/>
  <c r="R1199" i="1"/>
  <c r="Q1199" i="1"/>
  <c r="P1199" i="1"/>
  <c r="U1198" i="1"/>
  <c r="T1198" i="1"/>
  <c r="S1198" i="1"/>
  <c r="R1198" i="1"/>
  <c r="Q1198" i="1"/>
  <c r="P1198" i="1"/>
  <c r="U1197" i="1"/>
  <c r="T1197" i="1"/>
  <c r="S1197" i="1"/>
  <c r="R1197" i="1"/>
  <c r="Q1197" i="1"/>
  <c r="P1197" i="1"/>
  <c r="U1196" i="1"/>
  <c r="T1196" i="1"/>
  <c r="S1196" i="1"/>
  <c r="R1196" i="1"/>
  <c r="Q1196" i="1"/>
  <c r="P1196" i="1"/>
  <c r="U1195" i="1"/>
  <c r="T1195" i="1"/>
  <c r="S1195" i="1"/>
  <c r="R1195" i="1"/>
  <c r="Q1195" i="1"/>
  <c r="P1195" i="1"/>
  <c r="U1194" i="1"/>
  <c r="T1194" i="1"/>
  <c r="S1194" i="1"/>
  <c r="R1194" i="1"/>
  <c r="Q1194" i="1"/>
  <c r="P1194" i="1"/>
  <c r="U1193" i="1"/>
  <c r="T1193" i="1"/>
  <c r="S1193" i="1"/>
  <c r="R1193" i="1"/>
  <c r="Q1193" i="1"/>
  <c r="P1193" i="1"/>
  <c r="U1192" i="1"/>
  <c r="T1192" i="1"/>
  <c r="S1192" i="1"/>
  <c r="R1192" i="1"/>
  <c r="Q1192" i="1"/>
  <c r="P1192" i="1"/>
  <c r="U1191" i="1"/>
  <c r="T1191" i="1"/>
  <c r="S1191" i="1"/>
  <c r="R1191" i="1"/>
  <c r="Q1191" i="1"/>
  <c r="P1191" i="1"/>
  <c r="U1190" i="1"/>
  <c r="T1190" i="1"/>
  <c r="S1190" i="1"/>
  <c r="R1190" i="1"/>
  <c r="Q1190" i="1"/>
  <c r="P1190" i="1"/>
  <c r="U1189" i="1"/>
  <c r="T1189" i="1"/>
  <c r="S1189" i="1"/>
  <c r="R1189" i="1"/>
  <c r="Q1189" i="1"/>
  <c r="P1189" i="1"/>
  <c r="U1188" i="1"/>
  <c r="T1188" i="1"/>
  <c r="S1188" i="1"/>
  <c r="R1188" i="1"/>
  <c r="Q1188" i="1"/>
  <c r="P1188" i="1"/>
  <c r="U1187" i="1"/>
  <c r="T1187" i="1"/>
  <c r="S1187" i="1"/>
  <c r="R1187" i="1"/>
  <c r="Q1187" i="1"/>
  <c r="P1187" i="1"/>
  <c r="U1186" i="1"/>
  <c r="T1186" i="1"/>
  <c r="S1186" i="1"/>
  <c r="R1186" i="1"/>
  <c r="Q1186" i="1"/>
  <c r="P1186" i="1"/>
  <c r="U1185" i="1"/>
  <c r="T1185" i="1"/>
  <c r="S1185" i="1"/>
  <c r="R1185" i="1"/>
  <c r="Q1185" i="1"/>
  <c r="P1185" i="1"/>
  <c r="U1184" i="1"/>
  <c r="T1184" i="1"/>
  <c r="S1184" i="1"/>
  <c r="R1184" i="1"/>
  <c r="Q1184" i="1"/>
  <c r="P1184" i="1"/>
  <c r="U1183" i="1"/>
  <c r="T1183" i="1"/>
  <c r="S1183" i="1"/>
  <c r="R1183" i="1"/>
  <c r="Q1183" i="1"/>
  <c r="P1183" i="1"/>
  <c r="U1182" i="1"/>
  <c r="T1182" i="1"/>
  <c r="S1182" i="1"/>
  <c r="R1182" i="1"/>
  <c r="Q1182" i="1"/>
  <c r="P1182" i="1"/>
  <c r="U1181" i="1"/>
  <c r="T1181" i="1"/>
  <c r="S1181" i="1"/>
  <c r="R1181" i="1"/>
  <c r="Q1181" i="1"/>
  <c r="P1181" i="1"/>
  <c r="U1180" i="1"/>
  <c r="T1180" i="1"/>
  <c r="S1180" i="1"/>
  <c r="R1180" i="1"/>
  <c r="Q1180" i="1"/>
  <c r="P1180" i="1"/>
  <c r="U1179" i="1"/>
  <c r="T1179" i="1"/>
  <c r="S1179" i="1"/>
  <c r="R1179" i="1"/>
  <c r="Q1179" i="1"/>
  <c r="P1179" i="1"/>
  <c r="U1178" i="1"/>
  <c r="T1178" i="1"/>
  <c r="S1178" i="1"/>
  <c r="R1178" i="1"/>
  <c r="Q1178" i="1"/>
  <c r="P1178" i="1"/>
  <c r="U1177" i="1"/>
  <c r="T1177" i="1"/>
  <c r="S1177" i="1"/>
  <c r="R1177" i="1"/>
  <c r="Q1177" i="1"/>
  <c r="P1177" i="1"/>
  <c r="U1176" i="1"/>
  <c r="T1176" i="1"/>
  <c r="S1176" i="1"/>
  <c r="R1176" i="1"/>
  <c r="Q1176" i="1"/>
  <c r="P1176" i="1"/>
  <c r="U1175" i="1"/>
  <c r="T1175" i="1"/>
  <c r="S1175" i="1"/>
  <c r="R1175" i="1"/>
  <c r="Q1175" i="1"/>
  <c r="P1175" i="1"/>
  <c r="U1174" i="1"/>
  <c r="T1174" i="1"/>
  <c r="S1174" i="1"/>
  <c r="R1174" i="1"/>
  <c r="Q1174" i="1"/>
  <c r="P1174" i="1"/>
  <c r="U1173" i="1"/>
  <c r="T1173" i="1"/>
  <c r="S1173" i="1"/>
  <c r="R1173" i="1"/>
  <c r="Q1173" i="1"/>
  <c r="P1173" i="1"/>
  <c r="U1172" i="1"/>
  <c r="T1172" i="1"/>
  <c r="S1172" i="1"/>
  <c r="R1172" i="1"/>
  <c r="Q1172" i="1"/>
  <c r="P1172" i="1"/>
  <c r="U1171" i="1"/>
  <c r="T1171" i="1"/>
  <c r="S1171" i="1"/>
  <c r="R1171" i="1"/>
  <c r="Q1171" i="1"/>
  <c r="P1171" i="1"/>
  <c r="U1170" i="1"/>
  <c r="T1170" i="1"/>
  <c r="S1170" i="1"/>
  <c r="R1170" i="1"/>
  <c r="Q1170" i="1"/>
  <c r="P1170" i="1"/>
  <c r="U1169" i="1"/>
  <c r="T1169" i="1"/>
  <c r="S1169" i="1"/>
  <c r="R1169" i="1"/>
  <c r="Q1169" i="1"/>
  <c r="P1169" i="1"/>
  <c r="U1168" i="1"/>
  <c r="T1168" i="1"/>
  <c r="S1168" i="1"/>
  <c r="R1168" i="1"/>
  <c r="Q1168" i="1"/>
  <c r="P1168" i="1"/>
  <c r="U1167" i="1"/>
  <c r="T1167" i="1"/>
  <c r="S1167" i="1"/>
  <c r="R1167" i="1"/>
  <c r="Q1167" i="1"/>
  <c r="P1167" i="1"/>
  <c r="U1166" i="1"/>
  <c r="T1166" i="1"/>
  <c r="S1166" i="1"/>
  <c r="R1166" i="1"/>
  <c r="Q1166" i="1"/>
  <c r="P1166" i="1"/>
  <c r="U1165" i="1"/>
  <c r="T1165" i="1"/>
  <c r="S1165" i="1"/>
  <c r="R1165" i="1"/>
  <c r="Q1165" i="1"/>
  <c r="P1165" i="1"/>
  <c r="U1164" i="1"/>
  <c r="T1164" i="1"/>
  <c r="S1164" i="1"/>
  <c r="R1164" i="1"/>
  <c r="Q1164" i="1"/>
  <c r="P1164" i="1"/>
  <c r="U1163" i="1"/>
  <c r="T1163" i="1"/>
  <c r="S1163" i="1"/>
  <c r="R1163" i="1"/>
  <c r="Q1163" i="1"/>
  <c r="P1163" i="1"/>
  <c r="U1162" i="1"/>
  <c r="T1162" i="1"/>
  <c r="S1162" i="1"/>
  <c r="R1162" i="1"/>
  <c r="Q1162" i="1"/>
  <c r="P1162" i="1"/>
  <c r="U1161" i="1"/>
  <c r="T1161" i="1"/>
  <c r="S1161" i="1"/>
  <c r="R1161" i="1"/>
  <c r="Q1161" i="1"/>
  <c r="P1161" i="1"/>
  <c r="U1160" i="1"/>
  <c r="T1160" i="1"/>
  <c r="S1160" i="1"/>
  <c r="R1160" i="1"/>
  <c r="Q1160" i="1"/>
  <c r="P1160" i="1"/>
  <c r="U1159" i="1"/>
  <c r="T1159" i="1"/>
  <c r="S1159" i="1"/>
  <c r="R1159" i="1"/>
  <c r="Q1159" i="1"/>
  <c r="P1159" i="1"/>
  <c r="U1158" i="1"/>
  <c r="T1158" i="1"/>
  <c r="S1158" i="1"/>
  <c r="R1158" i="1"/>
  <c r="Q1158" i="1"/>
  <c r="P1158" i="1"/>
  <c r="U1157" i="1"/>
  <c r="T1157" i="1"/>
  <c r="S1157" i="1"/>
  <c r="R1157" i="1"/>
  <c r="Q1157" i="1"/>
  <c r="P1157" i="1"/>
  <c r="U1156" i="1"/>
  <c r="T1156" i="1"/>
  <c r="S1156" i="1"/>
  <c r="R1156" i="1"/>
  <c r="Q1156" i="1"/>
  <c r="P1156" i="1"/>
  <c r="U1155" i="1"/>
  <c r="T1155" i="1"/>
  <c r="S1155" i="1"/>
  <c r="R1155" i="1"/>
  <c r="Q1155" i="1"/>
  <c r="P1155" i="1"/>
  <c r="U1154" i="1"/>
  <c r="T1154" i="1"/>
  <c r="S1154" i="1"/>
  <c r="R1154" i="1"/>
  <c r="Q1154" i="1"/>
  <c r="P1154" i="1"/>
  <c r="U1153" i="1"/>
  <c r="T1153" i="1"/>
  <c r="S1153" i="1"/>
  <c r="R1153" i="1"/>
  <c r="Q1153" i="1"/>
  <c r="P1153" i="1"/>
  <c r="U1152" i="1"/>
  <c r="T1152" i="1"/>
  <c r="S1152" i="1"/>
  <c r="R1152" i="1"/>
  <c r="Q1152" i="1"/>
  <c r="P1152" i="1"/>
  <c r="U1151" i="1"/>
  <c r="T1151" i="1"/>
  <c r="S1151" i="1"/>
  <c r="R1151" i="1"/>
  <c r="Q1151" i="1"/>
  <c r="P1151" i="1"/>
  <c r="U1150" i="1"/>
  <c r="T1150" i="1"/>
  <c r="S1150" i="1"/>
  <c r="R1150" i="1"/>
  <c r="Q1150" i="1"/>
  <c r="P1150" i="1"/>
  <c r="U1149" i="1"/>
  <c r="T1149" i="1"/>
  <c r="S1149" i="1"/>
  <c r="R1149" i="1"/>
  <c r="Q1149" i="1"/>
  <c r="P1149" i="1"/>
  <c r="U1148" i="1"/>
  <c r="T1148" i="1"/>
  <c r="S1148" i="1"/>
  <c r="R1148" i="1"/>
  <c r="Q1148" i="1"/>
  <c r="P1148" i="1"/>
  <c r="U1147" i="1"/>
  <c r="T1147" i="1"/>
  <c r="S1147" i="1"/>
  <c r="R1147" i="1"/>
  <c r="Q1147" i="1"/>
  <c r="P1147" i="1"/>
  <c r="U1146" i="1"/>
  <c r="T1146" i="1"/>
  <c r="S1146" i="1"/>
  <c r="R1146" i="1"/>
  <c r="Q1146" i="1"/>
  <c r="P1146" i="1"/>
  <c r="U1145" i="1"/>
  <c r="T1145" i="1"/>
  <c r="S1145" i="1"/>
  <c r="R1145" i="1"/>
  <c r="Q1145" i="1"/>
  <c r="P1145" i="1"/>
  <c r="U1144" i="1"/>
  <c r="T1144" i="1"/>
  <c r="S1144" i="1"/>
  <c r="R1144" i="1"/>
  <c r="Q1144" i="1"/>
  <c r="P1144" i="1"/>
  <c r="U1143" i="1"/>
  <c r="T1143" i="1"/>
  <c r="S1143" i="1"/>
  <c r="R1143" i="1"/>
  <c r="Q1143" i="1"/>
  <c r="P1143" i="1"/>
  <c r="U1142" i="1"/>
  <c r="T1142" i="1"/>
  <c r="S1142" i="1"/>
  <c r="R1142" i="1"/>
  <c r="Q1142" i="1"/>
  <c r="P1142" i="1"/>
  <c r="U1141" i="1"/>
  <c r="T1141" i="1"/>
  <c r="S1141" i="1"/>
  <c r="R1141" i="1"/>
  <c r="Q1141" i="1"/>
  <c r="P1141" i="1"/>
  <c r="U1140" i="1"/>
  <c r="T1140" i="1"/>
  <c r="S1140" i="1"/>
  <c r="R1140" i="1"/>
  <c r="Q1140" i="1"/>
  <c r="P1140" i="1"/>
  <c r="U1139" i="1"/>
  <c r="T1139" i="1"/>
  <c r="S1139" i="1"/>
  <c r="R1139" i="1"/>
  <c r="Q1139" i="1"/>
  <c r="P1139" i="1"/>
  <c r="U1138" i="1"/>
  <c r="T1138" i="1"/>
  <c r="S1138" i="1"/>
  <c r="R1138" i="1"/>
  <c r="Q1138" i="1"/>
  <c r="P1138" i="1"/>
  <c r="U1137" i="1"/>
  <c r="T1137" i="1"/>
  <c r="S1137" i="1"/>
  <c r="R1137" i="1"/>
  <c r="Q1137" i="1"/>
  <c r="P1137" i="1"/>
  <c r="U1136" i="1"/>
  <c r="T1136" i="1"/>
  <c r="S1136" i="1"/>
  <c r="R1136" i="1"/>
  <c r="Q1136" i="1"/>
  <c r="P1136" i="1"/>
  <c r="U1135" i="1"/>
  <c r="T1135" i="1"/>
  <c r="S1135" i="1"/>
  <c r="R1135" i="1"/>
  <c r="Q1135" i="1"/>
  <c r="P1135" i="1"/>
  <c r="U1134" i="1"/>
  <c r="T1134" i="1"/>
  <c r="S1134" i="1"/>
  <c r="R1134" i="1"/>
  <c r="Q1134" i="1"/>
  <c r="P1134" i="1"/>
  <c r="U1133" i="1"/>
  <c r="T1133" i="1"/>
  <c r="S1133" i="1"/>
  <c r="R1133" i="1"/>
  <c r="Q1133" i="1"/>
  <c r="P1133" i="1"/>
  <c r="U1132" i="1"/>
  <c r="T1132" i="1"/>
  <c r="S1132" i="1"/>
  <c r="R1132" i="1"/>
  <c r="Q1132" i="1"/>
  <c r="P1132" i="1"/>
  <c r="U1131" i="1"/>
  <c r="T1131" i="1"/>
  <c r="S1131" i="1"/>
  <c r="R1131" i="1"/>
  <c r="Q1131" i="1"/>
  <c r="P1131" i="1"/>
  <c r="U1130" i="1"/>
  <c r="T1130" i="1"/>
  <c r="S1130" i="1"/>
  <c r="R1130" i="1"/>
  <c r="Q1130" i="1"/>
  <c r="P1130" i="1"/>
  <c r="U1129" i="1"/>
  <c r="T1129" i="1"/>
  <c r="S1129" i="1"/>
  <c r="R1129" i="1"/>
  <c r="Q1129" i="1"/>
  <c r="P1129" i="1"/>
  <c r="U1128" i="1"/>
  <c r="T1128" i="1"/>
  <c r="S1128" i="1"/>
  <c r="R1128" i="1"/>
  <c r="Q1128" i="1"/>
  <c r="P1128" i="1"/>
  <c r="U1127" i="1"/>
  <c r="T1127" i="1"/>
  <c r="S1127" i="1"/>
  <c r="R1127" i="1"/>
  <c r="Q1127" i="1"/>
  <c r="P1127" i="1"/>
  <c r="U1126" i="1"/>
  <c r="T1126" i="1"/>
  <c r="S1126" i="1"/>
  <c r="R1126" i="1"/>
  <c r="Q1126" i="1"/>
  <c r="P1126" i="1"/>
  <c r="U1125" i="1"/>
  <c r="T1125" i="1"/>
  <c r="S1125" i="1"/>
  <c r="R1125" i="1"/>
  <c r="Q1125" i="1"/>
  <c r="P1125" i="1"/>
  <c r="U1124" i="1"/>
  <c r="T1124" i="1"/>
  <c r="S1124" i="1"/>
  <c r="R1124" i="1"/>
  <c r="Q1124" i="1"/>
  <c r="P1124" i="1"/>
  <c r="U1123" i="1"/>
  <c r="T1123" i="1"/>
  <c r="S1123" i="1"/>
  <c r="R1123" i="1"/>
  <c r="Q1123" i="1"/>
  <c r="P1123" i="1"/>
  <c r="U1122" i="1"/>
  <c r="T1122" i="1"/>
  <c r="S1122" i="1"/>
  <c r="R1122" i="1"/>
  <c r="Q1122" i="1"/>
  <c r="P1122" i="1"/>
  <c r="U1121" i="1"/>
  <c r="T1121" i="1"/>
  <c r="S1121" i="1"/>
  <c r="R1121" i="1"/>
  <c r="Q1121" i="1"/>
  <c r="P1121" i="1"/>
  <c r="U1120" i="1"/>
  <c r="T1120" i="1"/>
  <c r="S1120" i="1"/>
  <c r="R1120" i="1"/>
  <c r="Q1120" i="1"/>
  <c r="P1120" i="1"/>
  <c r="U1119" i="1"/>
  <c r="T1119" i="1"/>
  <c r="S1119" i="1"/>
  <c r="R1119" i="1"/>
  <c r="Q1119" i="1"/>
  <c r="P1119" i="1"/>
  <c r="U1118" i="1"/>
  <c r="T1118" i="1"/>
  <c r="S1118" i="1"/>
  <c r="R1118" i="1"/>
  <c r="Q1118" i="1"/>
  <c r="P1118" i="1"/>
  <c r="U1117" i="1"/>
  <c r="T1117" i="1"/>
  <c r="S1117" i="1"/>
  <c r="R1117" i="1"/>
  <c r="Q1117" i="1"/>
  <c r="P1117" i="1"/>
  <c r="U1116" i="1"/>
  <c r="T1116" i="1"/>
  <c r="S1116" i="1"/>
  <c r="R1116" i="1"/>
  <c r="Q1116" i="1"/>
  <c r="P1116" i="1"/>
  <c r="U1115" i="1"/>
  <c r="T1115" i="1"/>
  <c r="S1115" i="1"/>
  <c r="R1115" i="1"/>
  <c r="Q1115" i="1"/>
  <c r="P1115" i="1"/>
  <c r="U1114" i="1"/>
  <c r="T1114" i="1"/>
  <c r="S1114" i="1"/>
  <c r="R1114" i="1"/>
  <c r="Q1114" i="1"/>
  <c r="P1114" i="1"/>
  <c r="U1113" i="1"/>
  <c r="T1113" i="1"/>
  <c r="S1113" i="1"/>
  <c r="R1113" i="1"/>
  <c r="Q1113" i="1"/>
  <c r="P1113" i="1"/>
  <c r="U1112" i="1"/>
  <c r="T1112" i="1"/>
  <c r="S1112" i="1"/>
  <c r="R1112" i="1"/>
  <c r="Q1112" i="1"/>
  <c r="P1112" i="1"/>
  <c r="U1111" i="1"/>
  <c r="T1111" i="1"/>
  <c r="S1111" i="1"/>
  <c r="R1111" i="1"/>
  <c r="Q1111" i="1"/>
  <c r="P1111" i="1"/>
  <c r="U1110" i="1"/>
  <c r="T1110" i="1"/>
  <c r="S1110" i="1"/>
  <c r="R1110" i="1"/>
  <c r="Q1110" i="1"/>
  <c r="P1110" i="1"/>
  <c r="U1109" i="1"/>
  <c r="T1109" i="1"/>
  <c r="S1109" i="1"/>
  <c r="R1109" i="1"/>
  <c r="Q1109" i="1"/>
  <c r="P1109" i="1"/>
  <c r="U1108" i="1"/>
  <c r="T1108" i="1"/>
  <c r="S1108" i="1"/>
  <c r="R1108" i="1"/>
  <c r="Q1108" i="1"/>
  <c r="P1108" i="1"/>
  <c r="U1107" i="1"/>
  <c r="T1107" i="1"/>
  <c r="S1107" i="1"/>
  <c r="R1107" i="1"/>
  <c r="Q1107" i="1"/>
  <c r="P1107" i="1"/>
  <c r="U1106" i="1"/>
  <c r="T1106" i="1"/>
  <c r="S1106" i="1"/>
  <c r="R1106" i="1"/>
  <c r="Q1106" i="1"/>
  <c r="P1106" i="1"/>
  <c r="U1105" i="1"/>
  <c r="T1105" i="1"/>
  <c r="S1105" i="1"/>
  <c r="R1105" i="1"/>
  <c r="Q1105" i="1"/>
  <c r="P1105" i="1"/>
  <c r="U1104" i="1"/>
  <c r="T1104" i="1"/>
  <c r="S1104" i="1"/>
  <c r="R1104" i="1"/>
  <c r="Q1104" i="1"/>
  <c r="P1104" i="1"/>
  <c r="U1103" i="1"/>
  <c r="T1103" i="1"/>
  <c r="S1103" i="1"/>
  <c r="R1103" i="1"/>
  <c r="Q1103" i="1"/>
  <c r="P1103" i="1"/>
  <c r="U1102" i="1"/>
  <c r="T1102" i="1"/>
  <c r="S1102" i="1"/>
  <c r="R1102" i="1"/>
  <c r="Q1102" i="1"/>
  <c r="P1102" i="1"/>
  <c r="U1101" i="1"/>
  <c r="T1101" i="1"/>
  <c r="S1101" i="1"/>
  <c r="R1101" i="1"/>
  <c r="Q1101" i="1"/>
  <c r="P1101" i="1"/>
  <c r="U1100" i="1"/>
  <c r="T1100" i="1"/>
  <c r="S1100" i="1"/>
  <c r="R1100" i="1"/>
  <c r="Q1100" i="1"/>
  <c r="P1100" i="1"/>
  <c r="U1099" i="1"/>
  <c r="T1099" i="1"/>
  <c r="S1099" i="1"/>
  <c r="R1099" i="1"/>
  <c r="Q1099" i="1"/>
  <c r="P1099" i="1"/>
  <c r="U1098" i="1"/>
  <c r="T1098" i="1"/>
  <c r="S1098" i="1"/>
  <c r="R1098" i="1"/>
  <c r="Q1098" i="1"/>
  <c r="P1098" i="1"/>
  <c r="U1097" i="1"/>
  <c r="T1097" i="1"/>
  <c r="S1097" i="1"/>
  <c r="R1097" i="1"/>
  <c r="Q1097" i="1"/>
  <c r="P1097" i="1"/>
  <c r="U1096" i="1"/>
  <c r="T1096" i="1"/>
  <c r="S1096" i="1"/>
  <c r="R1096" i="1"/>
  <c r="Q1096" i="1"/>
  <c r="P1096" i="1"/>
  <c r="U1095" i="1"/>
  <c r="T1095" i="1"/>
  <c r="S1095" i="1"/>
  <c r="R1095" i="1"/>
  <c r="Q1095" i="1"/>
  <c r="P1095" i="1"/>
  <c r="U1094" i="1"/>
  <c r="T1094" i="1"/>
  <c r="S1094" i="1"/>
  <c r="R1094" i="1"/>
  <c r="Q1094" i="1"/>
  <c r="P1094" i="1"/>
  <c r="U1093" i="1"/>
  <c r="T1093" i="1"/>
  <c r="S1093" i="1"/>
  <c r="R1093" i="1"/>
  <c r="Q1093" i="1"/>
  <c r="P1093" i="1"/>
  <c r="U1092" i="1"/>
  <c r="T1092" i="1"/>
  <c r="S1092" i="1"/>
  <c r="R1092" i="1"/>
  <c r="Q1092" i="1"/>
  <c r="P1092" i="1"/>
  <c r="U1091" i="1"/>
  <c r="T1091" i="1"/>
  <c r="S1091" i="1"/>
  <c r="R1091" i="1"/>
  <c r="Q1091" i="1"/>
  <c r="P1091" i="1"/>
  <c r="U1090" i="1"/>
  <c r="T1090" i="1"/>
  <c r="S1090" i="1"/>
  <c r="R1090" i="1"/>
  <c r="Q1090" i="1"/>
  <c r="P1090" i="1"/>
  <c r="U1089" i="1"/>
  <c r="T1089" i="1"/>
  <c r="S1089" i="1"/>
  <c r="R1089" i="1"/>
  <c r="Q1089" i="1"/>
  <c r="P1089" i="1"/>
  <c r="U1088" i="1"/>
  <c r="T1088" i="1"/>
  <c r="S1088" i="1"/>
  <c r="R1088" i="1"/>
  <c r="Q1088" i="1"/>
  <c r="P1088" i="1"/>
  <c r="U1087" i="1"/>
  <c r="T1087" i="1"/>
  <c r="S1087" i="1"/>
  <c r="R1087" i="1"/>
  <c r="Q1087" i="1"/>
  <c r="P1087" i="1"/>
  <c r="U1086" i="1"/>
  <c r="T1086" i="1"/>
  <c r="S1086" i="1"/>
  <c r="R1086" i="1"/>
  <c r="Q1086" i="1"/>
  <c r="P1086" i="1"/>
  <c r="U1085" i="1"/>
  <c r="T1085" i="1"/>
  <c r="S1085" i="1"/>
  <c r="R1085" i="1"/>
  <c r="Q1085" i="1"/>
  <c r="P1085" i="1"/>
  <c r="U1084" i="1"/>
  <c r="T1084" i="1"/>
  <c r="S1084" i="1"/>
  <c r="R1084" i="1"/>
  <c r="Q1084" i="1"/>
  <c r="P1084" i="1"/>
  <c r="U1083" i="1"/>
  <c r="T1083" i="1"/>
  <c r="S1083" i="1"/>
  <c r="R1083" i="1"/>
  <c r="Q1083" i="1"/>
  <c r="P1083" i="1"/>
  <c r="U1082" i="1"/>
  <c r="T1082" i="1"/>
  <c r="S1082" i="1"/>
  <c r="R1082" i="1"/>
  <c r="Q1082" i="1"/>
  <c r="P1082" i="1"/>
  <c r="U1081" i="1"/>
  <c r="T1081" i="1"/>
  <c r="S1081" i="1"/>
  <c r="R1081" i="1"/>
  <c r="Q1081" i="1"/>
  <c r="P1081" i="1"/>
  <c r="U1080" i="1"/>
  <c r="T1080" i="1"/>
  <c r="S1080" i="1"/>
  <c r="R1080" i="1"/>
  <c r="Q1080" i="1"/>
  <c r="P1080" i="1"/>
  <c r="U1079" i="1"/>
  <c r="T1079" i="1"/>
  <c r="S1079" i="1"/>
  <c r="R1079" i="1"/>
  <c r="Q1079" i="1"/>
  <c r="P1079" i="1"/>
  <c r="U1078" i="1"/>
  <c r="T1078" i="1"/>
  <c r="S1078" i="1"/>
  <c r="R1078" i="1"/>
  <c r="Q1078" i="1"/>
  <c r="P1078" i="1"/>
  <c r="U1077" i="1"/>
  <c r="T1077" i="1"/>
  <c r="S1077" i="1"/>
  <c r="R1077" i="1"/>
  <c r="Q1077" i="1"/>
  <c r="P1077" i="1"/>
  <c r="U1076" i="1"/>
  <c r="T1076" i="1"/>
  <c r="S1076" i="1"/>
  <c r="R1076" i="1"/>
  <c r="Q1076" i="1"/>
  <c r="P1076" i="1"/>
  <c r="U1075" i="1"/>
  <c r="T1075" i="1"/>
  <c r="S1075" i="1"/>
  <c r="R1075" i="1"/>
  <c r="Q1075" i="1"/>
  <c r="P1075" i="1"/>
  <c r="U1074" i="1"/>
  <c r="T1074" i="1"/>
  <c r="S1074" i="1"/>
  <c r="R1074" i="1"/>
  <c r="Q1074" i="1"/>
  <c r="P1074" i="1"/>
  <c r="U1073" i="1"/>
  <c r="T1073" i="1"/>
  <c r="S1073" i="1"/>
  <c r="R1073" i="1"/>
  <c r="Q1073" i="1"/>
  <c r="P1073" i="1"/>
  <c r="U1072" i="1"/>
  <c r="T1072" i="1"/>
  <c r="S1072" i="1"/>
  <c r="R1072" i="1"/>
  <c r="Q1072" i="1"/>
  <c r="P1072" i="1"/>
  <c r="U1071" i="1"/>
  <c r="T1071" i="1"/>
  <c r="S1071" i="1"/>
  <c r="R1071" i="1"/>
  <c r="Q1071" i="1"/>
  <c r="P1071" i="1"/>
  <c r="U1070" i="1"/>
  <c r="T1070" i="1"/>
  <c r="S1070" i="1"/>
  <c r="R1070" i="1"/>
  <c r="Q1070" i="1"/>
  <c r="P1070" i="1"/>
  <c r="U1069" i="1"/>
  <c r="T1069" i="1"/>
  <c r="S1069" i="1"/>
  <c r="R1069" i="1"/>
  <c r="Q1069" i="1"/>
  <c r="P1069" i="1"/>
  <c r="U1068" i="1"/>
  <c r="T1068" i="1"/>
  <c r="S1068" i="1"/>
  <c r="R1068" i="1"/>
  <c r="Q1068" i="1"/>
  <c r="P1068" i="1"/>
  <c r="U1067" i="1"/>
  <c r="T1067" i="1"/>
  <c r="S1067" i="1"/>
  <c r="R1067" i="1"/>
  <c r="Q1067" i="1"/>
  <c r="P1067" i="1"/>
  <c r="U1066" i="1"/>
  <c r="T1066" i="1"/>
  <c r="S1066" i="1"/>
  <c r="R1066" i="1"/>
  <c r="Q1066" i="1"/>
  <c r="P1066" i="1"/>
  <c r="U1065" i="1"/>
  <c r="T1065" i="1"/>
  <c r="S1065" i="1"/>
  <c r="R1065" i="1"/>
  <c r="Q1065" i="1"/>
  <c r="P1065" i="1"/>
  <c r="U1064" i="1"/>
  <c r="T1064" i="1"/>
  <c r="S1064" i="1"/>
  <c r="R1064" i="1"/>
  <c r="Q1064" i="1"/>
  <c r="P1064" i="1"/>
  <c r="U1063" i="1"/>
  <c r="T1063" i="1"/>
  <c r="S1063" i="1"/>
  <c r="R1063" i="1"/>
  <c r="Q1063" i="1"/>
  <c r="P1063" i="1"/>
  <c r="U1062" i="1"/>
  <c r="T1062" i="1"/>
  <c r="S1062" i="1"/>
  <c r="R1062" i="1"/>
  <c r="Q1062" i="1"/>
  <c r="P1062" i="1"/>
  <c r="U1061" i="1"/>
  <c r="T1061" i="1"/>
  <c r="S1061" i="1"/>
  <c r="R1061" i="1"/>
  <c r="Q1061" i="1"/>
  <c r="P1061" i="1"/>
  <c r="U1060" i="1"/>
  <c r="T1060" i="1"/>
  <c r="S1060" i="1"/>
  <c r="R1060" i="1"/>
  <c r="Q1060" i="1"/>
  <c r="P1060" i="1"/>
  <c r="U1059" i="1"/>
  <c r="T1059" i="1"/>
  <c r="S1059" i="1"/>
  <c r="R1059" i="1"/>
  <c r="Q1059" i="1"/>
  <c r="P1059" i="1"/>
  <c r="U1058" i="1"/>
  <c r="T1058" i="1"/>
  <c r="S1058" i="1"/>
  <c r="R1058" i="1"/>
  <c r="Q1058" i="1"/>
  <c r="P1058" i="1"/>
  <c r="U1057" i="1"/>
  <c r="T1057" i="1"/>
  <c r="S1057" i="1"/>
  <c r="R1057" i="1"/>
  <c r="Q1057" i="1"/>
  <c r="P1057" i="1"/>
  <c r="U1056" i="1"/>
  <c r="T1056" i="1"/>
  <c r="S1056" i="1"/>
  <c r="R1056" i="1"/>
  <c r="Q1056" i="1"/>
  <c r="P1056" i="1"/>
  <c r="U1055" i="1"/>
  <c r="T1055" i="1"/>
  <c r="S1055" i="1"/>
  <c r="R1055" i="1"/>
  <c r="Q1055" i="1"/>
  <c r="P1055" i="1"/>
  <c r="U1054" i="1"/>
  <c r="T1054" i="1"/>
  <c r="S1054" i="1"/>
  <c r="R1054" i="1"/>
  <c r="Q1054" i="1"/>
  <c r="P1054" i="1"/>
  <c r="U1053" i="1"/>
  <c r="T1053" i="1"/>
  <c r="S1053" i="1"/>
  <c r="R1053" i="1"/>
  <c r="Q1053" i="1"/>
  <c r="P1053" i="1"/>
  <c r="U1052" i="1"/>
  <c r="T1052" i="1"/>
  <c r="S1052" i="1"/>
  <c r="R1052" i="1"/>
  <c r="Q1052" i="1"/>
  <c r="P1052" i="1"/>
  <c r="U1051" i="1"/>
  <c r="T1051" i="1"/>
  <c r="S1051" i="1"/>
  <c r="R1051" i="1"/>
  <c r="Q1051" i="1"/>
  <c r="P1051" i="1"/>
  <c r="U1050" i="1"/>
  <c r="T1050" i="1"/>
  <c r="S1050" i="1"/>
  <c r="R1050" i="1"/>
  <c r="Q1050" i="1"/>
  <c r="P1050" i="1"/>
  <c r="U1049" i="1"/>
  <c r="T1049" i="1"/>
  <c r="S1049" i="1"/>
  <c r="R1049" i="1"/>
  <c r="Q1049" i="1"/>
  <c r="P1049" i="1"/>
  <c r="U1048" i="1"/>
  <c r="T1048" i="1"/>
  <c r="S1048" i="1"/>
  <c r="R1048" i="1"/>
  <c r="Q1048" i="1"/>
  <c r="P1048" i="1"/>
  <c r="U1047" i="1"/>
  <c r="T1047" i="1"/>
  <c r="S1047" i="1"/>
  <c r="R1047" i="1"/>
  <c r="Q1047" i="1"/>
  <c r="P1047" i="1"/>
  <c r="U1046" i="1"/>
  <c r="T1046" i="1"/>
  <c r="S1046" i="1"/>
  <c r="R1046" i="1"/>
  <c r="Q1046" i="1"/>
  <c r="P1046" i="1"/>
  <c r="U1045" i="1"/>
  <c r="T1045" i="1"/>
  <c r="S1045" i="1"/>
  <c r="R1045" i="1"/>
  <c r="Q1045" i="1"/>
  <c r="P1045" i="1"/>
  <c r="U1044" i="1"/>
  <c r="T1044" i="1"/>
  <c r="S1044" i="1"/>
  <c r="R1044" i="1"/>
  <c r="Q1044" i="1"/>
  <c r="P1044" i="1"/>
  <c r="U1043" i="1"/>
  <c r="T1043" i="1"/>
  <c r="S1043" i="1"/>
  <c r="R1043" i="1"/>
  <c r="Q1043" i="1"/>
  <c r="P1043" i="1"/>
  <c r="U1042" i="1"/>
  <c r="T1042" i="1"/>
  <c r="S1042" i="1"/>
  <c r="R1042" i="1"/>
  <c r="Q1042" i="1"/>
  <c r="P1042" i="1"/>
  <c r="U1041" i="1"/>
  <c r="T1041" i="1"/>
  <c r="S1041" i="1"/>
  <c r="R1041" i="1"/>
  <c r="Q1041" i="1"/>
  <c r="P1041" i="1"/>
  <c r="U1040" i="1"/>
  <c r="T1040" i="1"/>
  <c r="S1040" i="1"/>
  <c r="R1040" i="1"/>
  <c r="Q1040" i="1"/>
  <c r="P1040" i="1"/>
  <c r="U1039" i="1"/>
  <c r="T1039" i="1"/>
  <c r="S1039" i="1"/>
  <c r="R1039" i="1"/>
  <c r="Q1039" i="1"/>
  <c r="P1039" i="1"/>
  <c r="U1038" i="1"/>
  <c r="T1038" i="1"/>
  <c r="S1038" i="1"/>
  <c r="R1038" i="1"/>
  <c r="Q1038" i="1"/>
  <c r="P1038" i="1"/>
  <c r="U1037" i="1"/>
  <c r="T1037" i="1"/>
  <c r="S1037" i="1"/>
  <c r="R1037" i="1"/>
  <c r="Q1037" i="1"/>
  <c r="P1037" i="1"/>
  <c r="U1036" i="1"/>
  <c r="T1036" i="1"/>
  <c r="S1036" i="1"/>
  <c r="R1036" i="1"/>
  <c r="Q1036" i="1"/>
  <c r="P1036" i="1"/>
  <c r="U1035" i="1"/>
  <c r="T1035" i="1"/>
  <c r="S1035" i="1"/>
  <c r="R1035" i="1"/>
  <c r="Q1035" i="1"/>
  <c r="P1035" i="1"/>
  <c r="U1034" i="1"/>
  <c r="T1034" i="1"/>
  <c r="S1034" i="1"/>
  <c r="R1034" i="1"/>
  <c r="Q1034" i="1"/>
  <c r="P1034" i="1"/>
  <c r="U1033" i="1"/>
  <c r="T1033" i="1"/>
  <c r="S1033" i="1"/>
  <c r="R1033" i="1"/>
  <c r="Q1033" i="1"/>
  <c r="P1033" i="1"/>
  <c r="U1032" i="1"/>
  <c r="T1032" i="1"/>
  <c r="S1032" i="1"/>
  <c r="R1032" i="1"/>
  <c r="Q1032" i="1"/>
  <c r="P1032" i="1"/>
  <c r="U1031" i="1"/>
  <c r="T1031" i="1"/>
  <c r="S1031" i="1"/>
  <c r="R1031" i="1"/>
  <c r="Q1031" i="1"/>
  <c r="P1031" i="1"/>
  <c r="U1030" i="1"/>
  <c r="T1030" i="1"/>
  <c r="S1030" i="1"/>
  <c r="R1030" i="1"/>
  <c r="Q1030" i="1"/>
  <c r="P1030" i="1"/>
  <c r="U1029" i="1"/>
  <c r="T1029" i="1"/>
  <c r="S1029" i="1"/>
  <c r="R1029" i="1"/>
  <c r="Q1029" i="1"/>
  <c r="P1029" i="1"/>
  <c r="U1028" i="1"/>
  <c r="T1028" i="1"/>
  <c r="S1028" i="1"/>
  <c r="R1028" i="1"/>
  <c r="Q1028" i="1"/>
  <c r="P1028" i="1"/>
  <c r="U1027" i="1"/>
  <c r="T1027" i="1"/>
  <c r="S1027" i="1"/>
  <c r="R1027" i="1"/>
  <c r="Q1027" i="1"/>
  <c r="P1027" i="1"/>
  <c r="U1026" i="1"/>
  <c r="T1026" i="1"/>
  <c r="S1026" i="1"/>
  <c r="R1026" i="1"/>
  <c r="Q1026" i="1"/>
  <c r="P1026" i="1"/>
  <c r="U1025" i="1"/>
  <c r="T1025" i="1"/>
  <c r="S1025" i="1"/>
  <c r="R1025" i="1"/>
  <c r="Q1025" i="1"/>
  <c r="P1025" i="1"/>
  <c r="U1024" i="1"/>
  <c r="T1024" i="1"/>
  <c r="S1024" i="1"/>
  <c r="R1024" i="1"/>
  <c r="Q1024" i="1"/>
  <c r="P1024" i="1"/>
  <c r="U1023" i="1"/>
  <c r="T1023" i="1"/>
  <c r="S1023" i="1"/>
  <c r="R1023" i="1"/>
  <c r="Q1023" i="1"/>
  <c r="P1023" i="1"/>
  <c r="U1022" i="1"/>
  <c r="T1022" i="1"/>
  <c r="S1022" i="1"/>
  <c r="R1022" i="1"/>
  <c r="Q1022" i="1"/>
  <c r="P1022" i="1"/>
  <c r="U1021" i="1"/>
  <c r="T1021" i="1"/>
  <c r="S1021" i="1"/>
  <c r="R1021" i="1"/>
  <c r="Q1021" i="1"/>
  <c r="P1021" i="1"/>
  <c r="U1020" i="1"/>
  <c r="T1020" i="1"/>
  <c r="S1020" i="1"/>
  <c r="R1020" i="1"/>
  <c r="Q1020" i="1"/>
  <c r="P1020" i="1"/>
  <c r="U1019" i="1"/>
  <c r="T1019" i="1"/>
  <c r="S1019" i="1"/>
  <c r="R1019" i="1"/>
  <c r="Q1019" i="1"/>
  <c r="P1019" i="1"/>
  <c r="U1018" i="1"/>
  <c r="T1018" i="1"/>
  <c r="S1018" i="1"/>
  <c r="R1018" i="1"/>
  <c r="Q1018" i="1"/>
  <c r="P1018" i="1"/>
  <c r="U1017" i="1"/>
  <c r="T1017" i="1"/>
  <c r="S1017" i="1"/>
  <c r="R1017" i="1"/>
  <c r="Q1017" i="1"/>
  <c r="P1017" i="1"/>
  <c r="U1016" i="1"/>
  <c r="T1016" i="1"/>
  <c r="S1016" i="1"/>
  <c r="R1016" i="1"/>
  <c r="Q1016" i="1"/>
  <c r="P1016" i="1"/>
  <c r="U1015" i="1"/>
  <c r="T1015" i="1"/>
  <c r="S1015" i="1"/>
  <c r="R1015" i="1"/>
  <c r="Q1015" i="1"/>
  <c r="P1015" i="1"/>
  <c r="U1014" i="1"/>
  <c r="T1014" i="1"/>
  <c r="S1014" i="1"/>
  <c r="R1014" i="1"/>
  <c r="Q1014" i="1"/>
  <c r="P1014" i="1"/>
  <c r="U1013" i="1"/>
  <c r="T1013" i="1"/>
  <c r="S1013" i="1"/>
  <c r="R1013" i="1"/>
  <c r="Q1013" i="1"/>
  <c r="P1013" i="1"/>
  <c r="U1012" i="1"/>
  <c r="T1012" i="1"/>
  <c r="S1012" i="1"/>
  <c r="R1012" i="1"/>
  <c r="Q1012" i="1"/>
  <c r="P1012" i="1"/>
  <c r="U1011" i="1"/>
  <c r="T1011" i="1"/>
  <c r="S1011" i="1"/>
  <c r="R1011" i="1"/>
  <c r="Q1011" i="1"/>
  <c r="P1011" i="1"/>
  <c r="U1010" i="1"/>
  <c r="T1010" i="1"/>
  <c r="S1010" i="1"/>
  <c r="R1010" i="1"/>
  <c r="Q1010" i="1"/>
  <c r="P1010" i="1"/>
  <c r="U1009" i="1"/>
  <c r="T1009" i="1"/>
  <c r="S1009" i="1"/>
  <c r="R1009" i="1"/>
  <c r="Q1009" i="1"/>
  <c r="P1009" i="1"/>
  <c r="U1008" i="1"/>
  <c r="T1008" i="1"/>
  <c r="S1008" i="1"/>
  <c r="R1008" i="1"/>
  <c r="Q1008" i="1"/>
  <c r="P1008" i="1"/>
  <c r="U1007" i="1"/>
  <c r="T1007" i="1"/>
  <c r="S1007" i="1"/>
  <c r="R1007" i="1"/>
  <c r="Q1007" i="1"/>
  <c r="P1007" i="1"/>
  <c r="U1006" i="1"/>
  <c r="T1006" i="1"/>
  <c r="S1006" i="1"/>
  <c r="R1006" i="1"/>
  <c r="Q1006" i="1"/>
  <c r="P1006" i="1"/>
  <c r="U1005" i="1"/>
  <c r="T1005" i="1"/>
  <c r="S1005" i="1"/>
  <c r="R1005" i="1"/>
  <c r="Q1005" i="1"/>
  <c r="P1005" i="1"/>
  <c r="U1004" i="1"/>
  <c r="T1004" i="1"/>
  <c r="S1004" i="1"/>
  <c r="R1004" i="1"/>
  <c r="Q1004" i="1"/>
  <c r="P1004" i="1"/>
  <c r="U1003" i="1"/>
  <c r="T1003" i="1"/>
  <c r="S1003" i="1"/>
  <c r="R1003" i="1"/>
  <c r="Q1003" i="1"/>
  <c r="P1003" i="1"/>
  <c r="U1002" i="1"/>
  <c r="T1002" i="1"/>
  <c r="S1002" i="1"/>
  <c r="R1002" i="1"/>
  <c r="Q1002" i="1"/>
  <c r="P1002" i="1"/>
  <c r="U1001" i="1"/>
  <c r="T1001" i="1"/>
  <c r="S1001" i="1"/>
  <c r="R1001" i="1"/>
  <c r="Q1001" i="1"/>
  <c r="P1001" i="1"/>
  <c r="U1000" i="1"/>
  <c r="T1000" i="1"/>
  <c r="S1000" i="1"/>
  <c r="R1000" i="1"/>
  <c r="Q1000" i="1"/>
  <c r="P1000" i="1"/>
  <c r="U999" i="1"/>
  <c r="T999" i="1"/>
  <c r="S999" i="1"/>
  <c r="R999" i="1"/>
  <c r="Q999" i="1"/>
  <c r="P999" i="1"/>
  <c r="U998" i="1"/>
  <c r="T998" i="1"/>
  <c r="S998" i="1"/>
  <c r="R998" i="1"/>
  <c r="Q998" i="1"/>
  <c r="P998" i="1"/>
  <c r="U997" i="1"/>
  <c r="T997" i="1"/>
  <c r="S997" i="1"/>
  <c r="R997" i="1"/>
  <c r="Q997" i="1"/>
  <c r="P997" i="1"/>
  <c r="U996" i="1"/>
  <c r="T996" i="1"/>
  <c r="S996" i="1"/>
  <c r="R996" i="1"/>
  <c r="Q996" i="1"/>
  <c r="P996" i="1"/>
  <c r="U995" i="1"/>
  <c r="T995" i="1"/>
  <c r="S995" i="1"/>
  <c r="R995" i="1"/>
  <c r="Q995" i="1"/>
  <c r="P995" i="1"/>
  <c r="U994" i="1"/>
  <c r="T994" i="1"/>
  <c r="S994" i="1"/>
  <c r="R994" i="1"/>
  <c r="Q994" i="1"/>
  <c r="P994" i="1"/>
  <c r="U993" i="1"/>
  <c r="T993" i="1"/>
  <c r="S993" i="1"/>
  <c r="R993" i="1"/>
  <c r="Q993" i="1"/>
  <c r="P993" i="1"/>
  <c r="U992" i="1"/>
  <c r="T992" i="1"/>
  <c r="S992" i="1"/>
  <c r="R992" i="1"/>
  <c r="Q992" i="1"/>
  <c r="P992" i="1"/>
  <c r="U991" i="1"/>
  <c r="T991" i="1"/>
  <c r="S991" i="1"/>
  <c r="R991" i="1"/>
  <c r="Q991" i="1"/>
  <c r="P991" i="1"/>
  <c r="U990" i="1"/>
  <c r="T990" i="1"/>
  <c r="S990" i="1"/>
  <c r="R990" i="1"/>
  <c r="Q990" i="1"/>
  <c r="P990" i="1"/>
  <c r="U989" i="1"/>
  <c r="T989" i="1"/>
  <c r="S989" i="1"/>
  <c r="R989" i="1"/>
  <c r="Q989" i="1"/>
  <c r="P989" i="1"/>
  <c r="U988" i="1"/>
  <c r="T988" i="1"/>
  <c r="S988" i="1"/>
  <c r="R988" i="1"/>
  <c r="Q988" i="1"/>
  <c r="P988" i="1"/>
  <c r="U987" i="1"/>
  <c r="T987" i="1"/>
  <c r="S987" i="1"/>
  <c r="R987" i="1"/>
  <c r="Q987" i="1"/>
  <c r="P987" i="1"/>
  <c r="U986" i="1"/>
  <c r="T986" i="1"/>
  <c r="S986" i="1"/>
  <c r="R986" i="1"/>
  <c r="Q986" i="1"/>
  <c r="P986" i="1"/>
  <c r="U985" i="1"/>
  <c r="T985" i="1"/>
  <c r="S985" i="1"/>
  <c r="R985" i="1"/>
  <c r="Q985" i="1"/>
  <c r="P985" i="1"/>
  <c r="U984" i="1"/>
  <c r="T984" i="1"/>
  <c r="S984" i="1"/>
  <c r="R984" i="1"/>
  <c r="Q984" i="1"/>
  <c r="P984" i="1"/>
  <c r="U983" i="1"/>
  <c r="T983" i="1"/>
  <c r="S983" i="1"/>
  <c r="R983" i="1"/>
  <c r="Q983" i="1"/>
  <c r="P983" i="1"/>
  <c r="U982" i="1"/>
  <c r="T982" i="1"/>
  <c r="S982" i="1"/>
  <c r="R982" i="1"/>
  <c r="Q982" i="1"/>
  <c r="P982" i="1"/>
  <c r="U981" i="1"/>
  <c r="T981" i="1"/>
  <c r="S981" i="1"/>
  <c r="R981" i="1"/>
  <c r="Q981" i="1"/>
  <c r="P981" i="1"/>
  <c r="U980" i="1"/>
  <c r="T980" i="1"/>
  <c r="S980" i="1"/>
  <c r="R980" i="1"/>
  <c r="Q980" i="1"/>
  <c r="P980" i="1"/>
  <c r="U979" i="1"/>
  <c r="T979" i="1"/>
  <c r="S979" i="1"/>
  <c r="R979" i="1"/>
  <c r="Q979" i="1"/>
  <c r="P979" i="1"/>
  <c r="U978" i="1"/>
  <c r="T978" i="1"/>
  <c r="S978" i="1"/>
  <c r="R978" i="1"/>
  <c r="Q978" i="1"/>
  <c r="P978" i="1"/>
  <c r="U977" i="1"/>
  <c r="T977" i="1"/>
  <c r="S977" i="1"/>
  <c r="R977" i="1"/>
  <c r="Q977" i="1"/>
  <c r="P977" i="1"/>
  <c r="U976" i="1"/>
  <c r="T976" i="1"/>
  <c r="S976" i="1"/>
  <c r="R976" i="1"/>
  <c r="Q976" i="1"/>
  <c r="P976" i="1"/>
  <c r="U975" i="1"/>
  <c r="T975" i="1"/>
  <c r="S975" i="1"/>
  <c r="R975" i="1"/>
  <c r="Q975" i="1"/>
  <c r="P975" i="1"/>
  <c r="U974" i="1"/>
  <c r="T974" i="1"/>
  <c r="S974" i="1"/>
  <c r="R974" i="1"/>
  <c r="Q974" i="1"/>
  <c r="P974" i="1"/>
  <c r="U973" i="1"/>
  <c r="T973" i="1"/>
  <c r="S973" i="1"/>
  <c r="R973" i="1"/>
  <c r="Q973" i="1"/>
  <c r="P973" i="1"/>
  <c r="U972" i="1"/>
  <c r="T972" i="1"/>
  <c r="S972" i="1"/>
  <c r="R972" i="1"/>
  <c r="Q972" i="1"/>
  <c r="P972" i="1"/>
  <c r="U971" i="1"/>
  <c r="T971" i="1"/>
  <c r="S971" i="1"/>
  <c r="R971" i="1"/>
  <c r="Q971" i="1"/>
  <c r="P971" i="1"/>
  <c r="U970" i="1"/>
  <c r="T970" i="1"/>
  <c r="S970" i="1"/>
  <c r="R970" i="1"/>
  <c r="Q970" i="1"/>
  <c r="P970" i="1"/>
  <c r="U969" i="1"/>
  <c r="T969" i="1"/>
  <c r="S969" i="1"/>
  <c r="R969" i="1"/>
  <c r="Q969" i="1"/>
  <c r="P969" i="1"/>
  <c r="U968" i="1"/>
  <c r="T968" i="1"/>
  <c r="S968" i="1"/>
  <c r="R968" i="1"/>
  <c r="Q968" i="1"/>
  <c r="P968" i="1"/>
  <c r="U967" i="1"/>
  <c r="T967" i="1"/>
  <c r="S967" i="1"/>
  <c r="R967" i="1"/>
  <c r="Q967" i="1"/>
  <c r="P967" i="1"/>
  <c r="U966" i="1"/>
  <c r="T966" i="1"/>
  <c r="S966" i="1"/>
  <c r="R966" i="1"/>
  <c r="Q966" i="1"/>
  <c r="P966" i="1"/>
  <c r="U965" i="1"/>
  <c r="T965" i="1"/>
  <c r="S965" i="1"/>
  <c r="R965" i="1"/>
  <c r="Q965" i="1"/>
  <c r="P965" i="1"/>
  <c r="U964" i="1"/>
  <c r="T964" i="1"/>
  <c r="S964" i="1"/>
  <c r="R964" i="1"/>
  <c r="Q964" i="1"/>
  <c r="P964" i="1"/>
  <c r="U963" i="1"/>
  <c r="T963" i="1"/>
  <c r="S963" i="1"/>
  <c r="R963" i="1"/>
  <c r="Q963" i="1"/>
  <c r="P963" i="1"/>
  <c r="U962" i="1"/>
  <c r="T962" i="1"/>
  <c r="S962" i="1"/>
  <c r="R962" i="1"/>
  <c r="Q962" i="1"/>
  <c r="P962" i="1"/>
  <c r="U961" i="1"/>
  <c r="T961" i="1"/>
  <c r="S961" i="1"/>
  <c r="R961" i="1"/>
  <c r="Q961" i="1"/>
  <c r="P961" i="1"/>
  <c r="U960" i="1"/>
  <c r="T960" i="1"/>
  <c r="S960" i="1"/>
  <c r="R960" i="1"/>
  <c r="Q960" i="1"/>
  <c r="P960" i="1"/>
  <c r="U959" i="1"/>
  <c r="T959" i="1"/>
  <c r="S959" i="1"/>
  <c r="R959" i="1"/>
  <c r="Q959" i="1"/>
  <c r="P959" i="1"/>
  <c r="U958" i="1"/>
  <c r="T958" i="1"/>
  <c r="S958" i="1"/>
  <c r="R958" i="1"/>
  <c r="Q958" i="1"/>
  <c r="P958" i="1"/>
  <c r="U957" i="1"/>
  <c r="T957" i="1"/>
  <c r="S957" i="1"/>
  <c r="R957" i="1"/>
  <c r="Q957" i="1"/>
  <c r="P957" i="1"/>
  <c r="U956" i="1"/>
  <c r="T956" i="1"/>
  <c r="S956" i="1"/>
  <c r="R956" i="1"/>
  <c r="Q956" i="1"/>
  <c r="P956" i="1"/>
  <c r="U955" i="1"/>
  <c r="T955" i="1"/>
  <c r="S955" i="1"/>
  <c r="R955" i="1"/>
  <c r="Q955" i="1"/>
  <c r="P955" i="1"/>
  <c r="U954" i="1"/>
  <c r="T954" i="1"/>
  <c r="S954" i="1"/>
  <c r="R954" i="1"/>
  <c r="Q954" i="1"/>
  <c r="P954" i="1"/>
  <c r="U953" i="1"/>
  <c r="T953" i="1"/>
  <c r="S953" i="1"/>
  <c r="R953" i="1"/>
  <c r="Q953" i="1"/>
  <c r="P953" i="1"/>
  <c r="U952" i="1"/>
  <c r="T952" i="1"/>
  <c r="S952" i="1"/>
  <c r="R952" i="1"/>
  <c r="Q952" i="1"/>
  <c r="P952" i="1"/>
  <c r="U951" i="1"/>
  <c r="T951" i="1"/>
  <c r="S951" i="1"/>
  <c r="R951" i="1"/>
  <c r="Q951" i="1"/>
  <c r="P951" i="1"/>
  <c r="U950" i="1"/>
  <c r="T950" i="1"/>
  <c r="S950" i="1"/>
  <c r="R950" i="1"/>
  <c r="Q950" i="1"/>
  <c r="P950" i="1"/>
  <c r="U949" i="1"/>
  <c r="T949" i="1"/>
  <c r="S949" i="1"/>
  <c r="R949" i="1"/>
  <c r="Q949" i="1"/>
  <c r="P949" i="1"/>
  <c r="U948" i="1"/>
  <c r="T948" i="1"/>
  <c r="S948" i="1"/>
  <c r="R948" i="1"/>
  <c r="Q948" i="1"/>
  <c r="P948" i="1"/>
  <c r="U947" i="1"/>
  <c r="T947" i="1"/>
  <c r="S947" i="1"/>
  <c r="R947" i="1"/>
  <c r="Q947" i="1"/>
  <c r="P947" i="1"/>
  <c r="U946" i="1"/>
  <c r="T946" i="1"/>
  <c r="S946" i="1"/>
  <c r="R946" i="1"/>
  <c r="Q946" i="1"/>
  <c r="P946" i="1"/>
  <c r="U945" i="1"/>
  <c r="T945" i="1"/>
  <c r="S945" i="1"/>
  <c r="R945" i="1"/>
  <c r="Q945" i="1"/>
  <c r="P945" i="1"/>
  <c r="U944" i="1"/>
  <c r="T944" i="1"/>
  <c r="S944" i="1"/>
  <c r="R944" i="1"/>
  <c r="Q944" i="1"/>
  <c r="P944" i="1"/>
  <c r="U943" i="1"/>
  <c r="T943" i="1"/>
  <c r="S943" i="1"/>
  <c r="R943" i="1"/>
  <c r="Q943" i="1"/>
  <c r="P943" i="1"/>
  <c r="U942" i="1"/>
  <c r="T942" i="1"/>
  <c r="S942" i="1"/>
  <c r="R942" i="1"/>
  <c r="Q942" i="1"/>
  <c r="P942" i="1"/>
  <c r="U941" i="1"/>
  <c r="T941" i="1"/>
  <c r="S941" i="1"/>
  <c r="R941" i="1"/>
  <c r="Q941" i="1"/>
  <c r="P941" i="1"/>
  <c r="U940" i="1"/>
  <c r="T940" i="1"/>
  <c r="S940" i="1"/>
  <c r="R940" i="1"/>
  <c r="Q940" i="1"/>
  <c r="P940" i="1"/>
  <c r="U939" i="1"/>
  <c r="T939" i="1"/>
  <c r="S939" i="1"/>
  <c r="R939" i="1"/>
  <c r="Q939" i="1"/>
  <c r="P939" i="1"/>
  <c r="U938" i="1"/>
  <c r="T938" i="1"/>
  <c r="S938" i="1"/>
  <c r="R938" i="1"/>
  <c r="Q938" i="1"/>
  <c r="P938" i="1"/>
  <c r="U937" i="1"/>
  <c r="T937" i="1"/>
  <c r="S937" i="1"/>
  <c r="R937" i="1"/>
  <c r="Q937" i="1"/>
  <c r="P937" i="1"/>
  <c r="U936" i="1"/>
  <c r="T936" i="1"/>
  <c r="S936" i="1"/>
  <c r="R936" i="1"/>
  <c r="Q936" i="1"/>
  <c r="P936" i="1"/>
  <c r="U935" i="1"/>
  <c r="T935" i="1"/>
  <c r="S935" i="1"/>
  <c r="R935" i="1"/>
  <c r="Q935" i="1"/>
  <c r="P935" i="1"/>
  <c r="U934" i="1"/>
  <c r="T934" i="1"/>
  <c r="S934" i="1"/>
  <c r="R934" i="1"/>
  <c r="Q934" i="1"/>
  <c r="P934" i="1"/>
  <c r="U933" i="1"/>
  <c r="T933" i="1"/>
  <c r="S933" i="1"/>
  <c r="R933" i="1"/>
  <c r="Q933" i="1"/>
  <c r="P933" i="1"/>
  <c r="U932" i="1"/>
  <c r="T932" i="1"/>
  <c r="S932" i="1"/>
  <c r="R932" i="1"/>
  <c r="Q932" i="1"/>
  <c r="P932" i="1"/>
  <c r="U931" i="1"/>
  <c r="T931" i="1"/>
  <c r="S931" i="1"/>
  <c r="R931" i="1"/>
  <c r="Q931" i="1"/>
  <c r="P931" i="1"/>
  <c r="U930" i="1"/>
  <c r="T930" i="1"/>
  <c r="S930" i="1"/>
  <c r="R930" i="1"/>
  <c r="Q930" i="1"/>
  <c r="P930" i="1"/>
  <c r="U929" i="1"/>
  <c r="T929" i="1"/>
  <c r="S929" i="1"/>
  <c r="R929" i="1"/>
  <c r="Q929" i="1"/>
  <c r="P929" i="1"/>
  <c r="U928" i="1"/>
  <c r="T928" i="1"/>
  <c r="S928" i="1"/>
  <c r="R928" i="1"/>
  <c r="Q928" i="1"/>
  <c r="P928" i="1"/>
  <c r="U927" i="1"/>
  <c r="T927" i="1"/>
  <c r="S927" i="1"/>
  <c r="R927" i="1"/>
  <c r="Q927" i="1"/>
  <c r="P927" i="1"/>
  <c r="U926" i="1"/>
  <c r="T926" i="1"/>
  <c r="S926" i="1"/>
  <c r="R926" i="1"/>
  <c r="Q926" i="1"/>
  <c r="P926" i="1"/>
  <c r="U925" i="1"/>
  <c r="T925" i="1"/>
  <c r="S925" i="1"/>
  <c r="R925" i="1"/>
  <c r="Q925" i="1"/>
  <c r="P925" i="1"/>
  <c r="U924" i="1"/>
  <c r="T924" i="1"/>
  <c r="S924" i="1"/>
  <c r="R924" i="1"/>
  <c r="Q924" i="1"/>
  <c r="P924" i="1"/>
  <c r="U923" i="1"/>
  <c r="T923" i="1"/>
  <c r="S923" i="1"/>
  <c r="R923" i="1"/>
  <c r="Q923" i="1"/>
  <c r="P923" i="1"/>
  <c r="U922" i="1"/>
  <c r="T922" i="1"/>
  <c r="S922" i="1"/>
  <c r="R922" i="1"/>
  <c r="Q922" i="1"/>
  <c r="P922" i="1"/>
  <c r="U921" i="1"/>
  <c r="T921" i="1"/>
  <c r="S921" i="1"/>
  <c r="R921" i="1"/>
  <c r="Q921" i="1"/>
  <c r="P921" i="1"/>
  <c r="U920" i="1"/>
  <c r="T920" i="1"/>
  <c r="S920" i="1"/>
  <c r="R920" i="1"/>
  <c r="Q920" i="1"/>
  <c r="P920" i="1"/>
  <c r="U919" i="1"/>
  <c r="T919" i="1"/>
  <c r="S919" i="1"/>
  <c r="R919" i="1"/>
  <c r="Q919" i="1"/>
  <c r="P919" i="1"/>
  <c r="U918" i="1"/>
  <c r="T918" i="1"/>
  <c r="S918" i="1"/>
  <c r="R918" i="1"/>
  <c r="Q918" i="1"/>
  <c r="P918" i="1"/>
  <c r="U917" i="1"/>
  <c r="T917" i="1"/>
  <c r="S917" i="1"/>
  <c r="R917" i="1"/>
  <c r="Q917" i="1"/>
  <c r="P917" i="1"/>
  <c r="U916" i="1"/>
  <c r="T916" i="1"/>
  <c r="S916" i="1"/>
  <c r="R916" i="1"/>
  <c r="Q916" i="1"/>
  <c r="P916" i="1"/>
  <c r="U915" i="1"/>
  <c r="T915" i="1"/>
  <c r="S915" i="1"/>
  <c r="R915" i="1"/>
  <c r="Q915" i="1"/>
  <c r="P915" i="1"/>
  <c r="U914" i="1"/>
  <c r="T914" i="1"/>
  <c r="S914" i="1"/>
  <c r="R914" i="1"/>
  <c r="Q914" i="1"/>
  <c r="P914" i="1"/>
  <c r="U913" i="1"/>
  <c r="T913" i="1"/>
  <c r="S913" i="1"/>
  <c r="R913" i="1"/>
  <c r="Q913" i="1"/>
  <c r="P913" i="1"/>
  <c r="U912" i="1"/>
  <c r="T912" i="1"/>
  <c r="S912" i="1"/>
  <c r="R912" i="1"/>
  <c r="Q912" i="1"/>
  <c r="P912" i="1"/>
  <c r="U911" i="1"/>
  <c r="T911" i="1"/>
  <c r="S911" i="1"/>
  <c r="R911" i="1"/>
  <c r="Q911" i="1"/>
  <c r="P911" i="1"/>
  <c r="U910" i="1"/>
  <c r="T910" i="1"/>
  <c r="S910" i="1"/>
  <c r="R910" i="1"/>
  <c r="Q910" i="1"/>
  <c r="P910" i="1"/>
  <c r="U909" i="1"/>
  <c r="T909" i="1"/>
  <c r="S909" i="1"/>
  <c r="R909" i="1"/>
  <c r="Q909" i="1"/>
  <c r="P909" i="1"/>
  <c r="U908" i="1"/>
  <c r="T908" i="1"/>
  <c r="S908" i="1"/>
  <c r="R908" i="1"/>
  <c r="Q908" i="1"/>
  <c r="P908" i="1"/>
  <c r="U907" i="1"/>
  <c r="T907" i="1"/>
  <c r="S907" i="1"/>
  <c r="R907" i="1"/>
  <c r="Q907" i="1"/>
  <c r="P907" i="1"/>
  <c r="U906" i="1"/>
  <c r="T906" i="1"/>
  <c r="S906" i="1"/>
  <c r="R906" i="1"/>
  <c r="Q906" i="1"/>
  <c r="P906" i="1"/>
  <c r="U905" i="1"/>
  <c r="T905" i="1"/>
  <c r="S905" i="1"/>
  <c r="R905" i="1"/>
  <c r="Q905" i="1"/>
  <c r="P905" i="1"/>
  <c r="U904" i="1"/>
  <c r="T904" i="1"/>
  <c r="S904" i="1"/>
  <c r="R904" i="1"/>
  <c r="Q904" i="1"/>
  <c r="P904" i="1"/>
  <c r="U903" i="1"/>
  <c r="T903" i="1"/>
  <c r="S903" i="1"/>
  <c r="R903" i="1"/>
  <c r="Q903" i="1"/>
  <c r="P903" i="1"/>
  <c r="U902" i="1"/>
  <c r="T902" i="1"/>
  <c r="S902" i="1"/>
  <c r="R902" i="1"/>
  <c r="Q902" i="1"/>
  <c r="P902" i="1"/>
  <c r="U901" i="1"/>
  <c r="T901" i="1"/>
  <c r="S901" i="1"/>
  <c r="R901" i="1"/>
  <c r="Q901" i="1"/>
  <c r="P901" i="1"/>
  <c r="U900" i="1"/>
  <c r="T900" i="1"/>
  <c r="S900" i="1"/>
  <c r="R900" i="1"/>
  <c r="Q900" i="1"/>
  <c r="P900" i="1"/>
  <c r="U899" i="1"/>
  <c r="T899" i="1"/>
  <c r="S899" i="1"/>
  <c r="R899" i="1"/>
  <c r="Q899" i="1"/>
  <c r="P899" i="1"/>
  <c r="U898" i="1"/>
  <c r="T898" i="1"/>
  <c r="S898" i="1"/>
  <c r="R898" i="1"/>
  <c r="Q898" i="1"/>
  <c r="P898" i="1"/>
  <c r="U897" i="1"/>
  <c r="T897" i="1"/>
  <c r="S897" i="1"/>
  <c r="R897" i="1"/>
  <c r="Q897" i="1"/>
  <c r="P897" i="1"/>
  <c r="U896" i="1"/>
  <c r="T896" i="1"/>
  <c r="S896" i="1"/>
  <c r="R896" i="1"/>
  <c r="Q896" i="1"/>
  <c r="P896" i="1"/>
  <c r="U895" i="1"/>
  <c r="T895" i="1"/>
  <c r="S895" i="1"/>
  <c r="R895" i="1"/>
  <c r="Q895" i="1"/>
  <c r="P895" i="1"/>
  <c r="U894" i="1"/>
  <c r="T894" i="1"/>
  <c r="S894" i="1"/>
  <c r="R894" i="1"/>
  <c r="Q894" i="1"/>
  <c r="P894" i="1"/>
  <c r="U893" i="1"/>
  <c r="T893" i="1"/>
  <c r="S893" i="1"/>
  <c r="R893" i="1"/>
  <c r="Q893" i="1"/>
  <c r="P893" i="1"/>
  <c r="U892" i="1"/>
  <c r="T892" i="1"/>
  <c r="S892" i="1"/>
  <c r="R892" i="1"/>
  <c r="Q892" i="1"/>
  <c r="P892" i="1"/>
  <c r="U891" i="1"/>
  <c r="T891" i="1"/>
  <c r="S891" i="1"/>
  <c r="R891" i="1"/>
  <c r="Q891" i="1"/>
  <c r="P891" i="1"/>
  <c r="U890" i="1"/>
  <c r="T890" i="1"/>
  <c r="S890" i="1"/>
  <c r="R890" i="1"/>
  <c r="Q890" i="1"/>
  <c r="P890" i="1"/>
  <c r="U889" i="1"/>
  <c r="T889" i="1"/>
  <c r="S889" i="1"/>
  <c r="R889" i="1"/>
  <c r="Q889" i="1"/>
  <c r="P889" i="1"/>
  <c r="U888" i="1"/>
  <c r="T888" i="1"/>
  <c r="S888" i="1"/>
  <c r="R888" i="1"/>
  <c r="Q888" i="1"/>
  <c r="P888" i="1"/>
  <c r="U887" i="1"/>
  <c r="T887" i="1"/>
  <c r="S887" i="1"/>
  <c r="R887" i="1"/>
  <c r="Q887" i="1"/>
  <c r="P887" i="1"/>
  <c r="U886" i="1"/>
  <c r="T886" i="1"/>
  <c r="S886" i="1"/>
  <c r="R886" i="1"/>
  <c r="Q886" i="1"/>
  <c r="P886" i="1"/>
  <c r="U885" i="1"/>
  <c r="T885" i="1"/>
  <c r="S885" i="1"/>
  <c r="R885" i="1"/>
  <c r="Q885" i="1"/>
  <c r="P885" i="1"/>
  <c r="U884" i="1"/>
  <c r="T884" i="1"/>
  <c r="S884" i="1"/>
  <c r="R884" i="1"/>
  <c r="Q884" i="1"/>
  <c r="P884" i="1"/>
  <c r="U883" i="1"/>
  <c r="T883" i="1"/>
  <c r="S883" i="1"/>
  <c r="R883" i="1"/>
  <c r="Q883" i="1"/>
  <c r="P883" i="1"/>
  <c r="U882" i="1"/>
  <c r="T882" i="1"/>
  <c r="S882" i="1"/>
  <c r="R882" i="1"/>
  <c r="Q882" i="1"/>
  <c r="P882" i="1"/>
  <c r="U881" i="1"/>
  <c r="T881" i="1"/>
  <c r="S881" i="1"/>
  <c r="R881" i="1"/>
  <c r="Q881" i="1"/>
  <c r="P881" i="1"/>
  <c r="U880" i="1"/>
  <c r="T880" i="1"/>
  <c r="S880" i="1"/>
  <c r="R880" i="1"/>
  <c r="Q880" i="1"/>
  <c r="P880" i="1"/>
  <c r="U879" i="1"/>
  <c r="T879" i="1"/>
  <c r="S879" i="1"/>
  <c r="R879" i="1"/>
  <c r="Q879" i="1"/>
  <c r="P879" i="1"/>
  <c r="U878" i="1"/>
  <c r="T878" i="1"/>
  <c r="S878" i="1"/>
  <c r="R878" i="1"/>
  <c r="Q878" i="1"/>
  <c r="P878" i="1"/>
  <c r="U877" i="1"/>
  <c r="T877" i="1"/>
  <c r="S877" i="1"/>
  <c r="R877" i="1"/>
  <c r="Q877" i="1"/>
  <c r="P877" i="1"/>
  <c r="U876" i="1"/>
  <c r="T876" i="1"/>
  <c r="S876" i="1"/>
  <c r="R876" i="1"/>
  <c r="Q876" i="1"/>
  <c r="P876" i="1"/>
  <c r="U875" i="1"/>
  <c r="T875" i="1"/>
  <c r="S875" i="1"/>
  <c r="R875" i="1"/>
  <c r="Q875" i="1"/>
  <c r="P875" i="1"/>
  <c r="U874" i="1"/>
  <c r="T874" i="1"/>
  <c r="S874" i="1"/>
  <c r="R874" i="1"/>
  <c r="Q874" i="1"/>
  <c r="P874" i="1"/>
  <c r="U873" i="1"/>
  <c r="T873" i="1"/>
  <c r="S873" i="1"/>
  <c r="R873" i="1"/>
  <c r="Q873" i="1"/>
  <c r="P873" i="1"/>
  <c r="U872" i="1"/>
  <c r="T872" i="1"/>
  <c r="S872" i="1"/>
  <c r="R872" i="1"/>
  <c r="Q872" i="1"/>
  <c r="P872" i="1"/>
  <c r="U871" i="1"/>
  <c r="T871" i="1"/>
  <c r="S871" i="1"/>
  <c r="R871" i="1"/>
  <c r="Q871" i="1"/>
  <c r="P871" i="1"/>
  <c r="U870" i="1"/>
  <c r="T870" i="1"/>
  <c r="S870" i="1"/>
  <c r="R870" i="1"/>
  <c r="Q870" i="1"/>
  <c r="P870" i="1"/>
  <c r="U869" i="1"/>
  <c r="T869" i="1"/>
  <c r="S869" i="1"/>
  <c r="R869" i="1"/>
  <c r="Q869" i="1"/>
  <c r="P869" i="1"/>
  <c r="U868" i="1"/>
  <c r="T868" i="1"/>
  <c r="S868" i="1"/>
  <c r="R868" i="1"/>
  <c r="Q868" i="1"/>
  <c r="P868" i="1"/>
  <c r="U867" i="1"/>
  <c r="T867" i="1"/>
  <c r="S867" i="1"/>
  <c r="R867" i="1"/>
  <c r="Q867" i="1"/>
  <c r="P867" i="1"/>
  <c r="U866" i="1"/>
  <c r="T866" i="1"/>
  <c r="S866" i="1"/>
  <c r="R866" i="1"/>
  <c r="Q866" i="1"/>
  <c r="P866" i="1"/>
  <c r="U865" i="1"/>
  <c r="T865" i="1"/>
  <c r="S865" i="1"/>
  <c r="R865" i="1"/>
  <c r="Q865" i="1"/>
  <c r="P865" i="1"/>
  <c r="U864" i="1"/>
  <c r="T864" i="1"/>
  <c r="S864" i="1"/>
  <c r="R864" i="1"/>
  <c r="Q864" i="1"/>
  <c r="P864" i="1"/>
  <c r="U863" i="1"/>
  <c r="T863" i="1"/>
  <c r="S863" i="1"/>
  <c r="R863" i="1"/>
  <c r="Q863" i="1"/>
  <c r="P863" i="1"/>
  <c r="U862" i="1"/>
  <c r="T862" i="1"/>
  <c r="S862" i="1"/>
  <c r="R862" i="1"/>
  <c r="Q862" i="1"/>
  <c r="P862" i="1"/>
  <c r="U861" i="1"/>
  <c r="T861" i="1"/>
  <c r="S861" i="1"/>
  <c r="R861" i="1"/>
  <c r="Q861" i="1"/>
  <c r="P861" i="1"/>
  <c r="U860" i="1"/>
  <c r="T860" i="1"/>
  <c r="S860" i="1"/>
  <c r="R860" i="1"/>
  <c r="Q860" i="1"/>
  <c r="P860" i="1"/>
  <c r="U859" i="1"/>
  <c r="T859" i="1"/>
  <c r="S859" i="1"/>
  <c r="R859" i="1"/>
  <c r="Q859" i="1"/>
  <c r="P859" i="1"/>
  <c r="U858" i="1"/>
  <c r="T858" i="1"/>
  <c r="S858" i="1"/>
  <c r="R858" i="1"/>
  <c r="Q858" i="1"/>
  <c r="P858" i="1"/>
  <c r="U857" i="1"/>
  <c r="T857" i="1"/>
  <c r="S857" i="1"/>
  <c r="R857" i="1"/>
  <c r="Q857" i="1"/>
  <c r="P857" i="1"/>
  <c r="U856" i="1"/>
  <c r="T856" i="1"/>
  <c r="S856" i="1"/>
  <c r="R856" i="1"/>
  <c r="Q856" i="1"/>
  <c r="P856" i="1"/>
  <c r="U855" i="1"/>
  <c r="T855" i="1"/>
  <c r="S855" i="1"/>
  <c r="R855" i="1"/>
  <c r="Q855" i="1"/>
  <c r="P855" i="1"/>
  <c r="U854" i="1"/>
  <c r="T854" i="1"/>
  <c r="S854" i="1"/>
  <c r="R854" i="1"/>
  <c r="Q854" i="1"/>
  <c r="P854" i="1"/>
  <c r="U853" i="1"/>
  <c r="T853" i="1"/>
  <c r="S853" i="1"/>
  <c r="R853" i="1"/>
  <c r="Q853" i="1"/>
  <c r="P853" i="1"/>
  <c r="U852" i="1"/>
  <c r="T852" i="1"/>
  <c r="S852" i="1"/>
  <c r="R852" i="1"/>
  <c r="Q852" i="1"/>
  <c r="P852" i="1"/>
  <c r="U851" i="1"/>
  <c r="T851" i="1"/>
  <c r="S851" i="1"/>
  <c r="R851" i="1"/>
  <c r="Q851" i="1"/>
  <c r="P851" i="1"/>
  <c r="U850" i="1"/>
  <c r="T850" i="1"/>
  <c r="S850" i="1"/>
  <c r="R850" i="1"/>
  <c r="Q850" i="1"/>
  <c r="P850" i="1"/>
  <c r="U849" i="1"/>
  <c r="T849" i="1"/>
  <c r="S849" i="1"/>
  <c r="R849" i="1"/>
  <c r="Q849" i="1"/>
  <c r="P849" i="1"/>
  <c r="U848" i="1"/>
  <c r="T848" i="1"/>
  <c r="S848" i="1"/>
  <c r="R848" i="1"/>
  <c r="Q848" i="1"/>
  <c r="P848" i="1"/>
  <c r="U847" i="1"/>
  <c r="T847" i="1"/>
  <c r="S847" i="1"/>
  <c r="R847" i="1"/>
  <c r="Q847" i="1"/>
  <c r="P847" i="1"/>
  <c r="U846" i="1"/>
  <c r="T846" i="1"/>
  <c r="S846" i="1"/>
  <c r="R846" i="1"/>
  <c r="Q846" i="1"/>
  <c r="P846" i="1"/>
  <c r="U845" i="1"/>
  <c r="T845" i="1"/>
  <c r="S845" i="1"/>
  <c r="R845" i="1"/>
  <c r="Q845" i="1"/>
  <c r="P845" i="1"/>
  <c r="U844" i="1"/>
  <c r="T844" i="1"/>
  <c r="S844" i="1"/>
  <c r="R844" i="1"/>
  <c r="Q844" i="1"/>
  <c r="P844" i="1"/>
  <c r="U843" i="1"/>
  <c r="T843" i="1"/>
  <c r="S843" i="1"/>
  <c r="R843" i="1"/>
  <c r="Q843" i="1"/>
  <c r="P843" i="1"/>
  <c r="U842" i="1"/>
  <c r="T842" i="1"/>
  <c r="S842" i="1"/>
  <c r="R842" i="1"/>
  <c r="Q842" i="1"/>
  <c r="P842" i="1"/>
  <c r="U841" i="1"/>
  <c r="T841" i="1"/>
  <c r="S841" i="1"/>
  <c r="R841" i="1"/>
  <c r="Q841" i="1"/>
  <c r="P841" i="1"/>
  <c r="U840" i="1"/>
  <c r="T840" i="1"/>
  <c r="S840" i="1"/>
  <c r="R840" i="1"/>
  <c r="Q840" i="1"/>
  <c r="P840" i="1"/>
  <c r="U839" i="1"/>
  <c r="T839" i="1"/>
  <c r="S839" i="1"/>
  <c r="R839" i="1"/>
  <c r="Q839" i="1"/>
  <c r="P839" i="1"/>
  <c r="U838" i="1"/>
  <c r="T838" i="1"/>
  <c r="S838" i="1"/>
  <c r="R838" i="1"/>
  <c r="Q838" i="1"/>
  <c r="P838" i="1"/>
  <c r="U837" i="1"/>
  <c r="T837" i="1"/>
  <c r="S837" i="1"/>
  <c r="R837" i="1"/>
  <c r="Q837" i="1"/>
  <c r="P837" i="1"/>
  <c r="U836" i="1"/>
  <c r="T836" i="1"/>
  <c r="S836" i="1"/>
  <c r="R836" i="1"/>
  <c r="Q836" i="1"/>
  <c r="P836" i="1"/>
  <c r="U835" i="1"/>
  <c r="T835" i="1"/>
  <c r="S835" i="1"/>
  <c r="R835" i="1"/>
  <c r="Q835" i="1"/>
  <c r="P835" i="1"/>
  <c r="U834" i="1"/>
  <c r="T834" i="1"/>
  <c r="S834" i="1"/>
  <c r="R834" i="1"/>
  <c r="Q834" i="1"/>
  <c r="P834" i="1"/>
  <c r="U833" i="1"/>
  <c r="T833" i="1"/>
  <c r="S833" i="1"/>
  <c r="R833" i="1"/>
  <c r="Q833" i="1"/>
  <c r="P833" i="1"/>
  <c r="U832" i="1"/>
  <c r="T832" i="1"/>
  <c r="S832" i="1"/>
  <c r="R832" i="1"/>
  <c r="Q832" i="1"/>
  <c r="P832" i="1"/>
  <c r="U831" i="1"/>
  <c r="T831" i="1"/>
  <c r="S831" i="1"/>
  <c r="R831" i="1"/>
  <c r="Q831" i="1"/>
  <c r="P831" i="1"/>
  <c r="U830" i="1"/>
  <c r="T830" i="1"/>
  <c r="S830" i="1"/>
  <c r="R830" i="1"/>
  <c r="Q830" i="1"/>
  <c r="P830" i="1"/>
  <c r="U829" i="1"/>
  <c r="T829" i="1"/>
  <c r="S829" i="1"/>
  <c r="R829" i="1"/>
  <c r="Q829" i="1"/>
  <c r="P829" i="1"/>
  <c r="U828" i="1"/>
  <c r="T828" i="1"/>
  <c r="S828" i="1"/>
  <c r="R828" i="1"/>
  <c r="Q828" i="1"/>
  <c r="P828" i="1"/>
  <c r="U827" i="1"/>
  <c r="T827" i="1"/>
  <c r="S827" i="1"/>
  <c r="R827" i="1"/>
  <c r="Q827" i="1"/>
  <c r="P827" i="1"/>
  <c r="U826" i="1"/>
  <c r="T826" i="1"/>
  <c r="S826" i="1"/>
  <c r="R826" i="1"/>
  <c r="Q826" i="1"/>
  <c r="P826" i="1"/>
  <c r="U825" i="1"/>
  <c r="T825" i="1"/>
  <c r="S825" i="1"/>
  <c r="R825" i="1"/>
  <c r="Q825" i="1"/>
  <c r="P825" i="1"/>
  <c r="U824" i="1"/>
  <c r="T824" i="1"/>
  <c r="S824" i="1"/>
  <c r="R824" i="1"/>
  <c r="Q824" i="1"/>
  <c r="P824" i="1"/>
  <c r="U823" i="1"/>
  <c r="T823" i="1"/>
  <c r="S823" i="1"/>
  <c r="R823" i="1"/>
  <c r="Q823" i="1"/>
  <c r="P823" i="1"/>
  <c r="U822" i="1"/>
  <c r="T822" i="1"/>
  <c r="S822" i="1"/>
  <c r="R822" i="1"/>
  <c r="Q822" i="1"/>
  <c r="P822" i="1"/>
  <c r="U821" i="1"/>
  <c r="T821" i="1"/>
  <c r="S821" i="1"/>
  <c r="R821" i="1"/>
  <c r="Q821" i="1"/>
  <c r="P821" i="1"/>
  <c r="U820" i="1"/>
  <c r="T820" i="1"/>
  <c r="S820" i="1"/>
  <c r="R820" i="1"/>
  <c r="Q820" i="1"/>
  <c r="P820" i="1"/>
  <c r="U819" i="1"/>
  <c r="T819" i="1"/>
  <c r="S819" i="1"/>
  <c r="R819" i="1"/>
  <c r="Q819" i="1"/>
  <c r="P819" i="1"/>
  <c r="U818" i="1"/>
  <c r="T818" i="1"/>
  <c r="S818" i="1"/>
  <c r="R818" i="1"/>
  <c r="Q818" i="1"/>
  <c r="P818" i="1"/>
  <c r="U817" i="1"/>
  <c r="T817" i="1"/>
  <c r="S817" i="1"/>
  <c r="R817" i="1"/>
  <c r="Q817" i="1"/>
  <c r="P817" i="1"/>
  <c r="U816" i="1"/>
  <c r="T816" i="1"/>
  <c r="S816" i="1"/>
  <c r="R816" i="1"/>
  <c r="Q816" i="1"/>
  <c r="P816" i="1"/>
  <c r="U815" i="1"/>
  <c r="T815" i="1"/>
  <c r="S815" i="1"/>
  <c r="R815" i="1"/>
  <c r="Q815" i="1"/>
  <c r="P815" i="1"/>
  <c r="U814" i="1"/>
  <c r="T814" i="1"/>
  <c r="S814" i="1"/>
  <c r="R814" i="1"/>
  <c r="Q814" i="1"/>
  <c r="P814" i="1"/>
  <c r="U813" i="1"/>
  <c r="T813" i="1"/>
  <c r="S813" i="1"/>
  <c r="R813" i="1"/>
  <c r="Q813" i="1"/>
  <c r="P813" i="1"/>
  <c r="U812" i="1"/>
  <c r="T812" i="1"/>
  <c r="S812" i="1"/>
  <c r="R812" i="1"/>
  <c r="Q812" i="1"/>
  <c r="P812" i="1"/>
  <c r="U811" i="1"/>
  <c r="T811" i="1"/>
  <c r="S811" i="1"/>
  <c r="R811" i="1"/>
  <c r="Q811" i="1"/>
  <c r="P811" i="1"/>
  <c r="U810" i="1"/>
  <c r="T810" i="1"/>
  <c r="S810" i="1"/>
  <c r="R810" i="1"/>
  <c r="Q810" i="1"/>
  <c r="P810" i="1"/>
  <c r="U809" i="1"/>
  <c r="T809" i="1"/>
  <c r="S809" i="1"/>
  <c r="R809" i="1"/>
  <c r="Q809" i="1"/>
  <c r="P809" i="1"/>
  <c r="U808" i="1"/>
  <c r="T808" i="1"/>
  <c r="S808" i="1"/>
  <c r="R808" i="1"/>
  <c r="Q808" i="1"/>
  <c r="P808" i="1"/>
  <c r="U807" i="1"/>
  <c r="T807" i="1"/>
  <c r="S807" i="1"/>
  <c r="R807" i="1"/>
  <c r="Q807" i="1"/>
  <c r="P807" i="1"/>
  <c r="U806" i="1"/>
  <c r="T806" i="1"/>
  <c r="S806" i="1"/>
  <c r="R806" i="1"/>
  <c r="Q806" i="1"/>
  <c r="P806" i="1"/>
  <c r="U805" i="1"/>
  <c r="T805" i="1"/>
  <c r="S805" i="1"/>
  <c r="R805" i="1"/>
  <c r="Q805" i="1"/>
  <c r="P805" i="1"/>
  <c r="U804" i="1"/>
  <c r="T804" i="1"/>
  <c r="S804" i="1"/>
  <c r="R804" i="1"/>
  <c r="Q804" i="1"/>
  <c r="P804" i="1"/>
  <c r="U803" i="1"/>
  <c r="T803" i="1"/>
  <c r="S803" i="1"/>
  <c r="R803" i="1"/>
  <c r="Q803" i="1"/>
  <c r="P803" i="1"/>
  <c r="U802" i="1"/>
  <c r="T802" i="1"/>
  <c r="S802" i="1"/>
  <c r="R802" i="1"/>
  <c r="Q802" i="1"/>
  <c r="P802" i="1"/>
  <c r="U801" i="1"/>
  <c r="T801" i="1"/>
  <c r="S801" i="1"/>
  <c r="R801" i="1"/>
  <c r="Q801" i="1"/>
  <c r="P801" i="1"/>
  <c r="U800" i="1"/>
  <c r="T800" i="1"/>
  <c r="S800" i="1"/>
  <c r="R800" i="1"/>
  <c r="Q800" i="1"/>
  <c r="P800" i="1"/>
  <c r="U799" i="1"/>
  <c r="T799" i="1"/>
  <c r="S799" i="1"/>
  <c r="R799" i="1"/>
  <c r="Q799" i="1"/>
  <c r="P799" i="1"/>
  <c r="U798" i="1"/>
  <c r="T798" i="1"/>
  <c r="S798" i="1"/>
  <c r="R798" i="1"/>
  <c r="Q798" i="1"/>
  <c r="P798" i="1"/>
  <c r="U797" i="1"/>
  <c r="T797" i="1"/>
  <c r="S797" i="1"/>
  <c r="R797" i="1"/>
  <c r="Q797" i="1"/>
  <c r="P797" i="1"/>
  <c r="U796" i="1"/>
  <c r="T796" i="1"/>
  <c r="S796" i="1"/>
  <c r="R796" i="1"/>
  <c r="Q796" i="1"/>
  <c r="P796" i="1"/>
  <c r="U795" i="1"/>
  <c r="T795" i="1"/>
  <c r="S795" i="1"/>
  <c r="R795" i="1"/>
  <c r="Q795" i="1"/>
  <c r="P795" i="1"/>
  <c r="U794" i="1"/>
  <c r="T794" i="1"/>
  <c r="S794" i="1"/>
  <c r="R794" i="1"/>
  <c r="Q794" i="1"/>
  <c r="P794" i="1"/>
  <c r="U793" i="1"/>
  <c r="T793" i="1"/>
  <c r="S793" i="1"/>
  <c r="R793" i="1"/>
  <c r="Q793" i="1"/>
  <c r="P793" i="1"/>
  <c r="U792" i="1"/>
  <c r="T792" i="1"/>
  <c r="S792" i="1"/>
  <c r="R792" i="1"/>
  <c r="Q792" i="1"/>
  <c r="P792" i="1"/>
  <c r="U791" i="1"/>
  <c r="T791" i="1"/>
  <c r="S791" i="1"/>
  <c r="R791" i="1"/>
  <c r="Q791" i="1"/>
  <c r="P791" i="1"/>
  <c r="U790" i="1"/>
  <c r="T790" i="1"/>
  <c r="S790" i="1"/>
  <c r="R790" i="1"/>
  <c r="Q790" i="1"/>
  <c r="P790" i="1"/>
  <c r="U789" i="1"/>
  <c r="T789" i="1"/>
  <c r="S789" i="1"/>
  <c r="R789" i="1"/>
  <c r="Q789" i="1"/>
  <c r="P789" i="1"/>
  <c r="U788" i="1"/>
  <c r="T788" i="1"/>
  <c r="S788" i="1"/>
  <c r="R788" i="1"/>
  <c r="Q788" i="1"/>
  <c r="P788" i="1"/>
  <c r="U787" i="1"/>
  <c r="T787" i="1"/>
  <c r="S787" i="1"/>
  <c r="R787" i="1"/>
  <c r="Q787" i="1"/>
  <c r="P787" i="1"/>
  <c r="U786" i="1"/>
  <c r="T786" i="1"/>
  <c r="S786" i="1"/>
  <c r="R786" i="1"/>
  <c r="Q786" i="1"/>
  <c r="P786" i="1"/>
  <c r="U785" i="1"/>
  <c r="T785" i="1"/>
  <c r="S785" i="1"/>
  <c r="R785" i="1"/>
  <c r="Q785" i="1"/>
  <c r="P785" i="1"/>
  <c r="U784" i="1"/>
  <c r="T784" i="1"/>
  <c r="S784" i="1"/>
  <c r="R784" i="1"/>
  <c r="Q784" i="1"/>
  <c r="P784" i="1"/>
  <c r="U783" i="1"/>
  <c r="T783" i="1"/>
  <c r="S783" i="1"/>
  <c r="R783" i="1"/>
  <c r="Q783" i="1"/>
  <c r="P783" i="1"/>
  <c r="U782" i="1"/>
  <c r="T782" i="1"/>
  <c r="S782" i="1"/>
  <c r="R782" i="1"/>
  <c r="Q782" i="1"/>
  <c r="P782" i="1"/>
  <c r="U781" i="1"/>
  <c r="T781" i="1"/>
  <c r="S781" i="1"/>
  <c r="R781" i="1"/>
  <c r="Q781" i="1"/>
  <c r="P781" i="1"/>
  <c r="U780" i="1"/>
  <c r="T780" i="1"/>
  <c r="S780" i="1"/>
  <c r="R780" i="1"/>
  <c r="Q780" i="1"/>
  <c r="P780" i="1"/>
  <c r="U779" i="1"/>
  <c r="T779" i="1"/>
  <c r="S779" i="1"/>
  <c r="R779" i="1"/>
  <c r="Q779" i="1"/>
  <c r="P779" i="1"/>
  <c r="U778" i="1"/>
  <c r="T778" i="1"/>
  <c r="S778" i="1"/>
  <c r="R778" i="1"/>
  <c r="Q778" i="1"/>
  <c r="P778" i="1"/>
  <c r="U777" i="1"/>
  <c r="T777" i="1"/>
  <c r="S777" i="1"/>
  <c r="R777" i="1"/>
  <c r="Q777" i="1"/>
  <c r="P777" i="1"/>
  <c r="U776" i="1"/>
  <c r="T776" i="1"/>
  <c r="S776" i="1"/>
  <c r="R776" i="1"/>
  <c r="Q776" i="1"/>
  <c r="P776" i="1"/>
  <c r="U775" i="1"/>
  <c r="T775" i="1"/>
  <c r="S775" i="1"/>
  <c r="R775" i="1"/>
  <c r="Q775" i="1"/>
  <c r="P775" i="1"/>
  <c r="U774" i="1"/>
  <c r="T774" i="1"/>
  <c r="S774" i="1"/>
  <c r="R774" i="1"/>
  <c r="Q774" i="1"/>
  <c r="P774" i="1"/>
  <c r="U773" i="1"/>
  <c r="T773" i="1"/>
  <c r="S773" i="1"/>
  <c r="R773" i="1"/>
  <c r="Q773" i="1"/>
  <c r="P773" i="1"/>
  <c r="U772" i="1"/>
  <c r="T772" i="1"/>
  <c r="S772" i="1"/>
  <c r="R772" i="1"/>
  <c r="Q772" i="1"/>
  <c r="P772" i="1"/>
  <c r="U771" i="1"/>
  <c r="T771" i="1"/>
  <c r="S771" i="1"/>
  <c r="R771" i="1"/>
  <c r="Q771" i="1"/>
  <c r="P771" i="1"/>
  <c r="U770" i="1"/>
  <c r="T770" i="1"/>
  <c r="S770" i="1"/>
  <c r="R770" i="1"/>
  <c r="Q770" i="1"/>
  <c r="P770" i="1"/>
  <c r="U769" i="1"/>
  <c r="T769" i="1"/>
  <c r="S769" i="1"/>
  <c r="R769" i="1"/>
  <c r="Q769" i="1"/>
  <c r="P769" i="1"/>
  <c r="U768" i="1"/>
  <c r="T768" i="1"/>
  <c r="S768" i="1"/>
  <c r="R768" i="1"/>
  <c r="Q768" i="1"/>
  <c r="P768" i="1"/>
  <c r="U767" i="1"/>
  <c r="T767" i="1"/>
  <c r="S767" i="1"/>
  <c r="R767" i="1"/>
  <c r="Q767" i="1"/>
  <c r="P767" i="1"/>
  <c r="U766" i="1"/>
  <c r="T766" i="1"/>
  <c r="S766" i="1"/>
  <c r="R766" i="1"/>
  <c r="Q766" i="1"/>
  <c r="P766" i="1"/>
  <c r="U765" i="1"/>
  <c r="T765" i="1"/>
  <c r="S765" i="1"/>
  <c r="R765" i="1"/>
  <c r="Q765" i="1"/>
  <c r="P765" i="1"/>
  <c r="U764" i="1"/>
  <c r="T764" i="1"/>
  <c r="S764" i="1"/>
  <c r="R764" i="1"/>
  <c r="Q764" i="1"/>
  <c r="P764" i="1"/>
  <c r="U763" i="1"/>
  <c r="T763" i="1"/>
  <c r="S763" i="1"/>
  <c r="R763" i="1"/>
  <c r="Q763" i="1"/>
  <c r="P763" i="1"/>
  <c r="U762" i="1"/>
  <c r="T762" i="1"/>
  <c r="S762" i="1"/>
  <c r="R762" i="1"/>
  <c r="Q762" i="1"/>
  <c r="P762" i="1"/>
  <c r="U761" i="1"/>
  <c r="T761" i="1"/>
  <c r="S761" i="1"/>
  <c r="R761" i="1"/>
  <c r="Q761" i="1"/>
  <c r="P761" i="1"/>
  <c r="U760" i="1"/>
  <c r="T760" i="1"/>
  <c r="S760" i="1"/>
  <c r="R760" i="1"/>
  <c r="Q760" i="1"/>
  <c r="P760" i="1"/>
  <c r="U759" i="1"/>
  <c r="T759" i="1"/>
  <c r="S759" i="1"/>
  <c r="R759" i="1"/>
  <c r="Q759" i="1"/>
  <c r="P759" i="1"/>
  <c r="U758" i="1"/>
  <c r="T758" i="1"/>
  <c r="S758" i="1"/>
  <c r="R758" i="1"/>
  <c r="Q758" i="1"/>
  <c r="P758" i="1"/>
  <c r="U757" i="1"/>
  <c r="T757" i="1"/>
  <c r="S757" i="1"/>
  <c r="R757" i="1"/>
  <c r="Q757" i="1"/>
  <c r="P757" i="1"/>
  <c r="U756" i="1"/>
  <c r="T756" i="1"/>
  <c r="S756" i="1"/>
  <c r="R756" i="1"/>
  <c r="Q756" i="1"/>
  <c r="P756" i="1"/>
  <c r="U755" i="1"/>
  <c r="T755" i="1"/>
  <c r="S755" i="1"/>
  <c r="R755" i="1"/>
  <c r="Q755" i="1"/>
  <c r="P755" i="1"/>
  <c r="U754" i="1"/>
  <c r="T754" i="1"/>
  <c r="S754" i="1"/>
  <c r="R754" i="1"/>
  <c r="Q754" i="1"/>
  <c r="P754" i="1"/>
  <c r="U753" i="1"/>
  <c r="T753" i="1"/>
  <c r="S753" i="1"/>
  <c r="R753" i="1"/>
  <c r="Q753" i="1"/>
  <c r="P753" i="1"/>
  <c r="U752" i="1"/>
  <c r="T752" i="1"/>
  <c r="S752" i="1"/>
  <c r="R752" i="1"/>
  <c r="Q752" i="1"/>
  <c r="P752" i="1"/>
  <c r="U751" i="1"/>
  <c r="T751" i="1"/>
  <c r="S751" i="1"/>
  <c r="R751" i="1"/>
  <c r="Q751" i="1"/>
  <c r="P751" i="1"/>
  <c r="U750" i="1"/>
  <c r="T750" i="1"/>
  <c r="S750" i="1"/>
  <c r="R750" i="1"/>
  <c r="Q750" i="1"/>
  <c r="P750" i="1"/>
  <c r="U749" i="1"/>
  <c r="T749" i="1"/>
  <c r="S749" i="1"/>
  <c r="R749" i="1"/>
  <c r="Q749" i="1"/>
  <c r="P749" i="1"/>
  <c r="U748" i="1"/>
  <c r="T748" i="1"/>
  <c r="S748" i="1"/>
  <c r="R748" i="1"/>
  <c r="Q748" i="1"/>
  <c r="P748" i="1"/>
  <c r="U747" i="1"/>
  <c r="T747" i="1"/>
  <c r="S747" i="1"/>
  <c r="R747" i="1"/>
  <c r="Q747" i="1"/>
  <c r="P747" i="1"/>
  <c r="U746" i="1"/>
  <c r="T746" i="1"/>
  <c r="S746" i="1"/>
  <c r="R746" i="1"/>
  <c r="Q746" i="1"/>
  <c r="P746" i="1"/>
  <c r="U745" i="1"/>
  <c r="T745" i="1"/>
  <c r="S745" i="1"/>
  <c r="R745" i="1"/>
  <c r="Q745" i="1"/>
  <c r="P745" i="1"/>
  <c r="U744" i="1"/>
  <c r="T744" i="1"/>
  <c r="S744" i="1"/>
  <c r="R744" i="1"/>
  <c r="Q744" i="1"/>
  <c r="P744" i="1"/>
  <c r="U743" i="1"/>
  <c r="T743" i="1"/>
  <c r="S743" i="1"/>
  <c r="R743" i="1"/>
  <c r="Q743" i="1"/>
  <c r="P743" i="1"/>
  <c r="U742" i="1"/>
  <c r="T742" i="1"/>
  <c r="S742" i="1"/>
  <c r="R742" i="1"/>
  <c r="Q742" i="1"/>
  <c r="P742" i="1"/>
  <c r="U741" i="1"/>
  <c r="T741" i="1"/>
  <c r="S741" i="1"/>
  <c r="R741" i="1"/>
  <c r="Q741" i="1"/>
  <c r="P741" i="1"/>
  <c r="U740" i="1"/>
  <c r="T740" i="1"/>
  <c r="S740" i="1"/>
  <c r="R740" i="1"/>
  <c r="Q740" i="1"/>
  <c r="P740" i="1"/>
  <c r="U739" i="1"/>
  <c r="T739" i="1"/>
  <c r="S739" i="1"/>
  <c r="R739" i="1"/>
  <c r="Q739" i="1"/>
  <c r="P739" i="1"/>
  <c r="U738" i="1"/>
  <c r="T738" i="1"/>
  <c r="S738" i="1"/>
  <c r="R738" i="1"/>
  <c r="Q738" i="1"/>
  <c r="P738" i="1"/>
  <c r="U737" i="1"/>
  <c r="T737" i="1"/>
  <c r="S737" i="1"/>
  <c r="R737" i="1"/>
  <c r="Q737" i="1"/>
  <c r="P737" i="1"/>
  <c r="U736" i="1"/>
  <c r="T736" i="1"/>
  <c r="S736" i="1"/>
  <c r="R736" i="1"/>
  <c r="Q736" i="1"/>
  <c r="P736" i="1"/>
  <c r="U735" i="1"/>
  <c r="T735" i="1"/>
  <c r="S735" i="1"/>
  <c r="R735" i="1"/>
  <c r="Q735" i="1"/>
  <c r="P735" i="1"/>
  <c r="U734" i="1"/>
  <c r="T734" i="1"/>
  <c r="S734" i="1"/>
  <c r="R734" i="1"/>
  <c r="Q734" i="1"/>
  <c r="P734" i="1"/>
  <c r="U733" i="1"/>
  <c r="T733" i="1"/>
  <c r="S733" i="1"/>
  <c r="R733" i="1"/>
  <c r="Q733" i="1"/>
  <c r="P733" i="1"/>
  <c r="U732" i="1"/>
  <c r="T732" i="1"/>
  <c r="S732" i="1"/>
  <c r="R732" i="1"/>
  <c r="Q732" i="1"/>
  <c r="P732" i="1"/>
  <c r="U731" i="1"/>
  <c r="T731" i="1"/>
  <c r="S731" i="1"/>
  <c r="R731" i="1"/>
  <c r="Q731" i="1"/>
  <c r="P731" i="1"/>
  <c r="U730" i="1"/>
  <c r="T730" i="1"/>
  <c r="S730" i="1"/>
  <c r="R730" i="1"/>
  <c r="Q730" i="1"/>
  <c r="P730" i="1"/>
  <c r="U729" i="1"/>
  <c r="T729" i="1"/>
  <c r="S729" i="1"/>
  <c r="R729" i="1"/>
  <c r="Q729" i="1"/>
  <c r="P729" i="1"/>
  <c r="U728" i="1"/>
  <c r="T728" i="1"/>
  <c r="S728" i="1"/>
  <c r="R728" i="1"/>
  <c r="Q728" i="1"/>
  <c r="P728" i="1"/>
  <c r="U727" i="1"/>
  <c r="T727" i="1"/>
  <c r="S727" i="1"/>
  <c r="R727" i="1"/>
  <c r="Q727" i="1"/>
  <c r="P727" i="1"/>
  <c r="U726" i="1"/>
  <c r="T726" i="1"/>
  <c r="S726" i="1"/>
  <c r="R726" i="1"/>
  <c r="Q726" i="1"/>
  <c r="P726" i="1"/>
  <c r="U725" i="1"/>
  <c r="T725" i="1"/>
  <c r="S725" i="1"/>
  <c r="R725" i="1"/>
  <c r="Q725" i="1"/>
  <c r="P725" i="1"/>
  <c r="U724" i="1"/>
  <c r="T724" i="1"/>
  <c r="S724" i="1"/>
  <c r="R724" i="1"/>
  <c r="Q724" i="1"/>
  <c r="P724" i="1"/>
  <c r="U723" i="1"/>
  <c r="T723" i="1"/>
  <c r="S723" i="1"/>
  <c r="R723" i="1"/>
  <c r="Q723" i="1"/>
  <c r="P723" i="1"/>
  <c r="U722" i="1"/>
  <c r="T722" i="1"/>
  <c r="S722" i="1"/>
  <c r="R722" i="1"/>
  <c r="Q722" i="1"/>
  <c r="P722" i="1"/>
  <c r="U721" i="1"/>
  <c r="T721" i="1"/>
  <c r="S721" i="1"/>
  <c r="R721" i="1"/>
  <c r="Q721" i="1"/>
  <c r="P721" i="1"/>
  <c r="U720" i="1"/>
  <c r="T720" i="1"/>
  <c r="S720" i="1"/>
  <c r="R720" i="1"/>
  <c r="Q720" i="1"/>
  <c r="P720" i="1"/>
  <c r="U719" i="1"/>
  <c r="T719" i="1"/>
  <c r="S719" i="1"/>
  <c r="R719" i="1"/>
  <c r="Q719" i="1"/>
  <c r="P719" i="1"/>
  <c r="U718" i="1"/>
  <c r="T718" i="1"/>
  <c r="S718" i="1"/>
  <c r="R718" i="1"/>
  <c r="Q718" i="1"/>
  <c r="P718" i="1"/>
  <c r="U717" i="1"/>
  <c r="T717" i="1"/>
  <c r="S717" i="1"/>
  <c r="R717" i="1"/>
  <c r="Q717" i="1"/>
  <c r="P717" i="1"/>
  <c r="U716" i="1"/>
  <c r="T716" i="1"/>
  <c r="S716" i="1"/>
  <c r="R716" i="1"/>
  <c r="Q716" i="1"/>
  <c r="P716" i="1"/>
  <c r="U715" i="1"/>
  <c r="T715" i="1"/>
  <c r="S715" i="1"/>
  <c r="R715" i="1"/>
  <c r="Q715" i="1"/>
  <c r="P715" i="1"/>
  <c r="U714" i="1"/>
  <c r="T714" i="1"/>
  <c r="S714" i="1"/>
  <c r="R714" i="1"/>
  <c r="Q714" i="1"/>
  <c r="P714" i="1"/>
  <c r="U713" i="1"/>
  <c r="T713" i="1"/>
  <c r="S713" i="1"/>
  <c r="R713" i="1"/>
  <c r="Q713" i="1"/>
  <c r="P713" i="1"/>
  <c r="U712" i="1"/>
  <c r="T712" i="1"/>
  <c r="S712" i="1"/>
  <c r="R712" i="1"/>
  <c r="Q712" i="1"/>
  <c r="P712" i="1"/>
  <c r="U711" i="1"/>
  <c r="T711" i="1"/>
  <c r="S711" i="1"/>
  <c r="R711" i="1"/>
  <c r="Q711" i="1"/>
  <c r="P711" i="1"/>
  <c r="U710" i="1"/>
  <c r="T710" i="1"/>
  <c r="S710" i="1"/>
  <c r="R710" i="1"/>
  <c r="Q710" i="1"/>
  <c r="P710" i="1"/>
  <c r="U709" i="1"/>
  <c r="T709" i="1"/>
  <c r="S709" i="1"/>
  <c r="R709" i="1"/>
  <c r="Q709" i="1"/>
  <c r="P709" i="1"/>
  <c r="U708" i="1"/>
  <c r="T708" i="1"/>
  <c r="S708" i="1"/>
  <c r="R708" i="1"/>
  <c r="Q708" i="1"/>
  <c r="P708" i="1"/>
  <c r="U707" i="1"/>
  <c r="T707" i="1"/>
  <c r="S707" i="1"/>
  <c r="R707" i="1"/>
  <c r="Q707" i="1"/>
  <c r="P707" i="1"/>
  <c r="U706" i="1"/>
  <c r="T706" i="1"/>
  <c r="S706" i="1"/>
  <c r="R706" i="1"/>
  <c r="Q706" i="1"/>
  <c r="P706" i="1"/>
  <c r="U705" i="1"/>
  <c r="T705" i="1"/>
  <c r="S705" i="1"/>
  <c r="R705" i="1"/>
  <c r="Q705" i="1"/>
  <c r="P705" i="1"/>
  <c r="U704" i="1"/>
  <c r="T704" i="1"/>
  <c r="S704" i="1"/>
  <c r="R704" i="1"/>
  <c r="Q704" i="1"/>
  <c r="P704" i="1"/>
  <c r="U703" i="1"/>
  <c r="T703" i="1"/>
  <c r="S703" i="1"/>
  <c r="R703" i="1"/>
  <c r="Q703" i="1"/>
  <c r="P703" i="1"/>
  <c r="U702" i="1"/>
  <c r="T702" i="1"/>
  <c r="S702" i="1"/>
  <c r="R702" i="1"/>
  <c r="Q702" i="1"/>
  <c r="P702" i="1"/>
  <c r="U701" i="1"/>
  <c r="T701" i="1"/>
  <c r="S701" i="1"/>
  <c r="R701" i="1"/>
  <c r="Q701" i="1"/>
  <c r="P701" i="1"/>
  <c r="U700" i="1"/>
  <c r="T700" i="1"/>
  <c r="S700" i="1"/>
  <c r="R700" i="1"/>
  <c r="Q700" i="1"/>
  <c r="P700" i="1"/>
  <c r="U699" i="1"/>
  <c r="T699" i="1"/>
  <c r="S699" i="1"/>
  <c r="R699" i="1"/>
  <c r="Q699" i="1"/>
  <c r="P699" i="1"/>
  <c r="U698" i="1"/>
  <c r="T698" i="1"/>
  <c r="S698" i="1"/>
  <c r="R698" i="1"/>
  <c r="Q698" i="1"/>
  <c r="P698" i="1"/>
  <c r="U697" i="1"/>
  <c r="T697" i="1"/>
  <c r="S697" i="1"/>
  <c r="R697" i="1"/>
  <c r="Q697" i="1"/>
  <c r="P697" i="1"/>
  <c r="U696" i="1"/>
  <c r="T696" i="1"/>
  <c r="S696" i="1"/>
  <c r="R696" i="1"/>
  <c r="Q696" i="1"/>
  <c r="P696" i="1"/>
  <c r="U695" i="1"/>
  <c r="T695" i="1"/>
  <c r="S695" i="1"/>
  <c r="R695" i="1"/>
  <c r="Q695" i="1"/>
  <c r="P695" i="1"/>
  <c r="U694" i="1"/>
  <c r="T694" i="1"/>
  <c r="S694" i="1"/>
  <c r="R694" i="1"/>
  <c r="Q694" i="1"/>
  <c r="P694" i="1"/>
  <c r="U693" i="1"/>
  <c r="T693" i="1"/>
  <c r="S693" i="1"/>
  <c r="R693" i="1"/>
  <c r="Q693" i="1"/>
  <c r="P693" i="1"/>
  <c r="U692" i="1"/>
  <c r="T692" i="1"/>
  <c r="S692" i="1"/>
  <c r="R692" i="1"/>
  <c r="Q692" i="1"/>
  <c r="P692" i="1"/>
  <c r="U691" i="1"/>
  <c r="T691" i="1"/>
  <c r="S691" i="1"/>
  <c r="R691" i="1"/>
  <c r="Q691" i="1"/>
  <c r="P691" i="1"/>
  <c r="U690" i="1"/>
  <c r="T690" i="1"/>
  <c r="S690" i="1"/>
  <c r="R690" i="1"/>
  <c r="Q690" i="1"/>
  <c r="P690" i="1"/>
  <c r="U689" i="1"/>
  <c r="T689" i="1"/>
  <c r="S689" i="1"/>
  <c r="R689" i="1"/>
  <c r="Q689" i="1"/>
  <c r="P689" i="1"/>
  <c r="U688" i="1"/>
  <c r="T688" i="1"/>
  <c r="S688" i="1"/>
  <c r="R688" i="1"/>
  <c r="Q688" i="1"/>
  <c r="P688" i="1"/>
  <c r="U687" i="1"/>
  <c r="T687" i="1"/>
  <c r="S687" i="1"/>
  <c r="R687" i="1"/>
  <c r="Q687" i="1"/>
  <c r="P687" i="1"/>
  <c r="U686" i="1"/>
  <c r="T686" i="1"/>
  <c r="S686" i="1"/>
  <c r="R686" i="1"/>
  <c r="Q686" i="1"/>
  <c r="P686" i="1"/>
  <c r="U685" i="1"/>
  <c r="T685" i="1"/>
  <c r="S685" i="1"/>
  <c r="R685" i="1"/>
  <c r="Q685" i="1"/>
  <c r="P685" i="1"/>
  <c r="U684" i="1"/>
  <c r="T684" i="1"/>
  <c r="S684" i="1"/>
  <c r="R684" i="1"/>
  <c r="Q684" i="1"/>
  <c r="P684" i="1"/>
  <c r="U683" i="1"/>
  <c r="T683" i="1"/>
  <c r="S683" i="1"/>
  <c r="R683" i="1"/>
  <c r="Q683" i="1"/>
  <c r="P683" i="1"/>
  <c r="U682" i="1"/>
  <c r="T682" i="1"/>
  <c r="S682" i="1"/>
  <c r="R682" i="1"/>
  <c r="Q682" i="1"/>
  <c r="P682" i="1"/>
  <c r="U681" i="1"/>
  <c r="T681" i="1"/>
  <c r="S681" i="1"/>
  <c r="R681" i="1"/>
  <c r="Q681" i="1"/>
  <c r="P681" i="1"/>
  <c r="U680" i="1"/>
  <c r="T680" i="1"/>
  <c r="S680" i="1"/>
  <c r="R680" i="1"/>
  <c r="Q680" i="1"/>
  <c r="P680" i="1"/>
  <c r="U679" i="1"/>
  <c r="T679" i="1"/>
  <c r="S679" i="1"/>
  <c r="R679" i="1"/>
  <c r="Q679" i="1"/>
  <c r="P679" i="1"/>
  <c r="U678" i="1"/>
  <c r="T678" i="1"/>
  <c r="S678" i="1"/>
  <c r="R678" i="1"/>
  <c r="Q678" i="1"/>
  <c r="P678" i="1"/>
  <c r="U677" i="1"/>
  <c r="T677" i="1"/>
  <c r="S677" i="1"/>
  <c r="R677" i="1"/>
  <c r="Q677" i="1"/>
  <c r="P677" i="1"/>
  <c r="U676" i="1"/>
  <c r="T676" i="1"/>
  <c r="S676" i="1"/>
  <c r="R676" i="1"/>
  <c r="Q676" i="1"/>
  <c r="P676" i="1"/>
  <c r="U675" i="1"/>
  <c r="T675" i="1"/>
  <c r="S675" i="1"/>
  <c r="R675" i="1"/>
  <c r="Q675" i="1"/>
  <c r="P675" i="1"/>
  <c r="U674" i="1"/>
  <c r="T674" i="1"/>
  <c r="S674" i="1"/>
  <c r="R674" i="1"/>
  <c r="Q674" i="1"/>
  <c r="P674" i="1"/>
  <c r="U673" i="1"/>
  <c r="T673" i="1"/>
  <c r="S673" i="1"/>
  <c r="R673" i="1"/>
  <c r="Q673" i="1"/>
  <c r="P673" i="1"/>
  <c r="U672" i="1"/>
  <c r="T672" i="1"/>
  <c r="S672" i="1"/>
  <c r="R672" i="1"/>
  <c r="Q672" i="1"/>
  <c r="P672" i="1"/>
  <c r="U671" i="1"/>
  <c r="T671" i="1"/>
  <c r="S671" i="1"/>
  <c r="R671" i="1"/>
  <c r="Q671" i="1"/>
  <c r="P671" i="1"/>
  <c r="U670" i="1"/>
  <c r="T670" i="1"/>
  <c r="S670" i="1"/>
  <c r="R670" i="1"/>
  <c r="Q670" i="1"/>
  <c r="P670" i="1"/>
  <c r="U669" i="1"/>
  <c r="T669" i="1"/>
  <c r="S669" i="1"/>
  <c r="R669" i="1"/>
  <c r="Q669" i="1"/>
  <c r="P669" i="1"/>
  <c r="U668" i="1"/>
  <c r="T668" i="1"/>
  <c r="S668" i="1"/>
  <c r="R668" i="1"/>
  <c r="Q668" i="1"/>
  <c r="P668" i="1"/>
  <c r="U667" i="1"/>
  <c r="T667" i="1"/>
  <c r="S667" i="1"/>
  <c r="R667" i="1"/>
  <c r="Q667" i="1"/>
  <c r="P667" i="1"/>
  <c r="U666" i="1"/>
  <c r="T666" i="1"/>
  <c r="S666" i="1"/>
  <c r="R666" i="1"/>
  <c r="Q666" i="1"/>
  <c r="P666" i="1"/>
  <c r="U665" i="1"/>
  <c r="T665" i="1"/>
  <c r="S665" i="1"/>
  <c r="R665" i="1"/>
  <c r="Q665" i="1"/>
  <c r="P665" i="1"/>
  <c r="U664" i="1"/>
  <c r="T664" i="1"/>
  <c r="S664" i="1"/>
  <c r="R664" i="1"/>
  <c r="Q664" i="1"/>
  <c r="P664" i="1"/>
  <c r="U663" i="1"/>
  <c r="T663" i="1"/>
  <c r="S663" i="1"/>
  <c r="R663" i="1"/>
  <c r="Q663" i="1"/>
  <c r="P663" i="1"/>
  <c r="U662" i="1"/>
  <c r="T662" i="1"/>
  <c r="S662" i="1"/>
  <c r="R662" i="1"/>
  <c r="Q662" i="1"/>
  <c r="P662" i="1"/>
  <c r="U661" i="1"/>
  <c r="T661" i="1"/>
  <c r="S661" i="1"/>
  <c r="R661" i="1"/>
  <c r="Q661" i="1"/>
  <c r="P661" i="1"/>
  <c r="U660" i="1"/>
  <c r="T660" i="1"/>
  <c r="S660" i="1"/>
  <c r="R660" i="1"/>
  <c r="Q660" i="1"/>
  <c r="P660" i="1"/>
  <c r="U659" i="1"/>
  <c r="T659" i="1"/>
  <c r="S659" i="1"/>
  <c r="R659" i="1"/>
  <c r="Q659" i="1"/>
  <c r="P659" i="1"/>
  <c r="U658" i="1"/>
  <c r="T658" i="1"/>
  <c r="S658" i="1"/>
  <c r="R658" i="1"/>
  <c r="Q658" i="1"/>
  <c r="P658" i="1"/>
  <c r="U657" i="1"/>
  <c r="T657" i="1"/>
  <c r="S657" i="1"/>
  <c r="R657" i="1"/>
  <c r="Q657" i="1"/>
  <c r="P657" i="1"/>
  <c r="U656" i="1"/>
  <c r="T656" i="1"/>
  <c r="S656" i="1"/>
  <c r="R656" i="1"/>
  <c r="Q656" i="1"/>
  <c r="P656" i="1"/>
  <c r="U655" i="1"/>
  <c r="T655" i="1"/>
  <c r="S655" i="1"/>
  <c r="R655" i="1"/>
  <c r="Q655" i="1"/>
  <c r="P655" i="1"/>
  <c r="U654" i="1"/>
  <c r="T654" i="1"/>
  <c r="S654" i="1"/>
  <c r="R654" i="1"/>
  <c r="Q654" i="1"/>
  <c r="P654" i="1"/>
  <c r="U653" i="1"/>
  <c r="T653" i="1"/>
  <c r="S653" i="1"/>
  <c r="R653" i="1"/>
  <c r="Q653" i="1"/>
  <c r="P653" i="1"/>
  <c r="U652" i="1"/>
  <c r="T652" i="1"/>
  <c r="S652" i="1"/>
  <c r="R652" i="1"/>
  <c r="Q652" i="1"/>
  <c r="P652" i="1"/>
  <c r="U651" i="1"/>
  <c r="T651" i="1"/>
  <c r="S651" i="1"/>
  <c r="R651" i="1"/>
  <c r="Q651" i="1"/>
  <c r="P651" i="1"/>
  <c r="U650" i="1"/>
  <c r="T650" i="1"/>
  <c r="S650" i="1"/>
  <c r="R650" i="1"/>
  <c r="Q650" i="1"/>
  <c r="P650" i="1"/>
  <c r="U649" i="1"/>
  <c r="T649" i="1"/>
  <c r="S649" i="1"/>
  <c r="R649" i="1"/>
  <c r="Q649" i="1"/>
  <c r="P649" i="1"/>
  <c r="U648" i="1"/>
  <c r="T648" i="1"/>
  <c r="S648" i="1"/>
  <c r="R648" i="1"/>
  <c r="Q648" i="1"/>
  <c r="P648" i="1"/>
  <c r="U647" i="1"/>
  <c r="T647" i="1"/>
  <c r="S647" i="1"/>
  <c r="R647" i="1"/>
  <c r="Q647" i="1"/>
  <c r="P647" i="1"/>
  <c r="U646" i="1"/>
  <c r="T646" i="1"/>
  <c r="S646" i="1"/>
  <c r="R646" i="1"/>
  <c r="Q646" i="1"/>
  <c r="P646" i="1"/>
  <c r="U645" i="1"/>
  <c r="T645" i="1"/>
  <c r="S645" i="1"/>
  <c r="R645" i="1"/>
  <c r="Q645" i="1"/>
  <c r="P645" i="1"/>
  <c r="U644" i="1"/>
  <c r="T644" i="1"/>
  <c r="S644" i="1"/>
  <c r="R644" i="1"/>
  <c r="Q644" i="1"/>
  <c r="P644" i="1"/>
  <c r="U643" i="1"/>
  <c r="T643" i="1"/>
  <c r="S643" i="1"/>
  <c r="R643" i="1"/>
  <c r="Q643" i="1"/>
  <c r="P643" i="1"/>
  <c r="U642" i="1"/>
  <c r="T642" i="1"/>
  <c r="S642" i="1"/>
  <c r="R642" i="1"/>
  <c r="Q642" i="1"/>
  <c r="P642" i="1"/>
  <c r="U641" i="1"/>
  <c r="T641" i="1"/>
  <c r="S641" i="1"/>
  <c r="R641" i="1"/>
  <c r="Q641" i="1"/>
  <c r="P641" i="1"/>
  <c r="U640" i="1"/>
  <c r="T640" i="1"/>
  <c r="S640" i="1"/>
  <c r="R640" i="1"/>
  <c r="Q640" i="1"/>
  <c r="P640" i="1"/>
  <c r="U639" i="1"/>
  <c r="T639" i="1"/>
  <c r="S639" i="1"/>
  <c r="R639" i="1"/>
  <c r="Q639" i="1"/>
  <c r="P639" i="1"/>
  <c r="U638" i="1"/>
  <c r="T638" i="1"/>
  <c r="S638" i="1"/>
  <c r="R638" i="1"/>
  <c r="Q638" i="1"/>
  <c r="P638" i="1"/>
  <c r="U637" i="1"/>
  <c r="T637" i="1"/>
  <c r="S637" i="1"/>
  <c r="R637" i="1"/>
  <c r="Q637" i="1"/>
  <c r="P637" i="1"/>
  <c r="U636" i="1"/>
  <c r="T636" i="1"/>
  <c r="S636" i="1"/>
  <c r="R636" i="1"/>
  <c r="Q636" i="1"/>
  <c r="P636" i="1"/>
  <c r="U635" i="1"/>
  <c r="T635" i="1"/>
  <c r="S635" i="1"/>
  <c r="R635" i="1"/>
  <c r="Q635" i="1"/>
  <c r="P635" i="1"/>
  <c r="U634" i="1"/>
  <c r="T634" i="1"/>
  <c r="S634" i="1"/>
  <c r="R634" i="1"/>
  <c r="Q634" i="1"/>
  <c r="P634" i="1"/>
  <c r="U633" i="1"/>
  <c r="T633" i="1"/>
  <c r="S633" i="1"/>
  <c r="R633" i="1"/>
  <c r="Q633" i="1"/>
  <c r="P633" i="1"/>
  <c r="U632" i="1"/>
  <c r="T632" i="1"/>
  <c r="S632" i="1"/>
  <c r="R632" i="1"/>
  <c r="Q632" i="1"/>
  <c r="P632" i="1"/>
  <c r="U631" i="1"/>
  <c r="T631" i="1"/>
  <c r="S631" i="1"/>
  <c r="R631" i="1"/>
  <c r="Q631" i="1"/>
  <c r="P631" i="1"/>
  <c r="U630" i="1"/>
  <c r="T630" i="1"/>
  <c r="S630" i="1"/>
  <c r="R630" i="1"/>
  <c r="Q630" i="1"/>
  <c r="P630" i="1"/>
  <c r="U629" i="1"/>
  <c r="T629" i="1"/>
  <c r="S629" i="1"/>
  <c r="R629" i="1"/>
  <c r="Q629" i="1"/>
  <c r="P629" i="1"/>
  <c r="U628" i="1"/>
  <c r="T628" i="1"/>
  <c r="S628" i="1"/>
  <c r="R628" i="1"/>
  <c r="Q628" i="1"/>
  <c r="P628" i="1"/>
  <c r="U627" i="1"/>
  <c r="T627" i="1"/>
  <c r="S627" i="1"/>
  <c r="R627" i="1"/>
  <c r="Q627" i="1"/>
  <c r="P627" i="1"/>
  <c r="U626" i="1"/>
  <c r="T626" i="1"/>
  <c r="S626" i="1"/>
  <c r="R626" i="1"/>
  <c r="Q626" i="1"/>
  <c r="P626" i="1"/>
  <c r="U625" i="1"/>
  <c r="T625" i="1"/>
  <c r="S625" i="1"/>
  <c r="R625" i="1"/>
  <c r="Q625" i="1"/>
  <c r="P625" i="1"/>
  <c r="U624" i="1"/>
  <c r="T624" i="1"/>
  <c r="S624" i="1"/>
  <c r="R624" i="1"/>
  <c r="Q624" i="1"/>
  <c r="P624" i="1"/>
  <c r="U623" i="1"/>
  <c r="T623" i="1"/>
  <c r="S623" i="1"/>
  <c r="R623" i="1"/>
  <c r="Q623" i="1"/>
  <c r="P623" i="1"/>
  <c r="U622" i="1"/>
  <c r="T622" i="1"/>
  <c r="S622" i="1"/>
  <c r="R622" i="1"/>
  <c r="Q622" i="1"/>
  <c r="P622" i="1"/>
  <c r="U621" i="1"/>
  <c r="T621" i="1"/>
  <c r="S621" i="1"/>
  <c r="R621" i="1"/>
  <c r="Q621" i="1"/>
  <c r="P621" i="1"/>
  <c r="U620" i="1"/>
  <c r="T620" i="1"/>
  <c r="S620" i="1"/>
  <c r="R620" i="1"/>
  <c r="Q620" i="1"/>
  <c r="P620" i="1"/>
  <c r="U619" i="1"/>
  <c r="T619" i="1"/>
  <c r="S619" i="1"/>
  <c r="R619" i="1"/>
  <c r="Q619" i="1"/>
  <c r="P619" i="1"/>
  <c r="U618" i="1"/>
  <c r="T618" i="1"/>
  <c r="S618" i="1"/>
  <c r="R618" i="1"/>
  <c r="Q618" i="1"/>
  <c r="P618" i="1"/>
  <c r="U617" i="1"/>
  <c r="T617" i="1"/>
  <c r="S617" i="1"/>
  <c r="R617" i="1"/>
  <c r="Q617" i="1"/>
  <c r="P617" i="1"/>
  <c r="U616" i="1"/>
  <c r="T616" i="1"/>
  <c r="S616" i="1"/>
  <c r="R616" i="1"/>
  <c r="Q616" i="1"/>
  <c r="P616" i="1"/>
  <c r="U615" i="1"/>
  <c r="T615" i="1"/>
  <c r="S615" i="1"/>
  <c r="R615" i="1"/>
  <c r="Q615" i="1"/>
  <c r="P615" i="1"/>
  <c r="U614" i="1"/>
  <c r="T614" i="1"/>
  <c r="S614" i="1"/>
  <c r="R614" i="1"/>
  <c r="Q614" i="1"/>
  <c r="P614" i="1"/>
  <c r="U613" i="1"/>
  <c r="T613" i="1"/>
  <c r="S613" i="1"/>
  <c r="R613" i="1"/>
  <c r="Q613" i="1"/>
  <c r="P613" i="1"/>
  <c r="U612" i="1"/>
  <c r="T612" i="1"/>
  <c r="S612" i="1"/>
  <c r="R612" i="1"/>
  <c r="Q612" i="1"/>
  <c r="P612" i="1"/>
  <c r="U611" i="1"/>
  <c r="T611" i="1"/>
  <c r="S611" i="1"/>
  <c r="R611" i="1"/>
  <c r="Q611" i="1"/>
  <c r="P611" i="1"/>
  <c r="U610" i="1"/>
  <c r="T610" i="1"/>
  <c r="S610" i="1"/>
  <c r="R610" i="1"/>
  <c r="Q610" i="1"/>
  <c r="P610" i="1"/>
  <c r="U609" i="1"/>
  <c r="T609" i="1"/>
  <c r="S609" i="1"/>
  <c r="R609" i="1"/>
  <c r="Q609" i="1"/>
  <c r="P609" i="1"/>
  <c r="U608" i="1"/>
  <c r="T608" i="1"/>
  <c r="S608" i="1"/>
  <c r="R608" i="1"/>
  <c r="Q608" i="1"/>
  <c r="P608" i="1"/>
  <c r="U607" i="1"/>
  <c r="T607" i="1"/>
  <c r="S607" i="1"/>
  <c r="R607" i="1"/>
  <c r="Q607" i="1"/>
  <c r="P607" i="1"/>
  <c r="U606" i="1"/>
  <c r="T606" i="1"/>
  <c r="S606" i="1"/>
  <c r="R606" i="1"/>
  <c r="Q606" i="1"/>
  <c r="P606" i="1"/>
  <c r="U605" i="1"/>
  <c r="T605" i="1"/>
  <c r="S605" i="1"/>
  <c r="R605" i="1"/>
  <c r="Q605" i="1"/>
  <c r="P605" i="1"/>
  <c r="U604" i="1"/>
  <c r="T604" i="1"/>
  <c r="S604" i="1"/>
  <c r="R604" i="1"/>
  <c r="Q604" i="1"/>
  <c r="P604" i="1"/>
  <c r="U603" i="1"/>
  <c r="T603" i="1"/>
  <c r="S603" i="1"/>
  <c r="R603" i="1"/>
  <c r="Q603" i="1"/>
  <c r="P603" i="1"/>
  <c r="U602" i="1"/>
  <c r="T602" i="1"/>
  <c r="S602" i="1"/>
  <c r="R602" i="1"/>
  <c r="Q602" i="1"/>
  <c r="P602" i="1"/>
  <c r="U601" i="1"/>
  <c r="T601" i="1"/>
  <c r="S601" i="1"/>
  <c r="R601" i="1"/>
  <c r="Q601" i="1"/>
  <c r="P601" i="1"/>
  <c r="U600" i="1"/>
  <c r="T600" i="1"/>
  <c r="S600" i="1"/>
  <c r="R600" i="1"/>
  <c r="Q600" i="1"/>
  <c r="P600" i="1"/>
  <c r="U599" i="1"/>
  <c r="T599" i="1"/>
  <c r="S599" i="1"/>
  <c r="R599" i="1"/>
  <c r="Q599" i="1"/>
  <c r="P599" i="1"/>
  <c r="U598" i="1"/>
  <c r="T598" i="1"/>
  <c r="S598" i="1"/>
  <c r="R598" i="1"/>
  <c r="Q598" i="1"/>
  <c r="P598" i="1"/>
  <c r="U597" i="1"/>
  <c r="T597" i="1"/>
  <c r="S597" i="1"/>
  <c r="R597" i="1"/>
  <c r="Q597" i="1"/>
  <c r="P597" i="1"/>
  <c r="U596" i="1"/>
  <c r="T596" i="1"/>
  <c r="S596" i="1"/>
  <c r="R596" i="1"/>
  <c r="Q596" i="1"/>
  <c r="P596" i="1"/>
  <c r="U595" i="1"/>
  <c r="T595" i="1"/>
  <c r="S595" i="1"/>
  <c r="R595" i="1"/>
  <c r="Q595" i="1"/>
  <c r="P595" i="1"/>
  <c r="U594" i="1"/>
  <c r="T594" i="1"/>
  <c r="S594" i="1"/>
  <c r="R594" i="1"/>
  <c r="Q594" i="1"/>
  <c r="P594" i="1"/>
  <c r="U593" i="1"/>
  <c r="T593" i="1"/>
  <c r="S593" i="1"/>
  <c r="R593" i="1"/>
  <c r="Q593" i="1"/>
  <c r="P593" i="1"/>
  <c r="U592" i="1"/>
  <c r="T592" i="1"/>
  <c r="S592" i="1"/>
  <c r="R592" i="1"/>
  <c r="Q592" i="1"/>
  <c r="P592" i="1"/>
  <c r="U591" i="1"/>
  <c r="T591" i="1"/>
  <c r="S591" i="1"/>
  <c r="R591" i="1"/>
  <c r="Q591" i="1"/>
  <c r="P591" i="1"/>
  <c r="U590" i="1"/>
  <c r="T590" i="1"/>
  <c r="S590" i="1"/>
  <c r="R590" i="1"/>
  <c r="Q590" i="1"/>
  <c r="P590" i="1"/>
  <c r="U589" i="1"/>
  <c r="T589" i="1"/>
  <c r="S589" i="1"/>
  <c r="R589" i="1"/>
  <c r="Q589" i="1"/>
  <c r="P589" i="1"/>
  <c r="U588" i="1"/>
  <c r="T588" i="1"/>
  <c r="S588" i="1"/>
  <c r="R588" i="1"/>
  <c r="Q588" i="1"/>
  <c r="P588" i="1"/>
  <c r="U587" i="1"/>
  <c r="T587" i="1"/>
  <c r="S587" i="1"/>
  <c r="R587" i="1"/>
  <c r="Q587" i="1"/>
  <c r="P587" i="1"/>
  <c r="U586" i="1"/>
  <c r="T586" i="1"/>
  <c r="S586" i="1"/>
  <c r="R586" i="1"/>
  <c r="Q586" i="1"/>
  <c r="P586" i="1"/>
  <c r="U585" i="1"/>
  <c r="T585" i="1"/>
  <c r="S585" i="1"/>
  <c r="R585" i="1"/>
  <c r="Q585" i="1"/>
  <c r="P585" i="1"/>
  <c r="U584" i="1"/>
  <c r="T584" i="1"/>
  <c r="S584" i="1"/>
  <c r="R584" i="1"/>
  <c r="Q584" i="1"/>
  <c r="P584" i="1"/>
  <c r="U583" i="1"/>
  <c r="T583" i="1"/>
  <c r="S583" i="1"/>
  <c r="R583" i="1"/>
  <c r="Q583" i="1"/>
  <c r="P583" i="1"/>
  <c r="U582" i="1"/>
  <c r="T582" i="1"/>
  <c r="S582" i="1"/>
  <c r="R582" i="1"/>
  <c r="Q582" i="1"/>
  <c r="P582" i="1"/>
  <c r="U581" i="1"/>
  <c r="T581" i="1"/>
  <c r="S581" i="1"/>
  <c r="R581" i="1"/>
  <c r="Q581" i="1"/>
  <c r="P581" i="1"/>
  <c r="U580" i="1"/>
  <c r="T580" i="1"/>
  <c r="S580" i="1"/>
  <c r="R580" i="1"/>
  <c r="Q580" i="1"/>
  <c r="P580" i="1"/>
  <c r="U579" i="1"/>
  <c r="T579" i="1"/>
  <c r="S579" i="1"/>
  <c r="R579" i="1"/>
  <c r="Q579" i="1"/>
  <c r="P579" i="1"/>
  <c r="U578" i="1"/>
  <c r="T578" i="1"/>
  <c r="S578" i="1"/>
  <c r="R578" i="1"/>
  <c r="Q578" i="1"/>
  <c r="P578" i="1"/>
  <c r="U577" i="1"/>
  <c r="T577" i="1"/>
  <c r="S577" i="1"/>
  <c r="R577" i="1"/>
  <c r="Q577" i="1"/>
  <c r="P577" i="1"/>
  <c r="U576" i="1"/>
  <c r="T576" i="1"/>
  <c r="S576" i="1"/>
  <c r="R576" i="1"/>
  <c r="Q576" i="1"/>
  <c r="P576" i="1"/>
  <c r="U575" i="1"/>
  <c r="T575" i="1"/>
  <c r="S575" i="1"/>
  <c r="R575" i="1"/>
  <c r="Q575" i="1"/>
  <c r="P575" i="1"/>
  <c r="U574" i="1"/>
  <c r="T574" i="1"/>
  <c r="S574" i="1"/>
  <c r="R574" i="1"/>
  <c r="Q574" i="1"/>
  <c r="P574" i="1"/>
  <c r="U573" i="1"/>
  <c r="T573" i="1"/>
  <c r="S573" i="1"/>
  <c r="R573" i="1"/>
  <c r="Q573" i="1"/>
  <c r="P573" i="1"/>
  <c r="U572" i="1"/>
  <c r="T572" i="1"/>
  <c r="S572" i="1"/>
  <c r="R572" i="1"/>
  <c r="Q572" i="1"/>
  <c r="P572" i="1"/>
  <c r="U571" i="1"/>
  <c r="T571" i="1"/>
  <c r="S571" i="1"/>
  <c r="R571" i="1"/>
  <c r="Q571" i="1"/>
  <c r="P571" i="1"/>
  <c r="U570" i="1"/>
  <c r="T570" i="1"/>
  <c r="S570" i="1"/>
  <c r="R570" i="1"/>
  <c r="Q570" i="1"/>
  <c r="P570" i="1"/>
  <c r="U569" i="1"/>
  <c r="T569" i="1"/>
  <c r="S569" i="1"/>
  <c r="R569" i="1"/>
  <c r="Q569" i="1"/>
  <c r="P569" i="1"/>
  <c r="U568" i="1"/>
  <c r="T568" i="1"/>
  <c r="S568" i="1"/>
  <c r="R568" i="1"/>
  <c r="Q568" i="1"/>
  <c r="P568" i="1"/>
  <c r="U567" i="1"/>
  <c r="T567" i="1"/>
  <c r="S567" i="1"/>
  <c r="R567" i="1"/>
  <c r="Q567" i="1"/>
  <c r="P567" i="1"/>
  <c r="U566" i="1"/>
  <c r="T566" i="1"/>
  <c r="S566" i="1"/>
  <c r="R566" i="1"/>
  <c r="Q566" i="1"/>
  <c r="P566" i="1"/>
  <c r="U565" i="1"/>
  <c r="T565" i="1"/>
  <c r="S565" i="1"/>
  <c r="R565" i="1"/>
  <c r="Q565" i="1"/>
  <c r="P565" i="1"/>
  <c r="U564" i="1"/>
  <c r="T564" i="1"/>
  <c r="S564" i="1"/>
  <c r="R564" i="1"/>
  <c r="Q564" i="1"/>
  <c r="P564" i="1"/>
  <c r="U563" i="1"/>
  <c r="T563" i="1"/>
  <c r="S563" i="1"/>
  <c r="R563" i="1"/>
  <c r="Q563" i="1"/>
  <c r="P563" i="1"/>
  <c r="U562" i="1"/>
  <c r="T562" i="1"/>
  <c r="S562" i="1"/>
  <c r="R562" i="1"/>
  <c r="Q562" i="1"/>
  <c r="P562" i="1"/>
  <c r="U561" i="1"/>
  <c r="T561" i="1"/>
  <c r="S561" i="1"/>
  <c r="R561" i="1"/>
  <c r="Q561" i="1"/>
  <c r="P561" i="1"/>
  <c r="U560" i="1"/>
  <c r="T560" i="1"/>
  <c r="S560" i="1"/>
  <c r="R560" i="1"/>
  <c r="Q560" i="1"/>
  <c r="P560" i="1"/>
  <c r="U559" i="1"/>
  <c r="T559" i="1"/>
  <c r="S559" i="1"/>
  <c r="R559" i="1"/>
  <c r="Q559" i="1"/>
  <c r="P559" i="1"/>
  <c r="U558" i="1"/>
  <c r="T558" i="1"/>
  <c r="S558" i="1"/>
  <c r="R558" i="1"/>
  <c r="Q558" i="1"/>
  <c r="P558" i="1"/>
  <c r="U557" i="1"/>
  <c r="T557" i="1"/>
  <c r="S557" i="1"/>
  <c r="R557" i="1"/>
  <c r="Q557" i="1"/>
  <c r="P557" i="1"/>
  <c r="U556" i="1"/>
  <c r="T556" i="1"/>
  <c r="S556" i="1"/>
  <c r="R556" i="1"/>
  <c r="Q556" i="1"/>
  <c r="P556" i="1"/>
  <c r="U555" i="1"/>
  <c r="T555" i="1"/>
  <c r="S555" i="1"/>
  <c r="R555" i="1"/>
  <c r="Q555" i="1"/>
  <c r="P555" i="1"/>
  <c r="U554" i="1"/>
  <c r="T554" i="1"/>
  <c r="S554" i="1"/>
  <c r="R554" i="1"/>
  <c r="Q554" i="1"/>
  <c r="P554" i="1"/>
  <c r="U553" i="1"/>
  <c r="T553" i="1"/>
  <c r="S553" i="1"/>
  <c r="R553" i="1"/>
  <c r="Q553" i="1"/>
  <c r="P553" i="1"/>
  <c r="U552" i="1"/>
  <c r="T552" i="1"/>
  <c r="S552" i="1"/>
  <c r="R552" i="1"/>
  <c r="Q552" i="1"/>
  <c r="P552" i="1"/>
  <c r="U551" i="1"/>
  <c r="T551" i="1"/>
  <c r="S551" i="1"/>
  <c r="R551" i="1"/>
  <c r="Q551" i="1"/>
  <c r="P551" i="1"/>
  <c r="U550" i="1"/>
  <c r="T550" i="1"/>
  <c r="S550" i="1"/>
  <c r="R550" i="1"/>
  <c r="Q550" i="1"/>
  <c r="P550" i="1"/>
  <c r="U549" i="1"/>
  <c r="T549" i="1"/>
  <c r="S549" i="1"/>
  <c r="R549" i="1"/>
  <c r="Q549" i="1"/>
  <c r="P549" i="1"/>
  <c r="U548" i="1"/>
  <c r="T548" i="1"/>
  <c r="S548" i="1"/>
  <c r="R548" i="1"/>
  <c r="Q548" i="1"/>
  <c r="P548" i="1"/>
  <c r="U547" i="1"/>
  <c r="T547" i="1"/>
  <c r="S547" i="1"/>
  <c r="R547" i="1"/>
  <c r="Q547" i="1"/>
  <c r="P547" i="1"/>
  <c r="U546" i="1"/>
  <c r="T546" i="1"/>
  <c r="S546" i="1"/>
  <c r="R546" i="1"/>
  <c r="Q546" i="1"/>
  <c r="P546" i="1"/>
  <c r="U545" i="1"/>
  <c r="T545" i="1"/>
  <c r="S545" i="1"/>
  <c r="R545" i="1"/>
  <c r="Q545" i="1"/>
  <c r="P545" i="1"/>
  <c r="U544" i="1"/>
  <c r="T544" i="1"/>
  <c r="S544" i="1"/>
  <c r="R544" i="1"/>
  <c r="Q544" i="1"/>
  <c r="P544" i="1"/>
  <c r="U543" i="1"/>
  <c r="T543" i="1"/>
  <c r="S543" i="1"/>
  <c r="R543" i="1"/>
  <c r="Q543" i="1"/>
  <c r="P543" i="1"/>
  <c r="U542" i="1"/>
  <c r="T542" i="1"/>
  <c r="S542" i="1"/>
  <c r="R542" i="1"/>
  <c r="Q542" i="1"/>
  <c r="P542" i="1"/>
  <c r="U541" i="1"/>
  <c r="T541" i="1"/>
  <c r="S541" i="1"/>
  <c r="R541" i="1"/>
  <c r="Q541" i="1"/>
  <c r="P541" i="1"/>
  <c r="U540" i="1"/>
  <c r="T540" i="1"/>
  <c r="S540" i="1"/>
  <c r="R540" i="1"/>
  <c r="Q540" i="1"/>
  <c r="P540" i="1"/>
  <c r="U539" i="1"/>
  <c r="T539" i="1"/>
  <c r="S539" i="1"/>
  <c r="R539" i="1"/>
  <c r="Q539" i="1"/>
  <c r="P539" i="1"/>
  <c r="U538" i="1"/>
  <c r="T538" i="1"/>
  <c r="S538" i="1"/>
  <c r="R538" i="1"/>
  <c r="Q538" i="1"/>
  <c r="P538" i="1"/>
  <c r="U537" i="1"/>
  <c r="T537" i="1"/>
  <c r="S537" i="1"/>
  <c r="R537" i="1"/>
  <c r="Q537" i="1"/>
  <c r="P537" i="1"/>
  <c r="U536" i="1"/>
  <c r="T536" i="1"/>
  <c r="S536" i="1"/>
  <c r="R536" i="1"/>
  <c r="Q536" i="1"/>
  <c r="P536" i="1"/>
  <c r="U535" i="1"/>
  <c r="T535" i="1"/>
  <c r="S535" i="1"/>
  <c r="R535" i="1"/>
  <c r="Q535" i="1"/>
  <c r="P535" i="1"/>
  <c r="U534" i="1"/>
  <c r="T534" i="1"/>
  <c r="S534" i="1"/>
  <c r="R534" i="1"/>
  <c r="Q534" i="1"/>
  <c r="P534" i="1"/>
  <c r="U533" i="1"/>
  <c r="T533" i="1"/>
  <c r="S533" i="1"/>
  <c r="R533" i="1"/>
  <c r="Q533" i="1"/>
  <c r="P533" i="1"/>
  <c r="U532" i="1"/>
  <c r="T532" i="1"/>
  <c r="S532" i="1"/>
  <c r="R532" i="1"/>
  <c r="Q532" i="1"/>
  <c r="P532" i="1"/>
  <c r="U531" i="1"/>
  <c r="T531" i="1"/>
  <c r="S531" i="1"/>
  <c r="R531" i="1"/>
  <c r="Q531" i="1"/>
  <c r="P531" i="1"/>
  <c r="U530" i="1"/>
  <c r="T530" i="1"/>
  <c r="S530" i="1"/>
  <c r="R530" i="1"/>
  <c r="Q530" i="1"/>
  <c r="P530" i="1"/>
  <c r="U529" i="1"/>
  <c r="T529" i="1"/>
  <c r="S529" i="1"/>
  <c r="R529" i="1"/>
  <c r="Q529" i="1"/>
  <c r="P529" i="1"/>
  <c r="U528" i="1"/>
  <c r="T528" i="1"/>
  <c r="S528" i="1"/>
  <c r="R528" i="1"/>
  <c r="Q528" i="1"/>
  <c r="P528" i="1"/>
  <c r="U527" i="1"/>
  <c r="T527" i="1"/>
  <c r="S527" i="1"/>
  <c r="R527" i="1"/>
  <c r="Q527" i="1"/>
  <c r="P527" i="1"/>
  <c r="U526" i="1"/>
  <c r="T526" i="1"/>
  <c r="S526" i="1"/>
  <c r="R526" i="1"/>
  <c r="Q526" i="1"/>
  <c r="P526" i="1"/>
  <c r="U525" i="1"/>
  <c r="T525" i="1"/>
  <c r="S525" i="1"/>
  <c r="R525" i="1"/>
  <c r="Q525" i="1"/>
  <c r="P525" i="1"/>
  <c r="U524" i="1"/>
  <c r="T524" i="1"/>
  <c r="S524" i="1"/>
  <c r="R524" i="1"/>
  <c r="Q524" i="1"/>
  <c r="P524" i="1"/>
  <c r="U523" i="1"/>
  <c r="T523" i="1"/>
  <c r="S523" i="1"/>
  <c r="R523" i="1"/>
  <c r="Q523" i="1"/>
  <c r="P523" i="1"/>
  <c r="U522" i="1"/>
  <c r="T522" i="1"/>
  <c r="S522" i="1"/>
  <c r="R522" i="1"/>
  <c r="Q522" i="1"/>
  <c r="P522" i="1"/>
  <c r="U521" i="1"/>
  <c r="T521" i="1"/>
  <c r="S521" i="1"/>
  <c r="R521" i="1"/>
  <c r="Q521" i="1"/>
  <c r="P521" i="1"/>
  <c r="U520" i="1"/>
  <c r="T520" i="1"/>
  <c r="S520" i="1"/>
  <c r="R520" i="1"/>
  <c r="Q520" i="1"/>
  <c r="P520" i="1"/>
  <c r="U519" i="1"/>
  <c r="T519" i="1"/>
  <c r="S519" i="1"/>
  <c r="R519" i="1"/>
  <c r="Q519" i="1"/>
  <c r="P519" i="1"/>
  <c r="U518" i="1"/>
  <c r="T518" i="1"/>
  <c r="S518" i="1"/>
  <c r="R518" i="1"/>
  <c r="Q518" i="1"/>
  <c r="P518" i="1"/>
  <c r="U517" i="1"/>
  <c r="T517" i="1"/>
  <c r="S517" i="1"/>
  <c r="R517" i="1"/>
  <c r="Q517" i="1"/>
  <c r="P517" i="1"/>
  <c r="U516" i="1"/>
  <c r="T516" i="1"/>
  <c r="S516" i="1"/>
  <c r="R516" i="1"/>
  <c r="Q516" i="1"/>
  <c r="P516" i="1"/>
  <c r="U515" i="1"/>
  <c r="T515" i="1"/>
  <c r="S515" i="1"/>
  <c r="R515" i="1"/>
  <c r="Q515" i="1"/>
  <c r="P515" i="1"/>
  <c r="U514" i="1"/>
  <c r="T514" i="1"/>
  <c r="S514" i="1"/>
  <c r="R514" i="1"/>
  <c r="Q514" i="1"/>
  <c r="P514" i="1"/>
  <c r="U513" i="1"/>
  <c r="T513" i="1"/>
  <c r="S513" i="1"/>
  <c r="R513" i="1"/>
  <c r="Q513" i="1"/>
  <c r="P513" i="1"/>
  <c r="U512" i="1"/>
  <c r="T512" i="1"/>
  <c r="S512" i="1"/>
  <c r="R512" i="1"/>
  <c r="Q512" i="1"/>
  <c r="P512" i="1"/>
  <c r="U511" i="1"/>
  <c r="T511" i="1"/>
  <c r="S511" i="1"/>
  <c r="R511" i="1"/>
  <c r="Q511" i="1"/>
  <c r="P511" i="1"/>
  <c r="U510" i="1"/>
  <c r="T510" i="1"/>
  <c r="S510" i="1"/>
  <c r="R510" i="1"/>
  <c r="Q510" i="1"/>
  <c r="P510" i="1"/>
  <c r="U509" i="1"/>
  <c r="T509" i="1"/>
  <c r="S509" i="1"/>
  <c r="R509" i="1"/>
  <c r="Q509" i="1"/>
  <c r="P509" i="1"/>
  <c r="U508" i="1"/>
  <c r="T508" i="1"/>
  <c r="S508" i="1"/>
  <c r="R508" i="1"/>
  <c r="Q508" i="1"/>
  <c r="P508" i="1"/>
  <c r="U507" i="1"/>
  <c r="T507" i="1"/>
  <c r="S507" i="1"/>
  <c r="R507" i="1"/>
  <c r="Q507" i="1"/>
  <c r="P507" i="1"/>
  <c r="U506" i="1"/>
  <c r="T506" i="1"/>
  <c r="S506" i="1"/>
  <c r="R506" i="1"/>
  <c r="Q506" i="1"/>
  <c r="P506" i="1"/>
  <c r="U505" i="1"/>
  <c r="T505" i="1"/>
  <c r="S505" i="1"/>
  <c r="R505" i="1"/>
  <c r="Q505" i="1"/>
  <c r="P505" i="1"/>
  <c r="U504" i="1"/>
  <c r="T504" i="1"/>
  <c r="S504" i="1"/>
  <c r="R504" i="1"/>
  <c r="Q504" i="1"/>
  <c r="P504" i="1"/>
  <c r="U503" i="1"/>
  <c r="T503" i="1"/>
  <c r="S503" i="1"/>
  <c r="R503" i="1"/>
  <c r="Q503" i="1"/>
  <c r="P503" i="1"/>
  <c r="U502" i="1"/>
  <c r="T502" i="1"/>
  <c r="S502" i="1"/>
  <c r="R502" i="1"/>
  <c r="Q502" i="1"/>
  <c r="P502" i="1"/>
  <c r="U501" i="1"/>
  <c r="T501" i="1"/>
  <c r="S501" i="1"/>
  <c r="R501" i="1"/>
  <c r="Q501" i="1"/>
  <c r="P501" i="1"/>
  <c r="U500" i="1"/>
  <c r="T500" i="1"/>
  <c r="S500" i="1"/>
  <c r="R500" i="1"/>
  <c r="Q500" i="1"/>
  <c r="P500" i="1"/>
  <c r="U499" i="1"/>
  <c r="T499" i="1"/>
  <c r="S499" i="1"/>
  <c r="R499" i="1"/>
  <c r="Q499" i="1"/>
  <c r="P499" i="1"/>
  <c r="U498" i="1"/>
  <c r="T498" i="1"/>
  <c r="S498" i="1"/>
  <c r="R498" i="1"/>
  <c r="Q498" i="1"/>
  <c r="P498" i="1"/>
  <c r="U497" i="1"/>
  <c r="T497" i="1"/>
  <c r="S497" i="1"/>
  <c r="R497" i="1"/>
  <c r="Q497" i="1"/>
  <c r="P497" i="1"/>
  <c r="U496" i="1"/>
  <c r="T496" i="1"/>
  <c r="S496" i="1"/>
  <c r="R496" i="1"/>
  <c r="Q496" i="1"/>
  <c r="P496" i="1"/>
  <c r="U495" i="1"/>
  <c r="T495" i="1"/>
  <c r="S495" i="1"/>
  <c r="R495" i="1"/>
  <c r="Q495" i="1"/>
  <c r="P495" i="1"/>
  <c r="U494" i="1"/>
  <c r="T494" i="1"/>
  <c r="S494" i="1"/>
  <c r="R494" i="1"/>
  <c r="Q494" i="1"/>
  <c r="P494" i="1"/>
  <c r="U493" i="1"/>
  <c r="T493" i="1"/>
  <c r="S493" i="1"/>
  <c r="R493" i="1"/>
  <c r="Q493" i="1"/>
  <c r="P493" i="1"/>
  <c r="U492" i="1"/>
  <c r="T492" i="1"/>
  <c r="S492" i="1"/>
  <c r="R492" i="1"/>
  <c r="Q492" i="1"/>
  <c r="P492" i="1"/>
  <c r="U491" i="1"/>
  <c r="T491" i="1"/>
  <c r="S491" i="1"/>
  <c r="R491" i="1"/>
  <c r="Q491" i="1"/>
  <c r="P491" i="1"/>
  <c r="U490" i="1"/>
  <c r="T490" i="1"/>
  <c r="S490" i="1"/>
  <c r="R490" i="1"/>
  <c r="Q490" i="1"/>
  <c r="P490" i="1"/>
  <c r="U489" i="1"/>
  <c r="T489" i="1"/>
  <c r="S489" i="1"/>
  <c r="R489" i="1"/>
  <c r="Q489" i="1"/>
  <c r="P489" i="1"/>
  <c r="U488" i="1"/>
  <c r="T488" i="1"/>
  <c r="S488" i="1"/>
  <c r="R488" i="1"/>
  <c r="Q488" i="1"/>
  <c r="P488" i="1"/>
  <c r="U487" i="1"/>
  <c r="T487" i="1"/>
  <c r="S487" i="1"/>
  <c r="R487" i="1"/>
  <c r="Q487" i="1"/>
  <c r="P487" i="1"/>
  <c r="U486" i="1"/>
  <c r="T486" i="1"/>
  <c r="S486" i="1"/>
  <c r="R486" i="1"/>
  <c r="Q486" i="1"/>
  <c r="P486" i="1"/>
  <c r="U485" i="1"/>
  <c r="T485" i="1"/>
  <c r="S485" i="1"/>
  <c r="R485" i="1"/>
  <c r="Q485" i="1"/>
  <c r="P485" i="1"/>
  <c r="U484" i="1"/>
  <c r="T484" i="1"/>
  <c r="S484" i="1"/>
  <c r="R484" i="1"/>
  <c r="Q484" i="1"/>
  <c r="P484" i="1"/>
  <c r="U483" i="1"/>
  <c r="T483" i="1"/>
  <c r="S483" i="1"/>
  <c r="R483" i="1"/>
  <c r="Q483" i="1"/>
  <c r="P483" i="1"/>
  <c r="U482" i="1"/>
  <c r="T482" i="1"/>
  <c r="S482" i="1"/>
  <c r="R482" i="1"/>
  <c r="Q482" i="1"/>
  <c r="P482" i="1"/>
  <c r="U481" i="1"/>
  <c r="T481" i="1"/>
  <c r="S481" i="1"/>
  <c r="R481" i="1"/>
  <c r="Q481" i="1"/>
  <c r="P481" i="1"/>
  <c r="U480" i="1"/>
  <c r="T480" i="1"/>
  <c r="S480" i="1"/>
  <c r="R480" i="1"/>
  <c r="Q480" i="1"/>
  <c r="P480" i="1"/>
  <c r="U479" i="1"/>
  <c r="T479" i="1"/>
  <c r="S479" i="1"/>
  <c r="R479" i="1"/>
  <c r="Q479" i="1"/>
  <c r="P479" i="1"/>
  <c r="U478" i="1"/>
  <c r="T478" i="1"/>
  <c r="S478" i="1"/>
  <c r="R478" i="1"/>
  <c r="Q478" i="1"/>
  <c r="P478" i="1"/>
  <c r="U477" i="1"/>
  <c r="T477" i="1"/>
  <c r="S477" i="1"/>
  <c r="R477" i="1"/>
  <c r="Q477" i="1"/>
  <c r="P477" i="1"/>
  <c r="U476" i="1"/>
  <c r="T476" i="1"/>
  <c r="S476" i="1"/>
  <c r="R476" i="1"/>
  <c r="Q476" i="1"/>
  <c r="P476" i="1"/>
  <c r="U475" i="1"/>
  <c r="T475" i="1"/>
  <c r="S475" i="1"/>
  <c r="R475" i="1"/>
  <c r="Q475" i="1"/>
  <c r="P475" i="1"/>
  <c r="U474" i="1"/>
  <c r="T474" i="1"/>
  <c r="S474" i="1"/>
  <c r="R474" i="1"/>
  <c r="Q474" i="1"/>
  <c r="P474" i="1"/>
  <c r="U473" i="1"/>
  <c r="T473" i="1"/>
  <c r="S473" i="1"/>
  <c r="R473" i="1"/>
  <c r="Q473" i="1"/>
  <c r="P473" i="1"/>
  <c r="U472" i="1"/>
  <c r="T472" i="1"/>
  <c r="S472" i="1"/>
  <c r="R472" i="1"/>
  <c r="Q472" i="1"/>
  <c r="P472" i="1"/>
  <c r="U471" i="1"/>
  <c r="T471" i="1"/>
  <c r="S471" i="1"/>
  <c r="R471" i="1"/>
  <c r="Q471" i="1"/>
  <c r="P471" i="1"/>
  <c r="U470" i="1"/>
  <c r="T470" i="1"/>
  <c r="S470" i="1"/>
  <c r="R470" i="1"/>
  <c r="Q470" i="1"/>
  <c r="P470" i="1"/>
  <c r="U469" i="1"/>
  <c r="T469" i="1"/>
  <c r="S469" i="1"/>
  <c r="R469" i="1"/>
  <c r="Q469" i="1"/>
  <c r="P469" i="1"/>
  <c r="U468" i="1"/>
  <c r="T468" i="1"/>
  <c r="S468" i="1"/>
  <c r="R468" i="1"/>
  <c r="Q468" i="1"/>
  <c r="P468" i="1"/>
  <c r="U467" i="1"/>
  <c r="T467" i="1"/>
  <c r="S467" i="1"/>
  <c r="R467" i="1"/>
  <c r="Q467" i="1"/>
  <c r="P467" i="1"/>
  <c r="U466" i="1"/>
  <c r="T466" i="1"/>
  <c r="S466" i="1"/>
  <c r="R466" i="1"/>
  <c r="Q466" i="1"/>
  <c r="P466" i="1"/>
  <c r="U465" i="1"/>
  <c r="T465" i="1"/>
  <c r="S465" i="1"/>
  <c r="R465" i="1"/>
  <c r="Q465" i="1"/>
  <c r="P465" i="1"/>
  <c r="U464" i="1"/>
  <c r="T464" i="1"/>
  <c r="S464" i="1"/>
  <c r="R464" i="1"/>
  <c r="Q464" i="1"/>
  <c r="P464" i="1"/>
  <c r="U463" i="1"/>
  <c r="T463" i="1"/>
  <c r="S463" i="1"/>
  <c r="R463" i="1"/>
  <c r="Q463" i="1"/>
  <c r="P463" i="1"/>
  <c r="U462" i="1"/>
  <c r="T462" i="1"/>
  <c r="S462" i="1"/>
  <c r="R462" i="1"/>
  <c r="Q462" i="1"/>
  <c r="P462" i="1"/>
  <c r="U461" i="1"/>
  <c r="T461" i="1"/>
  <c r="S461" i="1"/>
  <c r="R461" i="1"/>
  <c r="Q461" i="1"/>
  <c r="P461" i="1"/>
  <c r="U460" i="1"/>
  <c r="T460" i="1"/>
  <c r="S460" i="1"/>
  <c r="R460" i="1"/>
  <c r="Q460" i="1"/>
  <c r="P460" i="1"/>
  <c r="U459" i="1"/>
  <c r="T459" i="1"/>
  <c r="S459" i="1"/>
  <c r="R459" i="1"/>
  <c r="Q459" i="1"/>
  <c r="P459" i="1"/>
  <c r="U458" i="1"/>
  <c r="T458" i="1"/>
  <c r="S458" i="1"/>
  <c r="R458" i="1"/>
  <c r="Q458" i="1"/>
  <c r="P458" i="1"/>
  <c r="U457" i="1"/>
  <c r="T457" i="1"/>
  <c r="S457" i="1"/>
  <c r="R457" i="1"/>
  <c r="Q457" i="1"/>
  <c r="P457" i="1"/>
  <c r="U456" i="1"/>
  <c r="T456" i="1"/>
  <c r="S456" i="1"/>
  <c r="R456" i="1"/>
  <c r="Q456" i="1"/>
  <c r="P456" i="1"/>
  <c r="U455" i="1"/>
  <c r="T455" i="1"/>
  <c r="S455" i="1"/>
  <c r="R455" i="1"/>
  <c r="Q455" i="1"/>
  <c r="P455" i="1"/>
  <c r="U454" i="1"/>
  <c r="T454" i="1"/>
  <c r="S454" i="1"/>
  <c r="R454" i="1"/>
  <c r="Q454" i="1"/>
  <c r="P454" i="1"/>
  <c r="U453" i="1"/>
  <c r="T453" i="1"/>
  <c r="S453" i="1"/>
  <c r="R453" i="1"/>
  <c r="Q453" i="1"/>
  <c r="P453" i="1"/>
  <c r="U452" i="1"/>
  <c r="T452" i="1"/>
  <c r="S452" i="1"/>
  <c r="R452" i="1"/>
  <c r="Q452" i="1"/>
  <c r="P452" i="1"/>
  <c r="U451" i="1"/>
  <c r="T451" i="1"/>
  <c r="S451" i="1"/>
  <c r="R451" i="1"/>
  <c r="Q451" i="1"/>
  <c r="P451" i="1"/>
  <c r="U450" i="1"/>
  <c r="T450" i="1"/>
  <c r="S450" i="1"/>
  <c r="R450" i="1"/>
  <c r="Q450" i="1"/>
  <c r="P450" i="1"/>
  <c r="U449" i="1"/>
  <c r="T449" i="1"/>
  <c r="S449" i="1"/>
  <c r="R449" i="1"/>
  <c r="Q449" i="1"/>
  <c r="P449" i="1"/>
  <c r="U448" i="1"/>
  <c r="T448" i="1"/>
  <c r="S448" i="1"/>
  <c r="R448" i="1"/>
  <c r="Q448" i="1"/>
  <c r="P448" i="1"/>
  <c r="U447" i="1"/>
  <c r="T447" i="1"/>
  <c r="S447" i="1"/>
  <c r="R447" i="1"/>
  <c r="Q447" i="1"/>
  <c r="P447" i="1"/>
  <c r="U446" i="1"/>
  <c r="T446" i="1"/>
  <c r="S446" i="1"/>
  <c r="R446" i="1"/>
  <c r="Q446" i="1"/>
  <c r="P446" i="1"/>
  <c r="U445" i="1"/>
  <c r="T445" i="1"/>
  <c r="S445" i="1"/>
  <c r="R445" i="1"/>
  <c r="Q445" i="1"/>
  <c r="P445" i="1"/>
  <c r="U444" i="1"/>
  <c r="T444" i="1"/>
  <c r="S444" i="1"/>
  <c r="R444" i="1"/>
  <c r="Q444" i="1"/>
  <c r="P444" i="1"/>
  <c r="U443" i="1"/>
  <c r="T443" i="1"/>
  <c r="S443" i="1"/>
  <c r="R443" i="1"/>
  <c r="Q443" i="1"/>
  <c r="P443" i="1"/>
  <c r="U442" i="1"/>
  <c r="T442" i="1"/>
  <c r="S442" i="1"/>
  <c r="R442" i="1"/>
  <c r="Q442" i="1"/>
  <c r="P442" i="1"/>
  <c r="U441" i="1"/>
  <c r="T441" i="1"/>
  <c r="S441" i="1"/>
  <c r="R441" i="1"/>
  <c r="Q441" i="1"/>
  <c r="P441" i="1"/>
  <c r="U440" i="1"/>
  <c r="T440" i="1"/>
  <c r="S440" i="1"/>
  <c r="R440" i="1"/>
  <c r="Q440" i="1"/>
  <c r="P440" i="1"/>
  <c r="U439" i="1"/>
  <c r="T439" i="1"/>
  <c r="S439" i="1"/>
  <c r="R439" i="1"/>
  <c r="Q439" i="1"/>
  <c r="P439" i="1"/>
  <c r="U438" i="1"/>
  <c r="T438" i="1"/>
  <c r="S438" i="1"/>
  <c r="R438" i="1"/>
  <c r="Q438" i="1"/>
  <c r="P438" i="1"/>
  <c r="U437" i="1"/>
  <c r="T437" i="1"/>
  <c r="S437" i="1"/>
  <c r="R437" i="1"/>
  <c r="Q437" i="1"/>
  <c r="P437" i="1"/>
  <c r="U436" i="1"/>
  <c r="T436" i="1"/>
  <c r="S436" i="1"/>
  <c r="R436" i="1"/>
  <c r="Q436" i="1"/>
  <c r="P436" i="1"/>
  <c r="U435" i="1"/>
  <c r="T435" i="1"/>
  <c r="S435" i="1"/>
  <c r="R435" i="1"/>
  <c r="Q435" i="1"/>
  <c r="P435" i="1"/>
  <c r="U434" i="1"/>
  <c r="T434" i="1"/>
  <c r="S434" i="1"/>
  <c r="R434" i="1"/>
  <c r="Q434" i="1"/>
  <c r="P434" i="1"/>
  <c r="U433" i="1"/>
  <c r="T433" i="1"/>
  <c r="S433" i="1"/>
  <c r="R433" i="1"/>
  <c r="Q433" i="1"/>
  <c r="P433" i="1"/>
  <c r="U432" i="1"/>
  <c r="T432" i="1"/>
  <c r="S432" i="1"/>
  <c r="R432" i="1"/>
  <c r="Q432" i="1"/>
  <c r="P432" i="1"/>
  <c r="U431" i="1"/>
  <c r="T431" i="1"/>
  <c r="S431" i="1"/>
  <c r="R431" i="1"/>
  <c r="Q431" i="1"/>
  <c r="P431" i="1"/>
  <c r="U430" i="1"/>
  <c r="T430" i="1"/>
  <c r="S430" i="1"/>
  <c r="R430" i="1"/>
  <c r="Q430" i="1"/>
  <c r="P430" i="1"/>
  <c r="U429" i="1"/>
  <c r="T429" i="1"/>
  <c r="S429" i="1"/>
  <c r="R429" i="1"/>
  <c r="Q429" i="1"/>
  <c r="P429" i="1"/>
  <c r="U428" i="1"/>
  <c r="T428" i="1"/>
  <c r="S428" i="1"/>
  <c r="R428" i="1"/>
  <c r="Q428" i="1"/>
  <c r="P428" i="1"/>
  <c r="U427" i="1"/>
  <c r="T427" i="1"/>
  <c r="S427" i="1"/>
  <c r="R427" i="1"/>
  <c r="Q427" i="1"/>
  <c r="P427" i="1"/>
  <c r="U426" i="1"/>
  <c r="T426" i="1"/>
  <c r="S426" i="1"/>
  <c r="R426" i="1"/>
  <c r="Q426" i="1"/>
  <c r="P426" i="1"/>
  <c r="U425" i="1"/>
  <c r="T425" i="1"/>
  <c r="S425" i="1"/>
  <c r="R425" i="1"/>
  <c r="Q425" i="1"/>
  <c r="P425" i="1"/>
  <c r="U424" i="1"/>
  <c r="T424" i="1"/>
  <c r="S424" i="1"/>
  <c r="R424" i="1"/>
  <c r="Q424" i="1"/>
  <c r="P424" i="1"/>
  <c r="U423" i="1"/>
  <c r="T423" i="1"/>
  <c r="S423" i="1"/>
  <c r="R423" i="1"/>
  <c r="Q423" i="1"/>
  <c r="P423" i="1"/>
  <c r="U422" i="1"/>
  <c r="T422" i="1"/>
  <c r="S422" i="1"/>
  <c r="R422" i="1"/>
  <c r="Q422" i="1"/>
  <c r="P422" i="1"/>
  <c r="U421" i="1"/>
  <c r="T421" i="1"/>
  <c r="S421" i="1"/>
  <c r="R421" i="1"/>
  <c r="Q421" i="1"/>
  <c r="P421" i="1"/>
  <c r="U420" i="1"/>
  <c r="T420" i="1"/>
  <c r="S420" i="1"/>
  <c r="R420" i="1"/>
  <c r="Q420" i="1"/>
  <c r="P420" i="1"/>
  <c r="U419" i="1"/>
  <c r="T419" i="1"/>
  <c r="S419" i="1"/>
  <c r="R419" i="1"/>
  <c r="Q419" i="1"/>
  <c r="P419" i="1"/>
  <c r="U418" i="1"/>
  <c r="T418" i="1"/>
  <c r="S418" i="1"/>
  <c r="R418" i="1"/>
  <c r="Q418" i="1"/>
  <c r="P418" i="1"/>
  <c r="U417" i="1"/>
  <c r="T417" i="1"/>
  <c r="S417" i="1"/>
  <c r="R417" i="1"/>
  <c r="Q417" i="1"/>
  <c r="P417" i="1"/>
  <c r="U416" i="1"/>
  <c r="T416" i="1"/>
  <c r="S416" i="1"/>
  <c r="R416" i="1"/>
  <c r="Q416" i="1"/>
  <c r="P416" i="1"/>
  <c r="U415" i="1"/>
  <c r="T415" i="1"/>
  <c r="S415" i="1"/>
  <c r="R415" i="1"/>
  <c r="Q415" i="1"/>
  <c r="P415" i="1"/>
  <c r="U414" i="1"/>
  <c r="T414" i="1"/>
  <c r="S414" i="1"/>
  <c r="R414" i="1"/>
  <c r="Q414" i="1"/>
  <c r="P414" i="1"/>
  <c r="U413" i="1"/>
  <c r="T413" i="1"/>
  <c r="S413" i="1"/>
  <c r="R413" i="1"/>
  <c r="Q413" i="1"/>
  <c r="P413" i="1"/>
  <c r="U412" i="1"/>
  <c r="T412" i="1"/>
  <c r="S412" i="1"/>
  <c r="R412" i="1"/>
  <c r="Q412" i="1"/>
  <c r="P412" i="1"/>
  <c r="U411" i="1"/>
  <c r="T411" i="1"/>
  <c r="S411" i="1"/>
  <c r="R411" i="1"/>
  <c r="Q411" i="1"/>
  <c r="P411" i="1"/>
  <c r="U410" i="1"/>
  <c r="T410" i="1"/>
  <c r="S410" i="1"/>
  <c r="R410" i="1"/>
  <c r="Q410" i="1"/>
  <c r="P410" i="1"/>
  <c r="U409" i="1"/>
  <c r="T409" i="1"/>
  <c r="S409" i="1"/>
  <c r="R409" i="1"/>
  <c r="Q409" i="1"/>
  <c r="P409" i="1"/>
  <c r="U408" i="1"/>
  <c r="T408" i="1"/>
  <c r="S408" i="1"/>
  <c r="R408" i="1"/>
  <c r="Q408" i="1"/>
  <c r="P408" i="1"/>
  <c r="U407" i="1"/>
  <c r="T407" i="1"/>
  <c r="S407" i="1"/>
  <c r="R407" i="1"/>
  <c r="Q407" i="1"/>
  <c r="P407" i="1"/>
  <c r="U406" i="1"/>
  <c r="T406" i="1"/>
  <c r="S406" i="1"/>
  <c r="R406" i="1"/>
  <c r="Q406" i="1"/>
  <c r="P406" i="1"/>
  <c r="U405" i="1"/>
  <c r="T405" i="1"/>
  <c r="S405" i="1"/>
  <c r="R405" i="1"/>
  <c r="Q405" i="1"/>
  <c r="P405" i="1"/>
  <c r="U404" i="1"/>
  <c r="T404" i="1"/>
  <c r="S404" i="1"/>
  <c r="R404" i="1"/>
  <c r="Q404" i="1"/>
  <c r="P404" i="1"/>
  <c r="U403" i="1"/>
  <c r="T403" i="1"/>
  <c r="S403" i="1"/>
  <c r="R403" i="1"/>
  <c r="Q403" i="1"/>
  <c r="P403" i="1"/>
  <c r="U402" i="1"/>
  <c r="T402" i="1"/>
  <c r="S402" i="1"/>
  <c r="R402" i="1"/>
  <c r="Q402" i="1"/>
  <c r="P402" i="1"/>
  <c r="U401" i="1"/>
  <c r="T401" i="1"/>
  <c r="S401" i="1"/>
  <c r="R401" i="1"/>
  <c r="Q401" i="1"/>
  <c r="P401" i="1"/>
  <c r="U400" i="1"/>
  <c r="T400" i="1"/>
  <c r="S400" i="1"/>
  <c r="R400" i="1"/>
  <c r="Q400" i="1"/>
  <c r="P400" i="1"/>
  <c r="U399" i="1"/>
  <c r="T399" i="1"/>
  <c r="S399" i="1"/>
  <c r="R399" i="1"/>
  <c r="Q399" i="1"/>
  <c r="P399" i="1"/>
  <c r="U398" i="1"/>
  <c r="T398" i="1"/>
  <c r="S398" i="1"/>
  <c r="R398" i="1"/>
  <c r="Q398" i="1"/>
  <c r="P398" i="1"/>
  <c r="U397" i="1"/>
  <c r="T397" i="1"/>
  <c r="S397" i="1"/>
  <c r="R397" i="1"/>
  <c r="Q397" i="1"/>
  <c r="P397" i="1"/>
  <c r="U396" i="1"/>
  <c r="T396" i="1"/>
  <c r="S396" i="1"/>
  <c r="R396" i="1"/>
  <c r="Q396" i="1"/>
  <c r="P396" i="1"/>
  <c r="U395" i="1"/>
  <c r="T395" i="1"/>
  <c r="S395" i="1"/>
  <c r="R395" i="1"/>
  <c r="Q395" i="1"/>
  <c r="P395" i="1"/>
  <c r="U394" i="1"/>
  <c r="T394" i="1"/>
  <c r="S394" i="1"/>
  <c r="R394" i="1"/>
  <c r="Q394" i="1"/>
  <c r="P394" i="1"/>
  <c r="U393" i="1"/>
  <c r="T393" i="1"/>
  <c r="S393" i="1"/>
  <c r="R393" i="1"/>
  <c r="Q393" i="1"/>
  <c r="P393" i="1"/>
  <c r="U392" i="1"/>
  <c r="T392" i="1"/>
  <c r="S392" i="1"/>
  <c r="R392" i="1"/>
  <c r="Q392" i="1"/>
  <c r="P392" i="1"/>
  <c r="U391" i="1"/>
  <c r="T391" i="1"/>
  <c r="S391" i="1"/>
  <c r="R391" i="1"/>
  <c r="Q391" i="1"/>
  <c r="P391" i="1"/>
  <c r="U390" i="1"/>
  <c r="T390" i="1"/>
  <c r="S390" i="1"/>
  <c r="R390" i="1"/>
  <c r="Q390" i="1"/>
  <c r="P390" i="1"/>
  <c r="U389" i="1"/>
  <c r="T389" i="1"/>
  <c r="S389" i="1"/>
  <c r="R389" i="1"/>
  <c r="Q389" i="1"/>
  <c r="P389" i="1"/>
  <c r="U388" i="1"/>
  <c r="T388" i="1"/>
  <c r="S388" i="1"/>
  <c r="R388" i="1"/>
  <c r="Q388" i="1"/>
  <c r="P388" i="1"/>
  <c r="U387" i="1"/>
  <c r="T387" i="1"/>
  <c r="S387" i="1"/>
  <c r="R387" i="1"/>
  <c r="Q387" i="1"/>
  <c r="P387" i="1"/>
  <c r="U386" i="1"/>
  <c r="T386" i="1"/>
  <c r="S386" i="1"/>
  <c r="R386" i="1"/>
  <c r="Q386" i="1"/>
  <c r="P386" i="1"/>
  <c r="U385" i="1"/>
  <c r="T385" i="1"/>
  <c r="S385" i="1"/>
  <c r="R385" i="1"/>
  <c r="Q385" i="1"/>
  <c r="P385" i="1"/>
  <c r="U384" i="1"/>
  <c r="T384" i="1"/>
  <c r="S384" i="1"/>
  <c r="R384" i="1"/>
  <c r="Q384" i="1"/>
  <c r="P384" i="1"/>
  <c r="U383" i="1"/>
  <c r="T383" i="1"/>
  <c r="S383" i="1"/>
  <c r="R383" i="1"/>
  <c r="Q383" i="1"/>
  <c r="P383" i="1"/>
  <c r="U382" i="1"/>
  <c r="T382" i="1"/>
  <c r="S382" i="1"/>
  <c r="R382" i="1"/>
  <c r="Q382" i="1"/>
  <c r="P382" i="1"/>
  <c r="U381" i="1"/>
  <c r="T381" i="1"/>
  <c r="S381" i="1"/>
  <c r="R381" i="1"/>
  <c r="Q381" i="1"/>
  <c r="P381" i="1"/>
  <c r="U380" i="1"/>
  <c r="T380" i="1"/>
  <c r="S380" i="1"/>
  <c r="R380" i="1"/>
  <c r="Q380" i="1"/>
  <c r="P380" i="1"/>
  <c r="U379" i="1"/>
  <c r="T379" i="1"/>
  <c r="S379" i="1"/>
  <c r="R379" i="1"/>
  <c r="Q379" i="1"/>
  <c r="P379" i="1"/>
  <c r="U378" i="1"/>
  <c r="T378" i="1"/>
  <c r="S378" i="1"/>
  <c r="R378" i="1"/>
  <c r="Q378" i="1"/>
  <c r="P378" i="1"/>
  <c r="U377" i="1"/>
  <c r="T377" i="1"/>
  <c r="S377" i="1"/>
  <c r="R377" i="1"/>
  <c r="Q377" i="1"/>
  <c r="P377" i="1"/>
  <c r="U376" i="1"/>
  <c r="T376" i="1"/>
  <c r="S376" i="1"/>
  <c r="R376" i="1"/>
  <c r="Q376" i="1"/>
  <c r="P376" i="1"/>
  <c r="U375" i="1"/>
  <c r="T375" i="1"/>
  <c r="S375" i="1"/>
  <c r="R375" i="1"/>
  <c r="Q375" i="1"/>
  <c r="P375" i="1"/>
  <c r="U374" i="1"/>
  <c r="T374" i="1"/>
  <c r="S374" i="1"/>
  <c r="R374" i="1"/>
  <c r="Q374" i="1"/>
  <c r="P374" i="1"/>
  <c r="U373" i="1"/>
  <c r="T373" i="1"/>
  <c r="S373" i="1"/>
  <c r="R373" i="1"/>
  <c r="Q373" i="1"/>
  <c r="P373" i="1"/>
  <c r="U372" i="1"/>
  <c r="T372" i="1"/>
  <c r="S372" i="1"/>
  <c r="R372" i="1"/>
  <c r="Q372" i="1"/>
  <c r="P372" i="1"/>
  <c r="U371" i="1"/>
  <c r="T371" i="1"/>
  <c r="S371" i="1"/>
  <c r="R371" i="1"/>
  <c r="Q371" i="1"/>
  <c r="P371" i="1"/>
  <c r="U370" i="1"/>
  <c r="T370" i="1"/>
  <c r="S370" i="1"/>
  <c r="R370" i="1"/>
  <c r="Q370" i="1"/>
  <c r="P370" i="1"/>
  <c r="U369" i="1"/>
  <c r="T369" i="1"/>
  <c r="S369" i="1"/>
  <c r="R369" i="1"/>
  <c r="Q369" i="1"/>
  <c r="P369" i="1"/>
  <c r="U368" i="1"/>
  <c r="T368" i="1"/>
  <c r="S368" i="1"/>
  <c r="R368" i="1"/>
  <c r="Q368" i="1"/>
  <c r="P368" i="1"/>
  <c r="U367" i="1"/>
  <c r="T367" i="1"/>
  <c r="S367" i="1"/>
  <c r="R367" i="1"/>
  <c r="Q367" i="1"/>
  <c r="P367" i="1"/>
  <c r="U366" i="1"/>
  <c r="T366" i="1"/>
  <c r="S366" i="1"/>
  <c r="R366" i="1"/>
  <c r="Q366" i="1"/>
  <c r="P366" i="1"/>
  <c r="U365" i="1"/>
  <c r="T365" i="1"/>
  <c r="S365" i="1"/>
  <c r="R365" i="1"/>
  <c r="Q365" i="1"/>
  <c r="P365" i="1"/>
  <c r="U364" i="1"/>
  <c r="T364" i="1"/>
  <c r="S364" i="1"/>
  <c r="R364" i="1"/>
  <c r="Q364" i="1"/>
  <c r="P364" i="1"/>
  <c r="U363" i="1"/>
  <c r="T363" i="1"/>
  <c r="S363" i="1"/>
  <c r="R363" i="1"/>
  <c r="Q363" i="1"/>
  <c r="P363" i="1"/>
  <c r="U362" i="1"/>
  <c r="T362" i="1"/>
  <c r="S362" i="1"/>
  <c r="R362" i="1"/>
  <c r="Q362" i="1"/>
  <c r="P362" i="1"/>
  <c r="U361" i="1"/>
  <c r="T361" i="1"/>
  <c r="S361" i="1"/>
  <c r="R361" i="1"/>
  <c r="Q361" i="1"/>
  <c r="P361" i="1"/>
  <c r="U360" i="1"/>
  <c r="T360" i="1"/>
  <c r="S360" i="1"/>
  <c r="R360" i="1"/>
  <c r="Q360" i="1"/>
  <c r="P360" i="1"/>
  <c r="U359" i="1"/>
  <c r="T359" i="1"/>
  <c r="S359" i="1"/>
  <c r="R359" i="1"/>
  <c r="Q359" i="1"/>
  <c r="P359" i="1"/>
  <c r="U358" i="1"/>
  <c r="T358" i="1"/>
  <c r="S358" i="1"/>
  <c r="R358" i="1"/>
  <c r="Q358" i="1"/>
  <c r="P358" i="1"/>
  <c r="U357" i="1"/>
  <c r="T357" i="1"/>
  <c r="S357" i="1"/>
  <c r="R357" i="1"/>
  <c r="Q357" i="1"/>
  <c r="P357" i="1"/>
  <c r="U356" i="1"/>
  <c r="T356" i="1"/>
  <c r="S356" i="1"/>
  <c r="R356" i="1"/>
  <c r="Q356" i="1"/>
  <c r="P356" i="1"/>
  <c r="U355" i="1"/>
  <c r="T355" i="1"/>
  <c r="S355" i="1"/>
  <c r="R355" i="1"/>
  <c r="Q355" i="1"/>
  <c r="P355" i="1"/>
  <c r="U354" i="1"/>
  <c r="T354" i="1"/>
  <c r="S354" i="1"/>
  <c r="R354" i="1"/>
  <c r="Q354" i="1"/>
  <c r="P354" i="1"/>
  <c r="U353" i="1"/>
  <c r="T353" i="1"/>
  <c r="S353" i="1"/>
  <c r="R353" i="1"/>
  <c r="Q353" i="1"/>
  <c r="P353" i="1"/>
  <c r="U352" i="1"/>
  <c r="T352" i="1"/>
  <c r="S352" i="1"/>
  <c r="R352" i="1"/>
  <c r="Q352" i="1"/>
  <c r="P352" i="1"/>
  <c r="U351" i="1"/>
  <c r="T351" i="1"/>
  <c r="S351" i="1"/>
  <c r="R351" i="1"/>
  <c r="Q351" i="1"/>
  <c r="P351" i="1"/>
  <c r="U350" i="1"/>
  <c r="T350" i="1"/>
  <c r="S350" i="1"/>
  <c r="R350" i="1"/>
  <c r="Q350" i="1"/>
  <c r="P350" i="1"/>
  <c r="U349" i="1"/>
  <c r="T349" i="1"/>
  <c r="S349" i="1"/>
  <c r="R349" i="1"/>
  <c r="Q349" i="1"/>
  <c r="P349" i="1"/>
  <c r="U348" i="1"/>
  <c r="T348" i="1"/>
  <c r="S348" i="1"/>
  <c r="R348" i="1"/>
  <c r="Q348" i="1"/>
  <c r="P348" i="1"/>
  <c r="U347" i="1"/>
  <c r="T347" i="1"/>
  <c r="S347" i="1"/>
  <c r="R347" i="1"/>
  <c r="Q347" i="1"/>
  <c r="P347" i="1"/>
  <c r="U346" i="1"/>
  <c r="T346" i="1"/>
  <c r="S346" i="1"/>
  <c r="R346" i="1"/>
  <c r="Q346" i="1"/>
  <c r="P346" i="1"/>
  <c r="U345" i="1"/>
  <c r="T345" i="1"/>
  <c r="S345" i="1"/>
  <c r="R345" i="1"/>
  <c r="Q345" i="1"/>
  <c r="P345" i="1"/>
  <c r="U344" i="1"/>
  <c r="T344" i="1"/>
  <c r="S344" i="1"/>
  <c r="R344" i="1"/>
  <c r="Q344" i="1"/>
  <c r="P344" i="1"/>
  <c r="U343" i="1"/>
  <c r="T343" i="1"/>
  <c r="S343" i="1"/>
  <c r="R343" i="1"/>
  <c r="Q343" i="1"/>
  <c r="P343" i="1"/>
  <c r="U342" i="1"/>
  <c r="T342" i="1"/>
  <c r="S342" i="1"/>
  <c r="R342" i="1"/>
  <c r="Q342" i="1"/>
  <c r="P342" i="1"/>
  <c r="U341" i="1"/>
  <c r="T341" i="1"/>
  <c r="S341" i="1"/>
  <c r="R341" i="1"/>
  <c r="Q341" i="1"/>
  <c r="P341" i="1"/>
  <c r="U340" i="1"/>
  <c r="T340" i="1"/>
  <c r="S340" i="1"/>
  <c r="R340" i="1"/>
  <c r="Q340" i="1"/>
  <c r="P340" i="1"/>
  <c r="U339" i="1"/>
  <c r="T339" i="1"/>
  <c r="S339" i="1"/>
  <c r="R339" i="1"/>
  <c r="Q339" i="1"/>
  <c r="P339" i="1"/>
  <c r="U338" i="1"/>
  <c r="T338" i="1"/>
  <c r="S338" i="1"/>
  <c r="R338" i="1"/>
  <c r="Q338" i="1"/>
  <c r="P338" i="1"/>
  <c r="U337" i="1"/>
  <c r="T337" i="1"/>
  <c r="S337" i="1"/>
  <c r="R337" i="1"/>
  <c r="Q337" i="1"/>
  <c r="P337" i="1"/>
  <c r="U336" i="1"/>
  <c r="T336" i="1"/>
  <c r="S336" i="1"/>
  <c r="R336" i="1"/>
  <c r="Q336" i="1"/>
  <c r="P336" i="1"/>
  <c r="U335" i="1"/>
  <c r="T335" i="1"/>
  <c r="S335" i="1"/>
  <c r="R335" i="1"/>
  <c r="Q335" i="1"/>
  <c r="P335" i="1"/>
  <c r="U334" i="1"/>
  <c r="T334" i="1"/>
  <c r="S334" i="1"/>
  <c r="R334" i="1"/>
  <c r="Q334" i="1"/>
  <c r="P334" i="1"/>
  <c r="U333" i="1"/>
  <c r="T333" i="1"/>
  <c r="S333" i="1"/>
  <c r="R333" i="1"/>
  <c r="Q333" i="1"/>
  <c r="P333" i="1"/>
  <c r="U332" i="1"/>
  <c r="T332" i="1"/>
  <c r="S332" i="1"/>
  <c r="R332" i="1"/>
  <c r="Q332" i="1"/>
  <c r="P332" i="1"/>
  <c r="U331" i="1"/>
  <c r="T331" i="1"/>
  <c r="S331" i="1"/>
  <c r="R331" i="1"/>
  <c r="Q331" i="1"/>
  <c r="P331" i="1"/>
  <c r="U330" i="1"/>
  <c r="T330" i="1"/>
  <c r="S330" i="1"/>
  <c r="R330" i="1"/>
  <c r="Q330" i="1"/>
  <c r="P330" i="1"/>
  <c r="U329" i="1"/>
  <c r="T329" i="1"/>
  <c r="S329" i="1"/>
  <c r="R329" i="1"/>
  <c r="Q329" i="1"/>
  <c r="P329" i="1"/>
  <c r="U328" i="1"/>
  <c r="T328" i="1"/>
  <c r="S328" i="1"/>
  <c r="R328" i="1"/>
  <c r="Q328" i="1"/>
  <c r="P328" i="1"/>
  <c r="U327" i="1"/>
  <c r="T327" i="1"/>
  <c r="S327" i="1"/>
  <c r="R327" i="1"/>
  <c r="Q327" i="1"/>
  <c r="P327" i="1"/>
  <c r="U326" i="1"/>
  <c r="T326" i="1"/>
  <c r="S326" i="1"/>
  <c r="R326" i="1"/>
  <c r="Q326" i="1"/>
  <c r="P326" i="1"/>
  <c r="U325" i="1"/>
  <c r="T325" i="1"/>
  <c r="S325" i="1"/>
  <c r="R325" i="1"/>
  <c r="Q325" i="1"/>
  <c r="P325" i="1"/>
  <c r="U324" i="1"/>
  <c r="T324" i="1"/>
  <c r="S324" i="1"/>
  <c r="R324" i="1"/>
  <c r="Q324" i="1"/>
  <c r="P324" i="1"/>
  <c r="U323" i="1"/>
  <c r="T323" i="1"/>
  <c r="S323" i="1"/>
  <c r="R323" i="1"/>
  <c r="Q323" i="1"/>
  <c r="P323" i="1"/>
  <c r="U322" i="1"/>
  <c r="T322" i="1"/>
  <c r="S322" i="1"/>
  <c r="R322" i="1"/>
  <c r="Q322" i="1"/>
  <c r="P322" i="1"/>
  <c r="U321" i="1"/>
  <c r="T321" i="1"/>
  <c r="S321" i="1"/>
  <c r="R321" i="1"/>
  <c r="Q321" i="1"/>
  <c r="P321" i="1"/>
  <c r="U320" i="1"/>
  <c r="T320" i="1"/>
  <c r="S320" i="1"/>
  <c r="R320" i="1"/>
  <c r="Q320" i="1"/>
  <c r="P320" i="1"/>
  <c r="U319" i="1"/>
  <c r="T319" i="1"/>
  <c r="S319" i="1"/>
  <c r="R319" i="1"/>
  <c r="Q319" i="1"/>
  <c r="P319" i="1"/>
  <c r="U318" i="1"/>
  <c r="T318" i="1"/>
  <c r="S318" i="1"/>
  <c r="R318" i="1"/>
  <c r="Q318" i="1"/>
  <c r="P318" i="1"/>
  <c r="U317" i="1"/>
  <c r="T317" i="1"/>
  <c r="S317" i="1"/>
  <c r="R317" i="1"/>
  <c r="Q317" i="1"/>
  <c r="P317" i="1"/>
  <c r="U316" i="1"/>
  <c r="T316" i="1"/>
  <c r="S316" i="1"/>
  <c r="R316" i="1"/>
  <c r="Q316" i="1"/>
  <c r="P316" i="1"/>
  <c r="U315" i="1"/>
  <c r="T315" i="1"/>
  <c r="S315" i="1"/>
  <c r="R315" i="1"/>
  <c r="Q315" i="1"/>
  <c r="P315" i="1"/>
  <c r="U314" i="1"/>
  <c r="T314" i="1"/>
  <c r="S314" i="1"/>
  <c r="R314" i="1"/>
  <c r="Q314" i="1"/>
  <c r="P314" i="1"/>
  <c r="U313" i="1"/>
  <c r="T313" i="1"/>
  <c r="S313" i="1"/>
  <c r="R313" i="1"/>
  <c r="Q313" i="1"/>
  <c r="P313" i="1"/>
  <c r="U312" i="1"/>
  <c r="T312" i="1"/>
  <c r="S312" i="1"/>
  <c r="R312" i="1"/>
  <c r="Q312" i="1"/>
  <c r="P312" i="1"/>
  <c r="U311" i="1"/>
  <c r="T311" i="1"/>
  <c r="S311" i="1"/>
  <c r="R311" i="1"/>
  <c r="Q311" i="1"/>
  <c r="P311" i="1"/>
  <c r="U310" i="1"/>
  <c r="T310" i="1"/>
  <c r="S310" i="1"/>
  <c r="R310" i="1"/>
  <c r="Q310" i="1"/>
  <c r="P310" i="1"/>
  <c r="U309" i="1"/>
  <c r="T309" i="1"/>
  <c r="S309" i="1"/>
  <c r="R309" i="1"/>
  <c r="Q309" i="1"/>
  <c r="P309" i="1"/>
  <c r="U308" i="1"/>
  <c r="T308" i="1"/>
  <c r="S308" i="1"/>
  <c r="R308" i="1"/>
  <c r="Q308" i="1"/>
  <c r="P308" i="1"/>
  <c r="U307" i="1"/>
  <c r="T307" i="1"/>
  <c r="S307" i="1"/>
  <c r="R307" i="1"/>
  <c r="Q307" i="1"/>
  <c r="P307" i="1"/>
  <c r="U306" i="1"/>
  <c r="T306" i="1"/>
  <c r="S306" i="1"/>
  <c r="R306" i="1"/>
  <c r="Q306" i="1"/>
  <c r="P306" i="1"/>
  <c r="U305" i="1"/>
  <c r="T305" i="1"/>
  <c r="S305" i="1"/>
  <c r="R305" i="1"/>
  <c r="Q305" i="1"/>
  <c r="P305" i="1"/>
  <c r="U304" i="1"/>
  <c r="T304" i="1"/>
  <c r="S304" i="1"/>
  <c r="R304" i="1"/>
  <c r="Q304" i="1"/>
  <c r="P304" i="1"/>
  <c r="U303" i="1"/>
  <c r="T303" i="1"/>
  <c r="S303" i="1"/>
  <c r="R303" i="1"/>
  <c r="Q303" i="1"/>
  <c r="P303" i="1"/>
  <c r="U302" i="1"/>
  <c r="T302" i="1"/>
  <c r="S302" i="1"/>
  <c r="R302" i="1"/>
  <c r="Q302" i="1"/>
  <c r="P302" i="1"/>
  <c r="U301" i="1"/>
  <c r="T301" i="1"/>
  <c r="S301" i="1"/>
  <c r="R301" i="1"/>
  <c r="Q301" i="1"/>
  <c r="P301" i="1"/>
  <c r="U300" i="1"/>
  <c r="T300" i="1"/>
  <c r="S300" i="1"/>
  <c r="R300" i="1"/>
  <c r="Q300" i="1"/>
  <c r="P300" i="1"/>
  <c r="U299" i="1"/>
  <c r="T299" i="1"/>
  <c r="S299" i="1"/>
  <c r="R299" i="1"/>
  <c r="Q299" i="1"/>
  <c r="P299" i="1"/>
  <c r="U298" i="1"/>
  <c r="T298" i="1"/>
  <c r="S298" i="1"/>
  <c r="R298" i="1"/>
  <c r="Q298" i="1"/>
  <c r="P298" i="1"/>
  <c r="U297" i="1"/>
  <c r="T297" i="1"/>
  <c r="S297" i="1"/>
  <c r="R297" i="1"/>
  <c r="Q297" i="1"/>
  <c r="P297" i="1"/>
  <c r="U296" i="1"/>
  <c r="T296" i="1"/>
  <c r="S296" i="1"/>
  <c r="R296" i="1"/>
  <c r="Q296" i="1"/>
  <c r="P296" i="1"/>
  <c r="U295" i="1"/>
  <c r="T295" i="1"/>
  <c r="S295" i="1"/>
  <c r="R295" i="1"/>
  <c r="Q295" i="1"/>
  <c r="P295" i="1"/>
  <c r="U294" i="1"/>
  <c r="T294" i="1"/>
  <c r="S294" i="1"/>
  <c r="R294" i="1"/>
  <c r="Q294" i="1"/>
  <c r="P294" i="1"/>
  <c r="U293" i="1"/>
  <c r="T293" i="1"/>
  <c r="S293" i="1"/>
  <c r="R293" i="1"/>
  <c r="Q293" i="1"/>
  <c r="P293" i="1"/>
  <c r="U292" i="1"/>
  <c r="T292" i="1"/>
  <c r="S292" i="1"/>
  <c r="R292" i="1"/>
  <c r="Q292" i="1"/>
  <c r="P292" i="1"/>
  <c r="U291" i="1"/>
  <c r="T291" i="1"/>
  <c r="S291" i="1"/>
  <c r="R291" i="1"/>
  <c r="Q291" i="1"/>
  <c r="P291" i="1"/>
  <c r="U290" i="1"/>
  <c r="T290" i="1"/>
  <c r="S290" i="1"/>
  <c r="R290" i="1"/>
  <c r="Q290" i="1"/>
  <c r="P290" i="1"/>
  <c r="U289" i="1"/>
  <c r="T289" i="1"/>
  <c r="S289" i="1"/>
  <c r="R289" i="1"/>
  <c r="Q289" i="1"/>
  <c r="P289" i="1"/>
  <c r="U288" i="1"/>
  <c r="T288" i="1"/>
  <c r="S288" i="1"/>
  <c r="R288" i="1"/>
  <c r="Q288" i="1"/>
  <c r="P288" i="1"/>
  <c r="U287" i="1"/>
  <c r="T287" i="1"/>
  <c r="S287" i="1"/>
  <c r="R287" i="1"/>
  <c r="Q287" i="1"/>
  <c r="P287" i="1"/>
  <c r="U286" i="1"/>
  <c r="T286" i="1"/>
  <c r="S286" i="1"/>
  <c r="R286" i="1"/>
  <c r="Q286" i="1"/>
  <c r="P286" i="1"/>
  <c r="U285" i="1"/>
  <c r="T285" i="1"/>
  <c r="S285" i="1"/>
  <c r="R285" i="1"/>
  <c r="Q285" i="1"/>
  <c r="P285" i="1"/>
  <c r="U284" i="1"/>
  <c r="T284" i="1"/>
  <c r="S284" i="1"/>
  <c r="R284" i="1"/>
  <c r="Q284" i="1"/>
  <c r="P284" i="1"/>
  <c r="U283" i="1"/>
  <c r="T283" i="1"/>
  <c r="S283" i="1"/>
  <c r="R283" i="1"/>
  <c r="Q283" i="1"/>
  <c r="P283" i="1"/>
  <c r="U282" i="1"/>
  <c r="T282" i="1"/>
  <c r="S282" i="1"/>
  <c r="R282" i="1"/>
  <c r="Q282" i="1"/>
  <c r="P282" i="1"/>
  <c r="U281" i="1"/>
  <c r="T281" i="1"/>
  <c r="S281" i="1"/>
  <c r="R281" i="1"/>
  <c r="Q281" i="1"/>
  <c r="P281" i="1"/>
  <c r="U280" i="1"/>
  <c r="T280" i="1"/>
  <c r="S280" i="1"/>
  <c r="R280" i="1"/>
  <c r="Q280" i="1"/>
  <c r="P280" i="1"/>
  <c r="U279" i="1"/>
  <c r="T279" i="1"/>
  <c r="S279" i="1"/>
  <c r="R279" i="1"/>
  <c r="Q279" i="1"/>
  <c r="P279" i="1"/>
  <c r="U278" i="1"/>
  <c r="T278" i="1"/>
  <c r="S278" i="1"/>
  <c r="R278" i="1"/>
  <c r="Q278" i="1"/>
  <c r="P278" i="1"/>
  <c r="U277" i="1"/>
  <c r="T277" i="1"/>
  <c r="S277" i="1"/>
  <c r="R277" i="1"/>
  <c r="Q277" i="1"/>
  <c r="P277" i="1"/>
  <c r="U276" i="1"/>
  <c r="T276" i="1"/>
  <c r="S276" i="1"/>
  <c r="R276" i="1"/>
  <c r="Q276" i="1"/>
  <c r="P276" i="1"/>
  <c r="U275" i="1"/>
  <c r="T275" i="1"/>
  <c r="S275" i="1"/>
  <c r="R275" i="1"/>
  <c r="Q275" i="1"/>
  <c r="P275" i="1"/>
  <c r="U274" i="1"/>
  <c r="T274" i="1"/>
  <c r="S274" i="1"/>
  <c r="R274" i="1"/>
  <c r="Q274" i="1"/>
  <c r="P274" i="1"/>
  <c r="U273" i="1"/>
  <c r="T273" i="1"/>
  <c r="S273" i="1"/>
  <c r="R273" i="1"/>
  <c r="Q273" i="1"/>
  <c r="P273" i="1"/>
  <c r="U272" i="1"/>
  <c r="T272" i="1"/>
  <c r="S272" i="1"/>
  <c r="R272" i="1"/>
  <c r="Q272" i="1"/>
  <c r="P272" i="1"/>
  <c r="U271" i="1"/>
  <c r="T271" i="1"/>
  <c r="S271" i="1"/>
  <c r="R271" i="1"/>
  <c r="Q271" i="1"/>
  <c r="P271" i="1"/>
  <c r="U270" i="1"/>
  <c r="T270" i="1"/>
  <c r="S270" i="1"/>
  <c r="R270" i="1"/>
  <c r="Q270" i="1"/>
  <c r="P270" i="1"/>
  <c r="U269" i="1"/>
  <c r="T269" i="1"/>
  <c r="S269" i="1"/>
  <c r="R269" i="1"/>
  <c r="Q269" i="1"/>
  <c r="P269" i="1"/>
  <c r="U268" i="1"/>
  <c r="T268" i="1"/>
  <c r="S268" i="1"/>
  <c r="R268" i="1"/>
  <c r="Q268" i="1"/>
  <c r="P268" i="1"/>
  <c r="U267" i="1"/>
  <c r="T267" i="1"/>
  <c r="S267" i="1"/>
  <c r="R267" i="1"/>
  <c r="Q267" i="1"/>
  <c r="P267" i="1"/>
  <c r="U266" i="1"/>
  <c r="T266" i="1"/>
  <c r="S266" i="1"/>
  <c r="R266" i="1"/>
  <c r="Q266" i="1"/>
  <c r="P266" i="1"/>
  <c r="U265" i="1"/>
  <c r="T265" i="1"/>
  <c r="S265" i="1"/>
  <c r="R265" i="1"/>
  <c r="Q265" i="1"/>
  <c r="P265" i="1"/>
  <c r="U264" i="1"/>
  <c r="T264" i="1"/>
  <c r="S264" i="1"/>
  <c r="R264" i="1"/>
  <c r="Q264" i="1"/>
  <c r="P264" i="1"/>
  <c r="U263" i="1"/>
  <c r="T263" i="1"/>
  <c r="S263" i="1"/>
  <c r="R263" i="1"/>
  <c r="Q263" i="1"/>
  <c r="P263" i="1"/>
  <c r="U262" i="1"/>
  <c r="T262" i="1"/>
  <c r="S262" i="1"/>
  <c r="R262" i="1"/>
  <c r="Q262" i="1"/>
  <c r="P262" i="1"/>
  <c r="U261" i="1"/>
  <c r="T261" i="1"/>
  <c r="S261" i="1"/>
  <c r="R261" i="1"/>
  <c r="Q261" i="1"/>
  <c r="P261" i="1"/>
  <c r="U260" i="1"/>
  <c r="T260" i="1"/>
  <c r="S260" i="1"/>
  <c r="R260" i="1"/>
  <c r="Q260" i="1"/>
  <c r="P260" i="1"/>
  <c r="U259" i="1"/>
  <c r="T259" i="1"/>
  <c r="S259" i="1"/>
  <c r="R259" i="1"/>
  <c r="Q259" i="1"/>
  <c r="P259" i="1"/>
  <c r="U258" i="1"/>
  <c r="T258" i="1"/>
  <c r="S258" i="1"/>
  <c r="R258" i="1"/>
  <c r="Q258" i="1"/>
  <c r="P258" i="1"/>
  <c r="U257" i="1"/>
  <c r="T257" i="1"/>
  <c r="S257" i="1"/>
  <c r="R257" i="1"/>
  <c r="Q257" i="1"/>
  <c r="P257" i="1"/>
  <c r="U256" i="1"/>
  <c r="T256" i="1"/>
  <c r="S256" i="1"/>
  <c r="R256" i="1"/>
  <c r="Q256" i="1"/>
  <c r="P256" i="1"/>
  <c r="U255" i="1"/>
  <c r="T255" i="1"/>
  <c r="S255" i="1"/>
  <c r="R255" i="1"/>
  <c r="Q255" i="1"/>
  <c r="P255" i="1"/>
  <c r="U254" i="1"/>
  <c r="T254" i="1"/>
  <c r="S254" i="1"/>
  <c r="R254" i="1"/>
  <c r="Q254" i="1"/>
  <c r="P254" i="1"/>
  <c r="U253" i="1"/>
  <c r="T253" i="1"/>
  <c r="S253" i="1"/>
  <c r="R253" i="1"/>
  <c r="Q253" i="1"/>
  <c r="P253" i="1"/>
  <c r="U252" i="1"/>
  <c r="T252" i="1"/>
  <c r="S252" i="1"/>
  <c r="R252" i="1"/>
  <c r="Q252" i="1"/>
  <c r="P252" i="1"/>
  <c r="U251" i="1"/>
  <c r="T251" i="1"/>
  <c r="S251" i="1"/>
  <c r="R251" i="1"/>
  <c r="Q251" i="1"/>
  <c r="P251" i="1"/>
  <c r="U250" i="1"/>
  <c r="T250" i="1"/>
  <c r="S250" i="1"/>
  <c r="R250" i="1"/>
  <c r="Q250" i="1"/>
  <c r="P250" i="1"/>
  <c r="U249" i="1"/>
  <c r="T249" i="1"/>
  <c r="S249" i="1"/>
  <c r="R249" i="1"/>
  <c r="Q249" i="1"/>
  <c r="P249" i="1"/>
  <c r="U248" i="1"/>
  <c r="T248" i="1"/>
  <c r="S248" i="1"/>
  <c r="R248" i="1"/>
  <c r="Q248" i="1"/>
  <c r="P248" i="1"/>
  <c r="U247" i="1"/>
  <c r="T247" i="1"/>
  <c r="S247" i="1"/>
  <c r="R247" i="1"/>
  <c r="Q247" i="1"/>
  <c r="P247" i="1"/>
  <c r="U246" i="1"/>
  <c r="T246" i="1"/>
  <c r="S246" i="1"/>
  <c r="R246" i="1"/>
  <c r="Q246" i="1"/>
  <c r="P246" i="1"/>
  <c r="U245" i="1"/>
  <c r="T245" i="1"/>
  <c r="S245" i="1"/>
  <c r="R245" i="1"/>
  <c r="Q245" i="1"/>
  <c r="P245" i="1"/>
  <c r="U244" i="1"/>
  <c r="T244" i="1"/>
  <c r="S244" i="1"/>
  <c r="R244" i="1"/>
  <c r="Q244" i="1"/>
  <c r="P244" i="1"/>
  <c r="U243" i="1"/>
  <c r="T243" i="1"/>
  <c r="S243" i="1"/>
  <c r="R243" i="1"/>
  <c r="Q243" i="1"/>
  <c r="P243" i="1"/>
  <c r="U242" i="1"/>
  <c r="T242" i="1"/>
  <c r="S242" i="1"/>
  <c r="R242" i="1"/>
  <c r="Q242" i="1"/>
  <c r="P242" i="1"/>
  <c r="U241" i="1"/>
  <c r="T241" i="1"/>
  <c r="S241" i="1"/>
  <c r="R241" i="1"/>
  <c r="Q241" i="1"/>
  <c r="P241" i="1"/>
  <c r="U240" i="1"/>
  <c r="T240" i="1"/>
  <c r="S240" i="1"/>
  <c r="R240" i="1"/>
  <c r="Q240" i="1"/>
  <c r="P240" i="1"/>
  <c r="U239" i="1"/>
  <c r="T239" i="1"/>
  <c r="S239" i="1"/>
  <c r="R239" i="1"/>
  <c r="Q239" i="1"/>
  <c r="P239" i="1"/>
  <c r="U238" i="1"/>
  <c r="T238" i="1"/>
  <c r="S238" i="1"/>
  <c r="R238" i="1"/>
  <c r="Q238" i="1"/>
  <c r="P238" i="1"/>
  <c r="U237" i="1"/>
  <c r="T237" i="1"/>
  <c r="S237" i="1"/>
  <c r="R237" i="1"/>
  <c r="Q237" i="1"/>
  <c r="P237" i="1"/>
  <c r="U236" i="1"/>
  <c r="T236" i="1"/>
  <c r="S236" i="1"/>
  <c r="R236" i="1"/>
  <c r="Q236" i="1"/>
  <c r="P236" i="1"/>
  <c r="U235" i="1"/>
  <c r="T235" i="1"/>
  <c r="S235" i="1"/>
  <c r="R235" i="1"/>
  <c r="Q235" i="1"/>
  <c r="P235" i="1"/>
  <c r="U234" i="1"/>
  <c r="T234" i="1"/>
  <c r="S234" i="1"/>
  <c r="R234" i="1"/>
  <c r="Q234" i="1"/>
  <c r="P234" i="1"/>
  <c r="U233" i="1"/>
  <c r="T233" i="1"/>
  <c r="S233" i="1"/>
  <c r="R233" i="1"/>
  <c r="Q233" i="1"/>
  <c r="P233" i="1"/>
  <c r="U232" i="1"/>
  <c r="T232" i="1"/>
  <c r="S232" i="1"/>
  <c r="R232" i="1"/>
  <c r="Q232" i="1"/>
  <c r="P232" i="1"/>
  <c r="U231" i="1"/>
  <c r="T231" i="1"/>
  <c r="S231" i="1"/>
  <c r="R231" i="1"/>
  <c r="Q231" i="1"/>
  <c r="P231" i="1"/>
  <c r="U230" i="1"/>
  <c r="T230" i="1"/>
  <c r="S230" i="1"/>
  <c r="R230" i="1"/>
  <c r="Q230" i="1"/>
  <c r="P230" i="1"/>
  <c r="U229" i="1"/>
  <c r="T229" i="1"/>
  <c r="S229" i="1"/>
  <c r="R229" i="1"/>
  <c r="Q229" i="1"/>
  <c r="P229" i="1"/>
  <c r="U228" i="1"/>
  <c r="T228" i="1"/>
  <c r="S228" i="1"/>
  <c r="R228" i="1"/>
  <c r="Q228" i="1"/>
  <c r="P228" i="1"/>
  <c r="U227" i="1"/>
  <c r="T227" i="1"/>
  <c r="S227" i="1"/>
  <c r="R227" i="1"/>
  <c r="Q227" i="1"/>
  <c r="P227" i="1"/>
  <c r="U226" i="1"/>
  <c r="T226" i="1"/>
  <c r="S226" i="1"/>
  <c r="R226" i="1"/>
  <c r="Q226" i="1"/>
  <c r="P226" i="1"/>
  <c r="U225" i="1"/>
  <c r="T225" i="1"/>
  <c r="S225" i="1"/>
  <c r="R225" i="1"/>
  <c r="Q225" i="1"/>
  <c r="P225" i="1"/>
  <c r="U224" i="1"/>
  <c r="T224" i="1"/>
  <c r="S224" i="1"/>
  <c r="R224" i="1"/>
  <c r="Q224" i="1"/>
  <c r="P224" i="1"/>
  <c r="U223" i="1"/>
  <c r="T223" i="1"/>
  <c r="S223" i="1"/>
  <c r="R223" i="1"/>
  <c r="Q223" i="1"/>
  <c r="P223" i="1"/>
  <c r="U222" i="1"/>
  <c r="T222" i="1"/>
  <c r="S222" i="1"/>
  <c r="R222" i="1"/>
  <c r="Q222" i="1"/>
  <c r="P222" i="1"/>
  <c r="U221" i="1"/>
  <c r="T221" i="1"/>
  <c r="S221" i="1"/>
  <c r="R221" i="1"/>
  <c r="Q221" i="1"/>
  <c r="P221" i="1"/>
  <c r="U220" i="1"/>
  <c r="T220" i="1"/>
  <c r="S220" i="1"/>
  <c r="R220" i="1"/>
  <c r="Q220" i="1"/>
  <c r="P220" i="1"/>
  <c r="U219" i="1"/>
  <c r="T219" i="1"/>
  <c r="S219" i="1"/>
  <c r="R219" i="1"/>
  <c r="Q219" i="1"/>
  <c r="P219" i="1"/>
  <c r="U218" i="1"/>
  <c r="T218" i="1"/>
  <c r="S218" i="1"/>
  <c r="R218" i="1"/>
  <c r="Q218" i="1"/>
  <c r="P218" i="1"/>
  <c r="U217" i="1"/>
  <c r="T217" i="1"/>
  <c r="S217" i="1"/>
  <c r="R217" i="1"/>
  <c r="Q217" i="1"/>
  <c r="P217" i="1"/>
  <c r="U216" i="1"/>
  <c r="T216" i="1"/>
  <c r="S216" i="1"/>
  <c r="R216" i="1"/>
  <c r="Q216" i="1"/>
  <c r="P216" i="1"/>
  <c r="U215" i="1"/>
  <c r="T215" i="1"/>
  <c r="S215" i="1"/>
  <c r="R215" i="1"/>
  <c r="Q215" i="1"/>
  <c r="P215" i="1"/>
  <c r="U214" i="1"/>
  <c r="T214" i="1"/>
  <c r="S214" i="1"/>
  <c r="R214" i="1"/>
  <c r="Q214" i="1"/>
  <c r="P214" i="1"/>
  <c r="U213" i="1"/>
  <c r="T213" i="1"/>
  <c r="S213" i="1"/>
  <c r="R213" i="1"/>
  <c r="Q213" i="1"/>
  <c r="P213" i="1"/>
  <c r="U212" i="1"/>
  <c r="T212" i="1"/>
  <c r="S212" i="1"/>
  <c r="R212" i="1"/>
  <c r="Q212" i="1"/>
  <c r="P212" i="1"/>
  <c r="U211" i="1"/>
  <c r="T211" i="1"/>
  <c r="S211" i="1"/>
  <c r="R211" i="1"/>
  <c r="Q211" i="1"/>
  <c r="P211" i="1"/>
  <c r="U210" i="1"/>
  <c r="T210" i="1"/>
  <c r="S210" i="1"/>
  <c r="R210" i="1"/>
  <c r="Q210" i="1"/>
  <c r="P210" i="1"/>
  <c r="U209" i="1"/>
  <c r="T209" i="1"/>
  <c r="S209" i="1"/>
  <c r="R209" i="1"/>
  <c r="Q209" i="1"/>
  <c r="P209" i="1"/>
  <c r="U208" i="1"/>
  <c r="T208" i="1"/>
  <c r="S208" i="1"/>
  <c r="R208" i="1"/>
  <c r="Q208" i="1"/>
  <c r="P208" i="1"/>
  <c r="U207" i="1"/>
  <c r="T207" i="1"/>
  <c r="S207" i="1"/>
  <c r="R207" i="1"/>
  <c r="Q207" i="1"/>
  <c r="P207" i="1"/>
  <c r="U206" i="1"/>
  <c r="T206" i="1"/>
  <c r="S206" i="1"/>
  <c r="R206" i="1"/>
  <c r="Q206" i="1"/>
  <c r="P206" i="1"/>
  <c r="U205" i="1"/>
  <c r="T205" i="1"/>
  <c r="S205" i="1"/>
  <c r="R205" i="1"/>
  <c r="Q205" i="1"/>
  <c r="P205" i="1"/>
  <c r="U204" i="1"/>
  <c r="T204" i="1"/>
  <c r="S204" i="1"/>
  <c r="R204" i="1"/>
  <c r="Q204" i="1"/>
  <c r="P204" i="1"/>
  <c r="U203" i="1"/>
  <c r="T203" i="1"/>
  <c r="S203" i="1"/>
  <c r="R203" i="1"/>
  <c r="Q203" i="1"/>
  <c r="P203" i="1"/>
  <c r="U202" i="1"/>
  <c r="T202" i="1"/>
  <c r="S202" i="1"/>
  <c r="R202" i="1"/>
  <c r="Q202" i="1"/>
  <c r="P202" i="1"/>
  <c r="U201" i="1"/>
  <c r="T201" i="1"/>
  <c r="S201" i="1"/>
  <c r="R201" i="1"/>
  <c r="Q201" i="1"/>
  <c r="P201" i="1"/>
  <c r="U200" i="1"/>
  <c r="T200" i="1"/>
  <c r="S200" i="1"/>
  <c r="R200" i="1"/>
  <c r="Q200" i="1"/>
  <c r="P200" i="1"/>
  <c r="U199" i="1"/>
  <c r="T199" i="1"/>
  <c r="S199" i="1"/>
  <c r="R199" i="1"/>
  <c r="Q199" i="1"/>
  <c r="P199" i="1"/>
  <c r="U198" i="1"/>
  <c r="T198" i="1"/>
  <c r="S198" i="1"/>
  <c r="R198" i="1"/>
  <c r="Q198" i="1"/>
  <c r="P198" i="1"/>
  <c r="U197" i="1"/>
  <c r="T197" i="1"/>
  <c r="S197" i="1"/>
  <c r="R197" i="1"/>
  <c r="Q197" i="1"/>
  <c r="P197" i="1"/>
  <c r="U196" i="1"/>
  <c r="T196" i="1"/>
  <c r="S196" i="1"/>
  <c r="R196" i="1"/>
  <c r="Q196" i="1"/>
  <c r="P196" i="1"/>
  <c r="U195" i="1"/>
  <c r="T195" i="1"/>
  <c r="S195" i="1"/>
  <c r="R195" i="1"/>
  <c r="Q195" i="1"/>
  <c r="P195" i="1"/>
  <c r="U194" i="1"/>
  <c r="T194" i="1"/>
  <c r="S194" i="1"/>
  <c r="R194" i="1"/>
  <c r="Q194" i="1"/>
  <c r="P194" i="1"/>
  <c r="U193" i="1"/>
  <c r="T193" i="1"/>
  <c r="S193" i="1"/>
  <c r="R193" i="1"/>
  <c r="Q193" i="1"/>
  <c r="P193" i="1"/>
  <c r="U192" i="1"/>
  <c r="T192" i="1"/>
  <c r="S192" i="1"/>
  <c r="R192" i="1"/>
  <c r="Q192" i="1"/>
  <c r="P192" i="1"/>
  <c r="U191" i="1"/>
  <c r="T191" i="1"/>
  <c r="S191" i="1"/>
  <c r="R191" i="1"/>
  <c r="Q191" i="1"/>
  <c r="P191" i="1"/>
  <c r="U190" i="1"/>
  <c r="T190" i="1"/>
  <c r="S190" i="1"/>
  <c r="R190" i="1"/>
  <c r="Q190" i="1"/>
  <c r="P190" i="1"/>
  <c r="U189" i="1"/>
  <c r="T189" i="1"/>
  <c r="S189" i="1"/>
  <c r="R189" i="1"/>
  <c r="Q189" i="1"/>
  <c r="P189" i="1"/>
  <c r="U188" i="1"/>
  <c r="T188" i="1"/>
  <c r="S188" i="1"/>
  <c r="R188" i="1"/>
  <c r="Q188" i="1"/>
  <c r="P188" i="1"/>
  <c r="U187" i="1"/>
  <c r="T187" i="1"/>
  <c r="S187" i="1"/>
  <c r="R187" i="1"/>
  <c r="Q187" i="1"/>
  <c r="P187" i="1"/>
  <c r="U186" i="1"/>
  <c r="T186" i="1"/>
  <c r="S186" i="1"/>
  <c r="R186" i="1"/>
  <c r="Q186" i="1"/>
  <c r="P186" i="1"/>
  <c r="U185" i="1"/>
  <c r="T185" i="1"/>
  <c r="S185" i="1"/>
  <c r="R185" i="1"/>
  <c r="Q185" i="1"/>
  <c r="P185" i="1"/>
  <c r="U184" i="1"/>
  <c r="T184" i="1"/>
  <c r="S184" i="1"/>
  <c r="R184" i="1"/>
  <c r="Q184" i="1"/>
  <c r="P184" i="1"/>
  <c r="U183" i="1"/>
  <c r="T183" i="1"/>
  <c r="S183" i="1"/>
  <c r="R183" i="1"/>
  <c r="Q183" i="1"/>
  <c r="P183" i="1"/>
  <c r="U182" i="1"/>
  <c r="T182" i="1"/>
  <c r="S182" i="1"/>
  <c r="R182" i="1"/>
  <c r="Q182" i="1"/>
  <c r="P182" i="1"/>
  <c r="U181" i="1"/>
  <c r="T181" i="1"/>
  <c r="S181" i="1"/>
  <c r="R181" i="1"/>
  <c r="Q181" i="1"/>
  <c r="P181" i="1"/>
  <c r="U180" i="1"/>
  <c r="T180" i="1"/>
  <c r="S180" i="1"/>
  <c r="R180" i="1"/>
  <c r="Q180" i="1"/>
  <c r="P180" i="1"/>
  <c r="U179" i="1"/>
  <c r="T179" i="1"/>
  <c r="S179" i="1"/>
  <c r="R179" i="1"/>
  <c r="Q179" i="1"/>
  <c r="P179" i="1"/>
  <c r="U178" i="1"/>
  <c r="T178" i="1"/>
  <c r="S178" i="1"/>
  <c r="R178" i="1"/>
  <c r="Q178" i="1"/>
  <c r="P178" i="1"/>
  <c r="U177" i="1"/>
  <c r="T177" i="1"/>
  <c r="S177" i="1"/>
  <c r="R177" i="1"/>
  <c r="Q177" i="1"/>
  <c r="P177" i="1"/>
  <c r="U176" i="1"/>
  <c r="T176" i="1"/>
  <c r="S176" i="1"/>
  <c r="R176" i="1"/>
  <c r="Q176" i="1"/>
  <c r="P176" i="1"/>
  <c r="U175" i="1"/>
  <c r="T175" i="1"/>
  <c r="S175" i="1"/>
  <c r="R175" i="1"/>
  <c r="Q175" i="1"/>
  <c r="P175" i="1"/>
  <c r="U174" i="1"/>
  <c r="T174" i="1"/>
  <c r="S174" i="1"/>
  <c r="R174" i="1"/>
  <c r="Q174" i="1"/>
  <c r="P174" i="1"/>
  <c r="U173" i="1"/>
  <c r="T173" i="1"/>
  <c r="S173" i="1"/>
  <c r="R173" i="1"/>
  <c r="Q173" i="1"/>
  <c r="P173" i="1"/>
  <c r="U172" i="1"/>
  <c r="T172" i="1"/>
  <c r="S172" i="1"/>
  <c r="R172" i="1"/>
  <c r="Q172" i="1"/>
  <c r="P172" i="1"/>
  <c r="U171" i="1"/>
  <c r="T171" i="1"/>
  <c r="S171" i="1"/>
  <c r="R171" i="1"/>
  <c r="Q171" i="1"/>
  <c r="P171" i="1"/>
  <c r="U170" i="1"/>
  <c r="T170" i="1"/>
  <c r="S170" i="1"/>
  <c r="R170" i="1"/>
  <c r="Q170" i="1"/>
  <c r="P170" i="1"/>
  <c r="U169" i="1"/>
  <c r="T169" i="1"/>
  <c r="S169" i="1"/>
  <c r="R169" i="1"/>
  <c r="Q169" i="1"/>
  <c r="P169" i="1"/>
  <c r="U168" i="1"/>
  <c r="T168" i="1"/>
  <c r="S168" i="1"/>
  <c r="R168" i="1"/>
  <c r="Q168" i="1"/>
  <c r="P168" i="1"/>
  <c r="U167" i="1"/>
  <c r="T167" i="1"/>
  <c r="S167" i="1"/>
  <c r="R167" i="1"/>
  <c r="Q167" i="1"/>
  <c r="P167" i="1"/>
  <c r="U166" i="1"/>
  <c r="T166" i="1"/>
  <c r="S166" i="1"/>
  <c r="R166" i="1"/>
  <c r="Q166" i="1"/>
  <c r="P166" i="1"/>
  <c r="U165" i="1"/>
  <c r="T165" i="1"/>
  <c r="S165" i="1"/>
  <c r="R165" i="1"/>
  <c r="Q165" i="1"/>
  <c r="P165" i="1"/>
  <c r="U164" i="1"/>
  <c r="T164" i="1"/>
  <c r="S164" i="1"/>
  <c r="R164" i="1"/>
  <c r="Q164" i="1"/>
  <c r="P164" i="1"/>
  <c r="U163" i="1"/>
  <c r="T163" i="1"/>
  <c r="S163" i="1"/>
  <c r="R163" i="1"/>
  <c r="Q163" i="1"/>
  <c r="P163" i="1"/>
  <c r="U162" i="1"/>
  <c r="T162" i="1"/>
  <c r="S162" i="1"/>
  <c r="R162" i="1"/>
  <c r="Q162" i="1"/>
  <c r="P162" i="1"/>
  <c r="U161" i="1"/>
  <c r="T161" i="1"/>
  <c r="S161" i="1"/>
  <c r="R161" i="1"/>
  <c r="Q161" i="1"/>
  <c r="P161" i="1"/>
  <c r="U160" i="1"/>
  <c r="T160" i="1"/>
  <c r="S160" i="1"/>
  <c r="R160" i="1"/>
  <c r="Q160" i="1"/>
  <c r="P160" i="1"/>
  <c r="U159" i="1"/>
  <c r="T159" i="1"/>
  <c r="S159" i="1"/>
  <c r="R159" i="1"/>
  <c r="Q159" i="1"/>
  <c r="P159" i="1"/>
  <c r="U158" i="1"/>
  <c r="T158" i="1"/>
  <c r="S158" i="1"/>
  <c r="R158" i="1"/>
  <c r="Q158" i="1"/>
  <c r="P158" i="1"/>
  <c r="U157" i="1"/>
  <c r="T157" i="1"/>
  <c r="S157" i="1"/>
  <c r="R157" i="1"/>
  <c r="Q157" i="1"/>
  <c r="P157" i="1"/>
  <c r="U156" i="1"/>
  <c r="T156" i="1"/>
  <c r="S156" i="1"/>
  <c r="R156" i="1"/>
  <c r="Q156" i="1"/>
  <c r="P156" i="1"/>
  <c r="U155" i="1"/>
  <c r="T155" i="1"/>
  <c r="S155" i="1"/>
  <c r="R155" i="1"/>
  <c r="Q155" i="1"/>
  <c r="P155" i="1"/>
  <c r="U154" i="1"/>
  <c r="T154" i="1"/>
  <c r="S154" i="1"/>
  <c r="R154" i="1"/>
  <c r="Q154" i="1"/>
  <c r="P154" i="1"/>
  <c r="U153" i="1"/>
  <c r="T153" i="1"/>
  <c r="S153" i="1"/>
  <c r="R153" i="1"/>
  <c r="Q153" i="1"/>
  <c r="P153" i="1"/>
  <c r="U152" i="1"/>
  <c r="T152" i="1"/>
  <c r="S152" i="1"/>
  <c r="R152" i="1"/>
  <c r="Q152" i="1"/>
  <c r="P152" i="1"/>
  <c r="U151" i="1"/>
  <c r="T151" i="1"/>
  <c r="S151" i="1"/>
  <c r="R151" i="1"/>
  <c r="Q151" i="1"/>
  <c r="P151" i="1"/>
  <c r="U150" i="1"/>
  <c r="T150" i="1"/>
  <c r="S150" i="1"/>
  <c r="R150" i="1"/>
  <c r="Q150" i="1"/>
  <c r="P150" i="1"/>
  <c r="U149" i="1"/>
  <c r="T149" i="1"/>
  <c r="S149" i="1"/>
  <c r="R149" i="1"/>
  <c r="Q149" i="1"/>
  <c r="P149" i="1"/>
  <c r="U148" i="1"/>
  <c r="T148" i="1"/>
  <c r="S148" i="1"/>
  <c r="R148" i="1"/>
  <c r="Q148" i="1"/>
  <c r="P148" i="1"/>
  <c r="U147" i="1"/>
  <c r="T147" i="1"/>
  <c r="S147" i="1"/>
  <c r="R147" i="1"/>
  <c r="Q147" i="1"/>
  <c r="P147" i="1"/>
  <c r="U146" i="1"/>
  <c r="T146" i="1"/>
  <c r="S146" i="1"/>
  <c r="R146" i="1"/>
  <c r="Q146" i="1"/>
  <c r="P146" i="1"/>
  <c r="U145" i="1"/>
  <c r="T145" i="1"/>
  <c r="S145" i="1"/>
  <c r="R145" i="1"/>
  <c r="Q145" i="1"/>
  <c r="P145" i="1"/>
  <c r="U144" i="1"/>
  <c r="T144" i="1"/>
  <c r="S144" i="1"/>
  <c r="R144" i="1"/>
  <c r="Q144" i="1"/>
  <c r="P144" i="1"/>
  <c r="U143" i="1"/>
  <c r="T143" i="1"/>
  <c r="S143" i="1"/>
  <c r="R143" i="1"/>
  <c r="Q143" i="1"/>
  <c r="P143" i="1"/>
  <c r="U142" i="1"/>
  <c r="T142" i="1"/>
  <c r="S142" i="1"/>
  <c r="R142" i="1"/>
  <c r="Q142" i="1"/>
  <c r="P142" i="1"/>
  <c r="U141" i="1"/>
  <c r="T141" i="1"/>
  <c r="S141" i="1"/>
  <c r="R141" i="1"/>
  <c r="Q141" i="1"/>
  <c r="P141" i="1"/>
  <c r="U140" i="1"/>
  <c r="T140" i="1"/>
  <c r="S140" i="1"/>
  <c r="R140" i="1"/>
  <c r="Q140" i="1"/>
  <c r="P140" i="1"/>
  <c r="U139" i="1"/>
  <c r="T139" i="1"/>
  <c r="S139" i="1"/>
  <c r="R139" i="1"/>
  <c r="Q139" i="1"/>
  <c r="P139" i="1"/>
  <c r="U138" i="1"/>
  <c r="T138" i="1"/>
  <c r="S138" i="1"/>
  <c r="R138" i="1"/>
  <c r="Q138" i="1"/>
  <c r="P138" i="1"/>
  <c r="U137" i="1"/>
  <c r="T137" i="1"/>
  <c r="S137" i="1"/>
  <c r="R137" i="1"/>
  <c r="Q137" i="1"/>
  <c r="P137" i="1"/>
  <c r="U136" i="1"/>
  <c r="T136" i="1"/>
  <c r="S136" i="1"/>
  <c r="R136" i="1"/>
  <c r="Q136" i="1"/>
  <c r="P136" i="1"/>
  <c r="U135" i="1"/>
  <c r="T135" i="1"/>
  <c r="S135" i="1"/>
  <c r="R135" i="1"/>
  <c r="Q135" i="1"/>
  <c r="P135" i="1"/>
  <c r="U134" i="1"/>
  <c r="T134" i="1"/>
  <c r="S134" i="1"/>
  <c r="R134" i="1"/>
  <c r="Q134" i="1"/>
  <c r="P134" i="1"/>
  <c r="U133" i="1"/>
  <c r="T133" i="1"/>
  <c r="S133" i="1"/>
  <c r="R133" i="1"/>
  <c r="Q133" i="1"/>
  <c r="P133" i="1"/>
  <c r="U132" i="1"/>
  <c r="T132" i="1"/>
  <c r="S132" i="1"/>
  <c r="R132" i="1"/>
  <c r="Q132" i="1"/>
  <c r="P132" i="1"/>
  <c r="U131" i="1"/>
  <c r="T131" i="1"/>
  <c r="S131" i="1"/>
  <c r="R131" i="1"/>
  <c r="Q131" i="1"/>
  <c r="P131" i="1"/>
  <c r="U130" i="1"/>
  <c r="T130" i="1"/>
  <c r="S130" i="1"/>
  <c r="R130" i="1"/>
  <c r="Q130" i="1"/>
  <c r="P130" i="1"/>
  <c r="U129" i="1"/>
  <c r="T129" i="1"/>
  <c r="S129" i="1"/>
  <c r="R129" i="1"/>
  <c r="Q129" i="1"/>
  <c r="P129" i="1"/>
  <c r="U128" i="1"/>
  <c r="T128" i="1"/>
  <c r="S128" i="1"/>
  <c r="R128" i="1"/>
  <c r="Q128" i="1"/>
  <c r="P128" i="1"/>
  <c r="U127" i="1"/>
  <c r="T127" i="1"/>
  <c r="S127" i="1"/>
  <c r="R127" i="1"/>
  <c r="Q127" i="1"/>
  <c r="P127" i="1"/>
  <c r="U126" i="1"/>
  <c r="T126" i="1"/>
  <c r="S126" i="1"/>
  <c r="R126" i="1"/>
  <c r="Q126" i="1"/>
  <c r="P126" i="1"/>
  <c r="U125" i="1"/>
  <c r="T125" i="1"/>
  <c r="S125" i="1"/>
  <c r="R125" i="1"/>
  <c r="Q125" i="1"/>
  <c r="P125" i="1"/>
  <c r="U124" i="1"/>
  <c r="T124" i="1"/>
  <c r="S124" i="1"/>
  <c r="R124" i="1"/>
  <c r="Q124" i="1"/>
  <c r="P124" i="1"/>
  <c r="U123" i="1"/>
  <c r="T123" i="1"/>
  <c r="S123" i="1"/>
  <c r="R123" i="1"/>
  <c r="Q123" i="1"/>
  <c r="P123" i="1"/>
  <c r="U122" i="1"/>
  <c r="T122" i="1"/>
  <c r="S122" i="1"/>
  <c r="R122" i="1"/>
  <c r="Q122" i="1"/>
  <c r="P122" i="1"/>
  <c r="U121" i="1"/>
  <c r="T121" i="1"/>
  <c r="S121" i="1"/>
  <c r="R121" i="1"/>
  <c r="Q121" i="1"/>
  <c r="P121" i="1"/>
  <c r="U120" i="1"/>
  <c r="T120" i="1"/>
  <c r="S120" i="1"/>
  <c r="R120" i="1"/>
  <c r="Q120" i="1"/>
  <c r="P120" i="1"/>
  <c r="U119" i="1"/>
  <c r="T119" i="1"/>
  <c r="S119" i="1"/>
  <c r="R119" i="1"/>
  <c r="Q119" i="1"/>
  <c r="P119" i="1"/>
  <c r="U118" i="1"/>
  <c r="T118" i="1"/>
  <c r="S118" i="1"/>
  <c r="R118" i="1"/>
  <c r="Q118" i="1"/>
  <c r="P118" i="1"/>
  <c r="U117" i="1"/>
  <c r="T117" i="1"/>
  <c r="S117" i="1"/>
  <c r="R117" i="1"/>
  <c r="Q117" i="1"/>
  <c r="P117" i="1"/>
  <c r="U116" i="1"/>
  <c r="T116" i="1"/>
  <c r="S116" i="1"/>
  <c r="R116" i="1"/>
  <c r="Q116" i="1"/>
  <c r="P116" i="1"/>
  <c r="U115" i="1"/>
  <c r="T115" i="1"/>
  <c r="S115" i="1"/>
  <c r="R115" i="1"/>
  <c r="Q115" i="1"/>
  <c r="P115" i="1"/>
  <c r="U114" i="1"/>
  <c r="T114" i="1"/>
  <c r="S114" i="1"/>
  <c r="R114" i="1"/>
  <c r="Q114" i="1"/>
  <c r="P114" i="1"/>
  <c r="U113" i="1"/>
  <c r="T113" i="1"/>
  <c r="S113" i="1"/>
  <c r="R113" i="1"/>
  <c r="Q113" i="1"/>
  <c r="P113" i="1"/>
  <c r="U112" i="1"/>
  <c r="T112" i="1"/>
  <c r="S112" i="1"/>
  <c r="R112" i="1"/>
  <c r="Q112" i="1"/>
  <c r="P112" i="1"/>
  <c r="U111" i="1"/>
  <c r="T111" i="1"/>
  <c r="S111" i="1"/>
  <c r="R111" i="1"/>
  <c r="Q111" i="1"/>
  <c r="P111" i="1"/>
  <c r="U110" i="1"/>
  <c r="T110" i="1"/>
  <c r="S110" i="1"/>
  <c r="R110" i="1"/>
  <c r="Q110" i="1"/>
  <c r="P110" i="1"/>
  <c r="U109" i="1"/>
  <c r="T109" i="1"/>
  <c r="S109" i="1"/>
  <c r="R109" i="1"/>
  <c r="Q109" i="1"/>
  <c r="P109" i="1"/>
  <c r="U108" i="1"/>
  <c r="T108" i="1"/>
  <c r="S108" i="1"/>
  <c r="R108" i="1"/>
  <c r="Q108" i="1"/>
  <c r="P108" i="1"/>
  <c r="U107" i="1"/>
  <c r="T107" i="1"/>
  <c r="S107" i="1"/>
  <c r="R107" i="1"/>
  <c r="Q107" i="1"/>
  <c r="P107" i="1"/>
  <c r="U106" i="1"/>
  <c r="T106" i="1"/>
  <c r="S106" i="1"/>
  <c r="R106" i="1"/>
  <c r="Q106" i="1"/>
  <c r="P106" i="1"/>
  <c r="U105" i="1"/>
  <c r="T105" i="1"/>
  <c r="S105" i="1"/>
  <c r="R105" i="1"/>
  <c r="Q105" i="1"/>
  <c r="P105" i="1"/>
  <c r="U104" i="1"/>
  <c r="T104" i="1"/>
  <c r="S104" i="1"/>
  <c r="R104" i="1"/>
  <c r="Q104" i="1"/>
  <c r="P104" i="1"/>
  <c r="U103" i="1"/>
  <c r="T103" i="1"/>
  <c r="S103" i="1"/>
  <c r="R103" i="1"/>
  <c r="Q103" i="1"/>
  <c r="P103" i="1"/>
  <c r="U102" i="1"/>
  <c r="T102" i="1"/>
  <c r="S102" i="1"/>
  <c r="R102" i="1"/>
  <c r="Q102" i="1"/>
  <c r="P102" i="1"/>
  <c r="U101" i="1"/>
  <c r="T101" i="1"/>
  <c r="S101" i="1"/>
  <c r="R101" i="1"/>
  <c r="Q101" i="1"/>
  <c r="P101" i="1"/>
  <c r="U100" i="1"/>
  <c r="T100" i="1"/>
  <c r="S100" i="1"/>
  <c r="R100" i="1"/>
  <c r="Q100" i="1"/>
  <c r="P100" i="1"/>
  <c r="U99" i="1"/>
  <c r="T99" i="1"/>
  <c r="S99" i="1"/>
  <c r="R99" i="1"/>
  <c r="Q99" i="1"/>
  <c r="P99" i="1"/>
  <c r="U98" i="1"/>
  <c r="T98" i="1"/>
  <c r="S98" i="1"/>
  <c r="R98" i="1"/>
  <c r="Q98" i="1"/>
  <c r="P98" i="1"/>
  <c r="U97" i="1"/>
  <c r="T97" i="1"/>
  <c r="S97" i="1"/>
  <c r="R97" i="1"/>
  <c r="Q97" i="1"/>
  <c r="P97" i="1"/>
  <c r="U96" i="1"/>
  <c r="T96" i="1"/>
  <c r="S96" i="1"/>
  <c r="R96" i="1"/>
  <c r="Q96" i="1"/>
  <c r="P96" i="1"/>
  <c r="U95" i="1"/>
  <c r="T95" i="1"/>
  <c r="S95" i="1"/>
  <c r="R95" i="1"/>
  <c r="Q95" i="1"/>
  <c r="P95" i="1"/>
  <c r="U94" i="1"/>
  <c r="T94" i="1"/>
  <c r="S94" i="1"/>
  <c r="R94" i="1"/>
  <c r="Q94" i="1"/>
  <c r="P94" i="1"/>
  <c r="U93" i="1"/>
  <c r="T93" i="1"/>
  <c r="S93" i="1"/>
  <c r="R93" i="1"/>
  <c r="Q93" i="1"/>
  <c r="P93" i="1"/>
  <c r="U92" i="1"/>
  <c r="T92" i="1"/>
  <c r="S92" i="1"/>
  <c r="R92" i="1"/>
  <c r="Q92" i="1"/>
  <c r="P92" i="1"/>
  <c r="U91" i="1"/>
  <c r="T91" i="1"/>
  <c r="S91" i="1"/>
  <c r="R91" i="1"/>
  <c r="Q91" i="1"/>
  <c r="P91" i="1"/>
  <c r="U90" i="1"/>
  <c r="T90" i="1"/>
  <c r="S90" i="1"/>
  <c r="R90" i="1"/>
  <c r="Q90" i="1"/>
  <c r="P90" i="1"/>
  <c r="U89" i="1"/>
  <c r="T89" i="1"/>
  <c r="S89" i="1"/>
  <c r="R89" i="1"/>
  <c r="Q89" i="1"/>
  <c r="P89" i="1"/>
  <c r="U88" i="1"/>
  <c r="T88" i="1"/>
  <c r="S88" i="1"/>
  <c r="R88" i="1"/>
  <c r="Q88" i="1"/>
  <c r="P88" i="1"/>
  <c r="U87" i="1"/>
  <c r="T87" i="1"/>
  <c r="S87" i="1"/>
  <c r="R87" i="1"/>
  <c r="Q87" i="1"/>
  <c r="P87" i="1"/>
  <c r="U86" i="1"/>
  <c r="T86" i="1"/>
  <c r="S86" i="1"/>
  <c r="R86" i="1"/>
  <c r="Q86" i="1"/>
  <c r="P86" i="1"/>
  <c r="U85" i="1"/>
  <c r="T85" i="1"/>
  <c r="S85" i="1"/>
  <c r="R85" i="1"/>
  <c r="Q85" i="1"/>
  <c r="P85" i="1"/>
  <c r="U84" i="1"/>
  <c r="T84" i="1"/>
  <c r="S84" i="1"/>
  <c r="R84" i="1"/>
  <c r="Q84" i="1"/>
  <c r="P84" i="1"/>
  <c r="U83" i="1"/>
  <c r="T83" i="1"/>
  <c r="S83" i="1"/>
  <c r="R83" i="1"/>
  <c r="Q83" i="1"/>
  <c r="P83" i="1"/>
  <c r="U82" i="1"/>
  <c r="T82" i="1"/>
  <c r="S82" i="1"/>
  <c r="R82" i="1"/>
  <c r="Q82" i="1"/>
  <c r="P82" i="1"/>
  <c r="U81" i="1"/>
  <c r="T81" i="1"/>
  <c r="S81" i="1"/>
  <c r="R81" i="1"/>
  <c r="Q81" i="1"/>
  <c r="P81" i="1"/>
  <c r="U80" i="1"/>
  <c r="T80" i="1"/>
  <c r="S80" i="1"/>
  <c r="R80" i="1"/>
  <c r="Q80" i="1"/>
  <c r="P80" i="1"/>
  <c r="U79" i="1"/>
  <c r="T79" i="1"/>
  <c r="S79" i="1"/>
  <c r="R79" i="1"/>
  <c r="Q79" i="1"/>
  <c r="P79" i="1"/>
  <c r="U78" i="1"/>
  <c r="T78" i="1"/>
  <c r="S78" i="1"/>
  <c r="R78" i="1"/>
  <c r="Q78" i="1"/>
  <c r="P78" i="1"/>
  <c r="U77" i="1"/>
  <c r="T77" i="1"/>
  <c r="S77" i="1"/>
  <c r="R77" i="1"/>
  <c r="Q77" i="1"/>
  <c r="P77" i="1"/>
  <c r="U76" i="1"/>
  <c r="T76" i="1"/>
  <c r="S76" i="1"/>
  <c r="R76" i="1"/>
  <c r="Q76" i="1"/>
  <c r="P76" i="1"/>
  <c r="U75" i="1"/>
  <c r="T75" i="1"/>
  <c r="S75" i="1"/>
  <c r="R75" i="1"/>
  <c r="Q75" i="1"/>
  <c r="P75" i="1"/>
  <c r="U74" i="1"/>
  <c r="T74" i="1"/>
  <c r="S74" i="1"/>
  <c r="R74" i="1"/>
  <c r="Q74" i="1"/>
  <c r="P74" i="1"/>
  <c r="U73" i="1"/>
  <c r="T73" i="1"/>
  <c r="S73" i="1"/>
  <c r="R73" i="1"/>
  <c r="Q73" i="1"/>
  <c r="P73" i="1"/>
  <c r="U72" i="1"/>
  <c r="T72" i="1"/>
  <c r="S72" i="1"/>
  <c r="R72" i="1"/>
  <c r="Q72" i="1"/>
  <c r="P72" i="1"/>
  <c r="U71" i="1"/>
  <c r="T71" i="1"/>
  <c r="S71" i="1"/>
  <c r="R71" i="1"/>
  <c r="Q71" i="1"/>
  <c r="P71" i="1"/>
  <c r="U70" i="1"/>
  <c r="T70" i="1"/>
  <c r="S70" i="1"/>
  <c r="R70" i="1"/>
  <c r="Q70" i="1"/>
  <c r="P70" i="1"/>
  <c r="U69" i="1"/>
  <c r="T69" i="1"/>
  <c r="S69" i="1"/>
  <c r="R69" i="1"/>
  <c r="Q69" i="1"/>
  <c r="P69" i="1"/>
  <c r="U68" i="1"/>
  <c r="T68" i="1"/>
  <c r="S68" i="1"/>
  <c r="R68" i="1"/>
  <c r="Q68" i="1"/>
  <c r="P68" i="1"/>
  <c r="U67" i="1"/>
  <c r="T67" i="1"/>
  <c r="S67" i="1"/>
  <c r="R67" i="1"/>
  <c r="Q67" i="1"/>
  <c r="P67" i="1"/>
  <c r="U66" i="1"/>
  <c r="T66" i="1"/>
  <c r="S66" i="1"/>
  <c r="R66" i="1"/>
  <c r="Q66" i="1"/>
  <c r="P66" i="1"/>
  <c r="U65" i="1"/>
  <c r="T65" i="1"/>
  <c r="S65" i="1"/>
  <c r="R65" i="1"/>
  <c r="Q65" i="1"/>
  <c r="P65" i="1"/>
  <c r="U64" i="1"/>
  <c r="T64" i="1"/>
  <c r="S64" i="1"/>
  <c r="R64" i="1"/>
  <c r="Q64" i="1"/>
  <c r="P64" i="1"/>
  <c r="U63" i="1"/>
  <c r="T63" i="1"/>
  <c r="S63" i="1"/>
  <c r="R63" i="1"/>
  <c r="Q63" i="1"/>
  <c r="P63" i="1"/>
  <c r="U62" i="1"/>
  <c r="T62" i="1"/>
  <c r="S62" i="1"/>
  <c r="R62" i="1"/>
  <c r="Q62" i="1"/>
  <c r="P62" i="1"/>
  <c r="U61" i="1"/>
  <c r="T61" i="1"/>
  <c r="S61" i="1"/>
  <c r="R61" i="1"/>
  <c r="Q61" i="1"/>
  <c r="P61" i="1"/>
  <c r="U60" i="1"/>
  <c r="T60" i="1"/>
  <c r="S60" i="1"/>
  <c r="R60" i="1"/>
  <c r="Q60" i="1"/>
  <c r="P60" i="1"/>
  <c r="U59" i="1"/>
  <c r="T59" i="1"/>
  <c r="S59" i="1"/>
  <c r="R59" i="1"/>
  <c r="Q59" i="1"/>
  <c r="P59" i="1"/>
  <c r="U58" i="1"/>
  <c r="T58" i="1"/>
  <c r="S58" i="1"/>
  <c r="R58" i="1"/>
  <c r="Q58" i="1"/>
  <c r="P58" i="1"/>
  <c r="U57" i="1"/>
  <c r="T57" i="1"/>
  <c r="S57" i="1"/>
  <c r="R57" i="1"/>
  <c r="Q57" i="1"/>
  <c r="P57" i="1"/>
  <c r="U56" i="1"/>
  <c r="T56" i="1"/>
  <c r="S56" i="1"/>
  <c r="R56" i="1"/>
  <c r="Q56" i="1"/>
  <c r="P56" i="1"/>
  <c r="U55" i="1"/>
  <c r="T55" i="1"/>
  <c r="S55" i="1"/>
  <c r="R55" i="1"/>
  <c r="Q55" i="1"/>
  <c r="P55" i="1"/>
  <c r="U54" i="1"/>
  <c r="T54" i="1"/>
  <c r="S54" i="1"/>
  <c r="R54" i="1"/>
  <c r="Q54" i="1"/>
  <c r="P54" i="1"/>
  <c r="U53" i="1"/>
  <c r="T53" i="1"/>
  <c r="S53" i="1"/>
  <c r="R53" i="1"/>
  <c r="Q53" i="1"/>
  <c r="P53" i="1"/>
  <c r="U52" i="1"/>
  <c r="T52" i="1"/>
  <c r="S52" i="1"/>
  <c r="R52" i="1"/>
  <c r="Q52" i="1"/>
  <c r="P52" i="1"/>
  <c r="U51" i="1"/>
  <c r="T51" i="1"/>
  <c r="S51" i="1"/>
  <c r="R51" i="1"/>
  <c r="Q51" i="1"/>
  <c r="P51" i="1"/>
  <c r="U50" i="1"/>
  <c r="T50" i="1"/>
  <c r="S50" i="1"/>
  <c r="R50" i="1"/>
  <c r="Q50" i="1"/>
  <c r="P50" i="1"/>
  <c r="U49" i="1"/>
  <c r="T49" i="1"/>
  <c r="S49" i="1"/>
  <c r="R49" i="1"/>
  <c r="Q49" i="1"/>
  <c r="P49" i="1"/>
  <c r="U48" i="1"/>
  <c r="T48" i="1"/>
  <c r="S48" i="1"/>
  <c r="R48" i="1"/>
  <c r="Q48" i="1"/>
  <c r="P48" i="1"/>
  <c r="U47" i="1"/>
  <c r="T47" i="1"/>
  <c r="S47" i="1"/>
  <c r="R47" i="1"/>
  <c r="Q47" i="1"/>
  <c r="P47" i="1"/>
  <c r="U46" i="1"/>
  <c r="T46" i="1"/>
  <c r="S46" i="1"/>
  <c r="R46" i="1"/>
  <c r="Q46" i="1"/>
  <c r="P46" i="1"/>
  <c r="U45" i="1"/>
  <c r="T45" i="1"/>
  <c r="S45" i="1"/>
  <c r="R45" i="1"/>
  <c r="Q45" i="1"/>
  <c r="P45" i="1"/>
  <c r="U44" i="1"/>
  <c r="T44" i="1"/>
  <c r="S44" i="1"/>
  <c r="R44" i="1"/>
  <c r="Q44" i="1"/>
  <c r="P44" i="1"/>
  <c r="U43" i="1"/>
  <c r="T43" i="1"/>
  <c r="S43" i="1"/>
  <c r="R43" i="1"/>
  <c r="Q43" i="1"/>
  <c r="P43" i="1"/>
  <c r="U42" i="1"/>
  <c r="T42" i="1"/>
  <c r="S42" i="1"/>
  <c r="R42" i="1"/>
  <c r="Q42" i="1"/>
  <c r="P42" i="1"/>
  <c r="U41" i="1"/>
  <c r="T41" i="1"/>
  <c r="S41" i="1"/>
  <c r="R41" i="1"/>
  <c r="Q41" i="1"/>
  <c r="P41" i="1"/>
  <c r="U40" i="1"/>
  <c r="T40" i="1"/>
  <c r="S40" i="1"/>
  <c r="R40" i="1"/>
  <c r="Q40" i="1"/>
  <c r="P40" i="1"/>
  <c r="U39" i="1"/>
  <c r="T39" i="1"/>
  <c r="S39" i="1"/>
  <c r="R39" i="1"/>
  <c r="Q39" i="1"/>
  <c r="P39" i="1"/>
  <c r="U38" i="1"/>
  <c r="T38" i="1"/>
  <c r="S38" i="1"/>
  <c r="R38" i="1"/>
  <c r="Q38" i="1"/>
  <c r="P38" i="1"/>
  <c r="U37" i="1"/>
  <c r="T37" i="1"/>
  <c r="S37" i="1"/>
  <c r="R37" i="1"/>
  <c r="Q37" i="1"/>
  <c r="P37" i="1"/>
  <c r="U36" i="1"/>
  <c r="T36" i="1"/>
  <c r="S36" i="1"/>
  <c r="R36" i="1"/>
  <c r="Q36" i="1"/>
  <c r="P36" i="1"/>
  <c r="U35" i="1"/>
  <c r="T35" i="1"/>
  <c r="S35" i="1"/>
  <c r="R35" i="1"/>
  <c r="Q35" i="1"/>
  <c r="P35" i="1"/>
  <c r="U34" i="1"/>
  <c r="T34" i="1"/>
  <c r="S34" i="1"/>
  <c r="R34" i="1"/>
  <c r="Q34" i="1"/>
  <c r="P34" i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30" i="1"/>
  <c r="T30" i="1"/>
  <c r="S30" i="1"/>
  <c r="R30" i="1"/>
  <c r="Q30" i="1"/>
  <c r="P30" i="1"/>
  <c r="U29" i="1"/>
  <c r="T29" i="1"/>
  <c r="S29" i="1"/>
  <c r="R29" i="1"/>
  <c r="Q29" i="1"/>
  <c r="P29" i="1"/>
  <c r="U28" i="1"/>
  <c r="T28" i="1"/>
  <c r="S28" i="1"/>
  <c r="R28" i="1"/>
  <c r="Q28" i="1"/>
  <c r="P28" i="1"/>
  <c r="U27" i="1"/>
  <c r="T27" i="1"/>
  <c r="S27" i="1"/>
  <c r="R27" i="1"/>
  <c r="Q27" i="1"/>
  <c r="P27" i="1"/>
  <c r="U26" i="1"/>
  <c r="T26" i="1"/>
  <c r="S26" i="1"/>
  <c r="R26" i="1"/>
  <c r="Q26" i="1"/>
  <c r="P26" i="1"/>
  <c r="U25" i="1"/>
  <c r="T25" i="1"/>
  <c r="S25" i="1"/>
  <c r="R25" i="1"/>
  <c r="Q25" i="1"/>
  <c r="P25" i="1"/>
  <c r="U24" i="1"/>
  <c r="T24" i="1"/>
  <c r="S24" i="1"/>
  <c r="R24" i="1"/>
  <c r="Q24" i="1"/>
  <c r="P24" i="1"/>
  <c r="U23" i="1"/>
  <c r="T23" i="1"/>
  <c r="S23" i="1"/>
  <c r="R23" i="1"/>
  <c r="Q23" i="1"/>
  <c r="P23" i="1"/>
  <c r="U22" i="1"/>
  <c r="T22" i="1"/>
  <c r="S22" i="1"/>
  <c r="R22" i="1"/>
  <c r="Q22" i="1"/>
  <c r="P22" i="1"/>
  <c r="U21" i="1"/>
  <c r="T21" i="1"/>
  <c r="S21" i="1"/>
  <c r="R21" i="1"/>
  <c r="Q21" i="1"/>
  <c r="P21" i="1"/>
  <c r="U20" i="1"/>
  <c r="T20" i="1"/>
  <c r="S20" i="1"/>
  <c r="R20" i="1"/>
  <c r="Q20" i="1"/>
  <c r="P20" i="1"/>
  <c r="U19" i="1"/>
  <c r="T19" i="1"/>
  <c r="S19" i="1"/>
  <c r="R19" i="1"/>
  <c r="Q19" i="1"/>
  <c r="P19" i="1"/>
  <c r="U18" i="1"/>
  <c r="T18" i="1"/>
  <c r="S18" i="1"/>
  <c r="R18" i="1"/>
  <c r="Q18" i="1"/>
  <c r="P18" i="1"/>
  <c r="U17" i="1"/>
  <c r="T17" i="1"/>
  <c r="S17" i="1"/>
  <c r="R17" i="1"/>
  <c r="Q17" i="1"/>
  <c r="P17" i="1"/>
  <c r="U16" i="1"/>
  <c r="T16" i="1"/>
  <c r="S16" i="1"/>
  <c r="R16" i="1"/>
  <c r="Q16" i="1"/>
  <c r="P16" i="1"/>
  <c r="U15" i="1"/>
  <c r="T15" i="1"/>
  <c r="S15" i="1"/>
  <c r="R15" i="1"/>
  <c r="Q15" i="1"/>
  <c r="P15" i="1"/>
  <c r="U14" i="1"/>
  <c r="T14" i="1"/>
  <c r="S14" i="1"/>
  <c r="R14" i="1"/>
  <c r="Q14" i="1"/>
  <c r="P14" i="1"/>
  <c r="U13" i="1"/>
  <c r="T13" i="1"/>
  <c r="S13" i="1"/>
  <c r="R13" i="1"/>
  <c r="Q13" i="1"/>
  <c r="P13" i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R10" i="1"/>
  <c r="Q10" i="1"/>
  <c r="P10" i="1"/>
  <c r="U9" i="1"/>
  <c r="T9" i="1"/>
  <c r="S9" i="1"/>
  <c r="R9" i="1"/>
  <c r="Q9" i="1"/>
  <c r="P9" i="1"/>
  <c r="U8" i="1"/>
  <c r="T8" i="1"/>
  <c r="S8" i="1"/>
  <c r="R8" i="1"/>
  <c r="Q8" i="1"/>
  <c r="P8" i="1"/>
  <c r="U7" i="1"/>
  <c r="T7" i="1"/>
  <c r="S7" i="1"/>
  <c r="R7" i="1"/>
  <c r="Q7" i="1"/>
  <c r="P7" i="1"/>
  <c r="U6" i="1"/>
  <c r="T6" i="1"/>
  <c r="S6" i="1"/>
  <c r="R6" i="1"/>
  <c r="Q6" i="1"/>
  <c r="P6" i="1"/>
  <c r="U5" i="1"/>
  <c r="T5" i="1"/>
  <c r="S5" i="1"/>
  <c r="R5" i="1"/>
  <c r="Q5" i="1"/>
  <c r="P5" i="1"/>
  <c r="U4" i="1"/>
  <c r="T4" i="1"/>
  <c r="S4" i="1"/>
  <c r="R4" i="1"/>
  <c r="Q4" i="1"/>
  <c r="P4" i="1"/>
  <c r="U3" i="1"/>
  <c r="T3" i="1"/>
  <c r="S3" i="1"/>
  <c r="R3" i="1"/>
  <c r="Q3" i="1"/>
  <c r="P3" i="1"/>
  <c r="U2" i="1"/>
  <c r="T2" i="1"/>
  <c r="S2" i="1"/>
  <c r="R2" i="1"/>
  <c r="Q2" i="1"/>
  <c r="P2" i="1"/>
</calcChain>
</file>

<file path=xl/sharedStrings.xml><?xml version="1.0" encoding="utf-8"?>
<sst xmlns="http://schemas.openxmlformats.org/spreadsheetml/2006/main" count="45021" uniqueCount="188">
  <si>
    <t>Date</t>
  </si>
  <si>
    <t>Campaign ID</t>
  </si>
  <si>
    <t>Campaign Name</t>
  </si>
  <si>
    <t>Client</t>
  </si>
  <si>
    <t>Platform</t>
  </si>
  <si>
    <t>Objective</t>
  </si>
  <si>
    <t>Ad Type</t>
  </si>
  <si>
    <t>Country</t>
  </si>
  <si>
    <t>Device</t>
  </si>
  <si>
    <t>Audience</t>
  </si>
  <si>
    <t>Impressions</t>
  </si>
  <si>
    <t>Clicks</t>
  </si>
  <si>
    <t>Spend (USD)</t>
  </si>
  <si>
    <t>Conversions</t>
  </si>
  <si>
    <t>Revenue (USD)</t>
  </si>
  <si>
    <t>CTR</t>
  </si>
  <si>
    <t>CPC (USD)</t>
  </si>
  <si>
    <t>CPA (USD)</t>
  </si>
  <si>
    <t>ROAS</t>
  </si>
  <si>
    <t>Conv. Rate</t>
  </si>
  <si>
    <t>Month</t>
  </si>
  <si>
    <t>CMP-1006</t>
  </si>
  <si>
    <t>ANeshBox Foods | Lead Gen | Carousel | Q2</t>
  </si>
  <si>
    <t>FreshBox Foods</t>
  </si>
  <si>
    <t>Meta Ads</t>
  </si>
  <si>
    <t>Lead Gen</t>
  </si>
  <si>
    <t>Carousel</t>
  </si>
  <si>
    <t>USA</t>
  </si>
  <si>
    <t>Desktop</t>
  </si>
  <si>
    <t>Interest-Based</t>
  </si>
  <si>
    <t>CMP-1016</t>
  </si>
  <si>
    <t>PixelPay | Sales | Spark Ads | Q4</t>
  </si>
  <si>
    <t>PixelPay</t>
  </si>
  <si>
    <t>TikTok Ads</t>
  </si>
  <si>
    <t>Sales</t>
  </si>
  <si>
    <t>Spark Ads</t>
  </si>
  <si>
    <t>UK</t>
  </si>
  <si>
    <t>Mobile</t>
  </si>
  <si>
    <t>Lookalike</t>
  </si>
  <si>
    <t>CMP-1018</t>
  </si>
  <si>
    <t>Nova Fitness | Brand Awareness | Sponsored Content | Q2</t>
  </si>
  <si>
    <t>Nova Fitness</t>
  </si>
  <si>
    <t>LinkedIn Ads</t>
  </si>
  <si>
    <t>Brand Awareness</t>
  </si>
  <si>
    <t>Sponsored Content</t>
  </si>
  <si>
    <t>Broad</t>
  </si>
  <si>
    <t>CMP-1019</t>
  </si>
  <si>
    <t>Zenith Realty | Brand Awareness | Display | Q3</t>
  </si>
  <si>
    <t>Zenith Realty</t>
  </si>
  <si>
    <t>Google Ads</t>
  </si>
  <si>
    <t>Display</t>
  </si>
  <si>
    <t>Australia</t>
  </si>
  <si>
    <t>CMP-1021</t>
  </si>
  <si>
    <t>PixelPay | Lead Gen | Text Ads | Q1</t>
  </si>
  <si>
    <t>Text Ads</t>
  </si>
  <si>
    <t>Germany</t>
  </si>
  <si>
    <t>CMP-1044</t>
  </si>
  <si>
    <t>TravelNest | Brand Awareness | TopView | Q4</t>
  </si>
  <si>
    <t>TravelNest</t>
  </si>
  <si>
    <t>TopView</t>
  </si>
  <si>
    <t>Canada</t>
  </si>
  <si>
    <t>Tablet</t>
  </si>
  <si>
    <t>Retargeting</t>
  </si>
  <si>
    <t>CMP-1048</t>
  </si>
  <si>
    <t>UrbanCart | Brand Awareness | Reels | Q4</t>
  </si>
  <si>
    <t>UrbanCart</t>
  </si>
  <si>
    <t>Reels</t>
  </si>
  <si>
    <t>CMP-1050</t>
  </si>
  <si>
    <t>BrightSmile Dental | Sales | YouTube | Q2</t>
  </si>
  <si>
    <t>BrightSmile Dental</t>
  </si>
  <si>
    <t>YouTube</t>
  </si>
  <si>
    <t>UAE</t>
  </si>
  <si>
    <t>CMP-1051</t>
  </si>
  <si>
    <t>BrightSmile Dental | Traffic | Audience | Q3</t>
  </si>
  <si>
    <t>Microsoft Ads</t>
  </si>
  <si>
    <t>Traffic</t>
  </si>
  <si>
    <t>CMP-1056</t>
  </si>
  <si>
    <t>UrbanCart | Brand Awareness | Sponsored Content | Q4</t>
  </si>
  <si>
    <t>CMP-1057</t>
  </si>
  <si>
    <t>EduSpark | App Installs | Reels | Q1</t>
  </si>
  <si>
    <t>EduSpark</t>
  </si>
  <si>
    <t>App Installs</t>
  </si>
  <si>
    <t>CMP-1060</t>
  </si>
  <si>
    <t>EduSpark | Sales | Message Ads | Q4</t>
  </si>
  <si>
    <t>Message Ads</t>
  </si>
  <si>
    <t>CMP-1004</t>
  </si>
  <si>
    <t>EduSpark | Brand Awareness | Spark Ads | Q4</t>
  </si>
  <si>
    <t>Custom List</t>
  </si>
  <si>
    <t>CMP-1005</t>
  </si>
  <si>
    <t>FreshBox Foods | App Installs | Display | Q1</t>
  </si>
  <si>
    <t>India</t>
  </si>
  <si>
    <t>CMP-1012</t>
  </si>
  <si>
    <t>Nova Fitness | Traffic | Audience | Q4</t>
  </si>
  <si>
    <t>CMP-1014</t>
  </si>
  <si>
    <t>BrightSmile Dental | Traffic | Sponsored Content | Q2</t>
  </si>
  <si>
    <t>CMP-1015</t>
  </si>
  <si>
    <t>FreshBox Foods | Brand Awareness | Shopping | Q3</t>
  </si>
  <si>
    <t>Shopping</t>
  </si>
  <si>
    <t>CMP-1020</t>
  </si>
  <si>
    <t>BrightSmile Dental | Traffic | Reels | Q4</t>
  </si>
  <si>
    <t>CMP-1022</t>
  </si>
  <si>
    <t>EduSpark | Lead Gen | In-Feed | Q2</t>
  </si>
  <si>
    <t>In-Feed</t>
  </si>
  <si>
    <t>CMP-1025</t>
  </si>
  <si>
    <t>UrbanCart | Brand Awareness | In-Feed | Q1</t>
  </si>
  <si>
    <t>CMP-1026</t>
  </si>
  <si>
    <t>TravelNest | App Installs | Search | Q2</t>
  </si>
  <si>
    <t>Search</t>
  </si>
  <si>
    <t>CMP-1027</t>
  </si>
  <si>
    <t>TravelNest | Brand Awareness | TopView | Q3</t>
  </si>
  <si>
    <t>CMP-1035</t>
  </si>
  <si>
    <t>FreshBox Foods | Sales | Display | Q3</t>
  </si>
  <si>
    <t>CMP-1039</t>
  </si>
  <si>
    <t>PixelPay | Traffic | Reels | Q3</t>
  </si>
  <si>
    <t>CMP-1043</t>
  </si>
  <si>
    <t>BrightSmile Dental | Lead Gen | Search | Q3</t>
  </si>
  <si>
    <t>CMP-1052</t>
  </si>
  <si>
    <t>Zenith Realty | Brand Awareness | Carousel | Q4</t>
  </si>
  <si>
    <t>CMP-1053</t>
  </si>
  <si>
    <t>BrightSmile Dental | Sales | Spark Ads | Q1</t>
  </si>
  <si>
    <t>CMP-1058</t>
  </si>
  <si>
    <t>FreshBox Foods | Traffic | YouTube | Q2</t>
  </si>
  <si>
    <t>CMP-1059</t>
  </si>
  <si>
    <t>Nova Fitness | Traffic | Spark Ads | Q3</t>
  </si>
  <si>
    <t>FreshBox Foods | Lead Gen | Carousel | Q2</t>
  </si>
  <si>
    <t>CMP-1009</t>
  </si>
  <si>
    <t>Nova Fitness | App Installs | Sponsored Content | Q1</t>
  </si>
  <si>
    <t>CMP-1024</t>
  </si>
  <si>
    <t>TravelNest | App Installs | Stories | Q4</t>
  </si>
  <si>
    <t>Stories</t>
  </si>
  <si>
    <t>CMP-1028</t>
  </si>
  <si>
    <t>Zenith Realty | Sales | Spark Ads | Q4</t>
  </si>
  <si>
    <t>CMP-1029</t>
  </si>
  <si>
    <t>FreshBox Foods | Traffic | Message Ads | Q1</t>
  </si>
  <si>
    <t>CMP-1037</t>
  </si>
  <si>
    <t>PixelPay | Lead Gen | Search | Q1</t>
  </si>
  <si>
    <t>CMP-1046</t>
  </si>
  <si>
    <t>PixelPay | Traffic | Shopping | Q2</t>
  </si>
  <si>
    <t>CMP-1010</t>
  </si>
  <si>
    <t>TravelNest | Sales | Audience | Q2</t>
  </si>
  <si>
    <t>CMP-1034</t>
  </si>
  <si>
    <t>CMP-1045</t>
  </si>
  <si>
    <t>EduSpark | App Installs | Shopping | Q1</t>
  </si>
  <si>
    <t>CMP-1047</t>
  </si>
  <si>
    <t>Zenith Realty | Lead Gen | Message Ads | Q3</t>
  </si>
  <si>
    <t>CMP-1055</t>
  </si>
  <si>
    <t>Nova Fitness | Traffic | YouTube | Q3</t>
  </si>
  <si>
    <t>CMP-1008</t>
  </si>
  <si>
    <t>FreshBox Foods | Traffic | Sponsored Content | Q4</t>
  </si>
  <si>
    <t>CMP-1011</t>
  </si>
  <si>
    <t>UrbanCart | Brand Awareness | TopView | Q3</t>
  </si>
  <si>
    <t>CMP-1017</t>
  </si>
  <si>
    <t>Zenith Realty | App Installs | Stories | Q1</t>
  </si>
  <si>
    <t>CMP-1031</t>
  </si>
  <si>
    <t>Zenith Realty | Brand Awareness | TopView | Q3</t>
  </si>
  <si>
    <t>CMP-1036</t>
  </si>
  <si>
    <t>PixelPay | Sales | Stories | Q4</t>
  </si>
  <si>
    <t>CMP-1038</t>
  </si>
  <si>
    <t>TravelNest | App Installs | Display | Q2</t>
  </si>
  <si>
    <t>CMP-1040</t>
  </si>
  <si>
    <t>UrbanCart | Traffic | Text Ads | Q4</t>
  </si>
  <si>
    <t>CMP-1042</t>
  </si>
  <si>
    <t>Zenith Realty | Sales | Search | Q2</t>
  </si>
  <si>
    <t>CMP-1054</t>
  </si>
  <si>
    <t>TravelNest | Brand Awareness | Sponsored Content | Q2</t>
  </si>
  <si>
    <t>CMP-1001</t>
  </si>
  <si>
    <t>Nova Fitness | Brand Awareness | TopView | Q1</t>
  </si>
  <si>
    <t>CMP-1007</t>
  </si>
  <si>
    <t>TravelNest | Traffic | Spark Ads | Q3</t>
  </si>
  <si>
    <t>CMP-1023</t>
  </si>
  <si>
    <t>TravelNest | Traffic | Audience | Q3</t>
  </si>
  <si>
    <t>CMP-1033</t>
  </si>
  <si>
    <t>FreshBox Foods | Traffic | TopView | Q1</t>
  </si>
  <si>
    <t>CMP-1002</t>
  </si>
  <si>
    <t>Zenith Realty | Lead Gen | Audience | Q2</t>
  </si>
  <si>
    <t>CMP-1003</t>
  </si>
  <si>
    <t>UrbanCart | Traffic | YouTube | Q3</t>
  </si>
  <si>
    <t>CMP-1030</t>
  </si>
  <si>
    <t>Nova Fitness | Sales | Search | Q2</t>
  </si>
  <si>
    <t>CMP-1032</t>
  </si>
  <si>
    <t>TravelNest | Lead Gen | Text Ads | Q4</t>
  </si>
  <si>
    <t>CMP-1041</t>
  </si>
  <si>
    <t>PixelPay | Traffic | TopView | Q1</t>
  </si>
  <si>
    <t>CMP-1049</t>
  </si>
  <si>
    <t>FreshBox Foods | App Installs | Feed | Q1</t>
  </si>
  <si>
    <t>Feed</t>
  </si>
  <si>
    <t>CMP-1013</t>
  </si>
  <si>
    <t>EduSpark | Brand Awareness | In-Feed |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</si>
</sst>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6B4A-4602-44CA-88AA-EC6267C08E7E}">
  <dimension ref="A1:U5001"/>
  <sheetViews>
    <sheetView tabSelected="1" zoomScaleNormal="100" workbookViewId="0">
      <selection activeCell="C4" sqref="C4"/>
    </sheetView>
  </sheetViews>
  <sheetFormatPr defaultColWidth="8.7109375" defaultRowHeight="15" x14ac:dyDescent="0.25"/>
  <cols>
    <col min="1" max="1" width="10.28515625" bestFit="1" customWidth="1"/>
    <col min="2" max="2" width="18.42578125" bestFit="1" customWidth="1"/>
    <col min="3" max="3" width="50.7109375" bestFit="1" customWidth="1"/>
    <col min="4" max="4" width="16.5703125" bestFit="1" customWidth="1"/>
    <col min="5" max="5" width="14" customWidth="1"/>
    <col min="6" max="6" width="15.7109375" bestFit="1" customWidth="1"/>
    <col min="7" max="7" width="17" bestFit="1" customWidth="1"/>
    <col min="8" max="8" width="13.5703125" bestFit="1" customWidth="1"/>
    <col min="9" max="9" width="12.7109375" bestFit="1" customWidth="1"/>
    <col min="10" max="10" width="15" bestFit="1" customWidth="1"/>
    <col min="11" max="11" width="18" bestFit="1" customWidth="1"/>
    <col min="12" max="12" width="11.7109375" bestFit="1" customWidth="1"/>
    <col min="13" max="13" width="18.85546875" bestFit="1" customWidth="1"/>
    <col min="14" max="14" width="18.7109375" bestFit="1" customWidth="1"/>
    <col min="15" max="15" width="21.5703125" bestFit="1" customWidth="1"/>
    <col min="16" max="16" width="10.140625" bestFit="1" customWidth="1"/>
    <col min="17" max="17" width="16.7109375" bestFit="1" customWidth="1"/>
    <col min="18" max="18" width="16.42578125" bestFit="1" customWidth="1"/>
    <col min="19" max="19" width="11.5703125" bestFit="1" customWidth="1"/>
    <col min="20" max="20" width="16.85546875" bestFit="1" customWidth="1"/>
    <col min="21" max="21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46023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7243</v>
      </c>
      <c r="L2">
        <v>86</v>
      </c>
      <c r="M2">
        <v>117.07</v>
      </c>
      <c r="N2">
        <v>2</v>
      </c>
      <c r="O2">
        <v>608.99</v>
      </c>
      <c r="P2">
        <f t="shared" ref="P2:Q65" si="0">IF(K2=0,0,L2/K2)</f>
        <v>1.1873533066408946E-2</v>
      </c>
      <c r="Q2">
        <f t="shared" si="0"/>
        <v>1.3612790697674417</v>
      </c>
      <c r="R2">
        <f t="shared" ref="R2:R65" si="1">IF(N2=0,0,M2/N2)</f>
        <v>58.534999999999997</v>
      </c>
      <c r="S2">
        <f t="shared" ref="S2:S65" si="2">IF(M2=0,0,O2/M2)</f>
        <v>5.2019304689502013</v>
      </c>
      <c r="T2">
        <f t="shared" ref="T2:T65" si="3">IF(L2=0,0,N2/L2)</f>
        <v>2.3255813953488372E-2</v>
      </c>
      <c r="U2" t="str">
        <f>YEAR('Campaign Data'!$A2)&amp;"-"&amp;TEXT(MONTH('Campaign Data'!$A2),"00")</f>
        <v>2026-01</v>
      </c>
    </row>
    <row r="3" spans="1:21" x14ac:dyDescent="0.25">
      <c r="A3">
        <v>46023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>
        <v>3361</v>
      </c>
      <c r="L3">
        <v>22</v>
      </c>
      <c r="M3">
        <v>10.3</v>
      </c>
      <c r="N3">
        <v>1</v>
      </c>
      <c r="O3">
        <v>127.69</v>
      </c>
      <c r="P3">
        <f t="shared" si="0"/>
        <v>6.5456709312704548E-3</v>
      </c>
      <c r="Q3">
        <f t="shared" si="0"/>
        <v>0.4681818181818182</v>
      </c>
      <c r="R3">
        <f t="shared" si="1"/>
        <v>10.3</v>
      </c>
      <c r="S3">
        <f t="shared" si="2"/>
        <v>12.397087378640776</v>
      </c>
      <c r="T3">
        <f t="shared" si="3"/>
        <v>4.5454545454545456E-2</v>
      </c>
      <c r="U3" t="str">
        <f>YEAR('Campaign Data'!$A3)&amp;"-"&amp;TEXT(MONTH('Campaign Data'!$A3),"00")</f>
        <v>2026-01</v>
      </c>
    </row>
    <row r="4" spans="1:21" x14ac:dyDescent="0.25">
      <c r="A4">
        <v>46023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27</v>
      </c>
      <c r="I4" t="s">
        <v>37</v>
      </c>
      <c r="J4" t="s">
        <v>45</v>
      </c>
      <c r="K4">
        <v>5774</v>
      </c>
      <c r="L4">
        <v>22</v>
      </c>
      <c r="M4">
        <v>158.80000000000001</v>
      </c>
      <c r="N4">
        <v>0</v>
      </c>
      <c r="O4">
        <v>0</v>
      </c>
      <c r="P4">
        <f t="shared" si="0"/>
        <v>3.8101835815725666E-3</v>
      </c>
      <c r="Q4">
        <f t="shared" si="0"/>
        <v>7.2181818181818187</v>
      </c>
      <c r="R4">
        <f t="shared" si="1"/>
        <v>0</v>
      </c>
      <c r="S4">
        <f t="shared" si="2"/>
        <v>0</v>
      </c>
      <c r="T4">
        <f t="shared" si="3"/>
        <v>0</v>
      </c>
      <c r="U4" t="str">
        <f>YEAR('Campaign Data'!$A4)&amp;"-"&amp;TEXT(MONTH('Campaign Data'!$A4),"00")</f>
        <v>2026-01</v>
      </c>
    </row>
    <row r="5" spans="1:21" x14ac:dyDescent="0.25">
      <c r="A5">
        <v>46023</v>
      </c>
      <c r="B5" t="s">
        <v>46</v>
      </c>
      <c r="C5" t="s">
        <v>47</v>
      </c>
      <c r="D5" t="s">
        <v>48</v>
      </c>
      <c r="E5" t="s">
        <v>49</v>
      </c>
      <c r="F5" t="s">
        <v>43</v>
      </c>
      <c r="G5" t="s">
        <v>50</v>
      </c>
      <c r="H5" t="s">
        <v>51</v>
      </c>
      <c r="I5" t="s">
        <v>37</v>
      </c>
      <c r="J5" t="s">
        <v>29</v>
      </c>
      <c r="K5">
        <v>18134</v>
      </c>
      <c r="L5">
        <v>674</v>
      </c>
      <c r="M5">
        <v>1230.01</v>
      </c>
      <c r="N5">
        <v>40</v>
      </c>
      <c r="O5">
        <v>863.45</v>
      </c>
      <c r="P5">
        <f t="shared" si="0"/>
        <v>3.7167751185618172E-2</v>
      </c>
      <c r="Q5">
        <f t="shared" si="0"/>
        <v>1.8249406528189911</v>
      </c>
      <c r="R5">
        <f t="shared" si="1"/>
        <v>30.750250000000001</v>
      </c>
      <c r="S5">
        <f t="shared" si="2"/>
        <v>0.70198616271412428</v>
      </c>
      <c r="T5">
        <f t="shared" si="3"/>
        <v>5.9347181008902079E-2</v>
      </c>
      <c r="U5" t="str">
        <f>YEAR('Campaign Data'!$A5)&amp;"-"&amp;TEXT(MONTH('Campaign Data'!$A5),"00")</f>
        <v>2026-01</v>
      </c>
    </row>
    <row r="6" spans="1:21" x14ac:dyDescent="0.25">
      <c r="A6">
        <v>46023</v>
      </c>
      <c r="B6" t="s">
        <v>52</v>
      </c>
      <c r="C6" t="s">
        <v>53</v>
      </c>
      <c r="D6" t="s">
        <v>32</v>
      </c>
      <c r="E6" t="s">
        <v>42</v>
      </c>
      <c r="F6" t="s">
        <v>25</v>
      </c>
      <c r="G6" t="s">
        <v>54</v>
      </c>
      <c r="H6" t="s">
        <v>55</v>
      </c>
      <c r="I6" t="s">
        <v>37</v>
      </c>
      <c r="J6" t="s">
        <v>45</v>
      </c>
      <c r="K6">
        <v>2549</v>
      </c>
      <c r="L6">
        <v>19</v>
      </c>
      <c r="M6">
        <v>108.96</v>
      </c>
      <c r="N6">
        <v>2</v>
      </c>
      <c r="O6">
        <v>298.60000000000002</v>
      </c>
      <c r="P6">
        <f t="shared" si="0"/>
        <v>7.4539034915653201E-3</v>
      </c>
      <c r="Q6">
        <f t="shared" si="0"/>
        <v>5.7347368421052627</v>
      </c>
      <c r="R6">
        <f t="shared" si="1"/>
        <v>54.48</v>
      </c>
      <c r="S6">
        <f t="shared" si="2"/>
        <v>2.7404552129221735</v>
      </c>
      <c r="T6">
        <f t="shared" si="3"/>
        <v>0.10526315789473684</v>
      </c>
      <c r="U6" t="str">
        <f>YEAR('Campaign Data'!$A6)&amp;"-"&amp;TEXT(MONTH('Campaign Data'!$A6),"00")</f>
        <v>2026-01</v>
      </c>
    </row>
    <row r="7" spans="1:21" x14ac:dyDescent="0.25">
      <c r="A7">
        <v>46023</v>
      </c>
      <c r="B7" t="s">
        <v>56</v>
      </c>
      <c r="C7" t="s">
        <v>57</v>
      </c>
      <c r="D7" t="s">
        <v>58</v>
      </c>
      <c r="E7" t="s">
        <v>33</v>
      </c>
      <c r="F7" t="s">
        <v>43</v>
      </c>
      <c r="G7" t="s">
        <v>59</v>
      </c>
      <c r="H7" t="s">
        <v>60</v>
      </c>
      <c r="I7" t="s">
        <v>37</v>
      </c>
      <c r="J7" t="s">
        <v>29</v>
      </c>
      <c r="K7">
        <v>16507</v>
      </c>
      <c r="L7">
        <v>157</v>
      </c>
      <c r="M7">
        <v>96.67</v>
      </c>
      <c r="N7">
        <v>7</v>
      </c>
      <c r="O7">
        <v>153.54</v>
      </c>
      <c r="P7">
        <f t="shared" si="0"/>
        <v>9.5111164960319863E-3</v>
      </c>
      <c r="Q7">
        <f t="shared" si="0"/>
        <v>0.61573248407643311</v>
      </c>
      <c r="R7">
        <f t="shared" si="1"/>
        <v>13.81</v>
      </c>
      <c r="S7">
        <f t="shared" si="2"/>
        <v>1.5882900589634839</v>
      </c>
      <c r="T7">
        <f t="shared" si="3"/>
        <v>4.4585987261146494E-2</v>
      </c>
      <c r="U7" t="str">
        <f>YEAR('Campaign Data'!$A7)&amp;"-"&amp;TEXT(MONTH('Campaign Data'!$A7),"00")</f>
        <v>2026-01</v>
      </c>
    </row>
    <row r="8" spans="1:21" x14ac:dyDescent="0.25">
      <c r="A8">
        <v>46023</v>
      </c>
      <c r="B8" t="s">
        <v>56</v>
      </c>
      <c r="C8" t="s">
        <v>57</v>
      </c>
      <c r="D8" t="s">
        <v>58</v>
      </c>
      <c r="E8" t="s">
        <v>33</v>
      </c>
      <c r="F8" t="s">
        <v>43</v>
      </c>
      <c r="G8" t="s">
        <v>59</v>
      </c>
      <c r="H8" t="s">
        <v>27</v>
      </c>
      <c r="I8" t="s">
        <v>61</v>
      </c>
      <c r="J8" t="s">
        <v>62</v>
      </c>
      <c r="K8">
        <v>3294</v>
      </c>
      <c r="L8">
        <v>59</v>
      </c>
      <c r="M8">
        <v>53.02</v>
      </c>
      <c r="N8">
        <v>1</v>
      </c>
      <c r="O8">
        <v>38.75</v>
      </c>
      <c r="P8">
        <f t="shared" si="0"/>
        <v>1.7911353976927748E-2</v>
      </c>
      <c r="Q8">
        <f t="shared" si="0"/>
        <v>0.89864406779661021</v>
      </c>
      <c r="R8">
        <f t="shared" si="1"/>
        <v>53.02</v>
      </c>
      <c r="S8">
        <f t="shared" si="2"/>
        <v>0.7308562806488117</v>
      </c>
      <c r="T8">
        <f t="shared" si="3"/>
        <v>1.6949152542372881E-2</v>
      </c>
      <c r="U8" t="str">
        <f>YEAR('Campaign Data'!$A8)&amp;"-"&amp;TEXT(MONTH('Campaign Data'!$A8),"00")</f>
        <v>2026-01</v>
      </c>
    </row>
    <row r="9" spans="1:21" x14ac:dyDescent="0.25">
      <c r="A9">
        <v>46023</v>
      </c>
      <c r="B9" t="s">
        <v>63</v>
      </c>
      <c r="C9" t="s">
        <v>64</v>
      </c>
      <c r="D9" t="s">
        <v>65</v>
      </c>
      <c r="E9" t="s">
        <v>24</v>
      </c>
      <c r="F9" t="s">
        <v>43</v>
      </c>
      <c r="G9" t="s">
        <v>66</v>
      </c>
      <c r="H9" t="s">
        <v>55</v>
      </c>
      <c r="I9" t="s">
        <v>28</v>
      </c>
      <c r="J9" t="s">
        <v>62</v>
      </c>
      <c r="K9">
        <v>8014</v>
      </c>
      <c r="L9">
        <v>135</v>
      </c>
      <c r="M9">
        <v>116.39</v>
      </c>
      <c r="N9">
        <v>7</v>
      </c>
      <c r="O9">
        <v>177.59</v>
      </c>
      <c r="P9">
        <f t="shared" si="0"/>
        <v>1.6845520339406041E-2</v>
      </c>
      <c r="Q9">
        <f t="shared" si="0"/>
        <v>0.86214814814814811</v>
      </c>
      <c r="R9">
        <f t="shared" si="1"/>
        <v>16.627142857142857</v>
      </c>
      <c r="S9">
        <f t="shared" si="2"/>
        <v>1.525818369275711</v>
      </c>
      <c r="T9">
        <f t="shared" si="3"/>
        <v>5.185185185185185E-2</v>
      </c>
      <c r="U9" t="str">
        <f>YEAR('Campaign Data'!$A9)&amp;"-"&amp;TEXT(MONTH('Campaign Data'!$A9),"00")</f>
        <v>2026-01</v>
      </c>
    </row>
    <row r="10" spans="1:21" x14ac:dyDescent="0.25">
      <c r="A10">
        <v>46023</v>
      </c>
      <c r="B10" t="s">
        <v>67</v>
      </c>
      <c r="C10" t="s">
        <v>68</v>
      </c>
      <c r="D10" t="s">
        <v>69</v>
      </c>
      <c r="E10" t="s">
        <v>49</v>
      </c>
      <c r="F10" t="s">
        <v>34</v>
      </c>
      <c r="G10" t="s">
        <v>70</v>
      </c>
      <c r="H10" t="s">
        <v>71</v>
      </c>
      <c r="I10" t="s">
        <v>28</v>
      </c>
      <c r="J10" t="s">
        <v>38</v>
      </c>
      <c r="K10">
        <v>3766</v>
      </c>
      <c r="L10">
        <v>286</v>
      </c>
      <c r="M10">
        <v>350.89</v>
      </c>
      <c r="N10">
        <v>19</v>
      </c>
      <c r="O10">
        <v>2206.52</v>
      </c>
      <c r="P10">
        <f t="shared" si="0"/>
        <v>7.5942644715878915E-2</v>
      </c>
      <c r="Q10">
        <f t="shared" si="0"/>
        <v>1.2268881118881119</v>
      </c>
      <c r="R10">
        <f t="shared" si="1"/>
        <v>18.467894736842105</v>
      </c>
      <c r="S10">
        <f t="shared" si="2"/>
        <v>6.2883524751346576</v>
      </c>
      <c r="T10">
        <f t="shared" si="3"/>
        <v>6.6433566433566432E-2</v>
      </c>
      <c r="U10" t="str">
        <f>YEAR('Campaign Data'!$A10)&amp;"-"&amp;TEXT(MONTH('Campaign Data'!$A10),"00")</f>
        <v>2026-01</v>
      </c>
    </row>
    <row r="11" spans="1:21" x14ac:dyDescent="0.25">
      <c r="A11">
        <v>46023</v>
      </c>
      <c r="B11" t="s">
        <v>72</v>
      </c>
      <c r="C11" t="s">
        <v>73</v>
      </c>
      <c r="D11" t="s">
        <v>69</v>
      </c>
      <c r="E11" t="s">
        <v>74</v>
      </c>
      <c r="F11" t="s">
        <v>75</v>
      </c>
      <c r="G11" t="s">
        <v>9</v>
      </c>
      <c r="H11" t="s">
        <v>27</v>
      </c>
      <c r="I11" t="s">
        <v>28</v>
      </c>
      <c r="J11" t="s">
        <v>29</v>
      </c>
      <c r="K11">
        <v>3141</v>
      </c>
      <c r="L11">
        <v>104</v>
      </c>
      <c r="M11">
        <v>120.11</v>
      </c>
      <c r="N11">
        <v>8</v>
      </c>
      <c r="O11">
        <v>420.17</v>
      </c>
      <c r="P11">
        <f t="shared" si="0"/>
        <v>3.3110474371219355E-2</v>
      </c>
      <c r="Q11">
        <f t="shared" si="0"/>
        <v>1.1549038461538461</v>
      </c>
      <c r="R11">
        <f t="shared" si="1"/>
        <v>15.01375</v>
      </c>
      <c r="S11">
        <f t="shared" si="2"/>
        <v>3.4982099741903259</v>
      </c>
      <c r="T11">
        <f t="shared" si="3"/>
        <v>7.6923076923076927E-2</v>
      </c>
      <c r="U11" t="str">
        <f>YEAR('Campaign Data'!$A11)&amp;"-"&amp;TEXT(MONTH('Campaign Data'!$A11),"00")</f>
        <v>2026-01</v>
      </c>
    </row>
    <row r="12" spans="1:21" x14ac:dyDescent="0.25">
      <c r="A12">
        <v>46023</v>
      </c>
      <c r="B12" t="s">
        <v>76</v>
      </c>
      <c r="C12" t="s">
        <v>77</v>
      </c>
      <c r="D12" t="s">
        <v>65</v>
      </c>
      <c r="E12" t="s">
        <v>42</v>
      </c>
      <c r="F12" t="s">
        <v>43</v>
      </c>
      <c r="G12" t="s">
        <v>44</v>
      </c>
      <c r="H12" t="s">
        <v>27</v>
      </c>
      <c r="I12" t="s">
        <v>37</v>
      </c>
      <c r="J12" t="s">
        <v>62</v>
      </c>
      <c r="K12">
        <v>6158</v>
      </c>
      <c r="L12">
        <v>42</v>
      </c>
      <c r="M12">
        <v>249.43</v>
      </c>
      <c r="N12">
        <v>0</v>
      </c>
      <c r="O12">
        <v>0</v>
      </c>
      <c r="P12">
        <f t="shared" si="0"/>
        <v>6.8203962325430337E-3</v>
      </c>
      <c r="Q12">
        <f t="shared" si="0"/>
        <v>5.9388095238095238</v>
      </c>
      <c r="R12">
        <f t="shared" si="1"/>
        <v>0</v>
      </c>
      <c r="S12">
        <f t="shared" si="2"/>
        <v>0</v>
      </c>
      <c r="T12">
        <f t="shared" si="3"/>
        <v>0</v>
      </c>
      <c r="U12" t="str">
        <f>YEAR('Campaign Data'!$A12)&amp;"-"&amp;TEXT(MONTH('Campaign Data'!$A12),"00")</f>
        <v>2026-01</v>
      </c>
    </row>
    <row r="13" spans="1:21" x14ac:dyDescent="0.25">
      <c r="A13">
        <v>46023</v>
      </c>
      <c r="B13" t="s">
        <v>78</v>
      </c>
      <c r="C13" t="s">
        <v>79</v>
      </c>
      <c r="D13" t="s">
        <v>80</v>
      </c>
      <c r="E13" t="s">
        <v>24</v>
      </c>
      <c r="F13" t="s">
        <v>81</v>
      </c>
      <c r="G13" t="s">
        <v>66</v>
      </c>
      <c r="H13" t="s">
        <v>55</v>
      </c>
      <c r="I13" t="s">
        <v>37</v>
      </c>
      <c r="J13" t="s">
        <v>29</v>
      </c>
      <c r="K13">
        <v>2190</v>
      </c>
      <c r="L13">
        <v>16</v>
      </c>
      <c r="M13">
        <v>11.39</v>
      </c>
      <c r="N13">
        <v>0</v>
      </c>
      <c r="O13">
        <v>0</v>
      </c>
      <c r="P13">
        <f t="shared" si="0"/>
        <v>7.3059360730593605E-3</v>
      </c>
      <c r="Q13">
        <f t="shared" si="0"/>
        <v>0.71187500000000004</v>
      </c>
      <c r="R13">
        <f t="shared" si="1"/>
        <v>0</v>
      </c>
      <c r="S13">
        <f t="shared" si="2"/>
        <v>0</v>
      </c>
      <c r="T13">
        <f t="shared" si="3"/>
        <v>0</v>
      </c>
      <c r="U13" t="str">
        <f>YEAR('Campaign Data'!$A13)&amp;"-"&amp;TEXT(MONTH('Campaign Data'!$A13),"00")</f>
        <v>2026-01</v>
      </c>
    </row>
    <row r="14" spans="1:21" x14ac:dyDescent="0.25">
      <c r="A14">
        <v>46023</v>
      </c>
      <c r="B14" t="s">
        <v>82</v>
      </c>
      <c r="C14" t="s">
        <v>83</v>
      </c>
      <c r="D14" t="s">
        <v>80</v>
      </c>
      <c r="E14" t="s">
        <v>42</v>
      </c>
      <c r="F14" t="s">
        <v>34</v>
      </c>
      <c r="G14" t="s">
        <v>84</v>
      </c>
      <c r="H14" t="s">
        <v>51</v>
      </c>
      <c r="I14" t="s">
        <v>37</v>
      </c>
      <c r="J14" t="s">
        <v>62</v>
      </c>
      <c r="K14">
        <v>5091</v>
      </c>
      <c r="L14">
        <v>32</v>
      </c>
      <c r="M14">
        <v>187.25</v>
      </c>
      <c r="N14">
        <v>1</v>
      </c>
      <c r="O14">
        <v>182.15</v>
      </c>
      <c r="P14">
        <f t="shared" si="0"/>
        <v>6.2856020428206641E-3</v>
      </c>
      <c r="Q14">
        <f t="shared" si="0"/>
        <v>5.8515625</v>
      </c>
      <c r="R14">
        <f t="shared" si="1"/>
        <v>187.25</v>
      </c>
      <c r="S14">
        <f t="shared" si="2"/>
        <v>0.97276368491321763</v>
      </c>
      <c r="T14">
        <f t="shared" si="3"/>
        <v>3.125E-2</v>
      </c>
      <c r="U14" t="str">
        <f>YEAR('Campaign Data'!$A14)&amp;"-"&amp;TEXT(MONTH('Campaign Data'!$A14),"00")</f>
        <v>2026-01</v>
      </c>
    </row>
    <row r="15" spans="1:21" x14ac:dyDescent="0.25">
      <c r="A15">
        <v>46024</v>
      </c>
      <c r="B15" t="s">
        <v>85</v>
      </c>
      <c r="C15" t="s">
        <v>86</v>
      </c>
      <c r="D15" t="s">
        <v>80</v>
      </c>
      <c r="E15" t="s">
        <v>33</v>
      </c>
      <c r="F15" t="s">
        <v>43</v>
      </c>
      <c r="G15" t="s">
        <v>35</v>
      </c>
      <c r="H15" t="s">
        <v>27</v>
      </c>
      <c r="I15" t="s">
        <v>28</v>
      </c>
      <c r="J15" t="s">
        <v>87</v>
      </c>
      <c r="K15">
        <v>3622</v>
      </c>
      <c r="L15">
        <v>30</v>
      </c>
      <c r="M15">
        <v>21.81</v>
      </c>
      <c r="N15">
        <v>1</v>
      </c>
      <c r="O15">
        <v>29.66</v>
      </c>
      <c r="P15">
        <f t="shared" si="0"/>
        <v>8.2827167310877969E-3</v>
      </c>
      <c r="Q15">
        <f t="shared" si="0"/>
        <v>0.72699999999999998</v>
      </c>
      <c r="R15">
        <f t="shared" si="1"/>
        <v>21.81</v>
      </c>
      <c r="S15">
        <f t="shared" si="2"/>
        <v>1.3599266391563505</v>
      </c>
      <c r="T15">
        <f t="shared" si="3"/>
        <v>3.3333333333333333E-2</v>
      </c>
      <c r="U15" t="str">
        <f>YEAR('Campaign Data'!$A15)&amp;"-"&amp;TEXT(MONTH('Campaign Data'!$A15),"00")</f>
        <v>2026-01</v>
      </c>
    </row>
    <row r="16" spans="1:21" x14ac:dyDescent="0.25">
      <c r="A16">
        <v>46024</v>
      </c>
      <c r="B16" t="s">
        <v>88</v>
      </c>
      <c r="C16" t="s">
        <v>89</v>
      </c>
      <c r="D16" t="s">
        <v>23</v>
      </c>
      <c r="E16" t="s">
        <v>49</v>
      </c>
      <c r="F16" t="s">
        <v>81</v>
      </c>
      <c r="G16" t="s">
        <v>50</v>
      </c>
      <c r="H16" t="s">
        <v>90</v>
      </c>
      <c r="I16" t="s">
        <v>37</v>
      </c>
      <c r="J16" t="s">
        <v>38</v>
      </c>
      <c r="K16">
        <v>4264</v>
      </c>
      <c r="L16">
        <v>180</v>
      </c>
      <c r="M16">
        <v>106.65</v>
      </c>
      <c r="N16">
        <v>5</v>
      </c>
      <c r="O16">
        <v>25</v>
      </c>
      <c r="P16">
        <f t="shared" si="0"/>
        <v>4.2213883677298308E-2</v>
      </c>
      <c r="Q16">
        <f t="shared" si="0"/>
        <v>0.59250000000000003</v>
      </c>
      <c r="R16">
        <f t="shared" si="1"/>
        <v>21.330000000000002</v>
      </c>
      <c r="S16">
        <f t="shared" si="2"/>
        <v>0.23441162681669009</v>
      </c>
      <c r="T16">
        <f t="shared" si="3"/>
        <v>2.7777777777777776E-2</v>
      </c>
      <c r="U16" t="str">
        <f>YEAR('Campaign Data'!$A16)&amp;"-"&amp;TEXT(MONTH('Campaign Data'!$A16),"00")</f>
        <v>2026-01</v>
      </c>
    </row>
    <row r="17" spans="1:21" x14ac:dyDescent="0.25">
      <c r="A17">
        <v>46024</v>
      </c>
      <c r="B17" t="s">
        <v>91</v>
      </c>
      <c r="C17" t="s">
        <v>92</v>
      </c>
      <c r="D17" t="s">
        <v>41</v>
      </c>
      <c r="E17" t="s">
        <v>74</v>
      </c>
      <c r="F17" t="s">
        <v>75</v>
      </c>
      <c r="G17" t="s">
        <v>9</v>
      </c>
      <c r="H17" t="s">
        <v>71</v>
      </c>
      <c r="I17" t="s">
        <v>37</v>
      </c>
      <c r="J17" t="s">
        <v>62</v>
      </c>
      <c r="K17">
        <v>11793</v>
      </c>
      <c r="L17">
        <v>480</v>
      </c>
      <c r="M17">
        <v>408.04</v>
      </c>
      <c r="N17">
        <v>18</v>
      </c>
      <c r="O17">
        <v>863.74</v>
      </c>
      <c r="P17">
        <f t="shared" si="0"/>
        <v>4.0702111422030021E-2</v>
      </c>
      <c r="Q17">
        <f t="shared" si="0"/>
        <v>0.85008333333333341</v>
      </c>
      <c r="R17">
        <f t="shared" si="1"/>
        <v>22.66888888888889</v>
      </c>
      <c r="S17">
        <f t="shared" si="2"/>
        <v>2.1168022742868344</v>
      </c>
      <c r="T17">
        <f t="shared" si="3"/>
        <v>3.7499999999999999E-2</v>
      </c>
      <c r="U17" t="str">
        <f>YEAR('Campaign Data'!$A17)&amp;"-"&amp;TEXT(MONTH('Campaign Data'!$A17),"00")</f>
        <v>2026-01</v>
      </c>
    </row>
    <row r="18" spans="1:21" x14ac:dyDescent="0.25">
      <c r="A18">
        <v>46024</v>
      </c>
      <c r="B18" t="s">
        <v>93</v>
      </c>
      <c r="C18" t="s">
        <v>94</v>
      </c>
      <c r="D18" t="s">
        <v>69</v>
      </c>
      <c r="E18" t="s">
        <v>42</v>
      </c>
      <c r="F18" t="s">
        <v>75</v>
      </c>
      <c r="G18" t="s">
        <v>44</v>
      </c>
      <c r="H18" t="s">
        <v>71</v>
      </c>
      <c r="I18" t="s">
        <v>37</v>
      </c>
      <c r="J18" t="s">
        <v>38</v>
      </c>
      <c r="K18">
        <v>1567</v>
      </c>
      <c r="L18">
        <v>11</v>
      </c>
      <c r="M18">
        <v>54.6</v>
      </c>
      <c r="N18">
        <v>0</v>
      </c>
      <c r="O18">
        <v>0</v>
      </c>
      <c r="P18">
        <f t="shared" si="0"/>
        <v>7.0197830248883214E-3</v>
      </c>
      <c r="Q18">
        <f t="shared" si="0"/>
        <v>4.9636363636363638</v>
      </c>
      <c r="R18">
        <f t="shared" si="1"/>
        <v>0</v>
      </c>
      <c r="S18">
        <f t="shared" si="2"/>
        <v>0</v>
      </c>
      <c r="T18">
        <f t="shared" si="3"/>
        <v>0</v>
      </c>
      <c r="U18" t="str">
        <f>YEAR('Campaign Data'!$A18)&amp;"-"&amp;TEXT(MONTH('Campaign Data'!$A18),"00")</f>
        <v>2026-01</v>
      </c>
    </row>
    <row r="19" spans="1:21" x14ac:dyDescent="0.25">
      <c r="A19">
        <v>46024</v>
      </c>
      <c r="B19" t="s">
        <v>95</v>
      </c>
      <c r="C19" t="s">
        <v>96</v>
      </c>
      <c r="D19" t="s">
        <v>23</v>
      </c>
      <c r="E19" t="s">
        <v>49</v>
      </c>
      <c r="F19" t="s">
        <v>43</v>
      </c>
      <c r="G19" t="s">
        <v>97</v>
      </c>
      <c r="H19" t="s">
        <v>36</v>
      </c>
      <c r="I19" t="s">
        <v>37</v>
      </c>
      <c r="J19" t="s">
        <v>87</v>
      </c>
      <c r="K19">
        <v>7188</v>
      </c>
      <c r="L19">
        <v>380</v>
      </c>
      <c r="M19">
        <v>955.42</v>
      </c>
      <c r="N19">
        <v>18</v>
      </c>
      <c r="O19">
        <v>504.05</v>
      </c>
      <c r="P19">
        <f t="shared" si="0"/>
        <v>5.2865887590428491E-2</v>
      </c>
      <c r="Q19">
        <f t="shared" si="0"/>
        <v>2.5142631578947365</v>
      </c>
      <c r="R19">
        <f t="shared" si="1"/>
        <v>53.078888888888883</v>
      </c>
      <c r="S19">
        <f t="shared" si="2"/>
        <v>0.52756902723409604</v>
      </c>
      <c r="T19">
        <f t="shared" si="3"/>
        <v>4.736842105263158E-2</v>
      </c>
      <c r="U19" t="str">
        <f>YEAR('Campaign Data'!$A19)&amp;"-"&amp;TEXT(MONTH('Campaign Data'!$A19),"00")</f>
        <v>2026-01</v>
      </c>
    </row>
    <row r="20" spans="1:21" x14ac:dyDescent="0.25">
      <c r="A20">
        <v>46024</v>
      </c>
      <c r="B20" t="s">
        <v>30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90</v>
      </c>
      <c r="I20" t="s">
        <v>61</v>
      </c>
      <c r="J20" t="s">
        <v>29</v>
      </c>
      <c r="K20">
        <v>6617</v>
      </c>
      <c r="L20">
        <v>48</v>
      </c>
      <c r="M20">
        <v>6.21</v>
      </c>
      <c r="N20">
        <v>0</v>
      </c>
      <c r="O20">
        <v>0</v>
      </c>
      <c r="P20">
        <f t="shared" si="0"/>
        <v>7.2540426175003777E-3</v>
      </c>
      <c r="Q20">
        <f t="shared" si="0"/>
        <v>0.12937499999999999</v>
      </c>
      <c r="R20">
        <f t="shared" si="1"/>
        <v>0</v>
      </c>
      <c r="S20">
        <f t="shared" si="2"/>
        <v>0</v>
      </c>
      <c r="T20">
        <f t="shared" si="3"/>
        <v>0</v>
      </c>
      <c r="U20" t="str">
        <f>YEAR('Campaign Data'!$A20)&amp;"-"&amp;TEXT(MONTH('Campaign Data'!$A20),"00")</f>
        <v>2026-01</v>
      </c>
    </row>
    <row r="21" spans="1:21" x14ac:dyDescent="0.25">
      <c r="A21">
        <v>46024</v>
      </c>
      <c r="B21" t="s">
        <v>98</v>
      </c>
      <c r="C21" t="s">
        <v>99</v>
      </c>
      <c r="D21" t="s">
        <v>69</v>
      </c>
      <c r="E21" t="s">
        <v>24</v>
      </c>
      <c r="F21" t="s">
        <v>75</v>
      </c>
      <c r="G21" t="s">
        <v>66</v>
      </c>
      <c r="H21" t="s">
        <v>90</v>
      </c>
      <c r="I21" t="s">
        <v>28</v>
      </c>
      <c r="J21" t="s">
        <v>29</v>
      </c>
      <c r="K21">
        <v>6752</v>
      </c>
      <c r="L21">
        <v>78</v>
      </c>
      <c r="M21">
        <v>27.67</v>
      </c>
      <c r="N21">
        <v>1</v>
      </c>
      <c r="O21">
        <v>5.33</v>
      </c>
      <c r="P21">
        <f t="shared" si="0"/>
        <v>1.1552132701421801E-2</v>
      </c>
      <c r="Q21">
        <f t="shared" si="0"/>
        <v>0.35474358974358977</v>
      </c>
      <c r="R21">
        <f t="shared" si="1"/>
        <v>27.67</v>
      </c>
      <c r="S21">
        <f t="shared" si="2"/>
        <v>0.1926273942898446</v>
      </c>
      <c r="T21">
        <f t="shared" si="3"/>
        <v>1.282051282051282E-2</v>
      </c>
      <c r="U21" t="str">
        <f>YEAR('Campaign Data'!$A21)&amp;"-"&amp;TEXT(MONTH('Campaign Data'!$A21),"00")</f>
        <v>2026-01</v>
      </c>
    </row>
    <row r="22" spans="1:21" x14ac:dyDescent="0.25">
      <c r="A22">
        <v>46024</v>
      </c>
      <c r="B22" t="s">
        <v>52</v>
      </c>
      <c r="C22" t="s">
        <v>53</v>
      </c>
      <c r="D22" t="s">
        <v>32</v>
      </c>
      <c r="E22" t="s">
        <v>42</v>
      </c>
      <c r="F22" t="s">
        <v>25</v>
      </c>
      <c r="G22" t="s">
        <v>54</v>
      </c>
      <c r="H22" t="s">
        <v>90</v>
      </c>
      <c r="I22" t="s">
        <v>37</v>
      </c>
      <c r="J22" t="s">
        <v>87</v>
      </c>
      <c r="K22">
        <v>4607</v>
      </c>
      <c r="L22">
        <v>26</v>
      </c>
      <c r="M22">
        <v>47.02</v>
      </c>
      <c r="N22">
        <v>0</v>
      </c>
      <c r="O22">
        <v>0</v>
      </c>
      <c r="P22">
        <f t="shared" si="0"/>
        <v>5.6435858476231822E-3</v>
      </c>
      <c r="Q22">
        <f t="shared" si="0"/>
        <v>1.8084615384615386</v>
      </c>
      <c r="R22">
        <f t="shared" si="1"/>
        <v>0</v>
      </c>
      <c r="S22">
        <f t="shared" si="2"/>
        <v>0</v>
      </c>
      <c r="T22">
        <f t="shared" si="3"/>
        <v>0</v>
      </c>
      <c r="U22" t="str">
        <f>YEAR('Campaign Data'!$A22)&amp;"-"&amp;TEXT(MONTH('Campaign Data'!$A22),"00")</f>
        <v>2026-01</v>
      </c>
    </row>
    <row r="23" spans="1:21" x14ac:dyDescent="0.25">
      <c r="A23">
        <v>46024</v>
      </c>
      <c r="B23" t="s">
        <v>100</v>
      </c>
      <c r="C23" t="s">
        <v>101</v>
      </c>
      <c r="D23" t="s">
        <v>80</v>
      </c>
      <c r="E23" t="s">
        <v>33</v>
      </c>
      <c r="F23" t="s">
        <v>25</v>
      </c>
      <c r="G23" t="s">
        <v>102</v>
      </c>
      <c r="H23" t="s">
        <v>27</v>
      </c>
      <c r="I23" t="s">
        <v>28</v>
      </c>
      <c r="J23" t="s">
        <v>87</v>
      </c>
      <c r="K23">
        <v>3585</v>
      </c>
      <c r="L23">
        <v>28</v>
      </c>
      <c r="M23">
        <v>14.69</v>
      </c>
      <c r="N23">
        <v>0</v>
      </c>
      <c r="O23">
        <v>0</v>
      </c>
      <c r="P23">
        <f t="shared" si="0"/>
        <v>7.8103207810320784E-3</v>
      </c>
      <c r="Q23">
        <f t="shared" si="0"/>
        <v>0.52464285714285708</v>
      </c>
      <c r="R23">
        <f t="shared" si="1"/>
        <v>0</v>
      </c>
      <c r="S23">
        <f t="shared" si="2"/>
        <v>0</v>
      </c>
      <c r="T23">
        <f t="shared" si="3"/>
        <v>0</v>
      </c>
      <c r="U23" t="str">
        <f>YEAR('Campaign Data'!$A23)&amp;"-"&amp;TEXT(MONTH('Campaign Data'!$A23),"00")</f>
        <v>2026-01</v>
      </c>
    </row>
    <row r="24" spans="1:21" x14ac:dyDescent="0.25">
      <c r="A24">
        <v>46024</v>
      </c>
      <c r="B24" t="s">
        <v>103</v>
      </c>
      <c r="C24" t="s">
        <v>104</v>
      </c>
      <c r="D24" t="s">
        <v>65</v>
      </c>
      <c r="E24" t="s">
        <v>33</v>
      </c>
      <c r="F24" t="s">
        <v>43</v>
      </c>
      <c r="G24" t="s">
        <v>102</v>
      </c>
      <c r="H24" t="s">
        <v>51</v>
      </c>
      <c r="I24" t="s">
        <v>37</v>
      </c>
      <c r="J24" t="s">
        <v>45</v>
      </c>
      <c r="K24">
        <v>8798</v>
      </c>
      <c r="L24">
        <v>101</v>
      </c>
      <c r="M24">
        <v>60</v>
      </c>
      <c r="N24">
        <v>2</v>
      </c>
      <c r="O24">
        <v>57.84</v>
      </c>
      <c r="P24">
        <f t="shared" si="0"/>
        <v>1.1479881791316208E-2</v>
      </c>
      <c r="Q24">
        <f t="shared" si="0"/>
        <v>0.59405940594059403</v>
      </c>
      <c r="R24">
        <f t="shared" si="1"/>
        <v>30</v>
      </c>
      <c r="S24">
        <f t="shared" si="2"/>
        <v>0.96400000000000008</v>
      </c>
      <c r="T24">
        <f t="shared" si="3"/>
        <v>1.9801980198019802E-2</v>
      </c>
      <c r="U24" t="str">
        <f>YEAR('Campaign Data'!$A24)&amp;"-"&amp;TEXT(MONTH('Campaign Data'!$A24),"00")</f>
        <v>2026-01</v>
      </c>
    </row>
    <row r="25" spans="1:21" x14ac:dyDescent="0.25">
      <c r="A25">
        <v>46024</v>
      </c>
      <c r="B25" t="s">
        <v>105</v>
      </c>
      <c r="C25" t="s">
        <v>106</v>
      </c>
      <c r="D25" t="s">
        <v>58</v>
      </c>
      <c r="E25" t="s">
        <v>49</v>
      </c>
      <c r="F25" t="s">
        <v>81</v>
      </c>
      <c r="G25" t="s">
        <v>107</v>
      </c>
      <c r="H25" t="s">
        <v>36</v>
      </c>
      <c r="I25" t="s">
        <v>37</v>
      </c>
      <c r="J25" t="s">
        <v>87</v>
      </c>
      <c r="K25">
        <v>22081</v>
      </c>
      <c r="L25">
        <v>743</v>
      </c>
      <c r="M25">
        <v>1189.99</v>
      </c>
      <c r="N25">
        <v>27</v>
      </c>
      <c r="O25">
        <v>309.73</v>
      </c>
      <c r="P25">
        <f t="shared" si="0"/>
        <v>3.3648838367827547E-2</v>
      </c>
      <c r="Q25">
        <f t="shared" si="0"/>
        <v>1.6016016150740242</v>
      </c>
      <c r="R25">
        <f t="shared" si="1"/>
        <v>44.073703703703707</v>
      </c>
      <c r="S25">
        <f t="shared" si="2"/>
        <v>0.26027949814704326</v>
      </c>
      <c r="T25">
        <f t="shared" si="3"/>
        <v>3.6339165545087482E-2</v>
      </c>
      <c r="U25" t="str">
        <f>YEAR('Campaign Data'!$A25)&amp;"-"&amp;TEXT(MONTH('Campaign Data'!$A25),"00")</f>
        <v>2026-01</v>
      </c>
    </row>
    <row r="26" spans="1:21" x14ac:dyDescent="0.25">
      <c r="A26">
        <v>46024</v>
      </c>
      <c r="B26" t="s">
        <v>108</v>
      </c>
      <c r="C26" t="s">
        <v>109</v>
      </c>
      <c r="D26" t="s">
        <v>58</v>
      </c>
      <c r="E26" t="s">
        <v>33</v>
      </c>
      <c r="F26" t="s">
        <v>43</v>
      </c>
      <c r="G26" t="s">
        <v>59</v>
      </c>
      <c r="H26" t="s">
        <v>55</v>
      </c>
      <c r="I26" t="s">
        <v>37</v>
      </c>
      <c r="J26" t="s">
        <v>45</v>
      </c>
      <c r="K26">
        <v>33484</v>
      </c>
      <c r="L26">
        <v>272</v>
      </c>
      <c r="M26">
        <v>135.91</v>
      </c>
      <c r="N26">
        <v>4</v>
      </c>
      <c r="O26">
        <v>45.7</v>
      </c>
      <c r="P26">
        <f t="shared" si="0"/>
        <v>8.1232827619161386E-3</v>
      </c>
      <c r="Q26">
        <f t="shared" si="0"/>
        <v>0.49966911764705879</v>
      </c>
      <c r="R26">
        <f t="shared" si="1"/>
        <v>33.977499999999999</v>
      </c>
      <c r="S26">
        <f t="shared" si="2"/>
        <v>0.33625193142520787</v>
      </c>
      <c r="T26">
        <f t="shared" si="3"/>
        <v>1.4705882352941176E-2</v>
      </c>
      <c r="U26" t="str">
        <f>YEAR('Campaign Data'!$A26)&amp;"-"&amp;TEXT(MONTH('Campaign Data'!$A26),"00")</f>
        <v>2026-01</v>
      </c>
    </row>
    <row r="27" spans="1:21" x14ac:dyDescent="0.25">
      <c r="A27">
        <v>46024</v>
      </c>
      <c r="B27" t="s">
        <v>108</v>
      </c>
      <c r="C27" t="s">
        <v>109</v>
      </c>
      <c r="D27" t="s">
        <v>58</v>
      </c>
      <c r="E27" t="s">
        <v>33</v>
      </c>
      <c r="F27" t="s">
        <v>43</v>
      </c>
      <c r="G27" t="s">
        <v>59</v>
      </c>
      <c r="H27" t="s">
        <v>27</v>
      </c>
      <c r="I27" t="s">
        <v>37</v>
      </c>
      <c r="J27" t="s">
        <v>45</v>
      </c>
      <c r="K27">
        <v>6247</v>
      </c>
      <c r="L27">
        <v>98</v>
      </c>
      <c r="M27">
        <v>83.8</v>
      </c>
      <c r="N27">
        <v>1</v>
      </c>
      <c r="O27">
        <v>20.010000000000002</v>
      </c>
      <c r="P27">
        <f t="shared" si="0"/>
        <v>1.5687530014406915E-2</v>
      </c>
      <c r="Q27">
        <f t="shared" si="0"/>
        <v>0.85510204081632646</v>
      </c>
      <c r="R27">
        <f t="shared" si="1"/>
        <v>83.8</v>
      </c>
      <c r="S27">
        <f t="shared" si="2"/>
        <v>0.23878281622911698</v>
      </c>
      <c r="T27">
        <f t="shared" si="3"/>
        <v>1.020408163265306E-2</v>
      </c>
      <c r="U27" t="str">
        <f>YEAR('Campaign Data'!$A27)&amp;"-"&amp;TEXT(MONTH('Campaign Data'!$A27),"00")</f>
        <v>2026-01</v>
      </c>
    </row>
    <row r="28" spans="1:21" x14ac:dyDescent="0.25">
      <c r="A28">
        <v>46024</v>
      </c>
      <c r="B28" t="s">
        <v>110</v>
      </c>
      <c r="C28" t="s">
        <v>111</v>
      </c>
      <c r="D28" t="s">
        <v>23</v>
      </c>
      <c r="E28" t="s">
        <v>49</v>
      </c>
      <c r="F28" t="s">
        <v>34</v>
      </c>
      <c r="G28" t="s">
        <v>50</v>
      </c>
      <c r="H28" t="s">
        <v>90</v>
      </c>
      <c r="I28" t="s">
        <v>28</v>
      </c>
      <c r="J28" t="s">
        <v>38</v>
      </c>
      <c r="K28">
        <v>20861</v>
      </c>
      <c r="L28">
        <v>852</v>
      </c>
      <c r="M28">
        <v>469.51</v>
      </c>
      <c r="N28">
        <v>51</v>
      </c>
      <c r="O28">
        <v>1922.14</v>
      </c>
      <c r="P28">
        <f t="shared" si="0"/>
        <v>4.0841762139878245E-2</v>
      </c>
      <c r="Q28">
        <f t="shared" si="0"/>
        <v>0.55106807511737088</v>
      </c>
      <c r="R28">
        <f t="shared" si="1"/>
        <v>9.2060784313725481</v>
      </c>
      <c r="S28">
        <f t="shared" si="2"/>
        <v>4.0939277118698216</v>
      </c>
      <c r="T28">
        <f t="shared" si="3"/>
        <v>5.9859154929577461E-2</v>
      </c>
      <c r="U28" t="str">
        <f>YEAR('Campaign Data'!$A28)&amp;"-"&amp;TEXT(MONTH('Campaign Data'!$A28),"00")</f>
        <v>2026-01</v>
      </c>
    </row>
    <row r="29" spans="1:21" x14ac:dyDescent="0.25">
      <c r="A29">
        <v>46024</v>
      </c>
      <c r="B29" t="s">
        <v>112</v>
      </c>
      <c r="C29" t="s">
        <v>113</v>
      </c>
      <c r="D29" t="s">
        <v>32</v>
      </c>
      <c r="E29" t="s">
        <v>24</v>
      </c>
      <c r="F29" t="s">
        <v>75</v>
      </c>
      <c r="G29" t="s">
        <v>66</v>
      </c>
      <c r="H29" t="s">
        <v>51</v>
      </c>
      <c r="I29" t="s">
        <v>37</v>
      </c>
      <c r="J29" t="s">
        <v>38</v>
      </c>
      <c r="K29">
        <v>6415</v>
      </c>
      <c r="L29">
        <v>94</v>
      </c>
      <c r="M29">
        <v>73.39</v>
      </c>
      <c r="N29">
        <v>3</v>
      </c>
      <c r="O29">
        <v>63.67</v>
      </c>
      <c r="P29">
        <f t="shared" si="0"/>
        <v>1.4653156664068589E-2</v>
      </c>
      <c r="Q29">
        <f t="shared" si="0"/>
        <v>0.78074468085106385</v>
      </c>
      <c r="R29">
        <f t="shared" si="1"/>
        <v>24.463333333333335</v>
      </c>
      <c r="S29">
        <f t="shared" si="2"/>
        <v>0.86755688785938145</v>
      </c>
      <c r="T29">
        <f t="shared" si="3"/>
        <v>3.1914893617021274E-2</v>
      </c>
      <c r="U29" t="str">
        <f>YEAR('Campaign Data'!$A29)&amp;"-"&amp;TEXT(MONTH('Campaign Data'!$A29),"00")</f>
        <v>2026-01</v>
      </c>
    </row>
    <row r="30" spans="1:21" x14ac:dyDescent="0.25">
      <c r="A30">
        <v>46024</v>
      </c>
      <c r="B30" t="s">
        <v>114</v>
      </c>
      <c r="C30" t="s">
        <v>115</v>
      </c>
      <c r="D30" t="s">
        <v>69</v>
      </c>
      <c r="E30" t="s">
        <v>49</v>
      </c>
      <c r="F30" t="s">
        <v>25</v>
      </c>
      <c r="G30" t="s">
        <v>107</v>
      </c>
      <c r="H30" t="s">
        <v>27</v>
      </c>
      <c r="I30" t="s">
        <v>37</v>
      </c>
      <c r="J30" t="s">
        <v>45</v>
      </c>
      <c r="K30">
        <v>2457</v>
      </c>
      <c r="L30">
        <v>114</v>
      </c>
      <c r="M30">
        <v>231.73</v>
      </c>
      <c r="N30">
        <v>4</v>
      </c>
      <c r="O30">
        <v>955.68</v>
      </c>
      <c r="P30">
        <f t="shared" si="0"/>
        <v>4.63980463980464E-2</v>
      </c>
      <c r="Q30">
        <f t="shared" si="0"/>
        <v>2.0327192982456141</v>
      </c>
      <c r="R30">
        <f t="shared" si="1"/>
        <v>57.932499999999997</v>
      </c>
      <c r="S30">
        <f t="shared" si="2"/>
        <v>4.1241099555517193</v>
      </c>
      <c r="T30">
        <f t="shared" si="3"/>
        <v>3.5087719298245612E-2</v>
      </c>
      <c r="U30" t="str">
        <f>YEAR('Campaign Data'!$A30)&amp;"-"&amp;TEXT(MONTH('Campaign Data'!$A30),"00")</f>
        <v>2026-01</v>
      </c>
    </row>
    <row r="31" spans="1:21" x14ac:dyDescent="0.25">
      <c r="A31">
        <v>46024</v>
      </c>
      <c r="B31" t="s">
        <v>67</v>
      </c>
      <c r="C31" t="s">
        <v>68</v>
      </c>
      <c r="D31" t="s">
        <v>69</v>
      </c>
      <c r="E31" t="s">
        <v>49</v>
      </c>
      <c r="F31" t="s">
        <v>34</v>
      </c>
      <c r="G31" t="s">
        <v>70</v>
      </c>
      <c r="H31" t="s">
        <v>71</v>
      </c>
      <c r="I31" t="s">
        <v>37</v>
      </c>
      <c r="J31" t="s">
        <v>62</v>
      </c>
      <c r="K31">
        <v>11605</v>
      </c>
      <c r="L31">
        <v>781</v>
      </c>
      <c r="M31">
        <v>1161.21</v>
      </c>
      <c r="N31">
        <v>49</v>
      </c>
      <c r="O31">
        <v>5110.16</v>
      </c>
      <c r="P31">
        <f t="shared" si="0"/>
        <v>6.7298578199052134E-2</v>
      </c>
      <c r="Q31">
        <f t="shared" si="0"/>
        <v>1.4868245838668375</v>
      </c>
      <c r="R31">
        <f t="shared" si="1"/>
        <v>23.698163265306125</v>
      </c>
      <c r="S31">
        <f t="shared" si="2"/>
        <v>4.4007199386846478</v>
      </c>
      <c r="T31">
        <f t="shared" si="3"/>
        <v>6.2740076824583865E-2</v>
      </c>
      <c r="U31" t="str">
        <f>YEAR('Campaign Data'!$A31)&amp;"-"&amp;TEXT(MONTH('Campaign Data'!$A31),"00")</f>
        <v>2026-01</v>
      </c>
    </row>
    <row r="32" spans="1:21" x14ac:dyDescent="0.25">
      <c r="A32">
        <v>46024</v>
      </c>
      <c r="B32" t="s">
        <v>116</v>
      </c>
      <c r="C32" t="s">
        <v>117</v>
      </c>
      <c r="D32" t="s">
        <v>48</v>
      </c>
      <c r="E32" t="s">
        <v>24</v>
      </c>
      <c r="F32" t="s">
        <v>43</v>
      </c>
      <c r="G32" t="s">
        <v>26</v>
      </c>
      <c r="H32" t="s">
        <v>27</v>
      </c>
      <c r="I32" t="s">
        <v>37</v>
      </c>
      <c r="J32" t="s">
        <v>45</v>
      </c>
      <c r="K32">
        <v>4694</v>
      </c>
      <c r="L32">
        <v>56</v>
      </c>
      <c r="M32">
        <v>79.930000000000007</v>
      </c>
      <c r="N32">
        <v>2</v>
      </c>
      <c r="O32">
        <v>78.45</v>
      </c>
      <c r="P32">
        <f t="shared" si="0"/>
        <v>1.1930123561994035E-2</v>
      </c>
      <c r="Q32">
        <f t="shared" si="0"/>
        <v>1.4273214285714286</v>
      </c>
      <c r="R32">
        <f t="shared" si="1"/>
        <v>39.965000000000003</v>
      </c>
      <c r="S32">
        <f t="shared" si="2"/>
        <v>0.98148379832353305</v>
      </c>
      <c r="T32">
        <f t="shared" si="3"/>
        <v>3.5714285714285712E-2</v>
      </c>
      <c r="U32" t="str">
        <f>YEAR('Campaign Data'!$A32)&amp;"-"&amp;TEXT(MONTH('Campaign Data'!$A32),"00")</f>
        <v>2026-01</v>
      </c>
    </row>
    <row r="33" spans="1:21" x14ac:dyDescent="0.25">
      <c r="A33">
        <v>46024</v>
      </c>
      <c r="B33" t="s">
        <v>118</v>
      </c>
      <c r="C33" t="s">
        <v>119</v>
      </c>
      <c r="D33" t="s">
        <v>69</v>
      </c>
      <c r="E33" t="s">
        <v>33</v>
      </c>
      <c r="F33" t="s">
        <v>34</v>
      </c>
      <c r="G33" t="s">
        <v>35</v>
      </c>
      <c r="H33" t="s">
        <v>51</v>
      </c>
      <c r="I33" t="s">
        <v>37</v>
      </c>
      <c r="J33" t="s">
        <v>62</v>
      </c>
      <c r="K33">
        <v>4958</v>
      </c>
      <c r="L33">
        <v>33</v>
      </c>
      <c r="M33">
        <v>21.33</v>
      </c>
      <c r="N33">
        <v>0</v>
      </c>
      <c r="O33">
        <v>0</v>
      </c>
      <c r="P33">
        <f t="shared" si="0"/>
        <v>6.6559096409842681E-3</v>
      </c>
      <c r="Q33">
        <f t="shared" si="0"/>
        <v>0.64636363636363636</v>
      </c>
      <c r="R33">
        <f t="shared" si="1"/>
        <v>0</v>
      </c>
      <c r="S33">
        <f t="shared" si="2"/>
        <v>0</v>
      </c>
      <c r="T33">
        <f t="shared" si="3"/>
        <v>0</v>
      </c>
      <c r="U33" t="str">
        <f>YEAR('Campaign Data'!$A33)&amp;"-"&amp;TEXT(MONTH('Campaign Data'!$A33),"00")</f>
        <v>2026-01</v>
      </c>
    </row>
    <row r="34" spans="1:21" x14ac:dyDescent="0.25">
      <c r="A34">
        <v>46024</v>
      </c>
      <c r="B34" t="s">
        <v>120</v>
      </c>
      <c r="C34" t="s">
        <v>121</v>
      </c>
      <c r="D34" t="s">
        <v>23</v>
      </c>
      <c r="E34" t="s">
        <v>49</v>
      </c>
      <c r="F34" t="s">
        <v>75</v>
      </c>
      <c r="G34" t="s">
        <v>70</v>
      </c>
      <c r="H34" t="s">
        <v>90</v>
      </c>
      <c r="I34" t="s">
        <v>28</v>
      </c>
      <c r="J34" t="s">
        <v>62</v>
      </c>
      <c r="K34">
        <v>10250</v>
      </c>
      <c r="L34">
        <v>436</v>
      </c>
      <c r="M34">
        <v>221.83</v>
      </c>
      <c r="N34">
        <v>8</v>
      </c>
      <c r="O34">
        <v>92.57</v>
      </c>
      <c r="P34">
        <f t="shared" si="0"/>
        <v>4.2536585365853662E-2</v>
      </c>
      <c r="Q34">
        <f t="shared" si="0"/>
        <v>0.50878440366972477</v>
      </c>
      <c r="R34">
        <f t="shared" si="1"/>
        <v>27.728750000000002</v>
      </c>
      <c r="S34">
        <f t="shared" si="2"/>
        <v>0.4173015372131812</v>
      </c>
      <c r="T34">
        <f t="shared" si="3"/>
        <v>1.834862385321101E-2</v>
      </c>
      <c r="U34" t="str">
        <f>YEAR('Campaign Data'!$A34)&amp;"-"&amp;TEXT(MONTH('Campaign Data'!$A34),"00")</f>
        <v>2026-01</v>
      </c>
    </row>
    <row r="35" spans="1:21" x14ac:dyDescent="0.25">
      <c r="A35">
        <v>46024</v>
      </c>
      <c r="B35" t="s">
        <v>122</v>
      </c>
      <c r="C35" t="s">
        <v>123</v>
      </c>
      <c r="D35" t="s">
        <v>41</v>
      </c>
      <c r="E35" t="s">
        <v>33</v>
      </c>
      <c r="F35" t="s">
        <v>75</v>
      </c>
      <c r="G35" t="s">
        <v>35</v>
      </c>
      <c r="H35" t="s">
        <v>55</v>
      </c>
      <c r="I35" t="s">
        <v>37</v>
      </c>
      <c r="J35" t="s">
        <v>45</v>
      </c>
      <c r="K35">
        <v>8758</v>
      </c>
      <c r="L35">
        <v>102</v>
      </c>
      <c r="M35">
        <v>60.19</v>
      </c>
      <c r="N35">
        <v>2</v>
      </c>
      <c r="O35">
        <v>57.86</v>
      </c>
      <c r="P35">
        <f t="shared" si="0"/>
        <v>1.1646494633477963E-2</v>
      </c>
      <c r="Q35">
        <f t="shared" si="0"/>
        <v>0.59009803921568627</v>
      </c>
      <c r="R35">
        <f t="shared" si="1"/>
        <v>30.094999999999999</v>
      </c>
      <c r="S35">
        <f t="shared" si="2"/>
        <v>0.96128925070609739</v>
      </c>
      <c r="T35">
        <f t="shared" si="3"/>
        <v>1.9607843137254902E-2</v>
      </c>
      <c r="U35" t="str">
        <f>YEAR('Campaign Data'!$A35)&amp;"-"&amp;TEXT(MONTH('Campaign Data'!$A35),"00")</f>
        <v>2026-01</v>
      </c>
    </row>
    <row r="36" spans="1:21" x14ac:dyDescent="0.25">
      <c r="A36">
        <v>46025</v>
      </c>
      <c r="B36" t="s">
        <v>88</v>
      </c>
      <c r="C36" t="s">
        <v>89</v>
      </c>
      <c r="D36" t="s">
        <v>23</v>
      </c>
      <c r="E36" t="s">
        <v>49</v>
      </c>
      <c r="F36" t="s">
        <v>81</v>
      </c>
      <c r="G36" t="s">
        <v>50</v>
      </c>
      <c r="H36" t="s">
        <v>51</v>
      </c>
      <c r="I36" t="s">
        <v>37</v>
      </c>
      <c r="J36" t="s">
        <v>62</v>
      </c>
      <c r="K36">
        <v>10015</v>
      </c>
      <c r="L36">
        <v>632</v>
      </c>
      <c r="M36">
        <v>973.36</v>
      </c>
      <c r="N36">
        <v>86</v>
      </c>
      <c r="O36">
        <v>2152.75</v>
      </c>
      <c r="P36">
        <f t="shared" si="0"/>
        <v>6.3105341987019475E-2</v>
      </c>
      <c r="Q36">
        <f t="shared" si="0"/>
        <v>1.5401265822784811</v>
      </c>
      <c r="R36">
        <f t="shared" si="1"/>
        <v>11.318139534883722</v>
      </c>
      <c r="S36">
        <f t="shared" si="2"/>
        <v>2.2116688583874415</v>
      </c>
      <c r="T36">
        <f t="shared" si="3"/>
        <v>0.13607594936708861</v>
      </c>
      <c r="U36" t="str">
        <f>YEAR('Campaign Data'!$A36)&amp;"-"&amp;TEXT(MONTH('Campaign Data'!$A36),"00")</f>
        <v>2026-01</v>
      </c>
    </row>
    <row r="37" spans="1:21" x14ac:dyDescent="0.25">
      <c r="A37">
        <v>46025</v>
      </c>
      <c r="B37" t="s">
        <v>21</v>
      </c>
      <c r="C37" t="s">
        <v>124</v>
      </c>
      <c r="D37" t="s">
        <v>23</v>
      </c>
      <c r="E37" t="s">
        <v>24</v>
      </c>
      <c r="F37" t="s">
        <v>25</v>
      </c>
      <c r="G37" t="s">
        <v>26</v>
      </c>
      <c r="H37" t="s">
        <v>90</v>
      </c>
      <c r="I37" t="s">
        <v>37</v>
      </c>
      <c r="J37" t="s">
        <v>38</v>
      </c>
      <c r="K37">
        <v>1028</v>
      </c>
      <c r="L37">
        <v>16</v>
      </c>
      <c r="M37">
        <v>3.44</v>
      </c>
      <c r="N37">
        <v>0</v>
      </c>
      <c r="O37">
        <v>0</v>
      </c>
      <c r="P37">
        <f t="shared" si="0"/>
        <v>1.556420233463035E-2</v>
      </c>
      <c r="Q37">
        <f t="shared" si="0"/>
        <v>0.215</v>
      </c>
      <c r="R37">
        <f t="shared" si="1"/>
        <v>0</v>
      </c>
      <c r="S37">
        <f t="shared" si="2"/>
        <v>0</v>
      </c>
      <c r="T37">
        <f t="shared" si="3"/>
        <v>0</v>
      </c>
      <c r="U37" t="str">
        <f>YEAR('Campaign Data'!$A37)&amp;"-"&amp;TEXT(MONTH('Campaign Data'!$A37),"00")</f>
        <v>2026-01</v>
      </c>
    </row>
    <row r="38" spans="1:21" x14ac:dyDescent="0.25">
      <c r="A38">
        <v>46025</v>
      </c>
      <c r="B38" t="s">
        <v>125</v>
      </c>
      <c r="C38" t="s">
        <v>126</v>
      </c>
      <c r="D38" t="s">
        <v>41</v>
      </c>
      <c r="E38" t="s">
        <v>42</v>
      </c>
      <c r="F38" t="s">
        <v>81</v>
      </c>
      <c r="G38" t="s">
        <v>44</v>
      </c>
      <c r="H38" t="s">
        <v>27</v>
      </c>
      <c r="I38" t="s">
        <v>37</v>
      </c>
      <c r="J38" t="s">
        <v>62</v>
      </c>
      <c r="K38">
        <v>4078</v>
      </c>
      <c r="L38">
        <v>31</v>
      </c>
      <c r="M38">
        <v>256.64</v>
      </c>
      <c r="N38">
        <v>0</v>
      </c>
      <c r="O38">
        <v>0</v>
      </c>
      <c r="P38">
        <f t="shared" si="0"/>
        <v>7.601765571358509E-3</v>
      </c>
      <c r="Q38">
        <f t="shared" si="0"/>
        <v>8.2787096774193536</v>
      </c>
      <c r="R38">
        <f t="shared" si="1"/>
        <v>0</v>
      </c>
      <c r="S38">
        <f t="shared" si="2"/>
        <v>0</v>
      </c>
      <c r="T38">
        <f t="shared" si="3"/>
        <v>0</v>
      </c>
      <c r="U38" t="str">
        <f>YEAR('Campaign Data'!$A38)&amp;"-"&amp;TEXT(MONTH('Campaign Data'!$A38),"00")</f>
        <v>2026-01</v>
      </c>
    </row>
    <row r="39" spans="1:21" x14ac:dyDescent="0.25">
      <c r="A39">
        <v>46025</v>
      </c>
      <c r="B39" t="s">
        <v>91</v>
      </c>
      <c r="C39" t="s">
        <v>92</v>
      </c>
      <c r="D39" t="s">
        <v>41</v>
      </c>
      <c r="E39" t="s">
        <v>74</v>
      </c>
      <c r="F39" t="s">
        <v>75</v>
      </c>
      <c r="G39" t="s">
        <v>9</v>
      </c>
      <c r="H39" t="s">
        <v>36</v>
      </c>
      <c r="I39" t="s">
        <v>37</v>
      </c>
      <c r="J39" t="s">
        <v>62</v>
      </c>
      <c r="K39">
        <v>1263</v>
      </c>
      <c r="L39">
        <v>36</v>
      </c>
      <c r="M39">
        <v>54.84</v>
      </c>
      <c r="N39">
        <v>3</v>
      </c>
      <c r="O39">
        <v>124.42</v>
      </c>
      <c r="P39">
        <f t="shared" si="0"/>
        <v>2.8503562945368172E-2</v>
      </c>
      <c r="Q39">
        <f t="shared" si="0"/>
        <v>1.5233333333333334</v>
      </c>
      <c r="R39">
        <f t="shared" si="1"/>
        <v>18.28</v>
      </c>
      <c r="S39">
        <f t="shared" si="2"/>
        <v>2.2687819110138583</v>
      </c>
      <c r="T39">
        <f t="shared" si="3"/>
        <v>8.3333333333333329E-2</v>
      </c>
      <c r="U39" t="str">
        <f>YEAR('Campaign Data'!$A39)&amp;"-"&amp;TEXT(MONTH('Campaign Data'!$A39),"00")</f>
        <v>2026-01</v>
      </c>
    </row>
    <row r="40" spans="1:21" x14ac:dyDescent="0.25">
      <c r="A40">
        <v>46025</v>
      </c>
      <c r="B40" t="s">
        <v>95</v>
      </c>
      <c r="C40" t="s">
        <v>96</v>
      </c>
      <c r="D40" t="s">
        <v>23</v>
      </c>
      <c r="E40" t="s">
        <v>49</v>
      </c>
      <c r="F40" t="s">
        <v>43</v>
      </c>
      <c r="G40" t="s">
        <v>97</v>
      </c>
      <c r="H40" t="s">
        <v>60</v>
      </c>
      <c r="I40" t="s">
        <v>37</v>
      </c>
      <c r="J40" t="s">
        <v>38</v>
      </c>
      <c r="K40">
        <v>17009</v>
      </c>
      <c r="L40">
        <v>1157</v>
      </c>
      <c r="M40">
        <v>1477.65</v>
      </c>
      <c r="N40">
        <v>52</v>
      </c>
      <c r="O40">
        <v>1364.04</v>
      </c>
      <c r="P40">
        <f t="shared" si="0"/>
        <v>6.8022811452760304E-2</v>
      </c>
      <c r="Q40">
        <f t="shared" si="0"/>
        <v>1.2771391529818497</v>
      </c>
      <c r="R40">
        <f t="shared" si="1"/>
        <v>28.416346153846156</v>
      </c>
      <c r="S40">
        <f t="shared" si="2"/>
        <v>0.92311440462897165</v>
      </c>
      <c r="T40">
        <f t="shared" si="3"/>
        <v>4.49438202247191E-2</v>
      </c>
      <c r="U40" t="str">
        <f>YEAR('Campaign Data'!$A40)&amp;"-"&amp;TEXT(MONTH('Campaign Data'!$A40),"00")</f>
        <v>2026-01</v>
      </c>
    </row>
    <row r="41" spans="1:21" x14ac:dyDescent="0.25">
      <c r="A41">
        <v>46025</v>
      </c>
      <c r="B41" t="s">
        <v>39</v>
      </c>
      <c r="C41" t="s">
        <v>40</v>
      </c>
      <c r="D41" t="s">
        <v>41</v>
      </c>
      <c r="E41" t="s">
        <v>42</v>
      </c>
      <c r="F41" t="s">
        <v>43</v>
      </c>
      <c r="G41" t="s">
        <v>44</v>
      </c>
      <c r="H41" t="s">
        <v>90</v>
      </c>
      <c r="I41" t="s">
        <v>37</v>
      </c>
      <c r="J41" t="s">
        <v>62</v>
      </c>
      <c r="K41">
        <v>5103</v>
      </c>
      <c r="L41">
        <v>29</v>
      </c>
      <c r="M41">
        <v>51.48</v>
      </c>
      <c r="N41">
        <v>2</v>
      </c>
      <c r="O41">
        <v>10.029999999999999</v>
      </c>
      <c r="P41">
        <f t="shared" si="0"/>
        <v>5.6829316088575351E-3</v>
      </c>
      <c r="Q41">
        <f t="shared" si="0"/>
        <v>1.7751724137931033</v>
      </c>
      <c r="R41">
        <f t="shared" si="1"/>
        <v>25.74</v>
      </c>
      <c r="S41">
        <f t="shared" si="2"/>
        <v>0.19483294483294483</v>
      </c>
      <c r="T41">
        <f t="shared" si="3"/>
        <v>6.8965517241379309E-2</v>
      </c>
      <c r="U41" t="str">
        <f>YEAR('Campaign Data'!$A41)&amp;"-"&amp;TEXT(MONTH('Campaign Data'!$A41),"00")</f>
        <v>2026-01</v>
      </c>
    </row>
    <row r="42" spans="1:21" x14ac:dyDescent="0.25">
      <c r="A42">
        <v>46025</v>
      </c>
      <c r="B42" t="s">
        <v>39</v>
      </c>
      <c r="C42" t="s">
        <v>40</v>
      </c>
      <c r="D42" t="s">
        <v>41</v>
      </c>
      <c r="E42" t="s">
        <v>42</v>
      </c>
      <c r="F42" t="s">
        <v>43</v>
      </c>
      <c r="G42" t="s">
        <v>44</v>
      </c>
      <c r="H42" t="s">
        <v>51</v>
      </c>
      <c r="I42" t="s">
        <v>37</v>
      </c>
      <c r="J42" t="s">
        <v>29</v>
      </c>
      <c r="K42">
        <v>6265</v>
      </c>
      <c r="L42">
        <v>36</v>
      </c>
      <c r="M42">
        <v>229.81</v>
      </c>
      <c r="N42">
        <v>2</v>
      </c>
      <c r="O42">
        <v>24.96</v>
      </c>
      <c r="P42">
        <f t="shared" si="0"/>
        <v>5.7462090981644058E-3</v>
      </c>
      <c r="Q42">
        <f t="shared" si="0"/>
        <v>6.3836111111111116</v>
      </c>
      <c r="R42">
        <f t="shared" si="1"/>
        <v>114.905</v>
      </c>
      <c r="S42">
        <f t="shared" si="2"/>
        <v>0.1086114616422262</v>
      </c>
      <c r="T42">
        <f t="shared" si="3"/>
        <v>5.5555555555555552E-2</v>
      </c>
      <c r="U42" t="str">
        <f>YEAR('Campaign Data'!$A42)&amp;"-"&amp;TEXT(MONTH('Campaign Data'!$A42),"00")</f>
        <v>2026-01</v>
      </c>
    </row>
    <row r="43" spans="1:21" x14ac:dyDescent="0.25">
      <c r="A43">
        <v>46025</v>
      </c>
      <c r="B43" t="s">
        <v>127</v>
      </c>
      <c r="C43" t="s">
        <v>128</v>
      </c>
      <c r="D43" t="s">
        <v>58</v>
      </c>
      <c r="E43" t="s">
        <v>24</v>
      </c>
      <c r="F43" t="s">
        <v>81</v>
      </c>
      <c r="G43" t="s">
        <v>129</v>
      </c>
      <c r="H43" t="s">
        <v>90</v>
      </c>
      <c r="I43" t="s">
        <v>37</v>
      </c>
      <c r="J43" t="s">
        <v>38</v>
      </c>
      <c r="K43">
        <v>1704</v>
      </c>
      <c r="L43">
        <v>17</v>
      </c>
      <c r="M43">
        <v>3.84</v>
      </c>
      <c r="N43">
        <v>1</v>
      </c>
      <c r="O43">
        <v>5</v>
      </c>
      <c r="P43">
        <f t="shared" si="0"/>
        <v>9.9765258215962441E-3</v>
      </c>
      <c r="Q43">
        <f t="shared" si="0"/>
        <v>0.22588235294117645</v>
      </c>
      <c r="R43">
        <f t="shared" si="1"/>
        <v>3.84</v>
      </c>
      <c r="S43">
        <f t="shared" si="2"/>
        <v>1.3020833333333335</v>
      </c>
      <c r="T43">
        <f t="shared" si="3"/>
        <v>5.8823529411764705E-2</v>
      </c>
      <c r="U43" t="str">
        <f>YEAR('Campaign Data'!$A43)&amp;"-"&amp;TEXT(MONTH('Campaign Data'!$A43),"00")</f>
        <v>2026-01</v>
      </c>
    </row>
    <row r="44" spans="1:21" x14ac:dyDescent="0.25">
      <c r="A44">
        <v>46025</v>
      </c>
      <c r="B44" t="s">
        <v>130</v>
      </c>
      <c r="C44" t="s">
        <v>131</v>
      </c>
      <c r="D44" t="s">
        <v>48</v>
      </c>
      <c r="E44" t="s">
        <v>33</v>
      </c>
      <c r="F44" t="s">
        <v>34</v>
      </c>
      <c r="G44" t="s">
        <v>35</v>
      </c>
      <c r="H44" t="s">
        <v>71</v>
      </c>
      <c r="I44" t="s">
        <v>37</v>
      </c>
      <c r="J44" t="s">
        <v>29</v>
      </c>
      <c r="K44">
        <v>8398</v>
      </c>
      <c r="L44">
        <v>85</v>
      </c>
      <c r="M44">
        <v>61.61</v>
      </c>
      <c r="N44">
        <v>0</v>
      </c>
      <c r="O44">
        <v>0</v>
      </c>
      <c r="P44">
        <f t="shared" si="0"/>
        <v>1.0121457489878543E-2</v>
      </c>
      <c r="Q44">
        <f t="shared" si="0"/>
        <v>0.72482352941176464</v>
      </c>
      <c r="R44">
        <f t="shared" si="1"/>
        <v>0</v>
      </c>
      <c r="S44">
        <f t="shared" si="2"/>
        <v>0</v>
      </c>
      <c r="T44">
        <f t="shared" si="3"/>
        <v>0</v>
      </c>
      <c r="U44" t="str">
        <f>YEAR('Campaign Data'!$A44)&amp;"-"&amp;TEXT(MONTH('Campaign Data'!$A44),"00")</f>
        <v>2026-01</v>
      </c>
    </row>
    <row r="45" spans="1:21" x14ac:dyDescent="0.25">
      <c r="A45">
        <v>46025</v>
      </c>
      <c r="B45" t="s">
        <v>132</v>
      </c>
      <c r="C45" t="s">
        <v>133</v>
      </c>
      <c r="D45" t="s">
        <v>23</v>
      </c>
      <c r="E45" t="s">
        <v>42</v>
      </c>
      <c r="F45" t="s">
        <v>75</v>
      </c>
      <c r="G45" t="s">
        <v>84</v>
      </c>
      <c r="H45" t="s">
        <v>36</v>
      </c>
      <c r="I45" t="s">
        <v>37</v>
      </c>
      <c r="J45" t="s">
        <v>45</v>
      </c>
      <c r="K45">
        <v>3130</v>
      </c>
      <c r="L45">
        <v>17</v>
      </c>
      <c r="M45">
        <v>103.8</v>
      </c>
      <c r="N45">
        <v>2</v>
      </c>
      <c r="O45">
        <v>58.36</v>
      </c>
      <c r="P45">
        <f t="shared" si="0"/>
        <v>5.4313099041533542E-3</v>
      </c>
      <c r="Q45">
        <f t="shared" si="0"/>
        <v>6.1058823529411761</v>
      </c>
      <c r="R45">
        <f t="shared" si="1"/>
        <v>51.9</v>
      </c>
      <c r="S45">
        <f t="shared" si="2"/>
        <v>0.56223506743737961</v>
      </c>
      <c r="T45">
        <f t="shared" si="3"/>
        <v>0.11764705882352941</v>
      </c>
      <c r="U45" t="str">
        <f>YEAR('Campaign Data'!$A45)&amp;"-"&amp;TEXT(MONTH('Campaign Data'!$A45),"00")</f>
        <v>2026-01</v>
      </c>
    </row>
    <row r="46" spans="1:21" x14ac:dyDescent="0.25">
      <c r="A46">
        <v>46025</v>
      </c>
      <c r="B46" t="s">
        <v>110</v>
      </c>
      <c r="C46" t="s">
        <v>111</v>
      </c>
      <c r="D46" t="s">
        <v>23</v>
      </c>
      <c r="E46" t="s">
        <v>49</v>
      </c>
      <c r="F46" t="s">
        <v>34</v>
      </c>
      <c r="G46" t="s">
        <v>50</v>
      </c>
      <c r="H46" t="s">
        <v>90</v>
      </c>
      <c r="I46" t="s">
        <v>37</v>
      </c>
      <c r="J46" t="s">
        <v>38</v>
      </c>
      <c r="K46">
        <v>3345</v>
      </c>
      <c r="L46">
        <v>155</v>
      </c>
      <c r="M46">
        <v>100.81</v>
      </c>
      <c r="N46">
        <v>9</v>
      </c>
      <c r="O46">
        <v>184.15</v>
      </c>
      <c r="P46">
        <f t="shared" si="0"/>
        <v>4.6337817638266068E-2</v>
      </c>
      <c r="Q46">
        <f t="shared" si="0"/>
        <v>0.6503870967741936</v>
      </c>
      <c r="R46">
        <f t="shared" si="1"/>
        <v>11.201111111111111</v>
      </c>
      <c r="S46">
        <f t="shared" si="2"/>
        <v>1.826703700029759</v>
      </c>
      <c r="T46">
        <f t="shared" si="3"/>
        <v>5.8064516129032261E-2</v>
      </c>
      <c r="U46" t="str">
        <f>YEAR('Campaign Data'!$A46)&amp;"-"&amp;TEXT(MONTH('Campaign Data'!$A46),"00")</f>
        <v>2026-01</v>
      </c>
    </row>
    <row r="47" spans="1:21" x14ac:dyDescent="0.25">
      <c r="A47">
        <v>46025</v>
      </c>
      <c r="B47" t="s">
        <v>134</v>
      </c>
      <c r="C47" t="s">
        <v>135</v>
      </c>
      <c r="D47" t="s">
        <v>32</v>
      </c>
      <c r="E47" t="s">
        <v>74</v>
      </c>
      <c r="F47" t="s">
        <v>25</v>
      </c>
      <c r="G47" t="s">
        <v>107</v>
      </c>
      <c r="H47" t="s">
        <v>90</v>
      </c>
      <c r="I47" t="s">
        <v>28</v>
      </c>
      <c r="J47" t="s">
        <v>29</v>
      </c>
      <c r="K47">
        <v>11796</v>
      </c>
      <c r="L47">
        <v>406</v>
      </c>
      <c r="M47">
        <v>119.82</v>
      </c>
      <c r="N47">
        <v>20</v>
      </c>
      <c r="O47">
        <v>367.26</v>
      </c>
      <c r="P47">
        <f t="shared" si="0"/>
        <v>3.4418446931163103E-2</v>
      </c>
      <c r="Q47">
        <f t="shared" si="0"/>
        <v>0.29512315270935957</v>
      </c>
      <c r="R47">
        <f t="shared" si="1"/>
        <v>5.9909999999999997</v>
      </c>
      <c r="S47">
        <f t="shared" si="2"/>
        <v>3.0650976464697046</v>
      </c>
      <c r="T47">
        <f t="shared" si="3"/>
        <v>4.9261083743842367E-2</v>
      </c>
      <c r="U47" t="str">
        <f>YEAR('Campaign Data'!$A47)&amp;"-"&amp;TEXT(MONTH('Campaign Data'!$A47),"00")</f>
        <v>2026-01</v>
      </c>
    </row>
    <row r="48" spans="1:21" x14ac:dyDescent="0.25">
      <c r="A48">
        <v>46025</v>
      </c>
      <c r="B48" t="s">
        <v>136</v>
      </c>
      <c r="C48" t="s">
        <v>137</v>
      </c>
      <c r="D48" t="s">
        <v>32</v>
      </c>
      <c r="E48" t="s">
        <v>49</v>
      </c>
      <c r="F48" t="s">
        <v>75</v>
      </c>
      <c r="G48" t="s">
        <v>97</v>
      </c>
      <c r="H48" t="s">
        <v>36</v>
      </c>
      <c r="I48" t="s">
        <v>28</v>
      </c>
      <c r="J48" t="s">
        <v>87</v>
      </c>
      <c r="K48">
        <v>1133</v>
      </c>
      <c r="L48">
        <v>59</v>
      </c>
      <c r="M48">
        <v>85.57</v>
      </c>
      <c r="N48">
        <v>3</v>
      </c>
      <c r="O48">
        <v>159.83000000000001</v>
      </c>
      <c r="P48">
        <f t="shared" si="0"/>
        <v>5.2074139452780228E-2</v>
      </c>
      <c r="Q48">
        <f t="shared" si="0"/>
        <v>1.4503389830508473</v>
      </c>
      <c r="R48">
        <f t="shared" si="1"/>
        <v>28.52333333333333</v>
      </c>
      <c r="S48">
        <f t="shared" si="2"/>
        <v>1.8678275096412298</v>
      </c>
      <c r="T48">
        <f t="shared" si="3"/>
        <v>5.0847457627118647E-2</v>
      </c>
      <c r="U48" t="str">
        <f>YEAR('Campaign Data'!$A48)&amp;"-"&amp;TEXT(MONTH('Campaign Data'!$A48),"00")</f>
        <v>2026-01</v>
      </c>
    </row>
    <row r="49" spans="1:21" x14ac:dyDescent="0.25">
      <c r="A49">
        <v>46025</v>
      </c>
      <c r="B49" t="s">
        <v>136</v>
      </c>
      <c r="C49" t="s">
        <v>137</v>
      </c>
      <c r="D49" t="s">
        <v>32</v>
      </c>
      <c r="E49" t="s">
        <v>49</v>
      </c>
      <c r="F49" t="s">
        <v>75</v>
      </c>
      <c r="G49" t="s">
        <v>97</v>
      </c>
      <c r="H49" t="s">
        <v>90</v>
      </c>
      <c r="I49" t="s">
        <v>61</v>
      </c>
      <c r="J49" t="s">
        <v>45</v>
      </c>
      <c r="K49">
        <v>3221</v>
      </c>
      <c r="L49">
        <v>87</v>
      </c>
      <c r="M49">
        <v>41.73</v>
      </c>
      <c r="N49">
        <v>7</v>
      </c>
      <c r="O49">
        <v>56.88</v>
      </c>
      <c r="P49">
        <f t="shared" si="0"/>
        <v>2.7010245265445515E-2</v>
      </c>
      <c r="Q49">
        <f t="shared" si="0"/>
        <v>0.47965517241379307</v>
      </c>
      <c r="R49">
        <f t="shared" si="1"/>
        <v>5.9614285714285709</v>
      </c>
      <c r="S49">
        <f t="shared" si="2"/>
        <v>1.3630481667864847</v>
      </c>
      <c r="T49">
        <f t="shared" si="3"/>
        <v>8.0459770114942528E-2</v>
      </c>
      <c r="U49" t="str">
        <f>YEAR('Campaign Data'!$A49)&amp;"-"&amp;TEXT(MONTH('Campaign Data'!$A49),"00")</f>
        <v>2026-01</v>
      </c>
    </row>
    <row r="50" spans="1:21" x14ac:dyDescent="0.25">
      <c r="A50">
        <v>46025</v>
      </c>
      <c r="B50" t="s">
        <v>116</v>
      </c>
      <c r="C50" t="s">
        <v>117</v>
      </c>
      <c r="D50" t="s">
        <v>48</v>
      </c>
      <c r="E50" t="s">
        <v>24</v>
      </c>
      <c r="F50" t="s">
        <v>43</v>
      </c>
      <c r="G50" t="s">
        <v>26</v>
      </c>
      <c r="H50" t="s">
        <v>71</v>
      </c>
      <c r="I50" t="s">
        <v>37</v>
      </c>
      <c r="J50" t="s">
        <v>87</v>
      </c>
      <c r="K50">
        <v>3562</v>
      </c>
      <c r="L50">
        <v>57</v>
      </c>
      <c r="M50">
        <v>56.85</v>
      </c>
      <c r="N50">
        <v>0</v>
      </c>
      <c r="O50">
        <v>0</v>
      </c>
      <c r="P50">
        <f t="shared" si="0"/>
        <v>1.6002245929253228E-2</v>
      </c>
      <c r="Q50">
        <f t="shared" si="0"/>
        <v>0.99736842105263157</v>
      </c>
      <c r="R50">
        <f t="shared" si="1"/>
        <v>0</v>
      </c>
      <c r="S50">
        <f t="shared" si="2"/>
        <v>0</v>
      </c>
      <c r="T50">
        <f t="shared" si="3"/>
        <v>0</v>
      </c>
      <c r="U50" t="str">
        <f>YEAR('Campaign Data'!$A50)&amp;"-"&amp;TEXT(MONTH('Campaign Data'!$A50),"00")</f>
        <v>2026-01</v>
      </c>
    </row>
    <row r="51" spans="1:21" x14ac:dyDescent="0.25">
      <c r="A51">
        <v>46025</v>
      </c>
      <c r="B51" t="s">
        <v>76</v>
      </c>
      <c r="C51" t="s">
        <v>77</v>
      </c>
      <c r="D51" t="s">
        <v>65</v>
      </c>
      <c r="E51" t="s">
        <v>42</v>
      </c>
      <c r="F51" t="s">
        <v>43</v>
      </c>
      <c r="G51" t="s">
        <v>44</v>
      </c>
      <c r="H51" t="s">
        <v>36</v>
      </c>
      <c r="I51" t="s">
        <v>28</v>
      </c>
      <c r="J51" t="s">
        <v>45</v>
      </c>
      <c r="K51">
        <v>3256</v>
      </c>
      <c r="L51">
        <v>21</v>
      </c>
      <c r="M51">
        <v>101.66</v>
      </c>
      <c r="N51">
        <v>0</v>
      </c>
      <c r="O51">
        <v>0</v>
      </c>
      <c r="P51">
        <f t="shared" si="0"/>
        <v>6.4496314496314492E-3</v>
      </c>
      <c r="Q51">
        <f t="shared" si="0"/>
        <v>4.8409523809523805</v>
      </c>
      <c r="R51">
        <f t="shared" si="1"/>
        <v>0</v>
      </c>
      <c r="S51">
        <f t="shared" si="2"/>
        <v>0</v>
      </c>
      <c r="T51">
        <f t="shared" si="3"/>
        <v>0</v>
      </c>
      <c r="U51" t="str">
        <f>YEAR('Campaign Data'!$A51)&amp;"-"&amp;TEXT(MONTH('Campaign Data'!$A51),"00")</f>
        <v>2026-01</v>
      </c>
    </row>
    <row r="52" spans="1:21" x14ac:dyDescent="0.25">
      <c r="A52">
        <v>46025</v>
      </c>
      <c r="B52" t="s">
        <v>78</v>
      </c>
      <c r="C52" t="s">
        <v>79</v>
      </c>
      <c r="D52" t="s">
        <v>80</v>
      </c>
      <c r="E52" t="s">
        <v>24</v>
      </c>
      <c r="F52" t="s">
        <v>81</v>
      </c>
      <c r="G52" t="s">
        <v>66</v>
      </c>
      <c r="H52" t="s">
        <v>27</v>
      </c>
      <c r="I52" t="s">
        <v>37</v>
      </c>
      <c r="J52" t="s">
        <v>87</v>
      </c>
      <c r="K52">
        <v>11645</v>
      </c>
      <c r="L52">
        <v>73</v>
      </c>
      <c r="M52">
        <v>106.17</v>
      </c>
      <c r="N52">
        <v>0</v>
      </c>
      <c r="O52">
        <v>0</v>
      </c>
      <c r="P52">
        <f t="shared" si="0"/>
        <v>6.2687848862172605E-3</v>
      </c>
      <c r="Q52">
        <f t="shared" si="0"/>
        <v>1.4543835616438356</v>
      </c>
      <c r="R52">
        <f t="shared" si="1"/>
        <v>0</v>
      </c>
      <c r="S52">
        <f t="shared" si="2"/>
        <v>0</v>
      </c>
      <c r="T52">
        <f t="shared" si="3"/>
        <v>0</v>
      </c>
      <c r="U52" t="str">
        <f>YEAR('Campaign Data'!$A52)&amp;"-"&amp;TEXT(MONTH('Campaign Data'!$A52),"00")</f>
        <v>2026-01</v>
      </c>
    </row>
    <row r="53" spans="1:21" x14ac:dyDescent="0.25">
      <c r="A53">
        <v>46025</v>
      </c>
      <c r="B53" t="s">
        <v>120</v>
      </c>
      <c r="C53" t="s">
        <v>121</v>
      </c>
      <c r="D53" t="s">
        <v>23</v>
      </c>
      <c r="E53" t="s">
        <v>49</v>
      </c>
      <c r="F53" t="s">
        <v>75</v>
      </c>
      <c r="G53" t="s">
        <v>70</v>
      </c>
      <c r="H53" t="s">
        <v>36</v>
      </c>
      <c r="I53" t="s">
        <v>37</v>
      </c>
      <c r="J53" t="s">
        <v>29</v>
      </c>
      <c r="K53">
        <v>5834</v>
      </c>
      <c r="L53">
        <v>246</v>
      </c>
      <c r="M53">
        <v>363.65</v>
      </c>
      <c r="N53">
        <v>6</v>
      </c>
      <c r="O53">
        <v>267.11</v>
      </c>
      <c r="P53">
        <f t="shared" si="0"/>
        <v>4.2166609530339391E-2</v>
      </c>
      <c r="Q53">
        <f t="shared" si="0"/>
        <v>1.4782520325203252</v>
      </c>
      <c r="R53">
        <f t="shared" si="1"/>
        <v>60.608333333333327</v>
      </c>
      <c r="S53">
        <f t="shared" si="2"/>
        <v>0.73452495531417583</v>
      </c>
      <c r="T53">
        <f t="shared" si="3"/>
        <v>2.4390243902439025E-2</v>
      </c>
      <c r="U53" t="str">
        <f>YEAR('Campaign Data'!$A53)&amp;"-"&amp;TEXT(MONTH('Campaign Data'!$A53),"00")</f>
        <v>2026-01</v>
      </c>
    </row>
    <row r="54" spans="1:21" x14ac:dyDescent="0.25">
      <c r="A54">
        <v>46025</v>
      </c>
      <c r="B54" t="s">
        <v>82</v>
      </c>
      <c r="C54" t="s">
        <v>83</v>
      </c>
      <c r="D54" t="s">
        <v>80</v>
      </c>
      <c r="E54" t="s">
        <v>42</v>
      </c>
      <c r="F54" t="s">
        <v>34</v>
      </c>
      <c r="G54" t="s">
        <v>84</v>
      </c>
      <c r="H54" t="s">
        <v>51</v>
      </c>
      <c r="I54" t="s">
        <v>37</v>
      </c>
      <c r="J54" t="s">
        <v>38</v>
      </c>
      <c r="K54">
        <v>10658</v>
      </c>
      <c r="L54">
        <v>71</v>
      </c>
      <c r="M54">
        <v>439.41</v>
      </c>
      <c r="N54">
        <v>1</v>
      </c>
      <c r="O54">
        <v>56.7</v>
      </c>
      <c r="P54">
        <f t="shared" si="0"/>
        <v>6.6616626008632017E-3</v>
      </c>
      <c r="Q54">
        <f t="shared" si="0"/>
        <v>6.1888732394366199</v>
      </c>
      <c r="R54">
        <f t="shared" si="1"/>
        <v>439.41</v>
      </c>
      <c r="S54">
        <f t="shared" si="2"/>
        <v>0.12903666279784257</v>
      </c>
      <c r="T54">
        <f t="shared" si="3"/>
        <v>1.4084507042253521E-2</v>
      </c>
      <c r="U54" t="str">
        <f>YEAR('Campaign Data'!$A54)&amp;"-"&amp;TEXT(MONTH('Campaign Data'!$A54),"00")</f>
        <v>2026-01</v>
      </c>
    </row>
    <row r="55" spans="1:21" x14ac:dyDescent="0.25">
      <c r="A55">
        <v>46026</v>
      </c>
      <c r="B55" t="s">
        <v>125</v>
      </c>
      <c r="C55" t="s">
        <v>126</v>
      </c>
      <c r="D55" t="s">
        <v>41</v>
      </c>
      <c r="E55" t="s">
        <v>42</v>
      </c>
      <c r="F55" t="s">
        <v>81</v>
      </c>
      <c r="G55" t="s">
        <v>44</v>
      </c>
      <c r="H55" t="s">
        <v>27</v>
      </c>
      <c r="I55" t="s">
        <v>37</v>
      </c>
      <c r="J55" t="s">
        <v>62</v>
      </c>
      <c r="K55">
        <v>9849</v>
      </c>
      <c r="L55">
        <v>64</v>
      </c>
      <c r="M55">
        <v>503.01</v>
      </c>
      <c r="N55">
        <v>2</v>
      </c>
      <c r="O55">
        <v>55.39</v>
      </c>
      <c r="P55">
        <f t="shared" si="0"/>
        <v>6.4981216367143869E-3</v>
      </c>
      <c r="Q55">
        <f t="shared" si="0"/>
        <v>7.8595312499999999</v>
      </c>
      <c r="R55">
        <f t="shared" si="1"/>
        <v>251.505</v>
      </c>
      <c r="S55">
        <f t="shared" si="2"/>
        <v>0.11011709508757281</v>
      </c>
      <c r="T55">
        <f t="shared" si="3"/>
        <v>3.125E-2</v>
      </c>
      <c r="U55" t="str">
        <f>YEAR('Campaign Data'!$A55)&amp;"-"&amp;TEXT(MONTH('Campaign Data'!$A55),"00")</f>
        <v>2026-01</v>
      </c>
    </row>
    <row r="56" spans="1:21" x14ac:dyDescent="0.25">
      <c r="A56">
        <v>46026</v>
      </c>
      <c r="B56" t="s">
        <v>138</v>
      </c>
      <c r="C56" t="s">
        <v>139</v>
      </c>
      <c r="D56" t="s">
        <v>58</v>
      </c>
      <c r="E56" t="s">
        <v>74</v>
      </c>
      <c r="F56" t="s">
        <v>34</v>
      </c>
      <c r="G56" t="s">
        <v>9</v>
      </c>
      <c r="H56" t="s">
        <v>36</v>
      </c>
      <c r="I56" t="s">
        <v>37</v>
      </c>
      <c r="J56" t="s">
        <v>87</v>
      </c>
      <c r="K56">
        <v>1608</v>
      </c>
      <c r="L56">
        <v>51</v>
      </c>
      <c r="M56">
        <v>78.83</v>
      </c>
      <c r="N56">
        <v>0</v>
      </c>
      <c r="O56">
        <v>0</v>
      </c>
      <c r="P56">
        <f t="shared" si="0"/>
        <v>3.1716417910447763E-2</v>
      </c>
      <c r="Q56">
        <f t="shared" si="0"/>
        <v>1.5456862745098039</v>
      </c>
      <c r="R56">
        <f t="shared" si="1"/>
        <v>0</v>
      </c>
      <c r="S56">
        <f t="shared" si="2"/>
        <v>0</v>
      </c>
      <c r="T56">
        <f t="shared" si="3"/>
        <v>0</v>
      </c>
      <c r="U56" t="str">
        <f>YEAR('Campaign Data'!$A56)&amp;"-"&amp;TEXT(MONTH('Campaign Data'!$A56),"00")</f>
        <v>2026-01</v>
      </c>
    </row>
    <row r="57" spans="1:21" x14ac:dyDescent="0.25">
      <c r="A57">
        <v>46026</v>
      </c>
      <c r="B57" t="s">
        <v>100</v>
      </c>
      <c r="C57" t="s">
        <v>101</v>
      </c>
      <c r="D57" t="s">
        <v>80</v>
      </c>
      <c r="E57" t="s">
        <v>33</v>
      </c>
      <c r="F57" t="s">
        <v>25</v>
      </c>
      <c r="G57" t="s">
        <v>102</v>
      </c>
      <c r="H57" t="s">
        <v>90</v>
      </c>
      <c r="I57" t="s">
        <v>37</v>
      </c>
      <c r="J57" t="s">
        <v>45</v>
      </c>
      <c r="K57">
        <v>6839</v>
      </c>
      <c r="L57">
        <v>73</v>
      </c>
      <c r="M57">
        <v>13.61</v>
      </c>
      <c r="N57">
        <v>0</v>
      </c>
      <c r="O57">
        <v>0</v>
      </c>
      <c r="P57">
        <f t="shared" si="0"/>
        <v>1.0674075157186724E-2</v>
      </c>
      <c r="Q57">
        <f t="shared" si="0"/>
        <v>0.18643835616438356</v>
      </c>
      <c r="R57">
        <f t="shared" si="1"/>
        <v>0</v>
      </c>
      <c r="S57">
        <f t="shared" si="2"/>
        <v>0</v>
      </c>
      <c r="T57">
        <f t="shared" si="3"/>
        <v>0</v>
      </c>
      <c r="U57" t="str">
        <f>YEAR('Campaign Data'!$A57)&amp;"-"&amp;TEXT(MONTH('Campaign Data'!$A57),"00")</f>
        <v>2026-01</v>
      </c>
    </row>
    <row r="58" spans="1:21" x14ac:dyDescent="0.25">
      <c r="A58">
        <v>46026</v>
      </c>
      <c r="B58" t="s">
        <v>103</v>
      </c>
      <c r="C58" t="s">
        <v>104</v>
      </c>
      <c r="D58" t="s">
        <v>65</v>
      </c>
      <c r="E58" t="s">
        <v>33</v>
      </c>
      <c r="F58" t="s">
        <v>43</v>
      </c>
      <c r="G58" t="s">
        <v>102</v>
      </c>
      <c r="H58" t="s">
        <v>36</v>
      </c>
      <c r="I58" t="s">
        <v>37</v>
      </c>
      <c r="J58" t="s">
        <v>38</v>
      </c>
      <c r="K58">
        <v>8313</v>
      </c>
      <c r="L58">
        <v>71</v>
      </c>
      <c r="M58">
        <v>48.12</v>
      </c>
      <c r="N58">
        <v>1</v>
      </c>
      <c r="O58">
        <v>29.12</v>
      </c>
      <c r="P58">
        <f t="shared" si="0"/>
        <v>8.5408396487429324E-3</v>
      </c>
      <c r="Q58">
        <f t="shared" si="0"/>
        <v>0.67774647887323936</v>
      </c>
      <c r="R58">
        <f t="shared" si="1"/>
        <v>48.12</v>
      </c>
      <c r="S58">
        <f t="shared" si="2"/>
        <v>0.60515378221113891</v>
      </c>
      <c r="T58">
        <f t="shared" si="3"/>
        <v>1.4084507042253521E-2</v>
      </c>
      <c r="U58" t="str">
        <f>YEAR('Campaign Data'!$A58)&amp;"-"&amp;TEXT(MONTH('Campaign Data'!$A58),"00")</f>
        <v>2026-01</v>
      </c>
    </row>
    <row r="59" spans="1:21" x14ac:dyDescent="0.25">
      <c r="A59">
        <v>46026</v>
      </c>
      <c r="B59" t="s">
        <v>132</v>
      </c>
      <c r="C59" t="s">
        <v>133</v>
      </c>
      <c r="D59" t="s">
        <v>23</v>
      </c>
      <c r="E59" t="s">
        <v>42</v>
      </c>
      <c r="F59" t="s">
        <v>75</v>
      </c>
      <c r="G59" t="s">
        <v>84</v>
      </c>
      <c r="H59" t="s">
        <v>90</v>
      </c>
      <c r="I59" t="s">
        <v>37</v>
      </c>
      <c r="J59" t="s">
        <v>62</v>
      </c>
      <c r="K59">
        <v>2150</v>
      </c>
      <c r="L59">
        <v>15</v>
      </c>
      <c r="M59">
        <v>24.46</v>
      </c>
      <c r="N59">
        <v>0</v>
      </c>
      <c r="O59">
        <v>0</v>
      </c>
      <c r="P59">
        <f t="shared" si="0"/>
        <v>6.9767441860465115E-3</v>
      </c>
      <c r="Q59">
        <f t="shared" si="0"/>
        <v>1.6306666666666667</v>
      </c>
      <c r="R59">
        <f t="shared" si="1"/>
        <v>0</v>
      </c>
      <c r="S59">
        <f t="shared" si="2"/>
        <v>0</v>
      </c>
      <c r="T59">
        <f t="shared" si="3"/>
        <v>0</v>
      </c>
      <c r="U59" t="str">
        <f>YEAR('Campaign Data'!$A59)&amp;"-"&amp;TEXT(MONTH('Campaign Data'!$A59),"00")</f>
        <v>2026-01</v>
      </c>
    </row>
    <row r="60" spans="1:21" x14ac:dyDescent="0.25">
      <c r="A60">
        <v>46026</v>
      </c>
      <c r="B60" t="s">
        <v>140</v>
      </c>
      <c r="C60" t="s">
        <v>40</v>
      </c>
      <c r="D60" t="s">
        <v>41</v>
      </c>
      <c r="E60" t="s">
        <v>42</v>
      </c>
      <c r="F60" t="s">
        <v>43</v>
      </c>
      <c r="G60" t="s">
        <v>44</v>
      </c>
      <c r="H60" t="s">
        <v>27</v>
      </c>
      <c r="I60" t="s">
        <v>37</v>
      </c>
      <c r="J60" t="s">
        <v>87</v>
      </c>
      <c r="K60">
        <v>6276</v>
      </c>
      <c r="L60">
        <v>26</v>
      </c>
      <c r="M60">
        <v>172.35</v>
      </c>
      <c r="N60">
        <v>0</v>
      </c>
      <c r="O60">
        <v>0</v>
      </c>
      <c r="P60">
        <f t="shared" si="0"/>
        <v>4.1427660930528996E-3</v>
      </c>
      <c r="Q60">
        <f t="shared" si="0"/>
        <v>6.6288461538461538</v>
      </c>
      <c r="R60">
        <f t="shared" si="1"/>
        <v>0</v>
      </c>
      <c r="S60">
        <f t="shared" si="2"/>
        <v>0</v>
      </c>
      <c r="T60">
        <f t="shared" si="3"/>
        <v>0</v>
      </c>
      <c r="U60" t="str">
        <f>YEAR('Campaign Data'!$A60)&amp;"-"&amp;TEXT(MONTH('Campaign Data'!$A60),"00")</f>
        <v>2026-01</v>
      </c>
    </row>
    <row r="61" spans="1:21" x14ac:dyDescent="0.25">
      <c r="A61">
        <v>46026</v>
      </c>
      <c r="B61" t="s">
        <v>140</v>
      </c>
      <c r="C61" t="s">
        <v>40</v>
      </c>
      <c r="D61" t="s">
        <v>41</v>
      </c>
      <c r="E61" t="s">
        <v>42</v>
      </c>
      <c r="F61" t="s">
        <v>43</v>
      </c>
      <c r="G61" t="s">
        <v>44</v>
      </c>
      <c r="H61" t="s">
        <v>71</v>
      </c>
      <c r="I61" t="s">
        <v>37</v>
      </c>
      <c r="J61" t="s">
        <v>29</v>
      </c>
      <c r="K61">
        <v>2274</v>
      </c>
      <c r="L61">
        <v>10</v>
      </c>
      <c r="M61">
        <v>54.55</v>
      </c>
      <c r="N61">
        <v>0</v>
      </c>
      <c r="O61">
        <v>0</v>
      </c>
      <c r="P61">
        <f t="shared" si="0"/>
        <v>4.3975373790677225E-3</v>
      </c>
      <c r="Q61">
        <f t="shared" si="0"/>
        <v>5.4550000000000001</v>
      </c>
      <c r="R61">
        <f t="shared" si="1"/>
        <v>0</v>
      </c>
      <c r="S61">
        <f t="shared" si="2"/>
        <v>0</v>
      </c>
      <c r="T61">
        <f t="shared" si="3"/>
        <v>0</v>
      </c>
      <c r="U61" t="str">
        <f>YEAR('Campaign Data'!$A61)&amp;"-"&amp;TEXT(MONTH('Campaign Data'!$A61),"00")</f>
        <v>2026-01</v>
      </c>
    </row>
    <row r="62" spans="1:21" x14ac:dyDescent="0.25">
      <c r="A62">
        <v>46026</v>
      </c>
      <c r="B62" t="s">
        <v>114</v>
      </c>
      <c r="C62" t="s">
        <v>115</v>
      </c>
      <c r="D62" t="s">
        <v>69</v>
      </c>
      <c r="E62" t="s">
        <v>49</v>
      </c>
      <c r="F62" t="s">
        <v>25</v>
      </c>
      <c r="G62" t="s">
        <v>107</v>
      </c>
      <c r="H62" t="s">
        <v>60</v>
      </c>
      <c r="I62" t="s">
        <v>28</v>
      </c>
      <c r="J62" t="s">
        <v>87</v>
      </c>
      <c r="K62">
        <v>22442</v>
      </c>
      <c r="L62">
        <v>967</v>
      </c>
      <c r="M62">
        <v>1581.16</v>
      </c>
      <c r="N62">
        <v>37</v>
      </c>
      <c r="O62">
        <v>3443.65</v>
      </c>
      <c r="P62">
        <f t="shared" si="0"/>
        <v>4.3088851261028425E-2</v>
      </c>
      <c r="Q62">
        <f t="shared" si="0"/>
        <v>1.6351189245087903</v>
      </c>
      <c r="R62">
        <f t="shared" si="1"/>
        <v>42.734054054054056</v>
      </c>
      <c r="S62">
        <f t="shared" si="2"/>
        <v>2.1779263325659644</v>
      </c>
      <c r="T62">
        <f t="shared" si="3"/>
        <v>3.8262668045501554E-2</v>
      </c>
      <c r="U62" t="str">
        <f>YEAR('Campaign Data'!$A62)&amp;"-"&amp;TEXT(MONTH('Campaign Data'!$A62),"00")</f>
        <v>2026-01</v>
      </c>
    </row>
    <row r="63" spans="1:21" x14ac:dyDescent="0.25">
      <c r="A63">
        <v>46026</v>
      </c>
      <c r="B63" t="s">
        <v>141</v>
      </c>
      <c r="C63" t="s">
        <v>142</v>
      </c>
      <c r="D63" t="s">
        <v>80</v>
      </c>
      <c r="E63" t="s">
        <v>49</v>
      </c>
      <c r="F63" t="s">
        <v>81</v>
      </c>
      <c r="G63" t="s">
        <v>97</v>
      </c>
      <c r="H63" t="s">
        <v>27</v>
      </c>
      <c r="I63" t="s">
        <v>37</v>
      </c>
      <c r="J63" t="s">
        <v>45</v>
      </c>
      <c r="K63">
        <v>5111</v>
      </c>
      <c r="L63">
        <v>229</v>
      </c>
      <c r="M63">
        <v>554.28</v>
      </c>
      <c r="N63">
        <v>15</v>
      </c>
      <c r="O63">
        <v>297.11</v>
      </c>
      <c r="P63">
        <f t="shared" si="0"/>
        <v>4.480532185482293E-2</v>
      </c>
      <c r="Q63">
        <f t="shared" si="0"/>
        <v>2.4204366812227072</v>
      </c>
      <c r="R63">
        <f t="shared" si="1"/>
        <v>36.951999999999998</v>
      </c>
      <c r="S63">
        <f t="shared" si="2"/>
        <v>0.53602872194558715</v>
      </c>
      <c r="T63">
        <f t="shared" si="3"/>
        <v>6.5502183406113537E-2</v>
      </c>
      <c r="U63" t="str">
        <f>YEAR('Campaign Data'!$A63)&amp;"-"&amp;TEXT(MONTH('Campaign Data'!$A63),"00")</f>
        <v>2026-01</v>
      </c>
    </row>
    <row r="64" spans="1:21" x14ac:dyDescent="0.25">
      <c r="A64">
        <v>46026</v>
      </c>
      <c r="B64" t="s">
        <v>141</v>
      </c>
      <c r="C64" t="s">
        <v>142</v>
      </c>
      <c r="D64" t="s">
        <v>80</v>
      </c>
      <c r="E64" t="s">
        <v>49</v>
      </c>
      <c r="F64" t="s">
        <v>81</v>
      </c>
      <c r="G64" t="s">
        <v>97</v>
      </c>
      <c r="H64" t="s">
        <v>71</v>
      </c>
      <c r="I64" t="s">
        <v>37</v>
      </c>
      <c r="J64" t="s">
        <v>62</v>
      </c>
      <c r="K64">
        <v>2946</v>
      </c>
      <c r="L64">
        <v>153</v>
      </c>
      <c r="M64">
        <v>204.58</v>
      </c>
      <c r="N64">
        <v>4</v>
      </c>
      <c r="O64">
        <v>79.2</v>
      </c>
      <c r="P64">
        <f t="shared" si="0"/>
        <v>5.1934826883910386E-2</v>
      </c>
      <c r="Q64">
        <f t="shared" si="0"/>
        <v>1.3371241830065361</v>
      </c>
      <c r="R64">
        <f t="shared" si="1"/>
        <v>51.145000000000003</v>
      </c>
      <c r="S64">
        <f t="shared" si="2"/>
        <v>0.38713461726463971</v>
      </c>
      <c r="T64">
        <f t="shared" si="3"/>
        <v>2.6143790849673203E-2</v>
      </c>
      <c r="U64" t="str">
        <f>YEAR('Campaign Data'!$A64)&amp;"-"&amp;TEXT(MONTH('Campaign Data'!$A64),"00")</f>
        <v>2026-01</v>
      </c>
    </row>
    <row r="65" spans="1:21" x14ac:dyDescent="0.25">
      <c r="A65">
        <v>46026</v>
      </c>
      <c r="B65" t="s">
        <v>143</v>
      </c>
      <c r="C65" t="s">
        <v>144</v>
      </c>
      <c r="D65" t="s">
        <v>48</v>
      </c>
      <c r="E65" t="s">
        <v>42</v>
      </c>
      <c r="F65" t="s">
        <v>25</v>
      </c>
      <c r="G65" t="s">
        <v>84</v>
      </c>
      <c r="H65" t="s">
        <v>71</v>
      </c>
      <c r="I65" t="s">
        <v>37</v>
      </c>
      <c r="J65" t="s">
        <v>38</v>
      </c>
      <c r="K65">
        <v>3785</v>
      </c>
      <c r="L65">
        <v>22</v>
      </c>
      <c r="M65">
        <v>145.62</v>
      </c>
      <c r="N65">
        <v>0</v>
      </c>
      <c r="O65">
        <v>0</v>
      </c>
      <c r="P65">
        <f t="shared" si="0"/>
        <v>5.8124174372523119E-3</v>
      </c>
      <c r="Q65">
        <f t="shared" si="0"/>
        <v>6.6190909090909091</v>
      </c>
      <c r="R65">
        <f t="shared" si="1"/>
        <v>0</v>
      </c>
      <c r="S65">
        <f t="shared" si="2"/>
        <v>0</v>
      </c>
      <c r="T65">
        <f t="shared" si="3"/>
        <v>0</v>
      </c>
      <c r="U65" t="str">
        <f>YEAR('Campaign Data'!$A65)&amp;"-"&amp;TEXT(MONTH('Campaign Data'!$A65),"00")</f>
        <v>2026-01</v>
      </c>
    </row>
    <row r="66" spans="1:21" x14ac:dyDescent="0.25">
      <c r="A66">
        <v>46026</v>
      </c>
      <c r="B66" t="s">
        <v>145</v>
      </c>
      <c r="C66" t="s">
        <v>146</v>
      </c>
      <c r="D66" t="s">
        <v>41</v>
      </c>
      <c r="E66" t="s">
        <v>49</v>
      </c>
      <c r="F66" t="s">
        <v>75</v>
      </c>
      <c r="G66" t="s">
        <v>70</v>
      </c>
      <c r="H66" t="s">
        <v>60</v>
      </c>
      <c r="I66" t="s">
        <v>37</v>
      </c>
      <c r="J66" t="s">
        <v>87</v>
      </c>
      <c r="K66">
        <v>1217</v>
      </c>
      <c r="L66">
        <v>45</v>
      </c>
      <c r="M66">
        <v>74.45</v>
      </c>
      <c r="N66">
        <v>4</v>
      </c>
      <c r="O66">
        <v>160.52000000000001</v>
      </c>
      <c r="P66">
        <f t="shared" ref="P66:Q129" si="4">IF(K66=0,0,L66/K66)</f>
        <v>3.697617091207888E-2</v>
      </c>
      <c r="Q66">
        <f t="shared" si="4"/>
        <v>1.6544444444444446</v>
      </c>
      <c r="R66">
        <f t="shared" ref="R66:R129" si="5">IF(N66=0,0,M66/N66)</f>
        <v>18.612500000000001</v>
      </c>
      <c r="S66">
        <f t="shared" ref="S66:S129" si="6">IF(M66=0,0,O66/M66)</f>
        <v>2.1560779046339826</v>
      </c>
      <c r="T66">
        <f t="shared" ref="T66:T129" si="7">IF(L66=0,0,N66/L66)</f>
        <v>8.8888888888888892E-2</v>
      </c>
      <c r="U66" t="str">
        <f>YEAR('Campaign Data'!$A66)&amp;"-"&amp;TEXT(MONTH('Campaign Data'!$A66),"00")</f>
        <v>2026-01</v>
      </c>
    </row>
    <row r="67" spans="1:21" x14ac:dyDescent="0.25">
      <c r="A67">
        <v>46027</v>
      </c>
      <c r="B67" t="s">
        <v>85</v>
      </c>
      <c r="C67" t="s">
        <v>86</v>
      </c>
      <c r="D67" t="s">
        <v>80</v>
      </c>
      <c r="E67" t="s">
        <v>33</v>
      </c>
      <c r="F67" t="s">
        <v>43</v>
      </c>
      <c r="G67" t="s">
        <v>35</v>
      </c>
      <c r="H67" t="s">
        <v>36</v>
      </c>
      <c r="I67" t="s">
        <v>37</v>
      </c>
      <c r="J67" t="s">
        <v>45</v>
      </c>
      <c r="K67">
        <v>8448</v>
      </c>
      <c r="L67">
        <v>80</v>
      </c>
      <c r="M67">
        <v>40.31</v>
      </c>
      <c r="N67">
        <v>2</v>
      </c>
      <c r="O67">
        <v>38.729999999999997</v>
      </c>
      <c r="P67">
        <f t="shared" si="4"/>
        <v>9.46969696969697E-3</v>
      </c>
      <c r="Q67">
        <f t="shared" si="4"/>
        <v>0.50387500000000007</v>
      </c>
      <c r="R67">
        <f t="shared" si="5"/>
        <v>20.155000000000001</v>
      </c>
      <c r="S67">
        <f t="shared" si="6"/>
        <v>0.96080377077648216</v>
      </c>
      <c r="T67">
        <f t="shared" si="7"/>
        <v>2.5000000000000001E-2</v>
      </c>
      <c r="U67" t="str">
        <f>YEAR('Campaign Data'!$A67)&amp;"-"&amp;TEXT(MONTH('Campaign Data'!$A67),"00")</f>
        <v>2026-01</v>
      </c>
    </row>
    <row r="68" spans="1:21" x14ac:dyDescent="0.25">
      <c r="A68">
        <v>46027</v>
      </c>
      <c r="B68" t="s">
        <v>85</v>
      </c>
      <c r="C68" t="s">
        <v>86</v>
      </c>
      <c r="D68" t="s">
        <v>80</v>
      </c>
      <c r="E68" t="s">
        <v>33</v>
      </c>
      <c r="F68" t="s">
        <v>43</v>
      </c>
      <c r="G68" t="s">
        <v>35</v>
      </c>
      <c r="H68" t="s">
        <v>60</v>
      </c>
      <c r="I68" t="s">
        <v>37</v>
      </c>
      <c r="J68" t="s">
        <v>87</v>
      </c>
      <c r="K68">
        <v>7192</v>
      </c>
      <c r="L68">
        <v>65</v>
      </c>
      <c r="M68">
        <v>29.38</v>
      </c>
      <c r="N68">
        <v>0</v>
      </c>
      <c r="O68">
        <v>0</v>
      </c>
      <c r="P68">
        <f t="shared" si="4"/>
        <v>9.0378197997775314E-3</v>
      </c>
      <c r="Q68">
        <f t="shared" si="4"/>
        <v>0.45199999999999996</v>
      </c>
      <c r="R68">
        <f t="shared" si="5"/>
        <v>0</v>
      </c>
      <c r="S68">
        <f t="shared" si="6"/>
        <v>0</v>
      </c>
      <c r="T68">
        <f t="shared" si="7"/>
        <v>0</v>
      </c>
      <c r="U68" t="str">
        <f>YEAR('Campaign Data'!$A68)&amp;"-"&amp;TEXT(MONTH('Campaign Data'!$A68),"00")</f>
        <v>2026-01</v>
      </c>
    </row>
    <row r="69" spans="1:21" x14ac:dyDescent="0.25">
      <c r="A69">
        <v>46027</v>
      </c>
      <c r="B69" t="s">
        <v>147</v>
      </c>
      <c r="C69" t="s">
        <v>148</v>
      </c>
      <c r="D69" t="s">
        <v>23</v>
      </c>
      <c r="E69" t="s">
        <v>42</v>
      </c>
      <c r="F69" t="s">
        <v>75</v>
      </c>
      <c r="G69" t="s">
        <v>44</v>
      </c>
      <c r="H69" t="s">
        <v>90</v>
      </c>
      <c r="I69" t="s">
        <v>37</v>
      </c>
      <c r="J69" t="s">
        <v>62</v>
      </c>
      <c r="K69">
        <v>11232</v>
      </c>
      <c r="L69">
        <v>67</v>
      </c>
      <c r="M69">
        <v>90.04</v>
      </c>
      <c r="N69">
        <v>2</v>
      </c>
      <c r="O69">
        <v>17.59</v>
      </c>
      <c r="P69">
        <f t="shared" si="4"/>
        <v>5.9650997150997153E-3</v>
      </c>
      <c r="Q69">
        <f t="shared" si="4"/>
        <v>1.3438805970149255</v>
      </c>
      <c r="R69">
        <f t="shared" si="5"/>
        <v>45.02</v>
      </c>
      <c r="S69">
        <f t="shared" si="6"/>
        <v>0.19535761883607283</v>
      </c>
      <c r="T69">
        <f t="shared" si="7"/>
        <v>2.9850746268656716E-2</v>
      </c>
      <c r="U69" t="str">
        <f>YEAR('Campaign Data'!$A69)&amp;"-"&amp;TEXT(MONTH('Campaign Data'!$A69),"00")</f>
        <v>2026-01</v>
      </c>
    </row>
    <row r="70" spans="1:21" x14ac:dyDescent="0.25">
      <c r="A70">
        <v>46027</v>
      </c>
      <c r="B70" t="s">
        <v>125</v>
      </c>
      <c r="C70" t="s">
        <v>126</v>
      </c>
      <c r="D70" t="s">
        <v>41</v>
      </c>
      <c r="E70" t="s">
        <v>42</v>
      </c>
      <c r="F70" t="s">
        <v>81</v>
      </c>
      <c r="G70" t="s">
        <v>44</v>
      </c>
      <c r="H70" t="s">
        <v>60</v>
      </c>
      <c r="I70" t="s">
        <v>37</v>
      </c>
      <c r="J70" t="s">
        <v>87</v>
      </c>
      <c r="K70">
        <v>4264</v>
      </c>
      <c r="L70">
        <v>21</v>
      </c>
      <c r="M70">
        <v>157.38999999999999</v>
      </c>
      <c r="N70">
        <v>0</v>
      </c>
      <c r="O70">
        <v>0</v>
      </c>
      <c r="P70">
        <f t="shared" si="4"/>
        <v>4.9249530956848031E-3</v>
      </c>
      <c r="Q70">
        <f t="shared" si="4"/>
        <v>7.4947619047619041</v>
      </c>
      <c r="R70">
        <f t="shared" si="5"/>
        <v>0</v>
      </c>
      <c r="S70">
        <f t="shared" si="6"/>
        <v>0</v>
      </c>
      <c r="T70">
        <f t="shared" si="7"/>
        <v>0</v>
      </c>
      <c r="U70" t="str">
        <f>YEAR('Campaign Data'!$A70)&amp;"-"&amp;TEXT(MONTH('Campaign Data'!$A70),"00")</f>
        <v>2026-01</v>
      </c>
    </row>
    <row r="71" spans="1:21" x14ac:dyDescent="0.25">
      <c r="A71">
        <v>46027</v>
      </c>
      <c r="B71" t="s">
        <v>149</v>
      </c>
      <c r="C71" t="s">
        <v>150</v>
      </c>
      <c r="D71" t="s">
        <v>65</v>
      </c>
      <c r="E71" t="s">
        <v>33</v>
      </c>
      <c r="F71" t="s">
        <v>43</v>
      </c>
      <c r="G71" t="s">
        <v>59</v>
      </c>
      <c r="H71" t="s">
        <v>51</v>
      </c>
      <c r="I71" t="s">
        <v>28</v>
      </c>
      <c r="J71" t="s">
        <v>45</v>
      </c>
      <c r="K71">
        <v>9255</v>
      </c>
      <c r="L71">
        <v>67</v>
      </c>
      <c r="M71">
        <v>37.5</v>
      </c>
      <c r="N71">
        <v>2</v>
      </c>
      <c r="O71">
        <v>61.93</v>
      </c>
      <c r="P71">
        <f t="shared" si="4"/>
        <v>7.2393300918422478E-3</v>
      </c>
      <c r="Q71">
        <f t="shared" si="4"/>
        <v>0.55970149253731338</v>
      </c>
      <c r="R71">
        <f t="shared" si="5"/>
        <v>18.75</v>
      </c>
      <c r="S71">
        <f t="shared" si="6"/>
        <v>1.6514666666666666</v>
      </c>
      <c r="T71">
        <f t="shared" si="7"/>
        <v>2.9850746268656716E-2</v>
      </c>
      <c r="U71" t="str">
        <f>YEAR('Campaign Data'!$A71)&amp;"-"&amp;TEXT(MONTH('Campaign Data'!$A71),"00")</f>
        <v>2026-01</v>
      </c>
    </row>
    <row r="72" spans="1:21" x14ac:dyDescent="0.25">
      <c r="A72">
        <v>46027</v>
      </c>
      <c r="B72" t="s">
        <v>30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90</v>
      </c>
      <c r="I72" t="s">
        <v>37</v>
      </c>
      <c r="J72" t="s">
        <v>29</v>
      </c>
      <c r="K72">
        <v>6780</v>
      </c>
      <c r="L72">
        <v>52</v>
      </c>
      <c r="M72">
        <v>8.1199999999999992</v>
      </c>
      <c r="N72">
        <v>2</v>
      </c>
      <c r="O72">
        <v>32.6</v>
      </c>
      <c r="P72">
        <f t="shared" si="4"/>
        <v>7.6696165191740412E-3</v>
      </c>
      <c r="Q72">
        <f t="shared" si="4"/>
        <v>0.15615384615384614</v>
      </c>
      <c r="R72">
        <f t="shared" si="5"/>
        <v>4.0599999999999996</v>
      </c>
      <c r="S72">
        <f t="shared" si="6"/>
        <v>4.014778325123153</v>
      </c>
      <c r="T72">
        <f t="shared" si="7"/>
        <v>3.8461538461538464E-2</v>
      </c>
      <c r="U72" t="str">
        <f>YEAR('Campaign Data'!$A72)&amp;"-"&amp;TEXT(MONTH('Campaign Data'!$A72),"00")</f>
        <v>2026-01</v>
      </c>
    </row>
    <row r="73" spans="1:21" x14ac:dyDescent="0.25">
      <c r="A73">
        <v>46027</v>
      </c>
      <c r="B73" t="s">
        <v>151</v>
      </c>
      <c r="C73" t="s">
        <v>152</v>
      </c>
      <c r="D73" t="s">
        <v>48</v>
      </c>
      <c r="E73" t="s">
        <v>24</v>
      </c>
      <c r="F73" t="s">
        <v>81</v>
      </c>
      <c r="G73" t="s">
        <v>129</v>
      </c>
      <c r="H73" t="s">
        <v>90</v>
      </c>
      <c r="I73" t="s">
        <v>61</v>
      </c>
      <c r="J73" t="s">
        <v>29</v>
      </c>
      <c r="K73">
        <v>1262</v>
      </c>
      <c r="L73">
        <v>19</v>
      </c>
      <c r="M73">
        <v>6.14</v>
      </c>
      <c r="N73">
        <v>0</v>
      </c>
      <c r="O73">
        <v>0</v>
      </c>
      <c r="P73">
        <f t="shared" si="4"/>
        <v>1.5055467511885896E-2</v>
      </c>
      <c r="Q73">
        <f t="shared" si="4"/>
        <v>0.32315789473684209</v>
      </c>
      <c r="R73">
        <f t="shared" si="5"/>
        <v>0</v>
      </c>
      <c r="S73">
        <f t="shared" si="6"/>
        <v>0</v>
      </c>
      <c r="T73">
        <f t="shared" si="7"/>
        <v>0</v>
      </c>
      <c r="U73" t="str">
        <f>YEAR('Campaign Data'!$A73)&amp;"-"&amp;TEXT(MONTH('Campaign Data'!$A73),"00")</f>
        <v>2026-01</v>
      </c>
    </row>
    <row r="74" spans="1:21" x14ac:dyDescent="0.25">
      <c r="A74">
        <v>46027</v>
      </c>
      <c r="B74" t="s">
        <v>39</v>
      </c>
      <c r="C74" t="s">
        <v>40</v>
      </c>
      <c r="D74" t="s">
        <v>41</v>
      </c>
      <c r="E74" t="s">
        <v>42</v>
      </c>
      <c r="F74" t="s">
        <v>43</v>
      </c>
      <c r="G74" t="s">
        <v>44</v>
      </c>
      <c r="H74" t="s">
        <v>51</v>
      </c>
      <c r="I74" t="s">
        <v>37</v>
      </c>
      <c r="J74" t="s">
        <v>29</v>
      </c>
      <c r="K74">
        <v>7051</v>
      </c>
      <c r="L74">
        <v>30</v>
      </c>
      <c r="M74">
        <v>169.16</v>
      </c>
      <c r="N74">
        <v>0</v>
      </c>
      <c r="O74">
        <v>0</v>
      </c>
      <c r="P74">
        <f t="shared" si="4"/>
        <v>4.2547156431711813E-3</v>
      </c>
      <c r="Q74">
        <f t="shared" si="4"/>
        <v>5.6386666666666665</v>
      </c>
      <c r="R74">
        <f t="shared" si="5"/>
        <v>0</v>
      </c>
      <c r="S74">
        <f t="shared" si="6"/>
        <v>0</v>
      </c>
      <c r="T74">
        <f t="shared" si="7"/>
        <v>0</v>
      </c>
      <c r="U74" t="str">
        <f>YEAR('Campaign Data'!$A74)&amp;"-"&amp;TEXT(MONTH('Campaign Data'!$A74),"00")</f>
        <v>2026-01</v>
      </c>
    </row>
    <row r="75" spans="1:21" x14ac:dyDescent="0.25">
      <c r="A75">
        <v>46027</v>
      </c>
      <c r="B75" t="s">
        <v>39</v>
      </c>
      <c r="C75" t="s">
        <v>40</v>
      </c>
      <c r="D75" t="s">
        <v>41</v>
      </c>
      <c r="E75" t="s">
        <v>42</v>
      </c>
      <c r="F75" t="s">
        <v>43</v>
      </c>
      <c r="G75" t="s">
        <v>44</v>
      </c>
      <c r="H75" t="s">
        <v>90</v>
      </c>
      <c r="I75" t="s">
        <v>37</v>
      </c>
      <c r="J75" t="s">
        <v>45</v>
      </c>
      <c r="K75">
        <v>1287</v>
      </c>
      <c r="L75">
        <v>9</v>
      </c>
      <c r="M75">
        <v>16.2</v>
      </c>
      <c r="N75">
        <v>0</v>
      </c>
      <c r="O75">
        <v>0</v>
      </c>
      <c r="P75">
        <f t="shared" si="4"/>
        <v>6.993006993006993E-3</v>
      </c>
      <c r="Q75">
        <f t="shared" si="4"/>
        <v>1.7999999999999998</v>
      </c>
      <c r="R75">
        <f t="shared" si="5"/>
        <v>0</v>
      </c>
      <c r="S75">
        <f t="shared" si="6"/>
        <v>0</v>
      </c>
      <c r="T75">
        <f t="shared" si="7"/>
        <v>0</v>
      </c>
      <c r="U75" t="str">
        <f>YEAR('Campaign Data'!$A75)&amp;"-"&amp;TEXT(MONTH('Campaign Data'!$A75),"00")</f>
        <v>2026-01</v>
      </c>
    </row>
    <row r="76" spans="1:21" x14ac:dyDescent="0.25">
      <c r="A76">
        <v>46027</v>
      </c>
      <c r="B76" t="s">
        <v>52</v>
      </c>
      <c r="C76" t="s">
        <v>53</v>
      </c>
      <c r="D76" t="s">
        <v>32</v>
      </c>
      <c r="E76" t="s">
        <v>42</v>
      </c>
      <c r="F76" t="s">
        <v>25</v>
      </c>
      <c r="G76" t="s">
        <v>54</v>
      </c>
      <c r="H76" t="s">
        <v>27</v>
      </c>
      <c r="I76" t="s">
        <v>28</v>
      </c>
      <c r="J76" t="s">
        <v>29</v>
      </c>
      <c r="K76">
        <v>2748</v>
      </c>
      <c r="L76">
        <v>12</v>
      </c>
      <c r="M76">
        <v>124.63</v>
      </c>
      <c r="N76">
        <v>0</v>
      </c>
      <c r="O76">
        <v>0</v>
      </c>
      <c r="P76">
        <f t="shared" si="4"/>
        <v>4.3668122270742356E-3</v>
      </c>
      <c r="Q76">
        <f t="shared" si="4"/>
        <v>10.385833333333332</v>
      </c>
      <c r="R76">
        <f t="shared" si="5"/>
        <v>0</v>
      </c>
      <c r="S76">
        <f t="shared" si="6"/>
        <v>0</v>
      </c>
      <c r="T76">
        <f t="shared" si="7"/>
        <v>0</v>
      </c>
      <c r="U76" t="str">
        <f>YEAR('Campaign Data'!$A76)&amp;"-"&amp;TEXT(MONTH('Campaign Data'!$A76),"00")</f>
        <v>2026-01</v>
      </c>
    </row>
    <row r="77" spans="1:21" x14ac:dyDescent="0.25">
      <c r="A77">
        <v>46027</v>
      </c>
      <c r="B77" t="s">
        <v>127</v>
      </c>
      <c r="C77" t="s">
        <v>128</v>
      </c>
      <c r="D77" t="s">
        <v>58</v>
      </c>
      <c r="E77" t="s">
        <v>24</v>
      </c>
      <c r="F77" t="s">
        <v>81</v>
      </c>
      <c r="G77" t="s">
        <v>129</v>
      </c>
      <c r="H77" t="s">
        <v>90</v>
      </c>
      <c r="I77" t="s">
        <v>37</v>
      </c>
      <c r="J77" t="s">
        <v>45</v>
      </c>
      <c r="K77">
        <v>12693</v>
      </c>
      <c r="L77">
        <v>267</v>
      </c>
      <c r="M77">
        <v>62.3</v>
      </c>
      <c r="N77">
        <v>8</v>
      </c>
      <c r="O77">
        <v>52.26</v>
      </c>
      <c r="P77">
        <f t="shared" si="4"/>
        <v>2.1035216260931223E-2</v>
      </c>
      <c r="Q77">
        <f t="shared" si="4"/>
        <v>0.23333333333333331</v>
      </c>
      <c r="R77">
        <f t="shared" si="5"/>
        <v>7.7874999999999996</v>
      </c>
      <c r="S77">
        <f t="shared" si="6"/>
        <v>0.83884430176565006</v>
      </c>
      <c r="T77">
        <f t="shared" si="7"/>
        <v>2.9962546816479401E-2</v>
      </c>
      <c r="U77" t="str">
        <f>YEAR('Campaign Data'!$A77)&amp;"-"&amp;TEXT(MONTH('Campaign Data'!$A77),"00")</f>
        <v>2026-01</v>
      </c>
    </row>
    <row r="78" spans="1:21" x14ac:dyDescent="0.25">
      <c r="A78">
        <v>46027</v>
      </c>
      <c r="B78" t="s">
        <v>105</v>
      </c>
      <c r="C78" t="s">
        <v>106</v>
      </c>
      <c r="D78" t="s">
        <v>58</v>
      </c>
      <c r="E78" t="s">
        <v>49</v>
      </c>
      <c r="F78" t="s">
        <v>81</v>
      </c>
      <c r="G78" t="s">
        <v>107</v>
      </c>
      <c r="H78" t="s">
        <v>71</v>
      </c>
      <c r="I78" t="s">
        <v>37</v>
      </c>
      <c r="J78" t="s">
        <v>45</v>
      </c>
      <c r="K78">
        <v>3853</v>
      </c>
      <c r="L78">
        <v>157</v>
      </c>
      <c r="M78">
        <v>190.72</v>
      </c>
      <c r="N78">
        <v>8</v>
      </c>
      <c r="O78">
        <v>197.26</v>
      </c>
      <c r="P78">
        <f t="shared" si="4"/>
        <v>4.0747469504282374E-2</v>
      </c>
      <c r="Q78">
        <f t="shared" si="4"/>
        <v>1.2147770700636942</v>
      </c>
      <c r="R78">
        <f t="shared" si="5"/>
        <v>23.84</v>
      </c>
      <c r="S78">
        <f t="shared" si="6"/>
        <v>1.0342911073825503</v>
      </c>
      <c r="T78">
        <f t="shared" si="7"/>
        <v>5.0955414012738856E-2</v>
      </c>
      <c r="U78" t="str">
        <f>YEAR('Campaign Data'!$A78)&amp;"-"&amp;TEXT(MONTH('Campaign Data'!$A78),"00")</f>
        <v>2026-01</v>
      </c>
    </row>
    <row r="79" spans="1:21" x14ac:dyDescent="0.25">
      <c r="A79">
        <v>46027</v>
      </c>
      <c r="B79" t="s">
        <v>132</v>
      </c>
      <c r="C79" t="s">
        <v>133</v>
      </c>
      <c r="D79" t="s">
        <v>23</v>
      </c>
      <c r="E79" t="s">
        <v>42</v>
      </c>
      <c r="F79" t="s">
        <v>75</v>
      </c>
      <c r="G79" t="s">
        <v>84</v>
      </c>
      <c r="H79" t="s">
        <v>51</v>
      </c>
      <c r="I79" t="s">
        <v>37</v>
      </c>
      <c r="J79" t="s">
        <v>29</v>
      </c>
      <c r="K79">
        <v>4229</v>
      </c>
      <c r="L79">
        <v>16</v>
      </c>
      <c r="M79">
        <v>97.46</v>
      </c>
      <c r="N79">
        <v>0</v>
      </c>
      <c r="O79">
        <v>0</v>
      </c>
      <c r="P79">
        <f t="shared" si="4"/>
        <v>3.7834003310475289E-3</v>
      </c>
      <c r="Q79">
        <f t="shared" si="4"/>
        <v>6.0912499999999996</v>
      </c>
      <c r="R79">
        <f t="shared" si="5"/>
        <v>0</v>
      </c>
      <c r="S79">
        <f t="shared" si="6"/>
        <v>0</v>
      </c>
      <c r="T79">
        <f t="shared" si="7"/>
        <v>0</v>
      </c>
      <c r="U79" t="str">
        <f>YEAR('Campaign Data'!$A79)&amp;"-"&amp;TEXT(MONTH('Campaign Data'!$A79),"00")</f>
        <v>2026-01</v>
      </c>
    </row>
    <row r="80" spans="1:21" x14ac:dyDescent="0.25">
      <c r="A80">
        <v>46027</v>
      </c>
      <c r="B80" t="s">
        <v>153</v>
      </c>
      <c r="C80" t="s">
        <v>154</v>
      </c>
      <c r="D80" t="s">
        <v>48</v>
      </c>
      <c r="E80" t="s">
        <v>33</v>
      </c>
      <c r="F80" t="s">
        <v>43</v>
      </c>
      <c r="G80" t="s">
        <v>59</v>
      </c>
      <c r="H80" t="s">
        <v>51</v>
      </c>
      <c r="I80" t="s">
        <v>28</v>
      </c>
      <c r="J80" t="s">
        <v>87</v>
      </c>
      <c r="K80">
        <v>5418</v>
      </c>
      <c r="L80">
        <v>52</v>
      </c>
      <c r="M80">
        <v>26.93</v>
      </c>
      <c r="N80">
        <v>0</v>
      </c>
      <c r="O80">
        <v>0</v>
      </c>
      <c r="P80">
        <f t="shared" si="4"/>
        <v>9.5976375046142488E-3</v>
      </c>
      <c r="Q80">
        <f t="shared" si="4"/>
        <v>0.51788461538461539</v>
      </c>
      <c r="R80">
        <f t="shared" si="5"/>
        <v>0</v>
      </c>
      <c r="S80">
        <f t="shared" si="6"/>
        <v>0</v>
      </c>
      <c r="T80">
        <f t="shared" si="7"/>
        <v>0</v>
      </c>
      <c r="U80" t="str">
        <f>YEAR('Campaign Data'!$A80)&amp;"-"&amp;TEXT(MONTH('Campaign Data'!$A80),"00")</f>
        <v>2026-01</v>
      </c>
    </row>
    <row r="81" spans="1:21" x14ac:dyDescent="0.25">
      <c r="A81">
        <v>46027</v>
      </c>
      <c r="B81" t="s">
        <v>110</v>
      </c>
      <c r="C81" t="s">
        <v>111</v>
      </c>
      <c r="D81" t="s">
        <v>23</v>
      </c>
      <c r="E81" t="s">
        <v>49</v>
      </c>
      <c r="F81" t="s">
        <v>34</v>
      </c>
      <c r="G81" t="s">
        <v>50</v>
      </c>
      <c r="H81" t="s">
        <v>27</v>
      </c>
      <c r="I81" t="s">
        <v>37</v>
      </c>
      <c r="J81" t="s">
        <v>38</v>
      </c>
      <c r="K81">
        <v>6662</v>
      </c>
      <c r="L81">
        <v>357</v>
      </c>
      <c r="M81">
        <v>659.27</v>
      </c>
      <c r="N81">
        <v>16</v>
      </c>
      <c r="O81">
        <v>3030.62</v>
      </c>
      <c r="P81">
        <f t="shared" si="4"/>
        <v>5.3587511257880513E-2</v>
      </c>
      <c r="Q81">
        <f t="shared" si="4"/>
        <v>1.8466946778711484</v>
      </c>
      <c r="R81">
        <f t="shared" si="5"/>
        <v>41.204374999999999</v>
      </c>
      <c r="S81">
        <f t="shared" si="6"/>
        <v>4.5969329713167593</v>
      </c>
      <c r="T81">
        <f t="shared" si="7"/>
        <v>4.4817927170868348E-2</v>
      </c>
      <c r="U81" t="str">
        <f>YEAR('Campaign Data'!$A81)&amp;"-"&amp;TEXT(MONTH('Campaign Data'!$A81),"00")</f>
        <v>2026-01</v>
      </c>
    </row>
    <row r="82" spans="1:21" x14ac:dyDescent="0.25">
      <c r="A82">
        <v>46027</v>
      </c>
      <c r="B82" t="s">
        <v>155</v>
      </c>
      <c r="C82" t="s">
        <v>156</v>
      </c>
      <c r="D82" t="s">
        <v>32</v>
      </c>
      <c r="E82" t="s">
        <v>24</v>
      </c>
      <c r="F82" t="s">
        <v>34</v>
      </c>
      <c r="G82" t="s">
        <v>129</v>
      </c>
      <c r="H82" t="s">
        <v>36</v>
      </c>
      <c r="I82" t="s">
        <v>37</v>
      </c>
      <c r="J82" t="s">
        <v>87</v>
      </c>
      <c r="K82">
        <v>4150</v>
      </c>
      <c r="L82">
        <v>38</v>
      </c>
      <c r="M82">
        <v>36.35</v>
      </c>
      <c r="N82">
        <v>0</v>
      </c>
      <c r="O82">
        <v>0</v>
      </c>
      <c r="P82">
        <f t="shared" si="4"/>
        <v>9.1566265060240969E-3</v>
      </c>
      <c r="Q82">
        <f t="shared" si="4"/>
        <v>0.95657894736842108</v>
      </c>
      <c r="R82">
        <f t="shared" si="5"/>
        <v>0</v>
      </c>
      <c r="S82">
        <f t="shared" si="6"/>
        <v>0</v>
      </c>
      <c r="T82">
        <f t="shared" si="7"/>
        <v>0</v>
      </c>
      <c r="U82" t="str">
        <f>YEAR('Campaign Data'!$A82)&amp;"-"&amp;TEXT(MONTH('Campaign Data'!$A82),"00")</f>
        <v>2026-01</v>
      </c>
    </row>
    <row r="83" spans="1:21" x14ac:dyDescent="0.25">
      <c r="A83">
        <v>46027</v>
      </c>
      <c r="B83" t="s">
        <v>134</v>
      </c>
      <c r="C83" t="s">
        <v>135</v>
      </c>
      <c r="D83" t="s">
        <v>32</v>
      </c>
      <c r="E83" t="s">
        <v>74</v>
      </c>
      <c r="F83" t="s">
        <v>25</v>
      </c>
      <c r="G83" t="s">
        <v>107</v>
      </c>
      <c r="H83" t="s">
        <v>71</v>
      </c>
      <c r="I83" t="s">
        <v>37</v>
      </c>
      <c r="J83" t="s">
        <v>29</v>
      </c>
      <c r="K83">
        <v>7783</v>
      </c>
      <c r="L83">
        <v>164</v>
      </c>
      <c r="M83">
        <v>233.92</v>
      </c>
      <c r="N83">
        <v>6</v>
      </c>
      <c r="O83">
        <v>622.05999999999995</v>
      </c>
      <c r="P83">
        <f t="shared" si="4"/>
        <v>2.1071566234099962E-2</v>
      </c>
      <c r="Q83">
        <f t="shared" si="4"/>
        <v>1.4263414634146341</v>
      </c>
      <c r="R83">
        <f t="shared" si="5"/>
        <v>38.986666666666665</v>
      </c>
      <c r="S83">
        <f t="shared" si="6"/>
        <v>2.659285225718194</v>
      </c>
      <c r="T83">
        <f t="shared" si="7"/>
        <v>3.6585365853658534E-2</v>
      </c>
      <c r="U83" t="str">
        <f>YEAR('Campaign Data'!$A83)&amp;"-"&amp;TEXT(MONTH('Campaign Data'!$A83),"00")</f>
        <v>2026-01</v>
      </c>
    </row>
    <row r="84" spans="1:21" x14ac:dyDescent="0.25">
      <c r="A84">
        <v>46027</v>
      </c>
      <c r="B84" t="s">
        <v>157</v>
      </c>
      <c r="C84" t="s">
        <v>158</v>
      </c>
      <c r="D84" t="s">
        <v>58</v>
      </c>
      <c r="E84" t="s">
        <v>49</v>
      </c>
      <c r="F84" t="s">
        <v>81</v>
      </c>
      <c r="G84" t="s">
        <v>50</v>
      </c>
      <c r="H84" t="s">
        <v>90</v>
      </c>
      <c r="I84" t="s">
        <v>37</v>
      </c>
      <c r="J84" t="s">
        <v>45</v>
      </c>
      <c r="K84">
        <v>4690</v>
      </c>
      <c r="L84">
        <v>178</v>
      </c>
      <c r="M84">
        <v>104.69</v>
      </c>
      <c r="N84">
        <v>6</v>
      </c>
      <c r="O84">
        <v>30</v>
      </c>
      <c r="P84">
        <f t="shared" si="4"/>
        <v>3.7953091684434968E-2</v>
      </c>
      <c r="Q84">
        <f t="shared" si="4"/>
        <v>0.58814606741573028</v>
      </c>
      <c r="R84">
        <f t="shared" si="5"/>
        <v>17.448333333333334</v>
      </c>
      <c r="S84">
        <f t="shared" si="6"/>
        <v>0.28656032094755945</v>
      </c>
      <c r="T84">
        <f t="shared" si="7"/>
        <v>3.3707865168539325E-2</v>
      </c>
      <c r="U84" t="str">
        <f>YEAR('Campaign Data'!$A84)&amp;"-"&amp;TEXT(MONTH('Campaign Data'!$A84),"00")</f>
        <v>2026-01</v>
      </c>
    </row>
    <row r="85" spans="1:21" x14ac:dyDescent="0.25">
      <c r="A85">
        <v>46027</v>
      </c>
      <c r="B85" t="s">
        <v>159</v>
      </c>
      <c r="C85" t="s">
        <v>160</v>
      </c>
      <c r="D85" t="s">
        <v>65</v>
      </c>
      <c r="E85" t="s">
        <v>42</v>
      </c>
      <c r="F85" t="s">
        <v>75</v>
      </c>
      <c r="G85" t="s">
        <v>54</v>
      </c>
      <c r="H85" t="s">
        <v>27</v>
      </c>
      <c r="I85" t="s">
        <v>37</v>
      </c>
      <c r="J85" t="s">
        <v>87</v>
      </c>
      <c r="K85">
        <v>19879</v>
      </c>
      <c r="L85">
        <v>115</v>
      </c>
      <c r="M85">
        <v>1079.31</v>
      </c>
      <c r="N85">
        <v>2</v>
      </c>
      <c r="O85">
        <v>51.17</v>
      </c>
      <c r="P85">
        <f t="shared" si="4"/>
        <v>5.7849992454348806E-3</v>
      </c>
      <c r="Q85">
        <f t="shared" si="4"/>
        <v>9.3853043478260858</v>
      </c>
      <c r="R85">
        <f t="shared" si="5"/>
        <v>539.65499999999997</v>
      </c>
      <c r="S85">
        <f t="shared" si="6"/>
        <v>4.7409919300293708E-2</v>
      </c>
      <c r="T85">
        <f t="shared" si="7"/>
        <v>1.7391304347826087E-2</v>
      </c>
      <c r="U85" t="str">
        <f>YEAR('Campaign Data'!$A85)&amp;"-"&amp;TEXT(MONTH('Campaign Data'!$A85),"00")</f>
        <v>2026-01</v>
      </c>
    </row>
    <row r="86" spans="1:21" x14ac:dyDescent="0.25">
      <c r="A86">
        <v>46027</v>
      </c>
      <c r="B86" t="s">
        <v>161</v>
      </c>
      <c r="C86" t="s">
        <v>162</v>
      </c>
      <c r="D86" t="s">
        <v>48</v>
      </c>
      <c r="E86" t="s">
        <v>74</v>
      </c>
      <c r="F86" t="s">
        <v>34</v>
      </c>
      <c r="G86" t="s">
        <v>107</v>
      </c>
      <c r="H86" t="s">
        <v>55</v>
      </c>
      <c r="I86" t="s">
        <v>28</v>
      </c>
      <c r="J86" t="s">
        <v>45</v>
      </c>
      <c r="K86">
        <v>4052</v>
      </c>
      <c r="L86">
        <v>93</v>
      </c>
      <c r="M86">
        <v>122.37</v>
      </c>
      <c r="N86">
        <v>1</v>
      </c>
      <c r="O86">
        <v>139.46</v>
      </c>
      <c r="P86">
        <f t="shared" si="4"/>
        <v>2.2951628825271471E-2</v>
      </c>
      <c r="Q86">
        <f t="shared" si="4"/>
        <v>1.3158064516129033</v>
      </c>
      <c r="R86">
        <f t="shared" si="5"/>
        <v>122.37</v>
      </c>
      <c r="S86">
        <f t="shared" si="6"/>
        <v>1.1396584130097247</v>
      </c>
      <c r="T86">
        <f t="shared" si="7"/>
        <v>1.0752688172043012E-2</v>
      </c>
      <c r="U86" t="str">
        <f>YEAR('Campaign Data'!$A86)&amp;"-"&amp;TEXT(MONTH('Campaign Data'!$A86),"00")</f>
        <v>2026-01</v>
      </c>
    </row>
    <row r="87" spans="1:21" x14ac:dyDescent="0.25">
      <c r="A87">
        <v>46027</v>
      </c>
      <c r="B87" t="s">
        <v>63</v>
      </c>
      <c r="C87" t="s">
        <v>64</v>
      </c>
      <c r="D87" t="s">
        <v>65</v>
      </c>
      <c r="E87" t="s">
        <v>24</v>
      </c>
      <c r="F87" t="s">
        <v>43</v>
      </c>
      <c r="G87" t="s">
        <v>66</v>
      </c>
      <c r="H87" t="s">
        <v>60</v>
      </c>
      <c r="I87" t="s">
        <v>28</v>
      </c>
      <c r="J87" t="s">
        <v>45</v>
      </c>
      <c r="K87">
        <v>12978</v>
      </c>
      <c r="L87">
        <v>187</v>
      </c>
      <c r="M87">
        <v>208.23</v>
      </c>
      <c r="N87">
        <v>4</v>
      </c>
      <c r="O87">
        <v>72.8</v>
      </c>
      <c r="P87">
        <f t="shared" si="4"/>
        <v>1.4408999845893051E-2</v>
      </c>
      <c r="Q87">
        <f t="shared" si="4"/>
        <v>1.1135294117647059</v>
      </c>
      <c r="R87">
        <f t="shared" si="5"/>
        <v>52.057499999999997</v>
      </c>
      <c r="S87">
        <f t="shared" si="6"/>
        <v>0.34961340825049225</v>
      </c>
      <c r="T87">
        <f t="shared" si="7"/>
        <v>2.1390374331550801E-2</v>
      </c>
      <c r="U87" t="str">
        <f>YEAR('Campaign Data'!$A87)&amp;"-"&amp;TEXT(MONTH('Campaign Data'!$A87),"00")</f>
        <v>2026-01</v>
      </c>
    </row>
    <row r="88" spans="1:21" x14ac:dyDescent="0.25">
      <c r="A88">
        <v>46027</v>
      </c>
      <c r="B88" t="s">
        <v>163</v>
      </c>
      <c r="C88" t="s">
        <v>164</v>
      </c>
      <c r="D88" t="s">
        <v>58</v>
      </c>
      <c r="E88" t="s">
        <v>42</v>
      </c>
      <c r="F88" t="s">
        <v>43</v>
      </c>
      <c r="G88" t="s">
        <v>44</v>
      </c>
      <c r="H88" t="s">
        <v>51</v>
      </c>
      <c r="I88" t="s">
        <v>37</v>
      </c>
      <c r="J88" t="s">
        <v>87</v>
      </c>
      <c r="K88">
        <v>6275</v>
      </c>
      <c r="L88">
        <v>50</v>
      </c>
      <c r="M88">
        <v>307.82</v>
      </c>
      <c r="N88">
        <v>2</v>
      </c>
      <c r="O88">
        <v>43.69</v>
      </c>
      <c r="P88">
        <f t="shared" si="4"/>
        <v>7.9681274900398405E-3</v>
      </c>
      <c r="Q88">
        <f t="shared" si="4"/>
        <v>6.1563999999999997</v>
      </c>
      <c r="R88">
        <f t="shared" si="5"/>
        <v>153.91</v>
      </c>
      <c r="S88">
        <f t="shared" si="6"/>
        <v>0.14193359755701385</v>
      </c>
      <c r="T88">
        <f t="shared" si="7"/>
        <v>0.04</v>
      </c>
      <c r="U88" t="str">
        <f>YEAR('Campaign Data'!$A88)&amp;"-"&amp;TEXT(MONTH('Campaign Data'!$A88),"00")</f>
        <v>2026-01</v>
      </c>
    </row>
    <row r="89" spans="1:21" x14ac:dyDescent="0.25">
      <c r="A89">
        <v>46027</v>
      </c>
      <c r="B89" t="s">
        <v>76</v>
      </c>
      <c r="C89" t="s">
        <v>77</v>
      </c>
      <c r="D89" t="s">
        <v>65</v>
      </c>
      <c r="E89" t="s">
        <v>42</v>
      </c>
      <c r="F89" t="s">
        <v>43</v>
      </c>
      <c r="G89" t="s">
        <v>44</v>
      </c>
      <c r="H89" t="s">
        <v>51</v>
      </c>
      <c r="I89" t="s">
        <v>37</v>
      </c>
      <c r="J89" t="s">
        <v>62</v>
      </c>
      <c r="K89">
        <v>4281</v>
      </c>
      <c r="L89">
        <v>33</v>
      </c>
      <c r="M89">
        <v>163.05000000000001</v>
      </c>
      <c r="N89">
        <v>0</v>
      </c>
      <c r="O89">
        <v>0</v>
      </c>
      <c r="P89">
        <f t="shared" si="4"/>
        <v>7.7084793272599863E-3</v>
      </c>
      <c r="Q89">
        <f t="shared" si="4"/>
        <v>4.9409090909090914</v>
      </c>
      <c r="R89">
        <f t="shared" si="5"/>
        <v>0</v>
      </c>
      <c r="S89">
        <f t="shared" si="6"/>
        <v>0</v>
      </c>
      <c r="T89">
        <f t="shared" si="7"/>
        <v>0</v>
      </c>
      <c r="U89" t="str">
        <f>YEAR('Campaign Data'!$A89)&amp;"-"&amp;TEXT(MONTH('Campaign Data'!$A89),"00")</f>
        <v>2026-01</v>
      </c>
    </row>
    <row r="90" spans="1:21" x14ac:dyDescent="0.25">
      <c r="A90">
        <v>46028</v>
      </c>
      <c r="B90" t="s">
        <v>165</v>
      </c>
      <c r="C90" t="s">
        <v>166</v>
      </c>
      <c r="D90" t="s">
        <v>41</v>
      </c>
      <c r="E90" t="s">
        <v>33</v>
      </c>
      <c r="F90" t="s">
        <v>43</v>
      </c>
      <c r="G90" t="s">
        <v>59</v>
      </c>
      <c r="H90" t="s">
        <v>36</v>
      </c>
      <c r="I90" t="s">
        <v>37</v>
      </c>
      <c r="J90" t="s">
        <v>62</v>
      </c>
      <c r="K90">
        <v>9234</v>
      </c>
      <c r="L90">
        <v>81</v>
      </c>
      <c r="M90">
        <v>56.29</v>
      </c>
      <c r="N90">
        <v>3</v>
      </c>
      <c r="O90">
        <v>112.96</v>
      </c>
      <c r="P90">
        <f t="shared" si="4"/>
        <v>8.771929824561403E-3</v>
      </c>
      <c r="Q90">
        <f t="shared" si="4"/>
        <v>0.69493827160493826</v>
      </c>
      <c r="R90">
        <f t="shared" si="5"/>
        <v>18.763333333333332</v>
      </c>
      <c r="S90">
        <f t="shared" si="6"/>
        <v>2.0067507550186532</v>
      </c>
      <c r="T90">
        <f t="shared" si="7"/>
        <v>3.7037037037037035E-2</v>
      </c>
      <c r="U90" t="str">
        <f>YEAR('Campaign Data'!$A90)&amp;"-"&amp;TEXT(MONTH('Campaign Data'!$A90),"00")</f>
        <v>2026-01</v>
      </c>
    </row>
    <row r="91" spans="1:21" x14ac:dyDescent="0.25">
      <c r="A91">
        <v>46028</v>
      </c>
      <c r="B91" t="s">
        <v>88</v>
      </c>
      <c r="C91" t="s">
        <v>89</v>
      </c>
      <c r="D91" t="s">
        <v>23</v>
      </c>
      <c r="E91" t="s">
        <v>49</v>
      </c>
      <c r="F91" t="s">
        <v>81</v>
      </c>
      <c r="G91" t="s">
        <v>50</v>
      </c>
      <c r="H91" t="s">
        <v>27</v>
      </c>
      <c r="I91" t="s">
        <v>28</v>
      </c>
      <c r="J91" t="s">
        <v>38</v>
      </c>
      <c r="K91">
        <v>4192</v>
      </c>
      <c r="L91">
        <v>170</v>
      </c>
      <c r="M91">
        <v>381.34</v>
      </c>
      <c r="N91">
        <v>8</v>
      </c>
      <c r="O91">
        <v>291.14</v>
      </c>
      <c r="P91">
        <f t="shared" si="4"/>
        <v>4.0553435114503815E-2</v>
      </c>
      <c r="Q91">
        <f t="shared" si="4"/>
        <v>2.2431764705882351</v>
      </c>
      <c r="R91">
        <f t="shared" si="5"/>
        <v>47.667499999999997</v>
      </c>
      <c r="S91">
        <f t="shared" si="6"/>
        <v>0.76346567367703366</v>
      </c>
      <c r="T91">
        <f t="shared" si="7"/>
        <v>4.7058823529411764E-2</v>
      </c>
      <c r="U91" t="str">
        <f>YEAR('Campaign Data'!$A91)&amp;"-"&amp;TEXT(MONTH('Campaign Data'!$A91),"00")</f>
        <v>2026-01</v>
      </c>
    </row>
    <row r="92" spans="1:21" x14ac:dyDescent="0.25">
      <c r="A92">
        <v>46028</v>
      </c>
      <c r="B92" t="s">
        <v>88</v>
      </c>
      <c r="C92" t="s">
        <v>89</v>
      </c>
      <c r="D92" t="s">
        <v>23</v>
      </c>
      <c r="E92" t="s">
        <v>49</v>
      </c>
      <c r="F92" t="s">
        <v>81</v>
      </c>
      <c r="G92" t="s">
        <v>50</v>
      </c>
      <c r="H92" t="s">
        <v>27</v>
      </c>
      <c r="I92" t="s">
        <v>28</v>
      </c>
      <c r="J92" t="s">
        <v>45</v>
      </c>
      <c r="K92">
        <v>3206</v>
      </c>
      <c r="L92">
        <v>142</v>
      </c>
      <c r="M92">
        <v>267.45999999999998</v>
      </c>
      <c r="N92">
        <v>6</v>
      </c>
      <c r="O92">
        <v>41.17</v>
      </c>
      <c r="P92">
        <f t="shared" si="4"/>
        <v>4.4291952588895823E-2</v>
      </c>
      <c r="Q92">
        <f t="shared" si="4"/>
        <v>1.8835211267605632</v>
      </c>
      <c r="R92">
        <f t="shared" si="5"/>
        <v>44.576666666666661</v>
      </c>
      <c r="S92">
        <f t="shared" si="6"/>
        <v>0.1539295595603081</v>
      </c>
      <c r="T92">
        <f t="shared" si="7"/>
        <v>4.2253521126760563E-2</v>
      </c>
      <c r="U92" t="str">
        <f>YEAR('Campaign Data'!$A92)&amp;"-"&amp;TEXT(MONTH('Campaign Data'!$A92),"00")</f>
        <v>2026-01</v>
      </c>
    </row>
    <row r="93" spans="1:21" x14ac:dyDescent="0.25">
      <c r="A93">
        <v>46028</v>
      </c>
      <c r="B93" t="s">
        <v>167</v>
      </c>
      <c r="C93" t="s">
        <v>168</v>
      </c>
      <c r="D93" t="s">
        <v>58</v>
      </c>
      <c r="E93" t="s">
        <v>33</v>
      </c>
      <c r="F93" t="s">
        <v>75</v>
      </c>
      <c r="G93" t="s">
        <v>35</v>
      </c>
      <c r="H93" t="s">
        <v>71</v>
      </c>
      <c r="I93" t="s">
        <v>37</v>
      </c>
      <c r="J93" t="s">
        <v>45</v>
      </c>
      <c r="K93">
        <v>4510</v>
      </c>
      <c r="L93">
        <v>48</v>
      </c>
      <c r="M93">
        <v>30.88</v>
      </c>
      <c r="N93">
        <v>0</v>
      </c>
      <c r="O93">
        <v>0</v>
      </c>
      <c r="P93">
        <f t="shared" si="4"/>
        <v>1.0643015521064302E-2</v>
      </c>
      <c r="Q93">
        <f t="shared" si="4"/>
        <v>0.64333333333333331</v>
      </c>
      <c r="R93">
        <f t="shared" si="5"/>
        <v>0</v>
      </c>
      <c r="S93">
        <f t="shared" si="6"/>
        <v>0</v>
      </c>
      <c r="T93">
        <f t="shared" si="7"/>
        <v>0</v>
      </c>
      <c r="U93" t="str">
        <f>YEAR('Campaign Data'!$A93)&amp;"-"&amp;TEXT(MONTH('Campaign Data'!$A93),"00")</f>
        <v>2026-01</v>
      </c>
    </row>
    <row r="94" spans="1:21" x14ac:dyDescent="0.25">
      <c r="A94">
        <v>46028</v>
      </c>
      <c r="B94" t="s">
        <v>147</v>
      </c>
      <c r="C94" t="s">
        <v>148</v>
      </c>
      <c r="D94" t="s">
        <v>23</v>
      </c>
      <c r="E94" t="s">
        <v>42</v>
      </c>
      <c r="F94" t="s">
        <v>75</v>
      </c>
      <c r="G94" t="s">
        <v>44</v>
      </c>
      <c r="H94" t="s">
        <v>27</v>
      </c>
      <c r="I94" t="s">
        <v>37</v>
      </c>
      <c r="J94" t="s">
        <v>45</v>
      </c>
      <c r="K94">
        <v>9586</v>
      </c>
      <c r="L94">
        <v>87</v>
      </c>
      <c r="M94">
        <v>540.13</v>
      </c>
      <c r="N94">
        <v>1</v>
      </c>
      <c r="O94">
        <v>50.7</v>
      </c>
      <c r="P94">
        <f t="shared" si="4"/>
        <v>9.0757354475276449E-3</v>
      </c>
      <c r="Q94">
        <f t="shared" si="4"/>
        <v>6.208390804597701</v>
      </c>
      <c r="R94">
        <f t="shared" si="5"/>
        <v>540.13</v>
      </c>
      <c r="S94">
        <f t="shared" si="6"/>
        <v>9.3866291448355038E-2</v>
      </c>
      <c r="T94">
        <f t="shared" si="7"/>
        <v>1.1494252873563218E-2</v>
      </c>
      <c r="U94" t="str">
        <f>YEAR('Campaign Data'!$A94)&amp;"-"&amp;TEXT(MONTH('Campaign Data'!$A94),"00")</f>
        <v>2026-01</v>
      </c>
    </row>
    <row r="95" spans="1:21" x14ac:dyDescent="0.25">
      <c r="A95">
        <v>46028</v>
      </c>
      <c r="B95" t="s">
        <v>147</v>
      </c>
      <c r="C95" t="s">
        <v>148</v>
      </c>
      <c r="D95" t="s">
        <v>23</v>
      </c>
      <c r="E95" t="s">
        <v>42</v>
      </c>
      <c r="F95" t="s">
        <v>75</v>
      </c>
      <c r="G95" t="s">
        <v>44</v>
      </c>
      <c r="H95" t="s">
        <v>36</v>
      </c>
      <c r="I95" t="s">
        <v>61</v>
      </c>
      <c r="J95" t="s">
        <v>62</v>
      </c>
      <c r="K95">
        <v>23787</v>
      </c>
      <c r="L95">
        <v>191</v>
      </c>
      <c r="M95">
        <v>835.76</v>
      </c>
      <c r="N95">
        <v>7</v>
      </c>
      <c r="O95">
        <v>281.92</v>
      </c>
      <c r="P95">
        <f t="shared" si="4"/>
        <v>8.0295959978139327E-3</v>
      </c>
      <c r="Q95">
        <f t="shared" si="4"/>
        <v>4.3757068062827225</v>
      </c>
      <c r="R95">
        <f t="shared" si="5"/>
        <v>119.39428571428572</v>
      </c>
      <c r="S95">
        <f t="shared" si="6"/>
        <v>0.33732171915382408</v>
      </c>
      <c r="T95">
        <f t="shared" si="7"/>
        <v>3.6649214659685861E-2</v>
      </c>
      <c r="U95" t="str">
        <f>YEAR('Campaign Data'!$A95)&amp;"-"&amp;TEXT(MONTH('Campaign Data'!$A95),"00")</f>
        <v>2026-01</v>
      </c>
    </row>
    <row r="96" spans="1:21" x14ac:dyDescent="0.25">
      <c r="A96">
        <v>46028</v>
      </c>
      <c r="B96" t="s">
        <v>93</v>
      </c>
      <c r="C96" t="s">
        <v>94</v>
      </c>
      <c r="D96" t="s">
        <v>69</v>
      </c>
      <c r="E96" t="s">
        <v>42</v>
      </c>
      <c r="F96" t="s">
        <v>75</v>
      </c>
      <c r="G96" t="s">
        <v>44</v>
      </c>
      <c r="H96" t="s">
        <v>27</v>
      </c>
      <c r="I96" t="s">
        <v>61</v>
      </c>
      <c r="J96" t="s">
        <v>29</v>
      </c>
      <c r="K96">
        <v>3162</v>
      </c>
      <c r="L96">
        <v>26</v>
      </c>
      <c r="M96">
        <v>219.38</v>
      </c>
      <c r="N96">
        <v>0</v>
      </c>
      <c r="O96">
        <v>0</v>
      </c>
      <c r="P96">
        <f t="shared" si="4"/>
        <v>8.2226438962681846E-3</v>
      </c>
      <c r="Q96">
        <f t="shared" si="4"/>
        <v>8.4376923076923074</v>
      </c>
      <c r="R96">
        <f t="shared" si="5"/>
        <v>0</v>
      </c>
      <c r="S96">
        <f t="shared" si="6"/>
        <v>0</v>
      </c>
      <c r="T96">
        <f t="shared" si="7"/>
        <v>0</v>
      </c>
      <c r="U96" t="str">
        <f>YEAR('Campaign Data'!$A96)&amp;"-"&amp;TEXT(MONTH('Campaign Data'!$A96),"00")</f>
        <v>2026-01</v>
      </c>
    </row>
    <row r="97" spans="1:21" x14ac:dyDescent="0.25">
      <c r="A97">
        <v>46028</v>
      </c>
      <c r="B97" t="s">
        <v>95</v>
      </c>
      <c r="C97" t="s">
        <v>96</v>
      </c>
      <c r="D97" t="s">
        <v>23</v>
      </c>
      <c r="E97" t="s">
        <v>49</v>
      </c>
      <c r="F97" t="s">
        <v>43</v>
      </c>
      <c r="G97" t="s">
        <v>97</v>
      </c>
      <c r="H97" t="s">
        <v>27</v>
      </c>
      <c r="I97" t="s">
        <v>37</v>
      </c>
      <c r="J97" t="s">
        <v>29</v>
      </c>
      <c r="K97">
        <v>6932</v>
      </c>
      <c r="L97">
        <v>227</v>
      </c>
      <c r="M97">
        <v>621.71</v>
      </c>
      <c r="N97">
        <v>8</v>
      </c>
      <c r="O97">
        <v>253.39</v>
      </c>
      <c r="P97">
        <f t="shared" si="4"/>
        <v>3.2746682054241201E-2</v>
      </c>
      <c r="Q97">
        <f t="shared" si="4"/>
        <v>2.7388105726872247</v>
      </c>
      <c r="R97">
        <f t="shared" si="5"/>
        <v>77.713750000000005</v>
      </c>
      <c r="S97">
        <f t="shared" si="6"/>
        <v>0.40756944556143537</v>
      </c>
      <c r="T97">
        <f t="shared" si="7"/>
        <v>3.5242290748898682E-2</v>
      </c>
      <c r="U97" t="str">
        <f>YEAR('Campaign Data'!$A97)&amp;"-"&amp;TEXT(MONTH('Campaign Data'!$A97),"00")</f>
        <v>2026-01</v>
      </c>
    </row>
    <row r="98" spans="1:21" x14ac:dyDescent="0.25">
      <c r="A98">
        <v>46028</v>
      </c>
      <c r="B98" t="s">
        <v>95</v>
      </c>
      <c r="C98" t="s">
        <v>96</v>
      </c>
      <c r="D98" t="s">
        <v>23</v>
      </c>
      <c r="E98" t="s">
        <v>49</v>
      </c>
      <c r="F98" t="s">
        <v>43</v>
      </c>
      <c r="G98" t="s">
        <v>97</v>
      </c>
      <c r="H98" t="s">
        <v>51</v>
      </c>
      <c r="I98" t="s">
        <v>37</v>
      </c>
      <c r="J98" t="s">
        <v>62</v>
      </c>
      <c r="K98">
        <v>5887</v>
      </c>
      <c r="L98">
        <v>227</v>
      </c>
      <c r="M98">
        <v>429.41</v>
      </c>
      <c r="N98">
        <v>22</v>
      </c>
      <c r="O98">
        <v>677.73</v>
      </c>
      <c r="P98">
        <f t="shared" si="4"/>
        <v>3.8559537965007641E-2</v>
      </c>
      <c r="Q98">
        <f t="shared" si="4"/>
        <v>1.8916740088105728</v>
      </c>
      <c r="R98">
        <f t="shared" si="5"/>
        <v>19.518636363636364</v>
      </c>
      <c r="S98">
        <f t="shared" si="6"/>
        <v>1.5782818285554598</v>
      </c>
      <c r="T98">
        <f t="shared" si="7"/>
        <v>9.6916299559471369E-2</v>
      </c>
      <c r="U98" t="str">
        <f>YEAR('Campaign Data'!$A98)&amp;"-"&amp;TEXT(MONTH('Campaign Data'!$A98),"00")</f>
        <v>2026-01</v>
      </c>
    </row>
    <row r="99" spans="1:21" x14ac:dyDescent="0.25">
      <c r="A99">
        <v>46028</v>
      </c>
      <c r="B99" t="s">
        <v>151</v>
      </c>
      <c r="C99" t="s">
        <v>152</v>
      </c>
      <c r="D99" t="s">
        <v>48</v>
      </c>
      <c r="E99" t="s">
        <v>24</v>
      </c>
      <c r="F99" t="s">
        <v>81</v>
      </c>
      <c r="G99" t="s">
        <v>129</v>
      </c>
      <c r="H99" t="s">
        <v>90</v>
      </c>
      <c r="I99" t="s">
        <v>28</v>
      </c>
      <c r="J99" t="s">
        <v>45</v>
      </c>
      <c r="K99">
        <v>10840</v>
      </c>
      <c r="L99">
        <v>179</v>
      </c>
      <c r="M99">
        <v>61.74</v>
      </c>
      <c r="N99">
        <v>4</v>
      </c>
      <c r="O99">
        <v>22.91</v>
      </c>
      <c r="P99">
        <f t="shared" si="4"/>
        <v>1.651291512915129E-2</v>
      </c>
      <c r="Q99">
        <f t="shared" si="4"/>
        <v>0.34491620111731847</v>
      </c>
      <c r="R99">
        <f t="shared" si="5"/>
        <v>15.435</v>
      </c>
      <c r="S99">
        <f t="shared" si="6"/>
        <v>0.37107223841917719</v>
      </c>
      <c r="T99">
        <f t="shared" si="7"/>
        <v>2.23463687150838E-2</v>
      </c>
      <c r="U99" t="str">
        <f>YEAR('Campaign Data'!$A99)&amp;"-"&amp;TEXT(MONTH('Campaign Data'!$A99),"00")</f>
        <v>2026-01</v>
      </c>
    </row>
    <row r="100" spans="1:21" x14ac:dyDescent="0.25">
      <c r="A100">
        <v>46028</v>
      </c>
      <c r="B100" t="s">
        <v>39</v>
      </c>
      <c r="C100" t="s">
        <v>40</v>
      </c>
      <c r="D100" t="s">
        <v>41</v>
      </c>
      <c r="E100" t="s">
        <v>42</v>
      </c>
      <c r="F100" t="s">
        <v>43</v>
      </c>
      <c r="G100" t="s">
        <v>44</v>
      </c>
      <c r="H100" t="s">
        <v>27</v>
      </c>
      <c r="I100" t="s">
        <v>37</v>
      </c>
      <c r="J100" t="s">
        <v>38</v>
      </c>
      <c r="K100">
        <v>3799</v>
      </c>
      <c r="L100">
        <v>25</v>
      </c>
      <c r="M100">
        <v>138.86000000000001</v>
      </c>
      <c r="N100">
        <v>0</v>
      </c>
      <c r="O100">
        <v>0</v>
      </c>
      <c r="P100">
        <f t="shared" si="4"/>
        <v>6.5806791260858118E-3</v>
      </c>
      <c r="Q100">
        <f t="shared" si="4"/>
        <v>5.5544000000000002</v>
      </c>
      <c r="R100">
        <f t="shared" si="5"/>
        <v>0</v>
      </c>
      <c r="S100">
        <f t="shared" si="6"/>
        <v>0</v>
      </c>
      <c r="T100">
        <f t="shared" si="7"/>
        <v>0</v>
      </c>
      <c r="U100" t="str">
        <f>YEAR('Campaign Data'!$A100)&amp;"-"&amp;TEXT(MONTH('Campaign Data'!$A100),"00")</f>
        <v>2026-01</v>
      </c>
    </row>
    <row r="101" spans="1:21" x14ac:dyDescent="0.25">
      <c r="A101">
        <v>46028</v>
      </c>
      <c r="B101" t="s">
        <v>98</v>
      </c>
      <c r="C101" t="s">
        <v>99</v>
      </c>
      <c r="D101" t="s">
        <v>69</v>
      </c>
      <c r="E101" t="s">
        <v>24</v>
      </c>
      <c r="F101" t="s">
        <v>75</v>
      </c>
      <c r="G101" t="s">
        <v>66</v>
      </c>
      <c r="H101" t="s">
        <v>55</v>
      </c>
      <c r="I101" t="s">
        <v>37</v>
      </c>
      <c r="J101" t="s">
        <v>45</v>
      </c>
      <c r="K101">
        <v>5843</v>
      </c>
      <c r="L101">
        <v>46</v>
      </c>
      <c r="M101">
        <v>42.63</v>
      </c>
      <c r="N101">
        <v>0</v>
      </c>
      <c r="O101">
        <v>0</v>
      </c>
      <c r="P101">
        <f t="shared" si="4"/>
        <v>7.8726681499229848E-3</v>
      </c>
      <c r="Q101">
        <f t="shared" si="4"/>
        <v>0.92673913043478262</v>
      </c>
      <c r="R101">
        <f t="shared" si="5"/>
        <v>0</v>
      </c>
      <c r="S101">
        <f t="shared" si="6"/>
        <v>0</v>
      </c>
      <c r="T101">
        <f t="shared" si="7"/>
        <v>0</v>
      </c>
      <c r="U101" t="str">
        <f>YEAR('Campaign Data'!$A101)&amp;"-"&amp;TEXT(MONTH('Campaign Data'!$A101),"00")</f>
        <v>2026-01</v>
      </c>
    </row>
    <row r="102" spans="1:21" x14ac:dyDescent="0.25">
      <c r="A102">
        <v>46028</v>
      </c>
      <c r="B102" t="s">
        <v>169</v>
      </c>
      <c r="C102" t="s">
        <v>170</v>
      </c>
      <c r="D102" t="s">
        <v>58</v>
      </c>
      <c r="E102" t="s">
        <v>74</v>
      </c>
      <c r="F102" t="s">
        <v>75</v>
      </c>
      <c r="G102" t="s">
        <v>9</v>
      </c>
      <c r="H102" t="s">
        <v>36</v>
      </c>
      <c r="I102" t="s">
        <v>28</v>
      </c>
      <c r="J102" t="s">
        <v>62</v>
      </c>
      <c r="K102">
        <v>4729</v>
      </c>
      <c r="L102">
        <v>226</v>
      </c>
      <c r="M102">
        <v>198.85</v>
      </c>
      <c r="N102">
        <v>14</v>
      </c>
      <c r="O102">
        <v>332.72</v>
      </c>
      <c r="P102">
        <f t="shared" si="4"/>
        <v>4.7790230492704588E-2</v>
      </c>
      <c r="Q102">
        <f t="shared" si="4"/>
        <v>0.87986725663716814</v>
      </c>
      <c r="R102">
        <f t="shared" si="5"/>
        <v>14.203571428571427</v>
      </c>
      <c r="S102">
        <f t="shared" si="6"/>
        <v>1.6732210208700027</v>
      </c>
      <c r="T102">
        <f t="shared" si="7"/>
        <v>6.1946902654867256E-2</v>
      </c>
      <c r="U102" t="str">
        <f>YEAR('Campaign Data'!$A102)&amp;"-"&amp;TEXT(MONTH('Campaign Data'!$A102),"00")</f>
        <v>2026-01</v>
      </c>
    </row>
    <row r="103" spans="1:21" x14ac:dyDescent="0.25">
      <c r="A103">
        <v>46028</v>
      </c>
      <c r="B103" t="s">
        <v>127</v>
      </c>
      <c r="C103" t="s">
        <v>128</v>
      </c>
      <c r="D103" t="s">
        <v>58</v>
      </c>
      <c r="E103" t="s">
        <v>24</v>
      </c>
      <c r="F103" t="s">
        <v>81</v>
      </c>
      <c r="G103" t="s">
        <v>129</v>
      </c>
      <c r="H103" t="s">
        <v>36</v>
      </c>
      <c r="I103" t="s">
        <v>37</v>
      </c>
      <c r="J103" t="s">
        <v>87</v>
      </c>
      <c r="K103">
        <v>12661</v>
      </c>
      <c r="L103">
        <v>138</v>
      </c>
      <c r="M103">
        <v>118.1</v>
      </c>
      <c r="N103">
        <v>6</v>
      </c>
      <c r="O103">
        <v>174.24</v>
      </c>
      <c r="P103">
        <f t="shared" si="4"/>
        <v>1.0899612984756338E-2</v>
      </c>
      <c r="Q103">
        <f t="shared" si="4"/>
        <v>0.85579710144927534</v>
      </c>
      <c r="R103">
        <f t="shared" si="5"/>
        <v>19.683333333333334</v>
      </c>
      <c r="S103">
        <f t="shared" si="6"/>
        <v>1.475359864521592</v>
      </c>
      <c r="T103">
        <f t="shared" si="7"/>
        <v>4.3478260869565216E-2</v>
      </c>
      <c r="U103" t="str">
        <f>YEAR('Campaign Data'!$A103)&amp;"-"&amp;TEXT(MONTH('Campaign Data'!$A103),"00")</f>
        <v>2026-01</v>
      </c>
    </row>
    <row r="104" spans="1:21" x14ac:dyDescent="0.25">
      <c r="A104">
        <v>46028</v>
      </c>
      <c r="B104" t="s">
        <v>103</v>
      </c>
      <c r="C104" t="s">
        <v>104</v>
      </c>
      <c r="D104" t="s">
        <v>65</v>
      </c>
      <c r="E104" t="s">
        <v>33</v>
      </c>
      <c r="F104" t="s">
        <v>43</v>
      </c>
      <c r="G104" t="s">
        <v>102</v>
      </c>
      <c r="H104" t="s">
        <v>90</v>
      </c>
      <c r="I104" t="s">
        <v>37</v>
      </c>
      <c r="J104" t="s">
        <v>87</v>
      </c>
      <c r="K104">
        <v>1159</v>
      </c>
      <c r="L104">
        <v>14</v>
      </c>
      <c r="M104">
        <v>2.56</v>
      </c>
      <c r="N104">
        <v>0</v>
      </c>
      <c r="O104">
        <v>0</v>
      </c>
      <c r="P104">
        <f t="shared" si="4"/>
        <v>1.2079378774805867E-2</v>
      </c>
      <c r="Q104">
        <f t="shared" si="4"/>
        <v>0.18285714285714286</v>
      </c>
      <c r="R104">
        <f t="shared" si="5"/>
        <v>0</v>
      </c>
      <c r="S104">
        <f t="shared" si="6"/>
        <v>0</v>
      </c>
      <c r="T104">
        <f t="shared" si="7"/>
        <v>0</v>
      </c>
      <c r="U104" t="str">
        <f>YEAR('Campaign Data'!$A104)&amp;"-"&amp;TEXT(MONTH('Campaign Data'!$A104),"00")</f>
        <v>2026-01</v>
      </c>
    </row>
    <row r="105" spans="1:21" x14ac:dyDescent="0.25">
      <c r="A105">
        <v>46028</v>
      </c>
      <c r="B105" t="s">
        <v>105</v>
      </c>
      <c r="C105" t="s">
        <v>106</v>
      </c>
      <c r="D105" t="s">
        <v>58</v>
      </c>
      <c r="E105" t="s">
        <v>49</v>
      </c>
      <c r="F105" t="s">
        <v>81</v>
      </c>
      <c r="G105" t="s">
        <v>107</v>
      </c>
      <c r="H105" t="s">
        <v>51</v>
      </c>
      <c r="I105" t="s">
        <v>28</v>
      </c>
      <c r="J105" t="s">
        <v>38</v>
      </c>
      <c r="K105">
        <v>11279</v>
      </c>
      <c r="L105">
        <v>573</v>
      </c>
      <c r="M105">
        <v>947.12</v>
      </c>
      <c r="N105">
        <v>14</v>
      </c>
      <c r="O105">
        <v>349.02</v>
      </c>
      <c r="P105">
        <f t="shared" si="4"/>
        <v>5.0802376097171732E-2</v>
      </c>
      <c r="Q105">
        <f t="shared" si="4"/>
        <v>1.652914485165794</v>
      </c>
      <c r="R105">
        <f t="shared" si="5"/>
        <v>67.651428571428568</v>
      </c>
      <c r="S105">
        <f t="shared" si="6"/>
        <v>0.36850663062758676</v>
      </c>
      <c r="T105">
        <f t="shared" si="7"/>
        <v>2.4432809773123908E-2</v>
      </c>
      <c r="U105" t="str">
        <f>YEAR('Campaign Data'!$A105)&amp;"-"&amp;TEXT(MONTH('Campaign Data'!$A105),"00")</f>
        <v>2026-01</v>
      </c>
    </row>
    <row r="106" spans="1:21" x14ac:dyDescent="0.25">
      <c r="A106">
        <v>46028</v>
      </c>
      <c r="B106" t="s">
        <v>130</v>
      </c>
      <c r="C106" t="s">
        <v>131</v>
      </c>
      <c r="D106" t="s">
        <v>48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 t="s">
        <v>38</v>
      </c>
      <c r="K106">
        <v>25983</v>
      </c>
      <c r="L106">
        <v>240</v>
      </c>
      <c r="M106">
        <v>92.32</v>
      </c>
      <c r="N106">
        <v>5</v>
      </c>
      <c r="O106">
        <v>628.39</v>
      </c>
      <c r="P106">
        <f t="shared" si="4"/>
        <v>9.2368086826001613E-3</v>
      </c>
      <c r="Q106">
        <f t="shared" si="4"/>
        <v>0.38466666666666666</v>
      </c>
      <c r="R106">
        <f t="shared" si="5"/>
        <v>18.463999999999999</v>
      </c>
      <c r="S106">
        <f t="shared" si="6"/>
        <v>6.8066507798960139</v>
      </c>
      <c r="T106">
        <f t="shared" si="7"/>
        <v>2.0833333333333332E-2</v>
      </c>
      <c r="U106" t="str">
        <f>YEAR('Campaign Data'!$A106)&amp;"-"&amp;TEXT(MONTH('Campaign Data'!$A106),"00")</f>
        <v>2026-01</v>
      </c>
    </row>
    <row r="107" spans="1:21" x14ac:dyDescent="0.25">
      <c r="A107">
        <v>46028</v>
      </c>
      <c r="B107" t="s">
        <v>132</v>
      </c>
      <c r="C107" t="s">
        <v>133</v>
      </c>
      <c r="D107" t="s">
        <v>23</v>
      </c>
      <c r="E107" t="s">
        <v>42</v>
      </c>
      <c r="F107" t="s">
        <v>75</v>
      </c>
      <c r="G107" t="s">
        <v>84</v>
      </c>
      <c r="H107" t="s">
        <v>55</v>
      </c>
      <c r="I107" t="s">
        <v>28</v>
      </c>
      <c r="J107" t="s">
        <v>38</v>
      </c>
      <c r="K107">
        <v>6531</v>
      </c>
      <c r="L107">
        <v>28</v>
      </c>
      <c r="M107">
        <v>127.01</v>
      </c>
      <c r="N107">
        <v>0</v>
      </c>
      <c r="O107">
        <v>0</v>
      </c>
      <c r="P107">
        <f t="shared" si="4"/>
        <v>4.2872454448017148E-3</v>
      </c>
      <c r="Q107">
        <f t="shared" si="4"/>
        <v>4.5360714285714288</v>
      </c>
      <c r="R107">
        <f t="shared" si="5"/>
        <v>0</v>
      </c>
      <c r="S107">
        <f t="shared" si="6"/>
        <v>0</v>
      </c>
      <c r="T107">
        <f t="shared" si="7"/>
        <v>0</v>
      </c>
      <c r="U107" t="str">
        <f>YEAR('Campaign Data'!$A107)&amp;"-"&amp;TEXT(MONTH('Campaign Data'!$A107),"00")</f>
        <v>2026-01</v>
      </c>
    </row>
    <row r="108" spans="1:21" x14ac:dyDescent="0.25">
      <c r="A108">
        <v>46028</v>
      </c>
      <c r="B108" t="s">
        <v>171</v>
      </c>
      <c r="C108" t="s">
        <v>172</v>
      </c>
      <c r="D108" t="s">
        <v>23</v>
      </c>
      <c r="E108" t="s">
        <v>33</v>
      </c>
      <c r="F108" t="s">
        <v>75</v>
      </c>
      <c r="G108" t="s">
        <v>59</v>
      </c>
      <c r="H108" t="s">
        <v>60</v>
      </c>
      <c r="I108" t="s">
        <v>28</v>
      </c>
      <c r="J108" t="s">
        <v>45</v>
      </c>
      <c r="K108">
        <v>36870</v>
      </c>
      <c r="L108">
        <v>188</v>
      </c>
      <c r="M108">
        <v>123.09</v>
      </c>
      <c r="N108">
        <v>3</v>
      </c>
      <c r="O108">
        <v>103.88</v>
      </c>
      <c r="P108">
        <f t="shared" si="4"/>
        <v>5.0989964740981832E-3</v>
      </c>
      <c r="Q108">
        <f t="shared" si="4"/>
        <v>0.65473404255319145</v>
      </c>
      <c r="R108">
        <f t="shared" si="5"/>
        <v>41.03</v>
      </c>
      <c r="S108">
        <f t="shared" si="6"/>
        <v>0.84393533187098868</v>
      </c>
      <c r="T108">
        <f t="shared" si="7"/>
        <v>1.5957446808510637E-2</v>
      </c>
      <c r="U108" t="str">
        <f>YEAR('Campaign Data'!$A108)&amp;"-"&amp;TEXT(MONTH('Campaign Data'!$A108),"00")</f>
        <v>2026-01</v>
      </c>
    </row>
    <row r="109" spans="1:21" x14ac:dyDescent="0.25">
      <c r="A109">
        <v>46028</v>
      </c>
      <c r="B109" t="s">
        <v>141</v>
      </c>
      <c r="C109" t="s">
        <v>142</v>
      </c>
      <c r="D109" t="s">
        <v>80</v>
      </c>
      <c r="E109" t="s">
        <v>49</v>
      </c>
      <c r="F109" t="s">
        <v>81</v>
      </c>
      <c r="G109" t="s">
        <v>97</v>
      </c>
      <c r="H109" t="s">
        <v>27</v>
      </c>
      <c r="I109" t="s">
        <v>37</v>
      </c>
      <c r="J109" t="s">
        <v>45</v>
      </c>
      <c r="K109">
        <v>4543</v>
      </c>
      <c r="L109">
        <v>174</v>
      </c>
      <c r="M109">
        <v>349.41</v>
      </c>
      <c r="N109">
        <v>3</v>
      </c>
      <c r="O109">
        <v>79.12</v>
      </c>
      <c r="P109">
        <f t="shared" si="4"/>
        <v>3.8300682368478979E-2</v>
      </c>
      <c r="Q109">
        <f t="shared" si="4"/>
        <v>2.0081034482758624</v>
      </c>
      <c r="R109">
        <f t="shared" si="5"/>
        <v>116.47000000000001</v>
      </c>
      <c r="S109">
        <f t="shared" si="6"/>
        <v>0.22643885406828654</v>
      </c>
      <c r="T109">
        <f t="shared" si="7"/>
        <v>1.7241379310344827E-2</v>
      </c>
      <c r="U109" t="str">
        <f>YEAR('Campaign Data'!$A109)&amp;"-"&amp;TEXT(MONTH('Campaign Data'!$A109),"00")</f>
        <v>2026-01</v>
      </c>
    </row>
    <row r="110" spans="1:21" x14ac:dyDescent="0.25">
      <c r="A110">
        <v>46028</v>
      </c>
      <c r="B110" t="s">
        <v>72</v>
      </c>
      <c r="C110" t="s">
        <v>73</v>
      </c>
      <c r="D110" t="s">
        <v>69</v>
      </c>
      <c r="E110" t="s">
        <v>74</v>
      </c>
      <c r="F110" t="s">
        <v>75</v>
      </c>
      <c r="G110" t="s">
        <v>9</v>
      </c>
      <c r="H110" t="s">
        <v>90</v>
      </c>
      <c r="I110" t="s">
        <v>37</v>
      </c>
      <c r="J110" t="s">
        <v>38</v>
      </c>
      <c r="K110">
        <v>3992</v>
      </c>
      <c r="L110">
        <v>115</v>
      </c>
      <c r="M110">
        <v>37.4</v>
      </c>
      <c r="N110">
        <v>6</v>
      </c>
      <c r="O110">
        <v>56.37</v>
      </c>
      <c r="P110">
        <f t="shared" si="4"/>
        <v>2.8807615230460923E-2</v>
      </c>
      <c r="Q110">
        <f t="shared" si="4"/>
        <v>0.32521739130434779</v>
      </c>
      <c r="R110">
        <f t="shared" si="5"/>
        <v>6.2333333333333334</v>
      </c>
      <c r="S110">
        <f t="shared" si="6"/>
        <v>1.5072192513368985</v>
      </c>
      <c r="T110">
        <f t="shared" si="7"/>
        <v>5.2173913043478258E-2</v>
      </c>
      <c r="U110" t="str">
        <f>YEAR('Campaign Data'!$A110)&amp;"-"&amp;TEXT(MONTH('Campaign Data'!$A110),"00")</f>
        <v>2026-01</v>
      </c>
    </row>
    <row r="111" spans="1:21" x14ac:dyDescent="0.25">
      <c r="A111">
        <v>46028</v>
      </c>
      <c r="B111" t="s">
        <v>78</v>
      </c>
      <c r="C111" t="s">
        <v>79</v>
      </c>
      <c r="D111" t="s">
        <v>80</v>
      </c>
      <c r="E111" t="s">
        <v>24</v>
      </c>
      <c r="F111" t="s">
        <v>81</v>
      </c>
      <c r="G111" t="s">
        <v>66</v>
      </c>
      <c r="H111" t="s">
        <v>27</v>
      </c>
      <c r="I111" t="s">
        <v>37</v>
      </c>
      <c r="J111" t="s">
        <v>29</v>
      </c>
      <c r="K111">
        <v>7349</v>
      </c>
      <c r="L111">
        <v>57</v>
      </c>
      <c r="M111">
        <v>63.57</v>
      </c>
      <c r="N111">
        <v>2</v>
      </c>
      <c r="O111">
        <v>48.78</v>
      </c>
      <c r="P111">
        <f t="shared" si="4"/>
        <v>7.7561573003129677E-3</v>
      </c>
      <c r="Q111">
        <f t="shared" si="4"/>
        <v>1.115263157894737</v>
      </c>
      <c r="R111">
        <f t="shared" si="5"/>
        <v>31.785</v>
      </c>
      <c r="S111">
        <f t="shared" si="6"/>
        <v>0.76734308636149129</v>
      </c>
      <c r="T111">
        <f t="shared" si="7"/>
        <v>3.5087719298245612E-2</v>
      </c>
      <c r="U111" t="str">
        <f>YEAR('Campaign Data'!$A111)&amp;"-"&amp;TEXT(MONTH('Campaign Data'!$A111),"00")</f>
        <v>2026-01</v>
      </c>
    </row>
    <row r="112" spans="1:21" x14ac:dyDescent="0.25">
      <c r="A112">
        <v>46028</v>
      </c>
      <c r="B112" t="s">
        <v>78</v>
      </c>
      <c r="C112" t="s">
        <v>79</v>
      </c>
      <c r="D112" t="s">
        <v>80</v>
      </c>
      <c r="E112" t="s">
        <v>24</v>
      </c>
      <c r="F112" t="s">
        <v>81</v>
      </c>
      <c r="G112" t="s">
        <v>66</v>
      </c>
      <c r="H112" t="s">
        <v>90</v>
      </c>
      <c r="I112" t="s">
        <v>37</v>
      </c>
      <c r="J112" t="s">
        <v>38</v>
      </c>
      <c r="K112">
        <v>4012</v>
      </c>
      <c r="L112">
        <v>40</v>
      </c>
      <c r="M112">
        <v>10.18</v>
      </c>
      <c r="N112">
        <v>2</v>
      </c>
      <c r="O112">
        <v>10</v>
      </c>
      <c r="P112">
        <f t="shared" si="4"/>
        <v>9.9700897308075773E-3</v>
      </c>
      <c r="Q112">
        <f t="shared" si="4"/>
        <v>0.2545</v>
      </c>
      <c r="R112">
        <f t="shared" si="5"/>
        <v>5.09</v>
      </c>
      <c r="S112">
        <f t="shared" si="6"/>
        <v>0.98231827111984282</v>
      </c>
      <c r="T112">
        <f t="shared" si="7"/>
        <v>0.05</v>
      </c>
      <c r="U112" t="str">
        <f>YEAR('Campaign Data'!$A112)&amp;"-"&amp;TEXT(MONTH('Campaign Data'!$A112),"00")</f>
        <v>2026-01</v>
      </c>
    </row>
    <row r="113" spans="1:21" x14ac:dyDescent="0.25">
      <c r="A113">
        <v>46028</v>
      </c>
      <c r="B113" t="s">
        <v>120</v>
      </c>
      <c r="C113" t="s">
        <v>121</v>
      </c>
      <c r="D113" t="s">
        <v>23</v>
      </c>
      <c r="E113" t="s">
        <v>49</v>
      </c>
      <c r="F113" t="s">
        <v>75</v>
      </c>
      <c r="G113" t="s">
        <v>70</v>
      </c>
      <c r="H113" t="s">
        <v>27</v>
      </c>
      <c r="I113" t="s">
        <v>28</v>
      </c>
      <c r="J113" t="s">
        <v>45</v>
      </c>
      <c r="K113">
        <v>11765</v>
      </c>
      <c r="L113">
        <v>621</v>
      </c>
      <c r="M113">
        <v>1538.53</v>
      </c>
      <c r="N113">
        <v>34</v>
      </c>
      <c r="O113">
        <v>2402.46</v>
      </c>
      <c r="P113">
        <f t="shared" si="4"/>
        <v>5.2783680407989801E-2</v>
      </c>
      <c r="Q113">
        <f t="shared" si="4"/>
        <v>2.4775040257648953</v>
      </c>
      <c r="R113">
        <f t="shared" si="5"/>
        <v>45.250882352941176</v>
      </c>
      <c r="S113">
        <f t="shared" si="6"/>
        <v>1.561529511936719</v>
      </c>
      <c r="T113">
        <f t="shared" si="7"/>
        <v>5.4750402576489533E-2</v>
      </c>
      <c r="U113" t="str">
        <f>YEAR('Campaign Data'!$A113)&amp;"-"&amp;TEXT(MONTH('Campaign Data'!$A113),"00")</f>
        <v>2026-01</v>
      </c>
    </row>
    <row r="114" spans="1:21" x14ac:dyDescent="0.25">
      <c r="A114">
        <v>46029</v>
      </c>
      <c r="B114" t="s">
        <v>173</v>
      </c>
      <c r="C114" t="s">
        <v>174</v>
      </c>
      <c r="D114" t="s">
        <v>48</v>
      </c>
      <c r="E114" t="s">
        <v>74</v>
      </c>
      <c r="F114" t="s">
        <v>25</v>
      </c>
      <c r="G114" t="s">
        <v>9</v>
      </c>
      <c r="H114" t="s">
        <v>36</v>
      </c>
      <c r="I114" t="s">
        <v>37</v>
      </c>
      <c r="J114" t="s">
        <v>45</v>
      </c>
      <c r="K114">
        <v>13667</v>
      </c>
      <c r="L114">
        <v>274</v>
      </c>
      <c r="M114">
        <v>421.83</v>
      </c>
      <c r="N114">
        <v>2</v>
      </c>
      <c r="O114">
        <v>372.32</v>
      </c>
      <c r="P114">
        <f t="shared" si="4"/>
        <v>2.004829150508524E-2</v>
      </c>
      <c r="Q114">
        <f t="shared" si="4"/>
        <v>1.5395255474452554</v>
      </c>
      <c r="R114">
        <f t="shared" si="5"/>
        <v>210.91499999999999</v>
      </c>
      <c r="S114">
        <f t="shared" si="6"/>
        <v>0.88263044354360765</v>
      </c>
      <c r="T114">
        <f t="shared" si="7"/>
        <v>7.2992700729927005E-3</v>
      </c>
      <c r="U114" t="str">
        <f>YEAR('Campaign Data'!$A114)&amp;"-"&amp;TEXT(MONTH('Campaign Data'!$A114),"00")</f>
        <v>2026-01</v>
      </c>
    </row>
    <row r="115" spans="1:21" x14ac:dyDescent="0.25">
      <c r="A115">
        <v>46029</v>
      </c>
      <c r="B115" t="s">
        <v>175</v>
      </c>
      <c r="C115" t="s">
        <v>176</v>
      </c>
      <c r="D115" t="s">
        <v>65</v>
      </c>
      <c r="E115" t="s">
        <v>49</v>
      </c>
      <c r="F115" t="s">
        <v>75</v>
      </c>
      <c r="G115" t="s">
        <v>70</v>
      </c>
      <c r="H115" t="s">
        <v>71</v>
      </c>
      <c r="I115" t="s">
        <v>37</v>
      </c>
      <c r="J115" t="s">
        <v>45</v>
      </c>
      <c r="K115">
        <v>13160</v>
      </c>
      <c r="L115">
        <v>481</v>
      </c>
      <c r="M115">
        <v>964.39</v>
      </c>
      <c r="N115">
        <v>11</v>
      </c>
      <c r="O115">
        <v>352.33</v>
      </c>
      <c r="P115">
        <f t="shared" si="4"/>
        <v>3.6550151975683891E-2</v>
      </c>
      <c r="Q115">
        <f t="shared" si="4"/>
        <v>2.004968814968815</v>
      </c>
      <c r="R115">
        <f t="shared" si="5"/>
        <v>87.671818181818182</v>
      </c>
      <c r="S115">
        <f t="shared" si="6"/>
        <v>0.36533974844202033</v>
      </c>
      <c r="T115">
        <f t="shared" si="7"/>
        <v>2.286902286902287E-2</v>
      </c>
      <c r="U115" t="str">
        <f>YEAR('Campaign Data'!$A115)&amp;"-"&amp;TEXT(MONTH('Campaign Data'!$A115),"00")</f>
        <v>2026-01</v>
      </c>
    </row>
    <row r="116" spans="1:21" x14ac:dyDescent="0.25">
      <c r="A116">
        <v>46029</v>
      </c>
      <c r="B116" t="s">
        <v>85</v>
      </c>
      <c r="C116" t="s">
        <v>86</v>
      </c>
      <c r="D116" t="s">
        <v>80</v>
      </c>
      <c r="E116" t="s">
        <v>33</v>
      </c>
      <c r="F116" t="s">
        <v>43</v>
      </c>
      <c r="G116" t="s">
        <v>35</v>
      </c>
      <c r="H116" t="s">
        <v>51</v>
      </c>
      <c r="I116" t="s">
        <v>37</v>
      </c>
      <c r="J116" t="s">
        <v>87</v>
      </c>
      <c r="K116">
        <v>5049</v>
      </c>
      <c r="L116">
        <v>43</v>
      </c>
      <c r="M116">
        <v>30.45</v>
      </c>
      <c r="N116">
        <v>0</v>
      </c>
      <c r="O116">
        <v>0</v>
      </c>
      <c r="P116">
        <f t="shared" si="4"/>
        <v>8.5165379283026338E-3</v>
      </c>
      <c r="Q116">
        <f t="shared" si="4"/>
        <v>0.70813953488372094</v>
      </c>
      <c r="R116">
        <f t="shared" si="5"/>
        <v>0</v>
      </c>
      <c r="S116">
        <f t="shared" si="6"/>
        <v>0</v>
      </c>
      <c r="T116">
        <f t="shared" si="7"/>
        <v>0</v>
      </c>
      <c r="U116" t="str">
        <f>YEAR('Campaign Data'!$A116)&amp;"-"&amp;TEXT(MONTH('Campaign Data'!$A116),"00")</f>
        <v>2026-01</v>
      </c>
    </row>
    <row r="117" spans="1:21" x14ac:dyDescent="0.25">
      <c r="A117">
        <v>46029</v>
      </c>
      <c r="B117" t="s">
        <v>167</v>
      </c>
      <c r="C117" t="s">
        <v>168</v>
      </c>
      <c r="D117" t="s">
        <v>58</v>
      </c>
      <c r="E117" t="s">
        <v>33</v>
      </c>
      <c r="F117" t="s">
        <v>75</v>
      </c>
      <c r="G117" t="s">
        <v>35</v>
      </c>
      <c r="H117" t="s">
        <v>51</v>
      </c>
      <c r="I117" t="s">
        <v>37</v>
      </c>
      <c r="J117" t="s">
        <v>62</v>
      </c>
      <c r="K117">
        <v>7948</v>
      </c>
      <c r="L117">
        <v>117</v>
      </c>
      <c r="M117">
        <v>74.849999999999994</v>
      </c>
      <c r="N117">
        <v>2</v>
      </c>
      <c r="O117">
        <v>58.98</v>
      </c>
      <c r="P117">
        <f t="shared" si="4"/>
        <v>1.4720684448917967E-2</v>
      </c>
      <c r="Q117">
        <f t="shared" si="4"/>
        <v>0.63974358974358969</v>
      </c>
      <c r="R117">
        <f t="shared" si="5"/>
        <v>37.424999999999997</v>
      </c>
      <c r="S117">
        <f t="shared" si="6"/>
        <v>0.78797595190380765</v>
      </c>
      <c r="T117">
        <f t="shared" si="7"/>
        <v>1.7094017094017096E-2</v>
      </c>
      <c r="U117" t="str">
        <f>YEAR('Campaign Data'!$A117)&amp;"-"&amp;TEXT(MONTH('Campaign Data'!$A117),"00")</f>
        <v>2026-01</v>
      </c>
    </row>
    <row r="118" spans="1:21" x14ac:dyDescent="0.25">
      <c r="A118">
        <v>46029</v>
      </c>
      <c r="B118" t="s">
        <v>147</v>
      </c>
      <c r="C118" t="s">
        <v>148</v>
      </c>
      <c r="D118" t="s">
        <v>23</v>
      </c>
      <c r="E118" t="s">
        <v>42</v>
      </c>
      <c r="F118" t="s">
        <v>75</v>
      </c>
      <c r="G118" t="s">
        <v>44</v>
      </c>
      <c r="H118" t="s">
        <v>55</v>
      </c>
      <c r="I118" t="s">
        <v>37</v>
      </c>
      <c r="J118" t="s">
        <v>87</v>
      </c>
      <c r="K118">
        <v>5671</v>
      </c>
      <c r="L118">
        <v>21</v>
      </c>
      <c r="M118">
        <v>135.38</v>
      </c>
      <c r="N118">
        <v>0</v>
      </c>
      <c r="O118">
        <v>0</v>
      </c>
      <c r="P118">
        <f t="shared" si="4"/>
        <v>3.7030506083583141E-3</v>
      </c>
      <c r="Q118">
        <f t="shared" si="4"/>
        <v>6.4466666666666663</v>
      </c>
      <c r="R118">
        <f t="shared" si="5"/>
        <v>0</v>
      </c>
      <c r="S118">
        <f t="shared" si="6"/>
        <v>0</v>
      </c>
      <c r="T118">
        <f t="shared" si="7"/>
        <v>0</v>
      </c>
      <c r="U118" t="str">
        <f>YEAR('Campaign Data'!$A118)&amp;"-"&amp;TEXT(MONTH('Campaign Data'!$A118),"00")</f>
        <v>2026-01</v>
      </c>
    </row>
    <row r="119" spans="1:21" x14ac:dyDescent="0.25">
      <c r="A119">
        <v>46029</v>
      </c>
      <c r="B119" t="s">
        <v>93</v>
      </c>
      <c r="C119" t="s">
        <v>94</v>
      </c>
      <c r="D119" t="s">
        <v>69</v>
      </c>
      <c r="E119" t="s">
        <v>42</v>
      </c>
      <c r="F119" t="s">
        <v>75</v>
      </c>
      <c r="G119" t="s">
        <v>44</v>
      </c>
      <c r="H119" t="s">
        <v>27</v>
      </c>
      <c r="I119" t="s">
        <v>37</v>
      </c>
      <c r="J119" t="s">
        <v>38</v>
      </c>
      <c r="K119">
        <v>9187</v>
      </c>
      <c r="L119">
        <v>56</v>
      </c>
      <c r="M119">
        <v>484.58</v>
      </c>
      <c r="N119">
        <v>2</v>
      </c>
      <c r="O119">
        <v>101.39</v>
      </c>
      <c r="P119">
        <f t="shared" si="4"/>
        <v>6.0955698269293569E-3</v>
      </c>
      <c r="Q119">
        <f t="shared" si="4"/>
        <v>8.6532142857142862</v>
      </c>
      <c r="R119">
        <f t="shared" si="5"/>
        <v>242.29</v>
      </c>
      <c r="S119">
        <f t="shared" si="6"/>
        <v>0.20923273762846176</v>
      </c>
      <c r="T119">
        <f t="shared" si="7"/>
        <v>3.5714285714285712E-2</v>
      </c>
      <c r="U119" t="str">
        <f>YEAR('Campaign Data'!$A119)&amp;"-"&amp;TEXT(MONTH('Campaign Data'!$A119),"00")</f>
        <v>2026-01</v>
      </c>
    </row>
    <row r="120" spans="1:21" x14ac:dyDescent="0.25">
      <c r="A120">
        <v>46029</v>
      </c>
      <c r="B120" t="s">
        <v>98</v>
      </c>
      <c r="C120" t="s">
        <v>99</v>
      </c>
      <c r="D120" t="s">
        <v>69</v>
      </c>
      <c r="E120" t="s">
        <v>24</v>
      </c>
      <c r="F120" t="s">
        <v>75</v>
      </c>
      <c r="G120" t="s">
        <v>66</v>
      </c>
      <c r="H120" t="s">
        <v>51</v>
      </c>
      <c r="I120" t="s">
        <v>37</v>
      </c>
      <c r="J120" t="s">
        <v>29</v>
      </c>
      <c r="K120">
        <v>10379</v>
      </c>
      <c r="L120">
        <v>168</v>
      </c>
      <c r="M120">
        <v>172.06</v>
      </c>
      <c r="N120">
        <v>7</v>
      </c>
      <c r="O120">
        <v>332.43</v>
      </c>
      <c r="P120">
        <f t="shared" si="4"/>
        <v>1.6186530494267271E-2</v>
      </c>
      <c r="Q120">
        <f t="shared" si="4"/>
        <v>1.0241666666666667</v>
      </c>
      <c r="R120">
        <f t="shared" si="5"/>
        <v>24.580000000000002</v>
      </c>
      <c r="S120">
        <f t="shared" si="6"/>
        <v>1.9320585842148088</v>
      </c>
      <c r="T120">
        <f t="shared" si="7"/>
        <v>4.1666666666666664E-2</v>
      </c>
      <c r="U120" t="str">
        <f>YEAR('Campaign Data'!$A120)&amp;"-"&amp;TEXT(MONTH('Campaign Data'!$A120),"00")</f>
        <v>2026-01</v>
      </c>
    </row>
    <row r="121" spans="1:21" x14ac:dyDescent="0.25">
      <c r="A121">
        <v>46029</v>
      </c>
      <c r="B121" t="s">
        <v>127</v>
      </c>
      <c r="C121" t="s">
        <v>128</v>
      </c>
      <c r="D121" t="s">
        <v>58</v>
      </c>
      <c r="E121" t="s">
        <v>24</v>
      </c>
      <c r="F121" t="s">
        <v>81</v>
      </c>
      <c r="G121" t="s">
        <v>129</v>
      </c>
      <c r="H121" t="s">
        <v>90</v>
      </c>
      <c r="I121" t="s">
        <v>28</v>
      </c>
      <c r="J121" t="s">
        <v>45</v>
      </c>
      <c r="K121">
        <v>2233</v>
      </c>
      <c r="L121">
        <v>27</v>
      </c>
      <c r="M121">
        <v>8.61</v>
      </c>
      <c r="N121">
        <v>1</v>
      </c>
      <c r="O121">
        <v>5</v>
      </c>
      <c r="P121">
        <f t="shared" si="4"/>
        <v>1.2091356918943126E-2</v>
      </c>
      <c r="Q121">
        <f t="shared" si="4"/>
        <v>0.31888888888888889</v>
      </c>
      <c r="R121">
        <f t="shared" si="5"/>
        <v>8.61</v>
      </c>
      <c r="S121">
        <f t="shared" si="6"/>
        <v>0.58072009291521487</v>
      </c>
      <c r="T121">
        <f t="shared" si="7"/>
        <v>3.7037037037037035E-2</v>
      </c>
      <c r="U121" t="str">
        <f>YEAR('Campaign Data'!$A121)&amp;"-"&amp;TEXT(MONTH('Campaign Data'!$A121),"00")</f>
        <v>2026-01</v>
      </c>
    </row>
    <row r="122" spans="1:21" x14ac:dyDescent="0.25">
      <c r="A122">
        <v>46029</v>
      </c>
      <c r="B122" t="s">
        <v>103</v>
      </c>
      <c r="C122" t="s">
        <v>104</v>
      </c>
      <c r="D122" t="s">
        <v>65</v>
      </c>
      <c r="E122" t="s">
        <v>33</v>
      </c>
      <c r="F122" t="s">
        <v>43</v>
      </c>
      <c r="G122" t="s">
        <v>102</v>
      </c>
      <c r="H122" t="s">
        <v>55</v>
      </c>
      <c r="I122" t="s">
        <v>37</v>
      </c>
      <c r="J122" t="s">
        <v>45</v>
      </c>
      <c r="K122">
        <v>6159</v>
      </c>
      <c r="L122">
        <v>74</v>
      </c>
      <c r="M122">
        <v>39.82</v>
      </c>
      <c r="N122">
        <v>0</v>
      </c>
      <c r="O122">
        <v>0</v>
      </c>
      <c r="P122">
        <f t="shared" si="4"/>
        <v>1.2014937489852249E-2</v>
      </c>
      <c r="Q122">
        <f t="shared" si="4"/>
        <v>0.53810810810810816</v>
      </c>
      <c r="R122">
        <f t="shared" si="5"/>
        <v>0</v>
      </c>
      <c r="S122">
        <f t="shared" si="6"/>
        <v>0</v>
      </c>
      <c r="T122">
        <f t="shared" si="7"/>
        <v>0</v>
      </c>
      <c r="U122" t="str">
        <f>YEAR('Campaign Data'!$A122)&amp;"-"&amp;TEXT(MONTH('Campaign Data'!$A122),"00")</f>
        <v>2026-01</v>
      </c>
    </row>
    <row r="123" spans="1:21" x14ac:dyDescent="0.25">
      <c r="A123">
        <v>46029</v>
      </c>
      <c r="B123" t="s">
        <v>108</v>
      </c>
      <c r="C123" t="s">
        <v>109</v>
      </c>
      <c r="D123" t="s">
        <v>58</v>
      </c>
      <c r="E123" t="s">
        <v>33</v>
      </c>
      <c r="F123" t="s">
        <v>43</v>
      </c>
      <c r="G123" t="s">
        <v>59</v>
      </c>
      <c r="H123" t="s">
        <v>90</v>
      </c>
      <c r="I123" t="s">
        <v>28</v>
      </c>
      <c r="J123" t="s">
        <v>29</v>
      </c>
      <c r="K123">
        <v>2611</v>
      </c>
      <c r="L123">
        <v>18</v>
      </c>
      <c r="M123">
        <v>3.14</v>
      </c>
      <c r="N123">
        <v>0</v>
      </c>
      <c r="O123">
        <v>0</v>
      </c>
      <c r="P123">
        <f t="shared" si="4"/>
        <v>6.8939103791650705E-3</v>
      </c>
      <c r="Q123">
        <f t="shared" si="4"/>
        <v>0.17444444444444446</v>
      </c>
      <c r="R123">
        <f t="shared" si="5"/>
        <v>0</v>
      </c>
      <c r="S123">
        <f t="shared" si="6"/>
        <v>0</v>
      </c>
      <c r="T123">
        <f t="shared" si="7"/>
        <v>0</v>
      </c>
      <c r="U123" t="str">
        <f>YEAR('Campaign Data'!$A123)&amp;"-"&amp;TEXT(MONTH('Campaign Data'!$A123),"00")</f>
        <v>2026-01</v>
      </c>
    </row>
    <row r="124" spans="1:21" x14ac:dyDescent="0.25">
      <c r="A124">
        <v>46029</v>
      </c>
      <c r="B124" t="s">
        <v>130</v>
      </c>
      <c r="C124" t="s">
        <v>131</v>
      </c>
      <c r="D124" t="s">
        <v>48</v>
      </c>
      <c r="E124" t="s">
        <v>33</v>
      </c>
      <c r="F124" t="s">
        <v>34</v>
      </c>
      <c r="G124" t="s">
        <v>35</v>
      </c>
      <c r="H124" t="s">
        <v>71</v>
      </c>
      <c r="I124" t="s">
        <v>37</v>
      </c>
      <c r="J124" t="s">
        <v>45</v>
      </c>
      <c r="K124">
        <v>8850</v>
      </c>
      <c r="L124">
        <v>137</v>
      </c>
      <c r="M124">
        <v>61.02</v>
      </c>
      <c r="N124">
        <v>1</v>
      </c>
      <c r="O124">
        <v>68.34</v>
      </c>
      <c r="P124">
        <f t="shared" si="4"/>
        <v>1.5480225988700564E-2</v>
      </c>
      <c r="Q124">
        <f t="shared" si="4"/>
        <v>0.44540145985401464</v>
      </c>
      <c r="R124">
        <f t="shared" si="5"/>
        <v>61.02</v>
      </c>
      <c r="S124">
        <f t="shared" si="6"/>
        <v>1.1199606686332351</v>
      </c>
      <c r="T124">
        <f t="shared" si="7"/>
        <v>7.2992700729927005E-3</v>
      </c>
      <c r="U124" t="str">
        <f>YEAR('Campaign Data'!$A124)&amp;"-"&amp;TEXT(MONTH('Campaign Data'!$A124),"00")</f>
        <v>2026-01</v>
      </c>
    </row>
    <row r="125" spans="1:21" x14ac:dyDescent="0.25">
      <c r="A125">
        <v>46029</v>
      </c>
      <c r="B125" t="s">
        <v>177</v>
      </c>
      <c r="C125" t="s">
        <v>178</v>
      </c>
      <c r="D125" t="s">
        <v>41</v>
      </c>
      <c r="E125" t="s">
        <v>49</v>
      </c>
      <c r="F125" t="s">
        <v>34</v>
      </c>
      <c r="G125" t="s">
        <v>107</v>
      </c>
      <c r="H125" t="s">
        <v>90</v>
      </c>
      <c r="I125" t="s">
        <v>28</v>
      </c>
      <c r="J125" t="s">
        <v>87</v>
      </c>
      <c r="K125">
        <v>2418</v>
      </c>
      <c r="L125">
        <v>98</v>
      </c>
      <c r="M125">
        <v>46.04</v>
      </c>
      <c r="N125">
        <v>7</v>
      </c>
      <c r="O125">
        <v>167.25</v>
      </c>
      <c r="P125">
        <f t="shared" si="4"/>
        <v>4.0529363110008272E-2</v>
      </c>
      <c r="Q125">
        <f t="shared" si="4"/>
        <v>0.46979591836734691</v>
      </c>
      <c r="R125">
        <f t="shared" si="5"/>
        <v>6.5771428571428574</v>
      </c>
      <c r="S125">
        <f t="shared" si="6"/>
        <v>3.6327106863596872</v>
      </c>
      <c r="T125">
        <f t="shared" si="7"/>
        <v>7.1428571428571425E-2</v>
      </c>
      <c r="U125" t="str">
        <f>YEAR('Campaign Data'!$A125)&amp;"-"&amp;TEXT(MONTH('Campaign Data'!$A125),"00")</f>
        <v>2026-01</v>
      </c>
    </row>
    <row r="126" spans="1:21" x14ac:dyDescent="0.25">
      <c r="A126">
        <v>46029</v>
      </c>
      <c r="B126" t="s">
        <v>179</v>
      </c>
      <c r="C126" t="s">
        <v>180</v>
      </c>
      <c r="D126" t="s">
        <v>58</v>
      </c>
      <c r="E126" t="s">
        <v>42</v>
      </c>
      <c r="F126" t="s">
        <v>25</v>
      </c>
      <c r="G126" t="s">
        <v>54</v>
      </c>
      <c r="H126" t="s">
        <v>55</v>
      </c>
      <c r="I126" t="s">
        <v>37</v>
      </c>
      <c r="J126" t="s">
        <v>87</v>
      </c>
      <c r="K126">
        <v>5924</v>
      </c>
      <c r="L126">
        <v>23</v>
      </c>
      <c r="M126">
        <v>161.87</v>
      </c>
      <c r="N126">
        <v>1</v>
      </c>
      <c r="O126">
        <v>91.7</v>
      </c>
      <c r="P126">
        <f t="shared" si="4"/>
        <v>3.8825118163403104E-3</v>
      </c>
      <c r="Q126">
        <f t="shared" si="4"/>
        <v>7.0378260869565219</v>
      </c>
      <c r="R126">
        <f t="shared" si="5"/>
        <v>161.87</v>
      </c>
      <c r="S126">
        <f t="shared" si="6"/>
        <v>0.56650398467906349</v>
      </c>
      <c r="T126">
        <f t="shared" si="7"/>
        <v>4.3478260869565216E-2</v>
      </c>
      <c r="U126" t="str">
        <f>YEAR('Campaign Data'!$A126)&amp;"-"&amp;TEXT(MONTH('Campaign Data'!$A126),"00")</f>
        <v>2026-01</v>
      </c>
    </row>
    <row r="127" spans="1:21" x14ac:dyDescent="0.25">
      <c r="A127">
        <v>46029</v>
      </c>
      <c r="B127" t="s">
        <v>110</v>
      </c>
      <c r="C127" t="s">
        <v>111</v>
      </c>
      <c r="D127" t="s">
        <v>23</v>
      </c>
      <c r="E127" t="s">
        <v>49</v>
      </c>
      <c r="F127" t="s">
        <v>34</v>
      </c>
      <c r="G127" t="s">
        <v>50</v>
      </c>
      <c r="H127" t="s">
        <v>36</v>
      </c>
      <c r="I127" t="s">
        <v>28</v>
      </c>
      <c r="J127" t="s">
        <v>45</v>
      </c>
      <c r="K127">
        <v>2131</v>
      </c>
      <c r="L127">
        <v>97</v>
      </c>
      <c r="M127">
        <v>153.66999999999999</v>
      </c>
      <c r="N127">
        <v>7</v>
      </c>
      <c r="O127">
        <v>838.56</v>
      </c>
      <c r="P127">
        <f t="shared" si="4"/>
        <v>4.5518535898639134E-2</v>
      </c>
      <c r="Q127">
        <f t="shared" si="4"/>
        <v>1.5842268041237113</v>
      </c>
      <c r="R127">
        <f t="shared" si="5"/>
        <v>21.952857142857141</v>
      </c>
      <c r="S127">
        <f t="shared" si="6"/>
        <v>5.4568881369167697</v>
      </c>
      <c r="T127">
        <f t="shared" si="7"/>
        <v>7.2164948453608241E-2</v>
      </c>
      <c r="U127" t="str">
        <f>YEAR('Campaign Data'!$A127)&amp;"-"&amp;TEXT(MONTH('Campaign Data'!$A127),"00")</f>
        <v>2026-01</v>
      </c>
    </row>
    <row r="128" spans="1:21" x14ac:dyDescent="0.25">
      <c r="A128">
        <v>46029</v>
      </c>
      <c r="B128" t="s">
        <v>155</v>
      </c>
      <c r="C128" t="s">
        <v>156</v>
      </c>
      <c r="D128" t="s">
        <v>32</v>
      </c>
      <c r="E128" t="s">
        <v>24</v>
      </c>
      <c r="F128" t="s">
        <v>34</v>
      </c>
      <c r="G128" t="s">
        <v>129</v>
      </c>
      <c r="H128" t="s">
        <v>60</v>
      </c>
      <c r="I128" t="s">
        <v>61</v>
      </c>
      <c r="J128" t="s">
        <v>45</v>
      </c>
      <c r="K128">
        <v>7903</v>
      </c>
      <c r="L128">
        <v>81</v>
      </c>
      <c r="M128">
        <v>55.16</v>
      </c>
      <c r="N128">
        <v>3</v>
      </c>
      <c r="O128">
        <v>555.11</v>
      </c>
      <c r="P128">
        <f t="shared" si="4"/>
        <v>1.0249272428191826E-2</v>
      </c>
      <c r="Q128">
        <f t="shared" si="4"/>
        <v>0.68098765432098762</v>
      </c>
      <c r="R128">
        <f t="shared" si="5"/>
        <v>18.386666666666667</v>
      </c>
      <c r="S128">
        <f t="shared" si="6"/>
        <v>10.063633067440175</v>
      </c>
      <c r="T128">
        <f t="shared" si="7"/>
        <v>3.7037037037037035E-2</v>
      </c>
      <c r="U128" t="str">
        <f>YEAR('Campaign Data'!$A128)&amp;"-"&amp;TEXT(MONTH('Campaign Data'!$A128),"00")</f>
        <v>2026-01</v>
      </c>
    </row>
    <row r="129" spans="1:21" x14ac:dyDescent="0.25">
      <c r="A129">
        <v>46029</v>
      </c>
      <c r="B129" t="s">
        <v>157</v>
      </c>
      <c r="C129" t="s">
        <v>158</v>
      </c>
      <c r="D129" t="s">
        <v>58</v>
      </c>
      <c r="E129" t="s">
        <v>49</v>
      </c>
      <c r="F129" t="s">
        <v>81</v>
      </c>
      <c r="G129" t="s">
        <v>50</v>
      </c>
      <c r="H129" t="s">
        <v>90</v>
      </c>
      <c r="I129" t="s">
        <v>28</v>
      </c>
      <c r="J129" t="s">
        <v>38</v>
      </c>
      <c r="K129">
        <v>5654</v>
      </c>
      <c r="L129">
        <v>325</v>
      </c>
      <c r="M129">
        <v>102.11</v>
      </c>
      <c r="N129">
        <v>18</v>
      </c>
      <c r="O129">
        <v>90</v>
      </c>
      <c r="P129">
        <f t="shared" si="4"/>
        <v>5.7481429076759814E-2</v>
      </c>
      <c r="Q129">
        <f t="shared" si="4"/>
        <v>0.3141846153846154</v>
      </c>
      <c r="R129">
        <f t="shared" si="5"/>
        <v>5.6727777777777781</v>
      </c>
      <c r="S129">
        <f t="shared" si="6"/>
        <v>0.88140240916658508</v>
      </c>
      <c r="T129">
        <f t="shared" si="7"/>
        <v>5.5384615384615386E-2</v>
      </c>
      <c r="U129" t="str">
        <f>YEAR('Campaign Data'!$A129)&amp;"-"&amp;TEXT(MONTH('Campaign Data'!$A129),"00")</f>
        <v>2026-01</v>
      </c>
    </row>
    <row r="130" spans="1:21" x14ac:dyDescent="0.25">
      <c r="A130">
        <v>46029</v>
      </c>
      <c r="B130" t="s">
        <v>114</v>
      </c>
      <c r="C130" t="s">
        <v>115</v>
      </c>
      <c r="D130" t="s">
        <v>69</v>
      </c>
      <c r="E130" t="s">
        <v>49</v>
      </c>
      <c r="F130" t="s">
        <v>25</v>
      </c>
      <c r="G130" t="s">
        <v>107</v>
      </c>
      <c r="H130" t="s">
        <v>27</v>
      </c>
      <c r="I130" t="s">
        <v>37</v>
      </c>
      <c r="J130" t="s">
        <v>45</v>
      </c>
      <c r="K130">
        <v>4344</v>
      </c>
      <c r="L130">
        <v>215</v>
      </c>
      <c r="M130">
        <v>421.34</v>
      </c>
      <c r="N130">
        <v>9</v>
      </c>
      <c r="O130">
        <v>1795.71</v>
      </c>
      <c r="P130">
        <f t="shared" ref="P130:Q193" si="8">IF(K130=0,0,L130/K130)</f>
        <v>4.949355432780847E-2</v>
      </c>
      <c r="Q130">
        <f t="shared" si="8"/>
        <v>1.959720930232558</v>
      </c>
      <c r="R130">
        <f t="shared" ref="R130:R193" si="9">IF(N130=0,0,M130/N130)</f>
        <v>46.815555555555555</v>
      </c>
      <c r="S130">
        <f t="shared" ref="S130:S193" si="10">IF(M130=0,0,O130/M130)</f>
        <v>4.2619025015426972</v>
      </c>
      <c r="T130">
        <f t="shared" ref="T130:T193" si="11">IF(L130=0,0,N130/L130)</f>
        <v>4.1860465116279069E-2</v>
      </c>
      <c r="U130" t="str">
        <f>YEAR('Campaign Data'!$A130)&amp;"-"&amp;TEXT(MONTH('Campaign Data'!$A130),"00")</f>
        <v>2026-01</v>
      </c>
    </row>
    <row r="131" spans="1:21" x14ac:dyDescent="0.25">
      <c r="A131">
        <v>46029</v>
      </c>
      <c r="B131" t="s">
        <v>141</v>
      </c>
      <c r="C131" t="s">
        <v>142</v>
      </c>
      <c r="D131" t="s">
        <v>80</v>
      </c>
      <c r="E131" t="s">
        <v>49</v>
      </c>
      <c r="F131" t="s">
        <v>81</v>
      </c>
      <c r="G131" t="s">
        <v>97</v>
      </c>
      <c r="H131" t="s">
        <v>60</v>
      </c>
      <c r="I131" t="s">
        <v>37</v>
      </c>
      <c r="J131" t="s">
        <v>62</v>
      </c>
      <c r="K131">
        <v>9824</v>
      </c>
      <c r="L131">
        <v>731</v>
      </c>
      <c r="M131">
        <v>1595.89</v>
      </c>
      <c r="N131">
        <v>69</v>
      </c>
      <c r="O131">
        <v>1089.26</v>
      </c>
      <c r="P131">
        <f t="shared" si="8"/>
        <v>7.4409609120521178E-2</v>
      </c>
      <c r="Q131">
        <f t="shared" si="8"/>
        <v>2.1831600547195622</v>
      </c>
      <c r="R131">
        <f t="shared" si="9"/>
        <v>23.128840579710147</v>
      </c>
      <c r="S131">
        <f t="shared" si="10"/>
        <v>0.68254077661994239</v>
      </c>
      <c r="T131">
        <f t="shared" si="11"/>
        <v>9.4391244870041038E-2</v>
      </c>
      <c r="U131" t="str">
        <f>YEAR('Campaign Data'!$A131)&amp;"-"&amp;TEXT(MONTH('Campaign Data'!$A131),"00")</f>
        <v>2026-01</v>
      </c>
    </row>
    <row r="132" spans="1:21" x14ac:dyDescent="0.25">
      <c r="A132">
        <v>46029</v>
      </c>
      <c r="B132" t="s">
        <v>136</v>
      </c>
      <c r="C132" t="s">
        <v>137</v>
      </c>
      <c r="D132" t="s">
        <v>32</v>
      </c>
      <c r="E132" t="s">
        <v>49</v>
      </c>
      <c r="F132" t="s">
        <v>75</v>
      </c>
      <c r="G132" t="s">
        <v>97</v>
      </c>
      <c r="H132" t="s">
        <v>27</v>
      </c>
      <c r="I132" t="s">
        <v>37</v>
      </c>
      <c r="J132" t="s">
        <v>38</v>
      </c>
      <c r="K132">
        <v>3615</v>
      </c>
      <c r="L132">
        <v>145</v>
      </c>
      <c r="M132">
        <v>256.07</v>
      </c>
      <c r="N132">
        <v>10</v>
      </c>
      <c r="O132">
        <v>391.65</v>
      </c>
      <c r="P132">
        <f t="shared" si="8"/>
        <v>4.0110650069156296E-2</v>
      </c>
      <c r="Q132">
        <f t="shared" si="8"/>
        <v>1.766</v>
      </c>
      <c r="R132">
        <f t="shared" si="9"/>
        <v>25.606999999999999</v>
      </c>
      <c r="S132">
        <f t="shared" si="10"/>
        <v>1.5294645995235678</v>
      </c>
      <c r="T132">
        <f t="shared" si="11"/>
        <v>6.8965517241379309E-2</v>
      </c>
      <c r="U132" t="str">
        <f>YEAR('Campaign Data'!$A132)&amp;"-"&amp;TEXT(MONTH('Campaign Data'!$A132),"00")</f>
        <v>2026-01</v>
      </c>
    </row>
    <row r="133" spans="1:21" x14ac:dyDescent="0.25">
      <c r="A133">
        <v>46029</v>
      </c>
      <c r="B133" t="s">
        <v>143</v>
      </c>
      <c r="C133" t="s">
        <v>144</v>
      </c>
      <c r="D133" t="s">
        <v>48</v>
      </c>
      <c r="E133" t="s">
        <v>42</v>
      </c>
      <c r="F133" t="s">
        <v>25</v>
      </c>
      <c r="G133" t="s">
        <v>84</v>
      </c>
      <c r="H133" t="s">
        <v>90</v>
      </c>
      <c r="I133" t="s">
        <v>37</v>
      </c>
      <c r="J133" t="s">
        <v>29</v>
      </c>
      <c r="K133">
        <v>17593</v>
      </c>
      <c r="L133">
        <v>125</v>
      </c>
      <c r="M133">
        <v>174.63</v>
      </c>
      <c r="N133">
        <v>6</v>
      </c>
      <c r="O133">
        <v>319.33999999999997</v>
      </c>
      <c r="P133">
        <f t="shared" si="8"/>
        <v>7.1050986187688285E-3</v>
      </c>
      <c r="Q133">
        <f t="shared" si="8"/>
        <v>1.3970400000000001</v>
      </c>
      <c r="R133">
        <f t="shared" si="9"/>
        <v>29.105</v>
      </c>
      <c r="S133">
        <f t="shared" si="10"/>
        <v>1.82866632308309</v>
      </c>
      <c r="T133">
        <f t="shared" si="11"/>
        <v>4.8000000000000001E-2</v>
      </c>
      <c r="U133" t="str">
        <f>YEAR('Campaign Data'!$A133)&amp;"-"&amp;TEXT(MONTH('Campaign Data'!$A133),"00")</f>
        <v>2026-01</v>
      </c>
    </row>
    <row r="134" spans="1:21" x14ac:dyDescent="0.25">
      <c r="A134">
        <v>46029</v>
      </c>
      <c r="B134" t="s">
        <v>67</v>
      </c>
      <c r="C134" t="s">
        <v>68</v>
      </c>
      <c r="D134" t="s">
        <v>69</v>
      </c>
      <c r="E134" t="s">
        <v>49</v>
      </c>
      <c r="F134" t="s">
        <v>34</v>
      </c>
      <c r="G134" t="s">
        <v>70</v>
      </c>
      <c r="H134" t="s">
        <v>51</v>
      </c>
      <c r="I134" t="s">
        <v>37</v>
      </c>
      <c r="J134" t="s">
        <v>62</v>
      </c>
      <c r="K134">
        <v>12280</v>
      </c>
      <c r="L134">
        <v>717</v>
      </c>
      <c r="M134">
        <v>1194.8900000000001</v>
      </c>
      <c r="N134">
        <v>38</v>
      </c>
      <c r="O134">
        <v>6105.93</v>
      </c>
      <c r="P134">
        <f t="shared" si="8"/>
        <v>5.8387622149837136E-2</v>
      </c>
      <c r="Q134">
        <f t="shared" si="8"/>
        <v>1.6665132496513251</v>
      </c>
      <c r="R134">
        <f t="shared" si="9"/>
        <v>31.444473684210529</v>
      </c>
      <c r="S134">
        <f t="shared" si="10"/>
        <v>5.1100352333687615</v>
      </c>
      <c r="T134">
        <f t="shared" si="11"/>
        <v>5.2998605299860529E-2</v>
      </c>
      <c r="U134" t="str">
        <f>YEAR('Campaign Data'!$A134)&amp;"-"&amp;TEXT(MONTH('Campaign Data'!$A134),"00")</f>
        <v>2026-01</v>
      </c>
    </row>
    <row r="135" spans="1:21" x14ac:dyDescent="0.25">
      <c r="A135">
        <v>46029</v>
      </c>
      <c r="B135" t="s">
        <v>163</v>
      </c>
      <c r="C135" t="s">
        <v>164</v>
      </c>
      <c r="D135" t="s">
        <v>58</v>
      </c>
      <c r="E135" t="s">
        <v>42</v>
      </c>
      <c r="F135" t="s">
        <v>43</v>
      </c>
      <c r="G135" t="s">
        <v>44</v>
      </c>
      <c r="H135" t="s">
        <v>60</v>
      </c>
      <c r="I135" t="s">
        <v>37</v>
      </c>
      <c r="J135" t="s">
        <v>38</v>
      </c>
      <c r="K135">
        <v>11019</v>
      </c>
      <c r="L135">
        <v>73</v>
      </c>
      <c r="M135">
        <v>378.36</v>
      </c>
      <c r="N135">
        <v>3</v>
      </c>
      <c r="O135">
        <v>75.62</v>
      </c>
      <c r="P135">
        <f t="shared" si="8"/>
        <v>6.6249205917052363E-3</v>
      </c>
      <c r="Q135">
        <f t="shared" si="8"/>
        <v>5.1830136986301376</v>
      </c>
      <c r="R135">
        <f t="shared" si="9"/>
        <v>126.12</v>
      </c>
      <c r="S135">
        <f t="shared" si="10"/>
        <v>0.19986256475314515</v>
      </c>
      <c r="T135">
        <f t="shared" si="11"/>
        <v>4.1095890410958902E-2</v>
      </c>
      <c r="U135" t="str">
        <f>YEAR('Campaign Data'!$A135)&amp;"-"&amp;TEXT(MONTH('Campaign Data'!$A135),"00")</f>
        <v>2026-01</v>
      </c>
    </row>
    <row r="136" spans="1:21" x14ac:dyDescent="0.25">
      <c r="A136">
        <v>46029</v>
      </c>
      <c r="B136" t="s">
        <v>76</v>
      </c>
      <c r="C136" t="s">
        <v>77</v>
      </c>
      <c r="D136" t="s">
        <v>65</v>
      </c>
      <c r="E136" t="s">
        <v>42</v>
      </c>
      <c r="F136" t="s">
        <v>43</v>
      </c>
      <c r="G136" t="s">
        <v>44</v>
      </c>
      <c r="H136" t="s">
        <v>90</v>
      </c>
      <c r="I136" t="s">
        <v>28</v>
      </c>
      <c r="J136" t="s">
        <v>45</v>
      </c>
      <c r="K136">
        <v>1329</v>
      </c>
      <c r="L136">
        <v>12</v>
      </c>
      <c r="M136">
        <v>17.79</v>
      </c>
      <c r="N136">
        <v>0</v>
      </c>
      <c r="O136">
        <v>0</v>
      </c>
      <c r="P136">
        <f t="shared" si="8"/>
        <v>9.0293453724604959E-3</v>
      </c>
      <c r="Q136">
        <f t="shared" si="8"/>
        <v>1.4824999999999999</v>
      </c>
      <c r="R136">
        <f t="shared" si="9"/>
        <v>0</v>
      </c>
      <c r="S136">
        <f t="shared" si="10"/>
        <v>0</v>
      </c>
      <c r="T136">
        <f t="shared" si="11"/>
        <v>0</v>
      </c>
      <c r="U136" t="str">
        <f>YEAR('Campaign Data'!$A136)&amp;"-"&amp;TEXT(MONTH('Campaign Data'!$A136),"00")</f>
        <v>2026-01</v>
      </c>
    </row>
    <row r="137" spans="1:21" x14ac:dyDescent="0.25">
      <c r="A137">
        <v>46029</v>
      </c>
      <c r="B137" t="s">
        <v>76</v>
      </c>
      <c r="C137" t="s">
        <v>77</v>
      </c>
      <c r="D137" t="s">
        <v>65</v>
      </c>
      <c r="E137" t="s">
        <v>42</v>
      </c>
      <c r="F137" t="s">
        <v>43</v>
      </c>
      <c r="G137" t="s">
        <v>44</v>
      </c>
      <c r="H137" t="s">
        <v>36</v>
      </c>
      <c r="I137" t="s">
        <v>28</v>
      </c>
      <c r="J137" t="s">
        <v>62</v>
      </c>
      <c r="K137">
        <v>17761</v>
      </c>
      <c r="L137">
        <v>153</v>
      </c>
      <c r="M137">
        <v>919.62</v>
      </c>
      <c r="N137">
        <v>14</v>
      </c>
      <c r="O137">
        <v>389.45</v>
      </c>
      <c r="P137">
        <f t="shared" si="8"/>
        <v>8.6143798209560273E-3</v>
      </c>
      <c r="Q137">
        <f t="shared" si="8"/>
        <v>6.0105882352941178</v>
      </c>
      <c r="R137">
        <f t="shared" si="9"/>
        <v>65.687142857142859</v>
      </c>
      <c r="S137">
        <f t="shared" si="10"/>
        <v>0.42349013723059525</v>
      </c>
      <c r="T137">
        <f t="shared" si="11"/>
        <v>9.1503267973856203E-2</v>
      </c>
      <c r="U137" t="str">
        <f>YEAR('Campaign Data'!$A137)&amp;"-"&amp;TEXT(MONTH('Campaign Data'!$A137),"00")</f>
        <v>2026-01</v>
      </c>
    </row>
    <row r="138" spans="1:21" x14ac:dyDescent="0.25">
      <c r="A138">
        <v>46030</v>
      </c>
      <c r="B138" t="s">
        <v>175</v>
      </c>
      <c r="C138" t="s">
        <v>176</v>
      </c>
      <c r="D138" t="s">
        <v>65</v>
      </c>
      <c r="E138" t="s">
        <v>49</v>
      </c>
      <c r="F138" t="s">
        <v>75</v>
      </c>
      <c r="G138" t="s">
        <v>70</v>
      </c>
      <c r="H138" t="s">
        <v>60</v>
      </c>
      <c r="I138" t="s">
        <v>37</v>
      </c>
      <c r="J138" t="s">
        <v>38</v>
      </c>
      <c r="K138">
        <v>9402</v>
      </c>
      <c r="L138">
        <v>259</v>
      </c>
      <c r="M138">
        <v>517.44000000000005</v>
      </c>
      <c r="N138">
        <v>11</v>
      </c>
      <c r="O138">
        <v>559.53</v>
      </c>
      <c r="P138">
        <f t="shared" si="8"/>
        <v>2.7547330355243566E-2</v>
      </c>
      <c r="Q138">
        <f t="shared" si="8"/>
        <v>1.9978378378378381</v>
      </c>
      <c r="R138">
        <f t="shared" si="9"/>
        <v>47.040000000000006</v>
      </c>
      <c r="S138">
        <f t="shared" si="10"/>
        <v>1.0813427643784785</v>
      </c>
      <c r="T138">
        <f t="shared" si="11"/>
        <v>4.2471042471042469E-2</v>
      </c>
      <c r="U138" t="str">
        <f>YEAR('Campaign Data'!$A138)&amp;"-"&amp;TEXT(MONTH('Campaign Data'!$A138),"00")</f>
        <v>2026-01</v>
      </c>
    </row>
    <row r="139" spans="1:21" x14ac:dyDescent="0.25">
      <c r="A139">
        <v>46030</v>
      </c>
      <c r="B139" t="s">
        <v>147</v>
      </c>
      <c r="C139" t="s">
        <v>148</v>
      </c>
      <c r="D139" t="s">
        <v>23</v>
      </c>
      <c r="E139" t="s">
        <v>42</v>
      </c>
      <c r="F139" t="s">
        <v>75</v>
      </c>
      <c r="G139" t="s">
        <v>44</v>
      </c>
      <c r="H139" t="s">
        <v>36</v>
      </c>
      <c r="I139" t="s">
        <v>37</v>
      </c>
      <c r="J139" t="s">
        <v>62</v>
      </c>
      <c r="K139">
        <v>9159</v>
      </c>
      <c r="L139">
        <v>93</v>
      </c>
      <c r="M139">
        <v>284.31</v>
      </c>
      <c r="N139">
        <v>5</v>
      </c>
      <c r="O139">
        <v>119.26</v>
      </c>
      <c r="P139">
        <f t="shared" si="8"/>
        <v>1.0153946937438586E-2</v>
      </c>
      <c r="Q139">
        <f t="shared" si="8"/>
        <v>3.0570967741935484</v>
      </c>
      <c r="R139">
        <f t="shared" si="9"/>
        <v>56.862000000000002</v>
      </c>
      <c r="S139">
        <f t="shared" si="10"/>
        <v>0.41947170342232071</v>
      </c>
      <c r="T139">
        <f t="shared" si="11"/>
        <v>5.3763440860215055E-2</v>
      </c>
      <c r="U139" t="str">
        <f>YEAR('Campaign Data'!$A139)&amp;"-"&amp;TEXT(MONTH('Campaign Data'!$A139),"00")</f>
        <v>2026-01</v>
      </c>
    </row>
    <row r="140" spans="1:21" x14ac:dyDescent="0.25">
      <c r="A140">
        <v>46030</v>
      </c>
      <c r="B140" t="s">
        <v>125</v>
      </c>
      <c r="C140" t="s">
        <v>126</v>
      </c>
      <c r="D140" t="s">
        <v>41</v>
      </c>
      <c r="E140" t="s">
        <v>42</v>
      </c>
      <c r="F140" t="s">
        <v>81</v>
      </c>
      <c r="G140" t="s">
        <v>44</v>
      </c>
      <c r="H140" t="s">
        <v>27</v>
      </c>
      <c r="I140" t="s">
        <v>37</v>
      </c>
      <c r="J140" t="s">
        <v>87</v>
      </c>
      <c r="K140">
        <v>1687</v>
      </c>
      <c r="L140">
        <v>10</v>
      </c>
      <c r="M140">
        <v>57.11</v>
      </c>
      <c r="N140">
        <v>0</v>
      </c>
      <c r="O140">
        <v>0</v>
      </c>
      <c r="P140">
        <f t="shared" si="8"/>
        <v>5.9276822762299938E-3</v>
      </c>
      <c r="Q140">
        <f t="shared" si="8"/>
        <v>5.7110000000000003</v>
      </c>
      <c r="R140">
        <f t="shared" si="9"/>
        <v>0</v>
      </c>
      <c r="S140">
        <f t="shared" si="10"/>
        <v>0</v>
      </c>
      <c r="T140">
        <f t="shared" si="11"/>
        <v>0</v>
      </c>
      <c r="U140" t="str">
        <f>YEAR('Campaign Data'!$A140)&amp;"-"&amp;TEXT(MONTH('Campaign Data'!$A140),"00")</f>
        <v>2026-01</v>
      </c>
    </row>
    <row r="141" spans="1:21" x14ac:dyDescent="0.25">
      <c r="A141">
        <v>46030</v>
      </c>
      <c r="B141" t="s">
        <v>105</v>
      </c>
      <c r="C141" t="s">
        <v>106</v>
      </c>
      <c r="D141" t="s">
        <v>58</v>
      </c>
      <c r="E141" t="s">
        <v>49</v>
      </c>
      <c r="F141" t="s">
        <v>81</v>
      </c>
      <c r="G141" t="s">
        <v>107</v>
      </c>
      <c r="H141" t="s">
        <v>71</v>
      </c>
      <c r="I141" t="s">
        <v>37</v>
      </c>
      <c r="J141" t="s">
        <v>38</v>
      </c>
      <c r="K141">
        <v>10700</v>
      </c>
      <c r="L141">
        <v>431</v>
      </c>
      <c r="M141">
        <v>682.98</v>
      </c>
      <c r="N141">
        <v>21</v>
      </c>
      <c r="O141">
        <v>184.8</v>
      </c>
      <c r="P141">
        <f t="shared" si="8"/>
        <v>4.0280373831775698E-2</v>
      </c>
      <c r="Q141">
        <f t="shared" si="8"/>
        <v>1.5846403712296984</v>
      </c>
      <c r="R141">
        <f t="shared" si="9"/>
        <v>32.522857142857141</v>
      </c>
      <c r="S141">
        <f t="shared" si="10"/>
        <v>0.2705789334973206</v>
      </c>
      <c r="T141">
        <f t="shared" si="11"/>
        <v>4.8723897911832945E-2</v>
      </c>
      <c r="U141" t="str">
        <f>YEAR('Campaign Data'!$A141)&amp;"-"&amp;TEXT(MONTH('Campaign Data'!$A141),"00")</f>
        <v>2026-01</v>
      </c>
    </row>
    <row r="142" spans="1:21" x14ac:dyDescent="0.25">
      <c r="A142">
        <v>46030</v>
      </c>
      <c r="B142" t="s">
        <v>108</v>
      </c>
      <c r="C142" t="s">
        <v>109</v>
      </c>
      <c r="D142" t="s">
        <v>58</v>
      </c>
      <c r="E142" t="s">
        <v>33</v>
      </c>
      <c r="F142" t="s">
        <v>43</v>
      </c>
      <c r="G142" t="s">
        <v>59</v>
      </c>
      <c r="H142" t="s">
        <v>90</v>
      </c>
      <c r="I142" t="s">
        <v>28</v>
      </c>
      <c r="J142" t="s">
        <v>87</v>
      </c>
      <c r="K142">
        <v>1612</v>
      </c>
      <c r="L142">
        <v>8</v>
      </c>
      <c r="M142">
        <v>1.37</v>
      </c>
      <c r="N142">
        <v>0</v>
      </c>
      <c r="O142">
        <v>0</v>
      </c>
      <c r="P142">
        <f t="shared" si="8"/>
        <v>4.9627791563275434E-3</v>
      </c>
      <c r="Q142">
        <f t="shared" si="8"/>
        <v>0.17125000000000001</v>
      </c>
      <c r="R142">
        <f t="shared" si="9"/>
        <v>0</v>
      </c>
      <c r="S142">
        <f t="shared" si="10"/>
        <v>0</v>
      </c>
      <c r="T142">
        <f t="shared" si="11"/>
        <v>0</v>
      </c>
      <c r="U142" t="str">
        <f>YEAR('Campaign Data'!$A142)&amp;"-"&amp;TEXT(MONTH('Campaign Data'!$A142),"00")</f>
        <v>2026-01</v>
      </c>
    </row>
    <row r="143" spans="1:21" x14ac:dyDescent="0.25">
      <c r="A143">
        <v>46030</v>
      </c>
      <c r="B143" t="s">
        <v>108</v>
      </c>
      <c r="C143" t="s">
        <v>109</v>
      </c>
      <c r="D143" t="s">
        <v>58</v>
      </c>
      <c r="E143" t="s">
        <v>33</v>
      </c>
      <c r="F143" t="s">
        <v>43</v>
      </c>
      <c r="G143" t="s">
        <v>59</v>
      </c>
      <c r="H143" t="s">
        <v>27</v>
      </c>
      <c r="I143" t="s">
        <v>37</v>
      </c>
      <c r="J143" t="s">
        <v>38</v>
      </c>
      <c r="K143">
        <v>10381</v>
      </c>
      <c r="L143">
        <v>117</v>
      </c>
      <c r="M143">
        <v>76.010000000000005</v>
      </c>
      <c r="N143">
        <v>0</v>
      </c>
      <c r="O143">
        <v>0</v>
      </c>
      <c r="P143">
        <f t="shared" si="8"/>
        <v>1.1270590501878432E-2</v>
      </c>
      <c r="Q143">
        <f t="shared" si="8"/>
        <v>0.6496581196581197</v>
      </c>
      <c r="R143">
        <f t="shared" si="9"/>
        <v>0</v>
      </c>
      <c r="S143">
        <f t="shared" si="10"/>
        <v>0</v>
      </c>
      <c r="T143">
        <f t="shared" si="11"/>
        <v>0</v>
      </c>
      <c r="U143" t="str">
        <f>YEAR('Campaign Data'!$A143)&amp;"-"&amp;TEXT(MONTH('Campaign Data'!$A143),"00")</f>
        <v>2026-01</v>
      </c>
    </row>
    <row r="144" spans="1:21" x14ac:dyDescent="0.25">
      <c r="A144">
        <v>46030</v>
      </c>
      <c r="B144" t="s">
        <v>177</v>
      </c>
      <c r="C144" t="s">
        <v>178</v>
      </c>
      <c r="D144" t="s">
        <v>41</v>
      </c>
      <c r="E144" t="s">
        <v>49</v>
      </c>
      <c r="F144" t="s">
        <v>34</v>
      </c>
      <c r="G144" t="s">
        <v>107</v>
      </c>
      <c r="H144" t="s">
        <v>27</v>
      </c>
      <c r="I144" t="s">
        <v>28</v>
      </c>
      <c r="J144" t="s">
        <v>38</v>
      </c>
      <c r="K144">
        <v>4797</v>
      </c>
      <c r="L144">
        <v>166</v>
      </c>
      <c r="M144">
        <v>540.63</v>
      </c>
      <c r="N144">
        <v>13</v>
      </c>
      <c r="O144">
        <v>1653.87</v>
      </c>
      <c r="P144">
        <f t="shared" si="8"/>
        <v>3.4604961434229725E-2</v>
      </c>
      <c r="Q144">
        <f t="shared" si="8"/>
        <v>3.2568072289156627</v>
      </c>
      <c r="R144">
        <f t="shared" si="9"/>
        <v>41.586923076923078</v>
      </c>
      <c r="S144">
        <f t="shared" si="10"/>
        <v>3.0591532101437209</v>
      </c>
      <c r="T144">
        <f t="shared" si="11"/>
        <v>7.8313253012048195E-2</v>
      </c>
      <c r="U144" t="str">
        <f>YEAR('Campaign Data'!$A144)&amp;"-"&amp;TEXT(MONTH('Campaign Data'!$A144),"00")</f>
        <v>2026-01</v>
      </c>
    </row>
    <row r="145" spans="1:21" x14ac:dyDescent="0.25">
      <c r="A145">
        <v>46030</v>
      </c>
      <c r="B145" t="s">
        <v>153</v>
      </c>
      <c r="C145" t="s">
        <v>154</v>
      </c>
      <c r="D145" t="s">
        <v>48</v>
      </c>
      <c r="E145" t="s">
        <v>33</v>
      </c>
      <c r="F145" t="s">
        <v>43</v>
      </c>
      <c r="G145" t="s">
        <v>59</v>
      </c>
      <c r="H145" t="s">
        <v>55</v>
      </c>
      <c r="I145" t="s">
        <v>37</v>
      </c>
      <c r="J145" t="s">
        <v>29</v>
      </c>
      <c r="K145">
        <v>6428</v>
      </c>
      <c r="L145">
        <v>33</v>
      </c>
      <c r="M145">
        <v>11.75</v>
      </c>
      <c r="N145">
        <v>0</v>
      </c>
      <c r="O145">
        <v>0</v>
      </c>
      <c r="P145">
        <f t="shared" si="8"/>
        <v>5.1337896701929061E-3</v>
      </c>
      <c r="Q145">
        <f t="shared" si="8"/>
        <v>0.35606060606060608</v>
      </c>
      <c r="R145">
        <f t="shared" si="9"/>
        <v>0</v>
      </c>
      <c r="S145">
        <f t="shared" si="10"/>
        <v>0</v>
      </c>
      <c r="T145">
        <f t="shared" si="11"/>
        <v>0</v>
      </c>
      <c r="U145" t="str">
        <f>YEAR('Campaign Data'!$A145)&amp;"-"&amp;TEXT(MONTH('Campaign Data'!$A145),"00")</f>
        <v>2026-01</v>
      </c>
    </row>
    <row r="146" spans="1:21" x14ac:dyDescent="0.25">
      <c r="A146">
        <v>46030</v>
      </c>
      <c r="B146" t="s">
        <v>155</v>
      </c>
      <c r="C146" t="s">
        <v>156</v>
      </c>
      <c r="D146" t="s">
        <v>32</v>
      </c>
      <c r="E146" t="s">
        <v>24</v>
      </c>
      <c r="F146" t="s">
        <v>34</v>
      </c>
      <c r="G146" t="s">
        <v>129</v>
      </c>
      <c r="H146" t="s">
        <v>90</v>
      </c>
      <c r="I146" t="s">
        <v>61</v>
      </c>
      <c r="J146" t="s">
        <v>45</v>
      </c>
      <c r="K146">
        <v>13399</v>
      </c>
      <c r="L146">
        <v>212</v>
      </c>
      <c r="M146">
        <v>48.36</v>
      </c>
      <c r="N146">
        <v>6</v>
      </c>
      <c r="O146">
        <v>168.23</v>
      </c>
      <c r="P146">
        <f t="shared" si="8"/>
        <v>1.5822076274348833E-2</v>
      </c>
      <c r="Q146">
        <f t="shared" si="8"/>
        <v>0.22811320754716982</v>
      </c>
      <c r="R146">
        <f t="shared" si="9"/>
        <v>8.06</v>
      </c>
      <c r="S146">
        <f t="shared" si="10"/>
        <v>3.4787014061207606</v>
      </c>
      <c r="T146">
        <f t="shared" si="11"/>
        <v>2.8301886792452831E-2</v>
      </c>
      <c r="U146" t="str">
        <f>YEAR('Campaign Data'!$A146)&amp;"-"&amp;TEXT(MONTH('Campaign Data'!$A146),"00")</f>
        <v>2026-01</v>
      </c>
    </row>
    <row r="147" spans="1:21" x14ac:dyDescent="0.25">
      <c r="A147">
        <v>46030</v>
      </c>
      <c r="B147" t="s">
        <v>159</v>
      </c>
      <c r="C147" t="s">
        <v>160</v>
      </c>
      <c r="D147" t="s">
        <v>65</v>
      </c>
      <c r="E147" t="s">
        <v>42</v>
      </c>
      <c r="F147" t="s">
        <v>75</v>
      </c>
      <c r="G147" t="s">
        <v>54</v>
      </c>
      <c r="H147" t="s">
        <v>90</v>
      </c>
      <c r="I147" t="s">
        <v>37</v>
      </c>
      <c r="J147" t="s">
        <v>38</v>
      </c>
      <c r="K147">
        <v>4598</v>
      </c>
      <c r="L147">
        <v>10</v>
      </c>
      <c r="M147">
        <v>17.95</v>
      </c>
      <c r="N147">
        <v>0</v>
      </c>
      <c r="O147">
        <v>0</v>
      </c>
      <c r="P147">
        <f t="shared" si="8"/>
        <v>2.1748586341887779E-3</v>
      </c>
      <c r="Q147">
        <f t="shared" si="8"/>
        <v>1.7949999999999999</v>
      </c>
      <c r="R147">
        <f t="shared" si="9"/>
        <v>0</v>
      </c>
      <c r="S147">
        <f t="shared" si="10"/>
        <v>0</v>
      </c>
      <c r="T147">
        <f t="shared" si="11"/>
        <v>0</v>
      </c>
      <c r="U147" t="str">
        <f>YEAR('Campaign Data'!$A147)&amp;"-"&amp;TEXT(MONTH('Campaign Data'!$A147),"00")</f>
        <v>2026-01</v>
      </c>
    </row>
    <row r="148" spans="1:21" x14ac:dyDescent="0.25">
      <c r="A148">
        <v>46030</v>
      </c>
      <c r="B148" t="s">
        <v>141</v>
      </c>
      <c r="C148" t="s">
        <v>142</v>
      </c>
      <c r="D148" t="s">
        <v>80</v>
      </c>
      <c r="E148" t="s">
        <v>49</v>
      </c>
      <c r="F148" t="s">
        <v>81</v>
      </c>
      <c r="G148" t="s">
        <v>97</v>
      </c>
      <c r="H148" t="s">
        <v>90</v>
      </c>
      <c r="I148" t="s">
        <v>28</v>
      </c>
      <c r="J148" t="s">
        <v>29</v>
      </c>
      <c r="K148">
        <v>4582</v>
      </c>
      <c r="L148">
        <v>103</v>
      </c>
      <c r="M148">
        <v>48.47</v>
      </c>
      <c r="N148">
        <v>4</v>
      </c>
      <c r="O148">
        <v>20</v>
      </c>
      <c r="P148">
        <f t="shared" si="8"/>
        <v>2.247926669576604E-2</v>
      </c>
      <c r="Q148">
        <f t="shared" si="8"/>
        <v>0.47058252427184466</v>
      </c>
      <c r="R148">
        <f t="shared" si="9"/>
        <v>12.1175</v>
      </c>
      <c r="S148">
        <f t="shared" si="10"/>
        <v>0.41262636682484011</v>
      </c>
      <c r="T148">
        <f t="shared" si="11"/>
        <v>3.8834951456310676E-2</v>
      </c>
      <c r="U148" t="str">
        <f>YEAR('Campaign Data'!$A148)&amp;"-"&amp;TEXT(MONTH('Campaign Data'!$A148),"00")</f>
        <v>2026-01</v>
      </c>
    </row>
    <row r="149" spans="1:21" x14ac:dyDescent="0.25">
      <c r="A149">
        <v>46030</v>
      </c>
      <c r="B149" t="s">
        <v>63</v>
      </c>
      <c r="C149" t="s">
        <v>64</v>
      </c>
      <c r="D149" t="s">
        <v>65</v>
      </c>
      <c r="E149" t="s">
        <v>24</v>
      </c>
      <c r="F149" t="s">
        <v>43</v>
      </c>
      <c r="G149" t="s">
        <v>66</v>
      </c>
      <c r="H149" t="s">
        <v>60</v>
      </c>
      <c r="I149" t="s">
        <v>37</v>
      </c>
      <c r="J149" t="s">
        <v>45</v>
      </c>
      <c r="K149">
        <v>6013</v>
      </c>
      <c r="L149">
        <v>67</v>
      </c>
      <c r="M149">
        <v>60.77</v>
      </c>
      <c r="N149">
        <v>1</v>
      </c>
      <c r="O149">
        <v>21.36</v>
      </c>
      <c r="P149">
        <f t="shared" si="8"/>
        <v>1.11425245301846E-2</v>
      </c>
      <c r="Q149">
        <f t="shared" si="8"/>
        <v>0.90701492537313433</v>
      </c>
      <c r="R149">
        <f t="shared" si="9"/>
        <v>60.77</v>
      </c>
      <c r="S149">
        <f t="shared" si="10"/>
        <v>0.35148922165542207</v>
      </c>
      <c r="T149">
        <f t="shared" si="11"/>
        <v>1.4925373134328358E-2</v>
      </c>
      <c r="U149" t="str">
        <f>YEAR('Campaign Data'!$A149)&amp;"-"&amp;TEXT(MONTH('Campaign Data'!$A149),"00")</f>
        <v>2026-01</v>
      </c>
    </row>
    <row r="150" spans="1:21" x14ac:dyDescent="0.25">
      <c r="A150">
        <v>46030</v>
      </c>
      <c r="B150" t="s">
        <v>145</v>
      </c>
      <c r="C150" t="s">
        <v>146</v>
      </c>
      <c r="D150" t="s">
        <v>41</v>
      </c>
      <c r="E150" t="s">
        <v>49</v>
      </c>
      <c r="F150" t="s">
        <v>75</v>
      </c>
      <c r="G150" t="s">
        <v>70</v>
      </c>
      <c r="H150" t="s">
        <v>90</v>
      </c>
      <c r="I150" t="s">
        <v>37</v>
      </c>
      <c r="J150" t="s">
        <v>38</v>
      </c>
      <c r="K150">
        <v>17931</v>
      </c>
      <c r="L150">
        <v>996</v>
      </c>
      <c r="M150">
        <v>571.22</v>
      </c>
      <c r="N150">
        <v>53</v>
      </c>
      <c r="O150">
        <v>504.85</v>
      </c>
      <c r="P150">
        <f t="shared" si="8"/>
        <v>5.5546260665885895E-2</v>
      </c>
      <c r="Q150">
        <f t="shared" si="8"/>
        <v>0.57351405622489959</v>
      </c>
      <c r="R150">
        <f t="shared" si="9"/>
        <v>10.777735849056604</v>
      </c>
      <c r="S150">
        <f t="shared" si="10"/>
        <v>0.88381009068309935</v>
      </c>
      <c r="T150">
        <f t="shared" si="11"/>
        <v>5.3212851405622492E-2</v>
      </c>
      <c r="U150" t="str">
        <f>YEAR('Campaign Data'!$A150)&amp;"-"&amp;TEXT(MONTH('Campaign Data'!$A150),"00")</f>
        <v>2026-01</v>
      </c>
    </row>
    <row r="151" spans="1:21" x14ac:dyDescent="0.25">
      <c r="A151">
        <v>46030</v>
      </c>
      <c r="B151" t="s">
        <v>82</v>
      </c>
      <c r="C151" t="s">
        <v>83</v>
      </c>
      <c r="D151" t="s">
        <v>80</v>
      </c>
      <c r="E151" t="s">
        <v>42</v>
      </c>
      <c r="F151" t="s">
        <v>34</v>
      </c>
      <c r="G151" t="s">
        <v>84</v>
      </c>
      <c r="H151" t="s">
        <v>71</v>
      </c>
      <c r="I151" t="s">
        <v>37</v>
      </c>
      <c r="J151" t="s">
        <v>38</v>
      </c>
      <c r="K151">
        <v>3851</v>
      </c>
      <c r="L151">
        <v>35</v>
      </c>
      <c r="M151">
        <v>141.68</v>
      </c>
      <c r="N151">
        <v>1</v>
      </c>
      <c r="O151">
        <v>139.25</v>
      </c>
      <c r="P151">
        <f t="shared" si="8"/>
        <v>9.0885484289794857E-3</v>
      </c>
      <c r="Q151">
        <f t="shared" si="8"/>
        <v>4.048</v>
      </c>
      <c r="R151">
        <f t="shared" si="9"/>
        <v>141.68</v>
      </c>
      <c r="S151">
        <f t="shared" si="10"/>
        <v>0.98284867306606427</v>
      </c>
      <c r="T151">
        <f t="shared" si="11"/>
        <v>2.8571428571428571E-2</v>
      </c>
      <c r="U151" t="str">
        <f>YEAR('Campaign Data'!$A151)&amp;"-"&amp;TEXT(MONTH('Campaign Data'!$A151),"00")</f>
        <v>2026-01</v>
      </c>
    </row>
    <row r="152" spans="1:21" x14ac:dyDescent="0.25">
      <c r="A152">
        <v>46030</v>
      </c>
      <c r="B152" t="s">
        <v>82</v>
      </c>
      <c r="C152" t="s">
        <v>83</v>
      </c>
      <c r="D152" t="s">
        <v>80</v>
      </c>
      <c r="E152" t="s">
        <v>42</v>
      </c>
      <c r="F152" t="s">
        <v>34</v>
      </c>
      <c r="G152" t="s">
        <v>84</v>
      </c>
      <c r="H152" t="s">
        <v>27</v>
      </c>
      <c r="I152" t="s">
        <v>37</v>
      </c>
      <c r="J152" t="s">
        <v>45</v>
      </c>
      <c r="K152">
        <v>20280</v>
      </c>
      <c r="L152">
        <v>139</v>
      </c>
      <c r="M152">
        <v>1067.29</v>
      </c>
      <c r="N152">
        <v>6</v>
      </c>
      <c r="O152">
        <v>775.38</v>
      </c>
      <c r="P152">
        <f t="shared" si="8"/>
        <v>6.8540433925049311E-3</v>
      </c>
      <c r="Q152">
        <f t="shared" si="8"/>
        <v>7.6783453237410066</v>
      </c>
      <c r="R152">
        <f t="shared" si="9"/>
        <v>177.88166666666666</v>
      </c>
      <c r="S152">
        <f t="shared" si="10"/>
        <v>0.72649420494898298</v>
      </c>
      <c r="T152">
        <f t="shared" si="11"/>
        <v>4.3165467625899283E-2</v>
      </c>
      <c r="U152" t="str">
        <f>YEAR('Campaign Data'!$A152)&amp;"-"&amp;TEXT(MONTH('Campaign Data'!$A152),"00")</f>
        <v>2026-01</v>
      </c>
    </row>
    <row r="153" spans="1:21" x14ac:dyDescent="0.25">
      <c r="A153">
        <v>46031</v>
      </c>
      <c r="B153" t="s">
        <v>173</v>
      </c>
      <c r="C153" t="s">
        <v>174</v>
      </c>
      <c r="D153" t="s">
        <v>48</v>
      </c>
      <c r="E153" t="s">
        <v>74</v>
      </c>
      <c r="F153" t="s">
        <v>25</v>
      </c>
      <c r="G153" t="s">
        <v>9</v>
      </c>
      <c r="H153" t="s">
        <v>90</v>
      </c>
      <c r="I153" t="s">
        <v>61</v>
      </c>
      <c r="J153" t="s">
        <v>38</v>
      </c>
      <c r="K153">
        <v>4083</v>
      </c>
      <c r="L153">
        <v>142</v>
      </c>
      <c r="M153">
        <v>52.97</v>
      </c>
      <c r="N153">
        <v>0</v>
      </c>
      <c r="O153">
        <v>0</v>
      </c>
      <c r="P153">
        <f t="shared" si="8"/>
        <v>3.4778349253000246E-2</v>
      </c>
      <c r="Q153">
        <f t="shared" si="8"/>
        <v>0.37302816901408448</v>
      </c>
      <c r="R153">
        <f t="shared" si="9"/>
        <v>0</v>
      </c>
      <c r="S153">
        <f t="shared" si="10"/>
        <v>0</v>
      </c>
      <c r="T153">
        <f t="shared" si="11"/>
        <v>0</v>
      </c>
      <c r="U153" t="str">
        <f>YEAR('Campaign Data'!$A153)&amp;"-"&amp;TEXT(MONTH('Campaign Data'!$A153),"00")</f>
        <v>2026-01</v>
      </c>
    </row>
    <row r="154" spans="1:21" x14ac:dyDescent="0.25">
      <c r="A154">
        <v>46031</v>
      </c>
      <c r="B154" t="s">
        <v>88</v>
      </c>
      <c r="C154" t="s">
        <v>89</v>
      </c>
      <c r="D154" t="s">
        <v>23</v>
      </c>
      <c r="E154" t="s">
        <v>49</v>
      </c>
      <c r="F154" t="s">
        <v>81</v>
      </c>
      <c r="G154" t="s">
        <v>50</v>
      </c>
      <c r="H154" t="s">
        <v>27</v>
      </c>
      <c r="I154" t="s">
        <v>28</v>
      </c>
      <c r="J154" t="s">
        <v>29</v>
      </c>
      <c r="K154">
        <v>35202</v>
      </c>
      <c r="L154">
        <v>1797</v>
      </c>
      <c r="M154">
        <v>3754.02</v>
      </c>
      <c r="N154">
        <v>126</v>
      </c>
      <c r="O154">
        <v>1194.98</v>
      </c>
      <c r="P154">
        <f t="shared" si="8"/>
        <v>5.1048235895687744E-2</v>
      </c>
      <c r="Q154">
        <f t="shared" si="8"/>
        <v>2.0890484140233725</v>
      </c>
      <c r="R154">
        <f t="shared" si="9"/>
        <v>29.793809523809525</v>
      </c>
      <c r="S154">
        <f t="shared" si="10"/>
        <v>0.31832009419235913</v>
      </c>
      <c r="T154">
        <f t="shared" si="11"/>
        <v>7.0116861435726208E-2</v>
      </c>
      <c r="U154" t="str">
        <f>YEAR('Campaign Data'!$A154)&amp;"-"&amp;TEXT(MONTH('Campaign Data'!$A154),"00")</f>
        <v>2026-01</v>
      </c>
    </row>
    <row r="155" spans="1:21" x14ac:dyDescent="0.25">
      <c r="A155">
        <v>46031</v>
      </c>
      <c r="B155" t="s">
        <v>167</v>
      </c>
      <c r="C155" t="s">
        <v>168</v>
      </c>
      <c r="D155" t="s">
        <v>58</v>
      </c>
      <c r="E155" t="s">
        <v>33</v>
      </c>
      <c r="F155" t="s">
        <v>75</v>
      </c>
      <c r="G155" t="s">
        <v>35</v>
      </c>
      <c r="H155" t="s">
        <v>27</v>
      </c>
      <c r="I155" t="s">
        <v>28</v>
      </c>
      <c r="J155" t="s">
        <v>45</v>
      </c>
      <c r="K155">
        <v>8379</v>
      </c>
      <c r="L155">
        <v>65</v>
      </c>
      <c r="M155">
        <v>30.64</v>
      </c>
      <c r="N155">
        <v>0</v>
      </c>
      <c r="O155">
        <v>0</v>
      </c>
      <c r="P155">
        <f t="shared" si="8"/>
        <v>7.7574889604964791E-3</v>
      </c>
      <c r="Q155">
        <f t="shared" si="8"/>
        <v>0.4713846153846154</v>
      </c>
      <c r="R155">
        <f t="shared" si="9"/>
        <v>0</v>
      </c>
      <c r="S155">
        <f t="shared" si="10"/>
        <v>0</v>
      </c>
      <c r="T155">
        <f t="shared" si="11"/>
        <v>0</v>
      </c>
      <c r="U155" t="str">
        <f>YEAR('Campaign Data'!$A155)&amp;"-"&amp;TEXT(MONTH('Campaign Data'!$A155),"00")</f>
        <v>2026-01</v>
      </c>
    </row>
    <row r="156" spans="1:21" x14ac:dyDescent="0.25">
      <c r="A156">
        <v>46031</v>
      </c>
      <c r="B156" t="s">
        <v>147</v>
      </c>
      <c r="C156" t="s">
        <v>148</v>
      </c>
      <c r="D156" t="s">
        <v>23</v>
      </c>
      <c r="E156" t="s">
        <v>42</v>
      </c>
      <c r="F156" t="s">
        <v>75</v>
      </c>
      <c r="G156" t="s">
        <v>44</v>
      </c>
      <c r="H156" t="s">
        <v>36</v>
      </c>
      <c r="I156" t="s">
        <v>28</v>
      </c>
      <c r="J156" t="s">
        <v>62</v>
      </c>
      <c r="K156">
        <v>7342</v>
      </c>
      <c r="L156">
        <v>75</v>
      </c>
      <c r="M156">
        <v>456.51</v>
      </c>
      <c r="N156">
        <v>6</v>
      </c>
      <c r="O156">
        <v>216.83</v>
      </c>
      <c r="P156">
        <f t="shared" si="8"/>
        <v>1.0215200217924271E-2</v>
      </c>
      <c r="Q156">
        <f t="shared" si="8"/>
        <v>6.0868000000000002</v>
      </c>
      <c r="R156">
        <f t="shared" si="9"/>
        <v>76.084999999999994</v>
      </c>
      <c r="S156">
        <f t="shared" si="10"/>
        <v>0.47497316597664896</v>
      </c>
      <c r="T156">
        <f t="shared" si="11"/>
        <v>0.08</v>
      </c>
      <c r="U156" t="str">
        <f>YEAR('Campaign Data'!$A156)&amp;"-"&amp;TEXT(MONTH('Campaign Data'!$A156),"00")</f>
        <v>2026-01</v>
      </c>
    </row>
    <row r="157" spans="1:21" x14ac:dyDescent="0.25">
      <c r="A157">
        <v>46031</v>
      </c>
      <c r="B157" t="s">
        <v>147</v>
      </c>
      <c r="C157" t="s">
        <v>148</v>
      </c>
      <c r="D157" t="s">
        <v>23</v>
      </c>
      <c r="E157" t="s">
        <v>42</v>
      </c>
      <c r="F157" t="s">
        <v>75</v>
      </c>
      <c r="G157" t="s">
        <v>44</v>
      </c>
      <c r="H157" t="s">
        <v>90</v>
      </c>
      <c r="I157" t="s">
        <v>28</v>
      </c>
      <c r="J157" t="s">
        <v>87</v>
      </c>
      <c r="K157">
        <v>4356</v>
      </c>
      <c r="L157">
        <v>31</v>
      </c>
      <c r="M157">
        <v>59.74</v>
      </c>
      <c r="N157">
        <v>0</v>
      </c>
      <c r="O157">
        <v>0</v>
      </c>
      <c r="P157">
        <f t="shared" si="8"/>
        <v>7.116620752984389E-3</v>
      </c>
      <c r="Q157">
        <f t="shared" si="8"/>
        <v>1.9270967741935485</v>
      </c>
      <c r="R157">
        <f t="shared" si="9"/>
        <v>0</v>
      </c>
      <c r="S157">
        <f t="shared" si="10"/>
        <v>0</v>
      </c>
      <c r="T157">
        <f t="shared" si="11"/>
        <v>0</v>
      </c>
      <c r="U157" t="str">
        <f>YEAR('Campaign Data'!$A157)&amp;"-"&amp;TEXT(MONTH('Campaign Data'!$A157),"00")</f>
        <v>2026-01</v>
      </c>
    </row>
    <row r="158" spans="1:21" x14ac:dyDescent="0.25">
      <c r="A158">
        <v>46031</v>
      </c>
      <c r="B158" t="s">
        <v>91</v>
      </c>
      <c r="C158" t="s">
        <v>92</v>
      </c>
      <c r="D158" t="s">
        <v>41</v>
      </c>
      <c r="E158" t="s">
        <v>74</v>
      </c>
      <c r="F158" t="s">
        <v>75</v>
      </c>
      <c r="G158" t="s">
        <v>9</v>
      </c>
      <c r="H158" t="s">
        <v>27</v>
      </c>
      <c r="I158" t="s">
        <v>37</v>
      </c>
      <c r="J158" t="s">
        <v>45</v>
      </c>
      <c r="K158">
        <v>13514</v>
      </c>
      <c r="L158">
        <v>305</v>
      </c>
      <c r="M158">
        <v>580.04</v>
      </c>
      <c r="N158">
        <v>19</v>
      </c>
      <c r="O158">
        <v>514.61</v>
      </c>
      <c r="P158">
        <f t="shared" si="8"/>
        <v>2.2569187509249668E-2</v>
      </c>
      <c r="Q158">
        <f t="shared" si="8"/>
        <v>1.9017704918032785</v>
      </c>
      <c r="R158">
        <f t="shared" si="9"/>
        <v>30.528421052631575</v>
      </c>
      <c r="S158">
        <f t="shared" si="10"/>
        <v>0.88719743465967871</v>
      </c>
      <c r="T158">
        <f t="shared" si="11"/>
        <v>6.2295081967213117E-2</v>
      </c>
      <c r="U158" t="str">
        <f>YEAR('Campaign Data'!$A158)&amp;"-"&amp;TEXT(MONTH('Campaign Data'!$A158),"00")</f>
        <v>2026-01</v>
      </c>
    </row>
    <row r="159" spans="1:21" x14ac:dyDescent="0.25">
      <c r="A159">
        <v>46031</v>
      </c>
      <c r="B159" t="s">
        <v>30</v>
      </c>
      <c r="C159" t="s">
        <v>31</v>
      </c>
      <c r="D159" t="s">
        <v>32</v>
      </c>
      <c r="E159" t="s">
        <v>33</v>
      </c>
      <c r="F159" t="s">
        <v>34</v>
      </c>
      <c r="G159" t="s">
        <v>35</v>
      </c>
      <c r="H159" t="s">
        <v>60</v>
      </c>
      <c r="I159" t="s">
        <v>28</v>
      </c>
      <c r="J159" t="s">
        <v>62</v>
      </c>
      <c r="K159">
        <v>5480</v>
      </c>
      <c r="L159">
        <v>51</v>
      </c>
      <c r="M159">
        <v>36.42</v>
      </c>
      <c r="N159">
        <v>3</v>
      </c>
      <c r="O159">
        <v>595.86</v>
      </c>
      <c r="P159">
        <f t="shared" si="8"/>
        <v>9.3065693430656928E-3</v>
      </c>
      <c r="Q159">
        <f t="shared" si="8"/>
        <v>0.71411764705882352</v>
      </c>
      <c r="R159">
        <f t="shared" si="9"/>
        <v>12.14</v>
      </c>
      <c r="S159">
        <f t="shared" si="10"/>
        <v>16.360790774299836</v>
      </c>
      <c r="T159">
        <f t="shared" si="11"/>
        <v>5.8823529411764705E-2</v>
      </c>
      <c r="U159" t="str">
        <f>YEAR('Campaign Data'!$A159)&amp;"-"&amp;TEXT(MONTH('Campaign Data'!$A159),"00")</f>
        <v>2026-01</v>
      </c>
    </row>
    <row r="160" spans="1:21" x14ac:dyDescent="0.25">
      <c r="A160">
        <v>46031</v>
      </c>
      <c r="B160" t="s">
        <v>39</v>
      </c>
      <c r="C160" t="s">
        <v>40</v>
      </c>
      <c r="D160" t="s">
        <v>41</v>
      </c>
      <c r="E160" t="s">
        <v>42</v>
      </c>
      <c r="F160" t="s">
        <v>43</v>
      </c>
      <c r="G160" t="s">
        <v>44</v>
      </c>
      <c r="H160" t="s">
        <v>27</v>
      </c>
      <c r="I160" t="s">
        <v>28</v>
      </c>
      <c r="J160" t="s">
        <v>62</v>
      </c>
      <c r="K160">
        <v>4835</v>
      </c>
      <c r="L160">
        <v>43</v>
      </c>
      <c r="M160">
        <v>310.39</v>
      </c>
      <c r="N160">
        <v>1</v>
      </c>
      <c r="O160">
        <v>23.73</v>
      </c>
      <c r="P160">
        <f t="shared" si="8"/>
        <v>8.8934850051706309E-3</v>
      </c>
      <c r="Q160">
        <f t="shared" si="8"/>
        <v>7.2183720930232553</v>
      </c>
      <c r="R160">
        <f t="shared" si="9"/>
        <v>310.39</v>
      </c>
      <c r="S160">
        <f t="shared" si="10"/>
        <v>7.6452205290118883E-2</v>
      </c>
      <c r="T160">
        <f t="shared" si="11"/>
        <v>2.3255813953488372E-2</v>
      </c>
      <c r="U160" t="str">
        <f>YEAR('Campaign Data'!$A160)&amp;"-"&amp;TEXT(MONTH('Campaign Data'!$A160),"00")</f>
        <v>2026-01</v>
      </c>
    </row>
    <row r="161" spans="1:21" x14ac:dyDescent="0.25">
      <c r="A161">
        <v>46031</v>
      </c>
      <c r="B161" t="s">
        <v>52</v>
      </c>
      <c r="C161" t="s">
        <v>53</v>
      </c>
      <c r="D161" t="s">
        <v>32</v>
      </c>
      <c r="E161" t="s">
        <v>42</v>
      </c>
      <c r="F161" t="s">
        <v>25</v>
      </c>
      <c r="G161" t="s">
        <v>54</v>
      </c>
      <c r="H161" t="s">
        <v>51</v>
      </c>
      <c r="I161" t="s">
        <v>37</v>
      </c>
      <c r="J161" t="s">
        <v>62</v>
      </c>
      <c r="K161">
        <v>1277</v>
      </c>
      <c r="L161">
        <v>11</v>
      </c>
      <c r="M161">
        <v>89.28</v>
      </c>
      <c r="N161">
        <v>0</v>
      </c>
      <c r="O161">
        <v>0</v>
      </c>
      <c r="P161">
        <f t="shared" si="8"/>
        <v>8.6139389193422081E-3</v>
      </c>
      <c r="Q161">
        <f t="shared" si="8"/>
        <v>8.1163636363636371</v>
      </c>
      <c r="R161">
        <f t="shared" si="9"/>
        <v>0</v>
      </c>
      <c r="S161">
        <f t="shared" si="10"/>
        <v>0</v>
      </c>
      <c r="T161">
        <f t="shared" si="11"/>
        <v>0</v>
      </c>
      <c r="U161" t="str">
        <f>YEAR('Campaign Data'!$A161)&amp;"-"&amp;TEXT(MONTH('Campaign Data'!$A161),"00")</f>
        <v>2026-01</v>
      </c>
    </row>
    <row r="162" spans="1:21" x14ac:dyDescent="0.25">
      <c r="A162">
        <v>46031</v>
      </c>
      <c r="B162" t="s">
        <v>105</v>
      </c>
      <c r="C162" t="s">
        <v>106</v>
      </c>
      <c r="D162" t="s">
        <v>58</v>
      </c>
      <c r="E162" t="s">
        <v>49</v>
      </c>
      <c r="F162" t="s">
        <v>81</v>
      </c>
      <c r="G162" t="s">
        <v>107</v>
      </c>
      <c r="H162" t="s">
        <v>27</v>
      </c>
      <c r="I162" t="s">
        <v>37</v>
      </c>
      <c r="J162" t="s">
        <v>45</v>
      </c>
      <c r="K162">
        <v>2212</v>
      </c>
      <c r="L162">
        <v>145</v>
      </c>
      <c r="M162">
        <v>275.69</v>
      </c>
      <c r="N162">
        <v>8</v>
      </c>
      <c r="O162">
        <v>213.05</v>
      </c>
      <c r="P162">
        <f t="shared" si="8"/>
        <v>6.5551537070524413E-2</v>
      </c>
      <c r="Q162">
        <f t="shared" si="8"/>
        <v>1.9013103448275861</v>
      </c>
      <c r="R162">
        <f t="shared" si="9"/>
        <v>34.46125</v>
      </c>
      <c r="S162">
        <f t="shared" si="10"/>
        <v>0.77278827668758387</v>
      </c>
      <c r="T162">
        <f t="shared" si="11"/>
        <v>5.5172413793103448E-2</v>
      </c>
      <c r="U162" t="str">
        <f>YEAR('Campaign Data'!$A162)&amp;"-"&amp;TEXT(MONTH('Campaign Data'!$A162),"00")</f>
        <v>2026-01</v>
      </c>
    </row>
    <row r="163" spans="1:21" x14ac:dyDescent="0.25">
      <c r="A163">
        <v>46031</v>
      </c>
      <c r="B163" t="s">
        <v>132</v>
      </c>
      <c r="C163" t="s">
        <v>133</v>
      </c>
      <c r="D163" t="s">
        <v>23</v>
      </c>
      <c r="E163" t="s">
        <v>42</v>
      </c>
      <c r="F163" t="s">
        <v>75</v>
      </c>
      <c r="G163" t="s">
        <v>84</v>
      </c>
      <c r="H163" t="s">
        <v>90</v>
      </c>
      <c r="I163" t="s">
        <v>37</v>
      </c>
      <c r="J163" t="s">
        <v>87</v>
      </c>
      <c r="K163">
        <v>9659</v>
      </c>
      <c r="L163">
        <v>55</v>
      </c>
      <c r="M163">
        <v>99.35</v>
      </c>
      <c r="N163">
        <v>2</v>
      </c>
      <c r="O163">
        <v>17.54</v>
      </c>
      <c r="P163">
        <f t="shared" si="8"/>
        <v>5.6941712392587227E-3</v>
      </c>
      <c r="Q163">
        <f t="shared" si="8"/>
        <v>1.8063636363636362</v>
      </c>
      <c r="R163">
        <f t="shared" si="9"/>
        <v>49.674999999999997</v>
      </c>
      <c r="S163">
        <f t="shared" si="10"/>
        <v>0.17654755913437342</v>
      </c>
      <c r="T163">
        <f t="shared" si="11"/>
        <v>3.6363636363636362E-2</v>
      </c>
      <c r="U163" t="str">
        <f>YEAR('Campaign Data'!$A163)&amp;"-"&amp;TEXT(MONTH('Campaign Data'!$A163),"00")</f>
        <v>2026-01</v>
      </c>
    </row>
    <row r="164" spans="1:21" x14ac:dyDescent="0.25">
      <c r="A164">
        <v>46031</v>
      </c>
      <c r="B164" t="s">
        <v>153</v>
      </c>
      <c r="C164" t="s">
        <v>154</v>
      </c>
      <c r="D164" t="s">
        <v>48</v>
      </c>
      <c r="E164" t="s">
        <v>33</v>
      </c>
      <c r="F164" t="s">
        <v>43</v>
      </c>
      <c r="G164" t="s">
        <v>59</v>
      </c>
      <c r="H164" t="s">
        <v>71</v>
      </c>
      <c r="I164" t="s">
        <v>37</v>
      </c>
      <c r="J164" t="s">
        <v>45</v>
      </c>
      <c r="K164">
        <v>3762</v>
      </c>
      <c r="L164">
        <v>34</v>
      </c>
      <c r="M164">
        <v>17.97</v>
      </c>
      <c r="N164">
        <v>0</v>
      </c>
      <c r="O164">
        <v>0</v>
      </c>
      <c r="P164">
        <f t="shared" si="8"/>
        <v>9.0377458798511431E-3</v>
      </c>
      <c r="Q164">
        <f t="shared" si="8"/>
        <v>0.5285294117647058</v>
      </c>
      <c r="R164">
        <f t="shared" si="9"/>
        <v>0</v>
      </c>
      <c r="S164">
        <f t="shared" si="10"/>
        <v>0</v>
      </c>
      <c r="T164">
        <f t="shared" si="11"/>
        <v>0</v>
      </c>
      <c r="U164" t="str">
        <f>YEAR('Campaign Data'!$A164)&amp;"-"&amp;TEXT(MONTH('Campaign Data'!$A164),"00")</f>
        <v>2026-01</v>
      </c>
    </row>
    <row r="165" spans="1:21" x14ac:dyDescent="0.25">
      <c r="A165">
        <v>46031</v>
      </c>
      <c r="B165" t="s">
        <v>171</v>
      </c>
      <c r="C165" t="s">
        <v>172</v>
      </c>
      <c r="D165" t="s">
        <v>23</v>
      </c>
      <c r="E165" t="s">
        <v>33</v>
      </c>
      <c r="F165" t="s">
        <v>75</v>
      </c>
      <c r="G165" t="s">
        <v>59</v>
      </c>
      <c r="H165" t="s">
        <v>27</v>
      </c>
      <c r="I165" t="s">
        <v>28</v>
      </c>
      <c r="J165" t="s">
        <v>87</v>
      </c>
      <c r="K165">
        <v>10157</v>
      </c>
      <c r="L165">
        <v>80</v>
      </c>
      <c r="M165">
        <v>81.81</v>
      </c>
      <c r="N165">
        <v>1</v>
      </c>
      <c r="O165">
        <v>79.36</v>
      </c>
      <c r="P165">
        <f t="shared" si="8"/>
        <v>7.8763414394013975E-3</v>
      </c>
      <c r="Q165">
        <f t="shared" si="8"/>
        <v>1.0226250000000001</v>
      </c>
      <c r="R165">
        <f t="shared" si="9"/>
        <v>81.81</v>
      </c>
      <c r="S165">
        <f t="shared" si="10"/>
        <v>0.97005256081163671</v>
      </c>
      <c r="T165">
        <f t="shared" si="11"/>
        <v>1.2500000000000001E-2</v>
      </c>
      <c r="U165" t="str">
        <f>YEAR('Campaign Data'!$A165)&amp;"-"&amp;TEXT(MONTH('Campaign Data'!$A165),"00")</f>
        <v>2026-01</v>
      </c>
    </row>
    <row r="166" spans="1:21" x14ac:dyDescent="0.25">
      <c r="A166">
        <v>46031</v>
      </c>
      <c r="B166" t="s">
        <v>157</v>
      </c>
      <c r="C166" t="s">
        <v>158</v>
      </c>
      <c r="D166" t="s">
        <v>58</v>
      </c>
      <c r="E166" t="s">
        <v>49</v>
      </c>
      <c r="F166" t="s">
        <v>81</v>
      </c>
      <c r="G166" t="s">
        <v>50</v>
      </c>
      <c r="H166" t="s">
        <v>36</v>
      </c>
      <c r="I166" t="s">
        <v>37</v>
      </c>
      <c r="J166" t="s">
        <v>87</v>
      </c>
      <c r="K166">
        <v>6887</v>
      </c>
      <c r="L166">
        <v>407</v>
      </c>
      <c r="M166">
        <v>652.26</v>
      </c>
      <c r="N166">
        <v>21</v>
      </c>
      <c r="O166">
        <v>435.55</v>
      </c>
      <c r="P166">
        <f t="shared" si="8"/>
        <v>5.9096849136053432E-2</v>
      </c>
      <c r="Q166">
        <f t="shared" si="8"/>
        <v>1.6026044226044225</v>
      </c>
      <c r="R166">
        <f t="shared" si="9"/>
        <v>31.06</v>
      </c>
      <c r="S166">
        <f t="shared" si="10"/>
        <v>0.66775518964829983</v>
      </c>
      <c r="T166">
        <f t="shared" si="11"/>
        <v>5.1597051597051594E-2</v>
      </c>
      <c r="U166" t="str">
        <f>YEAR('Campaign Data'!$A166)&amp;"-"&amp;TEXT(MONTH('Campaign Data'!$A166),"00")</f>
        <v>2026-01</v>
      </c>
    </row>
    <row r="167" spans="1:21" x14ac:dyDescent="0.25">
      <c r="A167">
        <v>46031</v>
      </c>
      <c r="B167" t="s">
        <v>181</v>
      </c>
      <c r="C167" t="s">
        <v>182</v>
      </c>
      <c r="D167" t="s">
        <v>32</v>
      </c>
      <c r="E167" t="s">
        <v>33</v>
      </c>
      <c r="F167" t="s">
        <v>75</v>
      </c>
      <c r="G167" t="s">
        <v>59</v>
      </c>
      <c r="H167" t="s">
        <v>90</v>
      </c>
      <c r="I167" t="s">
        <v>28</v>
      </c>
      <c r="J167" t="s">
        <v>38</v>
      </c>
      <c r="K167">
        <v>6775</v>
      </c>
      <c r="L167">
        <v>60</v>
      </c>
      <c r="M167">
        <v>14</v>
      </c>
      <c r="N167">
        <v>1</v>
      </c>
      <c r="O167">
        <v>11.04</v>
      </c>
      <c r="P167">
        <f t="shared" si="8"/>
        <v>8.8560885608856086E-3</v>
      </c>
      <c r="Q167">
        <f t="shared" si="8"/>
        <v>0.23333333333333334</v>
      </c>
      <c r="R167">
        <f t="shared" si="9"/>
        <v>14</v>
      </c>
      <c r="S167">
        <f t="shared" si="10"/>
        <v>0.78857142857142848</v>
      </c>
      <c r="T167">
        <f t="shared" si="11"/>
        <v>1.6666666666666666E-2</v>
      </c>
      <c r="U167" t="str">
        <f>YEAR('Campaign Data'!$A167)&amp;"-"&amp;TEXT(MONTH('Campaign Data'!$A167),"00")</f>
        <v>2026-01</v>
      </c>
    </row>
    <row r="168" spans="1:21" x14ac:dyDescent="0.25">
      <c r="A168">
        <v>46031</v>
      </c>
      <c r="B168" t="s">
        <v>56</v>
      </c>
      <c r="C168" t="s">
        <v>57</v>
      </c>
      <c r="D168" t="s">
        <v>58</v>
      </c>
      <c r="E168" t="s">
        <v>33</v>
      </c>
      <c r="F168" t="s">
        <v>43</v>
      </c>
      <c r="G168" t="s">
        <v>59</v>
      </c>
      <c r="H168" t="s">
        <v>27</v>
      </c>
      <c r="I168" t="s">
        <v>37</v>
      </c>
      <c r="J168" t="s">
        <v>29</v>
      </c>
      <c r="K168">
        <v>1959</v>
      </c>
      <c r="L168">
        <v>13</v>
      </c>
      <c r="M168">
        <v>8.76</v>
      </c>
      <c r="N168">
        <v>0</v>
      </c>
      <c r="O168">
        <v>0</v>
      </c>
      <c r="P168">
        <f t="shared" si="8"/>
        <v>6.636038795303726E-3</v>
      </c>
      <c r="Q168">
        <f t="shared" si="8"/>
        <v>0.67384615384615387</v>
      </c>
      <c r="R168">
        <f t="shared" si="9"/>
        <v>0</v>
      </c>
      <c r="S168">
        <f t="shared" si="10"/>
        <v>0</v>
      </c>
      <c r="T168">
        <f t="shared" si="11"/>
        <v>0</v>
      </c>
      <c r="U168" t="str">
        <f>YEAR('Campaign Data'!$A168)&amp;"-"&amp;TEXT(MONTH('Campaign Data'!$A168),"00")</f>
        <v>2026-01</v>
      </c>
    </row>
    <row r="169" spans="1:21" x14ac:dyDescent="0.25">
      <c r="A169">
        <v>46031</v>
      </c>
      <c r="B169" t="s">
        <v>163</v>
      </c>
      <c r="C169" t="s">
        <v>164</v>
      </c>
      <c r="D169" t="s">
        <v>58</v>
      </c>
      <c r="E169" t="s">
        <v>42</v>
      </c>
      <c r="F169" t="s">
        <v>43</v>
      </c>
      <c r="G169" t="s">
        <v>44</v>
      </c>
      <c r="H169" t="s">
        <v>71</v>
      </c>
      <c r="I169" t="s">
        <v>37</v>
      </c>
      <c r="J169" t="s">
        <v>38</v>
      </c>
      <c r="K169">
        <v>2131</v>
      </c>
      <c r="L169">
        <v>11</v>
      </c>
      <c r="M169">
        <v>71.849999999999994</v>
      </c>
      <c r="N169">
        <v>0</v>
      </c>
      <c r="O169">
        <v>0</v>
      </c>
      <c r="P169">
        <f t="shared" si="8"/>
        <v>5.1618958235570157E-3</v>
      </c>
      <c r="Q169">
        <f t="shared" si="8"/>
        <v>6.5318181818181813</v>
      </c>
      <c r="R169">
        <f t="shared" si="9"/>
        <v>0</v>
      </c>
      <c r="S169">
        <f t="shared" si="10"/>
        <v>0</v>
      </c>
      <c r="T169">
        <f t="shared" si="11"/>
        <v>0</v>
      </c>
      <c r="U169" t="str">
        <f>YEAR('Campaign Data'!$A169)&amp;"-"&amp;TEXT(MONTH('Campaign Data'!$A169),"00")</f>
        <v>2026-01</v>
      </c>
    </row>
    <row r="170" spans="1:21" x14ac:dyDescent="0.25">
      <c r="A170">
        <v>46032</v>
      </c>
      <c r="B170" t="s">
        <v>175</v>
      </c>
      <c r="C170" t="s">
        <v>176</v>
      </c>
      <c r="D170" t="s">
        <v>65</v>
      </c>
      <c r="E170" t="s">
        <v>49</v>
      </c>
      <c r="F170" t="s">
        <v>75</v>
      </c>
      <c r="G170" t="s">
        <v>70</v>
      </c>
      <c r="H170" t="s">
        <v>27</v>
      </c>
      <c r="I170" t="s">
        <v>28</v>
      </c>
      <c r="J170" t="s">
        <v>38</v>
      </c>
      <c r="K170">
        <v>920</v>
      </c>
      <c r="L170">
        <v>43</v>
      </c>
      <c r="M170">
        <v>67.34</v>
      </c>
      <c r="N170">
        <v>4</v>
      </c>
      <c r="O170">
        <v>155.54</v>
      </c>
      <c r="P170">
        <f t="shared" si="8"/>
        <v>4.6739130434782609E-2</v>
      </c>
      <c r="Q170">
        <f t="shared" si="8"/>
        <v>1.566046511627907</v>
      </c>
      <c r="R170">
        <f t="shared" si="9"/>
        <v>16.835000000000001</v>
      </c>
      <c r="S170">
        <f t="shared" si="10"/>
        <v>2.3097713097713095</v>
      </c>
      <c r="T170">
        <f t="shared" si="11"/>
        <v>9.3023255813953487E-2</v>
      </c>
      <c r="U170" t="str">
        <f>YEAR('Campaign Data'!$A170)&amp;"-"&amp;TEXT(MONTH('Campaign Data'!$A170),"00")</f>
        <v>2026-01</v>
      </c>
    </row>
    <row r="171" spans="1:21" x14ac:dyDescent="0.25">
      <c r="A171">
        <v>46032</v>
      </c>
      <c r="B171" t="s">
        <v>21</v>
      </c>
      <c r="C171" t="s">
        <v>124</v>
      </c>
      <c r="D171" t="s">
        <v>23</v>
      </c>
      <c r="E171" t="s">
        <v>24</v>
      </c>
      <c r="F171" t="s">
        <v>25</v>
      </c>
      <c r="G171" t="s">
        <v>26</v>
      </c>
      <c r="H171" t="s">
        <v>55</v>
      </c>
      <c r="I171" t="s">
        <v>37</v>
      </c>
      <c r="J171" t="s">
        <v>38</v>
      </c>
      <c r="K171">
        <v>17782</v>
      </c>
      <c r="L171">
        <v>265</v>
      </c>
      <c r="M171">
        <v>234.02</v>
      </c>
      <c r="N171">
        <v>5</v>
      </c>
      <c r="O171">
        <v>782.21</v>
      </c>
      <c r="P171">
        <f t="shared" si="8"/>
        <v>1.490271060623102E-2</v>
      </c>
      <c r="Q171">
        <f t="shared" si="8"/>
        <v>0.8830943396226415</v>
      </c>
      <c r="R171">
        <f t="shared" si="9"/>
        <v>46.804000000000002</v>
      </c>
      <c r="S171">
        <f t="shared" si="10"/>
        <v>3.3424920946927612</v>
      </c>
      <c r="T171">
        <f t="shared" si="11"/>
        <v>1.8867924528301886E-2</v>
      </c>
      <c r="U171" t="str">
        <f>YEAR('Campaign Data'!$A171)&amp;"-"&amp;TEXT(MONTH('Campaign Data'!$A171),"00")</f>
        <v>2026-01</v>
      </c>
    </row>
    <row r="172" spans="1:21" x14ac:dyDescent="0.25">
      <c r="A172">
        <v>46032</v>
      </c>
      <c r="B172" t="s">
        <v>147</v>
      </c>
      <c r="C172" t="s">
        <v>148</v>
      </c>
      <c r="D172" t="s">
        <v>23</v>
      </c>
      <c r="E172" t="s">
        <v>42</v>
      </c>
      <c r="F172" t="s">
        <v>75</v>
      </c>
      <c r="G172" t="s">
        <v>44</v>
      </c>
      <c r="H172" t="s">
        <v>90</v>
      </c>
      <c r="I172" t="s">
        <v>37</v>
      </c>
      <c r="J172" t="s">
        <v>29</v>
      </c>
      <c r="K172">
        <v>15403</v>
      </c>
      <c r="L172">
        <v>111</v>
      </c>
      <c r="M172">
        <v>154.15</v>
      </c>
      <c r="N172">
        <v>4</v>
      </c>
      <c r="O172">
        <v>37.479999999999997</v>
      </c>
      <c r="P172">
        <f t="shared" si="8"/>
        <v>7.2063883659027458E-3</v>
      </c>
      <c r="Q172">
        <f t="shared" si="8"/>
        <v>1.3887387387387389</v>
      </c>
      <c r="R172">
        <f t="shared" si="9"/>
        <v>38.537500000000001</v>
      </c>
      <c r="S172">
        <f t="shared" si="10"/>
        <v>0.24313979889717804</v>
      </c>
      <c r="T172">
        <f t="shared" si="11"/>
        <v>3.6036036036036036E-2</v>
      </c>
      <c r="U172" t="str">
        <f>YEAR('Campaign Data'!$A172)&amp;"-"&amp;TEXT(MONTH('Campaign Data'!$A172),"00")</f>
        <v>2026-01</v>
      </c>
    </row>
    <row r="173" spans="1:21" x14ac:dyDescent="0.25">
      <c r="A173">
        <v>46032</v>
      </c>
      <c r="B173" t="s">
        <v>125</v>
      </c>
      <c r="C173" t="s">
        <v>126</v>
      </c>
      <c r="D173" t="s">
        <v>41</v>
      </c>
      <c r="E173" t="s">
        <v>42</v>
      </c>
      <c r="F173" t="s">
        <v>81</v>
      </c>
      <c r="G173" t="s">
        <v>44</v>
      </c>
      <c r="H173" t="s">
        <v>51</v>
      </c>
      <c r="I173" t="s">
        <v>28</v>
      </c>
      <c r="J173" t="s">
        <v>45</v>
      </c>
      <c r="K173">
        <v>2656</v>
      </c>
      <c r="L173">
        <v>31</v>
      </c>
      <c r="M173">
        <v>163.62</v>
      </c>
      <c r="N173">
        <v>1</v>
      </c>
      <c r="O173">
        <v>22.52</v>
      </c>
      <c r="P173">
        <f t="shared" si="8"/>
        <v>1.1671686746987951E-2</v>
      </c>
      <c r="Q173">
        <f t="shared" si="8"/>
        <v>5.2780645161290325</v>
      </c>
      <c r="R173">
        <f t="shared" si="9"/>
        <v>163.62</v>
      </c>
      <c r="S173">
        <f t="shared" si="10"/>
        <v>0.1376359858208043</v>
      </c>
      <c r="T173">
        <f t="shared" si="11"/>
        <v>3.2258064516129031E-2</v>
      </c>
      <c r="U173" t="str">
        <f>YEAR('Campaign Data'!$A173)&amp;"-"&amp;TEXT(MONTH('Campaign Data'!$A173),"00")</f>
        <v>2026-01</v>
      </c>
    </row>
    <row r="174" spans="1:21" x14ac:dyDescent="0.25">
      <c r="A174">
        <v>46032</v>
      </c>
      <c r="B174" t="s">
        <v>138</v>
      </c>
      <c r="C174" t="s">
        <v>139</v>
      </c>
      <c r="D174" t="s">
        <v>58</v>
      </c>
      <c r="E174" t="s">
        <v>74</v>
      </c>
      <c r="F174" t="s">
        <v>34</v>
      </c>
      <c r="G174" t="s">
        <v>9</v>
      </c>
      <c r="H174" t="s">
        <v>27</v>
      </c>
      <c r="I174" t="s">
        <v>37</v>
      </c>
      <c r="J174" t="s">
        <v>38</v>
      </c>
      <c r="K174">
        <v>4914</v>
      </c>
      <c r="L174">
        <v>209</v>
      </c>
      <c r="M174">
        <v>305.25</v>
      </c>
      <c r="N174">
        <v>9</v>
      </c>
      <c r="O174">
        <v>1729.6</v>
      </c>
      <c r="P174">
        <f t="shared" si="8"/>
        <v>4.2531542531542531E-2</v>
      </c>
      <c r="Q174">
        <f t="shared" si="8"/>
        <v>1.4605263157894737</v>
      </c>
      <c r="R174">
        <f t="shared" si="9"/>
        <v>33.916666666666664</v>
      </c>
      <c r="S174">
        <f t="shared" si="10"/>
        <v>5.6661752661752658</v>
      </c>
      <c r="T174">
        <f t="shared" si="11"/>
        <v>4.3062200956937802E-2</v>
      </c>
      <c r="U174" t="str">
        <f>YEAR('Campaign Data'!$A174)&amp;"-"&amp;TEXT(MONTH('Campaign Data'!$A174),"00")</f>
        <v>2026-01</v>
      </c>
    </row>
    <row r="175" spans="1:21" x14ac:dyDescent="0.25">
      <c r="A175">
        <v>46032</v>
      </c>
      <c r="B175" t="s">
        <v>138</v>
      </c>
      <c r="C175" t="s">
        <v>139</v>
      </c>
      <c r="D175" t="s">
        <v>58</v>
      </c>
      <c r="E175" t="s">
        <v>74</v>
      </c>
      <c r="F175" t="s">
        <v>34</v>
      </c>
      <c r="G175" t="s">
        <v>9</v>
      </c>
      <c r="H175" t="s">
        <v>90</v>
      </c>
      <c r="I175" t="s">
        <v>37</v>
      </c>
      <c r="J175" t="s">
        <v>87</v>
      </c>
      <c r="K175">
        <v>5290</v>
      </c>
      <c r="L175">
        <v>284</v>
      </c>
      <c r="M175">
        <v>97.07</v>
      </c>
      <c r="N175">
        <v>8</v>
      </c>
      <c r="O175">
        <v>157.63</v>
      </c>
      <c r="P175">
        <f t="shared" si="8"/>
        <v>5.3686200378071834E-2</v>
      </c>
      <c r="Q175">
        <f t="shared" si="8"/>
        <v>0.3417957746478873</v>
      </c>
      <c r="R175">
        <f t="shared" si="9"/>
        <v>12.133749999999999</v>
      </c>
      <c r="S175">
        <f t="shared" si="10"/>
        <v>1.6238796744617288</v>
      </c>
      <c r="T175">
        <f t="shared" si="11"/>
        <v>2.8169014084507043E-2</v>
      </c>
      <c r="U175" t="str">
        <f>YEAR('Campaign Data'!$A175)&amp;"-"&amp;TEXT(MONTH('Campaign Data'!$A175),"00")</f>
        <v>2026-01</v>
      </c>
    </row>
    <row r="176" spans="1:21" x14ac:dyDescent="0.25">
      <c r="A176">
        <v>46032</v>
      </c>
      <c r="B176" t="s">
        <v>39</v>
      </c>
      <c r="C176" t="s">
        <v>40</v>
      </c>
      <c r="D176" t="s">
        <v>41</v>
      </c>
      <c r="E176" t="s">
        <v>42</v>
      </c>
      <c r="F176" t="s">
        <v>43</v>
      </c>
      <c r="G176" t="s">
        <v>44</v>
      </c>
      <c r="H176" t="s">
        <v>60</v>
      </c>
      <c r="I176" t="s">
        <v>37</v>
      </c>
      <c r="J176" t="s">
        <v>29</v>
      </c>
      <c r="K176">
        <v>12857</v>
      </c>
      <c r="L176">
        <v>63</v>
      </c>
      <c r="M176">
        <v>368.98</v>
      </c>
      <c r="N176">
        <v>1</v>
      </c>
      <c r="O176">
        <v>25.75</v>
      </c>
      <c r="P176">
        <f t="shared" si="8"/>
        <v>4.9000544450493897E-3</v>
      </c>
      <c r="Q176">
        <f t="shared" si="8"/>
        <v>5.8568253968253972</v>
      </c>
      <c r="R176">
        <f t="shared" si="9"/>
        <v>368.98</v>
      </c>
      <c r="S176">
        <f t="shared" si="10"/>
        <v>6.9786980324136813E-2</v>
      </c>
      <c r="T176">
        <f t="shared" si="11"/>
        <v>1.5873015873015872E-2</v>
      </c>
      <c r="U176" t="str">
        <f>YEAR('Campaign Data'!$A176)&amp;"-"&amp;TEXT(MONTH('Campaign Data'!$A176),"00")</f>
        <v>2026-01</v>
      </c>
    </row>
    <row r="177" spans="1:21" x14ac:dyDescent="0.25">
      <c r="A177">
        <v>46032</v>
      </c>
      <c r="B177" t="s">
        <v>98</v>
      </c>
      <c r="C177" t="s">
        <v>99</v>
      </c>
      <c r="D177" t="s">
        <v>69</v>
      </c>
      <c r="E177" t="s">
        <v>24</v>
      </c>
      <c r="F177" t="s">
        <v>75</v>
      </c>
      <c r="G177" t="s">
        <v>66</v>
      </c>
      <c r="H177" t="s">
        <v>27</v>
      </c>
      <c r="I177" t="s">
        <v>28</v>
      </c>
      <c r="J177" t="s">
        <v>38</v>
      </c>
      <c r="K177">
        <v>7074</v>
      </c>
      <c r="L177">
        <v>64</v>
      </c>
      <c r="M177">
        <v>74.650000000000006</v>
      </c>
      <c r="N177">
        <v>2</v>
      </c>
      <c r="O177">
        <v>127.11</v>
      </c>
      <c r="P177">
        <f t="shared" si="8"/>
        <v>9.0472151540853824E-3</v>
      </c>
      <c r="Q177">
        <f t="shared" si="8"/>
        <v>1.1664062500000001</v>
      </c>
      <c r="R177">
        <f t="shared" si="9"/>
        <v>37.325000000000003</v>
      </c>
      <c r="S177">
        <f t="shared" si="10"/>
        <v>1.7027461486939048</v>
      </c>
      <c r="T177">
        <f t="shared" si="11"/>
        <v>3.125E-2</v>
      </c>
      <c r="U177" t="str">
        <f>YEAR('Campaign Data'!$A177)&amp;"-"&amp;TEXT(MONTH('Campaign Data'!$A177),"00")</f>
        <v>2026-01</v>
      </c>
    </row>
    <row r="178" spans="1:21" x14ac:dyDescent="0.25">
      <c r="A178">
        <v>46032</v>
      </c>
      <c r="B178" t="s">
        <v>108</v>
      </c>
      <c r="C178" t="s">
        <v>109</v>
      </c>
      <c r="D178" t="s">
        <v>58</v>
      </c>
      <c r="E178" t="s">
        <v>33</v>
      </c>
      <c r="F178" t="s">
        <v>43</v>
      </c>
      <c r="G178" t="s">
        <v>59</v>
      </c>
      <c r="H178" t="s">
        <v>27</v>
      </c>
      <c r="I178" t="s">
        <v>37</v>
      </c>
      <c r="J178" t="s">
        <v>38</v>
      </c>
      <c r="K178">
        <v>9581</v>
      </c>
      <c r="L178">
        <v>88</v>
      </c>
      <c r="M178">
        <v>67.900000000000006</v>
      </c>
      <c r="N178">
        <v>1</v>
      </c>
      <c r="O178">
        <v>21.89</v>
      </c>
      <c r="P178">
        <f t="shared" si="8"/>
        <v>9.1848450057405284E-3</v>
      </c>
      <c r="Q178">
        <f t="shared" si="8"/>
        <v>0.77159090909090911</v>
      </c>
      <c r="R178">
        <f t="shared" si="9"/>
        <v>67.900000000000006</v>
      </c>
      <c r="S178">
        <f t="shared" si="10"/>
        <v>0.32238586156111926</v>
      </c>
      <c r="T178">
        <f t="shared" si="11"/>
        <v>1.1363636363636364E-2</v>
      </c>
      <c r="U178" t="str">
        <f>YEAR('Campaign Data'!$A178)&amp;"-"&amp;TEXT(MONTH('Campaign Data'!$A178),"00")</f>
        <v>2026-01</v>
      </c>
    </row>
    <row r="179" spans="1:21" x14ac:dyDescent="0.25">
      <c r="A179">
        <v>46032</v>
      </c>
      <c r="B179" t="s">
        <v>130</v>
      </c>
      <c r="C179" t="s">
        <v>131</v>
      </c>
      <c r="D179" t="s">
        <v>48</v>
      </c>
      <c r="E179" t="s">
        <v>33</v>
      </c>
      <c r="F179" t="s">
        <v>34</v>
      </c>
      <c r="G179" t="s">
        <v>35</v>
      </c>
      <c r="H179" t="s">
        <v>36</v>
      </c>
      <c r="I179" t="s">
        <v>37</v>
      </c>
      <c r="J179" t="s">
        <v>45</v>
      </c>
      <c r="K179">
        <v>10842</v>
      </c>
      <c r="L179">
        <v>59</v>
      </c>
      <c r="M179">
        <v>16.37</v>
      </c>
      <c r="N179">
        <v>3</v>
      </c>
      <c r="O179">
        <v>367.58</v>
      </c>
      <c r="P179">
        <f t="shared" si="8"/>
        <v>5.4418004058291829E-3</v>
      </c>
      <c r="Q179">
        <f t="shared" si="8"/>
        <v>0.27745762711864408</v>
      </c>
      <c r="R179">
        <f t="shared" si="9"/>
        <v>5.456666666666667</v>
      </c>
      <c r="S179">
        <f t="shared" si="10"/>
        <v>22.454489920586436</v>
      </c>
      <c r="T179">
        <f t="shared" si="11"/>
        <v>5.0847457627118647E-2</v>
      </c>
      <c r="U179" t="str">
        <f>YEAR('Campaign Data'!$A179)&amp;"-"&amp;TEXT(MONTH('Campaign Data'!$A179),"00")</f>
        <v>2026-01</v>
      </c>
    </row>
    <row r="180" spans="1:21" x14ac:dyDescent="0.25">
      <c r="A180">
        <v>46032</v>
      </c>
      <c r="B180" t="s">
        <v>132</v>
      </c>
      <c r="C180" t="s">
        <v>133</v>
      </c>
      <c r="D180" t="s">
        <v>23</v>
      </c>
      <c r="E180" t="s">
        <v>42</v>
      </c>
      <c r="F180" t="s">
        <v>75</v>
      </c>
      <c r="G180" t="s">
        <v>84</v>
      </c>
      <c r="H180" t="s">
        <v>27</v>
      </c>
      <c r="I180" t="s">
        <v>61</v>
      </c>
      <c r="J180" t="s">
        <v>38</v>
      </c>
      <c r="K180">
        <v>2824</v>
      </c>
      <c r="L180">
        <v>9</v>
      </c>
      <c r="M180">
        <v>52.17</v>
      </c>
      <c r="N180">
        <v>0</v>
      </c>
      <c r="O180">
        <v>0</v>
      </c>
      <c r="P180">
        <f t="shared" si="8"/>
        <v>3.1869688385269121E-3</v>
      </c>
      <c r="Q180">
        <f t="shared" si="8"/>
        <v>5.7966666666666669</v>
      </c>
      <c r="R180">
        <f t="shared" si="9"/>
        <v>0</v>
      </c>
      <c r="S180">
        <f t="shared" si="10"/>
        <v>0</v>
      </c>
      <c r="T180">
        <f t="shared" si="11"/>
        <v>0</v>
      </c>
      <c r="U180" t="str">
        <f>YEAR('Campaign Data'!$A180)&amp;"-"&amp;TEXT(MONTH('Campaign Data'!$A180),"00")</f>
        <v>2026-01</v>
      </c>
    </row>
    <row r="181" spans="1:21" x14ac:dyDescent="0.25">
      <c r="A181">
        <v>46032</v>
      </c>
      <c r="B181" t="s">
        <v>179</v>
      </c>
      <c r="C181" t="s">
        <v>180</v>
      </c>
      <c r="D181" t="s">
        <v>58</v>
      </c>
      <c r="E181" t="s">
        <v>42</v>
      </c>
      <c r="F181" t="s">
        <v>25</v>
      </c>
      <c r="G181" t="s">
        <v>54</v>
      </c>
      <c r="H181" t="s">
        <v>36</v>
      </c>
      <c r="I181" t="s">
        <v>37</v>
      </c>
      <c r="J181" t="s">
        <v>45</v>
      </c>
      <c r="K181">
        <v>2120</v>
      </c>
      <c r="L181">
        <v>9</v>
      </c>
      <c r="M181">
        <v>63.46</v>
      </c>
      <c r="N181">
        <v>1</v>
      </c>
      <c r="O181">
        <v>80.81</v>
      </c>
      <c r="P181">
        <f t="shared" si="8"/>
        <v>4.2452830188679245E-3</v>
      </c>
      <c r="Q181">
        <f t="shared" si="8"/>
        <v>7.0511111111111111</v>
      </c>
      <c r="R181">
        <f t="shared" si="9"/>
        <v>63.46</v>
      </c>
      <c r="S181">
        <f t="shared" si="10"/>
        <v>1.2734005672864797</v>
      </c>
      <c r="T181">
        <f t="shared" si="11"/>
        <v>0.1111111111111111</v>
      </c>
      <c r="U181" t="str">
        <f>YEAR('Campaign Data'!$A181)&amp;"-"&amp;TEXT(MONTH('Campaign Data'!$A181),"00")</f>
        <v>2026-01</v>
      </c>
    </row>
    <row r="182" spans="1:21" x14ac:dyDescent="0.25">
      <c r="A182">
        <v>46032</v>
      </c>
      <c r="B182" t="s">
        <v>179</v>
      </c>
      <c r="C182" t="s">
        <v>180</v>
      </c>
      <c r="D182" t="s">
        <v>58</v>
      </c>
      <c r="E182" t="s">
        <v>42</v>
      </c>
      <c r="F182" t="s">
        <v>25</v>
      </c>
      <c r="G182" t="s">
        <v>54</v>
      </c>
      <c r="H182" t="s">
        <v>90</v>
      </c>
      <c r="I182" t="s">
        <v>28</v>
      </c>
      <c r="J182" t="s">
        <v>62</v>
      </c>
      <c r="K182">
        <v>4675</v>
      </c>
      <c r="L182">
        <v>31</v>
      </c>
      <c r="M182">
        <v>40.22</v>
      </c>
      <c r="N182">
        <v>0</v>
      </c>
      <c r="O182">
        <v>0</v>
      </c>
      <c r="P182">
        <f t="shared" si="8"/>
        <v>6.6310160427807486E-3</v>
      </c>
      <c r="Q182">
        <f t="shared" si="8"/>
        <v>1.2974193548387096</v>
      </c>
      <c r="R182">
        <f t="shared" si="9"/>
        <v>0</v>
      </c>
      <c r="S182">
        <f t="shared" si="10"/>
        <v>0</v>
      </c>
      <c r="T182">
        <f t="shared" si="11"/>
        <v>0</v>
      </c>
      <c r="U182" t="str">
        <f>YEAR('Campaign Data'!$A182)&amp;"-"&amp;TEXT(MONTH('Campaign Data'!$A182),"00")</f>
        <v>2026-01</v>
      </c>
    </row>
    <row r="183" spans="1:21" x14ac:dyDescent="0.25">
      <c r="A183">
        <v>46032</v>
      </c>
      <c r="B183" t="s">
        <v>179</v>
      </c>
      <c r="C183" t="s">
        <v>180</v>
      </c>
      <c r="D183" t="s">
        <v>58</v>
      </c>
      <c r="E183" t="s">
        <v>42</v>
      </c>
      <c r="F183" t="s">
        <v>25</v>
      </c>
      <c r="G183" t="s">
        <v>54</v>
      </c>
      <c r="H183" t="s">
        <v>90</v>
      </c>
      <c r="I183" t="s">
        <v>37</v>
      </c>
      <c r="J183" t="s">
        <v>45</v>
      </c>
      <c r="K183">
        <v>621</v>
      </c>
      <c r="L183">
        <v>9</v>
      </c>
      <c r="M183">
        <v>15.91</v>
      </c>
      <c r="N183">
        <v>0</v>
      </c>
      <c r="O183">
        <v>0</v>
      </c>
      <c r="P183">
        <f t="shared" si="8"/>
        <v>1.4492753623188406E-2</v>
      </c>
      <c r="Q183">
        <f t="shared" si="8"/>
        <v>1.7677777777777779</v>
      </c>
      <c r="R183">
        <f t="shared" si="9"/>
        <v>0</v>
      </c>
      <c r="S183">
        <f t="shared" si="10"/>
        <v>0</v>
      </c>
      <c r="T183">
        <f t="shared" si="11"/>
        <v>0</v>
      </c>
      <c r="U183" t="str">
        <f>YEAR('Campaign Data'!$A183)&amp;"-"&amp;TEXT(MONTH('Campaign Data'!$A183),"00")</f>
        <v>2026-01</v>
      </c>
    </row>
    <row r="184" spans="1:21" x14ac:dyDescent="0.25">
      <c r="A184">
        <v>46032</v>
      </c>
      <c r="B184" t="s">
        <v>155</v>
      </c>
      <c r="C184" t="s">
        <v>156</v>
      </c>
      <c r="D184" t="s">
        <v>32</v>
      </c>
      <c r="E184" t="s">
        <v>24</v>
      </c>
      <c r="F184" t="s">
        <v>34</v>
      </c>
      <c r="G184" t="s">
        <v>129</v>
      </c>
      <c r="H184" t="s">
        <v>36</v>
      </c>
      <c r="I184" t="s">
        <v>37</v>
      </c>
      <c r="J184" t="s">
        <v>45</v>
      </c>
      <c r="K184">
        <v>5793</v>
      </c>
      <c r="L184">
        <v>46</v>
      </c>
      <c r="M184">
        <v>31.26</v>
      </c>
      <c r="N184">
        <v>0</v>
      </c>
      <c r="O184">
        <v>0</v>
      </c>
      <c r="P184">
        <f t="shared" si="8"/>
        <v>7.9406179872259629E-3</v>
      </c>
      <c r="Q184">
        <f t="shared" si="8"/>
        <v>0.67956521739130438</v>
      </c>
      <c r="R184">
        <f t="shared" si="9"/>
        <v>0</v>
      </c>
      <c r="S184">
        <f t="shared" si="10"/>
        <v>0</v>
      </c>
      <c r="T184">
        <f t="shared" si="11"/>
        <v>0</v>
      </c>
      <c r="U184" t="str">
        <f>YEAR('Campaign Data'!$A184)&amp;"-"&amp;TEXT(MONTH('Campaign Data'!$A184),"00")</f>
        <v>2026-01</v>
      </c>
    </row>
    <row r="185" spans="1:21" x14ac:dyDescent="0.25">
      <c r="A185">
        <v>46032</v>
      </c>
      <c r="B185" t="s">
        <v>157</v>
      </c>
      <c r="C185" t="s">
        <v>158</v>
      </c>
      <c r="D185" t="s">
        <v>58</v>
      </c>
      <c r="E185" t="s">
        <v>49</v>
      </c>
      <c r="F185" t="s">
        <v>81</v>
      </c>
      <c r="G185" t="s">
        <v>50</v>
      </c>
      <c r="H185" t="s">
        <v>71</v>
      </c>
      <c r="I185" t="s">
        <v>37</v>
      </c>
      <c r="J185" t="s">
        <v>45</v>
      </c>
      <c r="K185">
        <v>5806</v>
      </c>
      <c r="L185">
        <v>286</v>
      </c>
      <c r="M185">
        <v>506.76</v>
      </c>
      <c r="N185">
        <v>9</v>
      </c>
      <c r="O185">
        <v>148.72</v>
      </c>
      <c r="P185">
        <f t="shared" si="8"/>
        <v>4.9259386841198759E-2</v>
      </c>
      <c r="Q185">
        <f t="shared" si="8"/>
        <v>1.7718881118881118</v>
      </c>
      <c r="R185">
        <f t="shared" si="9"/>
        <v>56.306666666666665</v>
      </c>
      <c r="S185">
        <f t="shared" si="10"/>
        <v>0.29347225511090064</v>
      </c>
      <c r="T185">
        <f t="shared" si="11"/>
        <v>3.1468531468531472E-2</v>
      </c>
      <c r="U185" t="str">
        <f>YEAR('Campaign Data'!$A185)&amp;"-"&amp;TEXT(MONTH('Campaign Data'!$A185),"00")</f>
        <v>2026-01</v>
      </c>
    </row>
    <row r="186" spans="1:21" x14ac:dyDescent="0.25">
      <c r="A186">
        <v>46032</v>
      </c>
      <c r="B186" t="s">
        <v>159</v>
      </c>
      <c r="C186" t="s">
        <v>160</v>
      </c>
      <c r="D186" t="s">
        <v>65</v>
      </c>
      <c r="E186" t="s">
        <v>42</v>
      </c>
      <c r="F186" t="s">
        <v>75</v>
      </c>
      <c r="G186" t="s">
        <v>54</v>
      </c>
      <c r="H186" t="s">
        <v>90</v>
      </c>
      <c r="I186" t="s">
        <v>37</v>
      </c>
      <c r="J186" t="s">
        <v>45</v>
      </c>
      <c r="K186">
        <v>2215</v>
      </c>
      <c r="L186">
        <v>14</v>
      </c>
      <c r="M186">
        <v>18.91</v>
      </c>
      <c r="N186">
        <v>0</v>
      </c>
      <c r="O186">
        <v>0</v>
      </c>
      <c r="P186">
        <f t="shared" si="8"/>
        <v>6.3205417607223478E-3</v>
      </c>
      <c r="Q186">
        <f t="shared" si="8"/>
        <v>1.3507142857142858</v>
      </c>
      <c r="R186">
        <f t="shared" si="9"/>
        <v>0</v>
      </c>
      <c r="S186">
        <f t="shared" si="10"/>
        <v>0</v>
      </c>
      <c r="T186">
        <f t="shared" si="11"/>
        <v>0</v>
      </c>
      <c r="U186" t="str">
        <f>YEAR('Campaign Data'!$A186)&amp;"-"&amp;TEXT(MONTH('Campaign Data'!$A186),"00")</f>
        <v>2026-01</v>
      </c>
    </row>
    <row r="187" spans="1:21" x14ac:dyDescent="0.25">
      <c r="A187">
        <v>46032</v>
      </c>
      <c r="B187" t="s">
        <v>114</v>
      </c>
      <c r="C187" t="s">
        <v>115</v>
      </c>
      <c r="D187" t="s">
        <v>69</v>
      </c>
      <c r="E187" t="s">
        <v>49</v>
      </c>
      <c r="F187" t="s">
        <v>25</v>
      </c>
      <c r="G187" t="s">
        <v>107</v>
      </c>
      <c r="H187" t="s">
        <v>60</v>
      </c>
      <c r="I187" t="s">
        <v>37</v>
      </c>
      <c r="J187" t="s">
        <v>87</v>
      </c>
      <c r="K187">
        <v>3014</v>
      </c>
      <c r="L187">
        <v>92</v>
      </c>
      <c r="M187">
        <v>120.05</v>
      </c>
      <c r="N187">
        <v>2</v>
      </c>
      <c r="O187">
        <v>285.48</v>
      </c>
      <c r="P187">
        <f t="shared" si="8"/>
        <v>3.0524220305242204E-2</v>
      </c>
      <c r="Q187">
        <f t="shared" si="8"/>
        <v>1.3048913043478261</v>
      </c>
      <c r="R187">
        <f t="shared" si="9"/>
        <v>60.024999999999999</v>
      </c>
      <c r="S187">
        <f t="shared" si="10"/>
        <v>2.3780091628488131</v>
      </c>
      <c r="T187">
        <f t="shared" si="11"/>
        <v>2.1739130434782608E-2</v>
      </c>
      <c r="U187" t="str">
        <f>YEAR('Campaign Data'!$A187)&amp;"-"&amp;TEXT(MONTH('Campaign Data'!$A187),"00")</f>
        <v>2026-01</v>
      </c>
    </row>
    <row r="188" spans="1:21" x14ac:dyDescent="0.25">
      <c r="A188">
        <v>46032</v>
      </c>
      <c r="B188" t="s">
        <v>141</v>
      </c>
      <c r="C188" t="s">
        <v>142</v>
      </c>
      <c r="D188" t="s">
        <v>80</v>
      </c>
      <c r="E188" t="s">
        <v>49</v>
      </c>
      <c r="F188" t="s">
        <v>81</v>
      </c>
      <c r="G188" t="s">
        <v>97</v>
      </c>
      <c r="H188" t="s">
        <v>90</v>
      </c>
      <c r="I188" t="s">
        <v>28</v>
      </c>
      <c r="J188" t="s">
        <v>45</v>
      </c>
      <c r="K188">
        <v>4665</v>
      </c>
      <c r="L188">
        <v>229</v>
      </c>
      <c r="M188">
        <v>144.33000000000001</v>
      </c>
      <c r="N188">
        <v>14</v>
      </c>
      <c r="O188">
        <v>70</v>
      </c>
      <c r="P188">
        <f t="shared" si="8"/>
        <v>4.9088960342979639E-2</v>
      </c>
      <c r="Q188">
        <f t="shared" si="8"/>
        <v>0.63026200873362448</v>
      </c>
      <c r="R188">
        <f t="shared" si="9"/>
        <v>10.309285714285716</v>
      </c>
      <c r="S188">
        <f t="shared" si="10"/>
        <v>0.48499965357167596</v>
      </c>
      <c r="T188">
        <f t="shared" si="11"/>
        <v>6.1135371179039298E-2</v>
      </c>
      <c r="U188" t="str">
        <f>YEAR('Campaign Data'!$A188)&amp;"-"&amp;TEXT(MONTH('Campaign Data'!$A188),"00")</f>
        <v>2026-01</v>
      </c>
    </row>
    <row r="189" spans="1:21" x14ac:dyDescent="0.25">
      <c r="A189">
        <v>46032</v>
      </c>
      <c r="B189" t="s">
        <v>143</v>
      </c>
      <c r="C189" t="s">
        <v>144</v>
      </c>
      <c r="D189" t="s">
        <v>48</v>
      </c>
      <c r="E189" t="s">
        <v>42</v>
      </c>
      <c r="F189" t="s">
        <v>25</v>
      </c>
      <c r="G189" t="s">
        <v>84</v>
      </c>
      <c r="H189" t="s">
        <v>90</v>
      </c>
      <c r="I189" t="s">
        <v>37</v>
      </c>
      <c r="J189" t="s">
        <v>38</v>
      </c>
      <c r="K189">
        <v>6586</v>
      </c>
      <c r="L189">
        <v>36</v>
      </c>
      <c r="M189">
        <v>59.72</v>
      </c>
      <c r="N189">
        <v>0</v>
      </c>
      <c r="O189">
        <v>0</v>
      </c>
      <c r="P189">
        <f t="shared" si="8"/>
        <v>5.4661402976009721E-3</v>
      </c>
      <c r="Q189">
        <f t="shared" si="8"/>
        <v>1.6588888888888889</v>
      </c>
      <c r="R189">
        <f t="shared" si="9"/>
        <v>0</v>
      </c>
      <c r="S189">
        <f t="shared" si="10"/>
        <v>0</v>
      </c>
      <c r="T189">
        <f t="shared" si="11"/>
        <v>0</v>
      </c>
      <c r="U189" t="str">
        <f>YEAR('Campaign Data'!$A189)&amp;"-"&amp;TEXT(MONTH('Campaign Data'!$A189),"00")</f>
        <v>2026-01</v>
      </c>
    </row>
    <row r="190" spans="1:21" x14ac:dyDescent="0.25">
      <c r="A190">
        <v>46032</v>
      </c>
      <c r="B190" t="s">
        <v>183</v>
      </c>
      <c r="C190" t="s">
        <v>184</v>
      </c>
      <c r="D190" t="s">
        <v>23</v>
      </c>
      <c r="E190" t="s">
        <v>24</v>
      </c>
      <c r="F190" t="s">
        <v>81</v>
      </c>
      <c r="G190" t="s">
        <v>185</v>
      </c>
      <c r="H190" t="s">
        <v>90</v>
      </c>
      <c r="I190" t="s">
        <v>28</v>
      </c>
      <c r="J190" t="s">
        <v>87</v>
      </c>
      <c r="K190">
        <v>4456</v>
      </c>
      <c r="L190">
        <v>50</v>
      </c>
      <c r="M190">
        <v>10.41</v>
      </c>
      <c r="N190">
        <v>2</v>
      </c>
      <c r="O190">
        <v>10</v>
      </c>
      <c r="P190">
        <f t="shared" si="8"/>
        <v>1.1220825852782765E-2</v>
      </c>
      <c r="Q190">
        <f t="shared" si="8"/>
        <v>0.2082</v>
      </c>
      <c r="R190">
        <f t="shared" si="9"/>
        <v>5.2050000000000001</v>
      </c>
      <c r="S190">
        <f t="shared" si="10"/>
        <v>0.96061479346781942</v>
      </c>
      <c r="T190">
        <f t="shared" si="11"/>
        <v>0.04</v>
      </c>
      <c r="U190" t="str">
        <f>YEAR('Campaign Data'!$A190)&amp;"-"&amp;TEXT(MONTH('Campaign Data'!$A190),"00")</f>
        <v>2026-01</v>
      </c>
    </row>
    <row r="191" spans="1:21" x14ac:dyDescent="0.25">
      <c r="A191">
        <v>46032</v>
      </c>
      <c r="B191" t="s">
        <v>118</v>
      </c>
      <c r="C191" t="s">
        <v>119</v>
      </c>
      <c r="D191" t="s">
        <v>69</v>
      </c>
      <c r="E191" t="s">
        <v>33</v>
      </c>
      <c r="F191" t="s">
        <v>34</v>
      </c>
      <c r="G191" t="s">
        <v>35</v>
      </c>
      <c r="H191" t="s">
        <v>90</v>
      </c>
      <c r="I191" t="s">
        <v>37</v>
      </c>
      <c r="J191" t="s">
        <v>62</v>
      </c>
      <c r="K191">
        <v>2219</v>
      </c>
      <c r="L191">
        <v>38</v>
      </c>
      <c r="M191">
        <v>5.49</v>
      </c>
      <c r="N191">
        <v>2</v>
      </c>
      <c r="O191">
        <v>56.6</v>
      </c>
      <c r="P191">
        <f t="shared" si="8"/>
        <v>1.7124831004957188E-2</v>
      </c>
      <c r="Q191">
        <f t="shared" si="8"/>
        <v>0.14447368421052631</v>
      </c>
      <c r="R191">
        <f t="shared" si="9"/>
        <v>2.7450000000000001</v>
      </c>
      <c r="S191">
        <f t="shared" si="10"/>
        <v>10.309653916211293</v>
      </c>
      <c r="T191">
        <f t="shared" si="11"/>
        <v>5.2631578947368418E-2</v>
      </c>
      <c r="U191" t="str">
        <f>YEAR('Campaign Data'!$A191)&amp;"-"&amp;TEXT(MONTH('Campaign Data'!$A191),"00")</f>
        <v>2026-01</v>
      </c>
    </row>
    <row r="192" spans="1:21" x14ac:dyDescent="0.25">
      <c r="A192">
        <v>46032</v>
      </c>
      <c r="B192" t="s">
        <v>120</v>
      </c>
      <c r="C192" t="s">
        <v>121</v>
      </c>
      <c r="D192" t="s">
        <v>23</v>
      </c>
      <c r="E192" t="s">
        <v>49</v>
      </c>
      <c r="F192" t="s">
        <v>75</v>
      </c>
      <c r="G192" t="s">
        <v>70</v>
      </c>
      <c r="H192" t="s">
        <v>27</v>
      </c>
      <c r="I192" t="s">
        <v>28</v>
      </c>
      <c r="J192" t="s">
        <v>29</v>
      </c>
      <c r="K192">
        <v>13195</v>
      </c>
      <c r="L192">
        <v>602</v>
      </c>
      <c r="M192">
        <v>1239.0999999999999</v>
      </c>
      <c r="N192">
        <v>18</v>
      </c>
      <c r="O192">
        <v>678.3</v>
      </c>
      <c r="P192">
        <f t="shared" si="8"/>
        <v>4.5623342175066313E-2</v>
      </c>
      <c r="Q192">
        <f t="shared" si="8"/>
        <v>2.0583056478405313</v>
      </c>
      <c r="R192">
        <f t="shared" si="9"/>
        <v>68.838888888888889</v>
      </c>
      <c r="S192">
        <f t="shared" si="10"/>
        <v>0.54741344524251478</v>
      </c>
      <c r="T192">
        <f t="shared" si="11"/>
        <v>2.9900332225913623E-2</v>
      </c>
      <c r="U192" t="str">
        <f>YEAR('Campaign Data'!$A192)&amp;"-"&amp;TEXT(MONTH('Campaign Data'!$A192),"00")</f>
        <v>2026-01</v>
      </c>
    </row>
    <row r="193" spans="1:21" x14ac:dyDescent="0.25">
      <c r="A193">
        <v>46033</v>
      </c>
      <c r="B193" t="s">
        <v>173</v>
      </c>
      <c r="C193" t="s">
        <v>174</v>
      </c>
      <c r="D193" t="s">
        <v>48</v>
      </c>
      <c r="E193" t="s">
        <v>74</v>
      </c>
      <c r="F193" t="s">
        <v>25</v>
      </c>
      <c r="G193" t="s">
        <v>9</v>
      </c>
      <c r="H193" t="s">
        <v>60</v>
      </c>
      <c r="I193" t="s">
        <v>28</v>
      </c>
      <c r="J193" t="s">
        <v>62</v>
      </c>
      <c r="K193">
        <v>10438</v>
      </c>
      <c r="L193">
        <v>366</v>
      </c>
      <c r="M193">
        <v>598.39</v>
      </c>
      <c r="N193">
        <v>24</v>
      </c>
      <c r="O193">
        <v>3541.52</v>
      </c>
      <c r="P193">
        <f t="shared" si="8"/>
        <v>3.5064188541866256E-2</v>
      </c>
      <c r="Q193">
        <f t="shared" si="8"/>
        <v>1.6349453551912567</v>
      </c>
      <c r="R193">
        <f t="shared" si="9"/>
        <v>24.932916666666667</v>
      </c>
      <c r="S193">
        <f t="shared" si="10"/>
        <v>5.9184144120055482</v>
      </c>
      <c r="T193">
        <f t="shared" si="11"/>
        <v>6.5573770491803282E-2</v>
      </c>
      <c r="U193" t="str">
        <f>YEAR('Campaign Data'!$A193)&amp;"-"&amp;TEXT(MONTH('Campaign Data'!$A193),"00")</f>
        <v>2026-01</v>
      </c>
    </row>
    <row r="194" spans="1:21" x14ac:dyDescent="0.25">
      <c r="A194">
        <v>46033</v>
      </c>
      <c r="B194" t="s">
        <v>21</v>
      </c>
      <c r="C194" t="s">
        <v>124</v>
      </c>
      <c r="D194" t="s">
        <v>23</v>
      </c>
      <c r="E194" t="s">
        <v>24</v>
      </c>
      <c r="F194" t="s">
        <v>25</v>
      </c>
      <c r="G194" t="s">
        <v>26</v>
      </c>
      <c r="H194" t="s">
        <v>36</v>
      </c>
      <c r="I194" t="s">
        <v>37</v>
      </c>
      <c r="J194" t="s">
        <v>45</v>
      </c>
      <c r="K194">
        <v>1025</v>
      </c>
      <c r="L194">
        <v>8</v>
      </c>
      <c r="M194">
        <v>9.27</v>
      </c>
      <c r="N194">
        <v>0</v>
      </c>
      <c r="O194">
        <v>0</v>
      </c>
      <c r="P194">
        <f t="shared" ref="P194:Q257" si="12">IF(K194=0,0,L194/K194)</f>
        <v>7.8048780487804878E-3</v>
      </c>
      <c r="Q194">
        <f t="shared" si="12"/>
        <v>1.1587499999999999</v>
      </c>
      <c r="R194">
        <f t="shared" ref="R194:R257" si="13">IF(N194=0,0,M194/N194)</f>
        <v>0</v>
      </c>
      <c r="S194">
        <f t="shared" ref="S194:S257" si="14">IF(M194=0,0,O194/M194)</f>
        <v>0</v>
      </c>
      <c r="T194">
        <f t="shared" ref="T194:T257" si="15">IF(L194=0,0,N194/L194)</f>
        <v>0</v>
      </c>
      <c r="U194" t="str">
        <f>YEAR('Campaign Data'!$A194)&amp;"-"&amp;TEXT(MONTH('Campaign Data'!$A194),"00")</f>
        <v>2026-01</v>
      </c>
    </row>
    <row r="195" spans="1:21" x14ac:dyDescent="0.25">
      <c r="A195">
        <v>46033</v>
      </c>
      <c r="B195" t="s">
        <v>167</v>
      </c>
      <c r="C195" t="s">
        <v>168</v>
      </c>
      <c r="D195" t="s">
        <v>58</v>
      </c>
      <c r="E195" t="s">
        <v>33</v>
      </c>
      <c r="F195" t="s">
        <v>75</v>
      </c>
      <c r="G195" t="s">
        <v>35</v>
      </c>
      <c r="H195" t="s">
        <v>90</v>
      </c>
      <c r="I195" t="s">
        <v>37</v>
      </c>
      <c r="J195" t="s">
        <v>62</v>
      </c>
      <c r="K195">
        <v>1269</v>
      </c>
      <c r="L195">
        <v>12</v>
      </c>
      <c r="M195">
        <v>2.34</v>
      </c>
      <c r="N195">
        <v>1</v>
      </c>
      <c r="O195">
        <v>12.46</v>
      </c>
      <c r="P195">
        <f t="shared" si="12"/>
        <v>9.4562647754137114E-3</v>
      </c>
      <c r="Q195">
        <f t="shared" si="12"/>
        <v>0.19499999999999998</v>
      </c>
      <c r="R195">
        <f t="shared" si="13"/>
        <v>2.34</v>
      </c>
      <c r="S195">
        <f t="shared" si="14"/>
        <v>5.3247863247863254</v>
      </c>
      <c r="T195">
        <f t="shared" si="15"/>
        <v>8.3333333333333329E-2</v>
      </c>
      <c r="U195" t="str">
        <f>YEAR('Campaign Data'!$A195)&amp;"-"&amp;TEXT(MONTH('Campaign Data'!$A195),"00")</f>
        <v>2026-01</v>
      </c>
    </row>
    <row r="196" spans="1:21" x14ac:dyDescent="0.25">
      <c r="A196">
        <v>46033</v>
      </c>
      <c r="B196" t="s">
        <v>149</v>
      </c>
      <c r="C196" t="s">
        <v>150</v>
      </c>
      <c r="D196" t="s">
        <v>65</v>
      </c>
      <c r="E196" t="s">
        <v>33</v>
      </c>
      <c r="F196" t="s">
        <v>43</v>
      </c>
      <c r="G196" t="s">
        <v>59</v>
      </c>
      <c r="H196" t="s">
        <v>27</v>
      </c>
      <c r="I196" t="s">
        <v>37</v>
      </c>
      <c r="J196" t="s">
        <v>29</v>
      </c>
      <c r="K196">
        <v>4333</v>
      </c>
      <c r="L196">
        <v>51</v>
      </c>
      <c r="M196">
        <v>40.56</v>
      </c>
      <c r="N196">
        <v>1</v>
      </c>
      <c r="O196">
        <v>29.7</v>
      </c>
      <c r="P196">
        <f t="shared" si="12"/>
        <v>1.1770136164320332E-2</v>
      </c>
      <c r="Q196">
        <f t="shared" si="12"/>
        <v>0.79529411764705882</v>
      </c>
      <c r="R196">
        <f t="shared" si="13"/>
        <v>40.56</v>
      </c>
      <c r="S196">
        <f t="shared" si="14"/>
        <v>0.73224852071005908</v>
      </c>
      <c r="T196">
        <f t="shared" si="15"/>
        <v>1.9607843137254902E-2</v>
      </c>
      <c r="U196" t="str">
        <f>YEAR('Campaign Data'!$A196)&amp;"-"&amp;TEXT(MONTH('Campaign Data'!$A196),"00")</f>
        <v>2026-01</v>
      </c>
    </row>
    <row r="197" spans="1:21" x14ac:dyDescent="0.25">
      <c r="A197">
        <v>46033</v>
      </c>
      <c r="B197" t="s">
        <v>149</v>
      </c>
      <c r="C197" t="s">
        <v>150</v>
      </c>
      <c r="D197" t="s">
        <v>65</v>
      </c>
      <c r="E197" t="s">
        <v>33</v>
      </c>
      <c r="F197" t="s">
        <v>43</v>
      </c>
      <c r="G197" t="s">
        <v>59</v>
      </c>
      <c r="H197" t="s">
        <v>27</v>
      </c>
      <c r="I197" t="s">
        <v>37</v>
      </c>
      <c r="J197" t="s">
        <v>62</v>
      </c>
      <c r="K197">
        <v>3902</v>
      </c>
      <c r="L197">
        <v>37</v>
      </c>
      <c r="M197">
        <v>26</v>
      </c>
      <c r="N197">
        <v>0</v>
      </c>
      <c r="O197">
        <v>0</v>
      </c>
      <c r="P197">
        <f t="shared" si="12"/>
        <v>9.4823167606355712E-3</v>
      </c>
      <c r="Q197">
        <f t="shared" si="12"/>
        <v>0.70270270270270274</v>
      </c>
      <c r="R197">
        <f t="shared" si="13"/>
        <v>0</v>
      </c>
      <c r="S197">
        <f t="shared" si="14"/>
        <v>0</v>
      </c>
      <c r="T197">
        <f t="shared" si="15"/>
        <v>0</v>
      </c>
      <c r="U197" t="str">
        <f>YEAR('Campaign Data'!$A197)&amp;"-"&amp;TEXT(MONTH('Campaign Data'!$A197),"00")</f>
        <v>2026-01</v>
      </c>
    </row>
    <row r="198" spans="1:21" x14ac:dyDescent="0.25">
      <c r="A198">
        <v>46033</v>
      </c>
      <c r="B198" t="s">
        <v>39</v>
      </c>
      <c r="C198" t="s">
        <v>40</v>
      </c>
      <c r="D198" t="s">
        <v>41</v>
      </c>
      <c r="E198" t="s">
        <v>42</v>
      </c>
      <c r="F198" t="s">
        <v>43</v>
      </c>
      <c r="G198" t="s">
        <v>44</v>
      </c>
      <c r="H198" t="s">
        <v>55</v>
      </c>
      <c r="I198" t="s">
        <v>28</v>
      </c>
      <c r="J198" t="s">
        <v>29</v>
      </c>
      <c r="K198">
        <v>10498</v>
      </c>
      <c r="L198">
        <v>72</v>
      </c>
      <c r="M198">
        <v>372.3</v>
      </c>
      <c r="N198">
        <v>3</v>
      </c>
      <c r="O198">
        <v>73.959999999999994</v>
      </c>
      <c r="P198">
        <f t="shared" si="12"/>
        <v>6.8584492284244616E-3</v>
      </c>
      <c r="Q198">
        <f t="shared" si="12"/>
        <v>5.1708333333333334</v>
      </c>
      <c r="R198">
        <f t="shared" si="13"/>
        <v>124.10000000000001</v>
      </c>
      <c r="S198">
        <f t="shared" si="14"/>
        <v>0.19865699704539347</v>
      </c>
      <c r="T198">
        <f t="shared" si="15"/>
        <v>4.1666666666666664E-2</v>
      </c>
      <c r="U198" t="str">
        <f>YEAR('Campaign Data'!$A198)&amp;"-"&amp;TEXT(MONTH('Campaign Data'!$A198),"00")</f>
        <v>2026-01</v>
      </c>
    </row>
    <row r="199" spans="1:21" x14ac:dyDescent="0.25">
      <c r="A199">
        <v>46033</v>
      </c>
      <c r="B199" t="s">
        <v>98</v>
      </c>
      <c r="C199" t="s">
        <v>99</v>
      </c>
      <c r="D199" t="s">
        <v>69</v>
      </c>
      <c r="E199" t="s">
        <v>24</v>
      </c>
      <c r="F199" t="s">
        <v>75</v>
      </c>
      <c r="G199" t="s">
        <v>66</v>
      </c>
      <c r="H199" t="s">
        <v>55</v>
      </c>
      <c r="I199" t="s">
        <v>37</v>
      </c>
      <c r="J199" t="s">
        <v>29</v>
      </c>
      <c r="K199">
        <v>11067</v>
      </c>
      <c r="L199">
        <v>137</v>
      </c>
      <c r="M199">
        <v>146.27000000000001</v>
      </c>
      <c r="N199">
        <v>2</v>
      </c>
      <c r="O199">
        <v>78.430000000000007</v>
      </c>
      <c r="P199">
        <f t="shared" si="12"/>
        <v>1.2379145206469684E-2</v>
      </c>
      <c r="Q199">
        <f t="shared" si="12"/>
        <v>1.0676642335766424</v>
      </c>
      <c r="R199">
        <f t="shared" si="13"/>
        <v>73.135000000000005</v>
      </c>
      <c r="S199">
        <f t="shared" si="14"/>
        <v>0.53620017775346962</v>
      </c>
      <c r="T199">
        <f t="shared" si="15"/>
        <v>1.4598540145985401E-2</v>
      </c>
      <c r="U199" t="str">
        <f>YEAR('Campaign Data'!$A199)&amp;"-"&amp;TEXT(MONTH('Campaign Data'!$A199),"00")</f>
        <v>2026-01</v>
      </c>
    </row>
    <row r="200" spans="1:21" x14ac:dyDescent="0.25">
      <c r="A200">
        <v>46033</v>
      </c>
      <c r="B200" t="s">
        <v>169</v>
      </c>
      <c r="C200" t="s">
        <v>170</v>
      </c>
      <c r="D200" t="s">
        <v>58</v>
      </c>
      <c r="E200" t="s">
        <v>74</v>
      </c>
      <c r="F200" t="s">
        <v>75</v>
      </c>
      <c r="G200" t="s">
        <v>9</v>
      </c>
      <c r="H200" t="s">
        <v>27</v>
      </c>
      <c r="I200" t="s">
        <v>28</v>
      </c>
      <c r="J200" t="s">
        <v>29</v>
      </c>
      <c r="K200">
        <v>2534</v>
      </c>
      <c r="L200">
        <v>87</v>
      </c>
      <c r="M200">
        <v>139.02000000000001</v>
      </c>
      <c r="N200">
        <v>3</v>
      </c>
      <c r="O200">
        <v>107.92</v>
      </c>
      <c r="P200">
        <f t="shared" si="12"/>
        <v>3.4333070244672456E-2</v>
      </c>
      <c r="Q200">
        <f t="shared" si="12"/>
        <v>1.5979310344827586</v>
      </c>
      <c r="R200">
        <f t="shared" si="13"/>
        <v>46.34</v>
      </c>
      <c r="S200">
        <f t="shared" si="14"/>
        <v>0.77629118112501794</v>
      </c>
      <c r="T200">
        <f t="shared" si="15"/>
        <v>3.4482758620689655E-2</v>
      </c>
      <c r="U200" t="str">
        <f>YEAR('Campaign Data'!$A200)&amp;"-"&amp;TEXT(MONTH('Campaign Data'!$A200),"00")</f>
        <v>2026-01</v>
      </c>
    </row>
    <row r="201" spans="1:21" x14ac:dyDescent="0.25">
      <c r="A201">
        <v>46033</v>
      </c>
      <c r="B201" t="s">
        <v>103</v>
      </c>
      <c r="C201" t="s">
        <v>104</v>
      </c>
      <c r="D201" t="s">
        <v>65</v>
      </c>
      <c r="E201" t="s">
        <v>33</v>
      </c>
      <c r="F201" t="s">
        <v>43</v>
      </c>
      <c r="G201" t="s">
        <v>102</v>
      </c>
      <c r="H201" t="s">
        <v>27</v>
      </c>
      <c r="I201" t="s">
        <v>37</v>
      </c>
      <c r="J201" t="s">
        <v>87</v>
      </c>
      <c r="K201">
        <v>5606</v>
      </c>
      <c r="L201">
        <v>53</v>
      </c>
      <c r="M201">
        <v>35.43</v>
      </c>
      <c r="N201">
        <v>1</v>
      </c>
      <c r="O201">
        <v>32.08</v>
      </c>
      <c r="P201">
        <f t="shared" si="12"/>
        <v>9.4541562611487693E-3</v>
      </c>
      <c r="Q201">
        <f t="shared" si="12"/>
        <v>0.66849056603773582</v>
      </c>
      <c r="R201">
        <f t="shared" si="13"/>
        <v>35.43</v>
      </c>
      <c r="S201">
        <f t="shared" si="14"/>
        <v>0.90544736099350831</v>
      </c>
      <c r="T201">
        <f t="shared" si="15"/>
        <v>1.8867924528301886E-2</v>
      </c>
      <c r="U201" t="str">
        <f>YEAR('Campaign Data'!$A201)&amp;"-"&amp;TEXT(MONTH('Campaign Data'!$A201),"00")</f>
        <v>2026-01</v>
      </c>
    </row>
    <row r="202" spans="1:21" x14ac:dyDescent="0.25">
      <c r="A202">
        <v>46033</v>
      </c>
      <c r="B202" t="s">
        <v>103</v>
      </c>
      <c r="C202" t="s">
        <v>104</v>
      </c>
      <c r="D202" t="s">
        <v>65</v>
      </c>
      <c r="E202" t="s">
        <v>33</v>
      </c>
      <c r="F202" t="s">
        <v>43</v>
      </c>
      <c r="G202" t="s">
        <v>102</v>
      </c>
      <c r="H202" t="s">
        <v>90</v>
      </c>
      <c r="I202" t="s">
        <v>37</v>
      </c>
      <c r="J202" t="s">
        <v>62</v>
      </c>
      <c r="K202">
        <v>1525</v>
      </c>
      <c r="L202">
        <v>22</v>
      </c>
      <c r="M202">
        <v>4.07</v>
      </c>
      <c r="N202">
        <v>0</v>
      </c>
      <c r="O202">
        <v>0</v>
      </c>
      <c r="P202">
        <f t="shared" si="12"/>
        <v>1.4426229508196721E-2</v>
      </c>
      <c r="Q202">
        <f t="shared" si="12"/>
        <v>0.18500000000000003</v>
      </c>
      <c r="R202">
        <f t="shared" si="13"/>
        <v>0</v>
      </c>
      <c r="S202">
        <f t="shared" si="14"/>
        <v>0</v>
      </c>
      <c r="T202">
        <f t="shared" si="15"/>
        <v>0</v>
      </c>
      <c r="U202" t="str">
        <f>YEAR('Campaign Data'!$A202)&amp;"-"&amp;TEXT(MONTH('Campaign Data'!$A202),"00")</f>
        <v>2026-01</v>
      </c>
    </row>
    <row r="203" spans="1:21" x14ac:dyDescent="0.25">
      <c r="A203">
        <v>46033</v>
      </c>
      <c r="B203" t="s">
        <v>177</v>
      </c>
      <c r="C203" t="s">
        <v>178</v>
      </c>
      <c r="D203" t="s">
        <v>41</v>
      </c>
      <c r="E203" t="s">
        <v>49</v>
      </c>
      <c r="F203" t="s">
        <v>34</v>
      </c>
      <c r="G203" t="s">
        <v>107</v>
      </c>
      <c r="H203" t="s">
        <v>90</v>
      </c>
      <c r="I203" t="s">
        <v>28</v>
      </c>
      <c r="J203" t="s">
        <v>62</v>
      </c>
      <c r="K203">
        <v>4000</v>
      </c>
      <c r="L203">
        <v>235</v>
      </c>
      <c r="M203">
        <v>139.16999999999999</v>
      </c>
      <c r="N203">
        <v>11</v>
      </c>
      <c r="O203">
        <v>383.92</v>
      </c>
      <c r="P203">
        <f t="shared" si="12"/>
        <v>5.8749999999999997E-2</v>
      </c>
      <c r="Q203">
        <f t="shared" si="12"/>
        <v>0.59221276595744676</v>
      </c>
      <c r="R203">
        <f t="shared" si="13"/>
        <v>12.651818181818181</v>
      </c>
      <c r="S203">
        <f t="shared" si="14"/>
        <v>2.7586405116045127</v>
      </c>
      <c r="T203">
        <f t="shared" si="15"/>
        <v>4.6808510638297871E-2</v>
      </c>
      <c r="U203" t="str">
        <f>YEAR('Campaign Data'!$A203)&amp;"-"&amp;TEXT(MONTH('Campaign Data'!$A203),"00")</f>
        <v>2026-01</v>
      </c>
    </row>
    <row r="204" spans="1:21" x14ac:dyDescent="0.25">
      <c r="A204">
        <v>46033</v>
      </c>
      <c r="B204" t="s">
        <v>140</v>
      </c>
      <c r="C204" t="s">
        <v>40</v>
      </c>
      <c r="D204" t="s">
        <v>41</v>
      </c>
      <c r="E204" t="s">
        <v>42</v>
      </c>
      <c r="F204" t="s">
        <v>43</v>
      </c>
      <c r="G204" t="s">
        <v>44</v>
      </c>
      <c r="H204" t="s">
        <v>55</v>
      </c>
      <c r="I204" t="s">
        <v>37</v>
      </c>
      <c r="J204" t="s">
        <v>62</v>
      </c>
      <c r="K204">
        <v>1786</v>
      </c>
      <c r="L204">
        <v>9</v>
      </c>
      <c r="M204">
        <v>42.23</v>
      </c>
      <c r="N204">
        <v>2</v>
      </c>
      <c r="O204">
        <v>39.08</v>
      </c>
      <c r="P204">
        <f t="shared" si="12"/>
        <v>5.0391937290033594E-3</v>
      </c>
      <c r="Q204">
        <f t="shared" si="12"/>
        <v>4.6922222222222221</v>
      </c>
      <c r="R204">
        <f t="shared" si="13"/>
        <v>21.114999999999998</v>
      </c>
      <c r="S204">
        <f t="shared" si="14"/>
        <v>0.92540847738574472</v>
      </c>
      <c r="T204">
        <f t="shared" si="15"/>
        <v>0.22222222222222221</v>
      </c>
      <c r="U204" t="str">
        <f>YEAR('Campaign Data'!$A204)&amp;"-"&amp;TEXT(MONTH('Campaign Data'!$A204),"00")</f>
        <v>2026-01</v>
      </c>
    </row>
    <row r="205" spans="1:21" x14ac:dyDescent="0.25">
      <c r="A205">
        <v>46033</v>
      </c>
      <c r="B205" t="s">
        <v>134</v>
      </c>
      <c r="C205" t="s">
        <v>135</v>
      </c>
      <c r="D205" t="s">
        <v>32</v>
      </c>
      <c r="E205" t="s">
        <v>74</v>
      </c>
      <c r="F205" t="s">
        <v>25</v>
      </c>
      <c r="G205" t="s">
        <v>107</v>
      </c>
      <c r="H205" t="s">
        <v>71</v>
      </c>
      <c r="I205" t="s">
        <v>37</v>
      </c>
      <c r="J205" t="s">
        <v>38</v>
      </c>
      <c r="K205">
        <v>11862</v>
      </c>
      <c r="L205">
        <v>170</v>
      </c>
      <c r="M205">
        <v>206.47</v>
      </c>
      <c r="N205">
        <v>6</v>
      </c>
      <c r="O205">
        <v>786.48</v>
      </c>
      <c r="P205">
        <f t="shared" si="12"/>
        <v>1.4331478671387624E-2</v>
      </c>
      <c r="Q205">
        <f t="shared" si="12"/>
        <v>1.2145294117647059</v>
      </c>
      <c r="R205">
        <f t="shared" si="13"/>
        <v>34.411666666666669</v>
      </c>
      <c r="S205">
        <f t="shared" si="14"/>
        <v>3.809173245507822</v>
      </c>
      <c r="T205">
        <f t="shared" si="15"/>
        <v>3.5294117647058823E-2</v>
      </c>
      <c r="U205" t="str">
        <f>YEAR('Campaign Data'!$A205)&amp;"-"&amp;TEXT(MONTH('Campaign Data'!$A205),"00")</f>
        <v>2026-01</v>
      </c>
    </row>
    <row r="206" spans="1:21" x14ac:dyDescent="0.25">
      <c r="A206">
        <v>46033</v>
      </c>
      <c r="B206" t="s">
        <v>159</v>
      </c>
      <c r="C206" t="s">
        <v>160</v>
      </c>
      <c r="D206" t="s">
        <v>65</v>
      </c>
      <c r="E206" t="s">
        <v>42</v>
      </c>
      <c r="F206" t="s">
        <v>75</v>
      </c>
      <c r="G206" t="s">
        <v>54</v>
      </c>
      <c r="H206" t="s">
        <v>90</v>
      </c>
      <c r="I206" t="s">
        <v>28</v>
      </c>
      <c r="J206" t="s">
        <v>38</v>
      </c>
      <c r="K206">
        <v>12785</v>
      </c>
      <c r="L206">
        <v>57</v>
      </c>
      <c r="M206">
        <v>99.18</v>
      </c>
      <c r="N206">
        <v>1</v>
      </c>
      <c r="O206">
        <v>10.18</v>
      </c>
      <c r="P206">
        <f t="shared" si="12"/>
        <v>4.4583496284708642E-3</v>
      </c>
      <c r="Q206">
        <f t="shared" si="12"/>
        <v>1.7400000000000002</v>
      </c>
      <c r="R206">
        <f t="shared" si="13"/>
        <v>99.18</v>
      </c>
      <c r="S206">
        <f t="shared" si="14"/>
        <v>0.10264166162532767</v>
      </c>
      <c r="T206">
        <f t="shared" si="15"/>
        <v>1.7543859649122806E-2</v>
      </c>
      <c r="U206" t="str">
        <f>YEAR('Campaign Data'!$A206)&amp;"-"&amp;TEXT(MONTH('Campaign Data'!$A206),"00")</f>
        <v>2026-01</v>
      </c>
    </row>
    <row r="207" spans="1:21" x14ac:dyDescent="0.25">
      <c r="A207">
        <v>46033</v>
      </c>
      <c r="B207" t="s">
        <v>183</v>
      </c>
      <c r="C207" t="s">
        <v>184</v>
      </c>
      <c r="D207" t="s">
        <v>23</v>
      </c>
      <c r="E207" t="s">
        <v>24</v>
      </c>
      <c r="F207" t="s">
        <v>81</v>
      </c>
      <c r="G207" t="s">
        <v>185</v>
      </c>
      <c r="H207" t="s">
        <v>90</v>
      </c>
      <c r="I207" t="s">
        <v>37</v>
      </c>
      <c r="J207" t="s">
        <v>62</v>
      </c>
      <c r="K207">
        <v>8034</v>
      </c>
      <c r="L207">
        <v>203</v>
      </c>
      <c r="M207">
        <v>74.2</v>
      </c>
      <c r="N207">
        <v>4</v>
      </c>
      <c r="O207">
        <v>20</v>
      </c>
      <c r="P207">
        <f t="shared" si="12"/>
        <v>2.5267612646253424E-2</v>
      </c>
      <c r="Q207">
        <f t="shared" si="12"/>
        <v>0.36551724137931035</v>
      </c>
      <c r="R207">
        <f t="shared" si="13"/>
        <v>18.55</v>
      </c>
      <c r="S207">
        <f t="shared" si="14"/>
        <v>0.26954177897574122</v>
      </c>
      <c r="T207">
        <f t="shared" si="15"/>
        <v>1.9704433497536946E-2</v>
      </c>
      <c r="U207" t="str">
        <f>YEAR('Campaign Data'!$A207)&amp;"-"&amp;TEXT(MONTH('Campaign Data'!$A207),"00")</f>
        <v>2026-01</v>
      </c>
    </row>
    <row r="208" spans="1:21" x14ac:dyDescent="0.25">
      <c r="A208">
        <v>46033</v>
      </c>
      <c r="B208" t="s">
        <v>116</v>
      </c>
      <c r="C208" t="s">
        <v>117</v>
      </c>
      <c r="D208" t="s">
        <v>48</v>
      </c>
      <c r="E208" t="s">
        <v>24</v>
      </c>
      <c r="F208" t="s">
        <v>43</v>
      </c>
      <c r="G208" t="s">
        <v>26</v>
      </c>
      <c r="H208" t="s">
        <v>27</v>
      </c>
      <c r="I208" t="s">
        <v>61</v>
      </c>
      <c r="J208" t="s">
        <v>38</v>
      </c>
      <c r="K208">
        <v>17870</v>
      </c>
      <c r="L208">
        <v>224</v>
      </c>
      <c r="M208">
        <v>287.97000000000003</v>
      </c>
      <c r="N208">
        <v>3</v>
      </c>
      <c r="O208">
        <v>59.48</v>
      </c>
      <c r="P208">
        <f t="shared" si="12"/>
        <v>1.2534974818130946E-2</v>
      </c>
      <c r="Q208">
        <f t="shared" si="12"/>
        <v>1.2855803571428572</v>
      </c>
      <c r="R208">
        <f t="shared" si="13"/>
        <v>95.990000000000009</v>
      </c>
      <c r="S208">
        <f t="shared" si="14"/>
        <v>0.20654929332916619</v>
      </c>
      <c r="T208">
        <f t="shared" si="15"/>
        <v>1.3392857142857142E-2</v>
      </c>
      <c r="U208" t="str">
        <f>YEAR('Campaign Data'!$A208)&amp;"-"&amp;TEXT(MONTH('Campaign Data'!$A208),"00")</f>
        <v>2026-01</v>
      </c>
    </row>
    <row r="209" spans="1:21" x14ac:dyDescent="0.25">
      <c r="A209">
        <v>46033</v>
      </c>
      <c r="B209" t="s">
        <v>82</v>
      </c>
      <c r="C209" t="s">
        <v>83</v>
      </c>
      <c r="D209" t="s">
        <v>80</v>
      </c>
      <c r="E209" t="s">
        <v>42</v>
      </c>
      <c r="F209" t="s">
        <v>34</v>
      </c>
      <c r="G209" t="s">
        <v>84</v>
      </c>
      <c r="H209" t="s">
        <v>27</v>
      </c>
      <c r="I209" t="s">
        <v>37</v>
      </c>
      <c r="J209" t="s">
        <v>45</v>
      </c>
      <c r="K209">
        <v>8914</v>
      </c>
      <c r="L209">
        <v>69</v>
      </c>
      <c r="M209">
        <v>579.26</v>
      </c>
      <c r="N209">
        <v>3</v>
      </c>
      <c r="O209">
        <v>763.92</v>
      </c>
      <c r="P209">
        <f t="shared" si="12"/>
        <v>7.7406327125869416E-3</v>
      </c>
      <c r="Q209">
        <f t="shared" si="12"/>
        <v>8.3950724637681162</v>
      </c>
      <c r="R209">
        <f t="shared" si="13"/>
        <v>193.08666666666667</v>
      </c>
      <c r="S209">
        <f t="shared" si="14"/>
        <v>1.3187860373580085</v>
      </c>
      <c r="T209">
        <f t="shared" si="15"/>
        <v>4.3478260869565216E-2</v>
      </c>
      <c r="U209" t="str">
        <f>YEAR('Campaign Data'!$A209)&amp;"-"&amp;TEXT(MONTH('Campaign Data'!$A209),"00")</f>
        <v>2026-01</v>
      </c>
    </row>
    <row r="210" spans="1:21" x14ac:dyDescent="0.25">
      <c r="A210">
        <v>46034</v>
      </c>
      <c r="B210" t="s">
        <v>165</v>
      </c>
      <c r="C210" t="s">
        <v>166</v>
      </c>
      <c r="D210" t="s">
        <v>41</v>
      </c>
      <c r="E210" t="s">
        <v>33</v>
      </c>
      <c r="F210" t="s">
        <v>43</v>
      </c>
      <c r="G210" t="s">
        <v>59</v>
      </c>
      <c r="H210" t="s">
        <v>36</v>
      </c>
      <c r="I210" t="s">
        <v>28</v>
      </c>
      <c r="J210" t="s">
        <v>29</v>
      </c>
      <c r="K210">
        <v>2847</v>
      </c>
      <c r="L210">
        <v>20</v>
      </c>
      <c r="M210">
        <v>13.88</v>
      </c>
      <c r="N210">
        <v>0</v>
      </c>
      <c r="O210">
        <v>0</v>
      </c>
      <c r="P210">
        <f t="shared" si="12"/>
        <v>7.0249385317878469E-3</v>
      </c>
      <c r="Q210">
        <f t="shared" si="12"/>
        <v>0.69400000000000006</v>
      </c>
      <c r="R210">
        <f t="shared" si="13"/>
        <v>0</v>
      </c>
      <c r="S210">
        <f t="shared" si="14"/>
        <v>0</v>
      </c>
      <c r="T210">
        <f t="shared" si="15"/>
        <v>0</v>
      </c>
      <c r="U210" t="str">
        <f>YEAR('Campaign Data'!$A210)&amp;"-"&amp;TEXT(MONTH('Campaign Data'!$A210),"00")</f>
        <v>2026-01</v>
      </c>
    </row>
    <row r="211" spans="1:21" x14ac:dyDescent="0.25">
      <c r="A211">
        <v>46034</v>
      </c>
      <c r="B211" t="s">
        <v>175</v>
      </c>
      <c r="C211" t="s">
        <v>176</v>
      </c>
      <c r="D211" t="s">
        <v>65</v>
      </c>
      <c r="E211" t="s">
        <v>49</v>
      </c>
      <c r="F211" t="s">
        <v>75</v>
      </c>
      <c r="G211" t="s">
        <v>70</v>
      </c>
      <c r="H211" t="s">
        <v>27</v>
      </c>
      <c r="I211" t="s">
        <v>28</v>
      </c>
      <c r="J211" t="s">
        <v>38</v>
      </c>
      <c r="K211">
        <v>8402</v>
      </c>
      <c r="L211">
        <v>376</v>
      </c>
      <c r="M211">
        <v>593.41</v>
      </c>
      <c r="N211">
        <v>5</v>
      </c>
      <c r="O211">
        <v>188.85</v>
      </c>
      <c r="P211">
        <f t="shared" si="12"/>
        <v>4.4751249702451798E-2</v>
      </c>
      <c r="Q211">
        <f t="shared" si="12"/>
        <v>1.578218085106383</v>
      </c>
      <c r="R211">
        <f t="shared" si="13"/>
        <v>118.68199999999999</v>
      </c>
      <c r="S211">
        <f t="shared" si="14"/>
        <v>0.31824539525791612</v>
      </c>
      <c r="T211">
        <f t="shared" si="15"/>
        <v>1.3297872340425532E-2</v>
      </c>
      <c r="U211" t="str">
        <f>YEAR('Campaign Data'!$A211)&amp;"-"&amp;TEXT(MONTH('Campaign Data'!$A211),"00")</f>
        <v>2026-01</v>
      </c>
    </row>
    <row r="212" spans="1:21" x14ac:dyDescent="0.25">
      <c r="A212">
        <v>46034</v>
      </c>
      <c r="B212" t="s">
        <v>175</v>
      </c>
      <c r="C212" t="s">
        <v>176</v>
      </c>
      <c r="D212" t="s">
        <v>65</v>
      </c>
      <c r="E212" t="s">
        <v>49</v>
      </c>
      <c r="F212" t="s">
        <v>75</v>
      </c>
      <c r="G212" t="s">
        <v>70</v>
      </c>
      <c r="H212" t="s">
        <v>27</v>
      </c>
      <c r="I212" t="s">
        <v>28</v>
      </c>
      <c r="J212" t="s">
        <v>87</v>
      </c>
      <c r="K212">
        <v>2631</v>
      </c>
      <c r="L212">
        <v>113</v>
      </c>
      <c r="M212">
        <v>224.61</v>
      </c>
      <c r="N212">
        <v>5</v>
      </c>
      <c r="O212">
        <v>298</v>
      </c>
      <c r="P212">
        <f t="shared" si="12"/>
        <v>4.2949448878753328E-2</v>
      </c>
      <c r="Q212">
        <f t="shared" si="12"/>
        <v>1.987699115044248</v>
      </c>
      <c r="R212">
        <f t="shared" si="13"/>
        <v>44.922000000000004</v>
      </c>
      <c r="S212">
        <f t="shared" si="14"/>
        <v>1.3267441342771915</v>
      </c>
      <c r="T212">
        <f t="shared" si="15"/>
        <v>4.4247787610619468E-2</v>
      </c>
      <c r="U212" t="str">
        <f>YEAR('Campaign Data'!$A212)&amp;"-"&amp;TEXT(MONTH('Campaign Data'!$A212),"00")</f>
        <v>2026-01</v>
      </c>
    </row>
    <row r="213" spans="1:21" x14ac:dyDescent="0.25">
      <c r="A213">
        <v>46034</v>
      </c>
      <c r="B213" t="s">
        <v>186</v>
      </c>
      <c r="C213" t="s">
        <v>187</v>
      </c>
      <c r="D213" t="s">
        <v>80</v>
      </c>
      <c r="E213" t="s">
        <v>33</v>
      </c>
      <c r="F213" t="s">
        <v>43</v>
      </c>
      <c r="G213" t="s">
        <v>102</v>
      </c>
      <c r="H213" t="s">
        <v>90</v>
      </c>
      <c r="I213" t="s">
        <v>28</v>
      </c>
      <c r="J213" t="s">
        <v>62</v>
      </c>
      <c r="K213">
        <v>1281</v>
      </c>
      <c r="L213">
        <v>10</v>
      </c>
      <c r="M213">
        <v>1.31</v>
      </c>
      <c r="N213">
        <v>0</v>
      </c>
      <c r="O213">
        <v>0</v>
      </c>
      <c r="P213">
        <f t="shared" si="12"/>
        <v>7.8064012490241998E-3</v>
      </c>
      <c r="Q213">
        <f t="shared" si="12"/>
        <v>0.13100000000000001</v>
      </c>
      <c r="R213">
        <f t="shared" si="13"/>
        <v>0</v>
      </c>
      <c r="S213">
        <f t="shared" si="14"/>
        <v>0</v>
      </c>
      <c r="T213">
        <f t="shared" si="15"/>
        <v>0</v>
      </c>
      <c r="U213" t="str">
        <f>YEAR('Campaign Data'!$A213)&amp;"-"&amp;TEXT(MONTH('Campaign Data'!$A213),"00")</f>
        <v>2026-01</v>
      </c>
    </row>
    <row r="214" spans="1:21" x14ac:dyDescent="0.25">
      <c r="A214">
        <v>46034</v>
      </c>
      <c r="B214" t="s">
        <v>30</v>
      </c>
      <c r="C214" t="s">
        <v>31</v>
      </c>
      <c r="D214" t="s">
        <v>32</v>
      </c>
      <c r="E214" t="s">
        <v>33</v>
      </c>
      <c r="F214" t="s">
        <v>34</v>
      </c>
      <c r="G214" t="s">
        <v>35</v>
      </c>
      <c r="H214" t="s">
        <v>90</v>
      </c>
      <c r="I214" t="s">
        <v>28</v>
      </c>
      <c r="J214" t="s">
        <v>62</v>
      </c>
      <c r="K214">
        <v>6815</v>
      </c>
      <c r="L214">
        <v>85</v>
      </c>
      <c r="M214">
        <v>13.15</v>
      </c>
      <c r="N214">
        <v>1</v>
      </c>
      <c r="O214">
        <v>41.8</v>
      </c>
      <c r="P214">
        <f t="shared" si="12"/>
        <v>1.2472487160674981E-2</v>
      </c>
      <c r="Q214">
        <f t="shared" si="12"/>
        <v>0.15470588235294119</v>
      </c>
      <c r="R214">
        <f t="shared" si="13"/>
        <v>13.15</v>
      </c>
      <c r="S214">
        <f t="shared" si="14"/>
        <v>3.1787072243346004</v>
      </c>
      <c r="T214">
        <f t="shared" si="15"/>
        <v>1.1764705882352941E-2</v>
      </c>
      <c r="U214" t="str">
        <f>YEAR('Campaign Data'!$A214)&amp;"-"&amp;TEXT(MONTH('Campaign Data'!$A214),"00")</f>
        <v>2026-01</v>
      </c>
    </row>
    <row r="215" spans="1:21" x14ac:dyDescent="0.25">
      <c r="A215">
        <v>46034</v>
      </c>
      <c r="B215" t="s">
        <v>39</v>
      </c>
      <c r="C215" t="s">
        <v>40</v>
      </c>
      <c r="D215" t="s">
        <v>41</v>
      </c>
      <c r="E215" t="s">
        <v>42</v>
      </c>
      <c r="F215" t="s">
        <v>43</v>
      </c>
      <c r="G215" t="s">
        <v>44</v>
      </c>
      <c r="H215" t="s">
        <v>90</v>
      </c>
      <c r="I215" t="s">
        <v>28</v>
      </c>
      <c r="J215" t="s">
        <v>29</v>
      </c>
      <c r="K215">
        <v>3155</v>
      </c>
      <c r="L215">
        <v>24</v>
      </c>
      <c r="M215">
        <v>46.81</v>
      </c>
      <c r="N215">
        <v>1</v>
      </c>
      <c r="O215">
        <v>8.9700000000000006</v>
      </c>
      <c r="P215">
        <f t="shared" si="12"/>
        <v>7.6069730586370843E-3</v>
      </c>
      <c r="Q215">
        <f t="shared" si="12"/>
        <v>1.9504166666666667</v>
      </c>
      <c r="R215">
        <f t="shared" si="13"/>
        <v>46.81</v>
      </c>
      <c r="S215">
        <f t="shared" si="14"/>
        <v>0.19162572099978636</v>
      </c>
      <c r="T215">
        <f t="shared" si="15"/>
        <v>4.1666666666666664E-2</v>
      </c>
      <c r="U215" t="str">
        <f>YEAR('Campaign Data'!$A215)&amp;"-"&amp;TEXT(MONTH('Campaign Data'!$A215),"00")</f>
        <v>2026-01</v>
      </c>
    </row>
    <row r="216" spans="1:21" x14ac:dyDescent="0.25">
      <c r="A216">
        <v>46034</v>
      </c>
      <c r="B216" t="s">
        <v>100</v>
      </c>
      <c r="C216" t="s">
        <v>101</v>
      </c>
      <c r="D216" t="s">
        <v>80</v>
      </c>
      <c r="E216" t="s">
        <v>33</v>
      </c>
      <c r="F216" t="s">
        <v>25</v>
      </c>
      <c r="G216" t="s">
        <v>102</v>
      </c>
      <c r="H216" t="s">
        <v>27</v>
      </c>
      <c r="I216" t="s">
        <v>37</v>
      </c>
      <c r="J216" t="s">
        <v>38</v>
      </c>
      <c r="K216">
        <v>5387</v>
      </c>
      <c r="L216">
        <v>25</v>
      </c>
      <c r="M216">
        <v>18.88</v>
      </c>
      <c r="N216">
        <v>0</v>
      </c>
      <c r="O216">
        <v>0</v>
      </c>
      <c r="P216">
        <f t="shared" si="12"/>
        <v>4.6408019305736034E-3</v>
      </c>
      <c r="Q216">
        <f t="shared" si="12"/>
        <v>0.75519999999999998</v>
      </c>
      <c r="R216">
        <f t="shared" si="13"/>
        <v>0</v>
      </c>
      <c r="S216">
        <f t="shared" si="14"/>
        <v>0</v>
      </c>
      <c r="T216">
        <f t="shared" si="15"/>
        <v>0</v>
      </c>
      <c r="U216" t="str">
        <f>YEAR('Campaign Data'!$A216)&amp;"-"&amp;TEXT(MONTH('Campaign Data'!$A216),"00")</f>
        <v>2026-01</v>
      </c>
    </row>
    <row r="217" spans="1:21" x14ac:dyDescent="0.25">
      <c r="A217">
        <v>46034</v>
      </c>
      <c r="B217" t="s">
        <v>169</v>
      </c>
      <c r="C217" t="s">
        <v>170</v>
      </c>
      <c r="D217" t="s">
        <v>58</v>
      </c>
      <c r="E217" t="s">
        <v>74</v>
      </c>
      <c r="F217" t="s">
        <v>75</v>
      </c>
      <c r="G217" t="s">
        <v>9</v>
      </c>
      <c r="H217" t="s">
        <v>90</v>
      </c>
      <c r="I217" t="s">
        <v>37</v>
      </c>
      <c r="J217" t="s">
        <v>45</v>
      </c>
      <c r="K217">
        <v>3842</v>
      </c>
      <c r="L217">
        <v>121</v>
      </c>
      <c r="M217">
        <v>55.8</v>
      </c>
      <c r="N217">
        <v>4</v>
      </c>
      <c r="O217">
        <v>34.85</v>
      </c>
      <c r="P217">
        <f t="shared" si="12"/>
        <v>3.1494013534617386E-2</v>
      </c>
      <c r="Q217">
        <f t="shared" si="12"/>
        <v>0.46115702479338838</v>
      </c>
      <c r="R217">
        <f t="shared" si="13"/>
        <v>13.95</v>
      </c>
      <c r="S217">
        <f t="shared" si="14"/>
        <v>0.62455197132616491</v>
      </c>
      <c r="T217">
        <f t="shared" si="15"/>
        <v>3.3057851239669422E-2</v>
      </c>
      <c r="U217" t="str">
        <f>YEAR('Campaign Data'!$A217)&amp;"-"&amp;TEXT(MONTH('Campaign Data'!$A217),"00")</f>
        <v>2026-01</v>
      </c>
    </row>
    <row r="218" spans="1:21" x14ac:dyDescent="0.25">
      <c r="A218">
        <v>46034</v>
      </c>
      <c r="B218" t="s">
        <v>110</v>
      </c>
      <c r="C218" t="s">
        <v>111</v>
      </c>
      <c r="D218" t="s">
        <v>23</v>
      </c>
      <c r="E218" t="s">
        <v>49</v>
      </c>
      <c r="F218" t="s">
        <v>34</v>
      </c>
      <c r="G218" t="s">
        <v>50</v>
      </c>
      <c r="H218" t="s">
        <v>51</v>
      </c>
      <c r="I218" t="s">
        <v>61</v>
      </c>
      <c r="J218" t="s">
        <v>45</v>
      </c>
      <c r="K218">
        <v>2380</v>
      </c>
      <c r="L218">
        <v>113</v>
      </c>
      <c r="M218">
        <v>196.37</v>
      </c>
      <c r="N218">
        <v>5</v>
      </c>
      <c r="O218">
        <v>549.94000000000005</v>
      </c>
      <c r="P218">
        <f t="shared" si="12"/>
        <v>4.7478991596638653E-2</v>
      </c>
      <c r="Q218">
        <f t="shared" si="12"/>
        <v>1.737787610619469</v>
      </c>
      <c r="R218">
        <f t="shared" si="13"/>
        <v>39.274000000000001</v>
      </c>
      <c r="S218">
        <f t="shared" si="14"/>
        <v>2.8005296124662631</v>
      </c>
      <c r="T218">
        <f t="shared" si="15"/>
        <v>4.4247787610619468E-2</v>
      </c>
      <c r="U218" t="str">
        <f>YEAR('Campaign Data'!$A218)&amp;"-"&amp;TEXT(MONTH('Campaign Data'!$A218),"00")</f>
        <v>2026-01</v>
      </c>
    </row>
    <row r="219" spans="1:21" x14ac:dyDescent="0.25">
      <c r="A219">
        <v>46034</v>
      </c>
      <c r="B219" t="s">
        <v>110</v>
      </c>
      <c r="C219" t="s">
        <v>111</v>
      </c>
      <c r="D219" t="s">
        <v>23</v>
      </c>
      <c r="E219" t="s">
        <v>49</v>
      </c>
      <c r="F219" t="s">
        <v>34</v>
      </c>
      <c r="G219" t="s">
        <v>50</v>
      </c>
      <c r="H219" t="s">
        <v>36</v>
      </c>
      <c r="I219" t="s">
        <v>37</v>
      </c>
      <c r="J219" t="s">
        <v>62</v>
      </c>
      <c r="K219">
        <v>4734</v>
      </c>
      <c r="L219">
        <v>270</v>
      </c>
      <c r="M219">
        <v>399.96</v>
      </c>
      <c r="N219">
        <v>8</v>
      </c>
      <c r="O219">
        <v>817.53</v>
      </c>
      <c r="P219">
        <f t="shared" si="12"/>
        <v>5.7034220532319393E-2</v>
      </c>
      <c r="Q219">
        <f t="shared" si="12"/>
        <v>1.4813333333333332</v>
      </c>
      <c r="R219">
        <f t="shared" si="13"/>
        <v>49.994999999999997</v>
      </c>
      <c r="S219">
        <f t="shared" si="14"/>
        <v>2.0440294029402941</v>
      </c>
      <c r="T219">
        <f t="shared" si="15"/>
        <v>2.9629629629629631E-2</v>
      </c>
      <c r="U219" t="str">
        <f>YEAR('Campaign Data'!$A219)&amp;"-"&amp;TEXT(MONTH('Campaign Data'!$A219),"00")</f>
        <v>2026-01</v>
      </c>
    </row>
    <row r="220" spans="1:21" x14ac:dyDescent="0.25">
      <c r="A220">
        <v>46034</v>
      </c>
      <c r="B220" t="s">
        <v>134</v>
      </c>
      <c r="C220" t="s">
        <v>135</v>
      </c>
      <c r="D220" t="s">
        <v>32</v>
      </c>
      <c r="E220" t="s">
        <v>74</v>
      </c>
      <c r="F220" t="s">
        <v>25</v>
      </c>
      <c r="G220" t="s">
        <v>107</v>
      </c>
      <c r="H220" t="s">
        <v>90</v>
      </c>
      <c r="I220" t="s">
        <v>37</v>
      </c>
      <c r="J220" t="s">
        <v>62</v>
      </c>
      <c r="K220">
        <v>3676</v>
      </c>
      <c r="L220">
        <v>139</v>
      </c>
      <c r="M220">
        <v>57.87</v>
      </c>
      <c r="N220">
        <v>7</v>
      </c>
      <c r="O220">
        <v>322.76</v>
      </c>
      <c r="P220">
        <f t="shared" si="12"/>
        <v>3.7812840043525572E-2</v>
      </c>
      <c r="Q220">
        <f t="shared" si="12"/>
        <v>0.41633093525179854</v>
      </c>
      <c r="R220">
        <f t="shared" si="13"/>
        <v>8.267142857142856</v>
      </c>
      <c r="S220">
        <f t="shared" si="14"/>
        <v>5.5773284949023676</v>
      </c>
      <c r="T220">
        <f t="shared" si="15"/>
        <v>5.0359712230215826E-2</v>
      </c>
      <c r="U220" t="str">
        <f>YEAR('Campaign Data'!$A220)&amp;"-"&amp;TEXT(MONTH('Campaign Data'!$A220),"00")</f>
        <v>2026-01</v>
      </c>
    </row>
    <row r="221" spans="1:21" x14ac:dyDescent="0.25">
      <c r="A221">
        <v>46034</v>
      </c>
      <c r="B221" t="s">
        <v>159</v>
      </c>
      <c r="C221" t="s">
        <v>160</v>
      </c>
      <c r="D221" t="s">
        <v>65</v>
      </c>
      <c r="E221" t="s">
        <v>42</v>
      </c>
      <c r="F221" t="s">
        <v>75</v>
      </c>
      <c r="G221" t="s">
        <v>54</v>
      </c>
      <c r="H221" t="s">
        <v>27</v>
      </c>
      <c r="I221" t="s">
        <v>37</v>
      </c>
      <c r="J221" t="s">
        <v>45</v>
      </c>
      <c r="K221">
        <v>10766</v>
      </c>
      <c r="L221">
        <v>93</v>
      </c>
      <c r="M221">
        <v>609.28</v>
      </c>
      <c r="N221">
        <v>1</v>
      </c>
      <c r="O221">
        <v>41.17</v>
      </c>
      <c r="P221">
        <f t="shared" si="12"/>
        <v>8.6383057774475202E-3</v>
      </c>
      <c r="Q221">
        <f t="shared" si="12"/>
        <v>6.551397849462365</v>
      </c>
      <c r="R221">
        <f t="shared" si="13"/>
        <v>609.28</v>
      </c>
      <c r="S221">
        <f t="shared" si="14"/>
        <v>6.7571559873949583E-2</v>
      </c>
      <c r="T221">
        <f t="shared" si="15"/>
        <v>1.0752688172043012E-2</v>
      </c>
      <c r="U221" t="str">
        <f>YEAR('Campaign Data'!$A221)&amp;"-"&amp;TEXT(MONTH('Campaign Data'!$A221),"00")</f>
        <v>2026-01</v>
      </c>
    </row>
    <row r="222" spans="1:21" x14ac:dyDescent="0.25">
      <c r="A222">
        <v>46034</v>
      </c>
      <c r="B222" t="s">
        <v>161</v>
      </c>
      <c r="C222" t="s">
        <v>162</v>
      </c>
      <c r="D222" t="s">
        <v>48</v>
      </c>
      <c r="E222" t="s">
        <v>74</v>
      </c>
      <c r="F222" t="s">
        <v>34</v>
      </c>
      <c r="G222" t="s">
        <v>107</v>
      </c>
      <c r="H222" t="s">
        <v>60</v>
      </c>
      <c r="I222" t="s">
        <v>28</v>
      </c>
      <c r="J222" t="s">
        <v>29</v>
      </c>
      <c r="K222">
        <v>7658</v>
      </c>
      <c r="L222">
        <v>221</v>
      </c>
      <c r="M222">
        <v>317.11</v>
      </c>
      <c r="N222">
        <v>9</v>
      </c>
      <c r="O222">
        <v>1506.62</v>
      </c>
      <c r="P222">
        <f t="shared" si="12"/>
        <v>2.885870984591277E-2</v>
      </c>
      <c r="Q222">
        <f t="shared" si="12"/>
        <v>1.4348868778280544</v>
      </c>
      <c r="R222">
        <f t="shared" si="13"/>
        <v>35.234444444444449</v>
      </c>
      <c r="S222">
        <f t="shared" si="14"/>
        <v>4.751095834253098</v>
      </c>
      <c r="T222">
        <f t="shared" si="15"/>
        <v>4.072398190045249E-2</v>
      </c>
      <c r="U222" t="str">
        <f>YEAR('Campaign Data'!$A222)&amp;"-"&amp;TEXT(MONTH('Campaign Data'!$A222),"00")</f>
        <v>2026-01</v>
      </c>
    </row>
    <row r="223" spans="1:21" x14ac:dyDescent="0.25">
      <c r="A223">
        <v>46034</v>
      </c>
      <c r="B223" t="s">
        <v>56</v>
      </c>
      <c r="C223" t="s">
        <v>57</v>
      </c>
      <c r="D223" t="s">
        <v>58</v>
      </c>
      <c r="E223" t="s">
        <v>33</v>
      </c>
      <c r="F223" t="s">
        <v>43</v>
      </c>
      <c r="G223" t="s">
        <v>59</v>
      </c>
      <c r="H223" t="s">
        <v>55</v>
      </c>
      <c r="I223" t="s">
        <v>37</v>
      </c>
      <c r="J223" t="s">
        <v>45</v>
      </c>
      <c r="K223">
        <v>2048</v>
      </c>
      <c r="L223">
        <v>9</v>
      </c>
      <c r="M223">
        <v>4.95</v>
      </c>
      <c r="N223">
        <v>0</v>
      </c>
      <c r="O223">
        <v>0</v>
      </c>
      <c r="P223">
        <f t="shared" si="12"/>
        <v>4.39453125E-3</v>
      </c>
      <c r="Q223">
        <f t="shared" si="12"/>
        <v>0.55000000000000004</v>
      </c>
      <c r="R223">
        <f t="shared" si="13"/>
        <v>0</v>
      </c>
      <c r="S223">
        <f t="shared" si="14"/>
        <v>0</v>
      </c>
      <c r="T223">
        <f t="shared" si="15"/>
        <v>0</v>
      </c>
      <c r="U223" t="str">
        <f>YEAR('Campaign Data'!$A223)&amp;"-"&amp;TEXT(MONTH('Campaign Data'!$A223),"00")</f>
        <v>2026-01</v>
      </c>
    </row>
    <row r="224" spans="1:21" x14ac:dyDescent="0.25">
      <c r="A224">
        <v>46034</v>
      </c>
      <c r="B224" t="s">
        <v>122</v>
      </c>
      <c r="C224" t="s">
        <v>123</v>
      </c>
      <c r="D224" t="s">
        <v>41</v>
      </c>
      <c r="E224" t="s">
        <v>33</v>
      </c>
      <c r="F224" t="s">
        <v>75</v>
      </c>
      <c r="G224" t="s">
        <v>35</v>
      </c>
      <c r="H224" t="s">
        <v>36</v>
      </c>
      <c r="I224" t="s">
        <v>37</v>
      </c>
      <c r="J224" t="s">
        <v>87</v>
      </c>
      <c r="K224">
        <v>6936</v>
      </c>
      <c r="L224">
        <v>74</v>
      </c>
      <c r="M224">
        <v>48.83</v>
      </c>
      <c r="N224">
        <v>1</v>
      </c>
      <c r="O224">
        <v>46.87</v>
      </c>
      <c r="P224">
        <f t="shared" si="12"/>
        <v>1.0668973471741637E-2</v>
      </c>
      <c r="Q224">
        <f t="shared" si="12"/>
        <v>0.65986486486486484</v>
      </c>
      <c r="R224">
        <f t="shared" si="13"/>
        <v>48.83</v>
      </c>
      <c r="S224">
        <f t="shared" si="14"/>
        <v>0.95986074134753219</v>
      </c>
      <c r="T224">
        <f t="shared" si="15"/>
        <v>1.3513513513513514E-2</v>
      </c>
      <c r="U224" t="str">
        <f>YEAR('Campaign Data'!$A224)&amp;"-"&amp;TEXT(MONTH('Campaign Data'!$A224),"00")</f>
        <v>2026-01</v>
      </c>
    </row>
    <row r="225" spans="1:21" x14ac:dyDescent="0.25">
      <c r="A225">
        <v>46035</v>
      </c>
      <c r="B225" t="s">
        <v>167</v>
      </c>
      <c r="C225" t="s">
        <v>168</v>
      </c>
      <c r="D225" t="s">
        <v>58</v>
      </c>
      <c r="E225" t="s">
        <v>33</v>
      </c>
      <c r="F225" t="s">
        <v>75</v>
      </c>
      <c r="G225" t="s">
        <v>35</v>
      </c>
      <c r="H225" t="s">
        <v>90</v>
      </c>
      <c r="I225" t="s">
        <v>28</v>
      </c>
      <c r="J225" t="s">
        <v>62</v>
      </c>
      <c r="K225">
        <v>8297</v>
      </c>
      <c r="L225">
        <v>112</v>
      </c>
      <c r="M225">
        <v>22.99</v>
      </c>
      <c r="N225">
        <v>2</v>
      </c>
      <c r="O225">
        <v>17.579999999999998</v>
      </c>
      <c r="P225">
        <f t="shared" si="12"/>
        <v>1.3498855007834158E-2</v>
      </c>
      <c r="Q225">
        <f t="shared" si="12"/>
        <v>0.20526785714285714</v>
      </c>
      <c r="R225">
        <f t="shared" si="13"/>
        <v>11.494999999999999</v>
      </c>
      <c r="S225">
        <f t="shared" si="14"/>
        <v>0.76468029578077423</v>
      </c>
      <c r="T225">
        <f t="shared" si="15"/>
        <v>1.7857142857142856E-2</v>
      </c>
      <c r="U225" t="str">
        <f>YEAR('Campaign Data'!$A225)&amp;"-"&amp;TEXT(MONTH('Campaign Data'!$A225),"00")</f>
        <v>2026-01</v>
      </c>
    </row>
    <row r="226" spans="1:21" x14ac:dyDescent="0.25">
      <c r="A226">
        <v>46035</v>
      </c>
      <c r="B226" t="s">
        <v>91</v>
      </c>
      <c r="C226" t="s">
        <v>92</v>
      </c>
      <c r="D226" t="s">
        <v>41</v>
      </c>
      <c r="E226" t="s">
        <v>74</v>
      </c>
      <c r="F226" t="s">
        <v>75</v>
      </c>
      <c r="G226" t="s">
        <v>9</v>
      </c>
      <c r="H226" t="s">
        <v>90</v>
      </c>
      <c r="I226" t="s">
        <v>37</v>
      </c>
      <c r="J226" t="s">
        <v>62</v>
      </c>
      <c r="K226">
        <v>11549</v>
      </c>
      <c r="L226">
        <v>508</v>
      </c>
      <c r="M226">
        <v>187.94</v>
      </c>
      <c r="N226">
        <v>33</v>
      </c>
      <c r="O226">
        <v>354.71</v>
      </c>
      <c r="P226">
        <f t="shared" si="12"/>
        <v>4.3986492336998875E-2</v>
      </c>
      <c r="Q226">
        <f t="shared" si="12"/>
        <v>0.36996062992125983</v>
      </c>
      <c r="R226">
        <f t="shared" si="13"/>
        <v>5.6951515151515153</v>
      </c>
      <c r="S226">
        <f t="shared" si="14"/>
        <v>1.8873576673406405</v>
      </c>
      <c r="T226">
        <f t="shared" si="15"/>
        <v>6.4960629921259838E-2</v>
      </c>
      <c r="U226" t="str">
        <f>YEAR('Campaign Data'!$A226)&amp;"-"&amp;TEXT(MONTH('Campaign Data'!$A226),"00")</f>
        <v>2026-01</v>
      </c>
    </row>
    <row r="227" spans="1:21" x14ac:dyDescent="0.25">
      <c r="A227">
        <v>46035</v>
      </c>
      <c r="B227" t="s">
        <v>52</v>
      </c>
      <c r="C227" t="s">
        <v>53</v>
      </c>
      <c r="D227" t="s">
        <v>32</v>
      </c>
      <c r="E227" t="s">
        <v>42</v>
      </c>
      <c r="F227" t="s">
        <v>25</v>
      </c>
      <c r="G227" t="s">
        <v>54</v>
      </c>
      <c r="H227" t="s">
        <v>51</v>
      </c>
      <c r="I227" t="s">
        <v>28</v>
      </c>
      <c r="J227" t="s">
        <v>45</v>
      </c>
      <c r="K227">
        <v>22899</v>
      </c>
      <c r="L227">
        <v>70</v>
      </c>
      <c r="M227">
        <v>211.73</v>
      </c>
      <c r="N227">
        <v>2</v>
      </c>
      <c r="O227">
        <v>233.24</v>
      </c>
      <c r="P227">
        <f t="shared" si="12"/>
        <v>3.0569020481243723E-3</v>
      </c>
      <c r="Q227">
        <f t="shared" si="12"/>
        <v>3.0247142857142855</v>
      </c>
      <c r="R227">
        <f t="shared" si="13"/>
        <v>105.86499999999999</v>
      </c>
      <c r="S227">
        <f t="shared" si="14"/>
        <v>1.1015916497425968</v>
      </c>
      <c r="T227">
        <f t="shared" si="15"/>
        <v>2.8571428571428571E-2</v>
      </c>
      <c r="U227" t="str">
        <f>YEAR('Campaign Data'!$A227)&amp;"-"&amp;TEXT(MONTH('Campaign Data'!$A227),"00")</f>
        <v>2026-01</v>
      </c>
    </row>
    <row r="228" spans="1:21" x14ac:dyDescent="0.25">
      <c r="A228">
        <v>46035</v>
      </c>
      <c r="B228" t="s">
        <v>127</v>
      </c>
      <c r="C228" t="s">
        <v>128</v>
      </c>
      <c r="D228" t="s">
        <v>58</v>
      </c>
      <c r="E228" t="s">
        <v>24</v>
      </c>
      <c r="F228" t="s">
        <v>81</v>
      </c>
      <c r="G228" t="s">
        <v>129</v>
      </c>
      <c r="H228" t="s">
        <v>60</v>
      </c>
      <c r="I228" t="s">
        <v>28</v>
      </c>
      <c r="J228" t="s">
        <v>45</v>
      </c>
      <c r="K228">
        <v>2460</v>
      </c>
      <c r="L228">
        <v>19</v>
      </c>
      <c r="M228">
        <v>25.79</v>
      </c>
      <c r="N228">
        <v>0</v>
      </c>
      <c r="O228">
        <v>0</v>
      </c>
      <c r="P228">
        <f t="shared" si="12"/>
        <v>7.7235772357723579E-3</v>
      </c>
      <c r="Q228">
        <f t="shared" si="12"/>
        <v>1.3573684210526316</v>
      </c>
      <c r="R228">
        <f t="shared" si="13"/>
        <v>0</v>
      </c>
      <c r="S228">
        <f t="shared" si="14"/>
        <v>0</v>
      </c>
      <c r="T228">
        <f t="shared" si="15"/>
        <v>0</v>
      </c>
      <c r="U228" t="str">
        <f>YEAR('Campaign Data'!$A228)&amp;"-"&amp;TEXT(MONTH('Campaign Data'!$A228),"00")</f>
        <v>2026-01</v>
      </c>
    </row>
    <row r="229" spans="1:21" x14ac:dyDescent="0.25">
      <c r="A229">
        <v>46035</v>
      </c>
      <c r="B229" t="s">
        <v>105</v>
      </c>
      <c r="C229" t="s">
        <v>106</v>
      </c>
      <c r="D229" t="s">
        <v>58</v>
      </c>
      <c r="E229" t="s">
        <v>49</v>
      </c>
      <c r="F229" t="s">
        <v>81</v>
      </c>
      <c r="G229" t="s">
        <v>107</v>
      </c>
      <c r="H229" t="s">
        <v>27</v>
      </c>
      <c r="I229" t="s">
        <v>37</v>
      </c>
      <c r="J229" t="s">
        <v>87</v>
      </c>
      <c r="K229">
        <v>5552</v>
      </c>
      <c r="L229">
        <v>214</v>
      </c>
      <c r="M229">
        <v>458.2</v>
      </c>
      <c r="N229">
        <v>16</v>
      </c>
      <c r="O229">
        <v>459.12</v>
      </c>
      <c r="P229">
        <f t="shared" si="12"/>
        <v>3.8544668587896257E-2</v>
      </c>
      <c r="Q229">
        <f t="shared" si="12"/>
        <v>2.1411214953271029</v>
      </c>
      <c r="R229">
        <f t="shared" si="13"/>
        <v>28.637499999999999</v>
      </c>
      <c r="S229">
        <f t="shared" si="14"/>
        <v>1.0020078568310782</v>
      </c>
      <c r="T229">
        <f t="shared" si="15"/>
        <v>7.476635514018691E-2</v>
      </c>
      <c r="U229" t="str">
        <f>YEAR('Campaign Data'!$A229)&amp;"-"&amp;TEXT(MONTH('Campaign Data'!$A229),"00")</f>
        <v>2026-01</v>
      </c>
    </row>
    <row r="230" spans="1:21" x14ac:dyDescent="0.25">
      <c r="A230">
        <v>46035</v>
      </c>
      <c r="B230" t="s">
        <v>105</v>
      </c>
      <c r="C230" t="s">
        <v>106</v>
      </c>
      <c r="D230" t="s">
        <v>58</v>
      </c>
      <c r="E230" t="s">
        <v>49</v>
      </c>
      <c r="F230" t="s">
        <v>81</v>
      </c>
      <c r="G230" t="s">
        <v>107</v>
      </c>
      <c r="H230" t="s">
        <v>27</v>
      </c>
      <c r="I230" t="s">
        <v>37</v>
      </c>
      <c r="J230" t="s">
        <v>45</v>
      </c>
      <c r="K230">
        <v>25701</v>
      </c>
      <c r="L230">
        <v>908</v>
      </c>
      <c r="M230">
        <v>1567.31</v>
      </c>
      <c r="N230">
        <v>57</v>
      </c>
      <c r="O230">
        <v>285</v>
      </c>
      <c r="P230">
        <f t="shared" si="12"/>
        <v>3.5329364616162796E-2</v>
      </c>
      <c r="Q230">
        <f t="shared" si="12"/>
        <v>1.726112334801762</v>
      </c>
      <c r="R230">
        <f t="shared" si="13"/>
        <v>27.496666666666666</v>
      </c>
      <c r="S230">
        <f t="shared" si="14"/>
        <v>0.18184022305734029</v>
      </c>
      <c r="T230">
        <f t="shared" si="15"/>
        <v>6.2775330396475773E-2</v>
      </c>
      <c r="U230" t="str">
        <f>YEAR('Campaign Data'!$A230)&amp;"-"&amp;TEXT(MONTH('Campaign Data'!$A230),"00")</f>
        <v>2026-01</v>
      </c>
    </row>
    <row r="231" spans="1:21" x14ac:dyDescent="0.25">
      <c r="A231">
        <v>46035</v>
      </c>
      <c r="B231" t="s">
        <v>105</v>
      </c>
      <c r="C231" t="s">
        <v>106</v>
      </c>
      <c r="D231" t="s">
        <v>58</v>
      </c>
      <c r="E231" t="s">
        <v>49</v>
      </c>
      <c r="F231" t="s">
        <v>81</v>
      </c>
      <c r="G231" t="s">
        <v>107</v>
      </c>
      <c r="H231" t="s">
        <v>27</v>
      </c>
      <c r="I231" t="s">
        <v>28</v>
      </c>
      <c r="J231" t="s">
        <v>62</v>
      </c>
      <c r="K231">
        <v>2613</v>
      </c>
      <c r="L231">
        <v>206</v>
      </c>
      <c r="M231">
        <v>374.61</v>
      </c>
      <c r="N231">
        <v>13</v>
      </c>
      <c r="O231">
        <v>315.57</v>
      </c>
      <c r="P231">
        <f t="shared" si="12"/>
        <v>7.8836586299272871E-2</v>
      </c>
      <c r="Q231">
        <f t="shared" si="12"/>
        <v>1.8184951456310681</v>
      </c>
      <c r="R231">
        <f t="shared" si="13"/>
        <v>28.816153846153846</v>
      </c>
      <c r="S231">
        <f t="shared" si="14"/>
        <v>0.84239609193561293</v>
      </c>
      <c r="T231">
        <f t="shared" si="15"/>
        <v>6.3106796116504854E-2</v>
      </c>
      <c r="U231" t="str">
        <f>YEAR('Campaign Data'!$A231)&amp;"-"&amp;TEXT(MONTH('Campaign Data'!$A231),"00")</f>
        <v>2026-01</v>
      </c>
    </row>
    <row r="232" spans="1:21" x14ac:dyDescent="0.25">
      <c r="A232">
        <v>46035</v>
      </c>
      <c r="B232" t="s">
        <v>132</v>
      </c>
      <c r="C232" t="s">
        <v>133</v>
      </c>
      <c r="D232" t="s">
        <v>23</v>
      </c>
      <c r="E232" t="s">
        <v>42</v>
      </c>
      <c r="F232" t="s">
        <v>75</v>
      </c>
      <c r="G232" t="s">
        <v>84</v>
      </c>
      <c r="H232" t="s">
        <v>51</v>
      </c>
      <c r="I232" t="s">
        <v>37</v>
      </c>
      <c r="J232" t="s">
        <v>87</v>
      </c>
      <c r="K232">
        <v>7355</v>
      </c>
      <c r="L232">
        <v>52</v>
      </c>
      <c r="M232">
        <v>355.99</v>
      </c>
      <c r="N232">
        <v>0</v>
      </c>
      <c r="O232">
        <v>0</v>
      </c>
      <c r="P232">
        <f t="shared" si="12"/>
        <v>7.070020394289599E-3</v>
      </c>
      <c r="Q232">
        <f t="shared" si="12"/>
        <v>6.8459615384615384</v>
      </c>
      <c r="R232">
        <f t="shared" si="13"/>
        <v>0</v>
      </c>
      <c r="S232">
        <f t="shared" si="14"/>
        <v>0</v>
      </c>
      <c r="T232">
        <f t="shared" si="15"/>
        <v>0</v>
      </c>
      <c r="U232" t="str">
        <f>YEAR('Campaign Data'!$A232)&amp;"-"&amp;TEXT(MONTH('Campaign Data'!$A232),"00")</f>
        <v>2026-01</v>
      </c>
    </row>
    <row r="233" spans="1:21" x14ac:dyDescent="0.25">
      <c r="A233">
        <v>46035</v>
      </c>
      <c r="B233" t="s">
        <v>153</v>
      </c>
      <c r="C233" t="s">
        <v>154</v>
      </c>
      <c r="D233" t="s">
        <v>48</v>
      </c>
      <c r="E233" t="s">
        <v>33</v>
      </c>
      <c r="F233" t="s">
        <v>43</v>
      </c>
      <c r="G233" t="s">
        <v>59</v>
      </c>
      <c r="H233" t="s">
        <v>27</v>
      </c>
      <c r="I233" t="s">
        <v>28</v>
      </c>
      <c r="J233" t="s">
        <v>62</v>
      </c>
      <c r="K233">
        <v>33059</v>
      </c>
      <c r="L233">
        <v>366</v>
      </c>
      <c r="M233">
        <v>214.23</v>
      </c>
      <c r="N233">
        <v>5</v>
      </c>
      <c r="O233">
        <v>261.04000000000002</v>
      </c>
      <c r="P233">
        <f t="shared" si="12"/>
        <v>1.1071115278744064E-2</v>
      </c>
      <c r="Q233">
        <f t="shared" si="12"/>
        <v>0.58532786885245902</v>
      </c>
      <c r="R233">
        <f t="shared" si="13"/>
        <v>42.845999999999997</v>
      </c>
      <c r="S233">
        <f t="shared" si="14"/>
        <v>1.2185034775708352</v>
      </c>
      <c r="T233">
        <f t="shared" si="15"/>
        <v>1.3661202185792349E-2</v>
      </c>
      <c r="U233" t="str">
        <f>YEAR('Campaign Data'!$A233)&amp;"-"&amp;TEXT(MONTH('Campaign Data'!$A233),"00")</f>
        <v>2026-01</v>
      </c>
    </row>
    <row r="234" spans="1:21" x14ac:dyDescent="0.25">
      <c r="A234">
        <v>46035</v>
      </c>
      <c r="B234" t="s">
        <v>110</v>
      </c>
      <c r="C234" t="s">
        <v>111</v>
      </c>
      <c r="D234" t="s">
        <v>23</v>
      </c>
      <c r="E234" t="s">
        <v>49</v>
      </c>
      <c r="F234" t="s">
        <v>34</v>
      </c>
      <c r="G234" t="s">
        <v>50</v>
      </c>
      <c r="H234" t="s">
        <v>90</v>
      </c>
      <c r="I234" t="s">
        <v>28</v>
      </c>
      <c r="J234" t="s">
        <v>87</v>
      </c>
      <c r="K234">
        <v>1084</v>
      </c>
      <c r="L234">
        <v>20</v>
      </c>
      <c r="M234">
        <v>8.8000000000000007</v>
      </c>
      <c r="N234">
        <v>0</v>
      </c>
      <c r="O234">
        <v>0</v>
      </c>
      <c r="P234">
        <f t="shared" si="12"/>
        <v>1.8450184501845018E-2</v>
      </c>
      <c r="Q234">
        <f t="shared" si="12"/>
        <v>0.44000000000000006</v>
      </c>
      <c r="R234">
        <f t="shared" si="13"/>
        <v>0</v>
      </c>
      <c r="S234">
        <f t="shared" si="14"/>
        <v>0</v>
      </c>
      <c r="T234">
        <f t="shared" si="15"/>
        <v>0</v>
      </c>
      <c r="U234" t="str">
        <f>YEAR('Campaign Data'!$A234)&amp;"-"&amp;TEXT(MONTH('Campaign Data'!$A234),"00")</f>
        <v>2026-01</v>
      </c>
    </row>
    <row r="235" spans="1:21" x14ac:dyDescent="0.25">
      <c r="A235">
        <v>46035</v>
      </c>
      <c r="B235" t="s">
        <v>181</v>
      </c>
      <c r="C235" t="s">
        <v>182</v>
      </c>
      <c r="D235" t="s">
        <v>32</v>
      </c>
      <c r="E235" t="s">
        <v>33</v>
      </c>
      <c r="F235" t="s">
        <v>75</v>
      </c>
      <c r="G235" t="s">
        <v>59</v>
      </c>
      <c r="H235" t="s">
        <v>27</v>
      </c>
      <c r="I235" t="s">
        <v>37</v>
      </c>
      <c r="J235" t="s">
        <v>38</v>
      </c>
      <c r="K235">
        <v>4101</v>
      </c>
      <c r="L235">
        <v>21</v>
      </c>
      <c r="M235">
        <v>13.75</v>
      </c>
      <c r="N235">
        <v>0</v>
      </c>
      <c r="O235">
        <v>0</v>
      </c>
      <c r="P235">
        <f t="shared" si="12"/>
        <v>5.1207022677395757E-3</v>
      </c>
      <c r="Q235">
        <f t="shared" si="12"/>
        <v>0.65476190476190477</v>
      </c>
      <c r="R235">
        <f t="shared" si="13"/>
        <v>0</v>
      </c>
      <c r="S235">
        <f t="shared" si="14"/>
        <v>0</v>
      </c>
      <c r="T235">
        <f t="shared" si="15"/>
        <v>0</v>
      </c>
      <c r="U235" t="str">
        <f>YEAR('Campaign Data'!$A235)&amp;"-"&amp;TEXT(MONTH('Campaign Data'!$A235),"00")</f>
        <v>2026-01</v>
      </c>
    </row>
    <row r="236" spans="1:21" x14ac:dyDescent="0.25">
      <c r="A236">
        <v>46035</v>
      </c>
      <c r="B236" t="s">
        <v>56</v>
      </c>
      <c r="C236" t="s">
        <v>57</v>
      </c>
      <c r="D236" t="s">
        <v>58</v>
      </c>
      <c r="E236" t="s">
        <v>33</v>
      </c>
      <c r="F236" t="s">
        <v>43</v>
      </c>
      <c r="G236" t="s">
        <v>59</v>
      </c>
      <c r="H236" t="s">
        <v>51</v>
      </c>
      <c r="I236" t="s">
        <v>37</v>
      </c>
      <c r="J236" t="s">
        <v>45</v>
      </c>
      <c r="K236">
        <v>7195</v>
      </c>
      <c r="L236">
        <v>63</v>
      </c>
      <c r="M236">
        <v>42.33</v>
      </c>
      <c r="N236">
        <v>2</v>
      </c>
      <c r="O236">
        <v>59.86</v>
      </c>
      <c r="P236">
        <f t="shared" si="12"/>
        <v>8.7560806115357884E-3</v>
      </c>
      <c r="Q236">
        <f t="shared" si="12"/>
        <v>0.67190476190476189</v>
      </c>
      <c r="R236">
        <f t="shared" si="13"/>
        <v>21.164999999999999</v>
      </c>
      <c r="S236">
        <f t="shared" si="14"/>
        <v>1.4141270966217814</v>
      </c>
      <c r="T236">
        <f t="shared" si="15"/>
        <v>3.1746031746031744E-2</v>
      </c>
      <c r="U236" t="str">
        <f>YEAR('Campaign Data'!$A236)&amp;"-"&amp;TEXT(MONTH('Campaign Data'!$A236),"00")</f>
        <v>2026-01</v>
      </c>
    </row>
    <row r="237" spans="1:21" x14ac:dyDescent="0.25">
      <c r="A237">
        <v>46035</v>
      </c>
      <c r="B237" t="s">
        <v>183</v>
      </c>
      <c r="C237" t="s">
        <v>184</v>
      </c>
      <c r="D237" t="s">
        <v>23</v>
      </c>
      <c r="E237" t="s">
        <v>24</v>
      </c>
      <c r="F237" t="s">
        <v>81</v>
      </c>
      <c r="G237" t="s">
        <v>185</v>
      </c>
      <c r="H237" t="s">
        <v>51</v>
      </c>
      <c r="I237" t="s">
        <v>28</v>
      </c>
      <c r="J237" t="s">
        <v>62</v>
      </c>
      <c r="K237">
        <v>2381</v>
      </c>
      <c r="L237">
        <v>30</v>
      </c>
      <c r="M237">
        <v>21.53</v>
      </c>
      <c r="N237">
        <v>1</v>
      </c>
      <c r="O237">
        <v>28.76</v>
      </c>
      <c r="P237">
        <f t="shared" si="12"/>
        <v>1.25997480050399E-2</v>
      </c>
      <c r="Q237">
        <f t="shared" si="12"/>
        <v>0.71766666666666667</v>
      </c>
      <c r="R237">
        <f t="shared" si="13"/>
        <v>21.53</v>
      </c>
      <c r="S237">
        <f t="shared" si="14"/>
        <v>1.3358104969809568</v>
      </c>
      <c r="T237">
        <f t="shared" si="15"/>
        <v>3.3333333333333333E-2</v>
      </c>
      <c r="U237" t="str">
        <f>YEAR('Campaign Data'!$A237)&amp;"-"&amp;TEXT(MONTH('Campaign Data'!$A237),"00")</f>
        <v>2026-01</v>
      </c>
    </row>
    <row r="238" spans="1:21" x14ac:dyDescent="0.25">
      <c r="A238">
        <v>46036</v>
      </c>
      <c r="B238" t="s">
        <v>173</v>
      </c>
      <c r="C238" t="s">
        <v>174</v>
      </c>
      <c r="D238" t="s">
        <v>48</v>
      </c>
      <c r="E238" t="s">
        <v>74</v>
      </c>
      <c r="F238" t="s">
        <v>25</v>
      </c>
      <c r="G238" t="s">
        <v>9</v>
      </c>
      <c r="H238" t="s">
        <v>51</v>
      </c>
      <c r="I238" t="s">
        <v>28</v>
      </c>
      <c r="J238" t="s">
        <v>62</v>
      </c>
      <c r="K238">
        <v>2949</v>
      </c>
      <c r="L238">
        <v>61</v>
      </c>
      <c r="M238">
        <v>72.44</v>
      </c>
      <c r="N238">
        <v>2</v>
      </c>
      <c r="O238">
        <v>251.98</v>
      </c>
      <c r="P238">
        <f t="shared" si="12"/>
        <v>2.0684977958630044E-2</v>
      </c>
      <c r="Q238">
        <f t="shared" si="12"/>
        <v>1.1875409836065574</v>
      </c>
      <c r="R238">
        <f t="shared" si="13"/>
        <v>36.22</v>
      </c>
      <c r="S238">
        <f t="shared" si="14"/>
        <v>3.4784649364991718</v>
      </c>
      <c r="T238">
        <f t="shared" si="15"/>
        <v>3.2786885245901641E-2</v>
      </c>
      <c r="U238" t="str">
        <f>YEAR('Campaign Data'!$A238)&amp;"-"&amp;TEXT(MONTH('Campaign Data'!$A238),"00")</f>
        <v>2026-01</v>
      </c>
    </row>
    <row r="239" spans="1:21" x14ac:dyDescent="0.25">
      <c r="A239">
        <v>46036</v>
      </c>
      <c r="B239" t="s">
        <v>147</v>
      </c>
      <c r="C239" t="s">
        <v>148</v>
      </c>
      <c r="D239" t="s">
        <v>23</v>
      </c>
      <c r="E239" t="s">
        <v>42</v>
      </c>
      <c r="F239" t="s">
        <v>75</v>
      </c>
      <c r="G239" t="s">
        <v>44</v>
      </c>
      <c r="H239" t="s">
        <v>36</v>
      </c>
      <c r="I239" t="s">
        <v>28</v>
      </c>
      <c r="J239" t="s">
        <v>45</v>
      </c>
      <c r="K239">
        <v>5176</v>
      </c>
      <c r="L239">
        <v>20</v>
      </c>
      <c r="M239">
        <v>112.47</v>
      </c>
      <c r="N239">
        <v>1</v>
      </c>
      <c r="O239">
        <v>37.909999999999997</v>
      </c>
      <c r="P239">
        <f t="shared" si="12"/>
        <v>3.8639876352395673E-3</v>
      </c>
      <c r="Q239">
        <f t="shared" si="12"/>
        <v>5.6234999999999999</v>
      </c>
      <c r="R239">
        <f t="shared" si="13"/>
        <v>112.47</v>
      </c>
      <c r="S239">
        <f t="shared" si="14"/>
        <v>0.33706766248777448</v>
      </c>
      <c r="T239">
        <f t="shared" si="15"/>
        <v>0.05</v>
      </c>
      <c r="U239" t="str">
        <f>YEAR('Campaign Data'!$A239)&amp;"-"&amp;TEXT(MONTH('Campaign Data'!$A239),"00")</f>
        <v>2026-01</v>
      </c>
    </row>
    <row r="240" spans="1:21" x14ac:dyDescent="0.25">
      <c r="A240">
        <v>46036</v>
      </c>
      <c r="B240" t="s">
        <v>125</v>
      </c>
      <c r="C240" t="s">
        <v>126</v>
      </c>
      <c r="D240" t="s">
        <v>41</v>
      </c>
      <c r="E240" t="s">
        <v>42</v>
      </c>
      <c r="F240" t="s">
        <v>81</v>
      </c>
      <c r="G240" t="s">
        <v>44</v>
      </c>
      <c r="H240" t="s">
        <v>71</v>
      </c>
      <c r="I240" t="s">
        <v>37</v>
      </c>
      <c r="J240" t="s">
        <v>62</v>
      </c>
      <c r="K240">
        <v>9835</v>
      </c>
      <c r="L240">
        <v>43</v>
      </c>
      <c r="M240">
        <v>202.96</v>
      </c>
      <c r="N240">
        <v>3</v>
      </c>
      <c r="O240">
        <v>89.95</v>
      </c>
      <c r="P240">
        <f t="shared" si="12"/>
        <v>4.3721403152008134E-3</v>
      </c>
      <c r="Q240">
        <f t="shared" si="12"/>
        <v>4.72</v>
      </c>
      <c r="R240">
        <f t="shared" si="13"/>
        <v>67.653333333333336</v>
      </c>
      <c r="S240">
        <f t="shared" si="14"/>
        <v>0.44319077650768623</v>
      </c>
      <c r="T240">
        <f t="shared" si="15"/>
        <v>6.9767441860465115E-2</v>
      </c>
      <c r="U240" t="str">
        <f>YEAR('Campaign Data'!$A240)&amp;"-"&amp;TEXT(MONTH('Campaign Data'!$A240),"00")</f>
        <v>2026-01</v>
      </c>
    </row>
    <row r="241" spans="1:21" x14ac:dyDescent="0.25">
      <c r="A241">
        <v>46036</v>
      </c>
      <c r="B241" t="s">
        <v>138</v>
      </c>
      <c r="C241" t="s">
        <v>139</v>
      </c>
      <c r="D241" t="s">
        <v>58</v>
      </c>
      <c r="E241" t="s">
        <v>74</v>
      </c>
      <c r="F241" t="s">
        <v>34</v>
      </c>
      <c r="G241" t="s">
        <v>9</v>
      </c>
      <c r="H241" t="s">
        <v>27</v>
      </c>
      <c r="I241" t="s">
        <v>28</v>
      </c>
      <c r="J241" t="s">
        <v>38</v>
      </c>
      <c r="K241">
        <v>5397</v>
      </c>
      <c r="L241">
        <v>135</v>
      </c>
      <c r="M241">
        <v>246.59</v>
      </c>
      <c r="N241">
        <v>1</v>
      </c>
      <c r="O241">
        <v>191.09</v>
      </c>
      <c r="P241">
        <f t="shared" si="12"/>
        <v>2.501389660922735E-2</v>
      </c>
      <c r="Q241">
        <f t="shared" si="12"/>
        <v>1.8265925925925925</v>
      </c>
      <c r="R241">
        <f t="shared" si="13"/>
        <v>246.59</v>
      </c>
      <c r="S241">
        <f t="shared" si="14"/>
        <v>0.77493004582505376</v>
      </c>
      <c r="T241">
        <f t="shared" si="15"/>
        <v>7.4074074074074077E-3</v>
      </c>
      <c r="U241" t="str">
        <f>YEAR('Campaign Data'!$A241)&amp;"-"&amp;TEXT(MONTH('Campaign Data'!$A241),"00")</f>
        <v>2026-01</v>
      </c>
    </row>
    <row r="242" spans="1:21" x14ac:dyDescent="0.25">
      <c r="A242">
        <v>46036</v>
      </c>
      <c r="B242" t="s">
        <v>149</v>
      </c>
      <c r="C242" t="s">
        <v>150</v>
      </c>
      <c r="D242" t="s">
        <v>65</v>
      </c>
      <c r="E242" t="s">
        <v>33</v>
      </c>
      <c r="F242" t="s">
        <v>43</v>
      </c>
      <c r="G242" t="s">
        <v>59</v>
      </c>
      <c r="H242" t="s">
        <v>60</v>
      </c>
      <c r="I242" t="s">
        <v>61</v>
      </c>
      <c r="J242" t="s">
        <v>38</v>
      </c>
      <c r="K242">
        <v>6605</v>
      </c>
      <c r="L242">
        <v>42</v>
      </c>
      <c r="M242">
        <v>21.78</v>
      </c>
      <c r="N242">
        <v>0</v>
      </c>
      <c r="O242">
        <v>0</v>
      </c>
      <c r="P242">
        <f t="shared" si="12"/>
        <v>6.3588190764572294E-3</v>
      </c>
      <c r="Q242">
        <f t="shared" si="12"/>
        <v>0.51857142857142857</v>
      </c>
      <c r="R242">
        <f t="shared" si="13"/>
        <v>0</v>
      </c>
      <c r="S242">
        <f t="shared" si="14"/>
        <v>0</v>
      </c>
      <c r="T242">
        <f t="shared" si="15"/>
        <v>0</v>
      </c>
      <c r="U242" t="str">
        <f>YEAR('Campaign Data'!$A242)&amp;"-"&amp;TEXT(MONTH('Campaign Data'!$A242),"00")</f>
        <v>2026-01</v>
      </c>
    </row>
    <row r="243" spans="1:21" x14ac:dyDescent="0.25">
      <c r="A243">
        <v>46036</v>
      </c>
      <c r="B243" t="s">
        <v>46</v>
      </c>
      <c r="C243" t="s">
        <v>47</v>
      </c>
      <c r="D243" t="s">
        <v>48</v>
      </c>
      <c r="E243" t="s">
        <v>49</v>
      </c>
      <c r="F243" t="s">
        <v>43</v>
      </c>
      <c r="G243" t="s">
        <v>50</v>
      </c>
      <c r="H243" t="s">
        <v>27</v>
      </c>
      <c r="I243" t="s">
        <v>28</v>
      </c>
      <c r="J243" t="s">
        <v>38</v>
      </c>
      <c r="K243">
        <v>4046</v>
      </c>
      <c r="L243">
        <v>100</v>
      </c>
      <c r="M243">
        <v>184.85</v>
      </c>
      <c r="N243">
        <v>6</v>
      </c>
      <c r="O243">
        <v>167.47</v>
      </c>
      <c r="P243">
        <f t="shared" si="12"/>
        <v>2.4715768660405337E-2</v>
      </c>
      <c r="Q243">
        <f t="shared" si="12"/>
        <v>1.8485</v>
      </c>
      <c r="R243">
        <f t="shared" si="13"/>
        <v>30.808333333333334</v>
      </c>
      <c r="S243">
        <f t="shared" si="14"/>
        <v>0.90597781985393566</v>
      </c>
      <c r="T243">
        <f t="shared" si="15"/>
        <v>0.06</v>
      </c>
      <c r="U243" t="str">
        <f>YEAR('Campaign Data'!$A243)&amp;"-"&amp;TEXT(MONTH('Campaign Data'!$A243),"00")</f>
        <v>2026-01</v>
      </c>
    </row>
    <row r="244" spans="1:21" x14ac:dyDescent="0.25">
      <c r="A244">
        <v>46036</v>
      </c>
      <c r="B244" t="s">
        <v>46</v>
      </c>
      <c r="C244" t="s">
        <v>47</v>
      </c>
      <c r="D244" t="s">
        <v>48</v>
      </c>
      <c r="E244" t="s">
        <v>49</v>
      </c>
      <c r="F244" t="s">
        <v>43</v>
      </c>
      <c r="G244" t="s">
        <v>50</v>
      </c>
      <c r="H244" t="s">
        <v>36</v>
      </c>
      <c r="I244" t="s">
        <v>28</v>
      </c>
      <c r="J244" t="s">
        <v>38</v>
      </c>
      <c r="K244">
        <v>9125</v>
      </c>
      <c r="L244">
        <v>483</v>
      </c>
      <c r="M244">
        <v>947.65</v>
      </c>
      <c r="N244">
        <v>29</v>
      </c>
      <c r="O244">
        <v>978.42</v>
      </c>
      <c r="P244">
        <f t="shared" si="12"/>
        <v>5.2931506849315066E-2</v>
      </c>
      <c r="Q244">
        <f t="shared" si="12"/>
        <v>1.9620082815734989</v>
      </c>
      <c r="R244">
        <f t="shared" si="13"/>
        <v>32.677586206896549</v>
      </c>
      <c r="S244">
        <f t="shared" si="14"/>
        <v>1.0324697937002059</v>
      </c>
      <c r="T244">
        <f t="shared" si="15"/>
        <v>6.0041407867494824E-2</v>
      </c>
      <c r="U244" t="str">
        <f>YEAR('Campaign Data'!$A244)&amp;"-"&amp;TEXT(MONTH('Campaign Data'!$A244),"00")</f>
        <v>2026-01</v>
      </c>
    </row>
    <row r="245" spans="1:21" x14ac:dyDescent="0.25">
      <c r="A245">
        <v>46036</v>
      </c>
      <c r="B245" t="s">
        <v>52</v>
      </c>
      <c r="C245" t="s">
        <v>53</v>
      </c>
      <c r="D245" t="s">
        <v>32</v>
      </c>
      <c r="E245" t="s">
        <v>42</v>
      </c>
      <c r="F245" t="s">
        <v>25</v>
      </c>
      <c r="G245" t="s">
        <v>54</v>
      </c>
      <c r="H245" t="s">
        <v>27</v>
      </c>
      <c r="I245" t="s">
        <v>28</v>
      </c>
      <c r="J245" t="s">
        <v>38</v>
      </c>
      <c r="K245">
        <v>16865</v>
      </c>
      <c r="L245">
        <v>102</v>
      </c>
      <c r="M245">
        <v>801.78</v>
      </c>
      <c r="N245">
        <v>2</v>
      </c>
      <c r="O245">
        <v>533.39</v>
      </c>
      <c r="P245">
        <f t="shared" si="12"/>
        <v>6.0480284613104061E-3</v>
      </c>
      <c r="Q245">
        <f t="shared" si="12"/>
        <v>7.8605882352941174</v>
      </c>
      <c r="R245">
        <f t="shared" si="13"/>
        <v>400.89</v>
      </c>
      <c r="S245">
        <f t="shared" si="14"/>
        <v>0.66525730250193316</v>
      </c>
      <c r="T245">
        <f t="shared" si="15"/>
        <v>1.9607843137254902E-2</v>
      </c>
      <c r="U245" t="str">
        <f>YEAR('Campaign Data'!$A245)&amp;"-"&amp;TEXT(MONTH('Campaign Data'!$A245),"00")</f>
        <v>2026-01</v>
      </c>
    </row>
    <row r="246" spans="1:21" x14ac:dyDescent="0.25">
      <c r="A246">
        <v>46036</v>
      </c>
      <c r="B246" t="s">
        <v>132</v>
      </c>
      <c r="C246" t="s">
        <v>133</v>
      </c>
      <c r="D246" t="s">
        <v>23</v>
      </c>
      <c r="E246" t="s">
        <v>42</v>
      </c>
      <c r="F246" t="s">
        <v>75</v>
      </c>
      <c r="G246" t="s">
        <v>84</v>
      </c>
      <c r="H246" t="s">
        <v>36</v>
      </c>
      <c r="I246" t="s">
        <v>37</v>
      </c>
      <c r="J246" t="s">
        <v>62</v>
      </c>
      <c r="K246">
        <v>9832</v>
      </c>
      <c r="L246">
        <v>93</v>
      </c>
      <c r="M246">
        <v>587.30999999999995</v>
      </c>
      <c r="N246">
        <v>3</v>
      </c>
      <c r="O246">
        <v>73.53</v>
      </c>
      <c r="P246">
        <f t="shared" si="12"/>
        <v>9.4589096826688361E-3</v>
      </c>
      <c r="Q246">
        <f t="shared" si="12"/>
        <v>6.31516129032258</v>
      </c>
      <c r="R246">
        <f t="shared" si="13"/>
        <v>195.76999999999998</v>
      </c>
      <c r="S246">
        <f t="shared" si="14"/>
        <v>0.12519793635388468</v>
      </c>
      <c r="T246">
        <f t="shared" si="15"/>
        <v>3.2258064516129031E-2</v>
      </c>
      <c r="U246" t="str">
        <f>YEAR('Campaign Data'!$A246)&amp;"-"&amp;TEXT(MONTH('Campaign Data'!$A246),"00")</f>
        <v>2026-01</v>
      </c>
    </row>
    <row r="247" spans="1:21" x14ac:dyDescent="0.25">
      <c r="A247">
        <v>46036</v>
      </c>
      <c r="B247" t="s">
        <v>153</v>
      </c>
      <c r="C247" t="s">
        <v>154</v>
      </c>
      <c r="D247" t="s">
        <v>48</v>
      </c>
      <c r="E247" t="s">
        <v>33</v>
      </c>
      <c r="F247" t="s">
        <v>43</v>
      </c>
      <c r="G247" t="s">
        <v>59</v>
      </c>
      <c r="H247" t="s">
        <v>36</v>
      </c>
      <c r="I247" t="s">
        <v>37</v>
      </c>
      <c r="J247" t="s">
        <v>45</v>
      </c>
      <c r="K247">
        <v>13153</v>
      </c>
      <c r="L247">
        <v>147</v>
      </c>
      <c r="M247">
        <v>78.09</v>
      </c>
      <c r="N247">
        <v>2</v>
      </c>
      <c r="O247">
        <v>23.25</v>
      </c>
      <c r="P247">
        <f t="shared" si="12"/>
        <v>1.1176157530601383E-2</v>
      </c>
      <c r="Q247">
        <f t="shared" si="12"/>
        <v>0.53122448979591841</v>
      </c>
      <c r="R247">
        <f t="shared" si="13"/>
        <v>39.045000000000002</v>
      </c>
      <c r="S247">
        <f t="shared" si="14"/>
        <v>0.29773338455628118</v>
      </c>
      <c r="T247">
        <f t="shared" si="15"/>
        <v>1.3605442176870748E-2</v>
      </c>
      <c r="U247" t="str">
        <f>YEAR('Campaign Data'!$A247)&amp;"-"&amp;TEXT(MONTH('Campaign Data'!$A247),"00")</f>
        <v>2026-01</v>
      </c>
    </row>
    <row r="248" spans="1:21" x14ac:dyDescent="0.25">
      <c r="A248">
        <v>46036</v>
      </c>
      <c r="B248" t="s">
        <v>140</v>
      </c>
      <c r="C248" t="s">
        <v>40</v>
      </c>
      <c r="D248" t="s">
        <v>41</v>
      </c>
      <c r="E248" t="s">
        <v>42</v>
      </c>
      <c r="F248" t="s">
        <v>43</v>
      </c>
      <c r="G248" t="s">
        <v>44</v>
      </c>
      <c r="H248" t="s">
        <v>27</v>
      </c>
      <c r="I248" t="s">
        <v>28</v>
      </c>
      <c r="J248" t="s">
        <v>87</v>
      </c>
      <c r="K248">
        <v>1649</v>
      </c>
      <c r="L248">
        <v>9</v>
      </c>
      <c r="M248">
        <v>70.790000000000006</v>
      </c>
      <c r="N248">
        <v>0</v>
      </c>
      <c r="O248">
        <v>0</v>
      </c>
      <c r="P248">
        <f t="shared" si="12"/>
        <v>5.4578532443905394E-3</v>
      </c>
      <c r="Q248">
        <f t="shared" si="12"/>
        <v>7.8655555555555559</v>
      </c>
      <c r="R248">
        <f t="shared" si="13"/>
        <v>0</v>
      </c>
      <c r="S248">
        <f t="shared" si="14"/>
        <v>0</v>
      </c>
      <c r="T248">
        <f t="shared" si="15"/>
        <v>0</v>
      </c>
      <c r="U248" t="str">
        <f>YEAR('Campaign Data'!$A248)&amp;"-"&amp;TEXT(MONTH('Campaign Data'!$A248),"00")</f>
        <v>2026-01</v>
      </c>
    </row>
    <row r="249" spans="1:21" x14ac:dyDescent="0.25">
      <c r="A249">
        <v>46036</v>
      </c>
      <c r="B249" t="s">
        <v>155</v>
      </c>
      <c r="C249" t="s">
        <v>156</v>
      </c>
      <c r="D249" t="s">
        <v>32</v>
      </c>
      <c r="E249" t="s">
        <v>24</v>
      </c>
      <c r="F249" t="s">
        <v>34</v>
      </c>
      <c r="G249" t="s">
        <v>129</v>
      </c>
      <c r="H249" t="s">
        <v>71</v>
      </c>
      <c r="I249" t="s">
        <v>37</v>
      </c>
      <c r="J249" t="s">
        <v>45</v>
      </c>
      <c r="K249">
        <v>24173</v>
      </c>
      <c r="L249">
        <v>229</v>
      </c>
      <c r="M249">
        <v>220.73</v>
      </c>
      <c r="N249">
        <v>10</v>
      </c>
      <c r="O249">
        <v>1481.08</v>
      </c>
      <c r="P249">
        <f t="shared" si="12"/>
        <v>9.4733793902287682E-3</v>
      </c>
      <c r="Q249">
        <f t="shared" si="12"/>
        <v>0.96388646288209601</v>
      </c>
      <c r="R249">
        <f t="shared" si="13"/>
        <v>22.073</v>
      </c>
      <c r="S249">
        <f t="shared" si="14"/>
        <v>6.7099170932813843</v>
      </c>
      <c r="T249">
        <f t="shared" si="15"/>
        <v>4.3668122270742356E-2</v>
      </c>
      <c r="U249" t="str">
        <f>YEAR('Campaign Data'!$A249)&amp;"-"&amp;TEXT(MONTH('Campaign Data'!$A249),"00")</f>
        <v>2026-01</v>
      </c>
    </row>
    <row r="250" spans="1:21" x14ac:dyDescent="0.25">
      <c r="A250">
        <v>46036</v>
      </c>
      <c r="B250" t="s">
        <v>157</v>
      </c>
      <c r="C250" t="s">
        <v>158</v>
      </c>
      <c r="D250" t="s">
        <v>58</v>
      </c>
      <c r="E250" t="s">
        <v>49</v>
      </c>
      <c r="F250" t="s">
        <v>81</v>
      </c>
      <c r="G250" t="s">
        <v>50</v>
      </c>
      <c r="H250" t="s">
        <v>55</v>
      </c>
      <c r="I250" t="s">
        <v>28</v>
      </c>
      <c r="J250" t="s">
        <v>62</v>
      </c>
      <c r="K250">
        <v>10451</v>
      </c>
      <c r="L250">
        <v>829</v>
      </c>
      <c r="M250">
        <v>1147.98</v>
      </c>
      <c r="N250">
        <v>69</v>
      </c>
      <c r="O250">
        <v>984.52</v>
      </c>
      <c r="P250">
        <f t="shared" si="12"/>
        <v>7.9322552865754473E-2</v>
      </c>
      <c r="Q250">
        <f t="shared" si="12"/>
        <v>1.3847768395657418</v>
      </c>
      <c r="R250">
        <f t="shared" si="13"/>
        <v>16.637391304347826</v>
      </c>
      <c r="S250">
        <f t="shared" si="14"/>
        <v>0.85761075976933399</v>
      </c>
      <c r="T250">
        <f t="shared" si="15"/>
        <v>8.3232810615199035E-2</v>
      </c>
      <c r="U250" t="str">
        <f>YEAR('Campaign Data'!$A250)&amp;"-"&amp;TEXT(MONTH('Campaign Data'!$A250),"00")</f>
        <v>2026-01</v>
      </c>
    </row>
    <row r="251" spans="1:21" x14ac:dyDescent="0.25">
      <c r="A251">
        <v>46036</v>
      </c>
      <c r="B251" t="s">
        <v>159</v>
      </c>
      <c r="C251" t="s">
        <v>160</v>
      </c>
      <c r="D251" t="s">
        <v>65</v>
      </c>
      <c r="E251" t="s">
        <v>42</v>
      </c>
      <c r="F251" t="s">
        <v>75</v>
      </c>
      <c r="G251" t="s">
        <v>54</v>
      </c>
      <c r="H251" t="s">
        <v>27</v>
      </c>
      <c r="I251" t="s">
        <v>28</v>
      </c>
      <c r="J251" t="s">
        <v>45</v>
      </c>
      <c r="K251">
        <v>11926</v>
      </c>
      <c r="L251">
        <v>83</v>
      </c>
      <c r="M251">
        <v>557</v>
      </c>
      <c r="N251">
        <v>4</v>
      </c>
      <c r="O251">
        <v>175.1</v>
      </c>
      <c r="P251">
        <f t="shared" si="12"/>
        <v>6.9595841019620998E-3</v>
      </c>
      <c r="Q251">
        <f t="shared" si="12"/>
        <v>6.7108433734939759</v>
      </c>
      <c r="R251">
        <f t="shared" si="13"/>
        <v>139.25</v>
      </c>
      <c r="S251">
        <f t="shared" si="14"/>
        <v>0.31436265709156191</v>
      </c>
      <c r="T251">
        <f t="shared" si="15"/>
        <v>4.8192771084337352E-2</v>
      </c>
      <c r="U251" t="str">
        <f>YEAR('Campaign Data'!$A251)&amp;"-"&amp;TEXT(MONTH('Campaign Data'!$A251),"00")</f>
        <v>2026-01</v>
      </c>
    </row>
    <row r="252" spans="1:21" x14ac:dyDescent="0.25">
      <c r="A252">
        <v>46036</v>
      </c>
      <c r="B252" t="s">
        <v>116</v>
      </c>
      <c r="C252" t="s">
        <v>117</v>
      </c>
      <c r="D252" t="s">
        <v>48</v>
      </c>
      <c r="E252" t="s">
        <v>24</v>
      </c>
      <c r="F252" t="s">
        <v>43</v>
      </c>
      <c r="G252" t="s">
        <v>26</v>
      </c>
      <c r="H252" t="s">
        <v>36</v>
      </c>
      <c r="I252" t="s">
        <v>28</v>
      </c>
      <c r="J252" t="s">
        <v>62</v>
      </c>
      <c r="K252">
        <v>10170</v>
      </c>
      <c r="L252">
        <v>117</v>
      </c>
      <c r="M252">
        <v>96.49</v>
      </c>
      <c r="N252">
        <v>7</v>
      </c>
      <c r="O252">
        <v>99.16</v>
      </c>
      <c r="P252">
        <f t="shared" si="12"/>
        <v>1.1504424778761062E-2</v>
      </c>
      <c r="Q252">
        <f t="shared" si="12"/>
        <v>0.82470085470085464</v>
      </c>
      <c r="R252">
        <f t="shared" si="13"/>
        <v>13.784285714285714</v>
      </c>
      <c r="S252">
        <f t="shared" si="14"/>
        <v>1.027671261270598</v>
      </c>
      <c r="T252">
        <f t="shared" si="15"/>
        <v>5.9829059829059832E-2</v>
      </c>
      <c r="U252" t="str">
        <f>YEAR('Campaign Data'!$A252)&amp;"-"&amp;TEXT(MONTH('Campaign Data'!$A252),"00")</f>
        <v>2026-01</v>
      </c>
    </row>
    <row r="253" spans="1:21" x14ac:dyDescent="0.25">
      <c r="A253">
        <v>46036</v>
      </c>
      <c r="B253" t="s">
        <v>82</v>
      </c>
      <c r="C253" t="s">
        <v>83</v>
      </c>
      <c r="D253" t="s">
        <v>80</v>
      </c>
      <c r="E253" t="s">
        <v>42</v>
      </c>
      <c r="F253" t="s">
        <v>34</v>
      </c>
      <c r="G253" t="s">
        <v>84</v>
      </c>
      <c r="H253" t="s">
        <v>36</v>
      </c>
      <c r="I253" t="s">
        <v>28</v>
      </c>
      <c r="J253" t="s">
        <v>29</v>
      </c>
      <c r="K253">
        <v>6052</v>
      </c>
      <c r="L253">
        <v>48</v>
      </c>
      <c r="M253">
        <v>250.81</v>
      </c>
      <c r="N253">
        <v>2</v>
      </c>
      <c r="O253">
        <v>361.64</v>
      </c>
      <c r="P253">
        <f t="shared" si="12"/>
        <v>7.9312623925974889E-3</v>
      </c>
      <c r="Q253">
        <f t="shared" si="12"/>
        <v>5.2252083333333337</v>
      </c>
      <c r="R253">
        <f t="shared" si="13"/>
        <v>125.405</v>
      </c>
      <c r="S253">
        <f t="shared" si="14"/>
        <v>1.4418882819664287</v>
      </c>
      <c r="T253">
        <f t="shared" si="15"/>
        <v>4.1666666666666664E-2</v>
      </c>
      <c r="U253" t="str">
        <f>YEAR('Campaign Data'!$A253)&amp;"-"&amp;TEXT(MONTH('Campaign Data'!$A253),"00")</f>
        <v>2026-01</v>
      </c>
    </row>
    <row r="254" spans="1:21" x14ac:dyDescent="0.25">
      <c r="A254">
        <v>46036</v>
      </c>
      <c r="B254" t="s">
        <v>82</v>
      </c>
      <c r="C254" t="s">
        <v>83</v>
      </c>
      <c r="D254" t="s">
        <v>80</v>
      </c>
      <c r="E254" t="s">
        <v>42</v>
      </c>
      <c r="F254" t="s">
        <v>34</v>
      </c>
      <c r="G254" t="s">
        <v>84</v>
      </c>
      <c r="H254" t="s">
        <v>55</v>
      </c>
      <c r="I254" t="s">
        <v>37</v>
      </c>
      <c r="J254" t="s">
        <v>29</v>
      </c>
      <c r="K254">
        <v>2051</v>
      </c>
      <c r="L254">
        <v>7</v>
      </c>
      <c r="M254">
        <v>39.67</v>
      </c>
      <c r="N254">
        <v>0</v>
      </c>
      <c r="O254">
        <v>0</v>
      </c>
      <c r="P254">
        <f t="shared" si="12"/>
        <v>3.4129692832764505E-3</v>
      </c>
      <c r="Q254">
        <f t="shared" si="12"/>
        <v>5.6671428571428573</v>
      </c>
      <c r="R254">
        <f t="shared" si="13"/>
        <v>0</v>
      </c>
      <c r="S254">
        <f t="shared" si="14"/>
        <v>0</v>
      </c>
      <c r="T254">
        <f t="shared" si="15"/>
        <v>0</v>
      </c>
      <c r="U254" t="str">
        <f>YEAR('Campaign Data'!$A254)&amp;"-"&amp;TEXT(MONTH('Campaign Data'!$A254),"00")</f>
        <v>2026-01</v>
      </c>
    </row>
    <row r="255" spans="1:21" x14ac:dyDescent="0.25">
      <c r="A255">
        <v>46037</v>
      </c>
      <c r="B255" t="s">
        <v>167</v>
      </c>
      <c r="C255" t="s">
        <v>168</v>
      </c>
      <c r="D255" t="s">
        <v>58</v>
      </c>
      <c r="E255" t="s">
        <v>33</v>
      </c>
      <c r="F255" t="s">
        <v>75</v>
      </c>
      <c r="G255" t="s">
        <v>35</v>
      </c>
      <c r="H255" t="s">
        <v>90</v>
      </c>
      <c r="I255" t="s">
        <v>28</v>
      </c>
      <c r="J255" t="s">
        <v>29</v>
      </c>
      <c r="K255">
        <v>4787</v>
      </c>
      <c r="L255">
        <v>36</v>
      </c>
      <c r="M255">
        <v>7.11</v>
      </c>
      <c r="N255">
        <v>1</v>
      </c>
      <c r="O255">
        <v>6.75</v>
      </c>
      <c r="P255">
        <f t="shared" si="12"/>
        <v>7.5203676624190519E-3</v>
      </c>
      <c r="Q255">
        <f t="shared" si="12"/>
        <v>0.19750000000000001</v>
      </c>
      <c r="R255">
        <f t="shared" si="13"/>
        <v>7.11</v>
      </c>
      <c r="S255">
        <f t="shared" si="14"/>
        <v>0.94936708860759489</v>
      </c>
      <c r="T255">
        <f t="shared" si="15"/>
        <v>2.7777777777777776E-2</v>
      </c>
      <c r="U255" t="str">
        <f>YEAR('Campaign Data'!$A255)&amp;"-"&amp;TEXT(MONTH('Campaign Data'!$A255),"00")</f>
        <v>2026-01</v>
      </c>
    </row>
    <row r="256" spans="1:21" x14ac:dyDescent="0.25">
      <c r="A256">
        <v>46037</v>
      </c>
      <c r="B256" t="s">
        <v>95</v>
      </c>
      <c r="C256" t="s">
        <v>96</v>
      </c>
      <c r="D256" t="s">
        <v>23</v>
      </c>
      <c r="E256" t="s">
        <v>49</v>
      </c>
      <c r="F256" t="s">
        <v>43</v>
      </c>
      <c r="G256" t="s">
        <v>97</v>
      </c>
      <c r="H256" t="s">
        <v>27</v>
      </c>
      <c r="I256" t="s">
        <v>37</v>
      </c>
      <c r="J256" t="s">
        <v>29</v>
      </c>
      <c r="K256">
        <v>6131</v>
      </c>
      <c r="L256">
        <v>349</v>
      </c>
      <c r="M256">
        <v>788.39</v>
      </c>
      <c r="N256">
        <v>18</v>
      </c>
      <c r="O256">
        <v>327.57</v>
      </c>
      <c r="P256">
        <f t="shared" si="12"/>
        <v>5.6923829717827432E-2</v>
      </c>
      <c r="Q256">
        <f t="shared" si="12"/>
        <v>2.2589971346704871</v>
      </c>
      <c r="R256">
        <f t="shared" si="13"/>
        <v>43.799444444444447</v>
      </c>
      <c r="S256">
        <f t="shared" si="14"/>
        <v>0.41549233247504408</v>
      </c>
      <c r="T256">
        <f t="shared" si="15"/>
        <v>5.1575931232091692E-2</v>
      </c>
      <c r="U256" t="str">
        <f>YEAR('Campaign Data'!$A256)&amp;"-"&amp;TEXT(MONTH('Campaign Data'!$A256),"00")</f>
        <v>2026-01</v>
      </c>
    </row>
    <row r="257" spans="1:21" x14ac:dyDescent="0.25">
      <c r="A257">
        <v>46037</v>
      </c>
      <c r="B257" t="s">
        <v>39</v>
      </c>
      <c r="C257" t="s">
        <v>40</v>
      </c>
      <c r="D257" t="s">
        <v>41</v>
      </c>
      <c r="E257" t="s">
        <v>42</v>
      </c>
      <c r="F257" t="s">
        <v>43</v>
      </c>
      <c r="G257" t="s">
        <v>44</v>
      </c>
      <c r="H257" t="s">
        <v>90</v>
      </c>
      <c r="I257" t="s">
        <v>28</v>
      </c>
      <c r="J257" t="s">
        <v>29</v>
      </c>
      <c r="K257">
        <v>6938</v>
      </c>
      <c r="L257">
        <v>48</v>
      </c>
      <c r="M257">
        <v>84.06</v>
      </c>
      <c r="N257">
        <v>1</v>
      </c>
      <c r="O257">
        <v>5</v>
      </c>
      <c r="P257">
        <f t="shared" si="12"/>
        <v>6.9184202940328621E-3</v>
      </c>
      <c r="Q257">
        <f t="shared" si="12"/>
        <v>1.75125</v>
      </c>
      <c r="R257">
        <f t="shared" si="13"/>
        <v>84.06</v>
      </c>
      <c r="S257">
        <f t="shared" si="14"/>
        <v>5.948132286462051E-2</v>
      </c>
      <c r="T257">
        <f t="shared" si="15"/>
        <v>2.0833333333333332E-2</v>
      </c>
      <c r="U257" t="str">
        <f>YEAR('Campaign Data'!$A257)&amp;"-"&amp;TEXT(MONTH('Campaign Data'!$A257),"00")</f>
        <v>2026-01</v>
      </c>
    </row>
    <row r="258" spans="1:21" x14ac:dyDescent="0.25">
      <c r="A258">
        <v>46037</v>
      </c>
      <c r="B258" t="s">
        <v>98</v>
      </c>
      <c r="C258" t="s">
        <v>99</v>
      </c>
      <c r="D258" t="s">
        <v>69</v>
      </c>
      <c r="E258" t="s">
        <v>24</v>
      </c>
      <c r="F258" t="s">
        <v>75</v>
      </c>
      <c r="G258" t="s">
        <v>66</v>
      </c>
      <c r="H258" t="s">
        <v>90</v>
      </c>
      <c r="I258" t="s">
        <v>37</v>
      </c>
      <c r="J258" t="s">
        <v>62</v>
      </c>
      <c r="K258">
        <v>5973</v>
      </c>
      <c r="L258">
        <v>144</v>
      </c>
      <c r="M258">
        <v>39.799999999999997</v>
      </c>
      <c r="N258">
        <v>8</v>
      </c>
      <c r="O258">
        <v>123.13</v>
      </c>
      <c r="P258">
        <f t="shared" ref="P258:Q321" si="16">IF(K258=0,0,L258/K258)</f>
        <v>2.4108488196885988E-2</v>
      </c>
      <c r="Q258">
        <f t="shared" si="16"/>
        <v>0.27638888888888885</v>
      </c>
      <c r="R258">
        <f t="shared" ref="R258:R321" si="17">IF(N258=0,0,M258/N258)</f>
        <v>4.9749999999999996</v>
      </c>
      <c r="S258">
        <f t="shared" ref="S258:S321" si="18">IF(M258=0,0,O258/M258)</f>
        <v>3.0937185929648243</v>
      </c>
      <c r="T258">
        <f t="shared" ref="T258:T321" si="19">IF(L258=0,0,N258/L258)</f>
        <v>5.5555555555555552E-2</v>
      </c>
      <c r="U258" t="str">
        <f>YEAR('Campaign Data'!$A258)&amp;"-"&amp;TEXT(MONTH('Campaign Data'!$A258),"00")</f>
        <v>2026-01</v>
      </c>
    </row>
    <row r="259" spans="1:21" x14ac:dyDescent="0.25">
      <c r="A259">
        <v>46037</v>
      </c>
      <c r="B259" t="s">
        <v>52</v>
      </c>
      <c r="C259" t="s">
        <v>53</v>
      </c>
      <c r="D259" t="s">
        <v>32</v>
      </c>
      <c r="E259" t="s">
        <v>42</v>
      </c>
      <c r="F259" t="s">
        <v>25</v>
      </c>
      <c r="G259" t="s">
        <v>54</v>
      </c>
      <c r="H259" t="s">
        <v>71</v>
      </c>
      <c r="I259" t="s">
        <v>37</v>
      </c>
      <c r="J259" t="s">
        <v>29</v>
      </c>
      <c r="K259">
        <v>3626</v>
      </c>
      <c r="L259">
        <v>31</v>
      </c>
      <c r="M259">
        <v>201.23</v>
      </c>
      <c r="N259">
        <v>3</v>
      </c>
      <c r="O259">
        <v>585.48</v>
      </c>
      <c r="P259">
        <f t="shared" si="16"/>
        <v>8.5493656922228344E-3</v>
      </c>
      <c r="Q259">
        <f t="shared" si="16"/>
        <v>6.4912903225806451</v>
      </c>
      <c r="R259">
        <f t="shared" si="17"/>
        <v>67.076666666666668</v>
      </c>
      <c r="S259">
        <f t="shared" si="18"/>
        <v>2.9095065348109133</v>
      </c>
      <c r="T259">
        <f t="shared" si="19"/>
        <v>9.6774193548387094E-2</v>
      </c>
      <c r="U259" t="str">
        <f>YEAR('Campaign Data'!$A259)&amp;"-"&amp;TEXT(MONTH('Campaign Data'!$A259),"00")</f>
        <v>2026-01</v>
      </c>
    </row>
    <row r="260" spans="1:21" x14ac:dyDescent="0.25">
      <c r="A260">
        <v>46037</v>
      </c>
      <c r="B260" t="s">
        <v>132</v>
      </c>
      <c r="C260" t="s">
        <v>133</v>
      </c>
      <c r="D260" t="s">
        <v>23</v>
      </c>
      <c r="E260" t="s">
        <v>42</v>
      </c>
      <c r="F260" t="s">
        <v>75</v>
      </c>
      <c r="G260" t="s">
        <v>84</v>
      </c>
      <c r="H260" t="s">
        <v>51</v>
      </c>
      <c r="I260" t="s">
        <v>37</v>
      </c>
      <c r="J260" t="s">
        <v>38</v>
      </c>
      <c r="K260">
        <v>4348</v>
      </c>
      <c r="L260">
        <v>22</v>
      </c>
      <c r="M260">
        <v>136.29</v>
      </c>
      <c r="N260">
        <v>0</v>
      </c>
      <c r="O260">
        <v>0</v>
      </c>
      <c r="P260">
        <f t="shared" si="16"/>
        <v>5.0597976080956758E-3</v>
      </c>
      <c r="Q260">
        <f t="shared" si="16"/>
        <v>6.1949999999999994</v>
      </c>
      <c r="R260">
        <f t="shared" si="17"/>
        <v>0</v>
      </c>
      <c r="S260">
        <f t="shared" si="18"/>
        <v>0</v>
      </c>
      <c r="T260">
        <f t="shared" si="19"/>
        <v>0</v>
      </c>
      <c r="U260" t="str">
        <f>YEAR('Campaign Data'!$A260)&amp;"-"&amp;TEXT(MONTH('Campaign Data'!$A260),"00")</f>
        <v>2026-01</v>
      </c>
    </row>
    <row r="261" spans="1:21" x14ac:dyDescent="0.25">
      <c r="A261">
        <v>46037</v>
      </c>
      <c r="B261" t="s">
        <v>179</v>
      </c>
      <c r="C261" t="s">
        <v>180</v>
      </c>
      <c r="D261" t="s">
        <v>58</v>
      </c>
      <c r="E261" t="s">
        <v>42</v>
      </c>
      <c r="F261" t="s">
        <v>25</v>
      </c>
      <c r="G261" t="s">
        <v>54</v>
      </c>
      <c r="H261" t="s">
        <v>27</v>
      </c>
      <c r="I261" t="s">
        <v>37</v>
      </c>
      <c r="J261" t="s">
        <v>45</v>
      </c>
      <c r="K261">
        <v>2801</v>
      </c>
      <c r="L261">
        <v>10</v>
      </c>
      <c r="M261">
        <v>94.5</v>
      </c>
      <c r="N261">
        <v>0</v>
      </c>
      <c r="O261">
        <v>0</v>
      </c>
      <c r="P261">
        <f t="shared" si="16"/>
        <v>3.570153516601214E-3</v>
      </c>
      <c r="Q261">
        <f t="shared" si="16"/>
        <v>9.4499999999999993</v>
      </c>
      <c r="R261">
        <f t="shared" si="17"/>
        <v>0</v>
      </c>
      <c r="S261">
        <f t="shared" si="18"/>
        <v>0</v>
      </c>
      <c r="T261">
        <f t="shared" si="19"/>
        <v>0</v>
      </c>
      <c r="U261" t="str">
        <f>YEAR('Campaign Data'!$A261)&amp;"-"&amp;TEXT(MONTH('Campaign Data'!$A261),"00")</f>
        <v>2026-01</v>
      </c>
    </row>
    <row r="262" spans="1:21" x14ac:dyDescent="0.25">
      <c r="A262">
        <v>46037</v>
      </c>
      <c r="B262" t="s">
        <v>140</v>
      </c>
      <c r="C262" t="s">
        <v>40</v>
      </c>
      <c r="D262" t="s">
        <v>41</v>
      </c>
      <c r="E262" t="s">
        <v>42</v>
      </c>
      <c r="F262" t="s">
        <v>43</v>
      </c>
      <c r="G262" t="s">
        <v>44</v>
      </c>
      <c r="H262" t="s">
        <v>90</v>
      </c>
      <c r="I262" t="s">
        <v>37</v>
      </c>
      <c r="J262" t="s">
        <v>45</v>
      </c>
      <c r="K262">
        <v>4427</v>
      </c>
      <c r="L262">
        <v>24</v>
      </c>
      <c r="M262">
        <v>44.79</v>
      </c>
      <c r="N262">
        <v>1</v>
      </c>
      <c r="O262">
        <v>6.71</v>
      </c>
      <c r="P262">
        <f t="shared" si="16"/>
        <v>5.4212785181838715E-3</v>
      </c>
      <c r="Q262">
        <f t="shared" si="16"/>
        <v>1.86625</v>
      </c>
      <c r="R262">
        <f t="shared" si="17"/>
        <v>44.79</v>
      </c>
      <c r="S262">
        <f t="shared" si="18"/>
        <v>0.14981022549676268</v>
      </c>
      <c r="T262">
        <f t="shared" si="19"/>
        <v>4.1666666666666664E-2</v>
      </c>
      <c r="U262" t="str">
        <f>YEAR('Campaign Data'!$A262)&amp;"-"&amp;TEXT(MONTH('Campaign Data'!$A262),"00")</f>
        <v>2026-01</v>
      </c>
    </row>
    <row r="263" spans="1:21" x14ac:dyDescent="0.25">
      <c r="A263">
        <v>46037</v>
      </c>
      <c r="B263" t="s">
        <v>112</v>
      </c>
      <c r="C263" t="s">
        <v>113</v>
      </c>
      <c r="D263" t="s">
        <v>32</v>
      </c>
      <c r="E263" t="s">
        <v>24</v>
      </c>
      <c r="F263" t="s">
        <v>75</v>
      </c>
      <c r="G263" t="s">
        <v>66</v>
      </c>
      <c r="H263" t="s">
        <v>51</v>
      </c>
      <c r="I263" t="s">
        <v>28</v>
      </c>
      <c r="J263" t="s">
        <v>87</v>
      </c>
      <c r="K263">
        <v>3182</v>
      </c>
      <c r="L263">
        <v>48</v>
      </c>
      <c r="M263">
        <v>37.229999999999997</v>
      </c>
      <c r="N263">
        <v>1</v>
      </c>
      <c r="O263">
        <v>33.17</v>
      </c>
      <c r="P263">
        <f t="shared" si="16"/>
        <v>1.508485229415462E-2</v>
      </c>
      <c r="Q263">
        <f t="shared" si="16"/>
        <v>0.7756249999999999</v>
      </c>
      <c r="R263">
        <f t="shared" si="17"/>
        <v>37.229999999999997</v>
      </c>
      <c r="S263">
        <f t="shared" si="18"/>
        <v>0.89094816008595235</v>
      </c>
      <c r="T263">
        <f t="shared" si="19"/>
        <v>2.0833333333333332E-2</v>
      </c>
      <c r="U263" t="str">
        <f>YEAR('Campaign Data'!$A263)&amp;"-"&amp;TEXT(MONTH('Campaign Data'!$A263),"00")</f>
        <v>2026-01</v>
      </c>
    </row>
    <row r="264" spans="1:21" x14ac:dyDescent="0.25">
      <c r="A264">
        <v>46037</v>
      </c>
      <c r="B264" t="s">
        <v>181</v>
      </c>
      <c r="C264" t="s">
        <v>182</v>
      </c>
      <c r="D264" t="s">
        <v>32</v>
      </c>
      <c r="E264" t="s">
        <v>33</v>
      </c>
      <c r="F264" t="s">
        <v>75</v>
      </c>
      <c r="G264" t="s">
        <v>59</v>
      </c>
      <c r="H264" t="s">
        <v>51</v>
      </c>
      <c r="I264" t="s">
        <v>37</v>
      </c>
      <c r="J264" t="s">
        <v>45</v>
      </c>
      <c r="K264">
        <v>21381</v>
      </c>
      <c r="L264">
        <v>270</v>
      </c>
      <c r="M264">
        <v>162.02000000000001</v>
      </c>
      <c r="N264">
        <v>8</v>
      </c>
      <c r="O264">
        <v>310.25</v>
      </c>
      <c r="P264">
        <f t="shared" si="16"/>
        <v>1.2628034236003928E-2</v>
      </c>
      <c r="Q264">
        <f t="shared" si="16"/>
        <v>0.60007407407407409</v>
      </c>
      <c r="R264">
        <f t="shared" si="17"/>
        <v>20.252500000000001</v>
      </c>
      <c r="S264">
        <f t="shared" si="18"/>
        <v>1.9148870509813603</v>
      </c>
      <c r="T264">
        <f t="shared" si="19"/>
        <v>2.9629629629629631E-2</v>
      </c>
      <c r="U264" t="str">
        <f>YEAR('Campaign Data'!$A264)&amp;"-"&amp;TEXT(MONTH('Campaign Data'!$A264),"00")</f>
        <v>2026-01</v>
      </c>
    </row>
    <row r="265" spans="1:21" x14ac:dyDescent="0.25">
      <c r="A265">
        <v>46037</v>
      </c>
      <c r="B265" t="s">
        <v>161</v>
      </c>
      <c r="C265" t="s">
        <v>162</v>
      </c>
      <c r="D265" t="s">
        <v>48</v>
      </c>
      <c r="E265" t="s">
        <v>74</v>
      </c>
      <c r="F265" t="s">
        <v>34</v>
      </c>
      <c r="G265" t="s">
        <v>107</v>
      </c>
      <c r="H265" t="s">
        <v>36</v>
      </c>
      <c r="I265" t="s">
        <v>28</v>
      </c>
      <c r="J265" t="s">
        <v>29</v>
      </c>
      <c r="K265">
        <v>6334</v>
      </c>
      <c r="L265">
        <v>165</v>
      </c>
      <c r="M265">
        <v>248.92</v>
      </c>
      <c r="N265">
        <v>8</v>
      </c>
      <c r="O265">
        <v>1144.0999999999999</v>
      </c>
      <c r="P265">
        <f t="shared" si="16"/>
        <v>2.6049889485317335E-2</v>
      </c>
      <c r="Q265">
        <f t="shared" si="16"/>
        <v>1.5086060606060605</v>
      </c>
      <c r="R265">
        <f t="shared" si="17"/>
        <v>31.114999999999998</v>
      </c>
      <c r="S265">
        <f t="shared" si="18"/>
        <v>4.596255825164711</v>
      </c>
      <c r="T265">
        <f t="shared" si="19"/>
        <v>4.8484848484848485E-2</v>
      </c>
      <c r="U265" t="str">
        <f>YEAR('Campaign Data'!$A265)&amp;"-"&amp;TEXT(MONTH('Campaign Data'!$A265),"00")</f>
        <v>2026-01</v>
      </c>
    </row>
    <row r="266" spans="1:21" x14ac:dyDescent="0.25">
      <c r="A266">
        <v>46037</v>
      </c>
      <c r="B266" t="s">
        <v>141</v>
      </c>
      <c r="C266" t="s">
        <v>142</v>
      </c>
      <c r="D266" t="s">
        <v>80</v>
      </c>
      <c r="E266" t="s">
        <v>49</v>
      </c>
      <c r="F266" t="s">
        <v>81</v>
      </c>
      <c r="G266" t="s">
        <v>97</v>
      </c>
      <c r="H266" t="s">
        <v>60</v>
      </c>
      <c r="I266" t="s">
        <v>37</v>
      </c>
      <c r="J266" t="s">
        <v>29</v>
      </c>
      <c r="K266">
        <v>3717</v>
      </c>
      <c r="L266">
        <v>132</v>
      </c>
      <c r="M266">
        <v>228.1</v>
      </c>
      <c r="N266">
        <v>8</v>
      </c>
      <c r="O266">
        <v>182.19</v>
      </c>
      <c r="P266">
        <f t="shared" si="16"/>
        <v>3.5512510088781278E-2</v>
      </c>
      <c r="Q266">
        <f t="shared" si="16"/>
        <v>1.728030303030303</v>
      </c>
      <c r="R266">
        <f t="shared" si="17"/>
        <v>28.512499999999999</v>
      </c>
      <c r="S266">
        <f t="shared" si="18"/>
        <v>0.7987286277948269</v>
      </c>
      <c r="T266">
        <f t="shared" si="19"/>
        <v>6.0606060606060608E-2</v>
      </c>
      <c r="U266" t="str">
        <f>YEAR('Campaign Data'!$A266)&amp;"-"&amp;TEXT(MONTH('Campaign Data'!$A266),"00")</f>
        <v>2026-01</v>
      </c>
    </row>
    <row r="267" spans="1:21" x14ac:dyDescent="0.25">
      <c r="A267">
        <v>46037</v>
      </c>
      <c r="B267" t="s">
        <v>183</v>
      </c>
      <c r="C267" t="s">
        <v>184</v>
      </c>
      <c r="D267" t="s">
        <v>23</v>
      </c>
      <c r="E267" t="s">
        <v>24</v>
      </c>
      <c r="F267" t="s">
        <v>81</v>
      </c>
      <c r="G267" t="s">
        <v>185</v>
      </c>
      <c r="H267" t="s">
        <v>36</v>
      </c>
      <c r="I267" t="s">
        <v>28</v>
      </c>
      <c r="J267" t="s">
        <v>62</v>
      </c>
      <c r="K267">
        <v>8899</v>
      </c>
      <c r="L267">
        <v>116</v>
      </c>
      <c r="M267">
        <v>110.56</v>
      </c>
      <c r="N267">
        <v>8</v>
      </c>
      <c r="O267">
        <v>193.75</v>
      </c>
      <c r="P267">
        <f t="shared" si="16"/>
        <v>1.3035172491291156E-2</v>
      </c>
      <c r="Q267">
        <f t="shared" si="16"/>
        <v>0.95310344827586213</v>
      </c>
      <c r="R267">
        <f t="shared" si="17"/>
        <v>13.82</v>
      </c>
      <c r="S267">
        <f t="shared" si="18"/>
        <v>1.7524421128798842</v>
      </c>
      <c r="T267">
        <f t="shared" si="19"/>
        <v>6.8965517241379309E-2</v>
      </c>
      <c r="U267" t="str">
        <f>YEAR('Campaign Data'!$A267)&amp;"-"&amp;TEXT(MONTH('Campaign Data'!$A267),"00")</f>
        <v>2026-01</v>
      </c>
    </row>
    <row r="268" spans="1:21" x14ac:dyDescent="0.25">
      <c r="A268">
        <v>46037</v>
      </c>
      <c r="B268" t="s">
        <v>67</v>
      </c>
      <c r="C268" t="s">
        <v>68</v>
      </c>
      <c r="D268" t="s">
        <v>69</v>
      </c>
      <c r="E268" t="s">
        <v>49</v>
      </c>
      <c r="F268" t="s">
        <v>34</v>
      </c>
      <c r="G268" t="s">
        <v>70</v>
      </c>
      <c r="H268" t="s">
        <v>36</v>
      </c>
      <c r="I268" t="s">
        <v>28</v>
      </c>
      <c r="J268" t="s">
        <v>87</v>
      </c>
      <c r="K268">
        <v>8781</v>
      </c>
      <c r="L268">
        <v>395</v>
      </c>
      <c r="M268">
        <v>1086.47</v>
      </c>
      <c r="N268">
        <v>30</v>
      </c>
      <c r="O268">
        <v>4305.84</v>
      </c>
      <c r="P268">
        <f t="shared" si="16"/>
        <v>4.4983487074365107E-2</v>
      </c>
      <c r="Q268">
        <f t="shared" si="16"/>
        <v>2.7505569620253167</v>
      </c>
      <c r="R268">
        <f t="shared" si="17"/>
        <v>36.215666666666671</v>
      </c>
      <c r="S268">
        <f t="shared" si="18"/>
        <v>3.9631467044649185</v>
      </c>
      <c r="T268">
        <f t="shared" si="19"/>
        <v>7.5949367088607597E-2</v>
      </c>
      <c r="U268" t="str">
        <f>YEAR('Campaign Data'!$A268)&amp;"-"&amp;TEXT(MONTH('Campaign Data'!$A268),"00")</f>
        <v>2026-01</v>
      </c>
    </row>
    <row r="269" spans="1:21" x14ac:dyDescent="0.25">
      <c r="A269">
        <v>46037</v>
      </c>
      <c r="B269" t="s">
        <v>118</v>
      </c>
      <c r="C269" t="s">
        <v>119</v>
      </c>
      <c r="D269" t="s">
        <v>69</v>
      </c>
      <c r="E269" t="s">
        <v>33</v>
      </c>
      <c r="F269" t="s">
        <v>34</v>
      </c>
      <c r="G269" t="s">
        <v>35</v>
      </c>
      <c r="H269" t="s">
        <v>27</v>
      </c>
      <c r="I269" t="s">
        <v>28</v>
      </c>
      <c r="J269" t="s">
        <v>45</v>
      </c>
      <c r="K269">
        <v>5469</v>
      </c>
      <c r="L269">
        <v>43</v>
      </c>
      <c r="M269">
        <v>36.06</v>
      </c>
      <c r="N269">
        <v>1</v>
      </c>
      <c r="O269">
        <v>202.33</v>
      </c>
      <c r="P269">
        <f t="shared" si="16"/>
        <v>7.8624977143901993E-3</v>
      </c>
      <c r="Q269">
        <f t="shared" si="16"/>
        <v>0.8386046511627907</v>
      </c>
      <c r="R269">
        <f t="shared" si="17"/>
        <v>36.06</v>
      </c>
      <c r="S269">
        <f t="shared" si="18"/>
        <v>5.6109262340543538</v>
      </c>
      <c r="T269">
        <f t="shared" si="19"/>
        <v>2.3255813953488372E-2</v>
      </c>
      <c r="U269" t="str">
        <f>YEAR('Campaign Data'!$A269)&amp;"-"&amp;TEXT(MONTH('Campaign Data'!$A269),"00")</f>
        <v>2026-01</v>
      </c>
    </row>
    <row r="270" spans="1:21" x14ac:dyDescent="0.25">
      <c r="A270">
        <v>46037</v>
      </c>
      <c r="B270" t="s">
        <v>76</v>
      </c>
      <c r="C270" t="s">
        <v>77</v>
      </c>
      <c r="D270" t="s">
        <v>65</v>
      </c>
      <c r="E270" t="s">
        <v>42</v>
      </c>
      <c r="F270" t="s">
        <v>43</v>
      </c>
      <c r="G270" t="s">
        <v>44</v>
      </c>
      <c r="H270" t="s">
        <v>27</v>
      </c>
      <c r="I270" t="s">
        <v>37</v>
      </c>
      <c r="J270" t="s">
        <v>38</v>
      </c>
      <c r="K270">
        <v>4998</v>
      </c>
      <c r="L270">
        <v>23</v>
      </c>
      <c r="M270">
        <v>226.44</v>
      </c>
      <c r="N270">
        <v>1</v>
      </c>
      <c r="O270">
        <v>33.44</v>
      </c>
      <c r="P270">
        <f t="shared" si="16"/>
        <v>4.6018407362945178E-3</v>
      </c>
      <c r="Q270">
        <f t="shared" si="16"/>
        <v>9.845217391304347</v>
      </c>
      <c r="R270">
        <f t="shared" si="17"/>
        <v>226.44</v>
      </c>
      <c r="S270">
        <f t="shared" si="18"/>
        <v>0.14767708885355943</v>
      </c>
      <c r="T270">
        <f t="shared" si="19"/>
        <v>4.3478260869565216E-2</v>
      </c>
      <c r="U270" t="str">
        <f>YEAR('Campaign Data'!$A270)&amp;"-"&amp;TEXT(MONTH('Campaign Data'!$A270),"00")</f>
        <v>2026-01</v>
      </c>
    </row>
    <row r="271" spans="1:21" x14ac:dyDescent="0.25">
      <c r="A271">
        <v>46037</v>
      </c>
      <c r="B271" t="s">
        <v>78</v>
      </c>
      <c r="C271" t="s">
        <v>79</v>
      </c>
      <c r="D271" t="s">
        <v>80</v>
      </c>
      <c r="E271" t="s">
        <v>24</v>
      </c>
      <c r="F271" t="s">
        <v>81</v>
      </c>
      <c r="G271" t="s">
        <v>66</v>
      </c>
      <c r="H271" t="s">
        <v>51</v>
      </c>
      <c r="I271" t="s">
        <v>28</v>
      </c>
      <c r="J271" t="s">
        <v>62</v>
      </c>
      <c r="K271">
        <v>1595</v>
      </c>
      <c r="L271">
        <v>24</v>
      </c>
      <c r="M271">
        <v>13.78</v>
      </c>
      <c r="N271">
        <v>2</v>
      </c>
      <c r="O271">
        <v>56.03</v>
      </c>
      <c r="P271">
        <f t="shared" si="16"/>
        <v>1.5047021943573668E-2</v>
      </c>
      <c r="Q271">
        <f t="shared" si="16"/>
        <v>0.5741666666666666</v>
      </c>
      <c r="R271">
        <f t="shared" si="17"/>
        <v>6.89</v>
      </c>
      <c r="S271">
        <f t="shared" si="18"/>
        <v>4.0660377358490569</v>
      </c>
      <c r="T271">
        <f t="shared" si="19"/>
        <v>8.3333333333333329E-2</v>
      </c>
      <c r="U271" t="str">
        <f>YEAR('Campaign Data'!$A271)&amp;"-"&amp;TEXT(MONTH('Campaign Data'!$A271),"00")</f>
        <v>2026-01</v>
      </c>
    </row>
    <row r="272" spans="1:21" x14ac:dyDescent="0.25">
      <c r="A272">
        <v>46037</v>
      </c>
      <c r="B272" t="s">
        <v>122</v>
      </c>
      <c r="C272" t="s">
        <v>123</v>
      </c>
      <c r="D272" t="s">
        <v>41</v>
      </c>
      <c r="E272" t="s">
        <v>33</v>
      </c>
      <c r="F272" t="s">
        <v>75</v>
      </c>
      <c r="G272" t="s">
        <v>35</v>
      </c>
      <c r="H272" t="s">
        <v>36</v>
      </c>
      <c r="I272" t="s">
        <v>37</v>
      </c>
      <c r="J272" t="s">
        <v>87</v>
      </c>
      <c r="K272">
        <v>1699</v>
      </c>
      <c r="L272">
        <v>5</v>
      </c>
      <c r="M272">
        <v>3.31</v>
      </c>
      <c r="N272">
        <v>0</v>
      </c>
      <c r="O272">
        <v>0</v>
      </c>
      <c r="P272">
        <f t="shared" si="16"/>
        <v>2.942907592701589E-3</v>
      </c>
      <c r="Q272">
        <f t="shared" si="16"/>
        <v>0.66200000000000003</v>
      </c>
      <c r="R272">
        <f t="shared" si="17"/>
        <v>0</v>
      </c>
      <c r="S272">
        <f t="shared" si="18"/>
        <v>0</v>
      </c>
      <c r="T272">
        <f t="shared" si="19"/>
        <v>0</v>
      </c>
      <c r="U272" t="str">
        <f>YEAR('Campaign Data'!$A272)&amp;"-"&amp;TEXT(MONTH('Campaign Data'!$A272),"00")</f>
        <v>2026-01</v>
      </c>
    </row>
    <row r="273" spans="1:21" x14ac:dyDescent="0.25">
      <c r="A273">
        <v>46038</v>
      </c>
      <c r="B273" t="s">
        <v>175</v>
      </c>
      <c r="C273" t="s">
        <v>176</v>
      </c>
      <c r="D273" t="s">
        <v>65</v>
      </c>
      <c r="E273" t="s">
        <v>49</v>
      </c>
      <c r="F273" t="s">
        <v>75</v>
      </c>
      <c r="G273" t="s">
        <v>70</v>
      </c>
      <c r="H273" t="s">
        <v>27</v>
      </c>
      <c r="I273" t="s">
        <v>37</v>
      </c>
      <c r="J273" t="s">
        <v>45</v>
      </c>
      <c r="K273">
        <v>14920</v>
      </c>
      <c r="L273">
        <v>867</v>
      </c>
      <c r="M273">
        <v>2351.31</v>
      </c>
      <c r="N273">
        <v>45</v>
      </c>
      <c r="O273">
        <v>2476.96</v>
      </c>
      <c r="P273">
        <f t="shared" si="16"/>
        <v>5.8109919571045575E-2</v>
      </c>
      <c r="Q273">
        <f t="shared" si="16"/>
        <v>2.7120069204152251</v>
      </c>
      <c r="R273">
        <f t="shared" si="17"/>
        <v>52.251333333333335</v>
      </c>
      <c r="S273">
        <f t="shared" si="18"/>
        <v>1.0534382960987705</v>
      </c>
      <c r="T273">
        <f t="shared" si="19"/>
        <v>5.1903114186851208E-2</v>
      </c>
      <c r="U273" t="str">
        <f>YEAR('Campaign Data'!$A273)&amp;"-"&amp;TEXT(MONTH('Campaign Data'!$A273),"00")</f>
        <v>2026-01</v>
      </c>
    </row>
    <row r="274" spans="1:21" x14ac:dyDescent="0.25">
      <c r="A274">
        <v>46038</v>
      </c>
      <c r="B274" t="s">
        <v>88</v>
      </c>
      <c r="C274" t="s">
        <v>89</v>
      </c>
      <c r="D274" t="s">
        <v>23</v>
      </c>
      <c r="E274" t="s">
        <v>49</v>
      </c>
      <c r="F274" t="s">
        <v>81</v>
      </c>
      <c r="G274" t="s">
        <v>50</v>
      </c>
      <c r="H274" t="s">
        <v>36</v>
      </c>
      <c r="I274" t="s">
        <v>37</v>
      </c>
      <c r="J274" t="s">
        <v>38</v>
      </c>
      <c r="K274">
        <v>6740</v>
      </c>
      <c r="L274">
        <v>257</v>
      </c>
      <c r="M274">
        <v>314.49</v>
      </c>
      <c r="N274">
        <v>13</v>
      </c>
      <c r="O274">
        <v>170.52</v>
      </c>
      <c r="P274">
        <f t="shared" si="16"/>
        <v>3.8130563798219587E-2</v>
      </c>
      <c r="Q274">
        <f t="shared" si="16"/>
        <v>1.2236964980544747</v>
      </c>
      <c r="R274">
        <f t="shared" si="17"/>
        <v>24.191538461538464</v>
      </c>
      <c r="S274">
        <f t="shared" si="18"/>
        <v>0.54221119908423165</v>
      </c>
      <c r="T274">
        <f t="shared" si="19"/>
        <v>5.0583657587548639E-2</v>
      </c>
      <c r="U274" t="str">
        <f>YEAR('Campaign Data'!$A274)&amp;"-"&amp;TEXT(MONTH('Campaign Data'!$A274),"00")</f>
        <v>2026-01</v>
      </c>
    </row>
    <row r="275" spans="1:21" x14ac:dyDescent="0.25">
      <c r="A275">
        <v>46038</v>
      </c>
      <c r="B275" t="s">
        <v>147</v>
      </c>
      <c r="C275" t="s">
        <v>148</v>
      </c>
      <c r="D275" t="s">
        <v>23</v>
      </c>
      <c r="E275" t="s">
        <v>42</v>
      </c>
      <c r="F275" t="s">
        <v>75</v>
      </c>
      <c r="G275" t="s">
        <v>44</v>
      </c>
      <c r="H275" t="s">
        <v>27</v>
      </c>
      <c r="I275" t="s">
        <v>61</v>
      </c>
      <c r="J275" t="s">
        <v>87</v>
      </c>
      <c r="K275">
        <v>14296</v>
      </c>
      <c r="L275">
        <v>90</v>
      </c>
      <c r="M275">
        <v>871.72</v>
      </c>
      <c r="N275">
        <v>0</v>
      </c>
      <c r="O275">
        <v>0</v>
      </c>
      <c r="P275">
        <f t="shared" si="16"/>
        <v>6.2954672635702298E-3</v>
      </c>
      <c r="Q275">
        <f t="shared" si="16"/>
        <v>9.685777777777778</v>
      </c>
      <c r="R275">
        <f t="shared" si="17"/>
        <v>0</v>
      </c>
      <c r="S275">
        <f t="shared" si="18"/>
        <v>0</v>
      </c>
      <c r="T275">
        <f t="shared" si="19"/>
        <v>0</v>
      </c>
      <c r="U275" t="str">
        <f>YEAR('Campaign Data'!$A275)&amp;"-"&amp;TEXT(MONTH('Campaign Data'!$A275),"00")</f>
        <v>2026-01</v>
      </c>
    </row>
    <row r="276" spans="1:21" x14ac:dyDescent="0.25">
      <c r="A276">
        <v>46038</v>
      </c>
      <c r="B276" t="s">
        <v>138</v>
      </c>
      <c r="C276" t="s">
        <v>139</v>
      </c>
      <c r="D276" t="s">
        <v>58</v>
      </c>
      <c r="E276" t="s">
        <v>74</v>
      </c>
      <c r="F276" t="s">
        <v>34</v>
      </c>
      <c r="G276" t="s">
        <v>9</v>
      </c>
      <c r="H276" t="s">
        <v>90</v>
      </c>
      <c r="I276" t="s">
        <v>37</v>
      </c>
      <c r="J276" t="s">
        <v>87</v>
      </c>
      <c r="K276">
        <v>12360</v>
      </c>
      <c r="L276">
        <v>445</v>
      </c>
      <c r="M276">
        <v>157.29</v>
      </c>
      <c r="N276">
        <v>19</v>
      </c>
      <c r="O276">
        <v>308.91000000000003</v>
      </c>
      <c r="P276">
        <f t="shared" si="16"/>
        <v>3.6003236245954695E-2</v>
      </c>
      <c r="Q276">
        <f t="shared" si="16"/>
        <v>0.35346067415730337</v>
      </c>
      <c r="R276">
        <f t="shared" si="17"/>
        <v>8.2784210526315789</v>
      </c>
      <c r="S276">
        <f t="shared" si="18"/>
        <v>1.963951935914553</v>
      </c>
      <c r="T276">
        <f t="shared" si="19"/>
        <v>4.2696629213483148E-2</v>
      </c>
      <c r="U276" t="str">
        <f>YEAR('Campaign Data'!$A276)&amp;"-"&amp;TEXT(MONTH('Campaign Data'!$A276),"00")</f>
        <v>2026-01</v>
      </c>
    </row>
    <row r="277" spans="1:21" x14ac:dyDescent="0.25">
      <c r="A277">
        <v>46038</v>
      </c>
      <c r="B277" t="s">
        <v>149</v>
      </c>
      <c r="C277" t="s">
        <v>150</v>
      </c>
      <c r="D277" t="s">
        <v>65</v>
      </c>
      <c r="E277" t="s">
        <v>33</v>
      </c>
      <c r="F277" t="s">
        <v>43</v>
      </c>
      <c r="G277" t="s">
        <v>59</v>
      </c>
      <c r="H277" t="s">
        <v>27</v>
      </c>
      <c r="I277" t="s">
        <v>28</v>
      </c>
      <c r="J277" t="s">
        <v>45</v>
      </c>
      <c r="K277">
        <v>27531</v>
      </c>
      <c r="L277">
        <v>207</v>
      </c>
      <c r="M277">
        <v>160.07</v>
      </c>
      <c r="N277">
        <v>5</v>
      </c>
      <c r="O277">
        <v>169.24</v>
      </c>
      <c r="P277">
        <f t="shared" si="16"/>
        <v>7.5187969924812026E-3</v>
      </c>
      <c r="Q277">
        <f t="shared" si="16"/>
        <v>0.77328502415458933</v>
      </c>
      <c r="R277">
        <f t="shared" si="17"/>
        <v>32.013999999999996</v>
      </c>
      <c r="S277">
        <f t="shared" si="18"/>
        <v>1.0572874367464236</v>
      </c>
      <c r="T277">
        <f t="shared" si="19"/>
        <v>2.4154589371980676E-2</v>
      </c>
      <c r="U277" t="str">
        <f>YEAR('Campaign Data'!$A277)&amp;"-"&amp;TEXT(MONTH('Campaign Data'!$A277),"00")</f>
        <v>2026-01</v>
      </c>
    </row>
    <row r="278" spans="1:21" x14ac:dyDescent="0.25">
      <c r="A278">
        <v>46038</v>
      </c>
      <c r="B278" t="s">
        <v>149</v>
      </c>
      <c r="C278" t="s">
        <v>150</v>
      </c>
      <c r="D278" t="s">
        <v>65</v>
      </c>
      <c r="E278" t="s">
        <v>33</v>
      </c>
      <c r="F278" t="s">
        <v>43</v>
      </c>
      <c r="G278" t="s">
        <v>59</v>
      </c>
      <c r="H278" t="s">
        <v>90</v>
      </c>
      <c r="I278" t="s">
        <v>37</v>
      </c>
      <c r="J278" t="s">
        <v>29</v>
      </c>
      <c r="K278">
        <v>1467</v>
      </c>
      <c r="L278">
        <v>18</v>
      </c>
      <c r="M278">
        <v>2.88</v>
      </c>
      <c r="N278">
        <v>0</v>
      </c>
      <c r="O278">
        <v>0</v>
      </c>
      <c r="P278">
        <f t="shared" si="16"/>
        <v>1.2269938650306749E-2</v>
      </c>
      <c r="Q278">
        <f t="shared" si="16"/>
        <v>0.16</v>
      </c>
      <c r="R278">
        <f t="shared" si="17"/>
        <v>0</v>
      </c>
      <c r="S278">
        <f t="shared" si="18"/>
        <v>0</v>
      </c>
      <c r="T278">
        <f t="shared" si="19"/>
        <v>0</v>
      </c>
      <c r="U278" t="str">
        <f>YEAR('Campaign Data'!$A278)&amp;"-"&amp;TEXT(MONTH('Campaign Data'!$A278),"00")</f>
        <v>2026-01</v>
      </c>
    </row>
    <row r="279" spans="1:21" x14ac:dyDescent="0.25">
      <c r="A279">
        <v>46038</v>
      </c>
      <c r="B279" t="s">
        <v>95</v>
      </c>
      <c r="C279" t="s">
        <v>96</v>
      </c>
      <c r="D279" t="s">
        <v>23</v>
      </c>
      <c r="E279" t="s">
        <v>49</v>
      </c>
      <c r="F279" t="s">
        <v>43</v>
      </c>
      <c r="G279" t="s">
        <v>97</v>
      </c>
      <c r="H279" t="s">
        <v>27</v>
      </c>
      <c r="I279" t="s">
        <v>37</v>
      </c>
      <c r="J279" t="s">
        <v>87</v>
      </c>
      <c r="K279">
        <v>4890</v>
      </c>
      <c r="L279">
        <v>210</v>
      </c>
      <c r="M279">
        <v>258.74</v>
      </c>
      <c r="N279">
        <v>9</v>
      </c>
      <c r="O279">
        <v>273.5</v>
      </c>
      <c r="P279">
        <f t="shared" si="16"/>
        <v>4.2944785276073622E-2</v>
      </c>
      <c r="Q279">
        <f t="shared" si="16"/>
        <v>1.2320952380952381</v>
      </c>
      <c r="R279">
        <f t="shared" si="17"/>
        <v>28.748888888888889</v>
      </c>
      <c r="S279">
        <f t="shared" si="18"/>
        <v>1.0570456829249439</v>
      </c>
      <c r="T279">
        <f t="shared" si="19"/>
        <v>4.2857142857142858E-2</v>
      </c>
      <c r="U279" t="str">
        <f>YEAR('Campaign Data'!$A279)&amp;"-"&amp;TEXT(MONTH('Campaign Data'!$A279),"00")</f>
        <v>2026-01</v>
      </c>
    </row>
    <row r="280" spans="1:21" x14ac:dyDescent="0.25">
      <c r="A280">
        <v>46038</v>
      </c>
      <c r="B280" t="s">
        <v>98</v>
      </c>
      <c r="C280" t="s">
        <v>99</v>
      </c>
      <c r="D280" t="s">
        <v>69</v>
      </c>
      <c r="E280" t="s">
        <v>24</v>
      </c>
      <c r="F280" t="s">
        <v>75</v>
      </c>
      <c r="G280" t="s">
        <v>66</v>
      </c>
      <c r="H280" t="s">
        <v>51</v>
      </c>
      <c r="I280" t="s">
        <v>37</v>
      </c>
      <c r="J280" t="s">
        <v>45</v>
      </c>
      <c r="K280">
        <v>6318</v>
      </c>
      <c r="L280">
        <v>68</v>
      </c>
      <c r="M280">
        <v>65.09</v>
      </c>
      <c r="N280">
        <v>1</v>
      </c>
      <c r="O280">
        <v>33.33</v>
      </c>
      <c r="P280">
        <f t="shared" si="16"/>
        <v>1.0762899651788541E-2</v>
      </c>
      <c r="Q280">
        <f t="shared" si="16"/>
        <v>0.95720588235294124</v>
      </c>
      <c r="R280">
        <f t="shared" si="17"/>
        <v>65.09</v>
      </c>
      <c r="S280">
        <f t="shared" si="18"/>
        <v>0.51206022430480869</v>
      </c>
      <c r="T280">
        <f t="shared" si="19"/>
        <v>1.4705882352941176E-2</v>
      </c>
      <c r="U280" t="str">
        <f>YEAR('Campaign Data'!$A280)&amp;"-"&amp;TEXT(MONTH('Campaign Data'!$A280),"00")</f>
        <v>2026-01</v>
      </c>
    </row>
    <row r="281" spans="1:21" x14ac:dyDescent="0.25">
      <c r="A281">
        <v>46038</v>
      </c>
      <c r="B281" t="s">
        <v>103</v>
      </c>
      <c r="C281" t="s">
        <v>104</v>
      </c>
      <c r="D281" t="s">
        <v>65</v>
      </c>
      <c r="E281" t="s">
        <v>33</v>
      </c>
      <c r="F281" t="s">
        <v>43</v>
      </c>
      <c r="G281" t="s">
        <v>102</v>
      </c>
      <c r="H281" t="s">
        <v>90</v>
      </c>
      <c r="I281" t="s">
        <v>28</v>
      </c>
      <c r="J281" t="s">
        <v>29</v>
      </c>
      <c r="K281">
        <v>10883</v>
      </c>
      <c r="L281">
        <v>69</v>
      </c>
      <c r="M281">
        <v>9.85</v>
      </c>
      <c r="N281">
        <v>0</v>
      </c>
      <c r="O281">
        <v>0</v>
      </c>
      <c r="P281">
        <f t="shared" si="16"/>
        <v>6.3401635578425068E-3</v>
      </c>
      <c r="Q281">
        <f t="shared" si="16"/>
        <v>0.14275362318840579</v>
      </c>
      <c r="R281">
        <f t="shared" si="17"/>
        <v>0</v>
      </c>
      <c r="S281">
        <f t="shared" si="18"/>
        <v>0</v>
      </c>
      <c r="T281">
        <f t="shared" si="19"/>
        <v>0</v>
      </c>
      <c r="U281" t="str">
        <f>YEAR('Campaign Data'!$A281)&amp;"-"&amp;TEXT(MONTH('Campaign Data'!$A281),"00")</f>
        <v>2026-01</v>
      </c>
    </row>
    <row r="282" spans="1:21" x14ac:dyDescent="0.25">
      <c r="A282">
        <v>46038</v>
      </c>
      <c r="B282" t="s">
        <v>132</v>
      </c>
      <c r="C282" t="s">
        <v>133</v>
      </c>
      <c r="D282" t="s">
        <v>23</v>
      </c>
      <c r="E282" t="s">
        <v>42</v>
      </c>
      <c r="F282" t="s">
        <v>75</v>
      </c>
      <c r="G282" t="s">
        <v>84</v>
      </c>
      <c r="H282" t="s">
        <v>90</v>
      </c>
      <c r="I282" t="s">
        <v>61</v>
      </c>
      <c r="J282" t="s">
        <v>87</v>
      </c>
      <c r="K282">
        <v>14317</v>
      </c>
      <c r="L282">
        <v>87</v>
      </c>
      <c r="M282">
        <v>124.69</v>
      </c>
      <c r="N282">
        <v>4</v>
      </c>
      <c r="O282">
        <v>38.090000000000003</v>
      </c>
      <c r="P282">
        <f t="shared" si="16"/>
        <v>6.0766920444227145E-3</v>
      </c>
      <c r="Q282">
        <f t="shared" si="16"/>
        <v>1.4332183908045977</v>
      </c>
      <c r="R282">
        <f t="shared" si="17"/>
        <v>31.172499999999999</v>
      </c>
      <c r="S282">
        <f t="shared" si="18"/>
        <v>0.3054775844093352</v>
      </c>
      <c r="T282">
        <f t="shared" si="19"/>
        <v>4.5977011494252873E-2</v>
      </c>
      <c r="U282" t="str">
        <f>YEAR('Campaign Data'!$A282)&amp;"-"&amp;TEXT(MONTH('Campaign Data'!$A282),"00")</f>
        <v>2026-01</v>
      </c>
    </row>
    <row r="283" spans="1:21" x14ac:dyDescent="0.25">
      <c r="A283">
        <v>46038</v>
      </c>
      <c r="B283" t="s">
        <v>171</v>
      </c>
      <c r="C283" t="s">
        <v>172</v>
      </c>
      <c r="D283" t="s">
        <v>23</v>
      </c>
      <c r="E283" t="s">
        <v>33</v>
      </c>
      <c r="F283" t="s">
        <v>75</v>
      </c>
      <c r="G283" t="s">
        <v>59</v>
      </c>
      <c r="H283" t="s">
        <v>90</v>
      </c>
      <c r="I283" t="s">
        <v>28</v>
      </c>
      <c r="J283" t="s">
        <v>29</v>
      </c>
      <c r="K283">
        <v>10175</v>
      </c>
      <c r="L283">
        <v>62</v>
      </c>
      <c r="M283">
        <v>10.39</v>
      </c>
      <c r="N283">
        <v>1</v>
      </c>
      <c r="O283">
        <v>15.94</v>
      </c>
      <c r="P283">
        <f t="shared" si="16"/>
        <v>6.0933660933660937E-3</v>
      </c>
      <c r="Q283">
        <f t="shared" si="16"/>
        <v>0.16758064516129034</v>
      </c>
      <c r="R283">
        <f t="shared" si="17"/>
        <v>10.39</v>
      </c>
      <c r="S283">
        <f t="shared" si="18"/>
        <v>1.5341674687199229</v>
      </c>
      <c r="T283">
        <f t="shared" si="19"/>
        <v>1.6129032258064516E-2</v>
      </c>
      <c r="U283" t="str">
        <f>YEAR('Campaign Data'!$A283)&amp;"-"&amp;TEXT(MONTH('Campaign Data'!$A283),"00")</f>
        <v>2026-01</v>
      </c>
    </row>
    <row r="284" spans="1:21" x14ac:dyDescent="0.25">
      <c r="A284">
        <v>46038</v>
      </c>
      <c r="B284" t="s">
        <v>140</v>
      </c>
      <c r="C284" t="s">
        <v>40</v>
      </c>
      <c r="D284" t="s">
        <v>41</v>
      </c>
      <c r="E284" t="s">
        <v>42</v>
      </c>
      <c r="F284" t="s">
        <v>43</v>
      </c>
      <c r="G284" t="s">
        <v>44</v>
      </c>
      <c r="H284" t="s">
        <v>27</v>
      </c>
      <c r="I284" t="s">
        <v>37</v>
      </c>
      <c r="J284" t="s">
        <v>45</v>
      </c>
      <c r="K284">
        <v>5395</v>
      </c>
      <c r="L284">
        <v>33</v>
      </c>
      <c r="M284">
        <v>171.33</v>
      </c>
      <c r="N284">
        <v>1</v>
      </c>
      <c r="O284">
        <v>46.97</v>
      </c>
      <c r="P284">
        <f t="shared" si="16"/>
        <v>6.1167747914735865E-3</v>
      </c>
      <c r="Q284">
        <f t="shared" si="16"/>
        <v>5.1918181818181823</v>
      </c>
      <c r="R284">
        <f t="shared" si="17"/>
        <v>171.33</v>
      </c>
      <c r="S284">
        <f t="shared" si="18"/>
        <v>0.27414930251561309</v>
      </c>
      <c r="T284">
        <f t="shared" si="19"/>
        <v>3.0303030303030304E-2</v>
      </c>
      <c r="U284" t="str">
        <f>YEAR('Campaign Data'!$A284)&amp;"-"&amp;TEXT(MONTH('Campaign Data'!$A284),"00")</f>
        <v>2026-01</v>
      </c>
    </row>
    <row r="285" spans="1:21" x14ac:dyDescent="0.25">
      <c r="A285">
        <v>46038</v>
      </c>
      <c r="B285" t="s">
        <v>183</v>
      </c>
      <c r="C285" t="s">
        <v>184</v>
      </c>
      <c r="D285" t="s">
        <v>23</v>
      </c>
      <c r="E285" t="s">
        <v>24</v>
      </c>
      <c r="F285" t="s">
        <v>81</v>
      </c>
      <c r="G285" t="s">
        <v>185</v>
      </c>
      <c r="H285" t="s">
        <v>51</v>
      </c>
      <c r="I285" t="s">
        <v>37</v>
      </c>
      <c r="J285" t="s">
        <v>29</v>
      </c>
      <c r="K285">
        <v>7332</v>
      </c>
      <c r="L285">
        <v>85</v>
      </c>
      <c r="M285">
        <v>93.71</v>
      </c>
      <c r="N285">
        <v>1</v>
      </c>
      <c r="O285">
        <v>11.53</v>
      </c>
      <c r="P285">
        <f t="shared" si="16"/>
        <v>1.1593016912165849E-2</v>
      </c>
      <c r="Q285">
        <f t="shared" si="16"/>
        <v>1.1024705882352941</v>
      </c>
      <c r="R285">
        <f t="shared" si="17"/>
        <v>93.71</v>
      </c>
      <c r="S285">
        <f t="shared" si="18"/>
        <v>0.12303916337637393</v>
      </c>
      <c r="T285">
        <f t="shared" si="19"/>
        <v>1.1764705882352941E-2</v>
      </c>
      <c r="U285" t="str">
        <f>YEAR('Campaign Data'!$A285)&amp;"-"&amp;TEXT(MONTH('Campaign Data'!$A285),"00")</f>
        <v>2026-01</v>
      </c>
    </row>
    <row r="286" spans="1:21" x14ac:dyDescent="0.25">
      <c r="A286">
        <v>46038</v>
      </c>
      <c r="B286" t="s">
        <v>183</v>
      </c>
      <c r="C286" t="s">
        <v>184</v>
      </c>
      <c r="D286" t="s">
        <v>23</v>
      </c>
      <c r="E286" t="s">
        <v>24</v>
      </c>
      <c r="F286" t="s">
        <v>81</v>
      </c>
      <c r="G286" t="s">
        <v>185</v>
      </c>
      <c r="H286" t="s">
        <v>55</v>
      </c>
      <c r="I286" t="s">
        <v>28</v>
      </c>
      <c r="J286" t="s">
        <v>62</v>
      </c>
      <c r="K286">
        <v>1992</v>
      </c>
      <c r="L286">
        <v>34</v>
      </c>
      <c r="M286">
        <v>31.94</v>
      </c>
      <c r="N286">
        <v>3</v>
      </c>
      <c r="O286">
        <v>41.7</v>
      </c>
      <c r="P286">
        <f t="shared" si="16"/>
        <v>1.7068273092369479E-2</v>
      </c>
      <c r="Q286">
        <f t="shared" si="16"/>
        <v>0.93941176470588239</v>
      </c>
      <c r="R286">
        <f t="shared" si="17"/>
        <v>10.646666666666667</v>
      </c>
      <c r="S286">
        <f t="shared" si="18"/>
        <v>1.3055729492798998</v>
      </c>
      <c r="T286">
        <f t="shared" si="19"/>
        <v>8.8235294117647065E-2</v>
      </c>
      <c r="U286" t="str">
        <f>YEAR('Campaign Data'!$A286)&amp;"-"&amp;TEXT(MONTH('Campaign Data'!$A286),"00")</f>
        <v>2026-01</v>
      </c>
    </row>
    <row r="287" spans="1:21" x14ac:dyDescent="0.25">
      <c r="A287">
        <v>46038</v>
      </c>
      <c r="B287" t="s">
        <v>67</v>
      </c>
      <c r="C287" t="s">
        <v>68</v>
      </c>
      <c r="D287" t="s">
        <v>69</v>
      </c>
      <c r="E287" t="s">
        <v>49</v>
      </c>
      <c r="F287" t="s">
        <v>34</v>
      </c>
      <c r="G287" t="s">
        <v>70</v>
      </c>
      <c r="H287" t="s">
        <v>71</v>
      </c>
      <c r="I287" t="s">
        <v>28</v>
      </c>
      <c r="J287" t="s">
        <v>45</v>
      </c>
      <c r="K287">
        <v>9164</v>
      </c>
      <c r="L287">
        <v>619</v>
      </c>
      <c r="M287">
        <v>968.67</v>
      </c>
      <c r="N287">
        <v>28</v>
      </c>
      <c r="O287">
        <v>3423.18</v>
      </c>
      <c r="P287">
        <f t="shared" si="16"/>
        <v>6.7546922741161058E-2</v>
      </c>
      <c r="Q287">
        <f t="shared" si="16"/>
        <v>1.5648949919224555</v>
      </c>
      <c r="R287">
        <f t="shared" si="17"/>
        <v>34.595357142857139</v>
      </c>
      <c r="S287">
        <f t="shared" si="18"/>
        <v>3.5338969927839203</v>
      </c>
      <c r="T287">
        <f t="shared" si="19"/>
        <v>4.5234248788368334E-2</v>
      </c>
      <c r="U287" t="str">
        <f>YEAR('Campaign Data'!$A287)&amp;"-"&amp;TEXT(MONTH('Campaign Data'!$A287),"00")</f>
        <v>2026-01</v>
      </c>
    </row>
    <row r="288" spans="1:21" x14ac:dyDescent="0.25">
      <c r="A288">
        <v>46038</v>
      </c>
      <c r="B288" t="s">
        <v>116</v>
      </c>
      <c r="C288" t="s">
        <v>117</v>
      </c>
      <c r="D288" t="s">
        <v>48</v>
      </c>
      <c r="E288" t="s">
        <v>24</v>
      </c>
      <c r="F288" t="s">
        <v>43</v>
      </c>
      <c r="G288" t="s">
        <v>26</v>
      </c>
      <c r="H288" t="s">
        <v>60</v>
      </c>
      <c r="I288" t="s">
        <v>37</v>
      </c>
      <c r="J288" t="s">
        <v>38</v>
      </c>
      <c r="K288">
        <v>9185</v>
      </c>
      <c r="L288">
        <v>73</v>
      </c>
      <c r="M288">
        <v>46.61</v>
      </c>
      <c r="N288">
        <v>1</v>
      </c>
      <c r="O288">
        <v>23.52</v>
      </c>
      <c r="P288">
        <f t="shared" si="16"/>
        <v>7.9477408818726183E-3</v>
      </c>
      <c r="Q288">
        <f t="shared" si="16"/>
        <v>0.63849315068493151</v>
      </c>
      <c r="R288">
        <f t="shared" si="17"/>
        <v>46.61</v>
      </c>
      <c r="S288">
        <f t="shared" si="18"/>
        <v>0.50461274404634193</v>
      </c>
      <c r="T288">
        <f t="shared" si="19"/>
        <v>1.3698630136986301E-2</v>
      </c>
      <c r="U288" t="str">
        <f>YEAR('Campaign Data'!$A288)&amp;"-"&amp;TEXT(MONTH('Campaign Data'!$A288),"00")</f>
        <v>2026-01</v>
      </c>
    </row>
    <row r="289" spans="1:21" x14ac:dyDescent="0.25">
      <c r="A289">
        <v>46038</v>
      </c>
      <c r="B289" t="s">
        <v>163</v>
      </c>
      <c r="C289" t="s">
        <v>164</v>
      </c>
      <c r="D289" t="s">
        <v>58</v>
      </c>
      <c r="E289" t="s">
        <v>42</v>
      </c>
      <c r="F289" t="s">
        <v>43</v>
      </c>
      <c r="G289" t="s">
        <v>44</v>
      </c>
      <c r="H289" t="s">
        <v>90</v>
      </c>
      <c r="I289" t="s">
        <v>37</v>
      </c>
      <c r="J289" t="s">
        <v>62</v>
      </c>
      <c r="K289">
        <v>3058</v>
      </c>
      <c r="L289">
        <v>28</v>
      </c>
      <c r="M289">
        <v>35.07</v>
      </c>
      <c r="N289">
        <v>2</v>
      </c>
      <c r="O289">
        <v>20.89</v>
      </c>
      <c r="P289">
        <f t="shared" si="16"/>
        <v>9.1563113145846954E-3</v>
      </c>
      <c r="Q289">
        <f t="shared" si="16"/>
        <v>1.2524999999999999</v>
      </c>
      <c r="R289">
        <f t="shared" si="17"/>
        <v>17.535</v>
      </c>
      <c r="S289">
        <f t="shared" si="18"/>
        <v>0.59566581123467355</v>
      </c>
      <c r="T289">
        <f t="shared" si="19"/>
        <v>7.1428571428571425E-2</v>
      </c>
      <c r="U289" t="str">
        <f>YEAR('Campaign Data'!$A289)&amp;"-"&amp;TEXT(MONTH('Campaign Data'!$A289),"00")</f>
        <v>2026-01</v>
      </c>
    </row>
    <row r="290" spans="1:21" x14ac:dyDescent="0.25">
      <c r="A290">
        <v>46038</v>
      </c>
      <c r="B290" t="s">
        <v>76</v>
      </c>
      <c r="C290" t="s">
        <v>77</v>
      </c>
      <c r="D290" t="s">
        <v>65</v>
      </c>
      <c r="E290" t="s">
        <v>42</v>
      </c>
      <c r="F290" t="s">
        <v>43</v>
      </c>
      <c r="G290" t="s">
        <v>44</v>
      </c>
      <c r="H290" t="s">
        <v>90</v>
      </c>
      <c r="I290" t="s">
        <v>37</v>
      </c>
      <c r="J290" t="s">
        <v>45</v>
      </c>
      <c r="K290">
        <v>6912</v>
      </c>
      <c r="L290">
        <v>29</v>
      </c>
      <c r="M290">
        <v>31.48</v>
      </c>
      <c r="N290">
        <v>0</v>
      </c>
      <c r="O290">
        <v>0</v>
      </c>
      <c r="P290">
        <f t="shared" si="16"/>
        <v>4.1956018518518523E-3</v>
      </c>
      <c r="Q290">
        <f t="shared" si="16"/>
        <v>1.0855172413793104</v>
      </c>
      <c r="R290">
        <f t="shared" si="17"/>
        <v>0</v>
      </c>
      <c r="S290">
        <f t="shared" si="18"/>
        <v>0</v>
      </c>
      <c r="T290">
        <f t="shared" si="19"/>
        <v>0</v>
      </c>
      <c r="U290" t="str">
        <f>YEAR('Campaign Data'!$A290)&amp;"-"&amp;TEXT(MONTH('Campaign Data'!$A290),"00")</f>
        <v>2026-01</v>
      </c>
    </row>
    <row r="291" spans="1:21" x14ac:dyDescent="0.25">
      <c r="A291">
        <v>46039</v>
      </c>
      <c r="B291" t="s">
        <v>165</v>
      </c>
      <c r="C291" t="s">
        <v>166</v>
      </c>
      <c r="D291" t="s">
        <v>41</v>
      </c>
      <c r="E291" t="s">
        <v>33</v>
      </c>
      <c r="F291" t="s">
        <v>43</v>
      </c>
      <c r="G291" t="s">
        <v>59</v>
      </c>
      <c r="H291" t="s">
        <v>51</v>
      </c>
      <c r="I291" t="s">
        <v>37</v>
      </c>
      <c r="J291" t="s">
        <v>29</v>
      </c>
      <c r="K291">
        <v>1772</v>
      </c>
      <c r="L291">
        <v>18</v>
      </c>
      <c r="M291">
        <v>11.99</v>
      </c>
      <c r="N291">
        <v>0</v>
      </c>
      <c r="O291">
        <v>0</v>
      </c>
      <c r="P291">
        <f t="shared" si="16"/>
        <v>1.0158013544018058E-2</v>
      </c>
      <c r="Q291">
        <f t="shared" si="16"/>
        <v>0.6661111111111111</v>
      </c>
      <c r="R291">
        <f t="shared" si="17"/>
        <v>0</v>
      </c>
      <c r="S291">
        <f t="shared" si="18"/>
        <v>0</v>
      </c>
      <c r="T291">
        <f t="shared" si="19"/>
        <v>0</v>
      </c>
      <c r="U291" t="str">
        <f>YEAR('Campaign Data'!$A291)&amp;"-"&amp;TEXT(MONTH('Campaign Data'!$A291),"00")</f>
        <v>2026-01</v>
      </c>
    </row>
    <row r="292" spans="1:21" x14ac:dyDescent="0.25">
      <c r="A292">
        <v>46039</v>
      </c>
      <c r="B292" t="s">
        <v>88</v>
      </c>
      <c r="C292" t="s">
        <v>89</v>
      </c>
      <c r="D292" t="s">
        <v>23</v>
      </c>
      <c r="E292" t="s">
        <v>49</v>
      </c>
      <c r="F292" t="s">
        <v>81</v>
      </c>
      <c r="G292" t="s">
        <v>50</v>
      </c>
      <c r="H292" t="s">
        <v>51</v>
      </c>
      <c r="I292" t="s">
        <v>37</v>
      </c>
      <c r="J292" t="s">
        <v>38</v>
      </c>
      <c r="K292">
        <v>5742</v>
      </c>
      <c r="L292">
        <v>419</v>
      </c>
      <c r="M292">
        <v>826.33</v>
      </c>
      <c r="N292">
        <v>12</v>
      </c>
      <c r="O292">
        <v>249.31</v>
      </c>
      <c r="P292">
        <f t="shared" si="16"/>
        <v>7.2971090212469517E-2</v>
      </c>
      <c r="Q292">
        <f t="shared" si="16"/>
        <v>1.972147971360382</v>
      </c>
      <c r="R292">
        <f t="shared" si="17"/>
        <v>68.860833333333332</v>
      </c>
      <c r="S292">
        <f t="shared" si="18"/>
        <v>0.30170755025232049</v>
      </c>
      <c r="T292">
        <f t="shared" si="19"/>
        <v>2.8639618138424822E-2</v>
      </c>
      <c r="U292" t="str">
        <f>YEAR('Campaign Data'!$A292)&amp;"-"&amp;TEXT(MONTH('Campaign Data'!$A292),"00")</f>
        <v>2026-01</v>
      </c>
    </row>
    <row r="293" spans="1:21" x14ac:dyDescent="0.25">
      <c r="A293">
        <v>46039</v>
      </c>
      <c r="B293" t="s">
        <v>21</v>
      </c>
      <c r="C293" t="s">
        <v>124</v>
      </c>
      <c r="D293" t="s">
        <v>23</v>
      </c>
      <c r="E293" t="s">
        <v>24</v>
      </c>
      <c r="F293" t="s">
        <v>25</v>
      </c>
      <c r="G293" t="s">
        <v>26</v>
      </c>
      <c r="H293" t="s">
        <v>51</v>
      </c>
      <c r="I293" t="s">
        <v>37</v>
      </c>
      <c r="J293" t="s">
        <v>29</v>
      </c>
      <c r="K293">
        <v>6058</v>
      </c>
      <c r="L293">
        <v>34</v>
      </c>
      <c r="M293">
        <v>39.979999999999997</v>
      </c>
      <c r="N293">
        <v>0</v>
      </c>
      <c r="O293">
        <v>0</v>
      </c>
      <c r="P293">
        <f t="shared" si="16"/>
        <v>5.6124133377352262E-3</v>
      </c>
      <c r="Q293">
        <f t="shared" si="16"/>
        <v>1.1758823529411764</v>
      </c>
      <c r="R293">
        <f t="shared" si="17"/>
        <v>0</v>
      </c>
      <c r="S293">
        <f t="shared" si="18"/>
        <v>0</v>
      </c>
      <c r="T293">
        <f t="shared" si="19"/>
        <v>0</v>
      </c>
      <c r="U293" t="str">
        <f>YEAR('Campaign Data'!$A293)&amp;"-"&amp;TEXT(MONTH('Campaign Data'!$A293),"00")</f>
        <v>2026-01</v>
      </c>
    </row>
    <row r="294" spans="1:21" x14ac:dyDescent="0.25">
      <c r="A294">
        <v>46039</v>
      </c>
      <c r="B294" t="s">
        <v>125</v>
      </c>
      <c r="C294" t="s">
        <v>126</v>
      </c>
      <c r="D294" t="s">
        <v>41</v>
      </c>
      <c r="E294" t="s">
        <v>42</v>
      </c>
      <c r="F294" t="s">
        <v>81</v>
      </c>
      <c r="G294" t="s">
        <v>44</v>
      </c>
      <c r="H294" t="s">
        <v>36</v>
      </c>
      <c r="I294" t="s">
        <v>28</v>
      </c>
      <c r="J294" t="s">
        <v>62</v>
      </c>
      <c r="K294">
        <v>8729</v>
      </c>
      <c r="L294">
        <v>79</v>
      </c>
      <c r="M294">
        <v>406.35</v>
      </c>
      <c r="N294">
        <v>3</v>
      </c>
      <c r="O294">
        <v>39.96</v>
      </c>
      <c r="P294">
        <f t="shared" si="16"/>
        <v>9.0502921296826671E-3</v>
      </c>
      <c r="Q294">
        <f t="shared" si="16"/>
        <v>5.1436708860759497</v>
      </c>
      <c r="R294">
        <f t="shared" si="17"/>
        <v>135.45000000000002</v>
      </c>
      <c r="S294">
        <f t="shared" si="18"/>
        <v>9.8338870431893682E-2</v>
      </c>
      <c r="T294">
        <f t="shared" si="19"/>
        <v>3.7974683544303799E-2</v>
      </c>
      <c r="U294" t="str">
        <f>YEAR('Campaign Data'!$A294)&amp;"-"&amp;TEXT(MONTH('Campaign Data'!$A294),"00")</f>
        <v>2026-01</v>
      </c>
    </row>
    <row r="295" spans="1:21" x14ac:dyDescent="0.25">
      <c r="A295">
        <v>46039</v>
      </c>
      <c r="B295" t="s">
        <v>95</v>
      </c>
      <c r="C295" t="s">
        <v>96</v>
      </c>
      <c r="D295" t="s">
        <v>23</v>
      </c>
      <c r="E295" t="s">
        <v>49</v>
      </c>
      <c r="F295" t="s">
        <v>43</v>
      </c>
      <c r="G295" t="s">
        <v>97</v>
      </c>
      <c r="H295" t="s">
        <v>90</v>
      </c>
      <c r="I295" t="s">
        <v>37</v>
      </c>
      <c r="J295" t="s">
        <v>45</v>
      </c>
      <c r="K295">
        <v>1396</v>
      </c>
      <c r="L295">
        <v>80</v>
      </c>
      <c r="M295">
        <v>40.049999999999997</v>
      </c>
      <c r="N295">
        <v>3</v>
      </c>
      <c r="O295">
        <v>25.84</v>
      </c>
      <c r="P295">
        <f t="shared" si="16"/>
        <v>5.730659025787966E-2</v>
      </c>
      <c r="Q295">
        <f t="shared" si="16"/>
        <v>0.50062499999999999</v>
      </c>
      <c r="R295">
        <f t="shared" si="17"/>
        <v>13.35</v>
      </c>
      <c r="S295">
        <f t="shared" si="18"/>
        <v>0.64519350811485643</v>
      </c>
      <c r="T295">
        <f t="shared" si="19"/>
        <v>3.7499999999999999E-2</v>
      </c>
      <c r="U295" t="str">
        <f>YEAR('Campaign Data'!$A295)&amp;"-"&amp;TEXT(MONTH('Campaign Data'!$A295),"00")</f>
        <v>2026-01</v>
      </c>
    </row>
    <row r="296" spans="1:21" x14ac:dyDescent="0.25">
      <c r="A296">
        <v>46039</v>
      </c>
      <c r="B296" t="s">
        <v>95</v>
      </c>
      <c r="C296" t="s">
        <v>96</v>
      </c>
      <c r="D296" t="s">
        <v>23</v>
      </c>
      <c r="E296" t="s">
        <v>49</v>
      </c>
      <c r="F296" t="s">
        <v>43</v>
      </c>
      <c r="G296" t="s">
        <v>97</v>
      </c>
      <c r="H296" t="s">
        <v>55</v>
      </c>
      <c r="I296" t="s">
        <v>37</v>
      </c>
      <c r="J296" t="s">
        <v>29</v>
      </c>
      <c r="K296">
        <v>4158</v>
      </c>
      <c r="L296">
        <v>134</v>
      </c>
      <c r="M296">
        <v>280.33999999999997</v>
      </c>
      <c r="N296">
        <v>6</v>
      </c>
      <c r="O296">
        <v>150.49</v>
      </c>
      <c r="P296">
        <f t="shared" si="16"/>
        <v>3.2227032227032229E-2</v>
      </c>
      <c r="Q296">
        <f t="shared" si="16"/>
        <v>2.0920895522388059</v>
      </c>
      <c r="R296">
        <f t="shared" si="17"/>
        <v>46.723333333333329</v>
      </c>
      <c r="S296">
        <f t="shared" si="18"/>
        <v>0.53681244203467227</v>
      </c>
      <c r="T296">
        <f t="shared" si="19"/>
        <v>4.4776119402985072E-2</v>
      </c>
      <c r="U296" t="str">
        <f>YEAR('Campaign Data'!$A296)&amp;"-"&amp;TEXT(MONTH('Campaign Data'!$A296),"00")</f>
        <v>2026-01</v>
      </c>
    </row>
    <row r="297" spans="1:21" x14ac:dyDescent="0.25">
      <c r="A297">
        <v>46039</v>
      </c>
      <c r="B297" t="s">
        <v>30</v>
      </c>
      <c r="C297" t="s">
        <v>31</v>
      </c>
      <c r="D297" t="s">
        <v>32</v>
      </c>
      <c r="E297" t="s">
        <v>33</v>
      </c>
      <c r="F297" t="s">
        <v>34</v>
      </c>
      <c r="G297" t="s">
        <v>35</v>
      </c>
      <c r="H297" t="s">
        <v>71</v>
      </c>
      <c r="I297" t="s">
        <v>28</v>
      </c>
      <c r="J297" t="s">
        <v>62</v>
      </c>
      <c r="K297">
        <v>8765</v>
      </c>
      <c r="L297">
        <v>123</v>
      </c>
      <c r="M297">
        <v>59.17</v>
      </c>
      <c r="N297">
        <v>4</v>
      </c>
      <c r="O297">
        <v>496.38</v>
      </c>
      <c r="P297">
        <f t="shared" si="16"/>
        <v>1.4033086138049058E-2</v>
      </c>
      <c r="Q297">
        <f t="shared" si="16"/>
        <v>0.48105691056910571</v>
      </c>
      <c r="R297">
        <f t="shared" si="17"/>
        <v>14.7925</v>
      </c>
      <c r="S297">
        <f t="shared" si="18"/>
        <v>8.3890485043096152</v>
      </c>
      <c r="T297">
        <f t="shared" si="19"/>
        <v>3.2520325203252036E-2</v>
      </c>
      <c r="U297" t="str">
        <f>YEAR('Campaign Data'!$A297)&amp;"-"&amp;TEXT(MONTH('Campaign Data'!$A297),"00")</f>
        <v>2026-01</v>
      </c>
    </row>
    <row r="298" spans="1:21" x14ac:dyDescent="0.25">
      <c r="A298">
        <v>46039</v>
      </c>
      <c r="B298" t="s">
        <v>169</v>
      </c>
      <c r="C298" t="s">
        <v>170</v>
      </c>
      <c r="D298" t="s">
        <v>58</v>
      </c>
      <c r="E298" t="s">
        <v>74</v>
      </c>
      <c r="F298" t="s">
        <v>75</v>
      </c>
      <c r="G298" t="s">
        <v>9</v>
      </c>
      <c r="H298" t="s">
        <v>71</v>
      </c>
      <c r="I298" t="s">
        <v>37</v>
      </c>
      <c r="J298" t="s">
        <v>29</v>
      </c>
      <c r="K298">
        <v>6395</v>
      </c>
      <c r="L298">
        <v>227</v>
      </c>
      <c r="M298">
        <v>187.8</v>
      </c>
      <c r="N298">
        <v>16</v>
      </c>
      <c r="O298">
        <v>332.02</v>
      </c>
      <c r="P298">
        <f t="shared" si="16"/>
        <v>3.5496481626270525E-2</v>
      </c>
      <c r="Q298">
        <f t="shared" si="16"/>
        <v>0.82731277533039649</v>
      </c>
      <c r="R298">
        <f t="shared" si="17"/>
        <v>11.737500000000001</v>
      </c>
      <c r="S298">
        <f t="shared" si="18"/>
        <v>1.767944621938232</v>
      </c>
      <c r="T298">
        <f t="shared" si="19"/>
        <v>7.0484581497797363E-2</v>
      </c>
      <c r="U298" t="str">
        <f>YEAR('Campaign Data'!$A298)&amp;"-"&amp;TEXT(MONTH('Campaign Data'!$A298),"00")</f>
        <v>2026-01</v>
      </c>
    </row>
    <row r="299" spans="1:21" x14ac:dyDescent="0.25">
      <c r="A299">
        <v>46039</v>
      </c>
      <c r="B299" t="s">
        <v>127</v>
      </c>
      <c r="C299" t="s">
        <v>128</v>
      </c>
      <c r="D299" t="s">
        <v>58</v>
      </c>
      <c r="E299" t="s">
        <v>24</v>
      </c>
      <c r="F299" t="s">
        <v>81</v>
      </c>
      <c r="G299" t="s">
        <v>129</v>
      </c>
      <c r="H299" t="s">
        <v>27</v>
      </c>
      <c r="I299" t="s">
        <v>37</v>
      </c>
      <c r="J299" t="s">
        <v>87</v>
      </c>
      <c r="K299">
        <v>4220</v>
      </c>
      <c r="L299">
        <v>67</v>
      </c>
      <c r="M299">
        <v>81.41</v>
      </c>
      <c r="N299">
        <v>2</v>
      </c>
      <c r="O299">
        <v>92.5</v>
      </c>
      <c r="P299">
        <f t="shared" si="16"/>
        <v>1.5876777251184835E-2</v>
      </c>
      <c r="Q299">
        <f t="shared" si="16"/>
        <v>1.2150746268656716</v>
      </c>
      <c r="R299">
        <f t="shared" si="17"/>
        <v>40.704999999999998</v>
      </c>
      <c r="S299">
        <f t="shared" si="18"/>
        <v>1.1362240510993735</v>
      </c>
      <c r="T299">
        <f t="shared" si="19"/>
        <v>2.9850746268656716E-2</v>
      </c>
      <c r="U299" t="str">
        <f>YEAR('Campaign Data'!$A299)&amp;"-"&amp;TEXT(MONTH('Campaign Data'!$A299),"00")</f>
        <v>2026-01</v>
      </c>
    </row>
    <row r="300" spans="1:21" x14ac:dyDescent="0.25">
      <c r="A300">
        <v>46039</v>
      </c>
      <c r="B300" t="s">
        <v>177</v>
      </c>
      <c r="C300" t="s">
        <v>178</v>
      </c>
      <c r="D300" t="s">
        <v>41</v>
      </c>
      <c r="E300" t="s">
        <v>49</v>
      </c>
      <c r="F300" t="s">
        <v>34</v>
      </c>
      <c r="G300" t="s">
        <v>107</v>
      </c>
      <c r="H300" t="s">
        <v>36</v>
      </c>
      <c r="I300" t="s">
        <v>37</v>
      </c>
      <c r="J300" t="s">
        <v>62</v>
      </c>
      <c r="K300">
        <v>3363</v>
      </c>
      <c r="L300">
        <v>162</v>
      </c>
      <c r="M300">
        <v>300.91000000000003</v>
      </c>
      <c r="N300">
        <v>8</v>
      </c>
      <c r="O300">
        <v>826.46</v>
      </c>
      <c r="P300">
        <f t="shared" si="16"/>
        <v>4.8171275646743977E-2</v>
      </c>
      <c r="Q300">
        <f t="shared" si="16"/>
        <v>1.8574691358024693</v>
      </c>
      <c r="R300">
        <f t="shared" si="17"/>
        <v>37.613750000000003</v>
      </c>
      <c r="S300">
        <f t="shared" si="18"/>
        <v>2.7465355089561663</v>
      </c>
      <c r="T300">
        <f t="shared" si="19"/>
        <v>4.9382716049382713E-2</v>
      </c>
      <c r="U300" t="str">
        <f>YEAR('Campaign Data'!$A300)&amp;"-"&amp;TEXT(MONTH('Campaign Data'!$A300),"00")</f>
        <v>2026-01</v>
      </c>
    </row>
    <row r="301" spans="1:21" x14ac:dyDescent="0.25">
      <c r="A301">
        <v>46039</v>
      </c>
      <c r="B301" t="s">
        <v>114</v>
      </c>
      <c r="C301" t="s">
        <v>115</v>
      </c>
      <c r="D301" t="s">
        <v>69</v>
      </c>
      <c r="E301" t="s">
        <v>49</v>
      </c>
      <c r="F301" t="s">
        <v>25</v>
      </c>
      <c r="G301" t="s">
        <v>107</v>
      </c>
      <c r="H301" t="s">
        <v>90</v>
      </c>
      <c r="I301" t="s">
        <v>28</v>
      </c>
      <c r="J301" t="s">
        <v>29</v>
      </c>
      <c r="K301">
        <v>3578</v>
      </c>
      <c r="L301">
        <v>166</v>
      </c>
      <c r="M301">
        <v>81.599999999999994</v>
      </c>
      <c r="N301">
        <v>5</v>
      </c>
      <c r="O301">
        <v>173.19</v>
      </c>
      <c r="P301">
        <f t="shared" si="16"/>
        <v>4.6394633873672445E-2</v>
      </c>
      <c r="Q301">
        <f t="shared" si="16"/>
        <v>0.49156626506024093</v>
      </c>
      <c r="R301">
        <f t="shared" si="17"/>
        <v>16.32</v>
      </c>
      <c r="S301">
        <f t="shared" si="18"/>
        <v>2.1224264705882354</v>
      </c>
      <c r="T301">
        <f t="shared" si="19"/>
        <v>3.0120481927710843E-2</v>
      </c>
      <c r="U301" t="str">
        <f>YEAR('Campaign Data'!$A301)&amp;"-"&amp;TEXT(MONTH('Campaign Data'!$A301),"00")</f>
        <v>2026-01</v>
      </c>
    </row>
    <row r="302" spans="1:21" x14ac:dyDescent="0.25">
      <c r="A302">
        <v>46039</v>
      </c>
      <c r="B302" t="s">
        <v>56</v>
      </c>
      <c r="C302" t="s">
        <v>57</v>
      </c>
      <c r="D302" t="s">
        <v>58</v>
      </c>
      <c r="E302" t="s">
        <v>33</v>
      </c>
      <c r="F302" t="s">
        <v>43</v>
      </c>
      <c r="G302" t="s">
        <v>59</v>
      </c>
      <c r="H302" t="s">
        <v>90</v>
      </c>
      <c r="I302" t="s">
        <v>37</v>
      </c>
      <c r="J302" t="s">
        <v>45</v>
      </c>
      <c r="K302">
        <v>3837</v>
      </c>
      <c r="L302">
        <v>25</v>
      </c>
      <c r="M302">
        <v>4.47</v>
      </c>
      <c r="N302">
        <v>0</v>
      </c>
      <c r="O302">
        <v>0</v>
      </c>
      <c r="P302">
        <f t="shared" si="16"/>
        <v>6.5155069064373209E-3</v>
      </c>
      <c r="Q302">
        <f t="shared" si="16"/>
        <v>0.17879999999999999</v>
      </c>
      <c r="R302">
        <f t="shared" si="17"/>
        <v>0</v>
      </c>
      <c r="S302">
        <f t="shared" si="18"/>
        <v>0</v>
      </c>
      <c r="T302">
        <f t="shared" si="19"/>
        <v>0</v>
      </c>
      <c r="U302" t="str">
        <f>YEAR('Campaign Data'!$A302)&amp;"-"&amp;TEXT(MONTH('Campaign Data'!$A302),"00")</f>
        <v>2026-01</v>
      </c>
    </row>
    <row r="303" spans="1:21" x14ac:dyDescent="0.25">
      <c r="A303">
        <v>46039</v>
      </c>
      <c r="B303" t="s">
        <v>56</v>
      </c>
      <c r="C303" t="s">
        <v>57</v>
      </c>
      <c r="D303" t="s">
        <v>58</v>
      </c>
      <c r="E303" t="s">
        <v>33</v>
      </c>
      <c r="F303" t="s">
        <v>43</v>
      </c>
      <c r="G303" t="s">
        <v>59</v>
      </c>
      <c r="H303" t="s">
        <v>36</v>
      </c>
      <c r="I303" t="s">
        <v>37</v>
      </c>
      <c r="J303" t="s">
        <v>87</v>
      </c>
      <c r="K303">
        <v>16751</v>
      </c>
      <c r="L303">
        <v>189</v>
      </c>
      <c r="M303">
        <v>142.43</v>
      </c>
      <c r="N303">
        <v>2</v>
      </c>
      <c r="O303">
        <v>51.62</v>
      </c>
      <c r="P303">
        <f t="shared" si="16"/>
        <v>1.1282908483075638E-2</v>
      </c>
      <c r="Q303">
        <f t="shared" si="16"/>
        <v>0.7535978835978836</v>
      </c>
      <c r="R303">
        <f t="shared" si="17"/>
        <v>71.215000000000003</v>
      </c>
      <c r="S303">
        <f t="shared" si="18"/>
        <v>0.36242364670364385</v>
      </c>
      <c r="T303">
        <f t="shared" si="19"/>
        <v>1.0582010582010581E-2</v>
      </c>
      <c r="U303" t="str">
        <f>YEAR('Campaign Data'!$A303)&amp;"-"&amp;TEXT(MONTH('Campaign Data'!$A303),"00")</f>
        <v>2026-01</v>
      </c>
    </row>
    <row r="304" spans="1:21" x14ac:dyDescent="0.25">
      <c r="A304">
        <v>46039</v>
      </c>
      <c r="B304" t="s">
        <v>141</v>
      </c>
      <c r="C304" t="s">
        <v>142</v>
      </c>
      <c r="D304" t="s">
        <v>80</v>
      </c>
      <c r="E304" t="s">
        <v>49</v>
      </c>
      <c r="F304" t="s">
        <v>81</v>
      </c>
      <c r="G304" t="s">
        <v>97</v>
      </c>
      <c r="H304" t="s">
        <v>60</v>
      </c>
      <c r="I304" t="s">
        <v>28</v>
      </c>
      <c r="J304" t="s">
        <v>29</v>
      </c>
      <c r="K304">
        <v>9353</v>
      </c>
      <c r="L304">
        <v>533</v>
      </c>
      <c r="M304">
        <v>856.39</v>
      </c>
      <c r="N304">
        <v>23</v>
      </c>
      <c r="O304">
        <v>645.44000000000005</v>
      </c>
      <c r="P304">
        <f t="shared" si="16"/>
        <v>5.6987062974446702E-2</v>
      </c>
      <c r="Q304">
        <f t="shared" si="16"/>
        <v>1.6067354596622889</v>
      </c>
      <c r="R304">
        <f t="shared" si="17"/>
        <v>37.234347826086953</v>
      </c>
      <c r="S304">
        <f t="shared" si="18"/>
        <v>0.75367531148191835</v>
      </c>
      <c r="T304">
        <f t="shared" si="19"/>
        <v>4.3151969981238276E-2</v>
      </c>
      <c r="U304" t="str">
        <f>YEAR('Campaign Data'!$A304)&amp;"-"&amp;TEXT(MONTH('Campaign Data'!$A304),"00")</f>
        <v>2026-01</v>
      </c>
    </row>
    <row r="305" spans="1:21" x14ac:dyDescent="0.25">
      <c r="A305">
        <v>46039</v>
      </c>
      <c r="B305" t="s">
        <v>136</v>
      </c>
      <c r="C305" t="s">
        <v>137</v>
      </c>
      <c r="D305" t="s">
        <v>32</v>
      </c>
      <c r="E305" t="s">
        <v>49</v>
      </c>
      <c r="F305" t="s">
        <v>75</v>
      </c>
      <c r="G305" t="s">
        <v>97</v>
      </c>
      <c r="H305" t="s">
        <v>55</v>
      </c>
      <c r="I305" t="s">
        <v>28</v>
      </c>
      <c r="J305" t="s">
        <v>29</v>
      </c>
      <c r="K305">
        <v>4474</v>
      </c>
      <c r="L305">
        <v>208</v>
      </c>
      <c r="M305">
        <v>394.19</v>
      </c>
      <c r="N305">
        <v>6</v>
      </c>
      <c r="O305">
        <v>245.54</v>
      </c>
      <c r="P305">
        <f t="shared" si="16"/>
        <v>4.6490835940992403E-2</v>
      </c>
      <c r="Q305">
        <f t="shared" si="16"/>
        <v>1.8951442307692308</v>
      </c>
      <c r="R305">
        <f t="shared" si="17"/>
        <v>65.698333333333338</v>
      </c>
      <c r="S305">
        <f t="shared" si="18"/>
        <v>0.62289758745782486</v>
      </c>
      <c r="T305">
        <f t="shared" si="19"/>
        <v>2.8846153846153848E-2</v>
      </c>
      <c r="U305" t="str">
        <f>YEAR('Campaign Data'!$A305)&amp;"-"&amp;TEXT(MONTH('Campaign Data'!$A305),"00")</f>
        <v>2026-01</v>
      </c>
    </row>
    <row r="306" spans="1:21" x14ac:dyDescent="0.25">
      <c r="A306">
        <v>46039</v>
      </c>
      <c r="B306" t="s">
        <v>67</v>
      </c>
      <c r="C306" t="s">
        <v>68</v>
      </c>
      <c r="D306" t="s">
        <v>69</v>
      </c>
      <c r="E306" t="s">
        <v>49</v>
      </c>
      <c r="F306" t="s">
        <v>34</v>
      </c>
      <c r="G306" t="s">
        <v>70</v>
      </c>
      <c r="H306" t="s">
        <v>27</v>
      </c>
      <c r="I306" t="s">
        <v>61</v>
      </c>
      <c r="J306" t="s">
        <v>87</v>
      </c>
      <c r="K306">
        <v>8013</v>
      </c>
      <c r="L306">
        <v>302</v>
      </c>
      <c r="M306">
        <v>801.23</v>
      </c>
      <c r="N306">
        <v>8</v>
      </c>
      <c r="O306">
        <v>1556.37</v>
      </c>
      <c r="P306">
        <f t="shared" si="16"/>
        <v>3.7688755771870711E-2</v>
      </c>
      <c r="Q306">
        <f t="shared" si="16"/>
        <v>2.6530794701986755</v>
      </c>
      <c r="R306">
        <f t="shared" si="17"/>
        <v>100.15375</v>
      </c>
      <c r="S306">
        <f t="shared" si="18"/>
        <v>1.9424759432372725</v>
      </c>
      <c r="T306">
        <f t="shared" si="19"/>
        <v>2.6490066225165563E-2</v>
      </c>
      <c r="U306" t="str">
        <f>YEAR('Campaign Data'!$A306)&amp;"-"&amp;TEXT(MONTH('Campaign Data'!$A306),"00")</f>
        <v>2026-01</v>
      </c>
    </row>
    <row r="307" spans="1:21" x14ac:dyDescent="0.25">
      <c r="A307">
        <v>46040</v>
      </c>
      <c r="B307" t="s">
        <v>173</v>
      </c>
      <c r="C307" t="s">
        <v>174</v>
      </c>
      <c r="D307" t="s">
        <v>48</v>
      </c>
      <c r="E307" t="s">
        <v>74</v>
      </c>
      <c r="F307" t="s">
        <v>25</v>
      </c>
      <c r="G307" t="s">
        <v>9</v>
      </c>
      <c r="H307" t="s">
        <v>27</v>
      </c>
      <c r="I307" t="s">
        <v>37</v>
      </c>
      <c r="J307" t="s">
        <v>62</v>
      </c>
      <c r="K307">
        <v>18353</v>
      </c>
      <c r="L307">
        <v>637</v>
      </c>
      <c r="M307">
        <v>936.58</v>
      </c>
      <c r="N307">
        <v>64</v>
      </c>
      <c r="O307">
        <v>6823.58</v>
      </c>
      <c r="P307">
        <f t="shared" si="16"/>
        <v>3.4708222089031765E-2</v>
      </c>
      <c r="Q307">
        <f t="shared" si="16"/>
        <v>1.4702982731554162</v>
      </c>
      <c r="R307">
        <f t="shared" si="17"/>
        <v>14.634062500000001</v>
      </c>
      <c r="S307">
        <f t="shared" si="18"/>
        <v>7.2856349697836809</v>
      </c>
      <c r="T307">
        <f t="shared" si="19"/>
        <v>0.10047095761381476</v>
      </c>
      <c r="U307" t="str">
        <f>YEAR('Campaign Data'!$A307)&amp;"-"&amp;TEXT(MONTH('Campaign Data'!$A307),"00")</f>
        <v>2026-01</v>
      </c>
    </row>
    <row r="308" spans="1:21" x14ac:dyDescent="0.25">
      <c r="A308">
        <v>46040</v>
      </c>
      <c r="B308" t="s">
        <v>88</v>
      </c>
      <c r="C308" t="s">
        <v>89</v>
      </c>
      <c r="D308" t="s">
        <v>23</v>
      </c>
      <c r="E308" t="s">
        <v>49</v>
      </c>
      <c r="F308" t="s">
        <v>81</v>
      </c>
      <c r="G308" t="s">
        <v>50</v>
      </c>
      <c r="H308" t="s">
        <v>60</v>
      </c>
      <c r="I308" t="s">
        <v>61</v>
      </c>
      <c r="J308" t="s">
        <v>29</v>
      </c>
      <c r="K308">
        <v>5665</v>
      </c>
      <c r="L308">
        <v>269</v>
      </c>
      <c r="M308">
        <v>477.4</v>
      </c>
      <c r="N308">
        <v>20</v>
      </c>
      <c r="O308">
        <v>410.08</v>
      </c>
      <c r="P308">
        <f t="shared" si="16"/>
        <v>4.7484554280670783E-2</v>
      </c>
      <c r="Q308">
        <f t="shared" si="16"/>
        <v>1.7747211895910779</v>
      </c>
      <c r="R308">
        <f t="shared" si="17"/>
        <v>23.869999999999997</v>
      </c>
      <c r="S308">
        <f t="shared" si="18"/>
        <v>0.85898617511520736</v>
      </c>
      <c r="T308">
        <f t="shared" si="19"/>
        <v>7.434944237918216E-2</v>
      </c>
      <c r="U308" t="str">
        <f>YEAR('Campaign Data'!$A308)&amp;"-"&amp;TEXT(MONTH('Campaign Data'!$A308),"00")</f>
        <v>2026-01</v>
      </c>
    </row>
    <row r="309" spans="1:21" x14ac:dyDescent="0.25">
      <c r="A309">
        <v>46040</v>
      </c>
      <c r="B309" t="s">
        <v>93</v>
      </c>
      <c r="C309" t="s">
        <v>94</v>
      </c>
      <c r="D309" t="s">
        <v>69</v>
      </c>
      <c r="E309" t="s">
        <v>42</v>
      </c>
      <c r="F309" t="s">
        <v>75</v>
      </c>
      <c r="G309" t="s">
        <v>44</v>
      </c>
      <c r="H309" t="s">
        <v>51</v>
      </c>
      <c r="I309" t="s">
        <v>37</v>
      </c>
      <c r="J309" t="s">
        <v>45</v>
      </c>
      <c r="K309">
        <v>8500</v>
      </c>
      <c r="L309">
        <v>33</v>
      </c>
      <c r="M309">
        <v>197.05</v>
      </c>
      <c r="N309">
        <v>0</v>
      </c>
      <c r="O309">
        <v>0</v>
      </c>
      <c r="P309">
        <f t="shared" si="16"/>
        <v>3.8823529411764705E-3</v>
      </c>
      <c r="Q309">
        <f t="shared" si="16"/>
        <v>5.9712121212121216</v>
      </c>
      <c r="R309">
        <f t="shared" si="17"/>
        <v>0</v>
      </c>
      <c r="S309">
        <f t="shared" si="18"/>
        <v>0</v>
      </c>
      <c r="T309">
        <f t="shared" si="19"/>
        <v>0</v>
      </c>
      <c r="U309" t="str">
        <f>YEAR('Campaign Data'!$A309)&amp;"-"&amp;TEXT(MONTH('Campaign Data'!$A309),"00")</f>
        <v>2026-01</v>
      </c>
    </row>
    <row r="310" spans="1:21" x14ac:dyDescent="0.25">
      <c r="A310">
        <v>46040</v>
      </c>
      <c r="B310" t="s">
        <v>98</v>
      </c>
      <c r="C310" t="s">
        <v>99</v>
      </c>
      <c r="D310" t="s">
        <v>69</v>
      </c>
      <c r="E310" t="s">
        <v>24</v>
      </c>
      <c r="F310" t="s">
        <v>75</v>
      </c>
      <c r="G310" t="s">
        <v>66</v>
      </c>
      <c r="H310" t="s">
        <v>27</v>
      </c>
      <c r="I310" t="s">
        <v>28</v>
      </c>
      <c r="J310" t="s">
        <v>45</v>
      </c>
      <c r="K310">
        <v>2492</v>
      </c>
      <c r="L310">
        <v>43</v>
      </c>
      <c r="M310">
        <v>68.78</v>
      </c>
      <c r="N310">
        <v>2</v>
      </c>
      <c r="O310">
        <v>42.4</v>
      </c>
      <c r="P310">
        <f t="shared" si="16"/>
        <v>1.7255216693418941E-2</v>
      </c>
      <c r="Q310">
        <f t="shared" si="16"/>
        <v>1.5995348837209302</v>
      </c>
      <c r="R310">
        <f t="shared" si="17"/>
        <v>34.39</v>
      </c>
      <c r="S310">
        <f t="shared" si="18"/>
        <v>0.61645827275370746</v>
      </c>
      <c r="T310">
        <f t="shared" si="19"/>
        <v>4.6511627906976744E-2</v>
      </c>
      <c r="U310" t="str">
        <f>YEAR('Campaign Data'!$A310)&amp;"-"&amp;TEXT(MONTH('Campaign Data'!$A310),"00")</f>
        <v>2026-01</v>
      </c>
    </row>
    <row r="311" spans="1:21" x14ac:dyDescent="0.25">
      <c r="A311">
        <v>46040</v>
      </c>
      <c r="B311" t="s">
        <v>169</v>
      </c>
      <c r="C311" t="s">
        <v>170</v>
      </c>
      <c r="D311" t="s">
        <v>58</v>
      </c>
      <c r="E311" t="s">
        <v>74</v>
      </c>
      <c r="F311" t="s">
        <v>75</v>
      </c>
      <c r="G311" t="s">
        <v>9</v>
      </c>
      <c r="H311" t="s">
        <v>27</v>
      </c>
      <c r="I311" t="s">
        <v>37</v>
      </c>
      <c r="J311" t="s">
        <v>38</v>
      </c>
      <c r="K311">
        <v>11752</v>
      </c>
      <c r="L311">
        <v>198</v>
      </c>
      <c r="M311">
        <v>274.63</v>
      </c>
      <c r="N311">
        <v>3</v>
      </c>
      <c r="O311">
        <v>115.61</v>
      </c>
      <c r="P311">
        <f t="shared" si="16"/>
        <v>1.6848196051735875E-2</v>
      </c>
      <c r="Q311">
        <f t="shared" si="16"/>
        <v>1.387020202020202</v>
      </c>
      <c r="R311">
        <f t="shared" si="17"/>
        <v>91.543333333333337</v>
      </c>
      <c r="S311">
        <f t="shared" si="18"/>
        <v>0.42096639114444889</v>
      </c>
      <c r="T311">
        <f t="shared" si="19"/>
        <v>1.5151515151515152E-2</v>
      </c>
      <c r="U311" t="str">
        <f>YEAR('Campaign Data'!$A311)&amp;"-"&amp;TEXT(MONTH('Campaign Data'!$A311),"00")</f>
        <v>2026-01</v>
      </c>
    </row>
    <row r="312" spans="1:21" x14ac:dyDescent="0.25">
      <c r="A312">
        <v>46040</v>
      </c>
      <c r="B312" t="s">
        <v>103</v>
      </c>
      <c r="C312" t="s">
        <v>104</v>
      </c>
      <c r="D312" t="s">
        <v>65</v>
      </c>
      <c r="E312" t="s">
        <v>33</v>
      </c>
      <c r="F312" t="s">
        <v>43</v>
      </c>
      <c r="G312" t="s">
        <v>102</v>
      </c>
      <c r="H312" t="s">
        <v>27</v>
      </c>
      <c r="I312" t="s">
        <v>37</v>
      </c>
      <c r="J312" t="s">
        <v>29</v>
      </c>
      <c r="K312">
        <v>10036</v>
      </c>
      <c r="L312">
        <v>56</v>
      </c>
      <c r="M312">
        <v>31.13</v>
      </c>
      <c r="N312">
        <v>0</v>
      </c>
      <c r="O312">
        <v>0</v>
      </c>
      <c r="P312">
        <f t="shared" si="16"/>
        <v>5.5799123156636109E-3</v>
      </c>
      <c r="Q312">
        <f t="shared" si="16"/>
        <v>0.55589285714285708</v>
      </c>
      <c r="R312">
        <f t="shared" si="17"/>
        <v>0</v>
      </c>
      <c r="S312">
        <f t="shared" si="18"/>
        <v>0</v>
      </c>
      <c r="T312">
        <f t="shared" si="19"/>
        <v>0</v>
      </c>
      <c r="U312" t="str">
        <f>YEAR('Campaign Data'!$A312)&amp;"-"&amp;TEXT(MONTH('Campaign Data'!$A312),"00")</f>
        <v>2026-01</v>
      </c>
    </row>
    <row r="313" spans="1:21" x14ac:dyDescent="0.25">
      <c r="A313">
        <v>46040</v>
      </c>
      <c r="B313" t="s">
        <v>155</v>
      </c>
      <c r="C313" t="s">
        <v>156</v>
      </c>
      <c r="D313" t="s">
        <v>32</v>
      </c>
      <c r="E313" t="s">
        <v>24</v>
      </c>
      <c r="F313" t="s">
        <v>34</v>
      </c>
      <c r="G313" t="s">
        <v>129</v>
      </c>
      <c r="H313" t="s">
        <v>55</v>
      </c>
      <c r="I313" t="s">
        <v>37</v>
      </c>
      <c r="J313" t="s">
        <v>62</v>
      </c>
      <c r="K313">
        <v>1125</v>
      </c>
      <c r="L313">
        <v>21</v>
      </c>
      <c r="M313">
        <v>20.86</v>
      </c>
      <c r="N313">
        <v>0</v>
      </c>
      <c r="O313">
        <v>0</v>
      </c>
      <c r="P313">
        <f t="shared" si="16"/>
        <v>1.8666666666666668E-2</v>
      </c>
      <c r="Q313">
        <f t="shared" si="16"/>
        <v>0.99333333333333329</v>
      </c>
      <c r="R313">
        <f t="shared" si="17"/>
        <v>0</v>
      </c>
      <c r="S313">
        <f t="shared" si="18"/>
        <v>0</v>
      </c>
      <c r="T313">
        <f t="shared" si="19"/>
        <v>0</v>
      </c>
      <c r="U313" t="str">
        <f>YEAR('Campaign Data'!$A313)&amp;"-"&amp;TEXT(MONTH('Campaign Data'!$A313),"00")</f>
        <v>2026-01</v>
      </c>
    </row>
    <row r="314" spans="1:21" x14ac:dyDescent="0.25">
      <c r="A314">
        <v>46040</v>
      </c>
      <c r="B314" t="s">
        <v>112</v>
      </c>
      <c r="C314" t="s">
        <v>113</v>
      </c>
      <c r="D314" t="s">
        <v>32</v>
      </c>
      <c r="E314" t="s">
        <v>24</v>
      </c>
      <c r="F314" t="s">
        <v>75</v>
      </c>
      <c r="G314" t="s">
        <v>66</v>
      </c>
      <c r="H314" t="s">
        <v>55</v>
      </c>
      <c r="I314" t="s">
        <v>37</v>
      </c>
      <c r="J314" t="s">
        <v>62</v>
      </c>
      <c r="K314">
        <v>16769</v>
      </c>
      <c r="L314">
        <v>272</v>
      </c>
      <c r="M314">
        <v>163.05000000000001</v>
      </c>
      <c r="N314">
        <v>9</v>
      </c>
      <c r="O314">
        <v>322.44</v>
      </c>
      <c r="P314">
        <f t="shared" si="16"/>
        <v>1.6220406702844536E-2</v>
      </c>
      <c r="Q314">
        <f t="shared" si="16"/>
        <v>0.59944852941176474</v>
      </c>
      <c r="R314">
        <f t="shared" si="17"/>
        <v>18.116666666666667</v>
      </c>
      <c r="S314">
        <f t="shared" si="18"/>
        <v>1.9775528978840844</v>
      </c>
      <c r="T314">
        <f t="shared" si="19"/>
        <v>3.3088235294117647E-2</v>
      </c>
      <c r="U314" t="str">
        <f>YEAR('Campaign Data'!$A314)&amp;"-"&amp;TEXT(MONTH('Campaign Data'!$A314),"00")</f>
        <v>2026-01</v>
      </c>
    </row>
    <row r="315" spans="1:21" x14ac:dyDescent="0.25">
      <c r="A315">
        <v>46040</v>
      </c>
      <c r="B315" t="s">
        <v>161</v>
      </c>
      <c r="C315" t="s">
        <v>162</v>
      </c>
      <c r="D315" t="s">
        <v>48</v>
      </c>
      <c r="E315" t="s">
        <v>74</v>
      </c>
      <c r="F315" t="s">
        <v>34</v>
      </c>
      <c r="G315" t="s">
        <v>107</v>
      </c>
      <c r="H315" t="s">
        <v>71</v>
      </c>
      <c r="I315" t="s">
        <v>37</v>
      </c>
      <c r="J315" t="s">
        <v>87</v>
      </c>
      <c r="K315">
        <v>5777</v>
      </c>
      <c r="L315">
        <v>167</v>
      </c>
      <c r="M315">
        <v>187.63</v>
      </c>
      <c r="N315">
        <v>6</v>
      </c>
      <c r="O315">
        <v>537.80999999999995</v>
      </c>
      <c r="P315">
        <f t="shared" si="16"/>
        <v>2.8907737580058854E-2</v>
      </c>
      <c r="Q315">
        <f t="shared" si="16"/>
        <v>1.1235329341317366</v>
      </c>
      <c r="R315">
        <f t="shared" si="17"/>
        <v>31.271666666666665</v>
      </c>
      <c r="S315">
        <f t="shared" si="18"/>
        <v>2.8663326760112988</v>
      </c>
      <c r="T315">
        <f t="shared" si="19"/>
        <v>3.5928143712574849E-2</v>
      </c>
      <c r="U315" t="str">
        <f>YEAR('Campaign Data'!$A315)&amp;"-"&amp;TEXT(MONTH('Campaign Data'!$A315),"00")</f>
        <v>2026-01</v>
      </c>
    </row>
    <row r="316" spans="1:21" x14ac:dyDescent="0.25">
      <c r="A316">
        <v>46040</v>
      </c>
      <c r="B316" t="s">
        <v>56</v>
      </c>
      <c r="C316" t="s">
        <v>57</v>
      </c>
      <c r="D316" t="s">
        <v>58</v>
      </c>
      <c r="E316" t="s">
        <v>33</v>
      </c>
      <c r="F316" t="s">
        <v>43</v>
      </c>
      <c r="G316" t="s">
        <v>59</v>
      </c>
      <c r="H316" t="s">
        <v>51</v>
      </c>
      <c r="I316" t="s">
        <v>37</v>
      </c>
      <c r="J316" t="s">
        <v>29</v>
      </c>
      <c r="K316">
        <v>10672</v>
      </c>
      <c r="L316">
        <v>35</v>
      </c>
      <c r="M316">
        <v>24.48</v>
      </c>
      <c r="N316">
        <v>0</v>
      </c>
      <c r="O316">
        <v>0</v>
      </c>
      <c r="P316">
        <f t="shared" si="16"/>
        <v>3.2796101949025486E-3</v>
      </c>
      <c r="Q316">
        <f t="shared" si="16"/>
        <v>0.6994285714285714</v>
      </c>
      <c r="R316">
        <f t="shared" si="17"/>
        <v>0</v>
      </c>
      <c r="S316">
        <f t="shared" si="18"/>
        <v>0</v>
      </c>
      <c r="T316">
        <f t="shared" si="19"/>
        <v>0</v>
      </c>
      <c r="U316" t="str">
        <f>YEAR('Campaign Data'!$A316)&amp;"-"&amp;TEXT(MONTH('Campaign Data'!$A316),"00")</f>
        <v>2026-01</v>
      </c>
    </row>
    <row r="317" spans="1:21" x14ac:dyDescent="0.25">
      <c r="A317">
        <v>46040</v>
      </c>
      <c r="B317" t="s">
        <v>143</v>
      </c>
      <c r="C317" t="s">
        <v>144</v>
      </c>
      <c r="D317" t="s">
        <v>48</v>
      </c>
      <c r="E317" t="s">
        <v>42</v>
      </c>
      <c r="F317" t="s">
        <v>25</v>
      </c>
      <c r="G317" t="s">
        <v>84</v>
      </c>
      <c r="H317" t="s">
        <v>36</v>
      </c>
      <c r="I317" t="s">
        <v>37</v>
      </c>
      <c r="J317" t="s">
        <v>62</v>
      </c>
      <c r="K317">
        <v>12766</v>
      </c>
      <c r="L317">
        <v>88</v>
      </c>
      <c r="M317">
        <v>510.47</v>
      </c>
      <c r="N317">
        <v>4</v>
      </c>
      <c r="O317">
        <v>947.79</v>
      </c>
      <c r="P317">
        <f t="shared" si="16"/>
        <v>6.8933103556321476E-3</v>
      </c>
      <c r="Q317">
        <f t="shared" si="16"/>
        <v>5.8007954545454545</v>
      </c>
      <c r="R317">
        <f t="shared" si="17"/>
        <v>127.61750000000001</v>
      </c>
      <c r="S317">
        <f t="shared" si="18"/>
        <v>1.8567006876016219</v>
      </c>
      <c r="T317">
        <f t="shared" si="19"/>
        <v>4.5454545454545456E-2</v>
      </c>
      <c r="U317" t="str">
        <f>YEAR('Campaign Data'!$A317)&amp;"-"&amp;TEXT(MONTH('Campaign Data'!$A317),"00")</f>
        <v>2026-01</v>
      </c>
    </row>
    <row r="318" spans="1:21" x14ac:dyDescent="0.25">
      <c r="A318">
        <v>46040</v>
      </c>
      <c r="B318" t="s">
        <v>76</v>
      </c>
      <c r="C318" t="s">
        <v>77</v>
      </c>
      <c r="D318" t="s">
        <v>65</v>
      </c>
      <c r="E318" t="s">
        <v>42</v>
      </c>
      <c r="F318" t="s">
        <v>43</v>
      </c>
      <c r="G318" t="s">
        <v>44</v>
      </c>
      <c r="H318" t="s">
        <v>55</v>
      </c>
      <c r="I318" t="s">
        <v>28</v>
      </c>
      <c r="J318" t="s">
        <v>45</v>
      </c>
      <c r="K318">
        <v>12733</v>
      </c>
      <c r="L318">
        <v>110</v>
      </c>
      <c r="M318">
        <v>478.59</v>
      </c>
      <c r="N318">
        <v>1</v>
      </c>
      <c r="O318">
        <v>15.65</v>
      </c>
      <c r="P318">
        <f t="shared" si="16"/>
        <v>8.6389696065342029E-3</v>
      </c>
      <c r="Q318">
        <f t="shared" si="16"/>
        <v>4.3508181818181813</v>
      </c>
      <c r="R318">
        <f t="shared" si="17"/>
        <v>478.59</v>
      </c>
      <c r="S318">
        <f t="shared" si="18"/>
        <v>3.2700223573413574E-2</v>
      </c>
      <c r="T318">
        <f t="shared" si="19"/>
        <v>9.0909090909090905E-3</v>
      </c>
      <c r="U318" t="str">
        <f>YEAR('Campaign Data'!$A318)&amp;"-"&amp;TEXT(MONTH('Campaign Data'!$A318),"00")</f>
        <v>2026-01</v>
      </c>
    </row>
    <row r="319" spans="1:21" x14ac:dyDescent="0.25">
      <c r="A319">
        <v>46040</v>
      </c>
      <c r="B319" t="s">
        <v>120</v>
      </c>
      <c r="C319" t="s">
        <v>121</v>
      </c>
      <c r="D319" t="s">
        <v>23</v>
      </c>
      <c r="E319" t="s">
        <v>49</v>
      </c>
      <c r="F319" t="s">
        <v>75</v>
      </c>
      <c r="G319" t="s">
        <v>70</v>
      </c>
      <c r="H319" t="s">
        <v>27</v>
      </c>
      <c r="I319" t="s">
        <v>37</v>
      </c>
      <c r="J319" t="s">
        <v>62</v>
      </c>
      <c r="K319">
        <v>18659</v>
      </c>
      <c r="L319">
        <v>1262</v>
      </c>
      <c r="M319">
        <v>2945.77</v>
      </c>
      <c r="N319">
        <v>79</v>
      </c>
      <c r="O319">
        <v>4187.9799999999996</v>
      </c>
      <c r="P319">
        <f t="shared" si="16"/>
        <v>6.7634921485610164E-2</v>
      </c>
      <c r="Q319">
        <f t="shared" si="16"/>
        <v>2.3342076069730586</v>
      </c>
      <c r="R319">
        <f t="shared" si="17"/>
        <v>37.288227848101265</v>
      </c>
      <c r="S319">
        <f t="shared" si="18"/>
        <v>1.4216928001846714</v>
      </c>
      <c r="T319">
        <f t="shared" si="19"/>
        <v>6.2599049128367668E-2</v>
      </c>
      <c r="U319" t="str">
        <f>YEAR('Campaign Data'!$A319)&amp;"-"&amp;TEXT(MONTH('Campaign Data'!$A319),"00")</f>
        <v>2026-01</v>
      </c>
    </row>
    <row r="320" spans="1:21" x14ac:dyDescent="0.25">
      <c r="A320">
        <v>46040</v>
      </c>
      <c r="B320" t="s">
        <v>82</v>
      </c>
      <c r="C320" t="s">
        <v>83</v>
      </c>
      <c r="D320" t="s">
        <v>80</v>
      </c>
      <c r="E320" t="s">
        <v>42</v>
      </c>
      <c r="F320" t="s">
        <v>34</v>
      </c>
      <c r="G320" t="s">
        <v>84</v>
      </c>
      <c r="H320" t="s">
        <v>90</v>
      </c>
      <c r="I320" t="s">
        <v>28</v>
      </c>
      <c r="J320" t="s">
        <v>29</v>
      </c>
      <c r="K320">
        <v>8958</v>
      </c>
      <c r="L320">
        <v>41</v>
      </c>
      <c r="M320">
        <v>55.6</v>
      </c>
      <c r="N320">
        <v>0</v>
      </c>
      <c r="O320">
        <v>0</v>
      </c>
      <c r="P320">
        <f t="shared" si="16"/>
        <v>4.5769144898414821E-3</v>
      </c>
      <c r="Q320">
        <f t="shared" si="16"/>
        <v>1.3560975609756099</v>
      </c>
      <c r="R320">
        <f t="shared" si="17"/>
        <v>0</v>
      </c>
      <c r="S320">
        <f t="shared" si="18"/>
        <v>0</v>
      </c>
      <c r="T320">
        <f t="shared" si="19"/>
        <v>0</v>
      </c>
      <c r="U320" t="str">
        <f>YEAR('Campaign Data'!$A320)&amp;"-"&amp;TEXT(MONTH('Campaign Data'!$A320),"00")</f>
        <v>2026-01</v>
      </c>
    </row>
    <row r="321" spans="1:21" x14ac:dyDescent="0.25">
      <c r="A321">
        <v>46041</v>
      </c>
      <c r="B321" t="s">
        <v>165</v>
      </c>
      <c r="C321" t="s">
        <v>166</v>
      </c>
      <c r="D321" t="s">
        <v>41</v>
      </c>
      <c r="E321" t="s">
        <v>33</v>
      </c>
      <c r="F321" t="s">
        <v>43</v>
      </c>
      <c r="G321" t="s">
        <v>59</v>
      </c>
      <c r="H321" t="s">
        <v>51</v>
      </c>
      <c r="I321" t="s">
        <v>28</v>
      </c>
      <c r="J321" t="s">
        <v>38</v>
      </c>
      <c r="K321">
        <v>5612</v>
      </c>
      <c r="L321">
        <v>48</v>
      </c>
      <c r="M321">
        <v>29.12</v>
      </c>
      <c r="N321">
        <v>0</v>
      </c>
      <c r="O321">
        <v>0</v>
      </c>
      <c r="P321">
        <f t="shared" si="16"/>
        <v>8.5531004989308629E-3</v>
      </c>
      <c r="Q321">
        <f t="shared" si="16"/>
        <v>0.60666666666666669</v>
      </c>
      <c r="R321">
        <f t="shared" si="17"/>
        <v>0</v>
      </c>
      <c r="S321">
        <f t="shared" si="18"/>
        <v>0</v>
      </c>
      <c r="T321">
        <f t="shared" si="19"/>
        <v>0</v>
      </c>
      <c r="U321" t="str">
        <f>YEAR('Campaign Data'!$A321)&amp;"-"&amp;TEXT(MONTH('Campaign Data'!$A321),"00")</f>
        <v>2026-01</v>
      </c>
    </row>
    <row r="322" spans="1:21" x14ac:dyDescent="0.25">
      <c r="A322">
        <v>46041</v>
      </c>
      <c r="B322" t="s">
        <v>88</v>
      </c>
      <c r="C322" t="s">
        <v>89</v>
      </c>
      <c r="D322" t="s">
        <v>23</v>
      </c>
      <c r="E322" t="s">
        <v>49</v>
      </c>
      <c r="F322" t="s">
        <v>81</v>
      </c>
      <c r="G322" t="s">
        <v>50</v>
      </c>
      <c r="H322" t="s">
        <v>90</v>
      </c>
      <c r="I322" t="s">
        <v>37</v>
      </c>
      <c r="J322" t="s">
        <v>45</v>
      </c>
      <c r="K322">
        <v>2152</v>
      </c>
      <c r="L322">
        <v>82</v>
      </c>
      <c r="M322">
        <v>32.1</v>
      </c>
      <c r="N322">
        <v>2</v>
      </c>
      <c r="O322">
        <v>10</v>
      </c>
      <c r="P322">
        <f t="shared" ref="P322:Q385" si="20">IF(K322=0,0,L322/K322)</f>
        <v>3.8104089219330853E-2</v>
      </c>
      <c r="Q322">
        <f t="shared" si="20"/>
        <v>0.39146341463414636</v>
      </c>
      <c r="R322">
        <f t="shared" ref="R322:R385" si="21">IF(N322=0,0,M322/N322)</f>
        <v>16.05</v>
      </c>
      <c r="S322">
        <f t="shared" ref="S322:S385" si="22">IF(M322=0,0,O322/M322)</f>
        <v>0.3115264797507788</v>
      </c>
      <c r="T322">
        <f t="shared" ref="T322:T385" si="23">IF(L322=0,0,N322/L322)</f>
        <v>2.4390243902439025E-2</v>
      </c>
      <c r="U322" t="str">
        <f>YEAR('Campaign Data'!$A322)&amp;"-"&amp;TEXT(MONTH('Campaign Data'!$A322),"00")</f>
        <v>2026-01</v>
      </c>
    </row>
    <row r="323" spans="1:21" x14ac:dyDescent="0.25">
      <c r="A323">
        <v>46041</v>
      </c>
      <c r="B323" t="s">
        <v>149</v>
      </c>
      <c r="C323" t="s">
        <v>150</v>
      </c>
      <c r="D323" t="s">
        <v>65</v>
      </c>
      <c r="E323" t="s">
        <v>33</v>
      </c>
      <c r="F323" t="s">
        <v>43</v>
      </c>
      <c r="G323" t="s">
        <v>59</v>
      </c>
      <c r="H323" t="s">
        <v>27</v>
      </c>
      <c r="I323" t="s">
        <v>37</v>
      </c>
      <c r="J323" t="s">
        <v>45</v>
      </c>
      <c r="K323">
        <v>11482</v>
      </c>
      <c r="L323">
        <v>87</v>
      </c>
      <c r="M323">
        <v>84.12</v>
      </c>
      <c r="N323">
        <v>0</v>
      </c>
      <c r="O323">
        <v>0</v>
      </c>
      <c r="P323">
        <f t="shared" si="20"/>
        <v>7.5770771642570981E-3</v>
      </c>
      <c r="Q323">
        <f t="shared" si="20"/>
        <v>0.96689655172413802</v>
      </c>
      <c r="R323">
        <f t="shared" si="21"/>
        <v>0</v>
      </c>
      <c r="S323">
        <f t="shared" si="22"/>
        <v>0</v>
      </c>
      <c r="T323">
        <f t="shared" si="23"/>
        <v>0</v>
      </c>
      <c r="U323" t="str">
        <f>YEAR('Campaign Data'!$A323)&amp;"-"&amp;TEXT(MONTH('Campaign Data'!$A323),"00")</f>
        <v>2026-01</v>
      </c>
    </row>
    <row r="324" spans="1:21" x14ac:dyDescent="0.25">
      <c r="A324">
        <v>46041</v>
      </c>
      <c r="B324" t="s">
        <v>52</v>
      </c>
      <c r="C324" t="s">
        <v>53</v>
      </c>
      <c r="D324" t="s">
        <v>32</v>
      </c>
      <c r="E324" t="s">
        <v>42</v>
      </c>
      <c r="F324" t="s">
        <v>25</v>
      </c>
      <c r="G324" t="s">
        <v>54</v>
      </c>
      <c r="H324" t="s">
        <v>90</v>
      </c>
      <c r="I324" t="s">
        <v>28</v>
      </c>
      <c r="J324" t="s">
        <v>38</v>
      </c>
      <c r="K324">
        <v>2041</v>
      </c>
      <c r="L324">
        <v>12</v>
      </c>
      <c r="M324">
        <v>22.16</v>
      </c>
      <c r="N324">
        <v>0</v>
      </c>
      <c r="O324">
        <v>0</v>
      </c>
      <c r="P324">
        <f t="shared" si="20"/>
        <v>5.8794708476237138E-3</v>
      </c>
      <c r="Q324">
        <f t="shared" si="20"/>
        <v>1.8466666666666667</v>
      </c>
      <c r="R324">
        <f t="shared" si="21"/>
        <v>0</v>
      </c>
      <c r="S324">
        <f t="shared" si="22"/>
        <v>0</v>
      </c>
      <c r="T324">
        <f t="shared" si="23"/>
        <v>0</v>
      </c>
      <c r="U324" t="str">
        <f>YEAR('Campaign Data'!$A324)&amp;"-"&amp;TEXT(MONTH('Campaign Data'!$A324),"00")</f>
        <v>2026-01</v>
      </c>
    </row>
    <row r="325" spans="1:21" x14ac:dyDescent="0.25">
      <c r="A325">
        <v>46041</v>
      </c>
      <c r="B325" t="s">
        <v>127</v>
      </c>
      <c r="C325" t="s">
        <v>128</v>
      </c>
      <c r="D325" t="s">
        <v>58</v>
      </c>
      <c r="E325" t="s">
        <v>24</v>
      </c>
      <c r="F325" t="s">
        <v>81</v>
      </c>
      <c r="G325" t="s">
        <v>129</v>
      </c>
      <c r="H325" t="s">
        <v>55</v>
      </c>
      <c r="I325" t="s">
        <v>37</v>
      </c>
      <c r="J325" t="s">
        <v>87</v>
      </c>
      <c r="K325">
        <v>10701</v>
      </c>
      <c r="L325">
        <v>149</v>
      </c>
      <c r="M325">
        <v>149.38999999999999</v>
      </c>
      <c r="N325">
        <v>2</v>
      </c>
      <c r="O325">
        <v>28.82</v>
      </c>
      <c r="P325">
        <f t="shared" si="20"/>
        <v>1.3923932342771703E-2</v>
      </c>
      <c r="Q325">
        <f t="shared" si="20"/>
        <v>1.0026174496644293</v>
      </c>
      <c r="R325">
        <f t="shared" si="21"/>
        <v>74.694999999999993</v>
      </c>
      <c r="S325">
        <f t="shared" si="22"/>
        <v>0.19291786598835264</v>
      </c>
      <c r="T325">
        <f t="shared" si="23"/>
        <v>1.3422818791946308E-2</v>
      </c>
      <c r="U325" t="str">
        <f>YEAR('Campaign Data'!$A325)&amp;"-"&amp;TEXT(MONTH('Campaign Data'!$A325),"00")</f>
        <v>2026-01</v>
      </c>
    </row>
    <row r="326" spans="1:21" x14ac:dyDescent="0.25">
      <c r="A326">
        <v>46041</v>
      </c>
      <c r="B326" t="s">
        <v>103</v>
      </c>
      <c r="C326" t="s">
        <v>104</v>
      </c>
      <c r="D326" t="s">
        <v>65</v>
      </c>
      <c r="E326" t="s">
        <v>33</v>
      </c>
      <c r="F326" t="s">
        <v>43</v>
      </c>
      <c r="G326" t="s">
        <v>102</v>
      </c>
      <c r="H326" t="s">
        <v>36</v>
      </c>
      <c r="I326" t="s">
        <v>28</v>
      </c>
      <c r="J326" t="s">
        <v>29</v>
      </c>
      <c r="K326">
        <v>30314</v>
      </c>
      <c r="L326">
        <v>196</v>
      </c>
      <c r="M326">
        <v>145.6</v>
      </c>
      <c r="N326">
        <v>4</v>
      </c>
      <c r="O326">
        <v>155.22999999999999</v>
      </c>
      <c r="P326">
        <f t="shared" si="20"/>
        <v>6.4656594312858745E-3</v>
      </c>
      <c r="Q326">
        <f t="shared" si="20"/>
        <v>0.74285714285714288</v>
      </c>
      <c r="R326">
        <f t="shared" si="21"/>
        <v>36.4</v>
      </c>
      <c r="S326">
        <f t="shared" si="22"/>
        <v>1.0661401098901098</v>
      </c>
      <c r="T326">
        <f t="shared" si="23"/>
        <v>2.0408163265306121E-2</v>
      </c>
      <c r="U326" t="str">
        <f>YEAR('Campaign Data'!$A326)&amp;"-"&amp;TEXT(MONTH('Campaign Data'!$A326),"00")</f>
        <v>2026-01</v>
      </c>
    </row>
    <row r="327" spans="1:21" x14ac:dyDescent="0.25">
      <c r="A327">
        <v>46041</v>
      </c>
      <c r="B327" t="s">
        <v>157</v>
      </c>
      <c r="C327" t="s">
        <v>158</v>
      </c>
      <c r="D327" t="s">
        <v>58</v>
      </c>
      <c r="E327" t="s">
        <v>49</v>
      </c>
      <c r="F327" t="s">
        <v>81</v>
      </c>
      <c r="G327" t="s">
        <v>50</v>
      </c>
      <c r="H327" t="s">
        <v>27</v>
      </c>
      <c r="I327" t="s">
        <v>37</v>
      </c>
      <c r="J327" t="s">
        <v>62</v>
      </c>
      <c r="K327">
        <v>11332</v>
      </c>
      <c r="L327">
        <v>942</v>
      </c>
      <c r="M327">
        <v>2767.84</v>
      </c>
      <c r="N327">
        <v>77</v>
      </c>
      <c r="O327">
        <v>2213.5</v>
      </c>
      <c r="P327">
        <f t="shared" si="20"/>
        <v>8.3127426756088946E-2</v>
      </c>
      <c r="Q327">
        <f t="shared" si="20"/>
        <v>2.9382590233545649</v>
      </c>
      <c r="R327">
        <f t="shared" si="21"/>
        <v>35.945974025974024</v>
      </c>
      <c r="S327">
        <f t="shared" si="22"/>
        <v>0.79972108214347648</v>
      </c>
      <c r="T327">
        <f t="shared" si="23"/>
        <v>8.174097664543524E-2</v>
      </c>
      <c r="U327" t="str">
        <f>YEAR('Campaign Data'!$A327)&amp;"-"&amp;TEXT(MONTH('Campaign Data'!$A327),"00")</f>
        <v>2026-01</v>
      </c>
    </row>
    <row r="328" spans="1:21" x14ac:dyDescent="0.25">
      <c r="A328">
        <v>46041</v>
      </c>
      <c r="B328" t="s">
        <v>159</v>
      </c>
      <c r="C328" t="s">
        <v>160</v>
      </c>
      <c r="D328" t="s">
        <v>65</v>
      </c>
      <c r="E328" t="s">
        <v>42</v>
      </c>
      <c r="F328" t="s">
        <v>75</v>
      </c>
      <c r="G328" t="s">
        <v>54</v>
      </c>
      <c r="H328" t="s">
        <v>71</v>
      </c>
      <c r="I328" t="s">
        <v>37</v>
      </c>
      <c r="J328" t="s">
        <v>87</v>
      </c>
      <c r="K328">
        <v>4896</v>
      </c>
      <c r="L328">
        <v>27</v>
      </c>
      <c r="M328">
        <v>117.71</v>
      </c>
      <c r="N328">
        <v>1</v>
      </c>
      <c r="O328">
        <v>45.65</v>
      </c>
      <c r="P328">
        <f t="shared" si="20"/>
        <v>5.5147058823529415E-3</v>
      </c>
      <c r="Q328">
        <f t="shared" si="20"/>
        <v>4.3596296296296293</v>
      </c>
      <c r="R328">
        <f t="shared" si="21"/>
        <v>117.71</v>
      </c>
      <c r="S328">
        <f t="shared" si="22"/>
        <v>0.38781751762806899</v>
      </c>
      <c r="T328">
        <f t="shared" si="23"/>
        <v>3.7037037037037035E-2</v>
      </c>
      <c r="U328" t="str">
        <f>YEAR('Campaign Data'!$A328)&amp;"-"&amp;TEXT(MONTH('Campaign Data'!$A328),"00")</f>
        <v>2026-01</v>
      </c>
    </row>
    <row r="329" spans="1:21" x14ac:dyDescent="0.25">
      <c r="A329">
        <v>46041</v>
      </c>
      <c r="B329" t="s">
        <v>159</v>
      </c>
      <c r="C329" t="s">
        <v>160</v>
      </c>
      <c r="D329" t="s">
        <v>65</v>
      </c>
      <c r="E329" t="s">
        <v>42</v>
      </c>
      <c r="F329" t="s">
        <v>75</v>
      </c>
      <c r="G329" t="s">
        <v>54</v>
      </c>
      <c r="H329" t="s">
        <v>55</v>
      </c>
      <c r="I329" t="s">
        <v>37</v>
      </c>
      <c r="J329" t="s">
        <v>87</v>
      </c>
      <c r="K329">
        <v>2499</v>
      </c>
      <c r="L329">
        <v>13</v>
      </c>
      <c r="M329">
        <v>62.88</v>
      </c>
      <c r="N329">
        <v>0</v>
      </c>
      <c r="O329">
        <v>0</v>
      </c>
      <c r="P329">
        <f t="shared" si="20"/>
        <v>5.202080832332933E-3</v>
      </c>
      <c r="Q329">
        <f t="shared" si="20"/>
        <v>4.8369230769230773</v>
      </c>
      <c r="R329">
        <f t="shared" si="21"/>
        <v>0</v>
      </c>
      <c r="S329">
        <f t="shared" si="22"/>
        <v>0</v>
      </c>
      <c r="T329">
        <f t="shared" si="23"/>
        <v>0</v>
      </c>
      <c r="U329" t="str">
        <f>YEAR('Campaign Data'!$A329)&amp;"-"&amp;TEXT(MONTH('Campaign Data'!$A329),"00")</f>
        <v>2026-01</v>
      </c>
    </row>
    <row r="330" spans="1:21" x14ac:dyDescent="0.25">
      <c r="A330">
        <v>46041</v>
      </c>
      <c r="B330" t="s">
        <v>143</v>
      </c>
      <c r="C330" t="s">
        <v>144</v>
      </c>
      <c r="D330" t="s">
        <v>48</v>
      </c>
      <c r="E330" t="s">
        <v>42</v>
      </c>
      <c r="F330" t="s">
        <v>25</v>
      </c>
      <c r="G330" t="s">
        <v>84</v>
      </c>
      <c r="H330" t="s">
        <v>27</v>
      </c>
      <c r="I330" t="s">
        <v>28</v>
      </c>
      <c r="J330" t="s">
        <v>87</v>
      </c>
      <c r="K330">
        <v>12015</v>
      </c>
      <c r="L330">
        <v>63</v>
      </c>
      <c r="M330">
        <v>559.48</v>
      </c>
      <c r="N330">
        <v>4</v>
      </c>
      <c r="O330">
        <v>446.07</v>
      </c>
      <c r="P330">
        <f t="shared" si="20"/>
        <v>5.2434456928838954E-3</v>
      </c>
      <c r="Q330">
        <f t="shared" si="20"/>
        <v>8.8806349206349218</v>
      </c>
      <c r="R330">
        <f t="shared" si="21"/>
        <v>139.87</v>
      </c>
      <c r="S330">
        <f t="shared" si="22"/>
        <v>0.7972939157789376</v>
      </c>
      <c r="T330">
        <f t="shared" si="23"/>
        <v>6.3492063492063489E-2</v>
      </c>
      <c r="U330" t="str">
        <f>YEAR('Campaign Data'!$A330)&amp;"-"&amp;TEXT(MONTH('Campaign Data'!$A330),"00")</f>
        <v>2026-01</v>
      </c>
    </row>
    <row r="331" spans="1:21" x14ac:dyDescent="0.25">
      <c r="A331">
        <v>46041</v>
      </c>
      <c r="B331" t="s">
        <v>67</v>
      </c>
      <c r="C331" t="s">
        <v>68</v>
      </c>
      <c r="D331" t="s">
        <v>69</v>
      </c>
      <c r="E331" t="s">
        <v>49</v>
      </c>
      <c r="F331" t="s">
        <v>34</v>
      </c>
      <c r="G331" t="s">
        <v>70</v>
      </c>
      <c r="H331" t="s">
        <v>27</v>
      </c>
      <c r="I331" t="s">
        <v>37</v>
      </c>
      <c r="J331" t="s">
        <v>62</v>
      </c>
      <c r="K331">
        <v>14519</v>
      </c>
      <c r="L331">
        <v>879</v>
      </c>
      <c r="M331">
        <v>2521.75</v>
      </c>
      <c r="N331">
        <v>58</v>
      </c>
      <c r="O331">
        <v>8893.76</v>
      </c>
      <c r="P331">
        <f t="shared" si="20"/>
        <v>6.0541359597768442E-2</v>
      </c>
      <c r="Q331">
        <f t="shared" si="20"/>
        <v>2.8688850967007964</v>
      </c>
      <c r="R331">
        <f t="shared" si="21"/>
        <v>43.478448275862071</v>
      </c>
      <c r="S331">
        <f t="shared" si="22"/>
        <v>3.5268206602557748</v>
      </c>
      <c r="T331">
        <f t="shared" si="23"/>
        <v>6.5984072810011382E-2</v>
      </c>
      <c r="U331" t="str">
        <f>YEAR('Campaign Data'!$A331)&amp;"-"&amp;TEXT(MONTH('Campaign Data'!$A331),"00")</f>
        <v>2026-01</v>
      </c>
    </row>
    <row r="332" spans="1:21" x14ac:dyDescent="0.25">
      <c r="A332">
        <v>46041</v>
      </c>
      <c r="B332" t="s">
        <v>67</v>
      </c>
      <c r="C332" t="s">
        <v>68</v>
      </c>
      <c r="D332" t="s">
        <v>69</v>
      </c>
      <c r="E332" t="s">
        <v>49</v>
      </c>
      <c r="F332" t="s">
        <v>34</v>
      </c>
      <c r="G332" t="s">
        <v>70</v>
      </c>
      <c r="H332" t="s">
        <v>71</v>
      </c>
      <c r="I332" t="s">
        <v>28</v>
      </c>
      <c r="J332" t="s">
        <v>38</v>
      </c>
      <c r="K332">
        <v>1536</v>
      </c>
      <c r="L332">
        <v>68</v>
      </c>
      <c r="M332">
        <v>105.26</v>
      </c>
      <c r="N332">
        <v>1</v>
      </c>
      <c r="O332">
        <v>165.79</v>
      </c>
      <c r="P332">
        <f t="shared" si="20"/>
        <v>4.4270833333333336E-2</v>
      </c>
      <c r="Q332">
        <f t="shared" si="20"/>
        <v>1.5479411764705884</v>
      </c>
      <c r="R332">
        <f t="shared" si="21"/>
        <v>105.26</v>
      </c>
      <c r="S332">
        <f t="shared" si="22"/>
        <v>1.5750522515675469</v>
      </c>
      <c r="T332">
        <f t="shared" si="23"/>
        <v>1.4705882352941176E-2</v>
      </c>
      <c r="U332" t="str">
        <f>YEAR('Campaign Data'!$A332)&amp;"-"&amp;TEXT(MONTH('Campaign Data'!$A332),"00")</f>
        <v>2026-01</v>
      </c>
    </row>
    <row r="333" spans="1:21" x14ac:dyDescent="0.25">
      <c r="A333">
        <v>46041</v>
      </c>
      <c r="B333" t="s">
        <v>72</v>
      </c>
      <c r="C333" t="s">
        <v>73</v>
      </c>
      <c r="D333" t="s">
        <v>69</v>
      </c>
      <c r="E333" t="s">
        <v>74</v>
      </c>
      <c r="F333" t="s">
        <v>75</v>
      </c>
      <c r="G333" t="s">
        <v>9</v>
      </c>
      <c r="H333" t="s">
        <v>36</v>
      </c>
      <c r="I333" t="s">
        <v>28</v>
      </c>
      <c r="J333" t="s">
        <v>62</v>
      </c>
      <c r="K333">
        <v>5861</v>
      </c>
      <c r="L333">
        <v>189</v>
      </c>
      <c r="M333">
        <v>267.17</v>
      </c>
      <c r="N333">
        <v>7</v>
      </c>
      <c r="O333">
        <v>254.78</v>
      </c>
      <c r="P333">
        <f t="shared" si="20"/>
        <v>3.2247056816242965E-2</v>
      </c>
      <c r="Q333">
        <f t="shared" si="20"/>
        <v>1.4135978835978837</v>
      </c>
      <c r="R333">
        <f t="shared" si="21"/>
        <v>38.167142857142856</v>
      </c>
      <c r="S333">
        <f t="shared" si="22"/>
        <v>0.953625032750683</v>
      </c>
      <c r="T333">
        <f t="shared" si="23"/>
        <v>3.7037037037037035E-2</v>
      </c>
      <c r="U333" t="str">
        <f>YEAR('Campaign Data'!$A333)&amp;"-"&amp;TEXT(MONTH('Campaign Data'!$A333),"00")</f>
        <v>2026-01</v>
      </c>
    </row>
    <row r="334" spans="1:21" x14ac:dyDescent="0.25">
      <c r="A334">
        <v>46041</v>
      </c>
      <c r="B334" t="s">
        <v>120</v>
      </c>
      <c r="C334" t="s">
        <v>121</v>
      </c>
      <c r="D334" t="s">
        <v>23</v>
      </c>
      <c r="E334" t="s">
        <v>49</v>
      </c>
      <c r="F334" t="s">
        <v>75</v>
      </c>
      <c r="G334" t="s">
        <v>70</v>
      </c>
      <c r="H334" t="s">
        <v>27</v>
      </c>
      <c r="I334" t="s">
        <v>37</v>
      </c>
      <c r="J334" t="s">
        <v>87</v>
      </c>
      <c r="K334">
        <v>5246</v>
      </c>
      <c r="L334">
        <v>196</v>
      </c>
      <c r="M334">
        <v>437.38</v>
      </c>
      <c r="N334">
        <v>9</v>
      </c>
      <c r="O334">
        <v>287.60000000000002</v>
      </c>
      <c r="P334">
        <f t="shared" si="20"/>
        <v>3.7361799466260011E-2</v>
      </c>
      <c r="Q334">
        <f t="shared" si="20"/>
        <v>2.2315306122448981</v>
      </c>
      <c r="R334">
        <f t="shared" si="21"/>
        <v>48.597777777777779</v>
      </c>
      <c r="S334">
        <f t="shared" si="22"/>
        <v>0.65755178563263073</v>
      </c>
      <c r="T334">
        <f t="shared" si="23"/>
        <v>4.5918367346938778E-2</v>
      </c>
      <c r="U334" t="str">
        <f>YEAR('Campaign Data'!$A334)&amp;"-"&amp;TEXT(MONTH('Campaign Data'!$A334),"00")</f>
        <v>2026-01</v>
      </c>
    </row>
    <row r="335" spans="1:21" x14ac:dyDescent="0.25">
      <c r="A335">
        <v>46042</v>
      </c>
      <c r="B335" t="s">
        <v>175</v>
      </c>
      <c r="C335" t="s">
        <v>176</v>
      </c>
      <c r="D335" t="s">
        <v>65</v>
      </c>
      <c r="E335" t="s">
        <v>49</v>
      </c>
      <c r="F335" t="s">
        <v>75</v>
      </c>
      <c r="G335" t="s">
        <v>70</v>
      </c>
      <c r="H335" t="s">
        <v>90</v>
      </c>
      <c r="I335" t="s">
        <v>28</v>
      </c>
      <c r="J335" t="s">
        <v>29</v>
      </c>
      <c r="K335">
        <v>3093</v>
      </c>
      <c r="L335">
        <v>99</v>
      </c>
      <c r="M335">
        <v>59.29</v>
      </c>
      <c r="N335">
        <v>2</v>
      </c>
      <c r="O335">
        <v>15.14</v>
      </c>
      <c r="P335">
        <f t="shared" si="20"/>
        <v>3.2007759456838022E-2</v>
      </c>
      <c r="Q335">
        <f t="shared" si="20"/>
        <v>0.59888888888888892</v>
      </c>
      <c r="R335">
        <f t="shared" si="21"/>
        <v>29.645</v>
      </c>
      <c r="S335">
        <f t="shared" si="22"/>
        <v>0.25535503457581382</v>
      </c>
      <c r="T335">
        <f t="shared" si="23"/>
        <v>2.0202020202020204E-2</v>
      </c>
      <c r="U335" t="str">
        <f>YEAR('Campaign Data'!$A335)&amp;"-"&amp;TEXT(MONTH('Campaign Data'!$A335),"00")</f>
        <v>2026-01</v>
      </c>
    </row>
    <row r="336" spans="1:21" x14ac:dyDescent="0.25">
      <c r="A336">
        <v>46042</v>
      </c>
      <c r="B336" t="s">
        <v>21</v>
      </c>
      <c r="C336" t="s">
        <v>124</v>
      </c>
      <c r="D336" t="s">
        <v>23</v>
      </c>
      <c r="E336" t="s">
        <v>24</v>
      </c>
      <c r="F336" t="s">
        <v>25</v>
      </c>
      <c r="G336" t="s">
        <v>26</v>
      </c>
      <c r="H336" t="s">
        <v>36</v>
      </c>
      <c r="I336" t="s">
        <v>37</v>
      </c>
      <c r="J336" t="s">
        <v>38</v>
      </c>
      <c r="K336">
        <v>14538</v>
      </c>
      <c r="L336">
        <v>113</v>
      </c>
      <c r="M336">
        <v>90.77</v>
      </c>
      <c r="N336">
        <v>1</v>
      </c>
      <c r="O336">
        <v>117.8</v>
      </c>
      <c r="P336">
        <f t="shared" si="20"/>
        <v>7.7727335259320405E-3</v>
      </c>
      <c r="Q336">
        <f t="shared" si="20"/>
        <v>0.80327433628318579</v>
      </c>
      <c r="R336">
        <f t="shared" si="21"/>
        <v>90.77</v>
      </c>
      <c r="S336">
        <f t="shared" si="22"/>
        <v>1.2977856119863391</v>
      </c>
      <c r="T336">
        <f t="shared" si="23"/>
        <v>8.8495575221238937E-3</v>
      </c>
      <c r="U336" t="str">
        <f>YEAR('Campaign Data'!$A336)&amp;"-"&amp;TEXT(MONTH('Campaign Data'!$A336),"00")</f>
        <v>2026-01</v>
      </c>
    </row>
    <row r="337" spans="1:21" x14ac:dyDescent="0.25">
      <c r="A337">
        <v>46042</v>
      </c>
      <c r="B337" t="s">
        <v>93</v>
      </c>
      <c r="C337" t="s">
        <v>94</v>
      </c>
      <c r="D337" t="s">
        <v>69</v>
      </c>
      <c r="E337" t="s">
        <v>42</v>
      </c>
      <c r="F337" t="s">
        <v>75</v>
      </c>
      <c r="G337" t="s">
        <v>44</v>
      </c>
      <c r="H337" t="s">
        <v>71</v>
      </c>
      <c r="I337" t="s">
        <v>28</v>
      </c>
      <c r="J337" t="s">
        <v>38</v>
      </c>
      <c r="K337">
        <v>8277</v>
      </c>
      <c r="L337">
        <v>23</v>
      </c>
      <c r="M337">
        <v>135.9</v>
      </c>
      <c r="N337">
        <v>3</v>
      </c>
      <c r="O337">
        <v>98.17</v>
      </c>
      <c r="P337">
        <f t="shared" si="20"/>
        <v>2.7787845837863962E-3</v>
      </c>
      <c r="Q337">
        <f t="shared" si="20"/>
        <v>5.9086956521739129</v>
      </c>
      <c r="R337">
        <f t="shared" si="21"/>
        <v>45.300000000000004</v>
      </c>
      <c r="S337">
        <f t="shared" si="22"/>
        <v>0.72236938925680649</v>
      </c>
      <c r="T337">
        <f t="shared" si="23"/>
        <v>0.13043478260869565</v>
      </c>
      <c r="U337" t="str">
        <f>YEAR('Campaign Data'!$A337)&amp;"-"&amp;TEXT(MONTH('Campaign Data'!$A337),"00")</f>
        <v>2026-01</v>
      </c>
    </row>
    <row r="338" spans="1:21" x14ac:dyDescent="0.25">
      <c r="A338">
        <v>46042</v>
      </c>
      <c r="B338" t="s">
        <v>30</v>
      </c>
      <c r="C338" t="s">
        <v>31</v>
      </c>
      <c r="D338" t="s">
        <v>32</v>
      </c>
      <c r="E338" t="s">
        <v>33</v>
      </c>
      <c r="F338" t="s">
        <v>34</v>
      </c>
      <c r="G338" t="s">
        <v>35</v>
      </c>
      <c r="H338" t="s">
        <v>90</v>
      </c>
      <c r="I338" t="s">
        <v>37</v>
      </c>
      <c r="J338" t="s">
        <v>87</v>
      </c>
      <c r="K338">
        <v>4707</v>
      </c>
      <c r="L338">
        <v>49</v>
      </c>
      <c r="M338">
        <v>8.39</v>
      </c>
      <c r="N338">
        <v>0</v>
      </c>
      <c r="O338">
        <v>0</v>
      </c>
      <c r="P338">
        <f t="shared" si="20"/>
        <v>1.041002761844062E-2</v>
      </c>
      <c r="Q338">
        <f t="shared" si="20"/>
        <v>0.17122448979591837</v>
      </c>
      <c r="R338">
        <f t="shared" si="21"/>
        <v>0</v>
      </c>
      <c r="S338">
        <f t="shared" si="22"/>
        <v>0</v>
      </c>
      <c r="T338">
        <f t="shared" si="23"/>
        <v>0</v>
      </c>
      <c r="U338" t="str">
        <f>YEAR('Campaign Data'!$A338)&amp;"-"&amp;TEXT(MONTH('Campaign Data'!$A338),"00")</f>
        <v>2026-01</v>
      </c>
    </row>
    <row r="339" spans="1:21" x14ac:dyDescent="0.25">
      <c r="A339">
        <v>46042</v>
      </c>
      <c r="B339" t="s">
        <v>52</v>
      </c>
      <c r="C339" t="s">
        <v>53</v>
      </c>
      <c r="D339" t="s">
        <v>32</v>
      </c>
      <c r="E339" t="s">
        <v>42</v>
      </c>
      <c r="F339" t="s">
        <v>25</v>
      </c>
      <c r="G339" t="s">
        <v>54</v>
      </c>
      <c r="H339" t="s">
        <v>55</v>
      </c>
      <c r="I339" t="s">
        <v>28</v>
      </c>
      <c r="J339" t="s">
        <v>29</v>
      </c>
      <c r="K339">
        <v>6558</v>
      </c>
      <c r="L339">
        <v>50</v>
      </c>
      <c r="M339">
        <v>209.18</v>
      </c>
      <c r="N339">
        <v>1</v>
      </c>
      <c r="O339">
        <v>145.85</v>
      </c>
      <c r="P339">
        <f t="shared" si="20"/>
        <v>7.6242756938090881E-3</v>
      </c>
      <c r="Q339">
        <f t="shared" si="20"/>
        <v>4.1836000000000002</v>
      </c>
      <c r="R339">
        <f t="shared" si="21"/>
        <v>209.18</v>
      </c>
      <c r="S339">
        <f t="shared" si="22"/>
        <v>0.69724639066832383</v>
      </c>
      <c r="T339">
        <f t="shared" si="23"/>
        <v>0.02</v>
      </c>
      <c r="U339" t="str">
        <f>YEAR('Campaign Data'!$A339)&amp;"-"&amp;TEXT(MONTH('Campaign Data'!$A339),"00")</f>
        <v>2026-01</v>
      </c>
    </row>
    <row r="340" spans="1:21" x14ac:dyDescent="0.25">
      <c r="A340">
        <v>46042</v>
      </c>
      <c r="B340" t="s">
        <v>52</v>
      </c>
      <c r="C340" t="s">
        <v>53</v>
      </c>
      <c r="D340" t="s">
        <v>32</v>
      </c>
      <c r="E340" t="s">
        <v>42</v>
      </c>
      <c r="F340" t="s">
        <v>25</v>
      </c>
      <c r="G340" t="s">
        <v>54</v>
      </c>
      <c r="H340" t="s">
        <v>90</v>
      </c>
      <c r="I340" t="s">
        <v>37</v>
      </c>
      <c r="J340" t="s">
        <v>62</v>
      </c>
      <c r="K340">
        <v>6543</v>
      </c>
      <c r="L340">
        <v>72</v>
      </c>
      <c r="M340">
        <v>84.16</v>
      </c>
      <c r="N340">
        <v>2</v>
      </c>
      <c r="O340">
        <v>92.3</v>
      </c>
      <c r="P340">
        <f t="shared" si="20"/>
        <v>1.1004126547455296E-2</v>
      </c>
      <c r="Q340">
        <f t="shared" si="20"/>
        <v>1.1688888888888889</v>
      </c>
      <c r="R340">
        <f t="shared" si="21"/>
        <v>42.08</v>
      </c>
      <c r="S340">
        <f t="shared" si="22"/>
        <v>1.0967205323193916</v>
      </c>
      <c r="T340">
        <f t="shared" si="23"/>
        <v>2.7777777777777776E-2</v>
      </c>
      <c r="U340" t="str">
        <f>YEAR('Campaign Data'!$A340)&amp;"-"&amp;TEXT(MONTH('Campaign Data'!$A340),"00")</f>
        <v>2026-01</v>
      </c>
    </row>
    <row r="341" spans="1:21" x14ac:dyDescent="0.25">
      <c r="A341">
        <v>46042</v>
      </c>
      <c r="B341" t="s">
        <v>52</v>
      </c>
      <c r="C341" t="s">
        <v>53</v>
      </c>
      <c r="D341" t="s">
        <v>32</v>
      </c>
      <c r="E341" t="s">
        <v>42</v>
      </c>
      <c r="F341" t="s">
        <v>25</v>
      </c>
      <c r="G341" t="s">
        <v>54</v>
      </c>
      <c r="H341" t="s">
        <v>36</v>
      </c>
      <c r="I341" t="s">
        <v>37</v>
      </c>
      <c r="J341" t="s">
        <v>45</v>
      </c>
      <c r="K341">
        <v>2740</v>
      </c>
      <c r="L341">
        <v>7</v>
      </c>
      <c r="M341">
        <v>29.04</v>
      </c>
      <c r="N341">
        <v>0</v>
      </c>
      <c r="O341">
        <v>0</v>
      </c>
      <c r="P341">
        <f t="shared" si="20"/>
        <v>2.5547445255474453E-3</v>
      </c>
      <c r="Q341">
        <f t="shared" si="20"/>
        <v>4.1485714285714286</v>
      </c>
      <c r="R341">
        <f t="shared" si="21"/>
        <v>0</v>
      </c>
      <c r="S341">
        <f t="shared" si="22"/>
        <v>0</v>
      </c>
      <c r="T341">
        <f t="shared" si="23"/>
        <v>0</v>
      </c>
      <c r="U341" t="str">
        <f>YEAR('Campaign Data'!$A341)&amp;"-"&amp;TEXT(MONTH('Campaign Data'!$A341),"00")</f>
        <v>2026-01</v>
      </c>
    </row>
    <row r="342" spans="1:21" x14ac:dyDescent="0.25">
      <c r="A342">
        <v>46042</v>
      </c>
      <c r="B342" t="s">
        <v>105</v>
      </c>
      <c r="C342" t="s">
        <v>106</v>
      </c>
      <c r="D342" t="s">
        <v>58</v>
      </c>
      <c r="E342" t="s">
        <v>49</v>
      </c>
      <c r="F342" t="s">
        <v>81</v>
      </c>
      <c r="G342" t="s">
        <v>107</v>
      </c>
      <c r="H342" t="s">
        <v>71</v>
      </c>
      <c r="I342" t="s">
        <v>28</v>
      </c>
      <c r="J342" t="s">
        <v>29</v>
      </c>
      <c r="K342">
        <v>9486</v>
      </c>
      <c r="L342">
        <v>228</v>
      </c>
      <c r="M342">
        <v>301.99</v>
      </c>
      <c r="N342">
        <v>17</v>
      </c>
      <c r="O342">
        <v>199.59</v>
      </c>
      <c r="P342">
        <f t="shared" si="20"/>
        <v>2.4035420619860848E-2</v>
      </c>
      <c r="Q342">
        <f t="shared" si="20"/>
        <v>1.3245175438596493</v>
      </c>
      <c r="R342">
        <f t="shared" si="21"/>
        <v>17.764117647058825</v>
      </c>
      <c r="S342">
        <f t="shared" si="22"/>
        <v>0.66091592436835656</v>
      </c>
      <c r="T342">
        <f t="shared" si="23"/>
        <v>7.4561403508771926E-2</v>
      </c>
      <c r="U342" t="str">
        <f>YEAR('Campaign Data'!$A342)&amp;"-"&amp;TEXT(MONTH('Campaign Data'!$A342),"00")</f>
        <v>2026-01</v>
      </c>
    </row>
    <row r="343" spans="1:21" x14ac:dyDescent="0.25">
      <c r="A343">
        <v>46042</v>
      </c>
      <c r="B343" t="s">
        <v>130</v>
      </c>
      <c r="C343" t="s">
        <v>131</v>
      </c>
      <c r="D343" t="s">
        <v>48</v>
      </c>
      <c r="E343" t="s">
        <v>33</v>
      </c>
      <c r="F343" t="s">
        <v>34</v>
      </c>
      <c r="G343" t="s">
        <v>35</v>
      </c>
      <c r="H343" t="s">
        <v>27</v>
      </c>
      <c r="I343" t="s">
        <v>37</v>
      </c>
      <c r="J343" t="s">
        <v>45</v>
      </c>
      <c r="K343">
        <v>1582</v>
      </c>
      <c r="L343">
        <v>10</v>
      </c>
      <c r="M343">
        <v>7.49</v>
      </c>
      <c r="N343">
        <v>0</v>
      </c>
      <c r="O343">
        <v>0</v>
      </c>
      <c r="P343">
        <f t="shared" si="20"/>
        <v>6.321112515802781E-3</v>
      </c>
      <c r="Q343">
        <f t="shared" si="20"/>
        <v>0.749</v>
      </c>
      <c r="R343">
        <f t="shared" si="21"/>
        <v>0</v>
      </c>
      <c r="S343">
        <f t="shared" si="22"/>
        <v>0</v>
      </c>
      <c r="T343">
        <f t="shared" si="23"/>
        <v>0</v>
      </c>
      <c r="U343" t="str">
        <f>YEAR('Campaign Data'!$A343)&amp;"-"&amp;TEXT(MONTH('Campaign Data'!$A343),"00")</f>
        <v>2026-01</v>
      </c>
    </row>
    <row r="344" spans="1:21" x14ac:dyDescent="0.25">
      <c r="A344">
        <v>46042</v>
      </c>
      <c r="B344" t="s">
        <v>179</v>
      </c>
      <c r="C344" t="s">
        <v>180</v>
      </c>
      <c r="D344" t="s">
        <v>58</v>
      </c>
      <c r="E344" t="s">
        <v>42</v>
      </c>
      <c r="F344" t="s">
        <v>25</v>
      </c>
      <c r="G344" t="s">
        <v>54</v>
      </c>
      <c r="H344" t="s">
        <v>90</v>
      </c>
      <c r="I344" t="s">
        <v>37</v>
      </c>
      <c r="J344" t="s">
        <v>29</v>
      </c>
      <c r="K344">
        <v>9442</v>
      </c>
      <c r="L344">
        <v>52</v>
      </c>
      <c r="M344">
        <v>68.11</v>
      </c>
      <c r="N344">
        <v>2</v>
      </c>
      <c r="O344">
        <v>24.96</v>
      </c>
      <c r="P344">
        <f t="shared" si="20"/>
        <v>5.5073077737767418E-3</v>
      </c>
      <c r="Q344">
        <f t="shared" si="20"/>
        <v>1.3098076923076922</v>
      </c>
      <c r="R344">
        <f t="shared" si="21"/>
        <v>34.055</v>
      </c>
      <c r="S344">
        <f t="shared" si="22"/>
        <v>0.36646601086477759</v>
      </c>
      <c r="T344">
        <f t="shared" si="23"/>
        <v>3.8461538461538464E-2</v>
      </c>
      <c r="U344" t="str">
        <f>YEAR('Campaign Data'!$A344)&amp;"-"&amp;TEXT(MONTH('Campaign Data'!$A344),"00")</f>
        <v>2026-01</v>
      </c>
    </row>
    <row r="345" spans="1:21" x14ac:dyDescent="0.25">
      <c r="A345">
        <v>46042</v>
      </c>
      <c r="B345" t="s">
        <v>56</v>
      </c>
      <c r="C345" t="s">
        <v>57</v>
      </c>
      <c r="D345" t="s">
        <v>58</v>
      </c>
      <c r="E345" t="s">
        <v>33</v>
      </c>
      <c r="F345" t="s">
        <v>43</v>
      </c>
      <c r="G345" t="s">
        <v>59</v>
      </c>
      <c r="H345" t="s">
        <v>27</v>
      </c>
      <c r="I345" t="s">
        <v>37</v>
      </c>
      <c r="J345" t="s">
        <v>45</v>
      </c>
      <c r="K345">
        <v>15579</v>
      </c>
      <c r="L345">
        <v>124</v>
      </c>
      <c r="M345">
        <v>119.86</v>
      </c>
      <c r="N345">
        <v>1</v>
      </c>
      <c r="O345">
        <v>19.899999999999999</v>
      </c>
      <c r="P345">
        <f t="shared" si="20"/>
        <v>7.9594325694845626E-3</v>
      </c>
      <c r="Q345">
        <f t="shared" si="20"/>
        <v>0.9666129032258064</v>
      </c>
      <c r="R345">
        <f t="shared" si="21"/>
        <v>119.86</v>
      </c>
      <c r="S345">
        <f t="shared" si="22"/>
        <v>0.16602703153679291</v>
      </c>
      <c r="T345">
        <f t="shared" si="23"/>
        <v>8.0645161290322578E-3</v>
      </c>
      <c r="U345" t="str">
        <f>YEAR('Campaign Data'!$A345)&amp;"-"&amp;TEXT(MONTH('Campaign Data'!$A345),"00")</f>
        <v>2026-01</v>
      </c>
    </row>
    <row r="346" spans="1:21" x14ac:dyDescent="0.25">
      <c r="A346">
        <v>46042</v>
      </c>
      <c r="B346" t="s">
        <v>136</v>
      </c>
      <c r="C346" t="s">
        <v>137</v>
      </c>
      <c r="D346" t="s">
        <v>32</v>
      </c>
      <c r="E346" t="s">
        <v>49</v>
      </c>
      <c r="F346" t="s">
        <v>75</v>
      </c>
      <c r="G346" t="s">
        <v>97</v>
      </c>
      <c r="H346" t="s">
        <v>27</v>
      </c>
      <c r="I346" t="s">
        <v>28</v>
      </c>
      <c r="J346" t="s">
        <v>45</v>
      </c>
      <c r="K346">
        <v>3596</v>
      </c>
      <c r="L346">
        <v>212</v>
      </c>
      <c r="M346">
        <v>337.76</v>
      </c>
      <c r="N346">
        <v>6</v>
      </c>
      <c r="O346">
        <v>179.03</v>
      </c>
      <c r="P346">
        <f t="shared" si="20"/>
        <v>5.8954393770856504E-2</v>
      </c>
      <c r="Q346">
        <f t="shared" si="20"/>
        <v>1.5932075471698113</v>
      </c>
      <c r="R346">
        <f t="shared" si="21"/>
        <v>56.293333333333329</v>
      </c>
      <c r="S346">
        <f t="shared" si="22"/>
        <v>0.53005092373282803</v>
      </c>
      <c r="T346">
        <f t="shared" si="23"/>
        <v>2.8301886792452831E-2</v>
      </c>
      <c r="U346" t="str">
        <f>YEAR('Campaign Data'!$A346)&amp;"-"&amp;TEXT(MONTH('Campaign Data'!$A346),"00")</f>
        <v>2026-01</v>
      </c>
    </row>
    <row r="347" spans="1:21" x14ac:dyDescent="0.25">
      <c r="A347">
        <v>46042</v>
      </c>
      <c r="B347" t="s">
        <v>143</v>
      </c>
      <c r="C347" t="s">
        <v>144</v>
      </c>
      <c r="D347" t="s">
        <v>48</v>
      </c>
      <c r="E347" t="s">
        <v>42</v>
      </c>
      <c r="F347" t="s">
        <v>25</v>
      </c>
      <c r="G347" t="s">
        <v>84</v>
      </c>
      <c r="H347" t="s">
        <v>27</v>
      </c>
      <c r="I347" t="s">
        <v>28</v>
      </c>
      <c r="J347" t="s">
        <v>38</v>
      </c>
      <c r="K347">
        <v>13571</v>
      </c>
      <c r="L347">
        <v>106</v>
      </c>
      <c r="M347">
        <v>433.14</v>
      </c>
      <c r="N347">
        <v>1</v>
      </c>
      <c r="O347">
        <v>232.76</v>
      </c>
      <c r="P347">
        <f t="shared" si="20"/>
        <v>7.8107729717780561E-3</v>
      </c>
      <c r="Q347">
        <f t="shared" si="20"/>
        <v>4.0862264150943393</v>
      </c>
      <c r="R347">
        <f t="shared" si="21"/>
        <v>433.14</v>
      </c>
      <c r="S347">
        <f t="shared" si="22"/>
        <v>0.53737821489587667</v>
      </c>
      <c r="T347">
        <f t="shared" si="23"/>
        <v>9.433962264150943E-3</v>
      </c>
      <c r="U347" t="str">
        <f>YEAR('Campaign Data'!$A347)&amp;"-"&amp;TEXT(MONTH('Campaign Data'!$A347),"00")</f>
        <v>2026-01</v>
      </c>
    </row>
    <row r="348" spans="1:21" x14ac:dyDescent="0.25">
      <c r="A348">
        <v>46042</v>
      </c>
      <c r="B348" t="s">
        <v>63</v>
      </c>
      <c r="C348" t="s">
        <v>64</v>
      </c>
      <c r="D348" t="s">
        <v>65</v>
      </c>
      <c r="E348" t="s">
        <v>24</v>
      </c>
      <c r="F348" t="s">
        <v>43</v>
      </c>
      <c r="G348" t="s">
        <v>66</v>
      </c>
      <c r="H348" t="s">
        <v>51</v>
      </c>
      <c r="I348" t="s">
        <v>37</v>
      </c>
      <c r="J348" t="s">
        <v>45</v>
      </c>
      <c r="K348">
        <v>3067</v>
      </c>
      <c r="L348">
        <v>35</v>
      </c>
      <c r="M348">
        <v>42.61</v>
      </c>
      <c r="N348">
        <v>2</v>
      </c>
      <c r="O348">
        <v>76.989999999999995</v>
      </c>
      <c r="P348">
        <f t="shared" si="20"/>
        <v>1.1411803064884252E-2</v>
      </c>
      <c r="Q348">
        <f t="shared" si="20"/>
        <v>1.2174285714285713</v>
      </c>
      <c r="R348">
        <f t="shared" si="21"/>
        <v>21.305</v>
      </c>
      <c r="S348">
        <f t="shared" si="22"/>
        <v>1.8068528514433231</v>
      </c>
      <c r="T348">
        <f t="shared" si="23"/>
        <v>5.7142857142857141E-2</v>
      </c>
      <c r="U348" t="str">
        <f>YEAR('Campaign Data'!$A348)&amp;"-"&amp;TEXT(MONTH('Campaign Data'!$A348),"00")</f>
        <v>2026-01</v>
      </c>
    </row>
    <row r="349" spans="1:21" x14ac:dyDescent="0.25">
      <c r="A349">
        <v>46042</v>
      </c>
      <c r="B349" t="s">
        <v>163</v>
      </c>
      <c r="C349" t="s">
        <v>164</v>
      </c>
      <c r="D349" t="s">
        <v>58</v>
      </c>
      <c r="E349" t="s">
        <v>42</v>
      </c>
      <c r="F349" t="s">
        <v>43</v>
      </c>
      <c r="G349" t="s">
        <v>44</v>
      </c>
      <c r="H349" t="s">
        <v>36</v>
      </c>
      <c r="I349" t="s">
        <v>37</v>
      </c>
      <c r="J349" t="s">
        <v>45</v>
      </c>
      <c r="K349">
        <v>11471</v>
      </c>
      <c r="L349">
        <v>64</v>
      </c>
      <c r="M349">
        <v>285.41000000000003</v>
      </c>
      <c r="N349">
        <v>1</v>
      </c>
      <c r="O349">
        <v>36.69</v>
      </c>
      <c r="P349">
        <f t="shared" si="20"/>
        <v>5.5792868973934271E-3</v>
      </c>
      <c r="Q349">
        <f t="shared" si="20"/>
        <v>4.4595312500000004</v>
      </c>
      <c r="R349">
        <f t="shared" si="21"/>
        <v>285.41000000000003</v>
      </c>
      <c r="S349">
        <f t="shared" si="22"/>
        <v>0.12855190778178757</v>
      </c>
      <c r="T349">
        <f t="shared" si="23"/>
        <v>1.5625E-2</v>
      </c>
      <c r="U349" t="str">
        <f>YEAR('Campaign Data'!$A349)&amp;"-"&amp;TEXT(MONTH('Campaign Data'!$A349),"00")</f>
        <v>2026-01</v>
      </c>
    </row>
    <row r="350" spans="1:21" x14ac:dyDescent="0.25">
      <c r="A350">
        <v>46042</v>
      </c>
      <c r="B350" t="s">
        <v>145</v>
      </c>
      <c r="C350" t="s">
        <v>146</v>
      </c>
      <c r="D350" t="s">
        <v>41</v>
      </c>
      <c r="E350" t="s">
        <v>49</v>
      </c>
      <c r="F350" t="s">
        <v>75</v>
      </c>
      <c r="G350" t="s">
        <v>70</v>
      </c>
      <c r="H350" t="s">
        <v>90</v>
      </c>
      <c r="I350" t="s">
        <v>37</v>
      </c>
      <c r="J350" t="s">
        <v>38</v>
      </c>
      <c r="K350">
        <v>6785</v>
      </c>
      <c r="L350">
        <v>413</v>
      </c>
      <c r="M350">
        <v>258.06</v>
      </c>
      <c r="N350">
        <v>27</v>
      </c>
      <c r="O350">
        <v>297.33</v>
      </c>
      <c r="P350">
        <f t="shared" si="20"/>
        <v>6.0869565217391307E-2</v>
      </c>
      <c r="Q350">
        <f t="shared" si="20"/>
        <v>0.62484261501210658</v>
      </c>
      <c r="R350">
        <f t="shared" si="21"/>
        <v>9.5577777777777779</v>
      </c>
      <c r="S350">
        <f t="shared" si="22"/>
        <v>1.1521739130434783</v>
      </c>
      <c r="T350">
        <f t="shared" si="23"/>
        <v>6.5375302663438259E-2</v>
      </c>
      <c r="U350" t="str">
        <f>YEAR('Campaign Data'!$A350)&amp;"-"&amp;TEXT(MONTH('Campaign Data'!$A350),"00")</f>
        <v>2026-01</v>
      </c>
    </row>
    <row r="351" spans="1:21" x14ac:dyDescent="0.25">
      <c r="A351">
        <v>46043</v>
      </c>
      <c r="B351" t="s">
        <v>165</v>
      </c>
      <c r="C351" t="s">
        <v>166</v>
      </c>
      <c r="D351" t="s">
        <v>41</v>
      </c>
      <c r="E351" t="s">
        <v>33</v>
      </c>
      <c r="F351" t="s">
        <v>43</v>
      </c>
      <c r="G351" t="s">
        <v>59</v>
      </c>
      <c r="H351" t="s">
        <v>60</v>
      </c>
      <c r="I351" t="s">
        <v>37</v>
      </c>
      <c r="J351" t="s">
        <v>62</v>
      </c>
      <c r="K351">
        <v>8963</v>
      </c>
      <c r="L351">
        <v>62</v>
      </c>
      <c r="M351">
        <v>27.13</v>
      </c>
      <c r="N351">
        <v>0</v>
      </c>
      <c r="O351">
        <v>0</v>
      </c>
      <c r="P351">
        <f t="shared" si="20"/>
        <v>6.9173267879058349E-3</v>
      </c>
      <c r="Q351">
        <f t="shared" si="20"/>
        <v>0.4375806451612903</v>
      </c>
      <c r="R351">
        <f t="shared" si="21"/>
        <v>0</v>
      </c>
      <c r="S351">
        <f t="shared" si="22"/>
        <v>0</v>
      </c>
      <c r="T351">
        <f t="shared" si="23"/>
        <v>0</v>
      </c>
      <c r="U351" t="str">
        <f>YEAR('Campaign Data'!$A351)&amp;"-"&amp;TEXT(MONTH('Campaign Data'!$A351),"00")</f>
        <v>2026-01</v>
      </c>
    </row>
    <row r="352" spans="1:21" x14ac:dyDescent="0.25">
      <c r="A352">
        <v>46043</v>
      </c>
      <c r="B352" t="s">
        <v>173</v>
      </c>
      <c r="C352" t="s">
        <v>174</v>
      </c>
      <c r="D352" t="s">
        <v>48</v>
      </c>
      <c r="E352" t="s">
        <v>74</v>
      </c>
      <c r="F352" t="s">
        <v>25</v>
      </c>
      <c r="G352" t="s">
        <v>9</v>
      </c>
      <c r="H352" t="s">
        <v>51</v>
      </c>
      <c r="I352" t="s">
        <v>37</v>
      </c>
      <c r="J352" t="s">
        <v>87</v>
      </c>
      <c r="K352">
        <v>31910</v>
      </c>
      <c r="L352">
        <v>1033</v>
      </c>
      <c r="M352">
        <v>1490.59</v>
      </c>
      <c r="N352">
        <v>21</v>
      </c>
      <c r="O352">
        <v>3145.39</v>
      </c>
      <c r="P352">
        <f t="shared" si="20"/>
        <v>3.2372297085553121E-2</v>
      </c>
      <c r="Q352">
        <f t="shared" si="20"/>
        <v>1.44297192642788</v>
      </c>
      <c r="R352">
        <f t="shared" si="21"/>
        <v>70.980476190476182</v>
      </c>
      <c r="S352">
        <f t="shared" si="22"/>
        <v>2.1101644315338222</v>
      </c>
      <c r="T352">
        <f t="shared" si="23"/>
        <v>2.0329138431752179E-2</v>
      </c>
      <c r="U352" t="str">
        <f>YEAR('Campaign Data'!$A352)&amp;"-"&amp;TEXT(MONTH('Campaign Data'!$A352),"00")</f>
        <v>2026-01</v>
      </c>
    </row>
    <row r="353" spans="1:21" x14ac:dyDescent="0.25">
      <c r="A353">
        <v>46043</v>
      </c>
      <c r="B353" t="s">
        <v>88</v>
      </c>
      <c r="C353" t="s">
        <v>89</v>
      </c>
      <c r="D353" t="s">
        <v>23</v>
      </c>
      <c r="E353" t="s">
        <v>49</v>
      </c>
      <c r="F353" t="s">
        <v>81</v>
      </c>
      <c r="G353" t="s">
        <v>50</v>
      </c>
      <c r="H353" t="s">
        <v>27</v>
      </c>
      <c r="I353" t="s">
        <v>28</v>
      </c>
      <c r="J353" t="s">
        <v>45</v>
      </c>
      <c r="K353">
        <v>8544</v>
      </c>
      <c r="L353">
        <v>520</v>
      </c>
      <c r="M353">
        <v>1151.2</v>
      </c>
      <c r="N353">
        <v>25</v>
      </c>
      <c r="O353">
        <v>627.05999999999995</v>
      </c>
      <c r="P353">
        <f t="shared" si="20"/>
        <v>6.0861423220973786E-2</v>
      </c>
      <c r="Q353">
        <f t="shared" si="20"/>
        <v>2.2138461538461538</v>
      </c>
      <c r="R353">
        <f t="shared" si="21"/>
        <v>46.048000000000002</v>
      </c>
      <c r="S353">
        <f t="shared" si="22"/>
        <v>0.54470118137595547</v>
      </c>
      <c r="T353">
        <f t="shared" si="23"/>
        <v>4.807692307692308E-2</v>
      </c>
      <c r="U353" t="str">
        <f>YEAR('Campaign Data'!$A353)&amp;"-"&amp;TEXT(MONTH('Campaign Data'!$A353),"00")</f>
        <v>2026-01</v>
      </c>
    </row>
    <row r="354" spans="1:21" x14ac:dyDescent="0.25">
      <c r="A354">
        <v>46043</v>
      </c>
      <c r="B354" t="s">
        <v>88</v>
      </c>
      <c r="C354" t="s">
        <v>89</v>
      </c>
      <c r="D354" t="s">
        <v>23</v>
      </c>
      <c r="E354" t="s">
        <v>49</v>
      </c>
      <c r="F354" t="s">
        <v>81</v>
      </c>
      <c r="G354" t="s">
        <v>50</v>
      </c>
      <c r="H354" t="s">
        <v>27</v>
      </c>
      <c r="I354" t="s">
        <v>37</v>
      </c>
      <c r="J354" t="s">
        <v>87</v>
      </c>
      <c r="K354">
        <v>6789</v>
      </c>
      <c r="L354">
        <v>360</v>
      </c>
      <c r="M354">
        <v>859.15</v>
      </c>
      <c r="N354">
        <v>28</v>
      </c>
      <c r="O354">
        <v>711.5</v>
      </c>
      <c r="P354">
        <f t="shared" si="20"/>
        <v>5.302695536897923E-2</v>
      </c>
      <c r="Q354">
        <f t="shared" si="20"/>
        <v>2.3865277777777778</v>
      </c>
      <c r="R354">
        <f t="shared" si="21"/>
        <v>30.68392857142857</v>
      </c>
      <c r="S354">
        <f t="shared" si="22"/>
        <v>0.82814409590874705</v>
      </c>
      <c r="T354">
        <f t="shared" si="23"/>
        <v>7.7777777777777779E-2</v>
      </c>
      <c r="U354" t="str">
        <f>YEAR('Campaign Data'!$A354)&amp;"-"&amp;TEXT(MONTH('Campaign Data'!$A354),"00")</f>
        <v>2026-01</v>
      </c>
    </row>
    <row r="355" spans="1:21" x14ac:dyDescent="0.25">
      <c r="A355">
        <v>46043</v>
      </c>
      <c r="B355" t="s">
        <v>21</v>
      </c>
      <c r="C355" t="s">
        <v>124</v>
      </c>
      <c r="D355" t="s">
        <v>23</v>
      </c>
      <c r="E355" t="s">
        <v>24</v>
      </c>
      <c r="F355" t="s">
        <v>25</v>
      </c>
      <c r="G355" t="s">
        <v>26</v>
      </c>
      <c r="H355" t="s">
        <v>36</v>
      </c>
      <c r="I355" t="s">
        <v>37</v>
      </c>
      <c r="J355" t="s">
        <v>38</v>
      </c>
      <c r="K355">
        <v>780</v>
      </c>
      <c r="L355">
        <v>6</v>
      </c>
      <c r="M355">
        <v>6.68</v>
      </c>
      <c r="N355">
        <v>1</v>
      </c>
      <c r="O355">
        <v>221.2</v>
      </c>
      <c r="P355">
        <f t="shared" si="20"/>
        <v>7.6923076923076927E-3</v>
      </c>
      <c r="Q355">
        <f t="shared" si="20"/>
        <v>1.1133333333333333</v>
      </c>
      <c r="R355">
        <f t="shared" si="21"/>
        <v>6.68</v>
      </c>
      <c r="S355">
        <f t="shared" si="22"/>
        <v>33.113772455089823</v>
      </c>
      <c r="T355">
        <f t="shared" si="23"/>
        <v>0.16666666666666666</v>
      </c>
      <c r="U355" t="str">
        <f>YEAR('Campaign Data'!$A355)&amp;"-"&amp;TEXT(MONTH('Campaign Data'!$A355),"00")</f>
        <v>2026-01</v>
      </c>
    </row>
    <row r="356" spans="1:21" x14ac:dyDescent="0.25">
      <c r="A356">
        <v>46043</v>
      </c>
      <c r="B356" t="s">
        <v>186</v>
      </c>
      <c r="C356" t="s">
        <v>187</v>
      </c>
      <c r="D356" t="s">
        <v>80</v>
      </c>
      <c r="E356" t="s">
        <v>33</v>
      </c>
      <c r="F356" t="s">
        <v>43</v>
      </c>
      <c r="G356" t="s">
        <v>102</v>
      </c>
      <c r="H356" t="s">
        <v>36</v>
      </c>
      <c r="I356" t="s">
        <v>37</v>
      </c>
      <c r="J356" t="s">
        <v>87</v>
      </c>
      <c r="K356">
        <v>30344</v>
      </c>
      <c r="L356">
        <v>251</v>
      </c>
      <c r="M356">
        <v>194.87</v>
      </c>
      <c r="N356">
        <v>2</v>
      </c>
      <c r="O356">
        <v>66.7</v>
      </c>
      <c r="P356">
        <f t="shared" si="20"/>
        <v>8.2718165040864752E-3</v>
      </c>
      <c r="Q356">
        <f t="shared" si="20"/>
        <v>0.77637450199203184</v>
      </c>
      <c r="R356">
        <f t="shared" si="21"/>
        <v>97.435000000000002</v>
      </c>
      <c r="S356">
        <f t="shared" si="22"/>
        <v>0.34227946836352441</v>
      </c>
      <c r="T356">
        <f t="shared" si="23"/>
        <v>7.9681274900398405E-3</v>
      </c>
      <c r="U356" t="str">
        <f>YEAR('Campaign Data'!$A356)&amp;"-"&amp;TEXT(MONTH('Campaign Data'!$A356),"00")</f>
        <v>2026-01</v>
      </c>
    </row>
    <row r="357" spans="1:21" x14ac:dyDescent="0.25">
      <c r="A357">
        <v>46043</v>
      </c>
      <c r="B357" t="s">
        <v>151</v>
      </c>
      <c r="C357" t="s">
        <v>152</v>
      </c>
      <c r="D357" t="s">
        <v>48</v>
      </c>
      <c r="E357" t="s">
        <v>24</v>
      </c>
      <c r="F357" t="s">
        <v>81</v>
      </c>
      <c r="G357" t="s">
        <v>129</v>
      </c>
      <c r="H357" t="s">
        <v>90</v>
      </c>
      <c r="I357" t="s">
        <v>28</v>
      </c>
      <c r="J357" t="s">
        <v>29</v>
      </c>
      <c r="K357">
        <v>5871</v>
      </c>
      <c r="L357">
        <v>68</v>
      </c>
      <c r="M357">
        <v>23.88</v>
      </c>
      <c r="N357">
        <v>4</v>
      </c>
      <c r="O357">
        <v>20</v>
      </c>
      <c r="P357">
        <f t="shared" si="20"/>
        <v>1.1582353943110203E-2</v>
      </c>
      <c r="Q357">
        <f t="shared" si="20"/>
        <v>0.35117647058823526</v>
      </c>
      <c r="R357">
        <f t="shared" si="21"/>
        <v>5.97</v>
      </c>
      <c r="S357">
        <f t="shared" si="22"/>
        <v>0.83752093802345062</v>
      </c>
      <c r="T357">
        <f t="shared" si="23"/>
        <v>5.8823529411764705E-2</v>
      </c>
      <c r="U357" t="str">
        <f>YEAR('Campaign Data'!$A357)&amp;"-"&amp;TEXT(MONTH('Campaign Data'!$A357),"00")</f>
        <v>2026-01</v>
      </c>
    </row>
    <row r="358" spans="1:21" x14ac:dyDescent="0.25">
      <c r="A358">
        <v>46043</v>
      </c>
      <c r="B358" t="s">
        <v>108</v>
      </c>
      <c r="C358" t="s">
        <v>109</v>
      </c>
      <c r="D358" t="s">
        <v>58</v>
      </c>
      <c r="E358" t="s">
        <v>33</v>
      </c>
      <c r="F358" t="s">
        <v>43</v>
      </c>
      <c r="G358" t="s">
        <v>59</v>
      </c>
      <c r="H358" t="s">
        <v>27</v>
      </c>
      <c r="I358" t="s">
        <v>37</v>
      </c>
      <c r="J358" t="s">
        <v>87</v>
      </c>
      <c r="K358">
        <v>21648</v>
      </c>
      <c r="L358">
        <v>215</v>
      </c>
      <c r="M358">
        <v>198.95</v>
      </c>
      <c r="N358">
        <v>3</v>
      </c>
      <c r="O358">
        <v>50.87</v>
      </c>
      <c r="P358">
        <f t="shared" si="20"/>
        <v>9.9316334072431633E-3</v>
      </c>
      <c r="Q358">
        <f t="shared" si="20"/>
        <v>0.92534883720930228</v>
      </c>
      <c r="R358">
        <f t="shared" si="21"/>
        <v>66.316666666666663</v>
      </c>
      <c r="S358">
        <f t="shared" si="22"/>
        <v>0.25569238502136216</v>
      </c>
      <c r="T358">
        <f t="shared" si="23"/>
        <v>1.3953488372093023E-2</v>
      </c>
      <c r="U358" t="str">
        <f>YEAR('Campaign Data'!$A358)&amp;"-"&amp;TEXT(MONTH('Campaign Data'!$A358),"00")</f>
        <v>2026-01</v>
      </c>
    </row>
    <row r="359" spans="1:21" x14ac:dyDescent="0.25">
      <c r="A359">
        <v>46043</v>
      </c>
      <c r="B359" t="s">
        <v>171</v>
      </c>
      <c r="C359" t="s">
        <v>172</v>
      </c>
      <c r="D359" t="s">
        <v>23</v>
      </c>
      <c r="E359" t="s">
        <v>33</v>
      </c>
      <c r="F359" t="s">
        <v>75</v>
      </c>
      <c r="G359" t="s">
        <v>59</v>
      </c>
      <c r="H359" t="s">
        <v>90</v>
      </c>
      <c r="I359" t="s">
        <v>37</v>
      </c>
      <c r="J359" t="s">
        <v>45</v>
      </c>
      <c r="K359">
        <v>5644</v>
      </c>
      <c r="L359">
        <v>47</v>
      </c>
      <c r="M359">
        <v>7.13</v>
      </c>
      <c r="N359">
        <v>0</v>
      </c>
      <c r="O359">
        <v>0</v>
      </c>
      <c r="P359">
        <f t="shared" si="20"/>
        <v>8.3274273564847619E-3</v>
      </c>
      <c r="Q359">
        <f t="shared" si="20"/>
        <v>0.15170212765957447</v>
      </c>
      <c r="R359">
        <f t="shared" si="21"/>
        <v>0</v>
      </c>
      <c r="S359">
        <f t="shared" si="22"/>
        <v>0</v>
      </c>
      <c r="T359">
        <f t="shared" si="23"/>
        <v>0</v>
      </c>
      <c r="U359" t="str">
        <f>YEAR('Campaign Data'!$A359)&amp;"-"&amp;TEXT(MONTH('Campaign Data'!$A359),"00")</f>
        <v>2026-01</v>
      </c>
    </row>
    <row r="360" spans="1:21" x14ac:dyDescent="0.25">
      <c r="A360">
        <v>46043</v>
      </c>
      <c r="B360" t="s">
        <v>155</v>
      </c>
      <c r="C360" t="s">
        <v>156</v>
      </c>
      <c r="D360" t="s">
        <v>32</v>
      </c>
      <c r="E360" t="s">
        <v>24</v>
      </c>
      <c r="F360" t="s">
        <v>34</v>
      </c>
      <c r="G360" t="s">
        <v>129</v>
      </c>
      <c r="H360" t="s">
        <v>36</v>
      </c>
      <c r="I360" t="s">
        <v>37</v>
      </c>
      <c r="J360" t="s">
        <v>45</v>
      </c>
      <c r="K360">
        <v>6966</v>
      </c>
      <c r="L360">
        <v>113</v>
      </c>
      <c r="M360">
        <v>103.66</v>
      </c>
      <c r="N360">
        <v>1</v>
      </c>
      <c r="O360">
        <v>129.97</v>
      </c>
      <c r="P360">
        <f t="shared" si="20"/>
        <v>1.622164800459374E-2</v>
      </c>
      <c r="Q360">
        <f t="shared" si="20"/>
        <v>0.91734513274336282</v>
      </c>
      <c r="R360">
        <f t="shared" si="21"/>
        <v>103.66</v>
      </c>
      <c r="S360">
        <f t="shared" si="22"/>
        <v>1.2538105344395138</v>
      </c>
      <c r="T360">
        <f t="shared" si="23"/>
        <v>8.8495575221238937E-3</v>
      </c>
      <c r="U360" t="str">
        <f>YEAR('Campaign Data'!$A360)&amp;"-"&amp;TEXT(MONTH('Campaign Data'!$A360),"00")</f>
        <v>2026-01</v>
      </c>
    </row>
    <row r="361" spans="1:21" x14ac:dyDescent="0.25">
      <c r="A361">
        <v>46043</v>
      </c>
      <c r="B361" t="s">
        <v>157</v>
      </c>
      <c r="C361" t="s">
        <v>158</v>
      </c>
      <c r="D361" t="s">
        <v>58</v>
      </c>
      <c r="E361" t="s">
        <v>49</v>
      </c>
      <c r="F361" t="s">
        <v>81</v>
      </c>
      <c r="G361" t="s">
        <v>50</v>
      </c>
      <c r="H361" t="s">
        <v>51</v>
      </c>
      <c r="I361" t="s">
        <v>37</v>
      </c>
      <c r="J361" t="s">
        <v>45</v>
      </c>
      <c r="K361">
        <v>5820</v>
      </c>
      <c r="L361">
        <v>253</v>
      </c>
      <c r="M361">
        <v>440.54</v>
      </c>
      <c r="N361">
        <v>13</v>
      </c>
      <c r="O361">
        <v>147.87</v>
      </c>
      <c r="P361">
        <f t="shared" si="20"/>
        <v>4.3470790378006871E-2</v>
      </c>
      <c r="Q361">
        <f t="shared" si="20"/>
        <v>1.7412648221343874</v>
      </c>
      <c r="R361">
        <f t="shared" si="21"/>
        <v>33.887692307692312</v>
      </c>
      <c r="S361">
        <f t="shared" si="22"/>
        <v>0.33565624006900624</v>
      </c>
      <c r="T361">
        <f t="shared" si="23"/>
        <v>5.1383399209486168E-2</v>
      </c>
      <c r="U361" t="str">
        <f>YEAR('Campaign Data'!$A361)&amp;"-"&amp;TEXT(MONTH('Campaign Data'!$A361),"00")</f>
        <v>2026-01</v>
      </c>
    </row>
    <row r="362" spans="1:21" x14ac:dyDescent="0.25">
      <c r="A362">
        <v>46043</v>
      </c>
      <c r="B362" t="s">
        <v>161</v>
      </c>
      <c r="C362" t="s">
        <v>162</v>
      </c>
      <c r="D362" t="s">
        <v>48</v>
      </c>
      <c r="E362" t="s">
        <v>74</v>
      </c>
      <c r="F362" t="s">
        <v>34</v>
      </c>
      <c r="G362" t="s">
        <v>107</v>
      </c>
      <c r="H362" t="s">
        <v>90</v>
      </c>
      <c r="I362" t="s">
        <v>37</v>
      </c>
      <c r="J362" t="s">
        <v>62</v>
      </c>
      <c r="K362">
        <v>17223</v>
      </c>
      <c r="L362">
        <v>520</v>
      </c>
      <c r="M362">
        <v>197.24</v>
      </c>
      <c r="N362">
        <v>21</v>
      </c>
      <c r="O362">
        <v>865.17</v>
      </c>
      <c r="P362">
        <f t="shared" si="20"/>
        <v>3.0192184869070431E-2</v>
      </c>
      <c r="Q362">
        <f t="shared" si="20"/>
        <v>0.37930769230769235</v>
      </c>
      <c r="R362">
        <f t="shared" si="21"/>
        <v>9.3923809523809521</v>
      </c>
      <c r="S362">
        <f t="shared" si="22"/>
        <v>4.386382072601906</v>
      </c>
      <c r="T362">
        <f t="shared" si="23"/>
        <v>4.0384615384615387E-2</v>
      </c>
      <c r="U362" t="str">
        <f>YEAR('Campaign Data'!$A362)&amp;"-"&amp;TEXT(MONTH('Campaign Data'!$A362),"00")</f>
        <v>2026-01</v>
      </c>
    </row>
    <row r="363" spans="1:21" x14ac:dyDescent="0.25">
      <c r="A363">
        <v>46043</v>
      </c>
      <c r="B363" t="s">
        <v>114</v>
      </c>
      <c r="C363" t="s">
        <v>115</v>
      </c>
      <c r="D363" t="s">
        <v>69</v>
      </c>
      <c r="E363" t="s">
        <v>49</v>
      </c>
      <c r="F363" t="s">
        <v>25</v>
      </c>
      <c r="G363" t="s">
        <v>107</v>
      </c>
      <c r="H363" t="s">
        <v>60</v>
      </c>
      <c r="I363" t="s">
        <v>61</v>
      </c>
      <c r="J363" t="s">
        <v>87</v>
      </c>
      <c r="K363">
        <v>5063</v>
      </c>
      <c r="L363">
        <v>223</v>
      </c>
      <c r="M363">
        <v>374.02</v>
      </c>
      <c r="N363">
        <v>19</v>
      </c>
      <c r="O363">
        <v>2052.87</v>
      </c>
      <c r="P363">
        <f t="shared" si="20"/>
        <v>4.4045032589373888E-2</v>
      </c>
      <c r="Q363">
        <f t="shared" si="20"/>
        <v>1.6772197309417038</v>
      </c>
      <c r="R363">
        <f t="shared" si="21"/>
        <v>19.685263157894735</v>
      </c>
      <c r="S363">
        <f t="shared" si="22"/>
        <v>5.4886637078231111</v>
      </c>
      <c r="T363">
        <f t="shared" si="23"/>
        <v>8.520179372197309E-2</v>
      </c>
      <c r="U363" t="str">
        <f>YEAR('Campaign Data'!$A363)&amp;"-"&amp;TEXT(MONTH('Campaign Data'!$A363),"00")</f>
        <v>2026-01</v>
      </c>
    </row>
    <row r="364" spans="1:21" x14ac:dyDescent="0.25">
      <c r="A364">
        <v>46043</v>
      </c>
      <c r="B364" t="s">
        <v>141</v>
      </c>
      <c r="C364" t="s">
        <v>142</v>
      </c>
      <c r="D364" t="s">
        <v>80</v>
      </c>
      <c r="E364" t="s">
        <v>49</v>
      </c>
      <c r="F364" t="s">
        <v>81</v>
      </c>
      <c r="G364" t="s">
        <v>97</v>
      </c>
      <c r="H364" t="s">
        <v>90</v>
      </c>
      <c r="I364" t="s">
        <v>28</v>
      </c>
      <c r="J364" t="s">
        <v>87</v>
      </c>
      <c r="K364">
        <v>5671</v>
      </c>
      <c r="L364">
        <v>257</v>
      </c>
      <c r="M364">
        <v>127.37</v>
      </c>
      <c r="N364">
        <v>19</v>
      </c>
      <c r="O364">
        <v>109.51</v>
      </c>
      <c r="P364">
        <f t="shared" si="20"/>
        <v>4.531828601657556E-2</v>
      </c>
      <c r="Q364">
        <f t="shared" si="20"/>
        <v>0.49560311284046693</v>
      </c>
      <c r="R364">
        <f t="shared" si="21"/>
        <v>6.7036842105263164</v>
      </c>
      <c r="S364">
        <f t="shared" si="22"/>
        <v>0.85977859778597787</v>
      </c>
      <c r="T364">
        <f t="shared" si="23"/>
        <v>7.3929961089494164E-2</v>
      </c>
      <c r="U364" t="str">
        <f>YEAR('Campaign Data'!$A364)&amp;"-"&amp;TEXT(MONTH('Campaign Data'!$A364),"00")</f>
        <v>2026-01</v>
      </c>
    </row>
    <row r="365" spans="1:21" x14ac:dyDescent="0.25">
      <c r="A365">
        <v>46043</v>
      </c>
      <c r="B365" t="s">
        <v>63</v>
      </c>
      <c r="C365" t="s">
        <v>64</v>
      </c>
      <c r="D365" t="s">
        <v>65</v>
      </c>
      <c r="E365" t="s">
        <v>24</v>
      </c>
      <c r="F365" t="s">
        <v>43</v>
      </c>
      <c r="G365" t="s">
        <v>66</v>
      </c>
      <c r="H365" t="s">
        <v>90</v>
      </c>
      <c r="I365" t="s">
        <v>37</v>
      </c>
      <c r="J365" t="s">
        <v>38</v>
      </c>
      <c r="K365">
        <v>14843</v>
      </c>
      <c r="L365">
        <v>150</v>
      </c>
      <c r="M365">
        <v>39.46</v>
      </c>
      <c r="N365">
        <v>4</v>
      </c>
      <c r="O365">
        <v>35.630000000000003</v>
      </c>
      <c r="P365">
        <f t="shared" si="20"/>
        <v>1.0105773765411306E-2</v>
      </c>
      <c r="Q365">
        <f t="shared" si="20"/>
        <v>0.26306666666666667</v>
      </c>
      <c r="R365">
        <f t="shared" si="21"/>
        <v>9.8650000000000002</v>
      </c>
      <c r="S365">
        <f t="shared" si="22"/>
        <v>0.90293968575772943</v>
      </c>
      <c r="T365">
        <f t="shared" si="23"/>
        <v>2.6666666666666668E-2</v>
      </c>
      <c r="U365" t="str">
        <f>YEAR('Campaign Data'!$A365)&amp;"-"&amp;TEXT(MONTH('Campaign Data'!$A365),"00")</f>
        <v>2026-01</v>
      </c>
    </row>
    <row r="366" spans="1:21" x14ac:dyDescent="0.25">
      <c r="A366">
        <v>46043</v>
      </c>
      <c r="B366" t="s">
        <v>63</v>
      </c>
      <c r="C366" t="s">
        <v>64</v>
      </c>
      <c r="D366" t="s">
        <v>65</v>
      </c>
      <c r="E366" t="s">
        <v>24</v>
      </c>
      <c r="F366" t="s">
        <v>43</v>
      </c>
      <c r="G366" t="s">
        <v>66</v>
      </c>
      <c r="H366" t="s">
        <v>90</v>
      </c>
      <c r="I366" t="s">
        <v>37</v>
      </c>
      <c r="J366" t="s">
        <v>87</v>
      </c>
      <c r="K366">
        <v>8810</v>
      </c>
      <c r="L366">
        <v>96</v>
      </c>
      <c r="M366">
        <v>27.49</v>
      </c>
      <c r="N366">
        <v>2</v>
      </c>
      <c r="O366">
        <v>12.62</v>
      </c>
      <c r="P366">
        <f t="shared" si="20"/>
        <v>1.0896708286038592E-2</v>
      </c>
      <c r="Q366">
        <f t="shared" si="20"/>
        <v>0.28635416666666663</v>
      </c>
      <c r="R366">
        <f t="shared" si="21"/>
        <v>13.744999999999999</v>
      </c>
      <c r="S366">
        <f t="shared" si="22"/>
        <v>0.45907602764641686</v>
      </c>
      <c r="T366">
        <f t="shared" si="23"/>
        <v>2.0833333333333332E-2</v>
      </c>
      <c r="U366" t="str">
        <f>YEAR('Campaign Data'!$A366)&amp;"-"&amp;TEXT(MONTH('Campaign Data'!$A366),"00")</f>
        <v>2026-01</v>
      </c>
    </row>
    <row r="367" spans="1:21" x14ac:dyDescent="0.25">
      <c r="A367">
        <v>46043</v>
      </c>
      <c r="B367" t="s">
        <v>183</v>
      </c>
      <c r="C367" t="s">
        <v>184</v>
      </c>
      <c r="D367" t="s">
        <v>23</v>
      </c>
      <c r="E367" t="s">
        <v>24</v>
      </c>
      <c r="F367" t="s">
        <v>81</v>
      </c>
      <c r="G367" t="s">
        <v>185</v>
      </c>
      <c r="H367" t="s">
        <v>27</v>
      </c>
      <c r="I367" t="s">
        <v>37</v>
      </c>
      <c r="J367" t="s">
        <v>45</v>
      </c>
      <c r="K367">
        <v>2992</v>
      </c>
      <c r="L367">
        <v>26</v>
      </c>
      <c r="M367">
        <v>35.08</v>
      </c>
      <c r="N367">
        <v>1</v>
      </c>
      <c r="O367">
        <v>30.35</v>
      </c>
      <c r="P367">
        <f t="shared" si="20"/>
        <v>8.6898395721925134E-3</v>
      </c>
      <c r="Q367">
        <f t="shared" si="20"/>
        <v>1.3492307692307692</v>
      </c>
      <c r="R367">
        <f t="shared" si="21"/>
        <v>35.08</v>
      </c>
      <c r="S367">
        <f t="shared" si="22"/>
        <v>0.86516533637400239</v>
      </c>
      <c r="T367">
        <f t="shared" si="23"/>
        <v>3.8461538461538464E-2</v>
      </c>
      <c r="U367" t="str">
        <f>YEAR('Campaign Data'!$A367)&amp;"-"&amp;TEXT(MONTH('Campaign Data'!$A367),"00")</f>
        <v>2026-01</v>
      </c>
    </row>
    <row r="368" spans="1:21" x14ac:dyDescent="0.25">
      <c r="A368">
        <v>46043</v>
      </c>
      <c r="B368" t="s">
        <v>67</v>
      </c>
      <c r="C368" t="s">
        <v>68</v>
      </c>
      <c r="D368" t="s">
        <v>69</v>
      </c>
      <c r="E368" t="s">
        <v>49</v>
      </c>
      <c r="F368" t="s">
        <v>34</v>
      </c>
      <c r="G368" t="s">
        <v>70</v>
      </c>
      <c r="H368" t="s">
        <v>71</v>
      </c>
      <c r="I368" t="s">
        <v>37</v>
      </c>
      <c r="J368" t="s">
        <v>38</v>
      </c>
      <c r="K368">
        <v>19668</v>
      </c>
      <c r="L368">
        <v>1069</v>
      </c>
      <c r="M368">
        <v>1335.46</v>
      </c>
      <c r="N368">
        <v>77</v>
      </c>
      <c r="O368">
        <v>6802.06</v>
      </c>
      <c r="P368">
        <f t="shared" si="20"/>
        <v>5.4352247305267443E-2</v>
      </c>
      <c r="Q368">
        <f t="shared" si="20"/>
        <v>1.2492609915809167</v>
      </c>
      <c r="R368">
        <f t="shared" si="21"/>
        <v>17.343636363636364</v>
      </c>
      <c r="S368">
        <f t="shared" si="22"/>
        <v>5.0934209935153429</v>
      </c>
      <c r="T368">
        <f t="shared" si="23"/>
        <v>7.2029934518241343E-2</v>
      </c>
      <c r="U368" t="str">
        <f>YEAR('Campaign Data'!$A368)&amp;"-"&amp;TEXT(MONTH('Campaign Data'!$A368),"00")</f>
        <v>2026-01</v>
      </c>
    </row>
    <row r="369" spans="1:21" x14ac:dyDescent="0.25">
      <c r="A369">
        <v>46043</v>
      </c>
      <c r="B369" t="s">
        <v>163</v>
      </c>
      <c r="C369" t="s">
        <v>164</v>
      </c>
      <c r="D369" t="s">
        <v>58</v>
      </c>
      <c r="E369" t="s">
        <v>42</v>
      </c>
      <c r="F369" t="s">
        <v>43</v>
      </c>
      <c r="G369" t="s">
        <v>44</v>
      </c>
      <c r="H369" t="s">
        <v>90</v>
      </c>
      <c r="I369" t="s">
        <v>37</v>
      </c>
      <c r="J369" t="s">
        <v>87</v>
      </c>
      <c r="K369">
        <v>6753</v>
      </c>
      <c r="L369">
        <v>38</v>
      </c>
      <c r="M369">
        <v>55.47</v>
      </c>
      <c r="N369">
        <v>0</v>
      </c>
      <c r="O369">
        <v>0</v>
      </c>
      <c r="P369">
        <f t="shared" si="20"/>
        <v>5.6271286835480527E-3</v>
      </c>
      <c r="Q369">
        <f t="shared" si="20"/>
        <v>1.4597368421052632</v>
      </c>
      <c r="R369">
        <f t="shared" si="21"/>
        <v>0</v>
      </c>
      <c r="S369">
        <f t="shared" si="22"/>
        <v>0</v>
      </c>
      <c r="T369">
        <f t="shared" si="23"/>
        <v>0</v>
      </c>
      <c r="U369" t="str">
        <f>YEAR('Campaign Data'!$A369)&amp;"-"&amp;TEXT(MONTH('Campaign Data'!$A369),"00")</f>
        <v>2026-01</v>
      </c>
    </row>
    <row r="370" spans="1:21" x14ac:dyDescent="0.25">
      <c r="A370">
        <v>46043</v>
      </c>
      <c r="B370" t="s">
        <v>78</v>
      </c>
      <c r="C370" t="s">
        <v>79</v>
      </c>
      <c r="D370" t="s">
        <v>80</v>
      </c>
      <c r="E370" t="s">
        <v>24</v>
      </c>
      <c r="F370" t="s">
        <v>81</v>
      </c>
      <c r="G370" t="s">
        <v>66</v>
      </c>
      <c r="H370" t="s">
        <v>71</v>
      </c>
      <c r="I370" t="s">
        <v>37</v>
      </c>
      <c r="J370" t="s">
        <v>29</v>
      </c>
      <c r="K370">
        <v>13676</v>
      </c>
      <c r="L370">
        <v>203</v>
      </c>
      <c r="M370">
        <v>238.98</v>
      </c>
      <c r="N370">
        <v>3</v>
      </c>
      <c r="O370">
        <v>48.4</v>
      </c>
      <c r="P370">
        <f t="shared" si="20"/>
        <v>1.4843521497513893E-2</v>
      </c>
      <c r="Q370">
        <f t="shared" si="20"/>
        <v>1.1772413793103447</v>
      </c>
      <c r="R370">
        <f t="shared" si="21"/>
        <v>79.66</v>
      </c>
      <c r="S370">
        <f t="shared" si="22"/>
        <v>0.20252740815130973</v>
      </c>
      <c r="T370">
        <f t="shared" si="23"/>
        <v>1.4778325123152709E-2</v>
      </c>
      <c r="U370" t="str">
        <f>YEAR('Campaign Data'!$A370)&amp;"-"&amp;TEXT(MONTH('Campaign Data'!$A370),"00")</f>
        <v>2026-01</v>
      </c>
    </row>
    <row r="371" spans="1:21" x14ac:dyDescent="0.25">
      <c r="A371">
        <v>46043</v>
      </c>
      <c r="B371" t="s">
        <v>120</v>
      </c>
      <c r="C371" t="s">
        <v>121</v>
      </c>
      <c r="D371" t="s">
        <v>23</v>
      </c>
      <c r="E371" t="s">
        <v>49</v>
      </c>
      <c r="F371" t="s">
        <v>75</v>
      </c>
      <c r="G371" t="s">
        <v>70</v>
      </c>
      <c r="H371" t="s">
        <v>90</v>
      </c>
      <c r="I371" t="s">
        <v>28</v>
      </c>
      <c r="J371" t="s">
        <v>38</v>
      </c>
      <c r="K371">
        <v>3155</v>
      </c>
      <c r="L371">
        <v>148</v>
      </c>
      <c r="M371">
        <v>78.489999999999995</v>
      </c>
      <c r="N371">
        <v>5</v>
      </c>
      <c r="O371">
        <v>78.42</v>
      </c>
      <c r="P371">
        <f t="shared" si="20"/>
        <v>4.6909667194928686E-2</v>
      </c>
      <c r="Q371">
        <f t="shared" si="20"/>
        <v>0.53033783783783783</v>
      </c>
      <c r="R371">
        <f t="shared" si="21"/>
        <v>15.697999999999999</v>
      </c>
      <c r="S371">
        <f t="shared" si="22"/>
        <v>0.99910816664543267</v>
      </c>
      <c r="T371">
        <f t="shared" si="23"/>
        <v>3.3783783783783786E-2</v>
      </c>
      <c r="U371" t="str">
        <f>YEAR('Campaign Data'!$A371)&amp;"-"&amp;TEXT(MONTH('Campaign Data'!$A371),"00")</f>
        <v>2026-01</v>
      </c>
    </row>
    <row r="372" spans="1:21" x14ac:dyDescent="0.25">
      <c r="A372">
        <v>46043</v>
      </c>
      <c r="B372" t="s">
        <v>120</v>
      </c>
      <c r="C372" t="s">
        <v>121</v>
      </c>
      <c r="D372" t="s">
        <v>23</v>
      </c>
      <c r="E372" t="s">
        <v>49</v>
      </c>
      <c r="F372" t="s">
        <v>75</v>
      </c>
      <c r="G372" t="s">
        <v>70</v>
      </c>
      <c r="H372" t="s">
        <v>55</v>
      </c>
      <c r="I372" t="s">
        <v>61</v>
      </c>
      <c r="J372" t="s">
        <v>29</v>
      </c>
      <c r="K372">
        <v>9141</v>
      </c>
      <c r="L372">
        <v>446</v>
      </c>
      <c r="M372">
        <v>824.89</v>
      </c>
      <c r="N372">
        <v>30</v>
      </c>
      <c r="O372">
        <v>1102.1300000000001</v>
      </c>
      <c r="P372">
        <f t="shared" si="20"/>
        <v>4.8791160704518104E-2</v>
      </c>
      <c r="Q372">
        <f t="shared" si="20"/>
        <v>1.8495291479820628</v>
      </c>
      <c r="R372">
        <f t="shared" si="21"/>
        <v>27.496333333333332</v>
      </c>
      <c r="S372">
        <f t="shared" si="22"/>
        <v>1.3360932972881234</v>
      </c>
      <c r="T372">
        <f t="shared" si="23"/>
        <v>6.726457399103139E-2</v>
      </c>
      <c r="U372" t="str">
        <f>YEAR('Campaign Data'!$A372)&amp;"-"&amp;TEXT(MONTH('Campaign Data'!$A372),"00")</f>
        <v>2026-01</v>
      </c>
    </row>
    <row r="373" spans="1:21" x14ac:dyDescent="0.25">
      <c r="A373">
        <v>46043</v>
      </c>
      <c r="B373" t="s">
        <v>120</v>
      </c>
      <c r="C373" t="s">
        <v>121</v>
      </c>
      <c r="D373" t="s">
        <v>23</v>
      </c>
      <c r="E373" t="s">
        <v>49</v>
      </c>
      <c r="F373" t="s">
        <v>75</v>
      </c>
      <c r="G373" t="s">
        <v>70</v>
      </c>
      <c r="H373" t="s">
        <v>90</v>
      </c>
      <c r="I373" t="s">
        <v>37</v>
      </c>
      <c r="J373" t="s">
        <v>38</v>
      </c>
      <c r="K373">
        <v>9036</v>
      </c>
      <c r="L373">
        <v>578</v>
      </c>
      <c r="M373">
        <v>247.96</v>
      </c>
      <c r="N373">
        <v>24</v>
      </c>
      <c r="O373">
        <v>314.58</v>
      </c>
      <c r="P373">
        <f t="shared" si="20"/>
        <v>6.3966356795042048E-2</v>
      </c>
      <c r="Q373">
        <f t="shared" si="20"/>
        <v>0.42899653979238755</v>
      </c>
      <c r="R373">
        <f t="shared" si="21"/>
        <v>10.331666666666667</v>
      </c>
      <c r="S373">
        <f t="shared" si="22"/>
        <v>1.2686723665107273</v>
      </c>
      <c r="T373">
        <f t="shared" si="23"/>
        <v>4.1522491349480967E-2</v>
      </c>
      <c r="U373" t="str">
        <f>YEAR('Campaign Data'!$A373)&amp;"-"&amp;TEXT(MONTH('Campaign Data'!$A373),"00")</f>
        <v>2026-01</v>
      </c>
    </row>
    <row r="374" spans="1:21" x14ac:dyDescent="0.25">
      <c r="A374">
        <v>46043</v>
      </c>
      <c r="B374" t="s">
        <v>82</v>
      </c>
      <c r="C374" t="s">
        <v>83</v>
      </c>
      <c r="D374" t="s">
        <v>80</v>
      </c>
      <c r="E374" t="s">
        <v>42</v>
      </c>
      <c r="F374" t="s">
        <v>34</v>
      </c>
      <c r="G374" t="s">
        <v>84</v>
      </c>
      <c r="H374" t="s">
        <v>36</v>
      </c>
      <c r="I374" t="s">
        <v>37</v>
      </c>
      <c r="J374" t="s">
        <v>45</v>
      </c>
      <c r="K374">
        <v>1098</v>
      </c>
      <c r="L374">
        <v>6</v>
      </c>
      <c r="M374">
        <v>39.090000000000003</v>
      </c>
      <c r="N374">
        <v>0</v>
      </c>
      <c r="O374">
        <v>0</v>
      </c>
      <c r="P374">
        <f t="shared" si="20"/>
        <v>5.4644808743169399E-3</v>
      </c>
      <c r="Q374">
        <f t="shared" si="20"/>
        <v>6.5150000000000006</v>
      </c>
      <c r="R374">
        <f t="shared" si="21"/>
        <v>0</v>
      </c>
      <c r="S374">
        <f t="shared" si="22"/>
        <v>0</v>
      </c>
      <c r="T374">
        <f t="shared" si="23"/>
        <v>0</v>
      </c>
      <c r="U374" t="str">
        <f>YEAR('Campaign Data'!$A374)&amp;"-"&amp;TEXT(MONTH('Campaign Data'!$A374),"00")</f>
        <v>2026-01</v>
      </c>
    </row>
    <row r="375" spans="1:21" x14ac:dyDescent="0.25">
      <c r="A375">
        <v>46044</v>
      </c>
      <c r="B375" t="s">
        <v>165</v>
      </c>
      <c r="C375" t="s">
        <v>166</v>
      </c>
      <c r="D375" t="s">
        <v>41</v>
      </c>
      <c r="E375" t="s">
        <v>33</v>
      </c>
      <c r="F375" t="s">
        <v>43</v>
      </c>
      <c r="G375" t="s">
        <v>59</v>
      </c>
      <c r="H375" t="s">
        <v>27</v>
      </c>
      <c r="I375" t="s">
        <v>28</v>
      </c>
      <c r="J375" t="s">
        <v>29</v>
      </c>
      <c r="K375">
        <v>10904</v>
      </c>
      <c r="L375">
        <v>102</v>
      </c>
      <c r="M375">
        <v>92.06</v>
      </c>
      <c r="N375">
        <v>0</v>
      </c>
      <c r="O375">
        <v>0</v>
      </c>
      <c r="P375">
        <f t="shared" si="20"/>
        <v>9.3543653705062367E-3</v>
      </c>
      <c r="Q375">
        <f t="shared" si="20"/>
        <v>0.90254901960784317</v>
      </c>
      <c r="R375">
        <f t="shared" si="21"/>
        <v>0</v>
      </c>
      <c r="S375">
        <f t="shared" si="22"/>
        <v>0</v>
      </c>
      <c r="T375">
        <f t="shared" si="23"/>
        <v>0</v>
      </c>
      <c r="U375" t="str">
        <f>YEAR('Campaign Data'!$A375)&amp;"-"&amp;TEXT(MONTH('Campaign Data'!$A375),"00")</f>
        <v>2026-01</v>
      </c>
    </row>
    <row r="376" spans="1:21" x14ac:dyDescent="0.25">
      <c r="A376">
        <v>46044</v>
      </c>
      <c r="B376" t="s">
        <v>175</v>
      </c>
      <c r="C376" t="s">
        <v>176</v>
      </c>
      <c r="D376" t="s">
        <v>65</v>
      </c>
      <c r="E376" t="s">
        <v>49</v>
      </c>
      <c r="F376" t="s">
        <v>75</v>
      </c>
      <c r="G376" t="s">
        <v>70</v>
      </c>
      <c r="H376" t="s">
        <v>51</v>
      </c>
      <c r="I376" t="s">
        <v>28</v>
      </c>
      <c r="J376" t="s">
        <v>62</v>
      </c>
      <c r="K376">
        <v>9164</v>
      </c>
      <c r="L376">
        <v>460</v>
      </c>
      <c r="M376">
        <v>753.3</v>
      </c>
      <c r="N376">
        <v>27</v>
      </c>
      <c r="O376">
        <v>812.03</v>
      </c>
      <c r="P376">
        <f t="shared" si="20"/>
        <v>5.0196420776953299E-2</v>
      </c>
      <c r="Q376">
        <f t="shared" si="20"/>
        <v>1.6376086956521738</v>
      </c>
      <c r="R376">
        <f t="shared" si="21"/>
        <v>27.9</v>
      </c>
      <c r="S376">
        <f t="shared" si="22"/>
        <v>1.0779636267091464</v>
      </c>
      <c r="T376">
        <f t="shared" si="23"/>
        <v>5.8695652173913045E-2</v>
      </c>
      <c r="U376" t="str">
        <f>YEAR('Campaign Data'!$A376)&amp;"-"&amp;TEXT(MONTH('Campaign Data'!$A376),"00")</f>
        <v>2026-01</v>
      </c>
    </row>
    <row r="377" spans="1:21" x14ac:dyDescent="0.25">
      <c r="A377">
        <v>46044</v>
      </c>
      <c r="B377" t="s">
        <v>85</v>
      </c>
      <c r="C377" t="s">
        <v>86</v>
      </c>
      <c r="D377" t="s">
        <v>80</v>
      </c>
      <c r="E377" t="s">
        <v>33</v>
      </c>
      <c r="F377" t="s">
        <v>43</v>
      </c>
      <c r="G377" t="s">
        <v>35</v>
      </c>
      <c r="H377" t="s">
        <v>36</v>
      </c>
      <c r="I377" t="s">
        <v>37</v>
      </c>
      <c r="J377" t="s">
        <v>29</v>
      </c>
      <c r="K377">
        <v>32823</v>
      </c>
      <c r="L377">
        <v>171</v>
      </c>
      <c r="M377">
        <v>91.6</v>
      </c>
      <c r="N377">
        <v>3</v>
      </c>
      <c r="O377">
        <v>90.65</v>
      </c>
      <c r="P377">
        <f t="shared" si="20"/>
        <v>5.2097614477652869E-3</v>
      </c>
      <c r="Q377">
        <f t="shared" si="20"/>
        <v>0.53567251461988297</v>
      </c>
      <c r="R377">
        <f t="shared" si="21"/>
        <v>30.533333333333331</v>
      </c>
      <c r="S377">
        <f t="shared" si="22"/>
        <v>0.98962882096069882</v>
      </c>
      <c r="T377">
        <f t="shared" si="23"/>
        <v>1.7543859649122806E-2</v>
      </c>
      <c r="U377" t="str">
        <f>YEAR('Campaign Data'!$A377)&amp;"-"&amp;TEXT(MONTH('Campaign Data'!$A377),"00")</f>
        <v>2026-01</v>
      </c>
    </row>
    <row r="378" spans="1:21" x14ac:dyDescent="0.25">
      <c r="A378">
        <v>46044</v>
      </c>
      <c r="B378" t="s">
        <v>167</v>
      </c>
      <c r="C378" t="s">
        <v>168</v>
      </c>
      <c r="D378" t="s">
        <v>58</v>
      </c>
      <c r="E378" t="s">
        <v>33</v>
      </c>
      <c r="F378" t="s">
        <v>75</v>
      </c>
      <c r="G378" t="s">
        <v>35</v>
      </c>
      <c r="H378" t="s">
        <v>36</v>
      </c>
      <c r="I378" t="s">
        <v>37</v>
      </c>
      <c r="J378" t="s">
        <v>87</v>
      </c>
      <c r="K378">
        <v>3284</v>
      </c>
      <c r="L378">
        <v>29</v>
      </c>
      <c r="M378">
        <v>10.73</v>
      </c>
      <c r="N378">
        <v>1</v>
      </c>
      <c r="O378">
        <v>20.49</v>
      </c>
      <c r="P378">
        <f t="shared" si="20"/>
        <v>8.8306942752740553E-3</v>
      </c>
      <c r="Q378">
        <f t="shared" si="20"/>
        <v>0.37</v>
      </c>
      <c r="R378">
        <f t="shared" si="21"/>
        <v>10.73</v>
      </c>
      <c r="S378">
        <f t="shared" si="22"/>
        <v>1.9095992544268403</v>
      </c>
      <c r="T378">
        <f t="shared" si="23"/>
        <v>3.4482758620689655E-2</v>
      </c>
      <c r="U378" t="str">
        <f>YEAR('Campaign Data'!$A378)&amp;"-"&amp;TEXT(MONTH('Campaign Data'!$A378),"00")</f>
        <v>2026-01</v>
      </c>
    </row>
    <row r="379" spans="1:21" x14ac:dyDescent="0.25">
      <c r="A379">
        <v>46044</v>
      </c>
      <c r="B379" t="s">
        <v>95</v>
      </c>
      <c r="C379" t="s">
        <v>96</v>
      </c>
      <c r="D379" t="s">
        <v>23</v>
      </c>
      <c r="E379" t="s">
        <v>49</v>
      </c>
      <c r="F379" t="s">
        <v>43</v>
      </c>
      <c r="G379" t="s">
        <v>97</v>
      </c>
      <c r="H379" t="s">
        <v>90</v>
      </c>
      <c r="I379" t="s">
        <v>37</v>
      </c>
      <c r="J379" t="s">
        <v>38</v>
      </c>
      <c r="K379">
        <v>8877</v>
      </c>
      <c r="L379">
        <v>356</v>
      </c>
      <c r="M379">
        <v>131.88</v>
      </c>
      <c r="N379">
        <v>35</v>
      </c>
      <c r="O379">
        <v>223.16</v>
      </c>
      <c r="P379">
        <f t="shared" si="20"/>
        <v>4.010363861664977E-2</v>
      </c>
      <c r="Q379">
        <f t="shared" si="20"/>
        <v>0.37044943820224718</v>
      </c>
      <c r="R379">
        <f t="shared" si="21"/>
        <v>3.7679999999999998</v>
      </c>
      <c r="S379">
        <f t="shared" si="22"/>
        <v>1.6921443736730362</v>
      </c>
      <c r="T379">
        <f t="shared" si="23"/>
        <v>9.8314606741573038E-2</v>
      </c>
      <c r="U379" t="str">
        <f>YEAR('Campaign Data'!$A379)&amp;"-"&amp;TEXT(MONTH('Campaign Data'!$A379),"00")</f>
        <v>2026-01</v>
      </c>
    </row>
    <row r="380" spans="1:21" x14ac:dyDescent="0.25">
      <c r="A380">
        <v>46044</v>
      </c>
      <c r="B380" t="s">
        <v>98</v>
      </c>
      <c r="C380" t="s">
        <v>99</v>
      </c>
      <c r="D380" t="s">
        <v>69</v>
      </c>
      <c r="E380" t="s">
        <v>24</v>
      </c>
      <c r="F380" t="s">
        <v>75</v>
      </c>
      <c r="G380" t="s">
        <v>66</v>
      </c>
      <c r="H380" t="s">
        <v>60</v>
      </c>
      <c r="I380" t="s">
        <v>37</v>
      </c>
      <c r="J380" t="s">
        <v>62</v>
      </c>
      <c r="K380">
        <v>8229</v>
      </c>
      <c r="L380">
        <v>173</v>
      </c>
      <c r="M380">
        <v>211.32</v>
      </c>
      <c r="N380">
        <v>3</v>
      </c>
      <c r="O380">
        <v>99.28</v>
      </c>
      <c r="P380">
        <f t="shared" si="20"/>
        <v>2.1023210596670311E-2</v>
      </c>
      <c r="Q380">
        <f t="shared" si="20"/>
        <v>1.2215028901734104</v>
      </c>
      <c r="R380">
        <f t="shared" si="21"/>
        <v>70.44</v>
      </c>
      <c r="S380">
        <f t="shared" si="22"/>
        <v>0.46980882074578839</v>
      </c>
      <c r="T380">
        <f t="shared" si="23"/>
        <v>1.7341040462427744E-2</v>
      </c>
      <c r="U380" t="str">
        <f>YEAR('Campaign Data'!$A380)&amp;"-"&amp;TEXT(MONTH('Campaign Data'!$A380),"00")</f>
        <v>2026-01</v>
      </c>
    </row>
    <row r="381" spans="1:21" x14ac:dyDescent="0.25">
      <c r="A381">
        <v>46044</v>
      </c>
      <c r="B381" t="s">
        <v>103</v>
      </c>
      <c r="C381" t="s">
        <v>104</v>
      </c>
      <c r="D381" t="s">
        <v>65</v>
      </c>
      <c r="E381" t="s">
        <v>33</v>
      </c>
      <c r="F381" t="s">
        <v>43</v>
      </c>
      <c r="G381" t="s">
        <v>102</v>
      </c>
      <c r="H381" t="s">
        <v>55</v>
      </c>
      <c r="I381" t="s">
        <v>37</v>
      </c>
      <c r="J381" t="s">
        <v>45</v>
      </c>
      <c r="K381">
        <v>5640</v>
      </c>
      <c r="L381">
        <v>55</v>
      </c>
      <c r="M381">
        <v>33.159999999999997</v>
      </c>
      <c r="N381">
        <v>2</v>
      </c>
      <c r="O381">
        <v>10</v>
      </c>
      <c r="P381">
        <f t="shared" si="20"/>
        <v>9.7517730496453903E-3</v>
      </c>
      <c r="Q381">
        <f t="shared" si="20"/>
        <v>0.60290909090909084</v>
      </c>
      <c r="R381">
        <f t="shared" si="21"/>
        <v>16.579999999999998</v>
      </c>
      <c r="S381">
        <f t="shared" si="22"/>
        <v>0.30156815440289508</v>
      </c>
      <c r="T381">
        <f t="shared" si="23"/>
        <v>3.6363636363636362E-2</v>
      </c>
      <c r="U381" t="str">
        <f>YEAR('Campaign Data'!$A381)&amp;"-"&amp;TEXT(MONTH('Campaign Data'!$A381),"00")</f>
        <v>2026-01</v>
      </c>
    </row>
    <row r="382" spans="1:21" x14ac:dyDescent="0.25">
      <c r="A382">
        <v>46044</v>
      </c>
      <c r="B382" t="s">
        <v>105</v>
      </c>
      <c r="C382" t="s">
        <v>106</v>
      </c>
      <c r="D382" t="s">
        <v>58</v>
      </c>
      <c r="E382" t="s">
        <v>49</v>
      </c>
      <c r="F382" t="s">
        <v>81</v>
      </c>
      <c r="G382" t="s">
        <v>107</v>
      </c>
      <c r="H382" t="s">
        <v>27</v>
      </c>
      <c r="I382" t="s">
        <v>37</v>
      </c>
      <c r="J382" t="s">
        <v>45</v>
      </c>
      <c r="K382">
        <v>10310</v>
      </c>
      <c r="L382">
        <v>349</v>
      </c>
      <c r="M382">
        <v>743</v>
      </c>
      <c r="N382">
        <v>22</v>
      </c>
      <c r="O382">
        <v>803.78</v>
      </c>
      <c r="P382">
        <f t="shared" si="20"/>
        <v>3.3850630455868086E-2</v>
      </c>
      <c r="Q382">
        <f t="shared" si="20"/>
        <v>2.1289398280802292</v>
      </c>
      <c r="R382">
        <f t="shared" si="21"/>
        <v>33.772727272727273</v>
      </c>
      <c r="S382">
        <f t="shared" si="22"/>
        <v>1.0818034993270524</v>
      </c>
      <c r="T382">
        <f t="shared" si="23"/>
        <v>6.3037249283667621E-2</v>
      </c>
      <c r="U382" t="str">
        <f>YEAR('Campaign Data'!$A382)&amp;"-"&amp;TEXT(MONTH('Campaign Data'!$A382),"00")</f>
        <v>2026-01</v>
      </c>
    </row>
    <row r="383" spans="1:21" x14ac:dyDescent="0.25">
      <c r="A383">
        <v>46044</v>
      </c>
      <c r="B383" t="s">
        <v>132</v>
      </c>
      <c r="C383" t="s">
        <v>133</v>
      </c>
      <c r="D383" t="s">
        <v>23</v>
      </c>
      <c r="E383" t="s">
        <v>42</v>
      </c>
      <c r="F383" t="s">
        <v>75</v>
      </c>
      <c r="G383" t="s">
        <v>84</v>
      </c>
      <c r="H383" t="s">
        <v>55</v>
      </c>
      <c r="I383" t="s">
        <v>37</v>
      </c>
      <c r="J383" t="s">
        <v>45</v>
      </c>
      <c r="K383">
        <v>4959</v>
      </c>
      <c r="L383">
        <v>40</v>
      </c>
      <c r="M383">
        <v>231.31</v>
      </c>
      <c r="N383">
        <v>0</v>
      </c>
      <c r="O383">
        <v>0</v>
      </c>
      <c r="P383">
        <f t="shared" si="20"/>
        <v>8.0661423674127843E-3</v>
      </c>
      <c r="Q383">
        <f t="shared" si="20"/>
        <v>5.7827500000000001</v>
      </c>
      <c r="R383">
        <f t="shared" si="21"/>
        <v>0</v>
      </c>
      <c r="S383">
        <f t="shared" si="22"/>
        <v>0</v>
      </c>
      <c r="T383">
        <f t="shared" si="23"/>
        <v>0</v>
      </c>
      <c r="U383" t="str">
        <f>YEAR('Campaign Data'!$A383)&amp;"-"&amp;TEXT(MONTH('Campaign Data'!$A383),"00")</f>
        <v>2026-01</v>
      </c>
    </row>
    <row r="384" spans="1:21" x14ac:dyDescent="0.25">
      <c r="A384">
        <v>46044</v>
      </c>
      <c r="B384" t="s">
        <v>177</v>
      </c>
      <c r="C384" t="s">
        <v>178</v>
      </c>
      <c r="D384" t="s">
        <v>41</v>
      </c>
      <c r="E384" t="s">
        <v>49</v>
      </c>
      <c r="F384" t="s">
        <v>34</v>
      </c>
      <c r="G384" t="s">
        <v>107</v>
      </c>
      <c r="H384" t="s">
        <v>90</v>
      </c>
      <c r="I384" t="s">
        <v>37</v>
      </c>
      <c r="J384" t="s">
        <v>62</v>
      </c>
      <c r="K384">
        <v>4048</v>
      </c>
      <c r="L384">
        <v>247</v>
      </c>
      <c r="M384">
        <v>137.99</v>
      </c>
      <c r="N384">
        <v>21</v>
      </c>
      <c r="O384">
        <v>512.15</v>
      </c>
      <c r="P384">
        <f t="shared" si="20"/>
        <v>6.1017786561264824E-2</v>
      </c>
      <c r="Q384">
        <f t="shared" si="20"/>
        <v>0.55866396761133608</v>
      </c>
      <c r="R384">
        <f t="shared" si="21"/>
        <v>6.5709523809523818</v>
      </c>
      <c r="S384">
        <f t="shared" si="22"/>
        <v>3.7115008333937238</v>
      </c>
      <c r="T384">
        <f t="shared" si="23"/>
        <v>8.5020242914979755E-2</v>
      </c>
      <c r="U384" t="str">
        <f>YEAR('Campaign Data'!$A384)&amp;"-"&amp;TEXT(MONTH('Campaign Data'!$A384),"00")</f>
        <v>2026-01</v>
      </c>
    </row>
    <row r="385" spans="1:21" x14ac:dyDescent="0.25">
      <c r="A385">
        <v>46044</v>
      </c>
      <c r="B385" t="s">
        <v>153</v>
      </c>
      <c r="C385" t="s">
        <v>154</v>
      </c>
      <c r="D385" t="s">
        <v>48</v>
      </c>
      <c r="E385" t="s">
        <v>33</v>
      </c>
      <c r="F385" t="s">
        <v>43</v>
      </c>
      <c r="G385" t="s">
        <v>59</v>
      </c>
      <c r="H385" t="s">
        <v>55</v>
      </c>
      <c r="I385" t="s">
        <v>37</v>
      </c>
      <c r="J385" t="s">
        <v>29</v>
      </c>
      <c r="K385">
        <v>7134</v>
      </c>
      <c r="L385">
        <v>55</v>
      </c>
      <c r="M385">
        <v>42.23</v>
      </c>
      <c r="N385">
        <v>1</v>
      </c>
      <c r="O385">
        <v>26.96</v>
      </c>
      <c r="P385">
        <f t="shared" si="20"/>
        <v>7.7095598542192322E-3</v>
      </c>
      <c r="Q385">
        <f t="shared" si="20"/>
        <v>0.76781818181818173</v>
      </c>
      <c r="R385">
        <f t="shared" si="21"/>
        <v>42.23</v>
      </c>
      <c r="S385">
        <f t="shared" si="22"/>
        <v>0.63840871418422929</v>
      </c>
      <c r="T385">
        <f t="shared" si="23"/>
        <v>1.8181818181818181E-2</v>
      </c>
      <c r="U385" t="str">
        <f>YEAR('Campaign Data'!$A385)&amp;"-"&amp;TEXT(MONTH('Campaign Data'!$A385),"00")</f>
        <v>2026-01</v>
      </c>
    </row>
    <row r="386" spans="1:21" x14ac:dyDescent="0.25">
      <c r="A386">
        <v>46044</v>
      </c>
      <c r="B386" t="s">
        <v>171</v>
      </c>
      <c r="C386" t="s">
        <v>172</v>
      </c>
      <c r="D386" t="s">
        <v>23</v>
      </c>
      <c r="E386" t="s">
        <v>33</v>
      </c>
      <c r="F386" t="s">
        <v>75</v>
      </c>
      <c r="G386" t="s">
        <v>59</v>
      </c>
      <c r="H386" t="s">
        <v>60</v>
      </c>
      <c r="I386" t="s">
        <v>37</v>
      </c>
      <c r="J386" t="s">
        <v>38</v>
      </c>
      <c r="K386">
        <v>5957</v>
      </c>
      <c r="L386">
        <v>31</v>
      </c>
      <c r="M386">
        <v>13.86</v>
      </c>
      <c r="N386">
        <v>0</v>
      </c>
      <c r="O386">
        <v>0</v>
      </c>
      <c r="P386">
        <f t="shared" ref="P386:Q449" si="24">IF(K386=0,0,L386/K386)</f>
        <v>5.2039617257008562E-3</v>
      </c>
      <c r="Q386">
        <f t="shared" si="24"/>
        <v>0.44709677419354837</v>
      </c>
      <c r="R386">
        <f t="shared" ref="R386:R449" si="25">IF(N386=0,0,M386/N386)</f>
        <v>0</v>
      </c>
      <c r="S386">
        <f t="shared" ref="S386:S449" si="26">IF(M386=0,0,O386/M386)</f>
        <v>0</v>
      </c>
      <c r="T386">
        <f t="shared" ref="T386:T449" si="27">IF(L386=0,0,N386/L386)</f>
        <v>0</v>
      </c>
      <c r="U386" t="str">
        <f>YEAR('Campaign Data'!$A386)&amp;"-"&amp;TEXT(MONTH('Campaign Data'!$A386),"00")</f>
        <v>2026-01</v>
      </c>
    </row>
    <row r="387" spans="1:21" x14ac:dyDescent="0.25">
      <c r="A387">
        <v>46044</v>
      </c>
      <c r="B387" t="s">
        <v>140</v>
      </c>
      <c r="C387" t="s">
        <v>40</v>
      </c>
      <c r="D387" t="s">
        <v>41</v>
      </c>
      <c r="E387" t="s">
        <v>42</v>
      </c>
      <c r="F387" t="s">
        <v>43</v>
      </c>
      <c r="G387" t="s">
        <v>44</v>
      </c>
      <c r="H387" t="s">
        <v>71</v>
      </c>
      <c r="I387" t="s">
        <v>37</v>
      </c>
      <c r="J387" t="s">
        <v>38</v>
      </c>
      <c r="K387">
        <v>27854</v>
      </c>
      <c r="L387">
        <v>197</v>
      </c>
      <c r="M387">
        <v>958.07</v>
      </c>
      <c r="N387">
        <v>5</v>
      </c>
      <c r="O387">
        <v>160.5</v>
      </c>
      <c r="P387">
        <f t="shared" si="24"/>
        <v>7.072592805342141E-3</v>
      </c>
      <c r="Q387">
        <f t="shared" si="24"/>
        <v>4.8632994923857868</v>
      </c>
      <c r="R387">
        <f t="shared" si="25"/>
        <v>191.614</v>
      </c>
      <c r="S387">
        <f t="shared" si="26"/>
        <v>0.16752429363198931</v>
      </c>
      <c r="T387">
        <f t="shared" si="27"/>
        <v>2.5380710659898477E-2</v>
      </c>
      <c r="U387" t="str">
        <f>YEAR('Campaign Data'!$A387)&amp;"-"&amp;TEXT(MONTH('Campaign Data'!$A387),"00")</f>
        <v>2026-01</v>
      </c>
    </row>
    <row r="388" spans="1:21" x14ac:dyDescent="0.25">
      <c r="A388">
        <v>46044</v>
      </c>
      <c r="B388" t="s">
        <v>155</v>
      </c>
      <c r="C388" t="s">
        <v>156</v>
      </c>
      <c r="D388" t="s">
        <v>32</v>
      </c>
      <c r="E388" t="s">
        <v>24</v>
      </c>
      <c r="F388" t="s">
        <v>34</v>
      </c>
      <c r="G388" t="s">
        <v>129</v>
      </c>
      <c r="H388" t="s">
        <v>27</v>
      </c>
      <c r="I388" t="s">
        <v>37</v>
      </c>
      <c r="J388" t="s">
        <v>45</v>
      </c>
      <c r="K388">
        <v>3718</v>
      </c>
      <c r="L388">
        <v>63</v>
      </c>
      <c r="M388">
        <v>66.03</v>
      </c>
      <c r="N388">
        <v>1</v>
      </c>
      <c r="O388">
        <v>198.84</v>
      </c>
      <c r="P388">
        <f t="shared" si="24"/>
        <v>1.694459386767079E-2</v>
      </c>
      <c r="Q388">
        <f t="shared" si="24"/>
        <v>1.0480952380952382</v>
      </c>
      <c r="R388">
        <f t="shared" si="25"/>
        <v>66.03</v>
      </c>
      <c r="S388">
        <f t="shared" si="26"/>
        <v>3.011358473421172</v>
      </c>
      <c r="T388">
        <f t="shared" si="27"/>
        <v>1.5873015873015872E-2</v>
      </c>
      <c r="U388" t="str">
        <f>YEAR('Campaign Data'!$A388)&amp;"-"&amp;TEXT(MONTH('Campaign Data'!$A388),"00")</f>
        <v>2026-01</v>
      </c>
    </row>
    <row r="389" spans="1:21" x14ac:dyDescent="0.25">
      <c r="A389">
        <v>46044</v>
      </c>
      <c r="B389" t="s">
        <v>114</v>
      </c>
      <c r="C389" t="s">
        <v>115</v>
      </c>
      <c r="D389" t="s">
        <v>69</v>
      </c>
      <c r="E389" t="s">
        <v>49</v>
      </c>
      <c r="F389" t="s">
        <v>25</v>
      </c>
      <c r="G389" t="s">
        <v>107</v>
      </c>
      <c r="H389" t="s">
        <v>51</v>
      </c>
      <c r="I389" t="s">
        <v>37</v>
      </c>
      <c r="J389" t="s">
        <v>62</v>
      </c>
      <c r="K389">
        <v>29776</v>
      </c>
      <c r="L389">
        <v>1308</v>
      </c>
      <c r="M389">
        <v>1501.51</v>
      </c>
      <c r="N389">
        <v>63</v>
      </c>
      <c r="O389">
        <v>16203.01</v>
      </c>
      <c r="P389">
        <f t="shared" si="24"/>
        <v>4.3927995701235893E-2</v>
      </c>
      <c r="Q389">
        <f t="shared" si="24"/>
        <v>1.1479434250764526</v>
      </c>
      <c r="R389">
        <f t="shared" si="25"/>
        <v>23.833492063492063</v>
      </c>
      <c r="S389">
        <f t="shared" si="26"/>
        <v>10.791143582127326</v>
      </c>
      <c r="T389">
        <f t="shared" si="27"/>
        <v>4.8165137614678902E-2</v>
      </c>
      <c r="U389" t="str">
        <f>YEAR('Campaign Data'!$A389)&amp;"-"&amp;TEXT(MONTH('Campaign Data'!$A389),"00")</f>
        <v>2026-01</v>
      </c>
    </row>
    <row r="390" spans="1:21" x14ac:dyDescent="0.25">
      <c r="A390">
        <v>46044</v>
      </c>
      <c r="B390" t="s">
        <v>63</v>
      </c>
      <c r="C390" t="s">
        <v>64</v>
      </c>
      <c r="D390" t="s">
        <v>65</v>
      </c>
      <c r="E390" t="s">
        <v>24</v>
      </c>
      <c r="F390" t="s">
        <v>43</v>
      </c>
      <c r="G390" t="s">
        <v>66</v>
      </c>
      <c r="H390" t="s">
        <v>90</v>
      </c>
      <c r="I390" t="s">
        <v>37</v>
      </c>
      <c r="J390" t="s">
        <v>29</v>
      </c>
      <c r="K390">
        <v>24281</v>
      </c>
      <c r="L390">
        <v>327</v>
      </c>
      <c r="M390">
        <v>81.25</v>
      </c>
      <c r="N390">
        <v>6</v>
      </c>
      <c r="O390">
        <v>49.33</v>
      </c>
      <c r="P390">
        <f t="shared" si="24"/>
        <v>1.3467320126848153E-2</v>
      </c>
      <c r="Q390">
        <f t="shared" si="24"/>
        <v>0.24847094801223241</v>
      </c>
      <c r="R390">
        <f t="shared" si="25"/>
        <v>13.541666666666666</v>
      </c>
      <c r="S390">
        <f t="shared" si="26"/>
        <v>0.60713846153846152</v>
      </c>
      <c r="T390">
        <f t="shared" si="27"/>
        <v>1.834862385321101E-2</v>
      </c>
      <c r="U390" t="str">
        <f>YEAR('Campaign Data'!$A390)&amp;"-"&amp;TEXT(MONTH('Campaign Data'!$A390),"00")</f>
        <v>2026-01</v>
      </c>
    </row>
    <row r="391" spans="1:21" x14ac:dyDescent="0.25">
      <c r="A391">
        <v>46044</v>
      </c>
      <c r="B391" t="s">
        <v>63</v>
      </c>
      <c r="C391" t="s">
        <v>64</v>
      </c>
      <c r="D391" t="s">
        <v>65</v>
      </c>
      <c r="E391" t="s">
        <v>24</v>
      </c>
      <c r="F391" t="s">
        <v>43</v>
      </c>
      <c r="G391" t="s">
        <v>66</v>
      </c>
      <c r="H391" t="s">
        <v>36</v>
      </c>
      <c r="I391" t="s">
        <v>37</v>
      </c>
      <c r="J391" t="s">
        <v>62</v>
      </c>
      <c r="K391">
        <v>6791</v>
      </c>
      <c r="L391">
        <v>109</v>
      </c>
      <c r="M391">
        <v>105.58</v>
      </c>
      <c r="N391">
        <v>4</v>
      </c>
      <c r="O391">
        <v>120.95</v>
      </c>
      <c r="P391">
        <f t="shared" si="24"/>
        <v>1.6050655279045797E-2</v>
      </c>
      <c r="Q391">
        <f t="shared" si="24"/>
        <v>0.96862385321100919</v>
      </c>
      <c r="R391">
        <f t="shared" si="25"/>
        <v>26.395</v>
      </c>
      <c r="S391">
        <f t="shared" si="26"/>
        <v>1.1455768137904907</v>
      </c>
      <c r="T391">
        <f t="shared" si="27"/>
        <v>3.669724770642202E-2</v>
      </c>
      <c r="U391" t="str">
        <f>YEAR('Campaign Data'!$A391)&amp;"-"&amp;TEXT(MONTH('Campaign Data'!$A391),"00")</f>
        <v>2026-01</v>
      </c>
    </row>
    <row r="392" spans="1:21" x14ac:dyDescent="0.25">
      <c r="A392">
        <v>46044</v>
      </c>
      <c r="B392" t="s">
        <v>116</v>
      </c>
      <c r="C392" t="s">
        <v>117</v>
      </c>
      <c r="D392" t="s">
        <v>48</v>
      </c>
      <c r="E392" t="s">
        <v>24</v>
      </c>
      <c r="F392" t="s">
        <v>43</v>
      </c>
      <c r="G392" t="s">
        <v>26</v>
      </c>
      <c r="H392" t="s">
        <v>55</v>
      </c>
      <c r="I392" t="s">
        <v>37</v>
      </c>
      <c r="J392" t="s">
        <v>38</v>
      </c>
      <c r="K392">
        <v>11209</v>
      </c>
      <c r="L392">
        <v>80</v>
      </c>
      <c r="M392">
        <v>68.900000000000006</v>
      </c>
      <c r="N392">
        <v>6</v>
      </c>
      <c r="O392">
        <v>117.76</v>
      </c>
      <c r="P392">
        <f t="shared" si="24"/>
        <v>7.137121955571416E-3</v>
      </c>
      <c r="Q392">
        <f t="shared" si="24"/>
        <v>0.86125000000000007</v>
      </c>
      <c r="R392">
        <f t="shared" si="25"/>
        <v>11.483333333333334</v>
      </c>
      <c r="S392">
        <f t="shared" si="26"/>
        <v>1.709143686502177</v>
      </c>
      <c r="T392">
        <f t="shared" si="27"/>
        <v>7.4999999999999997E-2</v>
      </c>
      <c r="U392" t="str">
        <f>YEAR('Campaign Data'!$A392)&amp;"-"&amp;TEXT(MONTH('Campaign Data'!$A392),"00")</f>
        <v>2026-01</v>
      </c>
    </row>
    <row r="393" spans="1:21" x14ac:dyDescent="0.25">
      <c r="A393">
        <v>46044</v>
      </c>
      <c r="B393" t="s">
        <v>116</v>
      </c>
      <c r="C393" t="s">
        <v>117</v>
      </c>
      <c r="D393" t="s">
        <v>48</v>
      </c>
      <c r="E393" t="s">
        <v>24</v>
      </c>
      <c r="F393" t="s">
        <v>43</v>
      </c>
      <c r="G393" t="s">
        <v>26</v>
      </c>
      <c r="H393" t="s">
        <v>36</v>
      </c>
      <c r="I393" t="s">
        <v>28</v>
      </c>
      <c r="J393" t="s">
        <v>87</v>
      </c>
      <c r="K393">
        <v>3481</v>
      </c>
      <c r="L393">
        <v>49</v>
      </c>
      <c r="M393">
        <v>51.24</v>
      </c>
      <c r="N393">
        <v>1</v>
      </c>
      <c r="O393">
        <v>36.979999999999997</v>
      </c>
      <c r="P393">
        <f t="shared" si="24"/>
        <v>1.407641482332663E-2</v>
      </c>
      <c r="Q393">
        <f t="shared" si="24"/>
        <v>1.0457142857142858</v>
      </c>
      <c r="R393">
        <f t="shared" si="25"/>
        <v>51.24</v>
      </c>
      <c r="S393">
        <f t="shared" si="26"/>
        <v>0.72170179547228719</v>
      </c>
      <c r="T393">
        <f t="shared" si="27"/>
        <v>2.0408163265306121E-2</v>
      </c>
      <c r="U393" t="str">
        <f>YEAR('Campaign Data'!$A393)&amp;"-"&amp;TEXT(MONTH('Campaign Data'!$A393),"00")</f>
        <v>2026-01</v>
      </c>
    </row>
    <row r="394" spans="1:21" x14ac:dyDescent="0.25">
      <c r="A394">
        <v>46044</v>
      </c>
      <c r="B394" t="s">
        <v>116</v>
      </c>
      <c r="C394" t="s">
        <v>117</v>
      </c>
      <c r="D394" t="s">
        <v>48</v>
      </c>
      <c r="E394" t="s">
        <v>24</v>
      </c>
      <c r="F394" t="s">
        <v>43</v>
      </c>
      <c r="G394" t="s">
        <v>26</v>
      </c>
      <c r="H394" t="s">
        <v>90</v>
      </c>
      <c r="I394" t="s">
        <v>28</v>
      </c>
      <c r="J394" t="s">
        <v>38</v>
      </c>
      <c r="K394">
        <v>5525</v>
      </c>
      <c r="L394">
        <v>65</v>
      </c>
      <c r="M394">
        <v>22.42</v>
      </c>
      <c r="N394">
        <v>3</v>
      </c>
      <c r="O394">
        <v>15</v>
      </c>
      <c r="P394">
        <f t="shared" si="24"/>
        <v>1.1764705882352941E-2</v>
      </c>
      <c r="Q394">
        <f t="shared" si="24"/>
        <v>0.34492307692307694</v>
      </c>
      <c r="R394">
        <f t="shared" si="25"/>
        <v>7.4733333333333336</v>
      </c>
      <c r="S394">
        <f t="shared" si="26"/>
        <v>0.66904549509366629</v>
      </c>
      <c r="T394">
        <f t="shared" si="27"/>
        <v>4.6153846153846156E-2</v>
      </c>
      <c r="U394" t="str">
        <f>YEAR('Campaign Data'!$A394)&amp;"-"&amp;TEXT(MONTH('Campaign Data'!$A394),"00")</f>
        <v>2026-01</v>
      </c>
    </row>
    <row r="395" spans="1:21" x14ac:dyDescent="0.25">
      <c r="A395">
        <v>46044</v>
      </c>
      <c r="B395" t="s">
        <v>145</v>
      </c>
      <c r="C395" t="s">
        <v>146</v>
      </c>
      <c r="D395" t="s">
        <v>41</v>
      </c>
      <c r="E395" t="s">
        <v>49</v>
      </c>
      <c r="F395" t="s">
        <v>75</v>
      </c>
      <c r="G395" t="s">
        <v>70</v>
      </c>
      <c r="H395" t="s">
        <v>55</v>
      </c>
      <c r="I395" t="s">
        <v>37</v>
      </c>
      <c r="J395" t="s">
        <v>29</v>
      </c>
      <c r="K395">
        <v>5353</v>
      </c>
      <c r="L395">
        <v>281</v>
      </c>
      <c r="M395">
        <v>497.92</v>
      </c>
      <c r="N395">
        <v>24</v>
      </c>
      <c r="O395">
        <v>909.94</v>
      </c>
      <c r="P395">
        <f t="shared" si="24"/>
        <v>5.2493928638146836E-2</v>
      </c>
      <c r="Q395">
        <f t="shared" si="24"/>
        <v>1.7719572953736655</v>
      </c>
      <c r="R395">
        <f t="shared" si="25"/>
        <v>20.746666666666666</v>
      </c>
      <c r="S395">
        <f t="shared" si="26"/>
        <v>1.8274823264781492</v>
      </c>
      <c r="T395">
        <f t="shared" si="27"/>
        <v>8.5409252669039148E-2</v>
      </c>
      <c r="U395" t="str">
        <f>YEAR('Campaign Data'!$A395)&amp;"-"&amp;TEXT(MONTH('Campaign Data'!$A395),"00")</f>
        <v>2026-01</v>
      </c>
    </row>
    <row r="396" spans="1:21" x14ac:dyDescent="0.25">
      <c r="A396">
        <v>46044</v>
      </c>
      <c r="B396" t="s">
        <v>120</v>
      </c>
      <c r="C396" t="s">
        <v>121</v>
      </c>
      <c r="D396" t="s">
        <v>23</v>
      </c>
      <c r="E396" t="s">
        <v>49</v>
      </c>
      <c r="F396" t="s">
        <v>75</v>
      </c>
      <c r="G396" t="s">
        <v>70</v>
      </c>
      <c r="H396" t="s">
        <v>60</v>
      </c>
      <c r="I396" t="s">
        <v>28</v>
      </c>
      <c r="J396" t="s">
        <v>62</v>
      </c>
      <c r="K396">
        <v>10416</v>
      </c>
      <c r="L396">
        <v>651</v>
      </c>
      <c r="M396">
        <v>1050.68</v>
      </c>
      <c r="N396">
        <v>49</v>
      </c>
      <c r="O396">
        <v>1524.3</v>
      </c>
      <c r="P396">
        <f t="shared" si="24"/>
        <v>6.25E-2</v>
      </c>
      <c r="Q396">
        <f t="shared" si="24"/>
        <v>1.6139477726574503</v>
      </c>
      <c r="R396">
        <f t="shared" si="25"/>
        <v>21.442448979591838</v>
      </c>
      <c r="S396">
        <f t="shared" si="26"/>
        <v>1.4507747363612136</v>
      </c>
      <c r="T396">
        <f t="shared" si="27"/>
        <v>7.5268817204301078E-2</v>
      </c>
      <c r="U396" t="str">
        <f>YEAR('Campaign Data'!$A396)&amp;"-"&amp;TEXT(MONTH('Campaign Data'!$A396),"00")</f>
        <v>2026-01</v>
      </c>
    </row>
    <row r="397" spans="1:21" x14ac:dyDescent="0.25">
      <c r="A397">
        <v>46044</v>
      </c>
      <c r="B397" t="s">
        <v>120</v>
      </c>
      <c r="C397" t="s">
        <v>121</v>
      </c>
      <c r="D397" t="s">
        <v>23</v>
      </c>
      <c r="E397" t="s">
        <v>49</v>
      </c>
      <c r="F397" t="s">
        <v>75</v>
      </c>
      <c r="G397" t="s">
        <v>70</v>
      </c>
      <c r="H397" t="s">
        <v>90</v>
      </c>
      <c r="I397" t="s">
        <v>28</v>
      </c>
      <c r="J397" t="s">
        <v>45</v>
      </c>
      <c r="K397">
        <v>1620</v>
      </c>
      <c r="L397">
        <v>40</v>
      </c>
      <c r="M397">
        <v>13.13</v>
      </c>
      <c r="N397">
        <v>2</v>
      </c>
      <c r="O397">
        <v>25.73</v>
      </c>
      <c r="P397">
        <f t="shared" si="24"/>
        <v>2.4691358024691357E-2</v>
      </c>
      <c r="Q397">
        <f t="shared" si="24"/>
        <v>0.32825000000000004</v>
      </c>
      <c r="R397">
        <f t="shared" si="25"/>
        <v>6.5650000000000004</v>
      </c>
      <c r="S397">
        <f t="shared" si="26"/>
        <v>1.9596344249809596</v>
      </c>
      <c r="T397">
        <f t="shared" si="27"/>
        <v>0.05</v>
      </c>
      <c r="U397" t="str">
        <f>YEAR('Campaign Data'!$A397)&amp;"-"&amp;TEXT(MONTH('Campaign Data'!$A397),"00")</f>
        <v>2026-01</v>
      </c>
    </row>
    <row r="398" spans="1:21" x14ac:dyDescent="0.25">
      <c r="A398">
        <v>46045</v>
      </c>
      <c r="B398" t="s">
        <v>173</v>
      </c>
      <c r="C398" t="s">
        <v>174</v>
      </c>
      <c r="D398" t="s">
        <v>48</v>
      </c>
      <c r="E398" t="s">
        <v>74</v>
      </c>
      <c r="F398" t="s">
        <v>25</v>
      </c>
      <c r="G398" t="s">
        <v>9</v>
      </c>
      <c r="H398" t="s">
        <v>27</v>
      </c>
      <c r="I398" t="s">
        <v>37</v>
      </c>
      <c r="J398" t="s">
        <v>62</v>
      </c>
      <c r="K398">
        <v>9160</v>
      </c>
      <c r="L398">
        <v>361</v>
      </c>
      <c r="M398">
        <v>542.79</v>
      </c>
      <c r="N398">
        <v>22</v>
      </c>
      <c r="O398">
        <v>4301.4399999999996</v>
      </c>
      <c r="P398">
        <f t="shared" si="24"/>
        <v>3.9410480349344981E-2</v>
      </c>
      <c r="Q398">
        <f t="shared" si="24"/>
        <v>1.503573407202216</v>
      </c>
      <c r="R398">
        <f t="shared" si="25"/>
        <v>24.672272727272727</v>
      </c>
      <c r="S398">
        <f t="shared" si="26"/>
        <v>7.9246854216179363</v>
      </c>
      <c r="T398">
        <f t="shared" si="27"/>
        <v>6.0941828254847646E-2</v>
      </c>
      <c r="U398" t="str">
        <f>YEAR('Campaign Data'!$A398)&amp;"-"&amp;TEXT(MONTH('Campaign Data'!$A398),"00")</f>
        <v>2026-01</v>
      </c>
    </row>
    <row r="399" spans="1:21" x14ac:dyDescent="0.25">
      <c r="A399">
        <v>46045</v>
      </c>
      <c r="B399" t="s">
        <v>138</v>
      </c>
      <c r="C399" t="s">
        <v>139</v>
      </c>
      <c r="D399" t="s">
        <v>58</v>
      </c>
      <c r="E399" t="s">
        <v>74</v>
      </c>
      <c r="F399" t="s">
        <v>34</v>
      </c>
      <c r="G399" t="s">
        <v>9</v>
      </c>
      <c r="H399" t="s">
        <v>90</v>
      </c>
      <c r="I399" t="s">
        <v>37</v>
      </c>
      <c r="J399" t="s">
        <v>29</v>
      </c>
      <c r="K399">
        <v>13105</v>
      </c>
      <c r="L399">
        <v>359</v>
      </c>
      <c r="M399">
        <v>169.16</v>
      </c>
      <c r="N399">
        <v>19</v>
      </c>
      <c r="O399">
        <v>132.44</v>
      </c>
      <c r="P399">
        <f t="shared" si="24"/>
        <v>2.7394124380007632E-2</v>
      </c>
      <c r="Q399">
        <f t="shared" si="24"/>
        <v>0.47119777158774373</v>
      </c>
      <c r="R399">
        <f t="shared" si="25"/>
        <v>8.9031578947368413</v>
      </c>
      <c r="S399">
        <f t="shared" si="26"/>
        <v>0.78292740600614807</v>
      </c>
      <c r="T399">
        <f t="shared" si="27"/>
        <v>5.2924791086350974E-2</v>
      </c>
      <c r="U399" t="str">
        <f>YEAR('Campaign Data'!$A399)&amp;"-"&amp;TEXT(MONTH('Campaign Data'!$A399),"00")</f>
        <v>2026-01</v>
      </c>
    </row>
    <row r="400" spans="1:21" x14ac:dyDescent="0.25">
      <c r="A400">
        <v>46045</v>
      </c>
      <c r="B400" t="s">
        <v>149</v>
      </c>
      <c r="C400" t="s">
        <v>150</v>
      </c>
      <c r="D400" t="s">
        <v>65</v>
      </c>
      <c r="E400" t="s">
        <v>33</v>
      </c>
      <c r="F400" t="s">
        <v>43</v>
      </c>
      <c r="G400" t="s">
        <v>59</v>
      </c>
      <c r="H400" t="s">
        <v>90</v>
      </c>
      <c r="I400" t="s">
        <v>37</v>
      </c>
      <c r="J400" t="s">
        <v>45</v>
      </c>
      <c r="K400">
        <v>4070</v>
      </c>
      <c r="L400">
        <v>25</v>
      </c>
      <c r="M400">
        <v>2.2799999999999998</v>
      </c>
      <c r="N400">
        <v>1</v>
      </c>
      <c r="O400">
        <v>5</v>
      </c>
      <c r="P400">
        <f t="shared" si="24"/>
        <v>6.1425061425061421E-3</v>
      </c>
      <c r="Q400">
        <f t="shared" si="24"/>
        <v>9.1199999999999989E-2</v>
      </c>
      <c r="R400">
        <f t="shared" si="25"/>
        <v>2.2799999999999998</v>
      </c>
      <c r="S400">
        <f t="shared" si="26"/>
        <v>2.192982456140351</v>
      </c>
      <c r="T400">
        <f t="shared" si="27"/>
        <v>0.04</v>
      </c>
      <c r="U400" t="str">
        <f>YEAR('Campaign Data'!$A400)&amp;"-"&amp;TEXT(MONTH('Campaign Data'!$A400),"00")</f>
        <v>2026-01</v>
      </c>
    </row>
    <row r="401" spans="1:21" x14ac:dyDescent="0.25">
      <c r="A401">
        <v>46045</v>
      </c>
      <c r="B401" t="s">
        <v>95</v>
      </c>
      <c r="C401" t="s">
        <v>96</v>
      </c>
      <c r="D401" t="s">
        <v>23</v>
      </c>
      <c r="E401" t="s">
        <v>49</v>
      </c>
      <c r="F401" t="s">
        <v>43</v>
      </c>
      <c r="G401" t="s">
        <v>97</v>
      </c>
      <c r="H401" t="s">
        <v>90</v>
      </c>
      <c r="I401" t="s">
        <v>37</v>
      </c>
      <c r="J401" t="s">
        <v>62</v>
      </c>
      <c r="K401">
        <v>5031</v>
      </c>
      <c r="L401">
        <v>278</v>
      </c>
      <c r="M401">
        <v>156.1</v>
      </c>
      <c r="N401">
        <v>18</v>
      </c>
      <c r="O401">
        <v>98.29</v>
      </c>
      <c r="P401">
        <f t="shared" si="24"/>
        <v>5.5257404094613397E-2</v>
      </c>
      <c r="Q401">
        <f t="shared" si="24"/>
        <v>0.5615107913669064</v>
      </c>
      <c r="R401">
        <f t="shared" si="25"/>
        <v>8.6722222222222225</v>
      </c>
      <c r="S401">
        <f t="shared" si="26"/>
        <v>0.62966047405509296</v>
      </c>
      <c r="T401">
        <f t="shared" si="27"/>
        <v>6.4748201438848921E-2</v>
      </c>
      <c r="U401" t="str">
        <f>YEAR('Campaign Data'!$A401)&amp;"-"&amp;TEXT(MONTH('Campaign Data'!$A401),"00")</f>
        <v>2026-01</v>
      </c>
    </row>
    <row r="402" spans="1:21" x14ac:dyDescent="0.25">
      <c r="A402">
        <v>46045</v>
      </c>
      <c r="B402" t="s">
        <v>151</v>
      </c>
      <c r="C402" t="s">
        <v>152</v>
      </c>
      <c r="D402" t="s">
        <v>48</v>
      </c>
      <c r="E402" t="s">
        <v>24</v>
      </c>
      <c r="F402" t="s">
        <v>81</v>
      </c>
      <c r="G402" t="s">
        <v>129</v>
      </c>
      <c r="H402" t="s">
        <v>27</v>
      </c>
      <c r="I402" t="s">
        <v>37</v>
      </c>
      <c r="J402" t="s">
        <v>45</v>
      </c>
      <c r="K402">
        <v>8738</v>
      </c>
      <c r="L402">
        <v>130</v>
      </c>
      <c r="M402">
        <v>184.72</v>
      </c>
      <c r="N402">
        <v>0</v>
      </c>
      <c r="O402">
        <v>0</v>
      </c>
      <c r="P402">
        <f t="shared" si="24"/>
        <v>1.487754634927901E-2</v>
      </c>
      <c r="Q402">
        <f t="shared" si="24"/>
        <v>1.420923076923077</v>
      </c>
      <c r="R402">
        <f t="shared" si="25"/>
        <v>0</v>
      </c>
      <c r="S402">
        <f t="shared" si="26"/>
        <v>0</v>
      </c>
      <c r="T402">
        <f t="shared" si="27"/>
        <v>0</v>
      </c>
      <c r="U402" t="str">
        <f>YEAR('Campaign Data'!$A402)&amp;"-"&amp;TEXT(MONTH('Campaign Data'!$A402),"00")</f>
        <v>2026-01</v>
      </c>
    </row>
    <row r="403" spans="1:21" x14ac:dyDescent="0.25">
      <c r="A403">
        <v>46045</v>
      </c>
      <c r="B403" t="s">
        <v>39</v>
      </c>
      <c r="C403" t="s">
        <v>40</v>
      </c>
      <c r="D403" t="s">
        <v>41</v>
      </c>
      <c r="E403" t="s">
        <v>42</v>
      </c>
      <c r="F403" t="s">
        <v>43</v>
      </c>
      <c r="G403" t="s">
        <v>44</v>
      </c>
      <c r="H403" t="s">
        <v>71</v>
      </c>
      <c r="I403" t="s">
        <v>61</v>
      </c>
      <c r="J403" t="s">
        <v>45</v>
      </c>
      <c r="K403">
        <v>3069</v>
      </c>
      <c r="L403">
        <v>14</v>
      </c>
      <c r="M403">
        <v>91.14</v>
      </c>
      <c r="N403">
        <v>0</v>
      </c>
      <c r="O403">
        <v>0</v>
      </c>
      <c r="P403">
        <f t="shared" si="24"/>
        <v>4.5617464972303682E-3</v>
      </c>
      <c r="Q403">
        <f t="shared" si="24"/>
        <v>6.51</v>
      </c>
      <c r="R403">
        <f t="shared" si="25"/>
        <v>0</v>
      </c>
      <c r="S403">
        <f t="shared" si="26"/>
        <v>0</v>
      </c>
      <c r="T403">
        <f t="shared" si="27"/>
        <v>0</v>
      </c>
      <c r="U403" t="str">
        <f>YEAR('Campaign Data'!$A403)&amp;"-"&amp;TEXT(MONTH('Campaign Data'!$A403),"00")</f>
        <v>2026-01</v>
      </c>
    </row>
    <row r="404" spans="1:21" x14ac:dyDescent="0.25">
      <c r="A404">
        <v>46045</v>
      </c>
      <c r="B404" t="s">
        <v>46</v>
      </c>
      <c r="C404" t="s">
        <v>47</v>
      </c>
      <c r="D404" t="s">
        <v>48</v>
      </c>
      <c r="E404" t="s">
        <v>49</v>
      </c>
      <c r="F404" t="s">
        <v>43</v>
      </c>
      <c r="G404" t="s">
        <v>50</v>
      </c>
      <c r="H404" t="s">
        <v>90</v>
      </c>
      <c r="I404" t="s">
        <v>28</v>
      </c>
      <c r="J404" t="s">
        <v>38</v>
      </c>
      <c r="K404">
        <v>15493</v>
      </c>
      <c r="L404">
        <v>666</v>
      </c>
      <c r="M404">
        <v>352.12</v>
      </c>
      <c r="N404">
        <v>47</v>
      </c>
      <c r="O404">
        <v>422.71</v>
      </c>
      <c r="P404">
        <f t="shared" si="24"/>
        <v>4.2987155489575934E-2</v>
      </c>
      <c r="Q404">
        <f t="shared" si="24"/>
        <v>0.52870870870870867</v>
      </c>
      <c r="R404">
        <f t="shared" si="25"/>
        <v>7.4919148936170217</v>
      </c>
      <c r="S404">
        <f t="shared" si="26"/>
        <v>1.2004714301942518</v>
      </c>
      <c r="T404">
        <f t="shared" si="27"/>
        <v>7.0570570570570576E-2</v>
      </c>
      <c r="U404" t="str">
        <f>YEAR('Campaign Data'!$A404)&amp;"-"&amp;TEXT(MONTH('Campaign Data'!$A404),"00")</f>
        <v>2026-01</v>
      </c>
    </row>
    <row r="405" spans="1:21" x14ac:dyDescent="0.25">
      <c r="A405">
        <v>46045</v>
      </c>
      <c r="B405" t="s">
        <v>52</v>
      </c>
      <c r="C405" t="s">
        <v>53</v>
      </c>
      <c r="D405" t="s">
        <v>32</v>
      </c>
      <c r="E405" t="s">
        <v>42</v>
      </c>
      <c r="F405" t="s">
        <v>25</v>
      </c>
      <c r="G405" t="s">
        <v>54</v>
      </c>
      <c r="H405" t="s">
        <v>71</v>
      </c>
      <c r="I405" t="s">
        <v>28</v>
      </c>
      <c r="J405" t="s">
        <v>87</v>
      </c>
      <c r="K405">
        <v>14663</v>
      </c>
      <c r="L405">
        <v>75</v>
      </c>
      <c r="M405">
        <v>441.6</v>
      </c>
      <c r="N405">
        <v>3</v>
      </c>
      <c r="O405">
        <v>500.58</v>
      </c>
      <c r="P405">
        <f t="shared" si="24"/>
        <v>5.1149150924094658E-3</v>
      </c>
      <c r="Q405">
        <f t="shared" si="24"/>
        <v>5.8879999999999999</v>
      </c>
      <c r="R405">
        <f t="shared" si="25"/>
        <v>147.20000000000002</v>
      </c>
      <c r="S405">
        <f t="shared" si="26"/>
        <v>1.1335597826086956</v>
      </c>
      <c r="T405">
        <f t="shared" si="27"/>
        <v>0.04</v>
      </c>
      <c r="U405" t="str">
        <f>YEAR('Campaign Data'!$A405)&amp;"-"&amp;TEXT(MONTH('Campaign Data'!$A405),"00")</f>
        <v>2026-01</v>
      </c>
    </row>
    <row r="406" spans="1:21" x14ac:dyDescent="0.25">
      <c r="A406">
        <v>46045</v>
      </c>
      <c r="B406" t="s">
        <v>52</v>
      </c>
      <c r="C406" t="s">
        <v>53</v>
      </c>
      <c r="D406" t="s">
        <v>32</v>
      </c>
      <c r="E406" t="s">
        <v>42</v>
      </c>
      <c r="F406" t="s">
        <v>25</v>
      </c>
      <c r="G406" t="s">
        <v>54</v>
      </c>
      <c r="H406" t="s">
        <v>90</v>
      </c>
      <c r="I406" t="s">
        <v>37</v>
      </c>
      <c r="J406" t="s">
        <v>38</v>
      </c>
      <c r="K406">
        <v>8823</v>
      </c>
      <c r="L406">
        <v>55</v>
      </c>
      <c r="M406">
        <v>72.72</v>
      </c>
      <c r="N406">
        <v>0</v>
      </c>
      <c r="O406">
        <v>0</v>
      </c>
      <c r="P406">
        <f t="shared" si="24"/>
        <v>6.2337073557746795E-3</v>
      </c>
      <c r="Q406">
        <f t="shared" si="24"/>
        <v>1.3221818181818181</v>
      </c>
      <c r="R406">
        <f t="shared" si="25"/>
        <v>0</v>
      </c>
      <c r="S406">
        <f t="shared" si="26"/>
        <v>0</v>
      </c>
      <c r="T406">
        <f t="shared" si="27"/>
        <v>0</v>
      </c>
      <c r="U406" t="str">
        <f>YEAR('Campaign Data'!$A406)&amp;"-"&amp;TEXT(MONTH('Campaign Data'!$A406),"00")</f>
        <v>2026-01</v>
      </c>
    </row>
    <row r="407" spans="1:21" x14ac:dyDescent="0.25">
      <c r="A407">
        <v>46045</v>
      </c>
      <c r="B407" t="s">
        <v>127</v>
      </c>
      <c r="C407" t="s">
        <v>128</v>
      </c>
      <c r="D407" t="s">
        <v>58</v>
      </c>
      <c r="E407" t="s">
        <v>24</v>
      </c>
      <c r="F407" t="s">
        <v>81</v>
      </c>
      <c r="G407" t="s">
        <v>129</v>
      </c>
      <c r="H407" t="s">
        <v>51</v>
      </c>
      <c r="I407" t="s">
        <v>37</v>
      </c>
      <c r="J407" t="s">
        <v>87</v>
      </c>
      <c r="K407">
        <v>1817</v>
      </c>
      <c r="L407">
        <v>30</v>
      </c>
      <c r="M407">
        <v>39.67</v>
      </c>
      <c r="N407">
        <v>1</v>
      </c>
      <c r="O407">
        <v>19.88</v>
      </c>
      <c r="P407">
        <f t="shared" si="24"/>
        <v>1.651073197578426E-2</v>
      </c>
      <c r="Q407">
        <f t="shared" si="24"/>
        <v>1.3223333333333334</v>
      </c>
      <c r="R407">
        <f t="shared" si="25"/>
        <v>39.67</v>
      </c>
      <c r="S407">
        <f t="shared" si="26"/>
        <v>0.5011343584572725</v>
      </c>
      <c r="T407">
        <f t="shared" si="27"/>
        <v>3.3333333333333333E-2</v>
      </c>
      <c r="U407" t="str">
        <f>YEAR('Campaign Data'!$A407)&amp;"-"&amp;TEXT(MONTH('Campaign Data'!$A407),"00")</f>
        <v>2026-01</v>
      </c>
    </row>
    <row r="408" spans="1:21" x14ac:dyDescent="0.25">
      <c r="A408">
        <v>46045</v>
      </c>
      <c r="B408" t="s">
        <v>103</v>
      </c>
      <c r="C408" t="s">
        <v>104</v>
      </c>
      <c r="D408" t="s">
        <v>65</v>
      </c>
      <c r="E408" t="s">
        <v>33</v>
      </c>
      <c r="F408" t="s">
        <v>43</v>
      </c>
      <c r="G408" t="s">
        <v>102</v>
      </c>
      <c r="H408" t="s">
        <v>36</v>
      </c>
      <c r="I408" t="s">
        <v>28</v>
      </c>
      <c r="J408" t="s">
        <v>87</v>
      </c>
      <c r="K408">
        <v>8864</v>
      </c>
      <c r="L408">
        <v>47</v>
      </c>
      <c r="M408">
        <v>36.369999999999997</v>
      </c>
      <c r="N408">
        <v>2</v>
      </c>
      <c r="O408">
        <v>34.049999999999997</v>
      </c>
      <c r="P408">
        <f t="shared" si="24"/>
        <v>5.3023465703971118E-3</v>
      </c>
      <c r="Q408">
        <f t="shared" si="24"/>
        <v>0.7738297872340425</v>
      </c>
      <c r="R408">
        <f t="shared" si="25"/>
        <v>18.184999999999999</v>
      </c>
      <c r="S408">
        <f t="shared" si="26"/>
        <v>0.9362111630464669</v>
      </c>
      <c r="T408">
        <f t="shared" si="27"/>
        <v>4.2553191489361701E-2</v>
      </c>
      <c r="U408" t="str">
        <f>YEAR('Campaign Data'!$A408)&amp;"-"&amp;TEXT(MONTH('Campaign Data'!$A408),"00")</f>
        <v>2026-01</v>
      </c>
    </row>
    <row r="409" spans="1:21" x14ac:dyDescent="0.25">
      <c r="A409">
        <v>46045</v>
      </c>
      <c r="B409" t="s">
        <v>179</v>
      </c>
      <c r="C409" t="s">
        <v>180</v>
      </c>
      <c r="D409" t="s">
        <v>58</v>
      </c>
      <c r="E409" t="s">
        <v>42</v>
      </c>
      <c r="F409" t="s">
        <v>25</v>
      </c>
      <c r="G409" t="s">
        <v>54</v>
      </c>
      <c r="H409" t="s">
        <v>90</v>
      </c>
      <c r="I409" t="s">
        <v>28</v>
      </c>
      <c r="J409" t="s">
        <v>62</v>
      </c>
      <c r="K409">
        <v>8410</v>
      </c>
      <c r="L409">
        <v>71</v>
      </c>
      <c r="M409">
        <v>111.93</v>
      </c>
      <c r="N409">
        <v>3</v>
      </c>
      <c r="O409">
        <v>100.15</v>
      </c>
      <c r="P409">
        <f t="shared" si="24"/>
        <v>8.4423305588585025E-3</v>
      </c>
      <c r="Q409">
        <f t="shared" si="24"/>
        <v>1.5764788732394368</v>
      </c>
      <c r="R409">
        <f t="shared" si="25"/>
        <v>37.31</v>
      </c>
      <c r="S409">
        <f t="shared" si="26"/>
        <v>0.89475565085321185</v>
      </c>
      <c r="T409">
        <f t="shared" si="27"/>
        <v>4.2253521126760563E-2</v>
      </c>
      <c r="U409" t="str">
        <f>YEAR('Campaign Data'!$A409)&amp;"-"&amp;TEXT(MONTH('Campaign Data'!$A409),"00")</f>
        <v>2026-01</v>
      </c>
    </row>
    <row r="410" spans="1:21" x14ac:dyDescent="0.25">
      <c r="A410">
        <v>46045</v>
      </c>
      <c r="B410" t="s">
        <v>140</v>
      </c>
      <c r="C410" t="s">
        <v>40</v>
      </c>
      <c r="D410" t="s">
        <v>41</v>
      </c>
      <c r="E410" t="s">
        <v>42</v>
      </c>
      <c r="F410" t="s">
        <v>43</v>
      </c>
      <c r="G410" t="s">
        <v>44</v>
      </c>
      <c r="H410" t="s">
        <v>36</v>
      </c>
      <c r="I410" t="s">
        <v>28</v>
      </c>
      <c r="J410" t="s">
        <v>29</v>
      </c>
      <c r="K410">
        <v>3539</v>
      </c>
      <c r="L410">
        <v>36</v>
      </c>
      <c r="M410">
        <v>201.63</v>
      </c>
      <c r="N410">
        <v>0</v>
      </c>
      <c r="O410">
        <v>0</v>
      </c>
      <c r="P410">
        <f t="shared" si="24"/>
        <v>1.0172365074879909E-2</v>
      </c>
      <c r="Q410">
        <f t="shared" si="24"/>
        <v>5.6008333333333331</v>
      </c>
      <c r="R410">
        <f t="shared" si="25"/>
        <v>0</v>
      </c>
      <c r="S410">
        <f t="shared" si="26"/>
        <v>0</v>
      </c>
      <c r="T410">
        <f t="shared" si="27"/>
        <v>0</v>
      </c>
      <c r="U410" t="str">
        <f>YEAR('Campaign Data'!$A410)&amp;"-"&amp;TEXT(MONTH('Campaign Data'!$A410),"00")</f>
        <v>2026-01</v>
      </c>
    </row>
    <row r="411" spans="1:21" x14ac:dyDescent="0.25">
      <c r="A411">
        <v>46045</v>
      </c>
      <c r="B411" t="s">
        <v>140</v>
      </c>
      <c r="C411" t="s">
        <v>40</v>
      </c>
      <c r="D411" t="s">
        <v>41</v>
      </c>
      <c r="E411" t="s">
        <v>42</v>
      </c>
      <c r="F411" t="s">
        <v>43</v>
      </c>
      <c r="G411" t="s">
        <v>44</v>
      </c>
      <c r="H411" t="s">
        <v>27</v>
      </c>
      <c r="I411" t="s">
        <v>37</v>
      </c>
      <c r="J411" t="s">
        <v>38</v>
      </c>
      <c r="K411">
        <v>13335</v>
      </c>
      <c r="L411">
        <v>141</v>
      </c>
      <c r="M411">
        <v>960.5</v>
      </c>
      <c r="N411">
        <v>10</v>
      </c>
      <c r="O411">
        <v>257.17</v>
      </c>
      <c r="P411">
        <f t="shared" si="24"/>
        <v>1.0573678290213724E-2</v>
      </c>
      <c r="Q411">
        <f t="shared" si="24"/>
        <v>6.8120567375886525</v>
      </c>
      <c r="R411">
        <f t="shared" si="25"/>
        <v>96.05</v>
      </c>
      <c r="S411">
        <f t="shared" si="26"/>
        <v>0.26774596564289432</v>
      </c>
      <c r="T411">
        <f t="shared" si="27"/>
        <v>7.0921985815602842E-2</v>
      </c>
      <c r="U411" t="str">
        <f>YEAR('Campaign Data'!$A411)&amp;"-"&amp;TEXT(MONTH('Campaign Data'!$A411),"00")</f>
        <v>2026-01</v>
      </c>
    </row>
    <row r="412" spans="1:21" x14ac:dyDescent="0.25">
      <c r="A412">
        <v>46045</v>
      </c>
      <c r="B412" t="s">
        <v>134</v>
      </c>
      <c r="C412" t="s">
        <v>135</v>
      </c>
      <c r="D412" t="s">
        <v>32</v>
      </c>
      <c r="E412" t="s">
        <v>74</v>
      </c>
      <c r="F412" t="s">
        <v>25</v>
      </c>
      <c r="G412" t="s">
        <v>107</v>
      </c>
      <c r="H412" t="s">
        <v>90</v>
      </c>
      <c r="I412" t="s">
        <v>28</v>
      </c>
      <c r="J412" t="s">
        <v>29</v>
      </c>
      <c r="K412">
        <v>16955</v>
      </c>
      <c r="L412">
        <v>428</v>
      </c>
      <c r="M412">
        <v>161.51</v>
      </c>
      <c r="N412">
        <v>15</v>
      </c>
      <c r="O412">
        <v>773.5</v>
      </c>
      <c r="P412">
        <f t="shared" si="24"/>
        <v>2.5243291064582719E-2</v>
      </c>
      <c r="Q412">
        <f t="shared" si="24"/>
        <v>0.37735981308411215</v>
      </c>
      <c r="R412">
        <f t="shared" si="25"/>
        <v>10.767333333333333</v>
      </c>
      <c r="S412">
        <f t="shared" si="26"/>
        <v>4.7891771407343198</v>
      </c>
      <c r="T412">
        <f t="shared" si="27"/>
        <v>3.5046728971962614E-2</v>
      </c>
      <c r="U412" t="str">
        <f>YEAR('Campaign Data'!$A412)&amp;"-"&amp;TEXT(MONTH('Campaign Data'!$A412),"00")</f>
        <v>2026-01</v>
      </c>
    </row>
    <row r="413" spans="1:21" x14ac:dyDescent="0.25">
      <c r="A413">
        <v>46045</v>
      </c>
      <c r="B413" t="s">
        <v>181</v>
      </c>
      <c r="C413" t="s">
        <v>182</v>
      </c>
      <c r="D413" t="s">
        <v>32</v>
      </c>
      <c r="E413" t="s">
        <v>33</v>
      </c>
      <c r="F413" t="s">
        <v>75</v>
      </c>
      <c r="G413" t="s">
        <v>59</v>
      </c>
      <c r="H413" t="s">
        <v>55</v>
      </c>
      <c r="I413" t="s">
        <v>37</v>
      </c>
      <c r="J413" t="s">
        <v>45</v>
      </c>
      <c r="K413">
        <v>7690</v>
      </c>
      <c r="L413">
        <v>34</v>
      </c>
      <c r="M413">
        <v>21.33</v>
      </c>
      <c r="N413">
        <v>0</v>
      </c>
      <c r="O413">
        <v>0</v>
      </c>
      <c r="P413">
        <f t="shared" si="24"/>
        <v>4.421326397919376E-3</v>
      </c>
      <c r="Q413">
        <f t="shared" si="24"/>
        <v>0.62735294117647056</v>
      </c>
      <c r="R413">
        <f t="shared" si="25"/>
        <v>0</v>
      </c>
      <c r="S413">
        <f t="shared" si="26"/>
        <v>0</v>
      </c>
      <c r="T413">
        <f t="shared" si="27"/>
        <v>0</v>
      </c>
      <c r="U413" t="str">
        <f>YEAR('Campaign Data'!$A413)&amp;"-"&amp;TEXT(MONTH('Campaign Data'!$A413),"00")</f>
        <v>2026-01</v>
      </c>
    </row>
    <row r="414" spans="1:21" x14ac:dyDescent="0.25">
      <c r="A414">
        <v>46045</v>
      </c>
      <c r="B414" t="s">
        <v>183</v>
      </c>
      <c r="C414" t="s">
        <v>184</v>
      </c>
      <c r="D414" t="s">
        <v>23</v>
      </c>
      <c r="E414" t="s">
        <v>24</v>
      </c>
      <c r="F414" t="s">
        <v>81</v>
      </c>
      <c r="G414" t="s">
        <v>185</v>
      </c>
      <c r="H414" t="s">
        <v>90</v>
      </c>
      <c r="I414" t="s">
        <v>28</v>
      </c>
      <c r="J414" t="s">
        <v>62</v>
      </c>
      <c r="K414">
        <v>2373</v>
      </c>
      <c r="L414">
        <v>38</v>
      </c>
      <c r="M414">
        <v>11.93</v>
      </c>
      <c r="N414">
        <v>2</v>
      </c>
      <c r="O414">
        <v>15.56</v>
      </c>
      <c r="P414">
        <f t="shared" si="24"/>
        <v>1.6013485040033713E-2</v>
      </c>
      <c r="Q414">
        <f t="shared" si="24"/>
        <v>0.31394736842105264</v>
      </c>
      <c r="R414">
        <f t="shared" si="25"/>
        <v>5.9649999999999999</v>
      </c>
      <c r="S414">
        <f t="shared" si="26"/>
        <v>1.3042749371332776</v>
      </c>
      <c r="T414">
        <f t="shared" si="27"/>
        <v>5.2631578947368418E-2</v>
      </c>
      <c r="U414" t="str">
        <f>YEAR('Campaign Data'!$A414)&amp;"-"&amp;TEXT(MONTH('Campaign Data'!$A414),"00")</f>
        <v>2026-01</v>
      </c>
    </row>
    <row r="415" spans="1:21" x14ac:dyDescent="0.25">
      <c r="A415">
        <v>46045</v>
      </c>
      <c r="B415" t="s">
        <v>67</v>
      </c>
      <c r="C415" t="s">
        <v>68</v>
      </c>
      <c r="D415" t="s">
        <v>69</v>
      </c>
      <c r="E415" t="s">
        <v>49</v>
      </c>
      <c r="F415" t="s">
        <v>34</v>
      </c>
      <c r="G415" t="s">
        <v>70</v>
      </c>
      <c r="H415" t="s">
        <v>27</v>
      </c>
      <c r="I415" t="s">
        <v>37</v>
      </c>
      <c r="J415" t="s">
        <v>87</v>
      </c>
      <c r="K415">
        <v>19100</v>
      </c>
      <c r="L415">
        <v>1047</v>
      </c>
      <c r="M415">
        <v>2645.62</v>
      </c>
      <c r="N415">
        <v>47</v>
      </c>
      <c r="O415">
        <v>4594.07</v>
      </c>
      <c r="P415">
        <f t="shared" si="24"/>
        <v>5.4816753926701572E-2</v>
      </c>
      <c r="Q415">
        <f t="shared" si="24"/>
        <v>2.5268576886341929</v>
      </c>
      <c r="R415">
        <f t="shared" si="25"/>
        <v>56.289787234042549</v>
      </c>
      <c r="S415">
        <f t="shared" si="26"/>
        <v>1.7364814296837792</v>
      </c>
      <c r="T415">
        <f t="shared" si="27"/>
        <v>4.4890162368672396E-2</v>
      </c>
      <c r="U415" t="str">
        <f>YEAR('Campaign Data'!$A415)&amp;"-"&amp;TEXT(MONTH('Campaign Data'!$A415),"00")</f>
        <v>2026-01</v>
      </c>
    </row>
    <row r="416" spans="1:21" x14ac:dyDescent="0.25">
      <c r="A416">
        <v>46045</v>
      </c>
      <c r="B416" t="s">
        <v>82</v>
      </c>
      <c r="C416" t="s">
        <v>83</v>
      </c>
      <c r="D416" t="s">
        <v>80</v>
      </c>
      <c r="E416" t="s">
        <v>42</v>
      </c>
      <c r="F416" t="s">
        <v>34</v>
      </c>
      <c r="G416" t="s">
        <v>84</v>
      </c>
      <c r="H416" t="s">
        <v>36</v>
      </c>
      <c r="I416" t="s">
        <v>28</v>
      </c>
      <c r="J416" t="s">
        <v>62</v>
      </c>
      <c r="K416">
        <v>8739</v>
      </c>
      <c r="L416">
        <v>73</v>
      </c>
      <c r="M416">
        <v>389.9</v>
      </c>
      <c r="N416">
        <v>1</v>
      </c>
      <c r="O416">
        <v>49.05</v>
      </c>
      <c r="P416">
        <f t="shared" si="24"/>
        <v>8.3533585078384258E-3</v>
      </c>
      <c r="Q416">
        <f t="shared" si="24"/>
        <v>5.3410958904109584</v>
      </c>
      <c r="R416">
        <f t="shared" si="25"/>
        <v>389.9</v>
      </c>
      <c r="S416">
        <f t="shared" si="26"/>
        <v>0.12580148756091306</v>
      </c>
      <c r="T416">
        <f t="shared" si="27"/>
        <v>1.3698630136986301E-2</v>
      </c>
      <c r="U416" t="str">
        <f>YEAR('Campaign Data'!$A416)&amp;"-"&amp;TEXT(MONTH('Campaign Data'!$A416),"00")</f>
        <v>2026-01</v>
      </c>
    </row>
    <row r="417" spans="1:21" x14ac:dyDescent="0.25">
      <c r="A417">
        <v>46046</v>
      </c>
      <c r="B417" t="s">
        <v>165</v>
      </c>
      <c r="C417" t="s">
        <v>166</v>
      </c>
      <c r="D417" t="s">
        <v>41</v>
      </c>
      <c r="E417" t="s">
        <v>33</v>
      </c>
      <c r="F417" t="s">
        <v>43</v>
      </c>
      <c r="G417" t="s">
        <v>59</v>
      </c>
      <c r="H417" t="s">
        <v>60</v>
      </c>
      <c r="I417" t="s">
        <v>37</v>
      </c>
      <c r="J417" t="s">
        <v>29</v>
      </c>
      <c r="K417">
        <v>21199</v>
      </c>
      <c r="L417">
        <v>189</v>
      </c>
      <c r="M417">
        <v>135.33000000000001</v>
      </c>
      <c r="N417">
        <v>4</v>
      </c>
      <c r="O417">
        <v>64.73</v>
      </c>
      <c r="P417">
        <f t="shared" si="24"/>
        <v>8.9155148827774894E-3</v>
      </c>
      <c r="Q417">
        <f t="shared" si="24"/>
        <v>0.71603174603174613</v>
      </c>
      <c r="R417">
        <f t="shared" si="25"/>
        <v>33.832500000000003</v>
      </c>
      <c r="S417">
        <f t="shared" si="26"/>
        <v>0.47831227370132268</v>
      </c>
      <c r="T417">
        <f t="shared" si="27"/>
        <v>2.1164021164021163E-2</v>
      </c>
      <c r="U417" t="str">
        <f>YEAR('Campaign Data'!$A417)&amp;"-"&amp;TEXT(MONTH('Campaign Data'!$A417),"00")</f>
        <v>2026-01</v>
      </c>
    </row>
    <row r="418" spans="1:21" x14ac:dyDescent="0.25">
      <c r="A418">
        <v>46046</v>
      </c>
      <c r="B418" t="s">
        <v>167</v>
      </c>
      <c r="C418" t="s">
        <v>168</v>
      </c>
      <c r="D418" t="s">
        <v>58</v>
      </c>
      <c r="E418" t="s">
        <v>33</v>
      </c>
      <c r="F418" t="s">
        <v>75</v>
      </c>
      <c r="G418" t="s">
        <v>35</v>
      </c>
      <c r="H418" t="s">
        <v>27</v>
      </c>
      <c r="I418" t="s">
        <v>37</v>
      </c>
      <c r="J418" t="s">
        <v>87</v>
      </c>
      <c r="K418">
        <v>4277</v>
      </c>
      <c r="L418">
        <v>42</v>
      </c>
      <c r="M418">
        <v>35.94</v>
      </c>
      <c r="N418">
        <v>1</v>
      </c>
      <c r="O418">
        <v>25.96</v>
      </c>
      <c r="P418">
        <f t="shared" si="24"/>
        <v>9.8199672667757774E-3</v>
      </c>
      <c r="Q418">
        <f t="shared" si="24"/>
        <v>0.85571428571428565</v>
      </c>
      <c r="R418">
        <f t="shared" si="25"/>
        <v>35.94</v>
      </c>
      <c r="S418">
        <f t="shared" si="26"/>
        <v>0.72231496939343354</v>
      </c>
      <c r="T418">
        <f t="shared" si="27"/>
        <v>2.3809523809523808E-2</v>
      </c>
      <c r="U418" t="str">
        <f>YEAR('Campaign Data'!$A418)&amp;"-"&amp;TEXT(MONTH('Campaign Data'!$A418),"00")</f>
        <v>2026-01</v>
      </c>
    </row>
    <row r="419" spans="1:21" x14ac:dyDescent="0.25">
      <c r="A419">
        <v>46046</v>
      </c>
      <c r="B419" t="s">
        <v>125</v>
      </c>
      <c r="C419" t="s">
        <v>126</v>
      </c>
      <c r="D419" t="s">
        <v>41</v>
      </c>
      <c r="E419" t="s">
        <v>42</v>
      </c>
      <c r="F419" t="s">
        <v>81</v>
      </c>
      <c r="G419" t="s">
        <v>44</v>
      </c>
      <c r="H419" t="s">
        <v>60</v>
      </c>
      <c r="I419" t="s">
        <v>28</v>
      </c>
      <c r="J419" t="s">
        <v>62</v>
      </c>
      <c r="K419">
        <v>8990</v>
      </c>
      <c r="L419">
        <v>68</v>
      </c>
      <c r="M419">
        <v>463.21</v>
      </c>
      <c r="N419">
        <v>2</v>
      </c>
      <c r="O419">
        <v>37.299999999999997</v>
      </c>
      <c r="P419">
        <f t="shared" si="24"/>
        <v>7.5639599555061181E-3</v>
      </c>
      <c r="Q419">
        <f t="shared" si="24"/>
        <v>6.811911764705882</v>
      </c>
      <c r="R419">
        <f t="shared" si="25"/>
        <v>231.60499999999999</v>
      </c>
      <c r="S419">
        <f t="shared" si="26"/>
        <v>8.0525031843008563E-2</v>
      </c>
      <c r="T419">
        <f t="shared" si="27"/>
        <v>2.9411764705882353E-2</v>
      </c>
      <c r="U419" t="str">
        <f>YEAR('Campaign Data'!$A419)&amp;"-"&amp;TEXT(MONTH('Campaign Data'!$A419),"00")</f>
        <v>2026-01</v>
      </c>
    </row>
    <row r="420" spans="1:21" x14ac:dyDescent="0.25">
      <c r="A420">
        <v>46046</v>
      </c>
      <c r="B420" t="s">
        <v>100</v>
      </c>
      <c r="C420" t="s">
        <v>101</v>
      </c>
      <c r="D420" t="s">
        <v>80</v>
      </c>
      <c r="E420" t="s">
        <v>33</v>
      </c>
      <c r="F420" t="s">
        <v>25</v>
      </c>
      <c r="G420" t="s">
        <v>102</v>
      </c>
      <c r="H420" t="s">
        <v>27</v>
      </c>
      <c r="I420" t="s">
        <v>37</v>
      </c>
      <c r="J420" t="s">
        <v>29</v>
      </c>
      <c r="K420">
        <v>4604</v>
      </c>
      <c r="L420">
        <v>46</v>
      </c>
      <c r="M420">
        <v>24.66</v>
      </c>
      <c r="N420">
        <v>3</v>
      </c>
      <c r="O420">
        <v>635.17999999999995</v>
      </c>
      <c r="P420">
        <f t="shared" si="24"/>
        <v>9.99131190269331E-3</v>
      </c>
      <c r="Q420">
        <f t="shared" si="24"/>
        <v>0.5360869565217391</v>
      </c>
      <c r="R420">
        <f t="shared" si="25"/>
        <v>8.2200000000000006</v>
      </c>
      <c r="S420">
        <f t="shared" si="26"/>
        <v>25.757502027575018</v>
      </c>
      <c r="T420">
        <f t="shared" si="27"/>
        <v>6.5217391304347824E-2</v>
      </c>
      <c r="U420" t="str">
        <f>YEAR('Campaign Data'!$A420)&amp;"-"&amp;TEXT(MONTH('Campaign Data'!$A420),"00")</f>
        <v>2026-01</v>
      </c>
    </row>
    <row r="421" spans="1:21" x14ac:dyDescent="0.25">
      <c r="A421">
        <v>46046</v>
      </c>
      <c r="B421" t="s">
        <v>105</v>
      </c>
      <c r="C421" t="s">
        <v>106</v>
      </c>
      <c r="D421" t="s">
        <v>58</v>
      </c>
      <c r="E421" t="s">
        <v>49</v>
      </c>
      <c r="F421" t="s">
        <v>81</v>
      </c>
      <c r="G421" t="s">
        <v>107</v>
      </c>
      <c r="H421" t="s">
        <v>36</v>
      </c>
      <c r="I421" t="s">
        <v>28</v>
      </c>
      <c r="J421" t="s">
        <v>62</v>
      </c>
      <c r="K421">
        <v>12158</v>
      </c>
      <c r="L421">
        <v>777</v>
      </c>
      <c r="M421">
        <v>1600.04</v>
      </c>
      <c r="N421">
        <v>38</v>
      </c>
      <c r="O421">
        <v>873.26</v>
      </c>
      <c r="P421">
        <f t="shared" si="24"/>
        <v>6.3908537588419148E-2</v>
      </c>
      <c r="Q421">
        <f t="shared" si="24"/>
        <v>2.0592535392535392</v>
      </c>
      <c r="R421">
        <f t="shared" si="25"/>
        <v>42.106315789473683</v>
      </c>
      <c r="S421">
        <f t="shared" si="26"/>
        <v>0.5457738556536087</v>
      </c>
      <c r="T421">
        <f t="shared" si="27"/>
        <v>4.8906048906048903E-2</v>
      </c>
      <c r="U421" t="str">
        <f>YEAR('Campaign Data'!$A421)&amp;"-"&amp;TEXT(MONTH('Campaign Data'!$A421),"00")</f>
        <v>2026-01</v>
      </c>
    </row>
    <row r="422" spans="1:21" x14ac:dyDescent="0.25">
      <c r="A422">
        <v>46046</v>
      </c>
      <c r="B422" t="s">
        <v>108</v>
      </c>
      <c r="C422" t="s">
        <v>109</v>
      </c>
      <c r="D422" t="s">
        <v>58</v>
      </c>
      <c r="E422" t="s">
        <v>33</v>
      </c>
      <c r="F422" t="s">
        <v>43</v>
      </c>
      <c r="G422" t="s">
        <v>59</v>
      </c>
      <c r="H422" t="s">
        <v>55</v>
      </c>
      <c r="I422" t="s">
        <v>37</v>
      </c>
      <c r="J422" t="s">
        <v>62</v>
      </c>
      <c r="K422">
        <v>7690</v>
      </c>
      <c r="L422">
        <v>79</v>
      </c>
      <c r="M422">
        <v>55.4</v>
      </c>
      <c r="N422">
        <v>3</v>
      </c>
      <c r="O422">
        <v>61.55</v>
      </c>
      <c r="P422">
        <f t="shared" si="24"/>
        <v>1.0273081924577373E-2</v>
      </c>
      <c r="Q422">
        <f t="shared" si="24"/>
        <v>0.70126582278481009</v>
      </c>
      <c r="R422">
        <f t="shared" si="25"/>
        <v>18.466666666666665</v>
      </c>
      <c r="S422">
        <f t="shared" si="26"/>
        <v>1.1110108303249098</v>
      </c>
      <c r="T422">
        <f t="shared" si="27"/>
        <v>3.7974683544303799E-2</v>
      </c>
      <c r="U422" t="str">
        <f>YEAR('Campaign Data'!$A422)&amp;"-"&amp;TEXT(MONTH('Campaign Data'!$A422),"00")</f>
        <v>2026-01</v>
      </c>
    </row>
    <row r="423" spans="1:21" x14ac:dyDescent="0.25">
      <c r="A423">
        <v>46046</v>
      </c>
      <c r="B423" t="s">
        <v>132</v>
      </c>
      <c r="C423" t="s">
        <v>133</v>
      </c>
      <c r="D423" t="s">
        <v>23</v>
      </c>
      <c r="E423" t="s">
        <v>42</v>
      </c>
      <c r="F423" t="s">
        <v>75</v>
      </c>
      <c r="G423" t="s">
        <v>84</v>
      </c>
      <c r="H423" t="s">
        <v>90</v>
      </c>
      <c r="I423" t="s">
        <v>37</v>
      </c>
      <c r="J423" t="s">
        <v>45</v>
      </c>
      <c r="K423">
        <v>6411</v>
      </c>
      <c r="L423">
        <v>36</v>
      </c>
      <c r="M423">
        <v>51.4</v>
      </c>
      <c r="N423">
        <v>3</v>
      </c>
      <c r="O423">
        <v>36.6</v>
      </c>
      <c r="P423">
        <f t="shared" si="24"/>
        <v>5.6153486195601307E-3</v>
      </c>
      <c r="Q423">
        <f t="shared" si="24"/>
        <v>1.4277777777777778</v>
      </c>
      <c r="R423">
        <f t="shared" si="25"/>
        <v>17.133333333333333</v>
      </c>
      <c r="S423">
        <f t="shared" si="26"/>
        <v>0.71206225680933855</v>
      </c>
      <c r="T423">
        <f t="shared" si="27"/>
        <v>8.3333333333333329E-2</v>
      </c>
      <c r="U423" t="str">
        <f>YEAR('Campaign Data'!$A423)&amp;"-"&amp;TEXT(MONTH('Campaign Data'!$A423),"00")</f>
        <v>2026-01</v>
      </c>
    </row>
    <row r="424" spans="1:21" x14ac:dyDescent="0.25">
      <c r="A424">
        <v>46046</v>
      </c>
      <c r="B424" t="s">
        <v>140</v>
      </c>
      <c r="C424" t="s">
        <v>40</v>
      </c>
      <c r="D424" t="s">
        <v>41</v>
      </c>
      <c r="E424" t="s">
        <v>42</v>
      </c>
      <c r="F424" t="s">
        <v>43</v>
      </c>
      <c r="G424" t="s">
        <v>44</v>
      </c>
      <c r="H424" t="s">
        <v>90</v>
      </c>
      <c r="I424" t="s">
        <v>37</v>
      </c>
      <c r="J424" t="s">
        <v>45</v>
      </c>
      <c r="K424">
        <v>13525</v>
      </c>
      <c r="L424">
        <v>75</v>
      </c>
      <c r="M424">
        <v>124.29</v>
      </c>
      <c r="N424">
        <v>1</v>
      </c>
      <c r="O424">
        <v>7.04</v>
      </c>
      <c r="P424">
        <f t="shared" si="24"/>
        <v>5.5452865064695009E-3</v>
      </c>
      <c r="Q424">
        <f t="shared" si="24"/>
        <v>1.6572</v>
      </c>
      <c r="R424">
        <f t="shared" si="25"/>
        <v>124.29</v>
      </c>
      <c r="S424">
        <f t="shared" si="26"/>
        <v>5.6641724997988571E-2</v>
      </c>
      <c r="T424">
        <f t="shared" si="27"/>
        <v>1.3333333333333334E-2</v>
      </c>
      <c r="U424" t="str">
        <f>YEAR('Campaign Data'!$A424)&amp;"-"&amp;TEXT(MONTH('Campaign Data'!$A424),"00")</f>
        <v>2026-01</v>
      </c>
    </row>
    <row r="425" spans="1:21" x14ac:dyDescent="0.25">
      <c r="A425">
        <v>46046</v>
      </c>
      <c r="B425" t="s">
        <v>140</v>
      </c>
      <c r="C425" t="s">
        <v>40</v>
      </c>
      <c r="D425" t="s">
        <v>41</v>
      </c>
      <c r="E425" t="s">
        <v>42</v>
      </c>
      <c r="F425" t="s">
        <v>43</v>
      </c>
      <c r="G425" t="s">
        <v>44</v>
      </c>
      <c r="H425" t="s">
        <v>90</v>
      </c>
      <c r="I425" t="s">
        <v>28</v>
      </c>
      <c r="J425" t="s">
        <v>45</v>
      </c>
      <c r="K425">
        <v>3066</v>
      </c>
      <c r="L425">
        <v>23</v>
      </c>
      <c r="M425">
        <v>32.270000000000003</v>
      </c>
      <c r="N425">
        <v>2</v>
      </c>
      <c r="O425">
        <v>17.45</v>
      </c>
      <c r="P425">
        <f t="shared" si="24"/>
        <v>7.5016307893020218E-3</v>
      </c>
      <c r="Q425">
        <f t="shared" si="24"/>
        <v>1.4030434782608696</v>
      </c>
      <c r="R425">
        <f t="shared" si="25"/>
        <v>16.135000000000002</v>
      </c>
      <c r="S425">
        <f t="shared" si="26"/>
        <v>0.54074992252866427</v>
      </c>
      <c r="T425">
        <f t="shared" si="27"/>
        <v>8.6956521739130432E-2</v>
      </c>
      <c r="U425" t="str">
        <f>YEAR('Campaign Data'!$A425)&amp;"-"&amp;TEXT(MONTH('Campaign Data'!$A425),"00")</f>
        <v>2026-01</v>
      </c>
    </row>
    <row r="426" spans="1:21" x14ac:dyDescent="0.25">
      <c r="A426">
        <v>46046</v>
      </c>
      <c r="B426" t="s">
        <v>157</v>
      </c>
      <c r="C426" t="s">
        <v>158</v>
      </c>
      <c r="D426" t="s">
        <v>58</v>
      </c>
      <c r="E426" t="s">
        <v>49</v>
      </c>
      <c r="F426" t="s">
        <v>81</v>
      </c>
      <c r="G426" t="s">
        <v>50</v>
      </c>
      <c r="H426" t="s">
        <v>55</v>
      </c>
      <c r="I426" t="s">
        <v>37</v>
      </c>
      <c r="J426" t="s">
        <v>29</v>
      </c>
      <c r="K426">
        <v>23189</v>
      </c>
      <c r="L426">
        <v>958</v>
      </c>
      <c r="M426">
        <v>1512.81</v>
      </c>
      <c r="N426">
        <v>43</v>
      </c>
      <c r="O426">
        <v>681.52</v>
      </c>
      <c r="P426">
        <f t="shared" si="24"/>
        <v>4.131269136228384E-2</v>
      </c>
      <c r="Q426">
        <f t="shared" si="24"/>
        <v>1.5791336116910228</v>
      </c>
      <c r="R426">
        <f t="shared" si="25"/>
        <v>35.181627906976743</v>
      </c>
      <c r="S426">
        <f t="shared" si="26"/>
        <v>0.45049940177550385</v>
      </c>
      <c r="T426">
        <f t="shared" si="27"/>
        <v>4.4885177453027142E-2</v>
      </c>
      <c r="U426" t="str">
        <f>YEAR('Campaign Data'!$A426)&amp;"-"&amp;TEXT(MONTH('Campaign Data'!$A426),"00")</f>
        <v>2026-01</v>
      </c>
    </row>
    <row r="427" spans="1:21" x14ac:dyDescent="0.25">
      <c r="A427">
        <v>46046</v>
      </c>
      <c r="B427" t="s">
        <v>159</v>
      </c>
      <c r="C427" t="s">
        <v>160</v>
      </c>
      <c r="D427" t="s">
        <v>65</v>
      </c>
      <c r="E427" t="s">
        <v>42</v>
      </c>
      <c r="F427" t="s">
        <v>75</v>
      </c>
      <c r="G427" t="s">
        <v>54</v>
      </c>
      <c r="H427" t="s">
        <v>90</v>
      </c>
      <c r="I427" t="s">
        <v>28</v>
      </c>
      <c r="J427" t="s">
        <v>38</v>
      </c>
      <c r="K427">
        <v>5074</v>
      </c>
      <c r="L427">
        <v>23</v>
      </c>
      <c r="M427">
        <v>28.41</v>
      </c>
      <c r="N427">
        <v>1</v>
      </c>
      <c r="O427">
        <v>17.2</v>
      </c>
      <c r="P427">
        <f t="shared" si="24"/>
        <v>4.5329128892392587E-3</v>
      </c>
      <c r="Q427">
        <f t="shared" si="24"/>
        <v>1.2352173913043478</v>
      </c>
      <c r="R427">
        <f t="shared" si="25"/>
        <v>28.41</v>
      </c>
      <c r="S427">
        <f t="shared" si="26"/>
        <v>0.60542062653995066</v>
      </c>
      <c r="T427">
        <f t="shared" si="27"/>
        <v>4.3478260869565216E-2</v>
      </c>
      <c r="U427" t="str">
        <f>YEAR('Campaign Data'!$A427)&amp;"-"&amp;TEXT(MONTH('Campaign Data'!$A427),"00")</f>
        <v>2026-01</v>
      </c>
    </row>
    <row r="428" spans="1:21" x14ac:dyDescent="0.25">
      <c r="A428">
        <v>46046</v>
      </c>
      <c r="B428" t="s">
        <v>181</v>
      </c>
      <c r="C428" t="s">
        <v>182</v>
      </c>
      <c r="D428" t="s">
        <v>32</v>
      </c>
      <c r="E428" t="s">
        <v>33</v>
      </c>
      <c r="F428" t="s">
        <v>75</v>
      </c>
      <c r="G428" t="s">
        <v>59</v>
      </c>
      <c r="H428" t="s">
        <v>55</v>
      </c>
      <c r="I428" t="s">
        <v>37</v>
      </c>
      <c r="J428" t="s">
        <v>38</v>
      </c>
      <c r="K428">
        <v>829</v>
      </c>
      <c r="L428">
        <v>1</v>
      </c>
      <c r="M428">
        <v>0.38</v>
      </c>
      <c r="N428">
        <v>0</v>
      </c>
      <c r="O428">
        <v>0</v>
      </c>
      <c r="P428">
        <f t="shared" si="24"/>
        <v>1.2062726176115801E-3</v>
      </c>
      <c r="Q428">
        <f t="shared" si="24"/>
        <v>0.38</v>
      </c>
      <c r="R428">
        <f t="shared" si="25"/>
        <v>0</v>
      </c>
      <c r="S428">
        <f t="shared" si="26"/>
        <v>0</v>
      </c>
      <c r="T428">
        <f t="shared" si="27"/>
        <v>0</v>
      </c>
      <c r="U428" t="str">
        <f>YEAR('Campaign Data'!$A428)&amp;"-"&amp;TEXT(MONTH('Campaign Data'!$A428),"00")</f>
        <v>2026-01</v>
      </c>
    </row>
    <row r="429" spans="1:21" x14ac:dyDescent="0.25">
      <c r="A429">
        <v>46046</v>
      </c>
      <c r="B429" t="s">
        <v>114</v>
      </c>
      <c r="C429" t="s">
        <v>115</v>
      </c>
      <c r="D429" t="s">
        <v>69</v>
      </c>
      <c r="E429" t="s">
        <v>49</v>
      </c>
      <c r="F429" t="s">
        <v>25</v>
      </c>
      <c r="G429" t="s">
        <v>107</v>
      </c>
      <c r="H429" t="s">
        <v>51</v>
      </c>
      <c r="I429" t="s">
        <v>28</v>
      </c>
      <c r="J429" t="s">
        <v>62</v>
      </c>
      <c r="K429">
        <v>5968</v>
      </c>
      <c r="L429">
        <v>177</v>
      </c>
      <c r="M429">
        <v>331.99</v>
      </c>
      <c r="N429">
        <v>10</v>
      </c>
      <c r="O429">
        <v>1046.2</v>
      </c>
      <c r="P429">
        <f t="shared" si="24"/>
        <v>2.9658176943699731E-2</v>
      </c>
      <c r="Q429">
        <f t="shared" si="24"/>
        <v>1.8756497175141242</v>
      </c>
      <c r="R429">
        <f t="shared" si="25"/>
        <v>33.198999999999998</v>
      </c>
      <c r="S429">
        <f t="shared" si="26"/>
        <v>3.1512997379439138</v>
      </c>
      <c r="T429">
        <f t="shared" si="27"/>
        <v>5.6497175141242938E-2</v>
      </c>
      <c r="U429" t="str">
        <f>YEAR('Campaign Data'!$A429)&amp;"-"&amp;TEXT(MONTH('Campaign Data'!$A429),"00")</f>
        <v>2026-01</v>
      </c>
    </row>
    <row r="430" spans="1:21" x14ac:dyDescent="0.25">
      <c r="A430">
        <v>46046</v>
      </c>
      <c r="B430" t="s">
        <v>56</v>
      </c>
      <c r="C430" t="s">
        <v>57</v>
      </c>
      <c r="D430" t="s">
        <v>58</v>
      </c>
      <c r="E430" t="s">
        <v>33</v>
      </c>
      <c r="F430" t="s">
        <v>43</v>
      </c>
      <c r="G430" t="s">
        <v>59</v>
      </c>
      <c r="H430" t="s">
        <v>60</v>
      </c>
      <c r="I430" t="s">
        <v>37</v>
      </c>
      <c r="J430" t="s">
        <v>29</v>
      </c>
      <c r="K430">
        <v>5647</v>
      </c>
      <c r="L430">
        <v>81</v>
      </c>
      <c r="M430">
        <v>35.880000000000003</v>
      </c>
      <c r="N430">
        <v>1</v>
      </c>
      <c r="O430">
        <v>28.18</v>
      </c>
      <c r="P430">
        <f t="shared" si="24"/>
        <v>1.4343899415618913E-2</v>
      </c>
      <c r="Q430">
        <f t="shared" si="24"/>
        <v>0.442962962962963</v>
      </c>
      <c r="R430">
        <f t="shared" si="25"/>
        <v>35.880000000000003</v>
      </c>
      <c r="S430">
        <f t="shared" si="26"/>
        <v>0.78539576365663311</v>
      </c>
      <c r="T430">
        <f t="shared" si="27"/>
        <v>1.2345679012345678E-2</v>
      </c>
      <c r="U430" t="str">
        <f>YEAR('Campaign Data'!$A430)&amp;"-"&amp;TEXT(MONTH('Campaign Data'!$A430),"00")</f>
        <v>2026-01</v>
      </c>
    </row>
    <row r="431" spans="1:21" x14ac:dyDescent="0.25">
      <c r="A431">
        <v>46046</v>
      </c>
      <c r="B431" t="s">
        <v>183</v>
      </c>
      <c r="C431" t="s">
        <v>184</v>
      </c>
      <c r="D431" t="s">
        <v>23</v>
      </c>
      <c r="E431" t="s">
        <v>24</v>
      </c>
      <c r="F431" t="s">
        <v>81</v>
      </c>
      <c r="G431" t="s">
        <v>185</v>
      </c>
      <c r="H431" t="s">
        <v>71</v>
      </c>
      <c r="I431" t="s">
        <v>37</v>
      </c>
      <c r="J431" t="s">
        <v>45</v>
      </c>
      <c r="K431">
        <v>3231</v>
      </c>
      <c r="L431">
        <v>41</v>
      </c>
      <c r="M431">
        <v>44.12</v>
      </c>
      <c r="N431">
        <v>2</v>
      </c>
      <c r="O431">
        <v>39.82</v>
      </c>
      <c r="P431">
        <f t="shared" si="24"/>
        <v>1.2689569792633859E-2</v>
      </c>
      <c r="Q431">
        <f t="shared" si="24"/>
        <v>1.0760975609756096</v>
      </c>
      <c r="R431">
        <f t="shared" si="25"/>
        <v>22.06</v>
      </c>
      <c r="S431">
        <f t="shared" si="26"/>
        <v>0.90253853127833183</v>
      </c>
      <c r="T431">
        <f t="shared" si="27"/>
        <v>4.878048780487805E-2</v>
      </c>
      <c r="U431" t="str">
        <f>YEAR('Campaign Data'!$A431)&amp;"-"&amp;TEXT(MONTH('Campaign Data'!$A431),"00")</f>
        <v>2026-01</v>
      </c>
    </row>
    <row r="432" spans="1:21" x14ac:dyDescent="0.25">
      <c r="A432">
        <v>46046</v>
      </c>
      <c r="B432" t="s">
        <v>120</v>
      </c>
      <c r="C432" t="s">
        <v>121</v>
      </c>
      <c r="D432" t="s">
        <v>23</v>
      </c>
      <c r="E432" t="s">
        <v>49</v>
      </c>
      <c r="F432" t="s">
        <v>75</v>
      </c>
      <c r="G432" t="s">
        <v>70</v>
      </c>
      <c r="H432" t="s">
        <v>55</v>
      </c>
      <c r="I432" t="s">
        <v>37</v>
      </c>
      <c r="J432" t="s">
        <v>62</v>
      </c>
      <c r="K432">
        <v>3001</v>
      </c>
      <c r="L432">
        <v>169</v>
      </c>
      <c r="M432">
        <v>400.8</v>
      </c>
      <c r="N432">
        <v>9</v>
      </c>
      <c r="O432">
        <v>468.73</v>
      </c>
      <c r="P432">
        <f t="shared" si="24"/>
        <v>5.6314561812729091E-2</v>
      </c>
      <c r="Q432">
        <f t="shared" si="24"/>
        <v>2.3715976331360946</v>
      </c>
      <c r="R432">
        <f t="shared" si="25"/>
        <v>44.533333333333331</v>
      </c>
      <c r="S432">
        <f t="shared" si="26"/>
        <v>1.1694860279441117</v>
      </c>
      <c r="T432">
        <f t="shared" si="27"/>
        <v>5.3254437869822487E-2</v>
      </c>
      <c r="U432" t="str">
        <f>YEAR('Campaign Data'!$A432)&amp;"-"&amp;TEXT(MONTH('Campaign Data'!$A432),"00")</f>
        <v>2026-01</v>
      </c>
    </row>
    <row r="433" spans="1:21" x14ac:dyDescent="0.25">
      <c r="A433">
        <v>46046</v>
      </c>
      <c r="B433" t="s">
        <v>82</v>
      </c>
      <c r="C433" t="s">
        <v>83</v>
      </c>
      <c r="D433" t="s">
        <v>80</v>
      </c>
      <c r="E433" t="s">
        <v>42</v>
      </c>
      <c r="F433" t="s">
        <v>34</v>
      </c>
      <c r="G433" t="s">
        <v>84</v>
      </c>
      <c r="H433" t="s">
        <v>27</v>
      </c>
      <c r="I433" t="s">
        <v>37</v>
      </c>
      <c r="J433" t="s">
        <v>62</v>
      </c>
      <c r="K433">
        <v>5654</v>
      </c>
      <c r="L433">
        <v>43</v>
      </c>
      <c r="M433">
        <v>352.53</v>
      </c>
      <c r="N433">
        <v>4</v>
      </c>
      <c r="O433">
        <v>795.46</v>
      </c>
      <c r="P433">
        <f t="shared" si="24"/>
        <v>7.6052352316943756E-3</v>
      </c>
      <c r="Q433">
        <f t="shared" si="24"/>
        <v>8.1983720930232558</v>
      </c>
      <c r="R433">
        <f t="shared" si="25"/>
        <v>88.132499999999993</v>
      </c>
      <c r="S433">
        <f t="shared" si="26"/>
        <v>2.2564320767026924</v>
      </c>
      <c r="T433">
        <f t="shared" si="27"/>
        <v>9.3023255813953487E-2</v>
      </c>
      <c r="U433" t="str">
        <f>YEAR('Campaign Data'!$A433)&amp;"-"&amp;TEXT(MONTH('Campaign Data'!$A433),"00")</f>
        <v>2026-01</v>
      </c>
    </row>
    <row r="434" spans="1:21" x14ac:dyDescent="0.25">
      <c r="A434">
        <v>46046</v>
      </c>
      <c r="B434" t="s">
        <v>82</v>
      </c>
      <c r="C434" t="s">
        <v>83</v>
      </c>
      <c r="D434" t="s">
        <v>80</v>
      </c>
      <c r="E434" t="s">
        <v>42</v>
      </c>
      <c r="F434" t="s">
        <v>34</v>
      </c>
      <c r="G434" t="s">
        <v>84</v>
      </c>
      <c r="H434" t="s">
        <v>71</v>
      </c>
      <c r="I434" t="s">
        <v>37</v>
      </c>
      <c r="J434" t="s">
        <v>87</v>
      </c>
      <c r="K434">
        <v>7323</v>
      </c>
      <c r="L434">
        <v>53</v>
      </c>
      <c r="M434">
        <v>273.69</v>
      </c>
      <c r="N434">
        <v>1</v>
      </c>
      <c r="O434">
        <v>112.29</v>
      </c>
      <c r="P434">
        <f t="shared" si="24"/>
        <v>7.2374709818380442E-3</v>
      </c>
      <c r="Q434">
        <f t="shared" si="24"/>
        <v>5.1639622641509435</v>
      </c>
      <c r="R434">
        <f t="shared" si="25"/>
        <v>273.69</v>
      </c>
      <c r="S434">
        <f t="shared" si="26"/>
        <v>0.4102817055793051</v>
      </c>
      <c r="T434">
        <f t="shared" si="27"/>
        <v>1.8867924528301886E-2</v>
      </c>
      <c r="U434" t="str">
        <f>YEAR('Campaign Data'!$A434)&amp;"-"&amp;TEXT(MONTH('Campaign Data'!$A434),"00")</f>
        <v>2026-01</v>
      </c>
    </row>
    <row r="435" spans="1:21" x14ac:dyDescent="0.25">
      <c r="A435">
        <v>46046</v>
      </c>
      <c r="B435" t="s">
        <v>82</v>
      </c>
      <c r="C435" t="s">
        <v>83</v>
      </c>
      <c r="D435" t="s">
        <v>80</v>
      </c>
      <c r="E435" t="s">
        <v>42</v>
      </c>
      <c r="F435" t="s">
        <v>34</v>
      </c>
      <c r="G435" t="s">
        <v>84</v>
      </c>
      <c r="H435" t="s">
        <v>55</v>
      </c>
      <c r="I435" t="s">
        <v>28</v>
      </c>
      <c r="J435" t="s">
        <v>38</v>
      </c>
      <c r="K435">
        <v>4044</v>
      </c>
      <c r="L435">
        <v>35</v>
      </c>
      <c r="M435">
        <v>176.41</v>
      </c>
      <c r="N435">
        <v>2</v>
      </c>
      <c r="O435">
        <v>145.13999999999999</v>
      </c>
      <c r="P435">
        <f t="shared" si="24"/>
        <v>8.6547972304648856E-3</v>
      </c>
      <c r="Q435">
        <f t="shared" si="24"/>
        <v>5.040285714285714</v>
      </c>
      <c r="R435">
        <f t="shared" si="25"/>
        <v>88.204999999999998</v>
      </c>
      <c r="S435">
        <f t="shared" si="26"/>
        <v>0.82274247491638786</v>
      </c>
      <c r="T435">
        <f t="shared" si="27"/>
        <v>5.7142857142857141E-2</v>
      </c>
      <c r="U435" t="str">
        <f>YEAR('Campaign Data'!$A435)&amp;"-"&amp;TEXT(MONTH('Campaign Data'!$A435),"00")</f>
        <v>2026-01</v>
      </c>
    </row>
    <row r="436" spans="1:21" x14ac:dyDescent="0.25">
      <c r="A436">
        <v>46047</v>
      </c>
      <c r="B436" t="s">
        <v>173</v>
      </c>
      <c r="C436" t="s">
        <v>174</v>
      </c>
      <c r="D436" t="s">
        <v>48</v>
      </c>
      <c r="E436" t="s">
        <v>74</v>
      </c>
      <c r="F436" t="s">
        <v>25</v>
      </c>
      <c r="G436" t="s">
        <v>9</v>
      </c>
      <c r="H436" t="s">
        <v>27</v>
      </c>
      <c r="I436" t="s">
        <v>37</v>
      </c>
      <c r="J436" t="s">
        <v>62</v>
      </c>
      <c r="K436">
        <v>8598</v>
      </c>
      <c r="L436">
        <v>385</v>
      </c>
      <c r="M436">
        <v>616.26</v>
      </c>
      <c r="N436">
        <v>25</v>
      </c>
      <c r="O436">
        <v>4059.81</v>
      </c>
      <c r="P436">
        <f t="shared" si="24"/>
        <v>4.4777855315189581E-2</v>
      </c>
      <c r="Q436">
        <f t="shared" si="24"/>
        <v>1.6006753246753247</v>
      </c>
      <c r="R436">
        <f t="shared" si="25"/>
        <v>24.650400000000001</v>
      </c>
      <c r="S436">
        <f t="shared" si="26"/>
        <v>6.5878200759419725</v>
      </c>
      <c r="T436">
        <f t="shared" si="27"/>
        <v>6.4935064935064929E-2</v>
      </c>
      <c r="U436" t="str">
        <f>YEAR('Campaign Data'!$A436)&amp;"-"&amp;TEXT(MONTH('Campaign Data'!$A436),"00")</f>
        <v>2026-01</v>
      </c>
    </row>
    <row r="437" spans="1:21" x14ac:dyDescent="0.25">
      <c r="A437">
        <v>46047</v>
      </c>
      <c r="B437" t="s">
        <v>88</v>
      </c>
      <c r="C437" t="s">
        <v>89</v>
      </c>
      <c r="D437" t="s">
        <v>23</v>
      </c>
      <c r="E437" t="s">
        <v>49</v>
      </c>
      <c r="F437" t="s">
        <v>81</v>
      </c>
      <c r="G437" t="s">
        <v>50</v>
      </c>
      <c r="H437" t="s">
        <v>27</v>
      </c>
      <c r="I437" t="s">
        <v>37</v>
      </c>
      <c r="J437" t="s">
        <v>38</v>
      </c>
      <c r="K437">
        <v>7450</v>
      </c>
      <c r="L437">
        <v>586</v>
      </c>
      <c r="M437">
        <v>848.22</v>
      </c>
      <c r="N437">
        <v>9</v>
      </c>
      <c r="O437">
        <v>340.63</v>
      </c>
      <c r="P437">
        <f t="shared" si="24"/>
        <v>7.8657718120805367E-2</v>
      </c>
      <c r="Q437">
        <f t="shared" si="24"/>
        <v>1.4474744027303754</v>
      </c>
      <c r="R437">
        <f t="shared" si="25"/>
        <v>94.24666666666667</v>
      </c>
      <c r="S437">
        <f t="shared" si="26"/>
        <v>0.40158213670981585</v>
      </c>
      <c r="T437">
        <f t="shared" si="27"/>
        <v>1.5358361774744027E-2</v>
      </c>
      <c r="U437" t="str">
        <f>YEAR('Campaign Data'!$A437)&amp;"-"&amp;TEXT(MONTH('Campaign Data'!$A437),"00")</f>
        <v>2026-01</v>
      </c>
    </row>
    <row r="438" spans="1:21" x14ac:dyDescent="0.25">
      <c r="A438">
        <v>46047</v>
      </c>
      <c r="B438" t="s">
        <v>167</v>
      </c>
      <c r="C438" t="s">
        <v>168</v>
      </c>
      <c r="D438" t="s">
        <v>58</v>
      </c>
      <c r="E438" t="s">
        <v>33</v>
      </c>
      <c r="F438" t="s">
        <v>75</v>
      </c>
      <c r="G438" t="s">
        <v>35</v>
      </c>
      <c r="H438" t="s">
        <v>51</v>
      </c>
      <c r="I438" t="s">
        <v>37</v>
      </c>
      <c r="J438" t="s">
        <v>62</v>
      </c>
      <c r="K438">
        <v>7402</v>
      </c>
      <c r="L438">
        <v>103</v>
      </c>
      <c r="M438">
        <v>60.46</v>
      </c>
      <c r="N438">
        <v>1</v>
      </c>
      <c r="O438">
        <v>48.76</v>
      </c>
      <c r="P438">
        <f t="shared" si="24"/>
        <v>1.3915158065387734E-2</v>
      </c>
      <c r="Q438">
        <f t="shared" si="24"/>
        <v>0.58699029126213598</v>
      </c>
      <c r="R438">
        <f t="shared" si="25"/>
        <v>60.46</v>
      </c>
      <c r="S438">
        <f t="shared" si="26"/>
        <v>0.80648362553754549</v>
      </c>
      <c r="T438">
        <f t="shared" si="27"/>
        <v>9.7087378640776691E-3</v>
      </c>
      <c r="U438" t="str">
        <f>YEAR('Campaign Data'!$A438)&amp;"-"&amp;TEXT(MONTH('Campaign Data'!$A438),"00")</f>
        <v>2026-01</v>
      </c>
    </row>
    <row r="439" spans="1:21" x14ac:dyDescent="0.25">
      <c r="A439">
        <v>46047</v>
      </c>
      <c r="B439" t="s">
        <v>147</v>
      </c>
      <c r="C439" t="s">
        <v>148</v>
      </c>
      <c r="D439" t="s">
        <v>23</v>
      </c>
      <c r="E439" t="s">
        <v>42</v>
      </c>
      <c r="F439" t="s">
        <v>75</v>
      </c>
      <c r="G439" t="s">
        <v>44</v>
      </c>
      <c r="H439" t="s">
        <v>51</v>
      </c>
      <c r="I439" t="s">
        <v>28</v>
      </c>
      <c r="J439" t="s">
        <v>29</v>
      </c>
      <c r="K439">
        <v>8426</v>
      </c>
      <c r="L439">
        <v>71</v>
      </c>
      <c r="M439">
        <v>367.58</v>
      </c>
      <c r="N439">
        <v>0</v>
      </c>
      <c r="O439">
        <v>0</v>
      </c>
      <c r="P439">
        <f t="shared" si="24"/>
        <v>8.4262995490149532E-3</v>
      </c>
      <c r="Q439">
        <f t="shared" si="24"/>
        <v>5.1771830985915495</v>
      </c>
      <c r="R439">
        <f t="shared" si="25"/>
        <v>0</v>
      </c>
      <c r="S439">
        <f t="shared" si="26"/>
        <v>0</v>
      </c>
      <c r="T439">
        <f t="shared" si="27"/>
        <v>0</v>
      </c>
      <c r="U439" t="str">
        <f>YEAR('Campaign Data'!$A439)&amp;"-"&amp;TEXT(MONTH('Campaign Data'!$A439),"00")</f>
        <v>2026-01</v>
      </c>
    </row>
    <row r="440" spans="1:21" x14ac:dyDescent="0.25">
      <c r="A440">
        <v>46047</v>
      </c>
      <c r="B440" t="s">
        <v>147</v>
      </c>
      <c r="C440" t="s">
        <v>148</v>
      </c>
      <c r="D440" t="s">
        <v>23</v>
      </c>
      <c r="E440" t="s">
        <v>42</v>
      </c>
      <c r="F440" t="s">
        <v>75</v>
      </c>
      <c r="G440" t="s">
        <v>44</v>
      </c>
      <c r="H440" t="s">
        <v>51</v>
      </c>
      <c r="I440" t="s">
        <v>37</v>
      </c>
      <c r="J440" t="s">
        <v>45</v>
      </c>
      <c r="K440">
        <v>3543</v>
      </c>
      <c r="L440">
        <v>26</v>
      </c>
      <c r="M440">
        <v>110.53</v>
      </c>
      <c r="N440">
        <v>1</v>
      </c>
      <c r="O440">
        <v>17.739999999999998</v>
      </c>
      <c r="P440">
        <f t="shared" si="24"/>
        <v>7.3384137736381598E-3</v>
      </c>
      <c r="Q440">
        <f t="shared" si="24"/>
        <v>4.2511538461538461</v>
      </c>
      <c r="R440">
        <f t="shared" si="25"/>
        <v>110.53</v>
      </c>
      <c r="S440">
        <f t="shared" si="26"/>
        <v>0.1604994119243644</v>
      </c>
      <c r="T440">
        <f t="shared" si="27"/>
        <v>3.8461538461538464E-2</v>
      </c>
      <c r="U440" t="str">
        <f>YEAR('Campaign Data'!$A440)&amp;"-"&amp;TEXT(MONTH('Campaign Data'!$A440),"00")</f>
        <v>2026-01</v>
      </c>
    </row>
    <row r="441" spans="1:21" x14ac:dyDescent="0.25">
      <c r="A441">
        <v>46047</v>
      </c>
      <c r="B441" t="s">
        <v>149</v>
      </c>
      <c r="C441" t="s">
        <v>150</v>
      </c>
      <c r="D441" t="s">
        <v>65</v>
      </c>
      <c r="E441" t="s">
        <v>33</v>
      </c>
      <c r="F441" t="s">
        <v>43</v>
      </c>
      <c r="G441" t="s">
        <v>59</v>
      </c>
      <c r="H441" t="s">
        <v>27</v>
      </c>
      <c r="I441" t="s">
        <v>28</v>
      </c>
      <c r="J441" t="s">
        <v>38</v>
      </c>
      <c r="K441">
        <v>12868</v>
      </c>
      <c r="L441">
        <v>142</v>
      </c>
      <c r="M441">
        <v>144.47</v>
      </c>
      <c r="N441">
        <v>0</v>
      </c>
      <c r="O441">
        <v>0</v>
      </c>
      <c r="P441">
        <f t="shared" si="24"/>
        <v>1.1035125893689773E-2</v>
      </c>
      <c r="Q441">
        <f t="shared" si="24"/>
        <v>1.0173943661971832</v>
      </c>
      <c r="R441">
        <f t="shared" si="25"/>
        <v>0</v>
      </c>
      <c r="S441">
        <f t="shared" si="26"/>
        <v>0</v>
      </c>
      <c r="T441">
        <f t="shared" si="27"/>
        <v>0</v>
      </c>
      <c r="U441" t="str">
        <f>YEAR('Campaign Data'!$A441)&amp;"-"&amp;TEXT(MONTH('Campaign Data'!$A441),"00")</f>
        <v>2026-01</v>
      </c>
    </row>
    <row r="442" spans="1:21" x14ac:dyDescent="0.25">
      <c r="A442">
        <v>46047</v>
      </c>
      <c r="B442" t="s">
        <v>95</v>
      </c>
      <c r="C442" t="s">
        <v>96</v>
      </c>
      <c r="D442" t="s">
        <v>23</v>
      </c>
      <c r="E442" t="s">
        <v>49</v>
      </c>
      <c r="F442" t="s">
        <v>43</v>
      </c>
      <c r="G442" t="s">
        <v>97</v>
      </c>
      <c r="H442" t="s">
        <v>90</v>
      </c>
      <c r="I442" t="s">
        <v>37</v>
      </c>
      <c r="J442" t="s">
        <v>62</v>
      </c>
      <c r="K442">
        <v>6653</v>
      </c>
      <c r="L442">
        <v>396</v>
      </c>
      <c r="M442">
        <v>178.95</v>
      </c>
      <c r="N442">
        <v>42</v>
      </c>
      <c r="O442">
        <v>295.87</v>
      </c>
      <c r="P442">
        <f t="shared" si="24"/>
        <v>5.9522020141289642E-2</v>
      </c>
      <c r="Q442">
        <f t="shared" si="24"/>
        <v>0.45189393939393935</v>
      </c>
      <c r="R442">
        <f t="shared" si="25"/>
        <v>4.2607142857142852</v>
      </c>
      <c r="S442">
        <f t="shared" si="26"/>
        <v>1.6533668622520259</v>
      </c>
      <c r="T442">
        <f t="shared" si="27"/>
        <v>0.10606060606060606</v>
      </c>
      <c r="U442" t="str">
        <f>YEAR('Campaign Data'!$A442)&amp;"-"&amp;TEXT(MONTH('Campaign Data'!$A442),"00")</f>
        <v>2026-01</v>
      </c>
    </row>
    <row r="443" spans="1:21" x14ac:dyDescent="0.25">
      <c r="A443">
        <v>46047</v>
      </c>
      <c r="B443" t="s">
        <v>39</v>
      </c>
      <c r="C443" t="s">
        <v>40</v>
      </c>
      <c r="D443" t="s">
        <v>41</v>
      </c>
      <c r="E443" t="s">
        <v>42</v>
      </c>
      <c r="F443" t="s">
        <v>43</v>
      </c>
      <c r="G443" t="s">
        <v>44</v>
      </c>
      <c r="H443" t="s">
        <v>90</v>
      </c>
      <c r="I443" t="s">
        <v>37</v>
      </c>
      <c r="J443" t="s">
        <v>45</v>
      </c>
      <c r="K443">
        <v>2682</v>
      </c>
      <c r="L443">
        <v>7</v>
      </c>
      <c r="M443">
        <v>9.9</v>
      </c>
      <c r="N443">
        <v>0</v>
      </c>
      <c r="O443">
        <v>0</v>
      </c>
      <c r="P443">
        <f t="shared" si="24"/>
        <v>2.609992542878449E-3</v>
      </c>
      <c r="Q443">
        <f t="shared" si="24"/>
        <v>1.4142857142857144</v>
      </c>
      <c r="R443">
        <f t="shared" si="25"/>
        <v>0</v>
      </c>
      <c r="S443">
        <f t="shared" si="26"/>
        <v>0</v>
      </c>
      <c r="T443">
        <f t="shared" si="27"/>
        <v>0</v>
      </c>
      <c r="U443" t="str">
        <f>YEAR('Campaign Data'!$A443)&amp;"-"&amp;TEXT(MONTH('Campaign Data'!$A443),"00")</f>
        <v>2026-01</v>
      </c>
    </row>
    <row r="444" spans="1:21" x14ac:dyDescent="0.25">
      <c r="A444">
        <v>46047</v>
      </c>
      <c r="B444" t="s">
        <v>108</v>
      </c>
      <c r="C444" t="s">
        <v>109</v>
      </c>
      <c r="D444" t="s">
        <v>58</v>
      </c>
      <c r="E444" t="s">
        <v>33</v>
      </c>
      <c r="F444" t="s">
        <v>43</v>
      </c>
      <c r="G444" t="s">
        <v>59</v>
      </c>
      <c r="H444" t="s">
        <v>36</v>
      </c>
      <c r="I444" t="s">
        <v>28</v>
      </c>
      <c r="J444" t="s">
        <v>87</v>
      </c>
      <c r="K444">
        <v>21314</v>
      </c>
      <c r="L444">
        <v>171</v>
      </c>
      <c r="M444">
        <v>98.42</v>
      </c>
      <c r="N444">
        <v>2</v>
      </c>
      <c r="O444">
        <v>28.08</v>
      </c>
      <c r="P444">
        <f t="shared" si="24"/>
        <v>8.0228957492727779E-3</v>
      </c>
      <c r="Q444">
        <f t="shared" si="24"/>
        <v>0.5755555555555556</v>
      </c>
      <c r="R444">
        <f t="shared" si="25"/>
        <v>49.21</v>
      </c>
      <c r="S444">
        <f t="shared" si="26"/>
        <v>0.28530786425523263</v>
      </c>
      <c r="T444">
        <f t="shared" si="27"/>
        <v>1.1695906432748537E-2</v>
      </c>
      <c r="U444" t="str">
        <f>YEAR('Campaign Data'!$A444)&amp;"-"&amp;TEXT(MONTH('Campaign Data'!$A444),"00")</f>
        <v>2026-01</v>
      </c>
    </row>
    <row r="445" spans="1:21" x14ac:dyDescent="0.25">
      <c r="A445">
        <v>46047</v>
      </c>
      <c r="B445" t="s">
        <v>130</v>
      </c>
      <c r="C445" t="s">
        <v>131</v>
      </c>
      <c r="D445" t="s">
        <v>48</v>
      </c>
      <c r="E445" t="s">
        <v>33</v>
      </c>
      <c r="F445" t="s">
        <v>34</v>
      </c>
      <c r="G445" t="s">
        <v>35</v>
      </c>
      <c r="H445" t="s">
        <v>71</v>
      </c>
      <c r="I445" t="s">
        <v>37</v>
      </c>
      <c r="J445" t="s">
        <v>62</v>
      </c>
      <c r="K445">
        <v>4442</v>
      </c>
      <c r="L445">
        <v>51</v>
      </c>
      <c r="M445">
        <v>28.31</v>
      </c>
      <c r="N445">
        <v>1</v>
      </c>
      <c r="O445">
        <v>131.18</v>
      </c>
      <c r="P445">
        <f t="shared" si="24"/>
        <v>1.1481314723097704E-2</v>
      </c>
      <c r="Q445">
        <f t="shared" si="24"/>
        <v>0.55509803921568623</v>
      </c>
      <c r="R445">
        <f t="shared" si="25"/>
        <v>28.31</v>
      </c>
      <c r="S445">
        <f t="shared" si="26"/>
        <v>4.6336983398092553</v>
      </c>
      <c r="T445">
        <f t="shared" si="27"/>
        <v>1.9607843137254902E-2</v>
      </c>
      <c r="U445" t="str">
        <f>YEAR('Campaign Data'!$A445)&amp;"-"&amp;TEXT(MONTH('Campaign Data'!$A445),"00")</f>
        <v>2026-01</v>
      </c>
    </row>
    <row r="446" spans="1:21" x14ac:dyDescent="0.25">
      <c r="A446">
        <v>46047</v>
      </c>
      <c r="B446" t="s">
        <v>110</v>
      </c>
      <c r="C446" t="s">
        <v>111</v>
      </c>
      <c r="D446" t="s">
        <v>23</v>
      </c>
      <c r="E446" t="s">
        <v>49</v>
      </c>
      <c r="F446" t="s">
        <v>34</v>
      </c>
      <c r="G446" t="s">
        <v>50</v>
      </c>
      <c r="H446" t="s">
        <v>27</v>
      </c>
      <c r="I446" t="s">
        <v>37</v>
      </c>
      <c r="J446" t="s">
        <v>62</v>
      </c>
      <c r="K446">
        <v>2733</v>
      </c>
      <c r="L446">
        <v>184</v>
      </c>
      <c r="M446">
        <v>413.24</v>
      </c>
      <c r="N446">
        <v>16</v>
      </c>
      <c r="O446">
        <v>2831.51</v>
      </c>
      <c r="P446">
        <f t="shared" si="24"/>
        <v>6.732528357116721E-2</v>
      </c>
      <c r="Q446">
        <f t="shared" si="24"/>
        <v>2.2458695652173915</v>
      </c>
      <c r="R446">
        <f t="shared" si="25"/>
        <v>25.827500000000001</v>
      </c>
      <c r="S446">
        <f t="shared" si="26"/>
        <v>6.8519746394347116</v>
      </c>
      <c r="T446">
        <f t="shared" si="27"/>
        <v>8.6956521739130432E-2</v>
      </c>
      <c r="U446" t="str">
        <f>YEAR('Campaign Data'!$A446)&amp;"-"&amp;TEXT(MONTH('Campaign Data'!$A446),"00")</f>
        <v>2026-01</v>
      </c>
    </row>
    <row r="447" spans="1:21" x14ac:dyDescent="0.25">
      <c r="A447">
        <v>46047</v>
      </c>
      <c r="B447" t="s">
        <v>161</v>
      </c>
      <c r="C447" t="s">
        <v>162</v>
      </c>
      <c r="D447" t="s">
        <v>48</v>
      </c>
      <c r="E447" t="s">
        <v>74</v>
      </c>
      <c r="F447" t="s">
        <v>34</v>
      </c>
      <c r="G447" t="s">
        <v>107</v>
      </c>
      <c r="H447" t="s">
        <v>90</v>
      </c>
      <c r="I447" t="s">
        <v>37</v>
      </c>
      <c r="J447" t="s">
        <v>45</v>
      </c>
      <c r="K447">
        <v>7970</v>
      </c>
      <c r="L447">
        <v>248</v>
      </c>
      <c r="M447">
        <v>69.069999999999993</v>
      </c>
      <c r="N447">
        <v>15</v>
      </c>
      <c r="O447">
        <v>476.63</v>
      </c>
      <c r="P447">
        <f t="shared" si="24"/>
        <v>3.111668757841907E-2</v>
      </c>
      <c r="Q447">
        <f t="shared" si="24"/>
        <v>0.27850806451612903</v>
      </c>
      <c r="R447">
        <f t="shared" si="25"/>
        <v>4.6046666666666658</v>
      </c>
      <c r="S447">
        <f t="shared" si="26"/>
        <v>6.9006804690893304</v>
      </c>
      <c r="T447">
        <f t="shared" si="27"/>
        <v>6.0483870967741937E-2</v>
      </c>
      <c r="U447" t="str">
        <f>YEAR('Campaign Data'!$A447)&amp;"-"&amp;TEXT(MONTH('Campaign Data'!$A447),"00")</f>
        <v>2026-01</v>
      </c>
    </row>
    <row r="448" spans="1:21" x14ac:dyDescent="0.25">
      <c r="A448">
        <v>46047</v>
      </c>
      <c r="B448" t="s">
        <v>56</v>
      </c>
      <c r="C448" t="s">
        <v>57</v>
      </c>
      <c r="D448" t="s">
        <v>58</v>
      </c>
      <c r="E448" t="s">
        <v>33</v>
      </c>
      <c r="F448" t="s">
        <v>43</v>
      </c>
      <c r="G448" t="s">
        <v>59</v>
      </c>
      <c r="H448" t="s">
        <v>60</v>
      </c>
      <c r="I448" t="s">
        <v>28</v>
      </c>
      <c r="J448" t="s">
        <v>29</v>
      </c>
      <c r="K448">
        <v>13187</v>
      </c>
      <c r="L448">
        <v>82</v>
      </c>
      <c r="M448">
        <v>57.65</v>
      </c>
      <c r="N448">
        <v>2</v>
      </c>
      <c r="O448">
        <v>62.82</v>
      </c>
      <c r="P448">
        <f t="shared" si="24"/>
        <v>6.2182452415257454E-3</v>
      </c>
      <c r="Q448">
        <f t="shared" si="24"/>
        <v>0.70304878048780484</v>
      </c>
      <c r="R448">
        <f t="shared" si="25"/>
        <v>28.824999999999999</v>
      </c>
      <c r="S448">
        <f t="shared" si="26"/>
        <v>1.0896790980052038</v>
      </c>
      <c r="T448">
        <f t="shared" si="27"/>
        <v>2.4390243902439025E-2</v>
      </c>
      <c r="U448" t="str">
        <f>YEAR('Campaign Data'!$A448)&amp;"-"&amp;TEXT(MONTH('Campaign Data'!$A448),"00")</f>
        <v>2026-01</v>
      </c>
    </row>
    <row r="449" spans="1:21" x14ac:dyDescent="0.25">
      <c r="A449">
        <v>46047</v>
      </c>
      <c r="B449" t="s">
        <v>72</v>
      </c>
      <c r="C449" t="s">
        <v>73</v>
      </c>
      <c r="D449" t="s">
        <v>69</v>
      </c>
      <c r="E449" t="s">
        <v>74</v>
      </c>
      <c r="F449" t="s">
        <v>75</v>
      </c>
      <c r="G449" t="s">
        <v>9</v>
      </c>
      <c r="H449" t="s">
        <v>71</v>
      </c>
      <c r="I449" t="s">
        <v>37</v>
      </c>
      <c r="J449" t="s">
        <v>38</v>
      </c>
      <c r="K449">
        <v>4249</v>
      </c>
      <c r="L449">
        <v>123</v>
      </c>
      <c r="M449">
        <v>164.14</v>
      </c>
      <c r="N449">
        <v>6</v>
      </c>
      <c r="O449">
        <v>222.32</v>
      </c>
      <c r="P449">
        <f t="shared" si="24"/>
        <v>2.8947987761826312E-2</v>
      </c>
      <c r="Q449">
        <f t="shared" si="24"/>
        <v>1.3344715447154469</v>
      </c>
      <c r="R449">
        <f t="shared" si="25"/>
        <v>27.356666666666666</v>
      </c>
      <c r="S449">
        <f t="shared" si="26"/>
        <v>1.3544535152918242</v>
      </c>
      <c r="T449">
        <f t="shared" si="27"/>
        <v>4.878048780487805E-2</v>
      </c>
      <c r="U449" t="str">
        <f>YEAR('Campaign Data'!$A449)&amp;"-"&amp;TEXT(MONTH('Campaign Data'!$A449),"00")</f>
        <v>2026-01</v>
      </c>
    </row>
    <row r="450" spans="1:21" x14ac:dyDescent="0.25">
      <c r="A450">
        <v>46047</v>
      </c>
      <c r="B450" t="s">
        <v>118</v>
      </c>
      <c r="C450" t="s">
        <v>119</v>
      </c>
      <c r="D450" t="s">
        <v>69</v>
      </c>
      <c r="E450" t="s">
        <v>33</v>
      </c>
      <c r="F450" t="s">
        <v>34</v>
      </c>
      <c r="G450" t="s">
        <v>35</v>
      </c>
      <c r="H450" t="s">
        <v>90</v>
      </c>
      <c r="I450" t="s">
        <v>28</v>
      </c>
      <c r="J450" t="s">
        <v>62</v>
      </c>
      <c r="K450">
        <v>7473</v>
      </c>
      <c r="L450">
        <v>42</v>
      </c>
      <c r="M450">
        <v>7.29</v>
      </c>
      <c r="N450">
        <v>0</v>
      </c>
      <c r="O450">
        <v>0</v>
      </c>
      <c r="P450">
        <f t="shared" ref="P450:Q513" si="28">IF(K450=0,0,L450/K450)</f>
        <v>5.6202328382175832E-3</v>
      </c>
      <c r="Q450">
        <f t="shared" si="28"/>
        <v>0.17357142857142857</v>
      </c>
      <c r="R450">
        <f t="shared" ref="R450:R513" si="29">IF(N450=0,0,M450/N450)</f>
        <v>0</v>
      </c>
      <c r="S450">
        <f t="shared" ref="S450:S513" si="30">IF(M450=0,0,O450/M450)</f>
        <v>0</v>
      </c>
      <c r="T450">
        <f t="shared" ref="T450:T513" si="31">IF(L450=0,0,N450/L450)</f>
        <v>0</v>
      </c>
      <c r="U450" t="str">
        <f>YEAR('Campaign Data'!$A450)&amp;"-"&amp;TEXT(MONTH('Campaign Data'!$A450),"00")</f>
        <v>2026-01</v>
      </c>
    </row>
    <row r="451" spans="1:21" x14ac:dyDescent="0.25">
      <c r="A451">
        <v>46047</v>
      </c>
      <c r="B451" t="s">
        <v>78</v>
      </c>
      <c r="C451" t="s">
        <v>79</v>
      </c>
      <c r="D451" t="s">
        <v>80</v>
      </c>
      <c r="E451" t="s">
        <v>24</v>
      </c>
      <c r="F451" t="s">
        <v>81</v>
      </c>
      <c r="G451" t="s">
        <v>66</v>
      </c>
      <c r="H451" t="s">
        <v>90</v>
      </c>
      <c r="I451" t="s">
        <v>28</v>
      </c>
      <c r="J451" t="s">
        <v>87</v>
      </c>
      <c r="K451">
        <v>2456</v>
      </c>
      <c r="L451">
        <v>27</v>
      </c>
      <c r="M451">
        <v>7.48</v>
      </c>
      <c r="N451">
        <v>0</v>
      </c>
      <c r="O451">
        <v>0</v>
      </c>
      <c r="P451">
        <f t="shared" si="28"/>
        <v>1.0993485342019544E-2</v>
      </c>
      <c r="Q451">
        <f t="shared" si="28"/>
        <v>0.27703703703703703</v>
      </c>
      <c r="R451">
        <f t="shared" si="29"/>
        <v>0</v>
      </c>
      <c r="S451">
        <f t="shared" si="30"/>
        <v>0</v>
      </c>
      <c r="T451">
        <f t="shared" si="31"/>
        <v>0</v>
      </c>
      <c r="U451" t="str">
        <f>YEAR('Campaign Data'!$A451)&amp;"-"&amp;TEXT(MONTH('Campaign Data'!$A451),"00")</f>
        <v>2026-01</v>
      </c>
    </row>
    <row r="452" spans="1:21" x14ac:dyDescent="0.25">
      <c r="A452">
        <v>46048</v>
      </c>
      <c r="B452" t="s">
        <v>165</v>
      </c>
      <c r="C452" t="s">
        <v>166</v>
      </c>
      <c r="D452" t="s">
        <v>41</v>
      </c>
      <c r="E452" t="s">
        <v>33</v>
      </c>
      <c r="F452" t="s">
        <v>43</v>
      </c>
      <c r="G452" t="s">
        <v>59</v>
      </c>
      <c r="H452" t="s">
        <v>71</v>
      </c>
      <c r="I452" t="s">
        <v>37</v>
      </c>
      <c r="J452" t="s">
        <v>29</v>
      </c>
      <c r="K452">
        <v>10867</v>
      </c>
      <c r="L452">
        <v>90</v>
      </c>
      <c r="M452">
        <v>41.62</v>
      </c>
      <c r="N452">
        <v>1</v>
      </c>
      <c r="O452">
        <v>16.559999999999999</v>
      </c>
      <c r="P452">
        <f t="shared" si="28"/>
        <v>8.2819545412717403E-3</v>
      </c>
      <c r="Q452">
        <f t="shared" si="28"/>
        <v>0.46244444444444444</v>
      </c>
      <c r="R452">
        <f t="shared" si="29"/>
        <v>41.62</v>
      </c>
      <c r="S452">
        <f t="shared" si="30"/>
        <v>0.39788563190773668</v>
      </c>
      <c r="T452">
        <f t="shared" si="31"/>
        <v>1.1111111111111112E-2</v>
      </c>
      <c r="U452" t="str">
        <f>YEAR('Campaign Data'!$A452)&amp;"-"&amp;TEXT(MONTH('Campaign Data'!$A452),"00")</f>
        <v>2026-01</v>
      </c>
    </row>
    <row r="453" spans="1:21" x14ac:dyDescent="0.25">
      <c r="A453">
        <v>46048</v>
      </c>
      <c r="B453" t="s">
        <v>147</v>
      </c>
      <c r="C453" t="s">
        <v>148</v>
      </c>
      <c r="D453" t="s">
        <v>23</v>
      </c>
      <c r="E453" t="s">
        <v>42</v>
      </c>
      <c r="F453" t="s">
        <v>75</v>
      </c>
      <c r="G453" t="s">
        <v>44</v>
      </c>
      <c r="H453" t="s">
        <v>60</v>
      </c>
      <c r="I453" t="s">
        <v>28</v>
      </c>
      <c r="J453" t="s">
        <v>62</v>
      </c>
      <c r="K453">
        <v>10881</v>
      </c>
      <c r="L453">
        <v>84</v>
      </c>
      <c r="M453">
        <v>536.74</v>
      </c>
      <c r="N453">
        <v>2</v>
      </c>
      <c r="O453">
        <v>57.18</v>
      </c>
      <c r="P453">
        <f t="shared" si="28"/>
        <v>7.7198786876206231E-3</v>
      </c>
      <c r="Q453">
        <f t="shared" si="28"/>
        <v>6.3897619047619045</v>
      </c>
      <c r="R453">
        <f t="shared" si="29"/>
        <v>268.37</v>
      </c>
      <c r="S453">
        <f t="shared" si="30"/>
        <v>0.10653202667958415</v>
      </c>
      <c r="T453">
        <f t="shared" si="31"/>
        <v>2.3809523809523808E-2</v>
      </c>
      <c r="U453" t="str">
        <f>YEAR('Campaign Data'!$A453)&amp;"-"&amp;TEXT(MONTH('Campaign Data'!$A453),"00")</f>
        <v>2026-01</v>
      </c>
    </row>
    <row r="454" spans="1:21" x14ac:dyDescent="0.25">
      <c r="A454">
        <v>46048</v>
      </c>
      <c r="B454" t="s">
        <v>91</v>
      </c>
      <c r="C454" t="s">
        <v>92</v>
      </c>
      <c r="D454" t="s">
        <v>41</v>
      </c>
      <c r="E454" t="s">
        <v>74</v>
      </c>
      <c r="F454" t="s">
        <v>75</v>
      </c>
      <c r="G454" t="s">
        <v>9</v>
      </c>
      <c r="H454" t="s">
        <v>51</v>
      </c>
      <c r="I454" t="s">
        <v>28</v>
      </c>
      <c r="J454" t="s">
        <v>29</v>
      </c>
      <c r="K454">
        <v>12695</v>
      </c>
      <c r="L454">
        <v>359</v>
      </c>
      <c r="M454">
        <v>508.43</v>
      </c>
      <c r="N454">
        <v>17</v>
      </c>
      <c r="O454">
        <v>671.02</v>
      </c>
      <c r="P454">
        <f t="shared" si="28"/>
        <v>2.8278849940921624E-2</v>
      </c>
      <c r="Q454">
        <f t="shared" si="28"/>
        <v>1.4162395543175488</v>
      </c>
      <c r="R454">
        <f t="shared" si="29"/>
        <v>29.907647058823528</v>
      </c>
      <c r="S454">
        <f t="shared" si="30"/>
        <v>1.3197883681136047</v>
      </c>
      <c r="T454">
        <f t="shared" si="31"/>
        <v>4.7353760445682451E-2</v>
      </c>
      <c r="U454" t="str">
        <f>YEAR('Campaign Data'!$A454)&amp;"-"&amp;TEXT(MONTH('Campaign Data'!$A454),"00")</f>
        <v>2026-01</v>
      </c>
    </row>
    <row r="455" spans="1:21" x14ac:dyDescent="0.25">
      <c r="A455">
        <v>46048</v>
      </c>
      <c r="B455" t="s">
        <v>30</v>
      </c>
      <c r="C455" t="s">
        <v>31</v>
      </c>
      <c r="D455" t="s">
        <v>32</v>
      </c>
      <c r="E455" t="s">
        <v>33</v>
      </c>
      <c r="F455" t="s">
        <v>34</v>
      </c>
      <c r="G455" t="s">
        <v>35</v>
      </c>
      <c r="H455" t="s">
        <v>55</v>
      </c>
      <c r="I455" t="s">
        <v>37</v>
      </c>
      <c r="J455" t="s">
        <v>62</v>
      </c>
      <c r="K455">
        <v>2872</v>
      </c>
      <c r="L455">
        <v>25</v>
      </c>
      <c r="M455">
        <v>13.14</v>
      </c>
      <c r="N455">
        <v>0</v>
      </c>
      <c r="O455">
        <v>0</v>
      </c>
      <c r="P455">
        <f t="shared" si="28"/>
        <v>8.7047353760445687E-3</v>
      </c>
      <c r="Q455">
        <f t="shared" si="28"/>
        <v>0.52560000000000007</v>
      </c>
      <c r="R455">
        <f t="shared" si="29"/>
        <v>0</v>
      </c>
      <c r="S455">
        <f t="shared" si="30"/>
        <v>0</v>
      </c>
      <c r="T455">
        <f t="shared" si="31"/>
        <v>0</v>
      </c>
      <c r="U455" t="str">
        <f>YEAR('Campaign Data'!$A455)&amp;"-"&amp;TEXT(MONTH('Campaign Data'!$A455),"00")</f>
        <v>2026-01</v>
      </c>
    </row>
    <row r="456" spans="1:21" x14ac:dyDescent="0.25">
      <c r="A456">
        <v>46048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44</v>
      </c>
      <c r="H456" t="s">
        <v>27</v>
      </c>
      <c r="I456" t="s">
        <v>37</v>
      </c>
      <c r="J456" t="s">
        <v>45</v>
      </c>
      <c r="K456">
        <v>14905</v>
      </c>
      <c r="L456">
        <v>105</v>
      </c>
      <c r="M456">
        <v>709.9</v>
      </c>
      <c r="N456">
        <v>7</v>
      </c>
      <c r="O456">
        <v>172</v>
      </c>
      <c r="P456">
        <f t="shared" si="28"/>
        <v>7.0446159007044613E-3</v>
      </c>
      <c r="Q456">
        <f t="shared" si="28"/>
        <v>6.7609523809523804</v>
      </c>
      <c r="R456">
        <f t="shared" si="29"/>
        <v>101.41428571428571</v>
      </c>
      <c r="S456">
        <f t="shared" si="30"/>
        <v>0.24228764614734472</v>
      </c>
      <c r="T456">
        <f t="shared" si="31"/>
        <v>6.6666666666666666E-2</v>
      </c>
      <c r="U456" t="str">
        <f>YEAR('Campaign Data'!$A456)&amp;"-"&amp;TEXT(MONTH('Campaign Data'!$A456),"00")</f>
        <v>2026-01</v>
      </c>
    </row>
    <row r="457" spans="1:21" x14ac:dyDescent="0.25">
      <c r="A457">
        <v>46048</v>
      </c>
      <c r="B457" t="s">
        <v>100</v>
      </c>
      <c r="C457" t="s">
        <v>101</v>
      </c>
      <c r="D457" t="s">
        <v>80</v>
      </c>
      <c r="E457" t="s">
        <v>33</v>
      </c>
      <c r="F457" t="s">
        <v>25</v>
      </c>
      <c r="G457" t="s">
        <v>102</v>
      </c>
      <c r="H457" t="s">
        <v>71</v>
      </c>
      <c r="I457" t="s">
        <v>37</v>
      </c>
      <c r="J457" t="s">
        <v>38</v>
      </c>
      <c r="K457">
        <v>5967</v>
      </c>
      <c r="L457">
        <v>61</v>
      </c>
      <c r="M457">
        <v>37.020000000000003</v>
      </c>
      <c r="N457">
        <v>2</v>
      </c>
      <c r="O457">
        <v>276.87</v>
      </c>
      <c r="P457">
        <f t="shared" si="28"/>
        <v>1.0222892575833753E-2</v>
      </c>
      <c r="Q457">
        <f t="shared" si="28"/>
        <v>0.60688524590163939</v>
      </c>
      <c r="R457">
        <f t="shared" si="29"/>
        <v>18.510000000000002</v>
      </c>
      <c r="S457">
        <f t="shared" si="30"/>
        <v>7.4789303079416527</v>
      </c>
      <c r="T457">
        <f t="shared" si="31"/>
        <v>3.2786885245901641E-2</v>
      </c>
      <c r="U457" t="str">
        <f>YEAR('Campaign Data'!$A457)&amp;"-"&amp;TEXT(MONTH('Campaign Data'!$A457),"00")</f>
        <v>2026-01</v>
      </c>
    </row>
    <row r="458" spans="1:21" x14ac:dyDescent="0.25">
      <c r="A458">
        <v>46048</v>
      </c>
      <c r="B458" t="s">
        <v>100</v>
      </c>
      <c r="C458" t="s">
        <v>101</v>
      </c>
      <c r="D458" t="s">
        <v>80</v>
      </c>
      <c r="E458" t="s">
        <v>33</v>
      </c>
      <c r="F458" t="s">
        <v>25</v>
      </c>
      <c r="G458" t="s">
        <v>102</v>
      </c>
      <c r="H458" t="s">
        <v>27</v>
      </c>
      <c r="I458" t="s">
        <v>37</v>
      </c>
      <c r="J458" t="s">
        <v>87</v>
      </c>
      <c r="K458">
        <v>11392</v>
      </c>
      <c r="L458">
        <v>81</v>
      </c>
      <c r="M458">
        <v>78.48</v>
      </c>
      <c r="N458">
        <v>1</v>
      </c>
      <c r="O458">
        <v>230.76</v>
      </c>
      <c r="P458">
        <f t="shared" si="28"/>
        <v>7.1102528089887641E-3</v>
      </c>
      <c r="Q458">
        <f t="shared" si="28"/>
        <v>0.96888888888888891</v>
      </c>
      <c r="R458">
        <f t="shared" si="29"/>
        <v>78.48</v>
      </c>
      <c r="S458">
        <f t="shared" si="30"/>
        <v>2.9403669724770638</v>
      </c>
      <c r="T458">
        <f t="shared" si="31"/>
        <v>1.2345679012345678E-2</v>
      </c>
      <c r="U458" t="str">
        <f>YEAR('Campaign Data'!$A458)&amp;"-"&amp;TEXT(MONTH('Campaign Data'!$A458),"00")</f>
        <v>2026-01</v>
      </c>
    </row>
    <row r="459" spans="1:21" x14ac:dyDescent="0.25">
      <c r="A459">
        <v>46048</v>
      </c>
      <c r="B459" t="s">
        <v>177</v>
      </c>
      <c r="C459" t="s">
        <v>178</v>
      </c>
      <c r="D459" t="s">
        <v>41</v>
      </c>
      <c r="E459" t="s">
        <v>49</v>
      </c>
      <c r="F459" t="s">
        <v>34</v>
      </c>
      <c r="G459" t="s">
        <v>107</v>
      </c>
      <c r="H459" t="s">
        <v>55</v>
      </c>
      <c r="I459" t="s">
        <v>37</v>
      </c>
      <c r="J459" t="s">
        <v>38</v>
      </c>
      <c r="K459">
        <v>14086</v>
      </c>
      <c r="L459">
        <v>604</v>
      </c>
      <c r="M459">
        <v>1099.05</v>
      </c>
      <c r="N459">
        <v>22</v>
      </c>
      <c r="O459">
        <v>3549.07</v>
      </c>
      <c r="P459">
        <f t="shared" si="28"/>
        <v>4.2879454777793556E-2</v>
      </c>
      <c r="Q459">
        <f t="shared" si="28"/>
        <v>1.8196192052980131</v>
      </c>
      <c r="R459">
        <f t="shared" si="29"/>
        <v>49.956818181818178</v>
      </c>
      <c r="S459">
        <f t="shared" si="30"/>
        <v>3.2292161412128659</v>
      </c>
      <c r="T459">
        <f t="shared" si="31"/>
        <v>3.6423841059602648E-2</v>
      </c>
      <c r="U459" t="str">
        <f>YEAR('Campaign Data'!$A459)&amp;"-"&amp;TEXT(MONTH('Campaign Data'!$A459),"00")</f>
        <v>2026-01</v>
      </c>
    </row>
    <row r="460" spans="1:21" x14ac:dyDescent="0.25">
      <c r="A460">
        <v>46048</v>
      </c>
      <c r="B460" t="s">
        <v>177</v>
      </c>
      <c r="C460" t="s">
        <v>178</v>
      </c>
      <c r="D460" t="s">
        <v>41</v>
      </c>
      <c r="E460" t="s">
        <v>49</v>
      </c>
      <c r="F460" t="s">
        <v>34</v>
      </c>
      <c r="G460" t="s">
        <v>107</v>
      </c>
      <c r="H460" t="s">
        <v>90</v>
      </c>
      <c r="I460" t="s">
        <v>37</v>
      </c>
      <c r="J460" t="s">
        <v>29</v>
      </c>
      <c r="K460">
        <v>4592</v>
      </c>
      <c r="L460">
        <v>304</v>
      </c>
      <c r="M460">
        <v>150.01</v>
      </c>
      <c r="N460">
        <v>10</v>
      </c>
      <c r="O460">
        <v>335.92</v>
      </c>
      <c r="P460">
        <f t="shared" si="28"/>
        <v>6.6202090592334492E-2</v>
      </c>
      <c r="Q460">
        <f t="shared" si="28"/>
        <v>0.49345394736842102</v>
      </c>
      <c r="R460">
        <f t="shared" si="29"/>
        <v>15.000999999999999</v>
      </c>
      <c r="S460">
        <f t="shared" si="30"/>
        <v>2.2393173788414109</v>
      </c>
      <c r="T460">
        <f t="shared" si="31"/>
        <v>3.2894736842105261E-2</v>
      </c>
      <c r="U460" t="str">
        <f>YEAR('Campaign Data'!$A460)&amp;"-"&amp;TEXT(MONTH('Campaign Data'!$A460),"00")</f>
        <v>2026-01</v>
      </c>
    </row>
    <row r="461" spans="1:21" x14ac:dyDescent="0.25">
      <c r="A461">
        <v>46048</v>
      </c>
      <c r="B461" t="s">
        <v>153</v>
      </c>
      <c r="C461" t="s">
        <v>154</v>
      </c>
      <c r="D461" t="s">
        <v>48</v>
      </c>
      <c r="E461" t="s">
        <v>33</v>
      </c>
      <c r="F461" t="s">
        <v>43</v>
      </c>
      <c r="G461" t="s">
        <v>59</v>
      </c>
      <c r="H461" t="s">
        <v>36</v>
      </c>
      <c r="I461" t="s">
        <v>28</v>
      </c>
      <c r="J461" t="s">
        <v>29</v>
      </c>
      <c r="K461">
        <v>30126</v>
      </c>
      <c r="L461">
        <v>202</v>
      </c>
      <c r="M461">
        <v>108.74</v>
      </c>
      <c r="N461">
        <v>0</v>
      </c>
      <c r="O461">
        <v>0</v>
      </c>
      <c r="P461">
        <f t="shared" si="28"/>
        <v>6.7051716125605789E-3</v>
      </c>
      <c r="Q461">
        <f t="shared" si="28"/>
        <v>0.53831683168316824</v>
      </c>
      <c r="R461">
        <f t="shared" si="29"/>
        <v>0</v>
      </c>
      <c r="S461">
        <f t="shared" si="30"/>
        <v>0</v>
      </c>
      <c r="T461">
        <f t="shared" si="31"/>
        <v>0</v>
      </c>
      <c r="U461" t="str">
        <f>YEAR('Campaign Data'!$A461)&amp;"-"&amp;TEXT(MONTH('Campaign Data'!$A461),"00")</f>
        <v>2026-01</v>
      </c>
    </row>
    <row r="462" spans="1:21" x14ac:dyDescent="0.25">
      <c r="A462">
        <v>46048</v>
      </c>
      <c r="B462" t="s">
        <v>63</v>
      </c>
      <c r="C462" t="s">
        <v>64</v>
      </c>
      <c r="D462" t="s">
        <v>65</v>
      </c>
      <c r="E462" t="s">
        <v>24</v>
      </c>
      <c r="F462" t="s">
        <v>43</v>
      </c>
      <c r="G462" t="s">
        <v>66</v>
      </c>
      <c r="H462" t="s">
        <v>27</v>
      </c>
      <c r="I462" t="s">
        <v>28</v>
      </c>
      <c r="J462" t="s">
        <v>87</v>
      </c>
      <c r="K462">
        <v>4728</v>
      </c>
      <c r="L462">
        <v>74</v>
      </c>
      <c r="M462">
        <v>98.25</v>
      </c>
      <c r="N462">
        <v>1</v>
      </c>
      <c r="O462">
        <v>36.119999999999997</v>
      </c>
      <c r="P462">
        <f t="shared" si="28"/>
        <v>1.5651438240270727E-2</v>
      </c>
      <c r="Q462">
        <f t="shared" si="28"/>
        <v>1.3277027027027026</v>
      </c>
      <c r="R462">
        <f t="shared" si="29"/>
        <v>98.25</v>
      </c>
      <c r="S462">
        <f t="shared" si="30"/>
        <v>0.36763358778625954</v>
      </c>
      <c r="T462">
        <f t="shared" si="31"/>
        <v>1.3513513513513514E-2</v>
      </c>
      <c r="U462" t="str">
        <f>YEAR('Campaign Data'!$A462)&amp;"-"&amp;TEXT(MONTH('Campaign Data'!$A462),"00")</f>
        <v>2026-01</v>
      </c>
    </row>
    <row r="463" spans="1:21" x14ac:dyDescent="0.25">
      <c r="A463">
        <v>46048</v>
      </c>
      <c r="B463" t="s">
        <v>63</v>
      </c>
      <c r="C463" t="s">
        <v>64</v>
      </c>
      <c r="D463" t="s">
        <v>65</v>
      </c>
      <c r="E463" t="s">
        <v>24</v>
      </c>
      <c r="F463" t="s">
        <v>43</v>
      </c>
      <c r="G463" t="s">
        <v>66</v>
      </c>
      <c r="H463" t="s">
        <v>60</v>
      </c>
      <c r="I463" t="s">
        <v>28</v>
      </c>
      <c r="J463" t="s">
        <v>29</v>
      </c>
      <c r="K463">
        <v>7758</v>
      </c>
      <c r="L463">
        <v>85</v>
      </c>
      <c r="M463">
        <v>88.9</v>
      </c>
      <c r="N463">
        <v>1</v>
      </c>
      <c r="O463">
        <v>10.24</v>
      </c>
      <c r="P463">
        <f t="shared" si="28"/>
        <v>1.0956432070121164E-2</v>
      </c>
      <c r="Q463">
        <f t="shared" si="28"/>
        <v>1.0458823529411765</v>
      </c>
      <c r="R463">
        <f t="shared" si="29"/>
        <v>88.9</v>
      </c>
      <c r="S463">
        <f t="shared" si="30"/>
        <v>0.11518560179977502</v>
      </c>
      <c r="T463">
        <f t="shared" si="31"/>
        <v>1.1764705882352941E-2</v>
      </c>
      <c r="U463" t="str">
        <f>YEAR('Campaign Data'!$A463)&amp;"-"&amp;TEXT(MONTH('Campaign Data'!$A463),"00")</f>
        <v>2026-01</v>
      </c>
    </row>
    <row r="464" spans="1:21" x14ac:dyDescent="0.25">
      <c r="A464">
        <v>46048</v>
      </c>
      <c r="B464" t="s">
        <v>63</v>
      </c>
      <c r="C464" t="s">
        <v>64</v>
      </c>
      <c r="D464" t="s">
        <v>65</v>
      </c>
      <c r="E464" t="s">
        <v>24</v>
      </c>
      <c r="F464" t="s">
        <v>43</v>
      </c>
      <c r="G464" t="s">
        <v>66</v>
      </c>
      <c r="H464" t="s">
        <v>90</v>
      </c>
      <c r="I464" t="s">
        <v>37</v>
      </c>
      <c r="J464" t="s">
        <v>62</v>
      </c>
      <c r="K464">
        <v>6910</v>
      </c>
      <c r="L464">
        <v>92</v>
      </c>
      <c r="M464">
        <v>19.7</v>
      </c>
      <c r="N464">
        <v>2</v>
      </c>
      <c r="O464">
        <v>16.350000000000001</v>
      </c>
      <c r="P464">
        <f t="shared" si="28"/>
        <v>1.3314037626628075E-2</v>
      </c>
      <c r="Q464">
        <f t="shared" si="28"/>
        <v>0.21413043478260868</v>
      </c>
      <c r="R464">
        <f t="shared" si="29"/>
        <v>9.85</v>
      </c>
      <c r="S464">
        <f t="shared" si="30"/>
        <v>0.8299492385786803</v>
      </c>
      <c r="T464">
        <f t="shared" si="31"/>
        <v>2.1739130434782608E-2</v>
      </c>
      <c r="U464" t="str">
        <f>YEAR('Campaign Data'!$A464)&amp;"-"&amp;TEXT(MONTH('Campaign Data'!$A464),"00")</f>
        <v>2026-01</v>
      </c>
    </row>
    <row r="465" spans="1:21" x14ac:dyDescent="0.25">
      <c r="A465">
        <v>46048</v>
      </c>
      <c r="B465" t="s">
        <v>78</v>
      </c>
      <c r="C465" t="s">
        <v>79</v>
      </c>
      <c r="D465" t="s">
        <v>80</v>
      </c>
      <c r="E465" t="s">
        <v>24</v>
      </c>
      <c r="F465" t="s">
        <v>81</v>
      </c>
      <c r="G465" t="s">
        <v>66</v>
      </c>
      <c r="H465" t="s">
        <v>51</v>
      </c>
      <c r="I465" t="s">
        <v>28</v>
      </c>
      <c r="J465" t="s">
        <v>87</v>
      </c>
      <c r="K465">
        <v>4501</v>
      </c>
      <c r="L465">
        <v>57</v>
      </c>
      <c r="M465">
        <v>56.91</v>
      </c>
      <c r="N465">
        <v>0</v>
      </c>
      <c r="O465">
        <v>0</v>
      </c>
      <c r="P465">
        <f t="shared" si="28"/>
        <v>1.2663852477227283E-2</v>
      </c>
      <c r="Q465">
        <f t="shared" si="28"/>
        <v>0.99842105263157888</v>
      </c>
      <c r="R465">
        <f t="shared" si="29"/>
        <v>0</v>
      </c>
      <c r="S465">
        <f t="shared" si="30"/>
        <v>0</v>
      </c>
      <c r="T465">
        <f t="shared" si="31"/>
        <v>0</v>
      </c>
      <c r="U465" t="str">
        <f>YEAR('Campaign Data'!$A465)&amp;"-"&amp;TEXT(MONTH('Campaign Data'!$A465),"00")</f>
        <v>2026-01</v>
      </c>
    </row>
    <row r="466" spans="1:21" x14ac:dyDescent="0.25">
      <c r="A466">
        <v>46048</v>
      </c>
      <c r="B466" t="s">
        <v>122</v>
      </c>
      <c r="C466" t="s">
        <v>123</v>
      </c>
      <c r="D466" t="s">
        <v>41</v>
      </c>
      <c r="E466" t="s">
        <v>33</v>
      </c>
      <c r="F466" t="s">
        <v>75</v>
      </c>
      <c r="G466" t="s">
        <v>35</v>
      </c>
      <c r="H466" t="s">
        <v>60</v>
      </c>
      <c r="I466" t="s">
        <v>37</v>
      </c>
      <c r="J466" t="s">
        <v>62</v>
      </c>
      <c r="K466">
        <v>5769</v>
      </c>
      <c r="L466">
        <v>86</v>
      </c>
      <c r="M466">
        <v>49.9</v>
      </c>
      <c r="N466">
        <v>2</v>
      </c>
      <c r="O466">
        <v>50.53</v>
      </c>
      <c r="P466">
        <f t="shared" si="28"/>
        <v>1.4907262957184954E-2</v>
      </c>
      <c r="Q466">
        <f t="shared" si="28"/>
        <v>0.58023255813953489</v>
      </c>
      <c r="R466">
        <f t="shared" si="29"/>
        <v>24.95</v>
      </c>
      <c r="S466">
        <f t="shared" si="30"/>
        <v>1.012625250501002</v>
      </c>
      <c r="T466">
        <f t="shared" si="31"/>
        <v>2.3255813953488372E-2</v>
      </c>
      <c r="U466" t="str">
        <f>YEAR('Campaign Data'!$A466)&amp;"-"&amp;TEXT(MONTH('Campaign Data'!$A466),"00")</f>
        <v>2026-01</v>
      </c>
    </row>
    <row r="467" spans="1:21" x14ac:dyDescent="0.25">
      <c r="A467">
        <v>46049</v>
      </c>
      <c r="B467" t="s">
        <v>173</v>
      </c>
      <c r="C467" t="s">
        <v>174</v>
      </c>
      <c r="D467" t="s">
        <v>48</v>
      </c>
      <c r="E467" t="s">
        <v>74</v>
      </c>
      <c r="F467" t="s">
        <v>25</v>
      </c>
      <c r="G467" t="s">
        <v>9</v>
      </c>
      <c r="H467" t="s">
        <v>90</v>
      </c>
      <c r="I467" t="s">
        <v>37</v>
      </c>
      <c r="J467" t="s">
        <v>38</v>
      </c>
      <c r="K467">
        <v>7867</v>
      </c>
      <c r="L467">
        <v>238</v>
      </c>
      <c r="M467">
        <v>89.57</v>
      </c>
      <c r="N467">
        <v>5</v>
      </c>
      <c r="O467">
        <v>167.88</v>
      </c>
      <c r="P467">
        <f t="shared" si="28"/>
        <v>3.0252955383246474E-2</v>
      </c>
      <c r="Q467">
        <f t="shared" si="28"/>
        <v>0.376344537815126</v>
      </c>
      <c r="R467">
        <f t="shared" si="29"/>
        <v>17.913999999999998</v>
      </c>
      <c r="S467">
        <f t="shared" si="30"/>
        <v>1.8742882661605449</v>
      </c>
      <c r="T467">
        <f t="shared" si="31"/>
        <v>2.100840336134454E-2</v>
      </c>
      <c r="U467" t="str">
        <f>YEAR('Campaign Data'!$A467)&amp;"-"&amp;TEXT(MONTH('Campaign Data'!$A467),"00")</f>
        <v>2026-01</v>
      </c>
    </row>
    <row r="468" spans="1:21" x14ac:dyDescent="0.25">
      <c r="A468">
        <v>46049</v>
      </c>
      <c r="B468" t="s">
        <v>175</v>
      </c>
      <c r="C468" t="s">
        <v>176</v>
      </c>
      <c r="D468" t="s">
        <v>65</v>
      </c>
      <c r="E468" t="s">
        <v>49</v>
      </c>
      <c r="F468" t="s">
        <v>75</v>
      </c>
      <c r="G468" t="s">
        <v>70</v>
      </c>
      <c r="H468" t="s">
        <v>51</v>
      </c>
      <c r="I468" t="s">
        <v>37</v>
      </c>
      <c r="J468" t="s">
        <v>29</v>
      </c>
      <c r="K468">
        <v>11404</v>
      </c>
      <c r="L468">
        <v>843</v>
      </c>
      <c r="M468">
        <v>1475.23</v>
      </c>
      <c r="N468">
        <v>61</v>
      </c>
      <c r="O468">
        <v>2594.79</v>
      </c>
      <c r="P468">
        <f t="shared" si="28"/>
        <v>7.3921431076815147E-2</v>
      </c>
      <c r="Q468">
        <f t="shared" si="28"/>
        <v>1.749976275207592</v>
      </c>
      <c r="R468">
        <f t="shared" si="29"/>
        <v>24.184098360655739</v>
      </c>
      <c r="S468">
        <f t="shared" si="30"/>
        <v>1.7589053910237724</v>
      </c>
      <c r="T468">
        <f t="shared" si="31"/>
        <v>7.2360616844602613E-2</v>
      </c>
      <c r="U468" t="str">
        <f>YEAR('Campaign Data'!$A468)&amp;"-"&amp;TEXT(MONTH('Campaign Data'!$A468),"00")</f>
        <v>2026-01</v>
      </c>
    </row>
    <row r="469" spans="1:21" x14ac:dyDescent="0.25">
      <c r="A469">
        <v>46049</v>
      </c>
      <c r="B469" t="s">
        <v>21</v>
      </c>
      <c r="C469" t="s">
        <v>124</v>
      </c>
      <c r="D469" t="s">
        <v>23</v>
      </c>
      <c r="E469" t="s">
        <v>24</v>
      </c>
      <c r="F469" t="s">
        <v>25</v>
      </c>
      <c r="G469" t="s">
        <v>26</v>
      </c>
      <c r="H469" t="s">
        <v>71</v>
      </c>
      <c r="I469" t="s">
        <v>28</v>
      </c>
      <c r="J469" t="s">
        <v>38</v>
      </c>
      <c r="K469">
        <v>6652</v>
      </c>
      <c r="L469">
        <v>71</v>
      </c>
      <c r="M469">
        <v>80.37</v>
      </c>
      <c r="N469">
        <v>3</v>
      </c>
      <c r="O469">
        <v>385.45</v>
      </c>
      <c r="P469">
        <f t="shared" si="28"/>
        <v>1.0673481659651233E-2</v>
      </c>
      <c r="Q469">
        <f t="shared" si="28"/>
        <v>1.1319718309859155</v>
      </c>
      <c r="R469">
        <f t="shared" si="29"/>
        <v>26.790000000000003</v>
      </c>
      <c r="S469">
        <f t="shared" si="30"/>
        <v>4.795943760109493</v>
      </c>
      <c r="T469">
        <f t="shared" si="31"/>
        <v>4.2253521126760563E-2</v>
      </c>
      <c r="U469" t="str">
        <f>YEAR('Campaign Data'!$A469)&amp;"-"&amp;TEXT(MONTH('Campaign Data'!$A469),"00")</f>
        <v>2026-01</v>
      </c>
    </row>
    <row r="470" spans="1:21" x14ac:dyDescent="0.25">
      <c r="A470">
        <v>46049</v>
      </c>
      <c r="B470" t="s">
        <v>147</v>
      </c>
      <c r="C470" t="s">
        <v>148</v>
      </c>
      <c r="D470" t="s">
        <v>23</v>
      </c>
      <c r="E470" t="s">
        <v>42</v>
      </c>
      <c r="F470" t="s">
        <v>75</v>
      </c>
      <c r="G470" t="s">
        <v>44</v>
      </c>
      <c r="H470" t="s">
        <v>71</v>
      </c>
      <c r="I470" t="s">
        <v>37</v>
      </c>
      <c r="J470" t="s">
        <v>45</v>
      </c>
      <c r="K470">
        <v>7991</v>
      </c>
      <c r="L470">
        <v>51</v>
      </c>
      <c r="M470">
        <v>248.09</v>
      </c>
      <c r="N470">
        <v>1</v>
      </c>
      <c r="O470">
        <v>27.24</v>
      </c>
      <c r="P470">
        <f t="shared" si="28"/>
        <v>6.3821799524465027E-3</v>
      </c>
      <c r="Q470">
        <f t="shared" si="28"/>
        <v>4.8645098039215684</v>
      </c>
      <c r="R470">
        <f t="shared" si="29"/>
        <v>248.09</v>
      </c>
      <c r="S470">
        <f t="shared" si="30"/>
        <v>0.10979886331573219</v>
      </c>
      <c r="T470">
        <f t="shared" si="31"/>
        <v>1.9607843137254902E-2</v>
      </c>
      <c r="U470" t="str">
        <f>YEAR('Campaign Data'!$A470)&amp;"-"&amp;TEXT(MONTH('Campaign Data'!$A470),"00")</f>
        <v>2026-01</v>
      </c>
    </row>
    <row r="471" spans="1:21" x14ac:dyDescent="0.25">
      <c r="A471">
        <v>46049</v>
      </c>
      <c r="B471" t="s">
        <v>91</v>
      </c>
      <c r="C471" t="s">
        <v>92</v>
      </c>
      <c r="D471" t="s">
        <v>41</v>
      </c>
      <c r="E471" t="s">
        <v>74</v>
      </c>
      <c r="F471" t="s">
        <v>75</v>
      </c>
      <c r="G471" t="s">
        <v>9</v>
      </c>
      <c r="H471" t="s">
        <v>60</v>
      </c>
      <c r="I471" t="s">
        <v>37</v>
      </c>
      <c r="J471" t="s">
        <v>38</v>
      </c>
      <c r="K471">
        <v>7564</v>
      </c>
      <c r="L471">
        <v>197</v>
      </c>
      <c r="M471">
        <v>214.01</v>
      </c>
      <c r="N471">
        <v>15</v>
      </c>
      <c r="O471">
        <v>681.75</v>
      </c>
      <c r="P471">
        <f t="shared" si="28"/>
        <v>2.60444209413009E-2</v>
      </c>
      <c r="Q471">
        <f t="shared" si="28"/>
        <v>1.0863451776649746</v>
      </c>
      <c r="R471">
        <f t="shared" si="29"/>
        <v>14.267333333333333</v>
      </c>
      <c r="S471">
        <f t="shared" si="30"/>
        <v>3.1855988037942153</v>
      </c>
      <c r="T471">
        <f t="shared" si="31"/>
        <v>7.6142131979695438E-2</v>
      </c>
      <c r="U471" t="str">
        <f>YEAR('Campaign Data'!$A471)&amp;"-"&amp;TEXT(MONTH('Campaign Data'!$A471),"00")</f>
        <v>2026-01</v>
      </c>
    </row>
    <row r="472" spans="1:21" x14ac:dyDescent="0.25">
      <c r="A472">
        <v>46049</v>
      </c>
      <c r="B472" t="s">
        <v>186</v>
      </c>
      <c r="C472" t="s">
        <v>187</v>
      </c>
      <c r="D472" t="s">
        <v>80</v>
      </c>
      <c r="E472" t="s">
        <v>33</v>
      </c>
      <c r="F472" t="s">
        <v>43</v>
      </c>
      <c r="G472" t="s">
        <v>102</v>
      </c>
      <c r="H472" t="s">
        <v>55</v>
      </c>
      <c r="I472" t="s">
        <v>28</v>
      </c>
      <c r="J472" t="s">
        <v>62</v>
      </c>
      <c r="K472">
        <v>18378</v>
      </c>
      <c r="L472">
        <v>197</v>
      </c>
      <c r="M472">
        <v>118.31</v>
      </c>
      <c r="N472">
        <v>4</v>
      </c>
      <c r="O472">
        <v>117.8</v>
      </c>
      <c r="P472">
        <f t="shared" si="28"/>
        <v>1.071933833931875E-2</v>
      </c>
      <c r="Q472">
        <f t="shared" si="28"/>
        <v>0.60055837563451775</v>
      </c>
      <c r="R472">
        <f t="shared" si="29"/>
        <v>29.577500000000001</v>
      </c>
      <c r="S472">
        <f t="shared" si="30"/>
        <v>0.99568929084608226</v>
      </c>
      <c r="T472">
        <f t="shared" si="31"/>
        <v>2.030456852791878E-2</v>
      </c>
      <c r="U472" t="str">
        <f>YEAR('Campaign Data'!$A472)&amp;"-"&amp;TEXT(MONTH('Campaign Data'!$A472),"00")</f>
        <v>2026-01</v>
      </c>
    </row>
    <row r="473" spans="1:21" x14ac:dyDescent="0.25">
      <c r="A473">
        <v>46049</v>
      </c>
      <c r="B473" t="s">
        <v>100</v>
      </c>
      <c r="C473" t="s">
        <v>101</v>
      </c>
      <c r="D473" t="s">
        <v>80</v>
      </c>
      <c r="E473" t="s">
        <v>33</v>
      </c>
      <c r="F473" t="s">
        <v>25</v>
      </c>
      <c r="G473" t="s">
        <v>102</v>
      </c>
      <c r="H473" t="s">
        <v>36</v>
      </c>
      <c r="I473" t="s">
        <v>37</v>
      </c>
      <c r="J473" t="s">
        <v>38</v>
      </c>
      <c r="K473">
        <v>19904</v>
      </c>
      <c r="L473">
        <v>171</v>
      </c>
      <c r="M473">
        <v>74.02</v>
      </c>
      <c r="N473">
        <v>3</v>
      </c>
      <c r="O473">
        <v>340.41</v>
      </c>
      <c r="P473">
        <f t="shared" si="28"/>
        <v>8.5912379421221857E-3</v>
      </c>
      <c r="Q473">
        <f t="shared" si="28"/>
        <v>0.43286549707602334</v>
      </c>
      <c r="R473">
        <f t="shared" si="29"/>
        <v>24.673333333333332</v>
      </c>
      <c r="S473">
        <f t="shared" si="30"/>
        <v>4.5988921912996492</v>
      </c>
      <c r="T473">
        <f t="shared" si="31"/>
        <v>1.7543859649122806E-2</v>
      </c>
      <c r="U473" t="str">
        <f>YEAR('Campaign Data'!$A473)&amp;"-"&amp;TEXT(MONTH('Campaign Data'!$A473),"00")</f>
        <v>2026-01</v>
      </c>
    </row>
    <row r="474" spans="1:21" x14ac:dyDescent="0.25">
      <c r="A474">
        <v>46049</v>
      </c>
      <c r="B474" t="s">
        <v>103</v>
      </c>
      <c r="C474" t="s">
        <v>104</v>
      </c>
      <c r="D474" t="s">
        <v>65</v>
      </c>
      <c r="E474" t="s">
        <v>33</v>
      </c>
      <c r="F474" t="s">
        <v>43</v>
      </c>
      <c r="G474" t="s">
        <v>102</v>
      </c>
      <c r="H474" t="s">
        <v>27</v>
      </c>
      <c r="I474" t="s">
        <v>37</v>
      </c>
      <c r="J474" t="s">
        <v>29</v>
      </c>
      <c r="K474">
        <v>3667</v>
      </c>
      <c r="L474">
        <v>39</v>
      </c>
      <c r="M474">
        <v>29.05</v>
      </c>
      <c r="N474">
        <v>0</v>
      </c>
      <c r="O474">
        <v>0</v>
      </c>
      <c r="P474">
        <f t="shared" si="28"/>
        <v>1.0635396782110717E-2</v>
      </c>
      <c r="Q474">
        <f t="shared" si="28"/>
        <v>0.74487179487179489</v>
      </c>
      <c r="R474">
        <f t="shared" si="29"/>
        <v>0</v>
      </c>
      <c r="S474">
        <f t="shared" si="30"/>
        <v>0</v>
      </c>
      <c r="T474">
        <f t="shared" si="31"/>
        <v>0</v>
      </c>
      <c r="U474" t="str">
        <f>YEAR('Campaign Data'!$A474)&amp;"-"&amp;TEXT(MONTH('Campaign Data'!$A474),"00")</f>
        <v>2026-01</v>
      </c>
    </row>
    <row r="475" spans="1:21" x14ac:dyDescent="0.25">
      <c r="A475">
        <v>46049</v>
      </c>
      <c r="B475" t="s">
        <v>103</v>
      </c>
      <c r="C475" t="s">
        <v>104</v>
      </c>
      <c r="D475" t="s">
        <v>65</v>
      </c>
      <c r="E475" t="s">
        <v>33</v>
      </c>
      <c r="F475" t="s">
        <v>43</v>
      </c>
      <c r="G475" t="s">
        <v>102</v>
      </c>
      <c r="H475" t="s">
        <v>27</v>
      </c>
      <c r="I475" t="s">
        <v>28</v>
      </c>
      <c r="J475" t="s">
        <v>29</v>
      </c>
      <c r="K475">
        <v>5949</v>
      </c>
      <c r="L475">
        <v>62</v>
      </c>
      <c r="M475">
        <v>44.92</v>
      </c>
      <c r="N475">
        <v>2</v>
      </c>
      <c r="O475">
        <v>45.11</v>
      </c>
      <c r="P475">
        <f t="shared" si="28"/>
        <v>1.0421919650361405E-2</v>
      </c>
      <c r="Q475">
        <f t="shared" si="28"/>
        <v>0.72451612903225804</v>
      </c>
      <c r="R475">
        <f t="shared" si="29"/>
        <v>22.46</v>
      </c>
      <c r="S475">
        <f t="shared" si="30"/>
        <v>1.0042297417631345</v>
      </c>
      <c r="T475">
        <f t="shared" si="31"/>
        <v>3.2258064516129031E-2</v>
      </c>
      <c r="U475" t="str">
        <f>YEAR('Campaign Data'!$A475)&amp;"-"&amp;TEXT(MONTH('Campaign Data'!$A475),"00")</f>
        <v>2026-01</v>
      </c>
    </row>
    <row r="476" spans="1:21" x14ac:dyDescent="0.25">
      <c r="A476">
        <v>46049</v>
      </c>
      <c r="B476" t="s">
        <v>108</v>
      </c>
      <c r="C476" t="s">
        <v>109</v>
      </c>
      <c r="D476" t="s">
        <v>58</v>
      </c>
      <c r="E476" t="s">
        <v>33</v>
      </c>
      <c r="F476" t="s">
        <v>43</v>
      </c>
      <c r="G476" t="s">
        <v>59</v>
      </c>
      <c r="H476" t="s">
        <v>71</v>
      </c>
      <c r="I476" t="s">
        <v>61</v>
      </c>
      <c r="J476" t="s">
        <v>87</v>
      </c>
      <c r="K476">
        <v>3012</v>
      </c>
      <c r="L476">
        <v>14</v>
      </c>
      <c r="M476">
        <v>7.37</v>
      </c>
      <c r="N476">
        <v>0</v>
      </c>
      <c r="O476">
        <v>0</v>
      </c>
      <c r="P476">
        <f t="shared" si="28"/>
        <v>4.6480743691899072E-3</v>
      </c>
      <c r="Q476">
        <f t="shared" si="28"/>
        <v>0.52642857142857147</v>
      </c>
      <c r="R476">
        <f t="shared" si="29"/>
        <v>0</v>
      </c>
      <c r="S476">
        <f t="shared" si="30"/>
        <v>0</v>
      </c>
      <c r="T476">
        <f t="shared" si="31"/>
        <v>0</v>
      </c>
      <c r="U476" t="str">
        <f>YEAR('Campaign Data'!$A476)&amp;"-"&amp;TEXT(MONTH('Campaign Data'!$A476),"00")</f>
        <v>2026-01</v>
      </c>
    </row>
    <row r="477" spans="1:21" x14ac:dyDescent="0.25">
      <c r="A477">
        <v>46049</v>
      </c>
      <c r="B477" t="s">
        <v>177</v>
      </c>
      <c r="C477" t="s">
        <v>178</v>
      </c>
      <c r="D477" t="s">
        <v>41</v>
      </c>
      <c r="E477" t="s">
        <v>49</v>
      </c>
      <c r="F477" t="s">
        <v>34</v>
      </c>
      <c r="G477" t="s">
        <v>107</v>
      </c>
      <c r="H477" t="s">
        <v>90</v>
      </c>
      <c r="I477" t="s">
        <v>28</v>
      </c>
      <c r="J477" t="s">
        <v>87</v>
      </c>
      <c r="K477">
        <v>4481</v>
      </c>
      <c r="L477">
        <v>167</v>
      </c>
      <c r="M477">
        <v>99.42</v>
      </c>
      <c r="N477">
        <v>5</v>
      </c>
      <c r="O477">
        <v>120.17</v>
      </c>
      <c r="P477">
        <f t="shared" si="28"/>
        <v>3.7268466860075879E-2</v>
      </c>
      <c r="Q477">
        <f t="shared" si="28"/>
        <v>0.59532934131736526</v>
      </c>
      <c r="R477">
        <f t="shared" si="29"/>
        <v>19.884</v>
      </c>
      <c r="S477">
        <f t="shared" si="30"/>
        <v>1.2087105210219271</v>
      </c>
      <c r="T477">
        <f t="shared" si="31"/>
        <v>2.9940119760479042E-2</v>
      </c>
      <c r="U477" t="str">
        <f>YEAR('Campaign Data'!$A477)&amp;"-"&amp;TEXT(MONTH('Campaign Data'!$A477),"00")</f>
        <v>2026-01</v>
      </c>
    </row>
    <row r="478" spans="1:21" x14ac:dyDescent="0.25">
      <c r="A478">
        <v>46049</v>
      </c>
      <c r="B478" t="s">
        <v>171</v>
      </c>
      <c r="C478" t="s">
        <v>172</v>
      </c>
      <c r="D478" t="s">
        <v>23</v>
      </c>
      <c r="E478" t="s">
        <v>33</v>
      </c>
      <c r="F478" t="s">
        <v>75</v>
      </c>
      <c r="G478" t="s">
        <v>59</v>
      </c>
      <c r="H478" t="s">
        <v>71</v>
      </c>
      <c r="I478" t="s">
        <v>37</v>
      </c>
      <c r="J478" t="s">
        <v>87</v>
      </c>
      <c r="K478">
        <v>495</v>
      </c>
      <c r="L478">
        <v>2</v>
      </c>
      <c r="M478">
        <v>1.33</v>
      </c>
      <c r="N478">
        <v>0</v>
      </c>
      <c r="O478">
        <v>0</v>
      </c>
      <c r="P478">
        <f t="shared" si="28"/>
        <v>4.0404040404040404E-3</v>
      </c>
      <c r="Q478">
        <f t="shared" si="28"/>
        <v>0.66500000000000004</v>
      </c>
      <c r="R478">
        <f t="shared" si="29"/>
        <v>0</v>
      </c>
      <c r="S478">
        <f t="shared" si="30"/>
        <v>0</v>
      </c>
      <c r="T478">
        <f t="shared" si="31"/>
        <v>0</v>
      </c>
      <c r="U478" t="str">
        <f>YEAR('Campaign Data'!$A478)&amp;"-"&amp;TEXT(MONTH('Campaign Data'!$A478),"00")</f>
        <v>2026-01</v>
      </c>
    </row>
    <row r="479" spans="1:21" x14ac:dyDescent="0.25">
      <c r="A479">
        <v>46049</v>
      </c>
      <c r="B479" t="s">
        <v>110</v>
      </c>
      <c r="C479" t="s">
        <v>111</v>
      </c>
      <c r="D479" t="s">
        <v>23</v>
      </c>
      <c r="E479" t="s">
        <v>49</v>
      </c>
      <c r="F479" t="s">
        <v>34</v>
      </c>
      <c r="G479" t="s">
        <v>50</v>
      </c>
      <c r="H479" t="s">
        <v>27</v>
      </c>
      <c r="I479" t="s">
        <v>28</v>
      </c>
      <c r="J479" t="s">
        <v>87</v>
      </c>
      <c r="K479">
        <v>7191</v>
      </c>
      <c r="L479">
        <v>417</v>
      </c>
      <c r="M479">
        <v>613.84</v>
      </c>
      <c r="N479">
        <v>22</v>
      </c>
      <c r="O479">
        <v>4696.74</v>
      </c>
      <c r="P479">
        <f t="shared" si="28"/>
        <v>5.7989153108051729E-2</v>
      </c>
      <c r="Q479">
        <f t="shared" si="28"/>
        <v>1.4720383693045564</v>
      </c>
      <c r="R479">
        <f t="shared" si="29"/>
        <v>27.901818181818182</v>
      </c>
      <c r="S479">
        <f t="shared" si="30"/>
        <v>7.651407532907597</v>
      </c>
      <c r="T479">
        <f t="shared" si="31"/>
        <v>5.2757793764988008E-2</v>
      </c>
      <c r="U479" t="str">
        <f>YEAR('Campaign Data'!$A479)&amp;"-"&amp;TEXT(MONTH('Campaign Data'!$A479),"00")</f>
        <v>2026-01</v>
      </c>
    </row>
    <row r="480" spans="1:21" x14ac:dyDescent="0.25">
      <c r="A480">
        <v>46049</v>
      </c>
      <c r="B480" t="s">
        <v>112</v>
      </c>
      <c r="C480" t="s">
        <v>113</v>
      </c>
      <c r="D480" t="s">
        <v>32</v>
      </c>
      <c r="E480" t="s">
        <v>24</v>
      </c>
      <c r="F480" t="s">
        <v>75</v>
      </c>
      <c r="G480" t="s">
        <v>66</v>
      </c>
      <c r="H480" t="s">
        <v>27</v>
      </c>
      <c r="I480" t="s">
        <v>37</v>
      </c>
      <c r="J480" t="s">
        <v>45</v>
      </c>
      <c r="K480">
        <v>6982</v>
      </c>
      <c r="L480">
        <v>58</v>
      </c>
      <c r="M480">
        <v>56.5</v>
      </c>
      <c r="N480">
        <v>6</v>
      </c>
      <c r="O480">
        <v>370.12</v>
      </c>
      <c r="P480">
        <f t="shared" si="28"/>
        <v>8.3070753365797768E-3</v>
      </c>
      <c r="Q480">
        <f t="shared" si="28"/>
        <v>0.97413793103448276</v>
      </c>
      <c r="R480">
        <f t="shared" si="29"/>
        <v>9.4166666666666661</v>
      </c>
      <c r="S480">
        <f t="shared" si="30"/>
        <v>6.5507964601769908</v>
      </c>
      <c r="T480">
        <f t="shared" si="31"/>
        <v>0.10344827586206896</v>
      </c>
      <c r="U480" t="str">
        <f>YEAR('Campaign Data'!$A480)&amp;"-"&amp;TEXT(MONTH('Campaign Data'!$A480),"00")</f>
        <v>2026-01</v>
      </c>
    </row>
    <row r="481" spans="1:21" x14ac:dyDescent="0.25">
      <c r="A481">
        <v>46049</v>
      </c>
      <c r="B481" t="s">
        <v>159</v>
      </c>
      <c r="C481" t="s">
        <v>160</v>
      </c>
      <c r="D481" t="s">
        <v>65</v>
      </c>
      <c r="E481" t="s">
        <v>42</v>
      </c>
      <c r="F481" t="s">
        <v>75</v>
      </c>
      <c r="G481" t="s">
        <v>54</v>
      </c>
      <c r="H481" t="s">
        <v>60</v>
      </c>
      <c r="I481" t="s">
        <v>61</v>
      </c>
      <c r="J481" t="s">
        <v>87</v>
      </c>
      <c r="K481">
        <v>3903</v>
      </c>
      <c r="L481">
        <v>9</v>
      </c>
      <c r="M481">
        <v>59.78</v>
      </c>
      <c r="N481">
        <v>0</v>
      </c>
      <c r="O481">
        <v>0</v>
      </c>
      <c r="P481">
        <f t="shared" si="28"/>
        <v>2.3059185242121443E-3</v>
      </c>
      <c r="Q481">
        <f t="shared" si="28"/>
        <v>6.6422222222222222</v>
      </c>
      <c r="R481">
        <f t="shared" si="29"/>
        <v>0</v>
      </c>
      <c r="S481">
        <f t="shared" si="30"/>
        <v>0</v>
      </c>
      <c r="T481">
        <f t="shared" si="31"/>
        <v>0</v>
      </c>
      <c r="U481" t="str">
        <f>YEAR('Campaign Data'!$A481)&amp;"-"&amp;TEXT(MONTH('Campaign Data'!$A481),"00")</f>
        <v>2026-01</v>
      </c>
    </row>
    <row r="482" spans="1:21" x14ac:dyDescent="0.25">
      <c r="A482">
        <v>46049</v>
      </c>
      <c r="B482" t="s">
        <v>159</v>
      </c>
      <c r="C482" t="s">
        <v>160</v>
      </c>
      <c r="D482" t="s">
        <v>65</v>
      </c>
      <c r="E482" t="s">
        <v>42</v>
      </c>
      <c r="F482" t="s">
        <v>75</v>
      </c>
      <c r="G482" t="s">
        <v>54</v>
      </c>
      <c r="H482" t="s">
        <v>51</v>
      </c>
      <c r="I482" t="s">
        <v>37</v>
      </c>
      <c r="J482" t="s">
        <v>87</v>
      </c>
      <c r="K482">
        <v>6114</v>
      </c>
      <c r="L482">
        <v>40</v>
      </c>
      <c r="M482">
        <v>249.39</v>
      </c>
      <c r="N482">
        <v>1</v>
      </c>
      <c r="O482">
        <v>42.32</v>
      </c>
      <c r="P482">
        <f t="shared" si="28"/>
        <v>6.542361792607131E-3</v>
      </c>
      <c r="Q482">
        <f t="shared" si="28"/>
        <v>6.23475</v>
      </c>
      <c r="R482">
        <f t="shared" si="29"/>
        <v>249.39</v>
      </c>
      <c r="S482">
        <f t="shared" si="30"/>
        <v>0.16969405349051686</v>
      </c>
      <c r="T482">
        <f t="shared" si="31"/>
        <v>2.5000000000000001E-2</v>
      </c>
      <c r="U482" t="str">
        <f>YEAR('Campaign Data'!$A482)&amp;"-"&amp;TEXT(MONTH('Campaign Data'!$A482),"00")</f>
        <v>2026-01</v>
      </c>
    </row>
    <row r="483" spans="1:21" x14ac:dyDescent="0.25">
      <c r="A483">
        <v>46049</v>
      </c>
      <c r="B483" t="s">
        <v>114</v>
      </c>
      <c r="C483" t="s">
        <v>115</v>
      </c>
      <c r="D483" t="s">
        <v>69</v>
      </c>
      <c r="E483" t="s">
        <v>49</v>
      </c>
      <c r="F483" t="s">
        <v>25</v>
      </c>
      <c r="G483" t="s">
        <v>107</v>
      </c>
      <c r="H483" t="s">
        <v>27</v>
      </c>
      <c r="I483" t="s">
        <v>28</v>
      </c>
      <c r="J483" t="s">
        <v>87</v>
      </c>
      <c r="K483">
        <v>7921</v>
      </c>
      <c r="L483">
        <v>455</v>
      </c>
      <c r="M483">
        <v>1018.32</v>
      </c>
      <c r="N483">
        <v>22</v>
      </c>
      <c r="O483">
        <v>5233.82</v>
      </c>
      <c r="P483">
        <f t="shared" si="28"/>
        <v>5.7442242141143796E-2</v>
      </c>
      <c r="Q483">
        <f t="shared" si="28"/>
        <v>2.2380659340659341</v>
      </c>
      <c r="R483">
        <f t="shared" si="29"/>
        <v>46.287272727272729</v>
      </c>
      <c r="S483">
        <f t="shared" si="30"/>
        <v>5.1396614030952934</v>
      </c>
      <c r="T483">
        <f t="shared" si="31"/>
        <v>4.8351648351648353E-2</v>
      </c>
      <c r="U483" t="str">
        <f>YEAR('Campaign Data'!$A483)&amp;"-"&amp;TEXT(MONTH('Campaign Data'!$A483),"00")</f>
        <v>2026-01</v>
      </c>
    </row>
    <row r="484" spans="1:21" x14ac:dyDescent="0.25">
      <c r="A484">
        <v>46049</v>
      </c>
      <c r="B484" t="s">
        <v>141</v>
      </c>
      <c r="C484" t="s">
        <v>142</v>
      </c>
      <c r="D484" t="s">
        <v>80</v>
      </c>
      <c r="E484" t="s">
        <v>49</v>
      </c>
      <c r="F484" t="s">
        <v>81</v>
      </c>
      <c r="G484" t="s">
        <v>97</v>
      </c>
      <c r="H484" t="s">
        <v>71</v>
      </c>
      <c r="I484" t="s">
        <v>37</v>
      </c>
      <c r="J484" t="s">
        <v>87</v>
      </c>
      <c r="K484">
        <v>1451</v>
      </c>
      <c r="L484">
        <v>69</v>
      </c>
      <c r="M484">
        <v>128.41999999999999</v>
      </c>
      <c r="N484">
        <v>2</v>
      </c>
      <c r="O484">
        <v>37.78</v>
      </c>
      <c r="P484">
        <f t="shared" si="28"/>
        <v>4.755341144038594E-2</v>
      </c>
      <c r="Q484">
        <f t="shared" si="28"/>
        <v>1.8611594202898549</v>
      </c>
      <c r="R484">
        <f t="shared" si="29"/>
        <v>64.209999999999994</v>
      </c>
      <c r="S484">
        <f t="shared" si="30"/>
        <v>0.29419093599127866</v>
      </c>
      <c r="T484">
        <f t="shared" si="31"/>
        <v>2.8985507246376812E-2</v>
      </c>
      <c r="U484" t="str">
        <f>YEAR('Campaign Data'!$A484)&amp;"-"&amp;TEXT(MONTH('Campaign Data'!$A484),"00")</f>
        <v>2026-01</v>
      </c>
    </row>
    <row r="485" spans="1:21" x14ac:dyDescent="0.25">
      <c r="A485">
        <v>46049</v>
      </c>
      <c r="B485" t="s">
        <v>143</v>
      </c>
      <c r="C485" t="s">
        <v>144</v>
      </c>
      <c r="D485" t="s">
        <v>48</v>
      </c>
      <c r="E485" t="s">
        <v>42</v>
      </c>
      <c r="F485" t="s">
        <v>25</v>
      </c>
      <c r="G485" t="s">
        <v>84</v>
      </c>
      <c r="H485" t="s">
        <v>71</v>
      </c>
      <c r="I485" t="s">
        <v>28</v>
      </c>
      <c r="J485" t="s">
        <v>38</v>
      </c>
      <c r="K485">
        <v>15245</v>
      </c>
      <c r="L485">
        <v>68</v>
      </c>
      <c r="M485">
        <v>352.75</v>
      </c>
      <c r="N485">
        <v>1</v>
      </c>
      <c r="O485">
        <v>99.65</v>
      </c>
      <c r="P485">
        <f t="shared" si="28"/>
        <v>4.4604788455231224E-3</v>
      </c>
      <c r="Q485">
        <f t="shared" si="28"/>
        <v>5.1875</v>
      </c>
      <c r="R485">
        <f t="shared" si="29"/>
        <v>352.75</v>
      </c>
      <c r="S485">
        <f t="shared" si="30"/>
        <v>0.28249468462083632</v>
      </c>
      <c r="T485">
        <f t="shared" si="31"/>
        <v>1.4705882352941176E-2</v>
      </c>
      <c r="U485" t="str">
        <f>YEAR('Campaign Data'!$A485)&amp;"-"&amp;TEXT(MONTH('Campaign Data'!$A485),"00")</f>
        <v>2026-01</v>
      </c>
    </row>
    <row r="486" spans="1:21" x14ac:dyDescent="0.25">
      <c r="A486">
        <v>46049</v>
      </c>
      <c r="B486" t="s">
        <v>143</v>
      </c>
      <c r="C486" t="s">
        <v>144</v>
      </c>
      <c r="D486" t="s">
        <v>48</v>
      </c>
      <c r="E486" t="s">
        <v>42</v>
      </c>
      <c r="F486" t="s">
        <v>25</v>
      </c>
      <c r="G486" t="s">
        <v>84</v>
      </c>
      <c r="H486" t="s">
        <v>60</v>
      </c>
      <c r="I486" t="s">
        <v>28</v>
      </c>
      <c r="J486" t="s">
        <v>29</v>
      </c>
      <c r="K486">
        <v>12319</v>
      </c>
      <c r="L486">
        <v>86</v>
      </c>
      <c r="M486">
        <v>622.86</v>
      </c>
      <c r="N486">
        <v>3</v>
      </c>
      <c r="O486">
        <v>596.64</v>
      </c>
      <c r="P486">
        <f t="shared" si="28"/>
        <v>6.9810861271207081E-3</v>
      </c>
      <c r="Q486">
        <f t="shared" si="28"/>
        <v>7.2425581395348839</v>
      </c>
      <c r="R486">
        <f t="shared" si="29"/>
        <v>207.62</v>
      </c>
      <c r="S486">
        <f t="shared" si="30"/>
        <v>0.95790386282631723</v>
      </c>
      <c r="T486">
        <f t="shared" si="31"/>
        <v>3.4883720930232558E-2</v>
      </c>
      <c r="U486" t="str">
        <f>YEAR('Campaign Data'!$A486)&amp;"-"&amp;TEXT(MONTH('Campaign Data'!$A486),"00")</f>
        <v>2026-01</v>
      </c>
    </row>
    <row r="487" spans="1:21" x14ac:dyDescent="0.25">
      <c r="A487">
        <v>46049</v>
      </c>
      <c r="B487" t="s">
        <v>67</v>
      </c>
      <c r="C487" t="s">
        <v>68</v>
      </c>
      <c r="D487" t="s">
        <v>69</v>
      </c>
      <c r="E487" t="s">
        <v>49</v>
      </c>
      <c r="F487" t="s">
        <v>34</v>
      </c>
      <c r="G487" t="s">
        <v>70</v>
      </c>
      <c r="H487" t="s">
        <v>27</v>
      </c>
      <c r="I487" t="s">
        <v>28</v>
      </c>
      <c r="J487" t="s">
        <v>87</v>
      </c>
      <c r="K487">
        <v>2684</v>
      </c>
      <c r="L487">
        <v>120</v>
      </c>
      <c r="M487">
        <v>255.87</v>
      </c>
      <c r="N487">
        <v>4</v>
      </c>
      <c r="O487">
        <v>757.51</v>
      </c>
      <c r="P487">
        <f t="shared" si="28"/>
        <v>4.4709388971684055E-2</v>
      </c>
      <c r="Q487">
        <f t="shared" si="28"/>
        <v>2.13225</v>
      </c>
      <c r="R487">
        <f t="shared" si="29"/>
        <v>63.967500000000001</v>
      </c>
      <c r="S487">
        <f t="shared" si="30"/>
        <v>2.9605268300308749</v>
      </c>
      <c r="T487">
        <f t="shared" si="31"/>
        <v>3.3333333333333333E-2</v>
      </c>
      <c r="U487" t="str">
        <f>YEAR('Campaign Data'!$A487)&amp;"-"&amp;TEXT(MONTH('Campaign Data'!$A487),"00")</f>
        <v>2026-01</v>
      </c>
    </row>
    <row r="488" spans="1:21" x14ac:dyDescent="0.25">
      <c r="A488">
        <v>46049</v>
      </c>
      <c r="B488" t="s">
        <v>72</v>
      </c>
      <c r="C488" t="s">
        <v>73</v>
      </c>
      <c r="D488" t="s">
        <v>69</v>
      </c>
      <c r="E488" t="s">
        <v>74</v>
      </c>
      <c r="F488" t="s">
        <v>75</v>
      </c>
      <c r="G488" t="s">
        <v>9</v>
      </c>
      <c r="H488" t="s">
        <v>71</v>
      </c>
      <c r="I488" t="s">
        <v>28</v>
      </c>
      <c r="J488" t="s">
        <v>45</v>
      </c>
      <c r="K488">
        <v>7861</v>
      </c>
      <c r="L488">
        <v>182</v>
      </c>
      <c r="M488">
        <v>206.83</v>
      </c>
      <c r="N488">
        <v>7</v>
      </c>
      <c r="O488">
        <v>237.76</v>
      </c>
      <c r="P488">
        <f t="shared" si="28"/>
        <v>2.3152270703472842E-2</v>
      </c>
      <c r="Q488">
        <f t="shared" si="28"/>
        <v>1.1364285714285716</v>
      </c>
      <c r="R488">
        <f t="shared" si="29"/>
        <v>29.547142857142859</v>
      </c>
      <c r="S488">
        <f t="shared" si="30"/>
        <v>1.1495431030314751</v>
      </c>
      <c r="T488">
        <f t="shared" si="31"/>
        <v>3.8461538461538464E-2</v>
      </c>
      <c r="U488" t="str">
        <f>YEAR('Campaign Data'!$A488)&amp;"-"&amp;TEXT(MONTH('Campaign Data'!$A488),"00")</f>
        <v>2026-01</v>
      </c>
    </row>
    <row r="489" spans="1:21" x14ac:dyDescent="0.25">
      <c r="A489">
        <v>46049</v>
      </c>
      <c r="B489" t="s">
        <v>116</v>
      </c>
      <c r="C489" t="s">
        <v>117</v>
      </c>
      <c r="D489" t="s">
        <v>48</v>
      </c>
      <c r="E489" t="s">
        <v>24</v>
      </c>
      <c r="F489" t="s">
        <v>43</v>
      </c>
      <c r="G489" t="s">
        <v>26</v>
      </c>
      <c r="H489" t="s">
        <v>71</v>
      </c>
      <c r="I489" t="s">
        <v>61</v>
      </c>
      <c r="J489" t="s">
        <v>29</v>
      </c>
      <c r="K489">
        <v>6253</v>
      </c>
      <c r="L489">
        <v>76</v>
      </c>
      <c r="M489">
        <v>46.64</v>
      </c>
      <c r="N489">
        <v>0</v>
      </c>
      <c r="O489">
        <v>0</v>
      </c>
      <c r="P489">
        <f t="shared" si="28"/>
        <v>1.2154166000319846E-2</v>
      </c>
      <c r="Q489">
        <f t="shared" si="28"/>
        <v>0.61368421052631583</v>
      </c>
      <c r="R489">
        <f t="shared" si="29"/>
        <v>0</v>
      </c>
      <c r="S489">
        <f t="shared" si="30"/>
        <v>0</v>
      </c>
      <c r="T489">
        <f t="shared" si="31"/>
        <v>0</v>
      </c>
      <c r="U489" t="str">
        <f>YEAR('Campaign Data'!$A489)&amp;"-"&amp;TEXT(MONTH('Campaign Data'!$A489),"00")</f>
        <v>2026-01</v>
      </c>
    </row>
    <row r="490" spans="1:21" x14ac:dyDescent="0.25">
      <c r="A490">
        <v>46049</v>
      </c>
      <c r="B490" t="s">
        <v>116</v>
      </c>
      <c r="C490" t="s">
        <v>117</v>
      </c>
      <c r="D490" t="s">
        <v>48</v>
      </c>
      <c r="E490" t="s">
        <v>24</v>
      </c>
      <c r="F490" t="s">
        <v>43</v>
      </c>
      <c r="G490" t="s">
        <v>26</v>
      </c>
      <c r="H490" t="s">
        <v>51</v>
      </c>
      <c r="I490" t="s">
        <v>28</v>
      </c>
      <c r="J490" t="s">
        <v>29</v>
      </c>
      <c r="K490">
        <v>8491</v>
      </c>
      <c r="L490">
        <v>92</v>
      </c>
      <c r="M490">
        <v>114.12</v>
      </c>
      <c r="N490">
        <v>1</v>
      </c>
      <c r="O490">
        <v>10.33</v>
      </c>
      <c r="P490">
        <f t="shared" si="28"/>
        <v>1.0835001766576376E-2</v>
      </c>
      <c r="Q490">
        <f t="shared" si="28"/>
        <v>1.2404347826086957</v>
      </c>
      <c r="R490">
        <f t="shared" si="29"/>
        <v>114.12</v>
      </c>
      <c r="S490">
        <f t="shared" si="30"/>
        <v>9.0518752190676482E-2</v>
      </c>
      <c r="T490">
        <f t="shared" si="31"/>
        <v>1.0869565217391304E-2</v>
      </c>
      <c r="U490" t="str">
        <f>YEAR('Campaign Data'!$A490)&amp;"-"&amp;TEXT(MONTH('Campaign Data'!$A490),"00")</f>
        <v>2026-01</v>
      </c>
    </row>
    <row r="491" spans="1:21" x14ac:dyDescent="0.25">
      <c r="A491">
        <v>46049</v>
      </c>
      <c r="B491" t="s">
        <v>145</v>
      </c>
      <c r="C491" t="s">
        <v>146</v>
      </c>
      <c r="D491" t="s">
        <v>41</v>
      </c>
      <c r="E491" t="s">
        <v>49</v>
      </c>
      <c r="F491" t="s">
        <v>75</v>
      </c>
      <c r="G491" t="s">
        <v>70</v>
      </c>
      <c r="H491" t="s">
        <v>36</v>
      </c>
      <c r="I491" t="s">
        <v>37</v>
      </c>
      <c r="J491" t="s">
        <v>38</v>
      </c>
      <c r="K491">
        <v>11915</v>
      </c>
      <c r="L491">
        <v>430</v>
      </c>
      <c r="M491">
        <v>916.57</v>
      </c>
      <c r="N491">
        <v>24</v>
      </c>
      <c r="O491">
        <v>1120.17</v>
      </c>
      <c r="P491">
        <f t="shared" si="28"/>
        <v>3.6088963491397397E-2</v>
      </c>
      <c r="Q491">
        <f t="shared" si="28"/>
        <v>2.1315581395348837</v>
      </c>
      <c r="R491">
        <f t="shared" si="29"/>
        <v>38.190416666666671</v>
      </c>
      <c r="S491">
        <f t="shared" si="30"/>
        <v>1.2221325157925744</v>
      </c>
      <c r="T491">
        <f t="shared" si="31"/>
        <v>5.5813953488372092E-2</v>
      </c>
      <c r="U491" t="str">
        <f>YEAR('Campaign Data'!$A491)&amp;"-"&amp;TEXT(MONTH('Campaign Data'!$A491),"00")</f>
        <v>2026-01</v>
      </c>
    </row>
    <row r="492" spans="1:21" x14ac:dyDescent="0.25">
      <c r="A492">
        <v>46049</v>
      </c>
      <c r="B492" t="s">
        <v>122</v>
      </c>
      <c r="C492" t="s">
        <v>123</v>
      </c>
      <c r="D492" t="s">
        <v>41</v>
      </c>
      <c r="E492" t="s">
        <v>33</v>
      </c>
      <c r="F492" t="s">
        <v>75</v>
      </c>
      <c r="G492" t="s">
        <v>35</v>
      </c>
      <c r="H492" t="s">
        <v>51</v>
      </c>
      <c r="I492" t="s">
        <v>28</v>
      </c>
      <c r="J492" t="s">
        <v>45</v>
      </c>
      <c r="K492">
        <v>8296</v>
      </c>
      <c r="L492">
        <v>39</v>
      </c>
      <c r="M492">
        <v>28.96</v>
      </c>
      <c r="N492">
        <v>1</v>
      </c>
      <c r="O492">
        <v>25.15</v>
      </c>
      <c r="P492">
        <f t="shared" si="28"/>
        <v>4.7010607521697206E-3</v>
      </c>
      <c r="Q492">
        <f t="shared" si="28"/>
        <v>0.74256410256410255</v>
      </c>
      <c r="R492">
        <f t="shared" si="29"/>
        <v>28.96</v>
      </c>
      <c r="S492">
        <f t="shared" si="30"/>
        <v>0.86843922651933692</v>
      </c>
      <c r="T492">
        <f t="shared" si="31"/>
        <v>2.564102564102564E-2</v>
      </c>
      <c r="U492" t="str">
        <f>YEAR('Campaign Data'!$A492)&amp;"-"&amp;TEXT(MONTH('Campaign Data'!$A492),"00")</f>
        <v>2026-01</v>
      </c>
    </row>
    <row r="493" spans="1:21" x14ac:dyDescent="0.25">
      <c r="A493">
        <v>46050</v>
      </c>
      <c r="B493" t="s">
        <v>165</v>
      </c>
      <c r="C493" t="s">
        <v>166</v>
      </c>
      <c r="D493" t="s">
        <v>41</v>
      </c>
      <c r="E493" t="s">
        <v>33</v>
      </c>
      <c r="F493" t="s">
        <v>43</v>
      </c>
      <c r="G493" t="s">
        <v>59</v>
      </c>
      <c r="H493" t="s">
        <v>27</v>
      </c>
      <c r="I493" t="s">
        <v>28</v>
      </c>
      <c r="J493" t="s">
        <v>62</v>
      </c>
      <c r="K493">
        <v>1766</v>
      </c>
      <c r="L493">
        <v>17</v>
      </c>
      <c r="M493">
        <v>9.11</v>
      </c>
      <c r="N493">
        <v>5</v>
      </c>
      <c r="O493">
        <v>218.89</v>
      </c>
      <c r="P493">
        <f t="shared" si="28"/>
        <v>9.6262740656851645E-3</v>
      </c>
      <c r="Q493">
        <f t="shared" si="28"/>
        <v>0.53588235294117648</v>
      </c>
      <c r="R493">
        <f t="shared" si="29"/>
        <v>1.8219999999999998</v>
      </c>
      <c r="S493">
        <f t="shared" si="30"/>
        <v>24.027442371020857</v>
      </c>
      <c r="T493">
        <f t="shared" si="31"/>
        <v>0.29411764705882354</v>
      </c>
      <c r="U493" t="str">
        <f>YEAR('Campaign Data'!$A493)&amp;"-"&amp;TEXT(MONTH('Campaign Data'!$A493),"00")</f>
        <v>2026-01</v>
      </c>
    </row>
    <row r="494" spans="1:21" x14ac:dyDescent="0.25">
      <c r="A494">
        <v>46050</v>
      </c>
      <c r="B494" t="s">
        <v>173</v>
      </c>
      <c r="C494" t="s">
        <v>174</v>
      </c>
      <c r="D494" t="s">
        <v>48</v>
      </c>
      <c r="E494" t="s">
        <v>74</v>
      </c>
      <c r="F494" t="s">
        <v>25</v>
      </c>
      <c r="G494" t="s">
        <v>9</v>
      </c>
      <c r="H494" t="s">
        <v>90</v>
      </c>
      <c r="I494" t="s">
        <v>37</v>
      </c>
      <c r="J494" t="s">
        <v>45</v>
      </c>
      <c r="K494">
        <v>9145</v>
      </c>
      <c r="L494">
        <v>316</v>
      </c>
      <c r="M494">
        <v>78.88</v>
      </c>
      <c r="N494">
        <v>6</v>
      </c>
      <c r="O494">
        <v>219.93</v>
      </c>
      <c r="P494">
        <f t="shared" si="28"/>
        <v>3.4554401312192458E-2</v>
      </c>
      <c r="Q494">
        <f t="shared" si="28"/>
        <v>0.24962025316455694</v>
      </c>
      <c r="R494">
        <f t="shared" si="29"/>
        <v>13.146666666666667</v>
      </c>
      <c r="S494">
        <f t="shared" si="30"/>
        <v>2.788159229208925</v>
      </c>
      <c r="T494">
        <f t="shared" si="31"/>
        <v>1.8987341772151899E-2</v>
      </c>
      <c r="U494" t="str">
        <f>YEAR('Campaign Data'!$A494)&amp;"-"&amp;TEXT(MONTH('Campaign Data'!$A494),"00")</f>
        <v>2026-01</v>
      </c>
    </row>
    <row r="495" spans="1:21" x14ac:dyDescent="0.25">
      <c r="A495">
        <v>46050</v>
      </c>
      <c r="B495" t="s">
        <v>125</v>
      </c>
      <c r="C495" t="s">
        <v>126</v>
      </c>
      <c r="D495" t="s">
        <v>41</v>
      </c>
      <c r="E495" t="s">
        <v>42</v>
      </c>
      <c r="F495" t="s">
        <v>81</v>
      </c>
      <c r="G495" t="s">
        <v>44</v>
      </c>
      <c r="H495" t="s">
        <v>27</v>
      </c>
      <c r="I495" t="s">
        <v>61</v>
      </c>
      <c r="J495" t="s">
        <v>45</v>
      </c>
      <c r="K495">
        <v>5436</v>
      </c>
      <c r="L495">
        <v>35</v>
      </c>
      <c r="M495">
        <v>242.33</v>
      </c>
      <c r="N495">
        <v>1</v>
      </c>
      <c r="O495">
        <v>24.77</v>
      </c>
      <c r="P495">
        <f t="shared" si="28"/>
        <v>6.4385577630610745E-3</v>
      </c>
      <c r="Q495">
        <f t="shared" si="28"/>
        <v>6.9237142857142864</v>
      </c>
      <c r="R495">
        <f t="shared" si="29"/>
        <v>242.33</v>
      </c>
      <c r="S495">
        <f t="shared" si="30"/>
        <v>0.10221598646473816</v>
      </c>
      <c r="T495">
        <f t="shared" si="31"/>
        <v>2.8571428571428571E-2</v>
      </c>
      <c r="U495" t="str">
        <f>YEAR('Campaign Data'!$A495)&amp;"-"&amp;TEXT(MONTH('Campaign Data'!$A495),"00")</f>
        <v>2026-01</v>
      </c>
    </row>
    <row r="496" spans="1:21" x14ac:dyDescent="0.25">
      <c r="A496">
        <v>46050</v>
      </c>
      <c r="B496" t="s">
        <v>138</v>
      </c>
      <c r="C496" t="s">
        <v>139</v>
      </c>
      <c r="D496" t="s">
        <v>58</v>
      </c>
      <c r="E496" t="s">
        <v>74</v>
      </c>
      <c r="F496" t="s">
        <v>34</v>
      </c>
      <c r="G496" t="s">
        <v>9</v>
      </c>
      <c r="H496" t="s">
        <v>27</v>
      </c>
      <c r="I496" t="s">
        <v>37</v>
      </c>
      <c r="J496" t="s">
        <v>29</v>
      </c>
      <c r="K496">
        <v>6580</v>
      </c>
      <c r="L496">
        <v>143</v>
      </c>
      <c r="M496">
        <v>261.47000000000003</v>
      </c>
      <c r="N496">
        <v>8</v>
      </c>
      <c r="O496">
        <v>1587.08</v>
      </c>
      <c r="P496">
        <f t="shared" si="28"/>
        <v>2.1732522796352585E-2</v>
      </c>
      <c r="Q496">
        <f t="shared" si="28"/>
        <v>1.8284615384615386</v>
      </c>
      <c r="R496">
        <f t="shared" si="29"/>
        <v>32.683750000000003</v>
      </c>
      <c r="S496">
        <f t="shared" si="30"/>
        <v>6.0698359276398817</v>
      </c>
      <c r="T496">
        <f t="shared" si="31"/>
        <v>5.5944055944055944E-2</v>
      </c>
      <c r="U496" t="str">
        <f>YEAR('Campaign Data'!$A496)&amp;"-"&amp;TEXT(MONTH('Campaign Data'!$A496),"00")</f>
        <v>2026-01</v>
      </c>
    </row>
    <row r="497" spans="1:21" x14ac:dyDescent="0.25">
      <c r="A497">
        <v>46050</v>
      </c>
      <c r="B497" t="s">
        <v>149</v>
      </c>
      <c r="C497" t="s">
        <v>150</v>
      </c>
      <c r="D497" t="s">
        <v>65</v>
      </c>
      <c r="E497" t="s">
        <v>33</v>
      </c>
      <c r="F497" t="s">
        <v>43</v>
      </c>
      <c r="G497" t="s">
        <v>59</v>
      </c>
      <c r="H497" t="s">
        <v>90</v>
      </c>
      <c r="I497" t="s">
        <v>61</v>
      </c>
      <c r="J497" t="s">
        <v>38</v>
      </c>
      <c r="K497">
        <v>7766</v>
      </c>
      <c r="L497">
        <v>86</v>
      </c>
      <c r="M497">
        <v>9.4700000000000006</v>
      </c>
      <c r="N497">
        <v>0</v>
      </c>
      <c r="O497">
        <v>0</v>
      </c>
      <c r="P497">
        <f t="shared" si="28"/>
        <v>1.1073911923770281E-2</v>
      </c>
      <c r="Q497">
        <f t="shared" si="28"/>
        <v>0.11011627906976745</v>
      </c>
      <c r="R497">
        <f t="shared" si="29"/>
        <v>0</v>
      </c>
      <c r="S497">
        <f t="shared" si="30"/>
        <v>0</v>
      </c>
      <c r="T497">
        <f t="shared" si="31"/>
        <v>0</v>
      </c>
      <c r="U497" t="str">
        <f>YEAR('Campaign Data'!$A497)&amp;"-"&amp;TEXT(MONTH('Campaign Data'!$A497),"00")</f>
        <v>2026-01</v>
      </c>
    </row>
    <row r="498" spans="1:21" x14ac:dyDescent="0.25">
      <c r="A498">
        <v>46050</v>
      </c>
      <c r="B498" t="s">
        <v>91</v>
      </c>
      <c r="C498" t="s">
        <v>92</v>
      </c>
      <c r="D498" t="s">
        <v>41</v>
      </c>
      <c r="E498" t="s">
        <v>74</v>
      </c>
      <c r="F498" t="s">
        <v>75</v>
      </c>
      <c r="G498" t="s">
        <v>9</v>
      </c>
      <c r="H498" t="s">
        <v>90</v>
      </c>
      <c r="I498" t="s">
        <v>37</v>
      </c>
      <c r="J498" t="s">
        <v>87</v>
      </c>
      <c r="K498">
        <v>64154</v>
      </c>
      <c r="L498">
        <v>1241</v>
      </c>
      <c r="M498">
        <v>605.9</v>
      </c>
      <c r="N498">
        <v>48</v>
      </c>
      <c r="O498">
        <v>772.1</v>
      </c>
      <c r="P498">
        <f t="shared" si="28"/>
        <v>1.9344078311562801E-2</v>
      </c>
      <c r="Q498">
        <f t="shared" si="28"/>
        <v>0.48823529411764705</v>
      </c>
      <c r="R498">
        <f t="shared" si="29"/>
        <v>12.622916666666667</v>
      </c>
      <c r="S498">
        <f t="shared" si="30"/>
        <v>1.2743026902129064</v>
      </c>
      <c r="T498">
        <f t="shared" si="31"/>
        <v>3.8678485092667206E-2</v>
      </c>
      <c r="U498" t="str">
        <f>YEAR('Campaign Data'!$A498)&amp;"-"&amp;TEXT(MONTH('Campaign Data'!$A498),"00")</f>
        <v>2026-01</v>
      </c>
    </row>
    <row r="499" spans="1:21" x14ac:dyDescent="0.25">
      <c r="A499">
        <v>46050</v>
      </c>
      <c r="B499" t="s">
        <v>39</v>
      </c>
      <c r="C499" t="s">
        <v>40</v>
      </c>
      <c r="D499" t="s">
        <v>41</v>
      </c>
      <c r="E499" t="s">
        <v>42</v>
      </c>
      <c r="F499" t="s">
        <v>43</v>
      </c>
      <c r="G499" t="s">
        <v>44</v>
      </c>
      <c r="H499" t="s">
        <v>36</v>
      </c>
      <c r="I499" t="s">
        <v>37</v>
      </c>
      <c r="J499" t="s">
        <v>45</v>
      </c>
      <c r="K499">
        <v>9589</v>
      </c>
      <c r="L499">
        <v>36</v>
      </c>
      <c r="M499">
        <v>232.7</v>
      </c>
      <c r="N499">
        <v>2</v>
      </c>
      <c r="O499">
        <v>41.12</v>
      </c>
      <c r="P499">
        <f t="shared" si="28"/>
        <v>3.7543018041505893E-3</v>
      </c>
      <c r="Q499">
        <f t="shared" si="28"/>
        <v>6.4638888888888886</v>
      </c>
      <c r="R499">
        <f t="shared" si="29"/>
        <v>116.35</v>
      </c>
      <c r="S499">
        <f t="shared" si="30"/>
        <v>0.1767082079931242</v>
      </c>
      <c r="T499">
        <f t="shared" si="31"/>
        <v>5.5555555555555552E-2</v>
      </c>
      <c r="U499" t="str">
        <f>YEAR('Campaign Data'!$A499)&amp;"-"&amp;TEXT(MONTH('Campaign Data'!$A499),"00")</f>
        <v>2026-01</v>
      </c>
    </row>
    <row r="500" spans="1:21" x14ac:dyDescent="0.25">
      <c r="A500">
        <v>46050</v>
      </c>
      <c r="B500" t="s">
        <v>98</v>
      </c>
      <c r="C500" t="s">
        <v>99</v>
      </c>
      <c r="D500" t="s">
        <v>69</v>
      </c>
      <c r="E500" t="s">
        <v>24</v>
      </c>
      <c r="F500" t="s">
        <v>75</v>
      </c>
      <c r="G500" t="s">
        <v>66</v>
      </c>
      <c r="H500" t="s">
        <v>36</v>
      </c>
      <c r="I500" t="s">
        <v>37</v>
      </c>
      <c r="J500" t="s">
        <v>62</v>
      </c>
      <c r="K500">
        <v>7520</v>
      </c>
      <c r="L500">
        <v>116</v>
      </c>
      <c r="M500">
        <v>96.65</v>
      </c>
      <c r="N500">
        <v>11</v>
      </c>
      <c r="O500">
        <v>366.31</v>
      </c>
      <c r="P500">
        <f t="shared" si="28"/>
        <v>1.5425531914893617E-2</v>
      </c>
      <c r="Q500">
        <f t="shared" si="28"/>
        <v>0.83318965517241383</v>
      </c>
      <c r="R500">
        <f t="shared" si="29"/>
        <v>8.786363636363637</v>
      </c>
      <c r="S500">
        <f t="shared" si="30"/>
        <v>3.7900672529746506</v>
      </c>
      <c r="T500">
        <f t="shared" si="31"/>
        <v>9.4827586206896547E-2</v>
      </c>
      <c r="U500" t="str">
        <f>YEAR('Campaign Data'!$A500)&amp;"-"&amp;TEXT(MONTH('Campaign Data'!$A500),"00")</f>
        <v>2026-01</v>
      </c>
    </row>
    <row r="501" spans="1:21" x14ac:dyDescent="0.25">
      <c r="A501">
        <v>46050</v>
      </c>
      <c r="B501" t="s">
        <v>52</v>
      </c>
      <c r="C501" t="s">
        <v>53</v>
      </c>
      <c r="D501" t="s">
        <v>32</v>
      </c>
      <c r="E501" t="s">
        <v>42</v>
      </c>
      <c r="F501" t="s">
        <v>25</v>
      </c>
      <c r="G501" t="s">
        <v>54</v>
      </c>
      <c r="H501" t="s">
        <v>55</v>
      </c>
      <c r="I501" t="s">
        <v>37</v>
      </c>
      <c r="J501" t="s">
        <v>45</v>
      </c>
      <c r="K501">
        <v>10846</v>
      </c>
      <c r="L501">
        <v>41</v>
      </c>
      <c r="M501">
        <v>214.29</v>
      </c>
      <c r="N501">
        <v>1</v>
      </c>
      <c r="O501">
        <v>106.67</v>
      </c>
      <c r="P501">
        <f t="shared" si="28"/>
        <v>3.7801954637654437E-3</v>
      </c>
      <c r="Q501">
        <f t="shared" si="28"/>
        <v>5.2265853658536585</v>
      </c>
      <c r="R501">
        <f t="shared" si="29"/>
        <v>214.29</v>
      </c>
      <c r="S501">
        <f t="shared" si="30"/>
        <v>0.49778337766578007</v>
      </c>
      <c r="T501">
        <f t="shared" si="31"/>
        <v>2.4390243902439025E-2</v>
      </c>
      <c r="U501" t="str">
        <f>YEAR('Campaign Data'!$A501)&amp;"-"&amp;TEXT(MONTH('Campaign Data'!$A501),"00")</f>
        <v>2026-01</v>
      </c>
    </row>
    <row r="502" spans="1:21" x14ac:dyDescent="0.25">
      <c r="A502">
        <v>46050</v>
      </c>
      <c r="B502" t="s">
        <v>132</v>
      </c>
      <c r="C502" t="s">
        <v>133</v>
      </c>
      <c r="D502" t="s">
        <v>23</v>
      </c>
      <c r="E502" t="s">
        <v>42</v>
      </c>
      <c r="F502" t="s">
        <v>75</v>
      </c>
      <c r="G502" t="s">
        <v>84</v>
      </c>
      <c r="H502" t="s">
        <v>60</v>
      </c>
      <c r="I502" t="s">
        <v>28</v>
      </c>
      <c r="J502" t="s">
        <v>29</v>
      </c>
      <c r="K502">
        <v>3106</v>
      </c>
      <c r="L502">
        <v>21</v>
      </c>
      <c r="M502">
        <v>136.24</v>
      </c>
      <c r="N502">
        <v>1</v>
      </c>
      <c r="O502">
        <v>34</v>
      </c>
      <c r="P502">
        <f t="shared" si="28"/>
        <v>6.7611075338055377E-3</v>
      </c>
      <c r="Q502">
        <f t="shared" si="28"/>
        <v>6.4876190476190478</v>
      </c>
      <c r="R502">
        <f t="shared" si="29"/>
        <v>136.24</v>
      </c>
      <c r="S502">
        <f t="shared" si="30"/>
        <v>0.24955960070463887</v>
      </c>
      <c r="T502">
        <f t="shared" si="31"/>
        <v>4.7619047619047616E-2</v>
      </c>
      <c r="U502" t="str">
        <f>YEAR('Campaign Data'!$A502)&amp;"-"&amp;TEXT(MONTH('Campaign Data'!$A502),"00")</f>
        <v>2026-01</v>
      </c>
    </row>
    <row r="503" spans="1:21" x14ac:dyDescent="0.25">
      <c r="A503">
        <v>46050</v>
      </c>
      <c r="B503" t="s">
        <v>177</v>
      </c>
      <c r="C503" t="s">
        <v>178</v>
      </c>
      <c r="D503" t="s">
        <v>41</v>
      </c>
      <c r="E503" t="s">
        <v>49</v>
      </c>
      <c r="F503" t="s">
        <v>34</v>
      </c>
      <c r="G503" t="s">
        <v>107</v>
      </c>
      <c r="H503" t="s">
        <v>27</v>
      </c>
      <c r="I503" t="s">
        <v>37</v>
      </c>
      <c r="J503" t="s">
        <v>38</v>
      </c>
      <c r="K503">
        <v>9622</v>
      </c>
      <c r="L503">
        <v>434</v>
      </c>
      <c r="M503">
        <v>1221.3900000000001</v>
      </c>
      <c r="N503">
        <v>19</v>
      </c>
      <c r="O503">
        <v>3641.49</v>
      </c>
      <c r="P503">
        <f t="shared" si="28"/>
        <v>4.510496778216587E-2</v>
      </c>
      <c r="Q503">
        <f t="shared" si="28"/>
        <v>2.81426267281106</v>
      </c>
      <c r="R503">
        <f t="shared" si="29"/>
        <v>64.283684210526317</v>
      </c>
      <c r="S503">
        <f t="shared" si="30"/>
        <v>2.9814309925576592</v>
      </c>
      <c r="T503">
        <f t="shared" si="31"/>
        <v>4.377880184331797E-2</v>
      </c>
      <c r="U503" t="str">
        <f>YEAR('Campaign Data'!$A503)&amp;"-"&amp;TEXT(MONTH('Campaign Data'!$A503),"00")</f>
        <v>2026-01</v>
      </c>
    </row>
    <row r="504" spans="1:21" x14ac:dyDescent="0.25">
      <c r="A504">
        <v>46050</v>
      </c>
      <c r="B504" t="s">
        <v>177</v>
      </c>
      <c r="C504" t="s">
        <v>178</v>
      </c>
      <c r="D504" t="s">
        <v>41</v>
      </c>
      <c r="E504" t="s">
        <v>49</v>
      </c>
      <c r="F504" t="s">
        <v>34</v>
      </c>
      <c r="G504" t="s">
        <v>107</v>
      </c>
      <c r="H504" t="s">
        <v>90</v>
      </c>
      <c r="I504" t="s">
        <v>37</v>
      </c>
      <c r="J504" t="s">
        <v>87</v>
      </c>
      <c r="K504">
        <v>3991</v>
      </c>
      <c r="L504">
        <v>196</v>
      </c>
      <c r="M504">
        <v>115.29</v>
      </c>
      <c r="N504">
        <v>4</v>
      </c>
      <c r="O504">
        <v>70.989999999999995</v>
      </c>
      <c r="P504">
        <f t="shared" si="28"/>
        <v>4.9110498621899271E-2</v>
      </c>
      <c r="Q504">
        <f t="shared" si="28"/>
        <v>0.5882142857142858</v>
      </c>
      <c r="R504">
        <f t="shared" si="29"/>
        <v>28.822500000000002</v>
      </c>
      <c r="S504">
        <f t="shared" si="30"/>
        <v>0.61575158296469767</v>
      </c>
      <c r="T504">
        <f t="shared" si="31"/>
        <v>2.0408163265306121E-2</v>
      </c>
      <c r="U504" t="str">
        <f>YEAR('Campaign Data'!$A504)&amp;"-"&amp;TEXT(MONTH('Campaign Data'!$A504),"00")</f>
        <v>2026-01</v>
      </c>
    </row>
    <row r="505" spans="1:21" x14ac:dyDescent="0.25">
      <c r="A505">
        <v>46050</v>
      </c>
      <c r="B505" t="s">
        <v>177</v>
      </c>
      <c r="C505" t="s">
        <v>178</v>
      </c>
      <c r="D505" t="s">
        <v>41</v>
      </c>
      <c r="E505" t="s">
        <v>49</v>
      </c>
      <c r="F505" t="s">
        <v>34</v>
      </c>
      <c r="G505" t="s">
        <v>107</v>
      </c>
      <c r="H505" t="s">
        <v>71</v>
      </c>
      <c r="I505" t="s">
        <v>61</v>
      </c>
      <c r="J505" t="s">
        <v>38</v>
      </c>
      <c r="K505">
        <v>3806</v>
      </c>
      <c r="L505">
        <v>146</v>
      </c>
      <c r="M505">
        <v>218.28</v>
      </c>
      <c r="N505">
        <v>14</v>
      </c>
      <c r="O505">
        <v>1188.72</v>
      </c>
      <c r="P505">
        <f t="shared" si="28"/>
        <v>3.8360483447188648E-2</v>
      </c>
      <c r="Q505">
        <f t="shared" si="28"/>
        <v>1.495068493150685</v>
      </c>
      <c r="R505">
        <f t="shared" si="29"/>
        <v>15.591428571428571</v>
      </c>
      <c r="S505">
        <f t="shared" si="30"/>
        <v>5.445849367784497</v>
      </c>
      <c r="T505">
        <f t="shared" si="31"/>
        <v>9.5890410958904104E-2</v>
      </c>
      <c r="U505" t="str">
        <f>YEAR('Campaign Data'!$A505)&amp;"-"&amp;TEXT(MONTH('Campaign Data'!$A505),"00")</f>
        <v>2026-01</v>
      </c>
    </row>
    <row r="506" spans="1:21" x14ac:dyDescent="0.25">
      <c r="A506">
        <v>46050</v>
      </c>
      <c r="B506" t="s">
        <v>179</v>
      </c>
      <c r="C506" t="s">
        <v>180</v>
      </c>
      <c r="D506" t="s">
        <v>58</v>
      </c>
      <c r="E506" t="s">
        <v>42</v>
      </c>
      <c r="F506" t="s">
        <v>25</v>
      </c>
      <c r="G506" t="s">
        <v>54</v>
      </c>
      <c r="H506" t="s">
        <v>90</v>
      </c>
      <c r="I506" t="s">
        <v>37</v>
      </c>
      <c r="J506" t="s">
        <v>87</v>
      </c>
      <c r="K506">
        <v>5912</v>
      </c>
      <c r="L506">
        <v>36</v>
      </c>
      <c r="M506">
        <v>51.91</v>
      </c>
      <c r="N506">
        <v>1</v>
      </c>
      <c r="O506">
        <v>52.87</v>
      </c>
      <c r="P506">
        <f t="shared" si="28"/>
        <v>6.0893098782138022E-3</v>
      </c>
      <c r="Q506">
        <f t="shared" si="28"/>
        <v>1.4419444444444443</v>
      </c>
      <c r="R506">
        <f t="shared" si="29"/>
        <v>51.91</v>
      </c>
      <c r="S506">
        <f t="shared" si="30"/>
        <v>1.018493546522828</v>
      </c>
      <c r="T506">
        <f t="shared" si="31"/>
        <v>2.7777777777777776E-2</v>
      </c>
      <c r="U506" t="str">
        <f>YEAR('Campaign Data'!$A506)&amp;"-"&amp;TEXT(MONTH('Campaign Data'!$A506),"00")</f>
        <v>2026-01</v>
      </c>
    </row>
    <row r="507" spans="1:21" x14ac:dyDescent="0.25">
      <c r="A507">
        <v>46050</v>
      </c>
      <c r="B507" t="s">
        <v>112</v>
      </c>
      <c r="C507" t="s">
        <v>113</v>
      </c>
      <c r="D507" t="s">
        <v>32</v>
      </c>
      <c r="E507" t="s">
        <v>24</v>
      </c>
      <c r="F507" t="s">
        <v>75</v>
      </c>
      <c r="G507" t="s">
        <v>66</v>
      </c>
      <c r="H507" t="s">
        <v>90</v>
      </c>
      <c r="I507" t="s">
        <v>37</v>
      </c>
      <c r="J507" t="s">
        <v>29</v>
      </c>
      <c r="K507">
        <v>27125</v>
      </c>
      <c r="L507">
        <v>318</v>
      </c>
      <c r="M507">
        <v>69.709999999999994</v>
      </c>
      <c r="N507">
        <v>7</v>
      </c>
      <c r="O507">
        <v>101.79</v>
      </c>
      <c r="P507">
        <f t="shared" si="28"/>
        <v>1.1723502304147466E-2</v>
      </c>
      <c r="Q507">
        <f t="shared" si="28"/>
        <v>0.21921383647798739</v>
      </c>
      <c r="R507">
        <f t="shared" si="29"/>
        <v>9.9585714285714282</v>
      </c>
      <c r="S507">
        <f t="shared" si="30"/>
        <v>1.4601922249318608</v>
      </c>
      <c r="T507">
        <f t="shared" si="31"/>
        <v>2.20125786163522E-2</v>
      </c>
      <c r="U507" t="str">
        <f>YEAR('Campaign Data'!$A507)&amp;"-"&amp;TEXT(MONTH('Campaign Data'!$A507),"00")</f>
        <v>2026-01</v>
      </c>
    </row>
    <row r="508" spans="1:21" x14ac:dyDescent="0.25">
      <c r="A508">
        <v>46050</v>
      </c>
      <c r="B508" t="s">
        <v>112</v>
      </c>
      <c r="C508" t="s">
        <v>113</v>
      </c>
      <c r="D508" t="s">
        <v>32</v>
      </c>
      <c r="E508" t="s">
        <v>24</v>
      </c>
      <c r="F508" t="s">
        <v>75</v>
      </c>
      <c r="G508" t="s">
        <v>66</v>
      </c>
      <c r="H508" t="s">
        <v>90</v>
      </c>
      <c r="I508" t="s">
        <v>37</v>
      </c>
      <c r="J508" t="s">
        <v>45</v>
      </c>
      <c r="K508">
        <v>1702</v>
      </c>
      <c r="L508">
        <v>14</v>
      </c>
      <c r="M508">
        <v>3.76</v>
      </c>
      <c r="N508">
        <v>1</v>
      </c>
      <c r="O508">
        <v>10.24</v>
      </c>
      <c r="P508">
        <f t="shared" si="28"/>
        <v>8.2256169212690956E-3</v>
      </c>
      <c r="Q508">
        <f t="shared" si="28"/>
        <v>0.26857142857142857</v>
      </c>
      <c r="R508">
        <f t="shared" si="29"/>
        <v>3.76</v>
      </c>
      <c r="S508">
        <f t="shared" si="30"/>
        <v>2.7234042553191493</v>
      </c>
      <c r="T508">
        <f t="shared" si="31"/>
        <v>7.1428571428571425E-2</v>
      </c>
      <c r="U508" t="str">
        <f>YEAR('Campaign Data'!$A508)&amp;"-"&amp;TEXT(MONTH('Campaign Data'!$A508),"00")</f>
        <v>2026-01</v>
      </c>
    </row>
    <row r="509" spans="1:21" x14ac:dyDescent="0.25">
      <c r="A509">
        <v>46050</v>
      </c>
      <c r="B509" t="s">
        <v>181</v>
      </c>
      <c r="C509" t="s">
        <v>182</v>
      </c>
      <c r="D509" t="s">
        <v>32</v>
      </c>
      <c r="E509" t="s">
        <v>33</v>
      </c>
      <c r="F509" t="s">
        <v>75</v>
      </c>
      <c r="G509" t="s">
        <v>59</v>
      </c>
      <c r="H509" t="s">
        <v>36</v>
      </c>
      <c r="I509" t="s">
        <v>37</v>
      </c>
      <c r="J509" t="s">
        <v>87</v>
      </c>
      <c r="K509">
        <v>7677</v>
      </c>
      <c r="L509">
        <v>45</v>
      </c>
      <c r="M509">
        <v>33.54</v>
      </c>
      <c r="N509">
        <v>2</v>
      </c>
      <c r="O509">
        <v>73.77</v>
      </c>
      <c r="P509">
        <f t="shared" si="28"/>
        <v>5.8616647127784291E-3</v>
      </c>
      <c r="Q509">
        <f t="shared" si="28"/>
        <v>0.74533333333333329</v>
      </c>
      <c r="R509">
        <f t="shared" si="29"/>
        <v>16.77</v>
      </c>
      <c r="S509">
        <f t="shared" si="30"/>
        <v>2.1994633273703039</v>
      </c>
      <c r="T509">
        <f t="shared" si="31"/>
        <v>4.4444444444444446E-2</v>
      </c>
      <c r="U509" t="str">
        <f>YEAR('Campaign Data'!$A509)&amp;"-"&amp;TEXT(MONTH('Campaign Data'!$A509),"00")</f>
        <v>2026-01</v>
      </c>
    </row>
    <row r="510" spans="1:21" x14ac:dyDescent="0.25">
      <c r="A510">
        <v>46050</v>
      </c>
      <c r="B510" t="s">
        <v>181</v>
      </c>
      <c r="C510" t="s">
        <v>182</v>
      </c>
      <c r="D510" t="s">
        <v>32</v>
      </c>
      <c r="E510" t="s">
        <v>33</v>
      </c>
      <c r="F510" t="s">
        <v>75</v>
      </c>
      <c r="G510" t="s">
        <v>59</v>
      </c>
      <c r="H510" t="s">
        <v>27</v>
      </c>
      <c r="I510" t="s">
        <v>28</v>
      </c>
      <c r="J510" t="s">
        <v>45</v>
      </c>
      <c r="K510">
        <v>2652</v>
      </c>
      <c r="L510">
        <v>23</v>
      </c>
      <c r="M510">
        <v>10.87</v>
      </c>
      <c r="N510">
        <v>1</v>
      </c>
      <c r="O510">
        <v>52.79</v>
      </c>
      <c r="P510">
        <f t="shared" si="28"/>
        <v>8.6726998491704378E-3</v>
      </c>
      <c r="Q510">
        <f t="shared" si="28"/>
        <v>0.47260869565217389</v>
      </c>
      <c r="R510">
        <f t="shared" si="29"/>
        <v>10.87</v>
      </c>
      <c r="S510">
        <f t="shared" si="30"/>
        <v>4.8564857405703776</v>
      </c>
      <c r="T510">
        <f t="shared" si="31"/>
        <v>4.3478260869565216E-2</v>
      </c>
      <c r="U510" t="str">
        <f>YEAR('Campaign Data'!$A510)&amp;"-"&amp;TEXT(MONTH('Campaign Data'!$A510),"00")</f>
        <v>2026-01</v>
      </c>
    </row>
    <row r="511" spans="1:21" x14ac:dyDescent="0.25">
      <c r="A511">
        <v>46050</v>
      </c>
      <c r="B511" t="s">
        <v>141</v>
      </c>
      <c r="C511" t="s">
        <v>142</v>
      </c>
      <c r="D511" t="s">
        <v>80</v>
      </c>
      <c r="E511" t="s">
        <v>49</v>
      </c>
      <c r="F511" t="s">
        <v>81</v>
      </c>
      <c r="G511" t="s">
        <v>97</v>
      </c>
      <c r="H511" t="s">
        <v>90</v>
      </c>
      <c r="I511" t="s">
        <v>37</v>
      </c>
      <c r="J511" t="s">
        <v>62</v>
      </c>
      <c r="K511">
        <v>10608</v>
      </c>
      <c r="L511">
        <v>838</v>
      </c>
      <c r="M511">
        <v>368</v>
      </c>
      <c r="N511">
        <v>91</v>
      </c>
      <c r="O511">
        <v>455</v>
      </c>
      <c r="P511">
        <f t="shared" si="28"/>
        <v>7.8996983408748112E-2</v>
      </c>
      <c r="Q511">
        <f t="shared" si="28"/>
        <v>0.43914081145584727</v>
      </c>
      <c r="R511">
        <f t="shared" si="29"/>
        <v>4.0439560439560438</v>
      </c>
      <c r="S511">
        <f t="shared" si="30"/>
        <v>1.236413043478261</v>
      </c>
      <c r="T511">
        <f t="shared" si="31"/>
        <v>0.10859188544152745</v>
      </c>
      <c r="U511" t="str">
        <f>YEAR('Campaign Data'!$A511)&amp;"-"&amp;TEXT(MONTH('Campaign Data'!$A511),"00")</f>
        <v>2026-01</v>
      </c>
    </row>
    <row r="512" spans="1:21" x14ac:dyDescent="0.25">
      <c r="A512">
        <v>46050</v>
      </c>
      <c r="B512" t="s">
        <v>116</v>
      </c>
      <c r="C512" t="s">
        <v>117</v>
      </c>
      <c r="D512" t="s">
        <v>48</v>
      </c>
      <c r="E512" t="s">
        <v>24</v>
      </c>
      <c r="F512" t="s">
        <v>43</v>
      </c>
      <c r="G512" t="s">
        <v>26</v>
      </c>
      <c r="H512" t="s">
        <v>60</v>
      </c>
      <c r="I512" t="s">
        <v>37</v>
      </c>
      <c r="J512" t="s">
        <v>38</v>
      </c>
      <c r="K512">
        <v>8084</v>
      </c>
      <c r="L512">
        <v>53</v>
      </c>
      <c r="M512">
        <v>38.86</v>
      </c>
      <c r="N512">
        <v>0</v>
      </c>
      <c r="O512">
        <v>0</v>
      </c>
      <c r="P512">
        <f t="shared" si="28"/>
        <v>6.5561603166749138E-3</v>
      </c>
      <c r="Q512">
        <f t="shared" si="28"/>
        <v>0.73320754716981129</v>
      </c>
      <c r="R512">
        <f t="shared" si="29"/>
        <v>0</v>
      </c>
      <c r="S512">
        <f t="shared" si="30"/>
        <v>0</v>
      </c>
      <c r="T512">
        <f t="shared" si="31"/>
        <v>0</v>
      </c>
      <c r="U512" t="str">
        <f>YEAR('Campaign Data'!$A512)&amp;"-"&amp;TEXT(MONTH('Campaign Data'!$A512),"00")</f>
        <v>2026-01</v>
      </c>
    </row>
    <row r="513" spans="1:21" x14ac:dyDescent="0.25">
      <c r="A513">
        <v>46050</v>
      </c>
      <c r="B513" t="s">
        <v>118</v>
      </c>
      <c r="C513" t="s">
        <v>119</v>
      </c>
      <c r="D513" t="s">
        <v>69</v>
      </c>
      <c r="E513" t="s">
        <v>33</v>
      </c>
      <c r="F513" t="s">
        <v>34</v>
      </c>
      <c r="G513" t="s">
        <v>35</v>
      </c>
      <c r="H513" t="s">
        <v>90</v>
      </c>
      <c r="I513" t="s">
        <v>37</v>
      </c>
      <c r="J513" t="s">
        <v>87</v>
      </c>
      <c r="K513">
        <v>4410</v>
      </c>
      <c r="L513">
        <v>56</v>
      </c>
      <c r="M513">
        <v>7.19</v>
      </c>
      <c r="N513">
        <v>1</v>
      </c>
      <c r="O513">
        <v>43.69</v>
      </c>
      <c r="P513">
        <f t="shared" si="28"/>
        <v>1.2698412698412698E-2</v>
      </c>
      <c r="Q513">
        <f t="shared" si="28"/>
        <v>0.12839285714285714</v>
      </c>
      <c r="R513">
        <f t="shared" si="29"/>
        <v>7.19</v>
      </c>
      <c r="S513">
        <f t="shared" si="30"/>
        <v>6.0764951321279552</v>
      </c>
      <c r="T513">
        <f t="shared" si="31"/>
        <v>1.7857142857142856E-2</v>
      </c>
      <c r="U513" t="str">
        <f>YEAR('Campaign Data'!$A513)&amp;"-"&amp;TEXT(MONTH('Campaign Data'!$A513),"00")</f>
        <v>2026-01</v>
      </c>
    </row>
    <row r="514" spans="1:21" x14ac:dyDescent="0.25">
      <c r="A514">
        <v>46050</v>
      </c>
      <c r="B514" t="s">
        <v>76</v>
      </c>
      <c r="C514" t="s">
        <v>77</v>
      </c>
      <c r="D514" t="s">
        <v>65</v>
      </c>
      <c r="E514" t="s">
        <v>42</v>
      </c>
      <c r="F514" t="s">
        <v>43</v>
      </c>
      <c r="G514" t="s">
        <v>44</v>
      </c>
      <c r="H514" t="s">
        <v>36</v>
      </c>
      <c r="I514" t="s">
        <v>28</v>
      </c>
      <c r="J514" t="s">
        <v>29</v>
      </c>
      <c r="K514">
        <v>10580</v>
      </c>
      <c r="L514">
        <v>65</v>
      </c>
      <c r="M514">
        <v>308.42</v>
      </c>
      <c r="N514">
        <v>0</v>
      </c>
      <c r="O514">
        <v>0</v>
      </c>
      <c r="P514">
        <f t="shared" ref="P514:Q577" si="32">IF(K514=0,0,L514/K514)</f>
        <v>6.1436672967863891E-3</v>
      </c>
      <c r="Q514">
        <f t="shared" si="32"/>
        <v>4.7449230769230768</v>
      </c>
      <c r="R514">
        <f t="shared" ref="R514:R577" si="33">IF(N514=0,0,M514/N514)</f>
        <v>0</v>
      </c>
      <c r="S514">
        <f t="shared" ref="S514:S577" si="34">IF(M514=0,0,O514/M514)</f>
        <v>0</v>
      </c>
      <c r="T514">
        <f t="shared" ref="T514:T577" si="35">IF(L514=0,0,N514/L514)</f>
        <v>0</v>
      </c>
      <c r="U514" t="str">
        <f>YEAR('Campaign Data'!$A514)&amp;"-"&amp;TEXT(MONTH('Campaign Data'!$A514),"00")</f>
        <v>2026-01</v>
      </c>
    </row>
    <row r="515" spans="1:21" x14ac:dyDescent="0.25">
      <c r="A515">
        <v>46050</v>
      </c>
      <c r="B515" t="s">
        <v>122</v>
      </c>
      <c r="C515" t="s">
        <v>123</v>
      </c>
      <c r="D515" t="s">
        <v>41</v>
      </c>
      <c r="E515" t="s">
        <v>33</v>
      </c>
      <c r="F515" t="s">
        <v>75</v>
      </c>
      <c r="G515" t="s">
        <v>35</v>
      </c>
      <c r="H515" t="s">
        <v>90</v>
      </c>
      <c r="I515" t="s">
        <v>37</v>
      </c>
      <c r="J515" t="s">
        <v>38</v>
      </c>
      <c r="K515">
        <v>11308</v>
      </c>
      <c r="L515">
        <v>115</v>
      </c>
      <c r="M515">
        <v>18.25</v>
      </c>
      <c r="N515">
        <v>1</v>
      </c>
      <c r="O515">
        <v>10.08</v>
      </c>
      <c r="P515">
        <f t="shared" si="32"/>
        <v>1.0169791298195967E-2</v>
      </c>
      <c r="Q515">
        <f t="shared" si="32"/>
        <v>0.15869565217391304</v>
      </c>
      <c r="R515">
        <f t="shared" si="33"/>
        <v>18.25</v>
      </c>
      <c r="S515">
        <f t="shared" si="34"/>
        <v>0.55232876712328771</v>
      </c>
      <c r="T515">
        <f t="shared" si="35"/>
        <v>8.6956521739130436E-3</v>
      </c>
      <c r="U515" t="str">
        <f>YEAR('Campaign Data'!$A515)&amp;"-"&amp;TEXT(MONTH('Campaign Data'!$A515),"00")</f>
        <v>2026-01</v>
      </c>
    </row>
    <row r="516" spans="1:21" x14ac:dyDescent="0.25">
      <c r="A516">
        <v>46050</v>
      </c>
      <c r="B516" t="s">
        <v>122</v>
      </c>
      <c r="C516" t="s">
        <v>123</v>
      </c>
      <c r="D516" t="s">
        <v>41</v>
      </c>
      <c r="E516" t="s">
        <v>33</v>
      </c>
      <c r="F516" t="s">
        <v>75</v>
      </c>
      <c r="G516" t="s">
        <v>35</v>
      </c>
      <c r="H516" t="s">
        <v>36</v>
      </c>
      <c r="I516" t="s">
        <v>37</v>
      </c>
      <c r="J516" t="s">
        <v>62</v>
      </c>
      <c r="K516">
        <v>7060</v>
      </c>
      <c r="L516">
        <v>101</v>
      </c>
      <c r="M516">
        <v>70.94</v>
      </c>
      <c r="N516">
        <v>1</v>
      </c>
      <c r="O516">
        <v>48.21</v>
      </c>
      <c r="P516">
        <f t="shared" si="32"/>
        <v>1.4305949008498584E-2</v>
      </c>
      <c r="Q516">
        <f t="shared" si="32"/>
        <v>0.70237623762376233</v>
      </c>
      <c r="R516">
        <f t="shared" si="33"/>
        <v>70.94</v>
      </c>
      <c r="S516">
        <f t="shared" si="34"/>
        <v>0.67958838455032422</v>
      </c>
      <c r="T516">
        <f t="shared" si="35"/>
        <v>9.9009900990099011E-3</v>
      </c>
      <c r="U516" t="str">
        <f>YEAR('Campaign Data'!$A516)&amp;"-"&amp;TEXT(MONTH('Campaign Data'!$A516),"00")</f>
        <v>2026-01</v>
      </c>
    </row>
    <row r="517" spans="1:21" x14ac:dyDescent="0.25">
      <c r="A517">
        <v>46051</v>
      </c>
      <c r="B517" t="s">
        <v>173</v>
      </c>
      <c r="C517" t="s">
        <v>174</v>
      </c>
      <c r="D517" t="s">
        <v>48</v>
      </c>
      <c r="E517" t="s">
        <v>74</v>
      </c>
      <c r="F517" t="s">
        <v>25</v>
      </c>
      <c r="G517" t="s">
        <v>9</v>
      </c>
      <c r="H517" t="s">
        <v>71</v>
      </c>
      <c r="I517" t="s">
        <v>37</v>
      </c>
      <c r="J517" t="s">
        <v>45</v>
      </c>
      <c r="K517">
        <v>18982</v>
      </c>
      <c r="L517">
        <v>636</v>
      </c>
      <c r="M517">
        <v>924.15</v>
      </c>
      <c r="N517">
        <v>36</v>
      </c>
      <c r="O517">
        <v>4238.1400000000003</v>
      </c>
      <c r="P517">
        <f t="shared" si="32"/>
        <v>3.3505426193235696E-2</v>
      </c>
      <c r="Q517">
        <f t="shared" si="32"/>
        <v>1.4530660377358491</v>
      </c>
      <c r="R517">
        <f t="shared" si="33"/>
        <v>25.670833333333334</v>
      </c>
      <c r="S517">
        <f t="shared" si="34"/>
        <v>4.5859871233024947</v>
      </c>
      <c r="T517">
        <f t="shared" si="35"/>
        <v>5.6603773584905662E-2</v>
      </c>
      <c r="U517" t="str">
        <f>YEAR('Campaign Data'!$A517)&amp;"-"&amp;TEXT(MONTH('Campaign Data'!$A517),"00")</f>
        <v>2026-01</v>
      </c>
    </row>
    <row r="518" spans="1:21" x14ac:dyDescent="0.25">
      <c r="A518">
        <v>46051</v>
      </c>
      <c r="B518" t="s">
        <v>149</v>
      </c>
      <c r="C518" t="s">
        <v>150</v>
      </c>
      <c r="D518" t="s">
        <v>65</v>
      </c>
      <c r="E518" t="s">
        <v>33</v>
      </c>
      <c r="F518" t="s">
        <v>43</v>
      </c>
      <c r="G518" t="s">
        <v>59</v>
      </c>
      <c r="H518" t="s">
        <v>55</v>
      </c>
      <c r="I518" t="s">
        <v>37</v>
      </c>
      <c r="J518" t="s">
        <v>87</v>
      </c>
      <c r="K518">
        <v>11733</v>
      </c>
      <c r="L518">
        <v>68</v>
      </c>
      <c r="M518">
        <v>23.69</v>
      </c>
      <c r="N518">
        <v>2</v>
      </c>
      <c r="O518">
        <v>38.86</v>
      </c>
      <c r="P518">
        <f t="shared" si="32"/>
        <v>5.7956191937270944E-3</v>
      </c>
      <c r="Q518">
        <f t="shared" si="32"/>
        <v>0.34838235294117648</v>
      </c>
      <c r="R518">
        <f t="shared" si="33"/>
        <v>11.845000000000001</v>
      </c>
      <c r="S518">
        <f t="shared" si="34"/>
        <v>1.6403545799915575</v>
      </c>
      <c r="T518">
        <f t="shared" si="35"/>
        <v>2.9411764705882353E-2</v>
      </c>
      <c r="U518" t="str">
        <f>YEAR('Campaign Data'!$A518)&amp;"-"&amp;TEXT(MONTH('Campaign Data'!$A518),"00")</f>
        <v>2026-01</v>
      </c>
    </row>
    <row r="519" spans="1:21" x14ac:dyDescent="0.25">
      <c r="A519">
        <v>46051</v>
      </c>
      <c r="B519" t="s">
        <v>149</v>
      </c>
      <c r="C519" t="s">
        <v>150</v>
      </c>
      <c r="D519" t="s">
        <v>65</v>
      </c>
      <c r="E519" t="s">
        <v>33</v>
      </c>
      <c r="F519" t="s">
        <v>43</v>
      </c>
      <c r="G519" t="s">
        <v>59</v>
      </c>
      <c r="H519" t="s">
        <v>90</v>
      </c>
      <c r="I519" t="s">
        <v>28</v>
      </c>
      <c r="J519" t="s">
        <v>87</v>
      </c>
      <c r="K519">
        <v>7528</v>
      </c>
      <c r="L519">
        <v>37</v>
      </c>
      <c r="M519">
        <v>5.23</v>
      </c>
      <c r="N519">
        <v>0</v>
      </c>
      <c r="O519">
        <v>0</v>
      </c>
      <c r="P519">
        <f t="shared" si="32"/>
        <v>4.914984059511158E-3</v>
      </c>
      <c r="Q519">
        <f t="shared" si="32"/>
        <v>0.14135135135135135</v>
      </c>
      <c r="R519">
        <f t="shared" si="33"/>
        <v>0</v>
      </c>
      <c r="S519">
        <f t="shared" si="34"/>
        <v>0</v>
      </c>
      <c r="T519">
        <f t="shared" si="35"/>
        <v>0</v>
      </c>
      <c r="U519" t="str">
        <f>YEAR('Campaign Data'!$A519)&amp;"-"&amp;TEXT(MONTH('Campaign Data'!$A519),"00")</f>
        <v>2026-01</v>
      </c>
    </row>
    <row r="520" spans="1:21" x14ac:dyDescent="0.25">
      <c r="A520">
        <v>46051</v>
      </c>
      <c r="B520" t="s">
        <v>91</v>
      </c>
      <c r="C520" t="s">
        <v>92</v>
      </c>
      <c r="D520" t="s">
        <v>41</v>
      </c>
      <c r="E520" t="s">
        <v>74</v>
      </c>
      <c r="F520" t="s">
        <v>75</v>
      </c>
      <c r="G520" t="s">
        <v>9</v>
      </c>
      <c r="H520" t="s">
        <v>27</v>
      </c>
      <c r="I520" t="s">
        <v>28</v>
      </c>
      <c r="J520" t="s">
        <v>29</v>
      </c>
      <c r="K520">
        <v>3756</v>
      </c>
      <c r="L520">
        <v>101</v>
      </c>
      <c r="M520">
        <v>128.1</v>
      </c>
      <c r="N520">
        <v>4</v>
      </c>
      <c r="O520">
        <v>156.76</v>
      </c>
      <c r="P520">
        <f t="shared" si="32"/>
        <v>2.6890308839190628E-2</v>
      </c>
      <c r="Q520">
        <f t="shared" si="32"/>
        <v>1.2683168316831683</v>
      </c>
      <c r="R520">
        <f t="shared" si="33"/>
        <v>32.024999999999999</v>
      </c>
      <c r="S520">
        <f t="shared" si="34"/>
        <v>1.2237314597970335</v>
      </c>
      <c r="T520">
        <f t="shared" si="35"/>
        <v>3.9603960396039604E-2</v>
      </c>
      <c r="U520" t="str">
        <f>YEAR('Campaign Data'!$A520)&amp;"-"&amp;TEXT(MONTH('Campaign Data'!$A520),"00")</f>
        <v>2026-01</v>
      </c>
    </row>
    <row r="521" spans="1:21" x14ac:dyDescent="0.25">
      <c r="A521">
        <v>46051</v>
      </c>
      <c r="B521" t="s">
        <v>91</v>
      </c>
      <c r="C521" t="s">
        <v>92</v>
      </c>
      <c r="D521" t="s">
        <v>41</v>
      </c>
      <c r="E521" t="s">
        <v>74</v>
      </c>
      <c r="F521" t="s">
        <v>75</v>
      </c>
      <c r="G521" t="s">
        <v>9</v>
      </c>
      <c r="H521" t="s">
        <v>36</v>
      </c>
      <c r="I521" t="s">
        <v>28</v>
      </c>
      <c r="J521" t="s">
        <v>45</v>
      </c>
      <c r="K521">
        <v>3602</v>
      </c>
      <c r="L521">
        <v>86</v>
      </c>
      <c r="M521">
        <v>120.41</v>
      </c>
      <c r="N521">
        <v>3</v>
      </c>
      <c r="O521">
        <v>80.23</v>
      </c>
      <c r="P521">
        <f t="shared" si="32"/>
        <v>2.3875624652970572E-2</v>
      </c>
      <c r="Q521">
        <f t="shared" si="32"/>
        <v>1.4001162790697674</v>
      </c>
      <c r="R521">
        <f t="shared" si="33"/>
        <v>40.136666666666663</v>
      </c>
      <c r="S521">
        <f t="shared" si="34"/>
        <v>0.66630678515073505</v>
      </c>
      <c r="T521">
        <f t="shared" si="35"/>
        <v>3.4883720930232558E-2</v>
      </c>
      <c r="U521" t="str">
        <f>YEAR('Campaign Data'!$A521)&amp;"-"&amp;TEXT(MONTH('Campaign Data'!$A521),"00")</f>
        <v>2026-01</v>
      </c>
    </row>
    <row r="522" spans="1:21" x14ac:dyDescent="0.25">
      <c r="A522">
        <v>46051</v>
      </c>
      <c r="B522" t="s">
        <v>186</v>
      </c>
      <c r="C522" t="s">
        <v>187</v>
      </c>
      <c r="D522" t="s">
        <v>80</v>
      </c>
      <c r="E522" t="s">
        <v>33</v>
      </c>
      <c r="F522" t="s">
        <v>43</v>
      </c>
      <c r="G522" t="s">
        <v>102</v>
      </c>
      <c r="H522" t="s">
        <v>27</v>
      </c>
      <c r="I522" t="s">
        <v>28</v>
      </c>
      <c r="J522" t="s">
        <v>45</v>
      </c>
      <c r="K522">
        <v>10810</v>
      </c>
      <c r="L522">
        <v>81</v>
      </c>
      <c r="M522">
        <v>66.91</v>
      </c>
      <c r="N522">
        <v>2</v>
      </c>
      <c r="O522">
        <v>45.35</v>
      </c>
      <c r="P522">
        <f t="shared" si="32"/>
        <v>7.493061979648474E-3</v>
      </c>
      <c r="Q522">
        <f t="shared" si="32"/>
        <v>0.82604938271604933</v>
      </c>
      <c r="R522">
        <f t="shared" si="33"/>
        <v>33.454999999999998</v>
      </c>
      <c r="S522">
        <f t="shared" si="34"/>
        <v>0.67777611717232111</v>
      </c>
      <c r="T522">
        <f t="shared" si="35"/>
        <v>2.4691358024691357E-2</v>
      </c>
      <c r="U522" t="str">
        <f>YEAR('Campaign Data'!$A522)&amp;"-"&amp;TEXT(MONTH('Campaign Data'!$A522),"00")</f>
        <v>2026-01</v>
      </c>
    </row>
    <row r="523" spans="1:21" x14ac:dyDescent="0.25">
      <c r="A523">
        <v>46051</v>
      </c>
      <c r="B523" t="s">
        <v>169</v>
      </c>
      <c r="C523" t="s">
        <v>170</v>
      </c>
      <c r="D523" t="s">
        <v>58</v>
      </c>
      <c r="E523" t="s">
        <v>74</v>
      </c>
      <c r="F523" t="s">
        <v>75</v>
      </c>
      <c r="G523" t="s">
        <v>9</v>
      </c>
      <c r="H523" t="s">
        <v>90</v>
      </c>
      <c r="I523" t="s">
        <v>61</v>
      </c>
      <c r="J523" t="s">
        <v>62</v>
      </c>
      <c r="K523">
        <v>1972</v>
      </c>
      <c r="L523">
        <v>53</v>
      </c>
      <c r="M523">
        <v>17.88</v>
      </c>
      <c r="N523">
        <v>3</v>
      </c>
      <c r="O523">
        <v>29.08</v>
      </c>
      <c r="P523">
        <f t="shared" si="32"/>
        <v>2.6876267748478701E-2</v>
      </c>
      <c r="Q523">
        <f t="shared" si="32"/>
        <v>0.33735849056603773</v>
      </c>
      <c r="R523">
        <f t="shared" si="33"/>
        <v>5.96</v>
      </c>
      <c r="S523">
        <f t="shared" si="34"/>
        <v>1.6263982102908277</v>
      </c>
      <c r="T523">
        <f t="shared" si="35"/>
        <v>5.6603773584905662E-2</v>
      </c>
      <c r="U523" t="str">
        <f>YEAR('Campaign Data'!$A523)&amp;"-"&amp;TEXT(MONTH('Campaign Data'!$A523),"00")</f>
        <v>2026-01</v>
      </c>
    </row>
    <row r="524" spans="1:21" x14ac:dyDescent="0.25">
      <c r="A524">
        <v>46051</v>
      </c>
      <c r="B524" t="s">
        <v>103</v>
      </c>
      <c r="C524" t="s">
        <v>104</v>
      </c>
      <c r="D524" t="s">
        <v>65</v>
      </c>
      <c r="E524" t="s">
        <v>33</v>
      </c>
      <c r="F524" t="s">
        <v>43</v>
      </c>
      <c r="G524" t="s">
        <v>102</v>
      </c>
      <c r="H524" t="s">
        <v>71</v>
      </c>
      <c r="I524" t="s">
        <v>28</v>
      </c>
      <c r="J524" t="s">
        <v>62</v>
      </c>
      <c r="K524">
        <v>2707</v>
      </c>
      <c r="L524">
        <v>33</v>
      </c>
      <c r="M524">
        <v>16.59</v>
      </c>
      <c r="N524">
        <v>1</v>
      </c>
      <c r="O524">
        <v>15.41</v>
      </c>
      <c r="P524">
        <f t="shared" si="32"/>
        <v>1.2190616919098634E-2</v>
      </c>
      <c r="Q524">
        <f t="shared" si="32"/>
        <v>0.50272727272727269</v>
      </c>
      <c r="R524">
        <f t="shared" si="33"/>
        <v>16.59</v>
      </c>
      <c r="S524">
        <f t="shared" si="34"/>
        <v>0.92887281494876428</v>
      </c>
      <c r="T524">
        <f t="shared" si="35"/>
        <v>3.0303030303030304E-2</v>
      </c>
      <c r="U524" t="str">
        <f>YEAR('Campaign Data'!$A524)&amp;"-"&amp;TEXT(MONTH('Campaign Data'!$A524),"00")</f>
        <v>2026-01</v>
      </c>
    </row>
    <row r="525" spans="1:21" x14ac:dyDescent="0.25">
      <c r="A525">
        <v>46051</v>
      </c>
      <c r="B525" t="s">
        <v>108</v>
      </c>
      <c r="C525" t="s">
        <v>109</v>
      </c>
      <c r="D525" t="s">
        <v>58</v>
      </c>
      <c r="E525" t="s">
        <v>33</v>
      </c>
      <c r="F525" t="s">
        <v>43</v>
      </c>
      <c r="G525" t="s">
        <v>59</v>
      </c>
      <c r="H525" t="s">
        <v>90</v>
      </c>
      <c r="I525" t="s">
        <v>28</v>
      </c>
      <c r="J525" t="s">
        <v>62</v>
      </c>
      <c r="K525">
        <v>32340</v>
      </c>
      <c r="L525">
        <v>350</v>
      </c>
      <c r="M525">
        <v>56.2</v>
      </c>
      <c r="N525">
        <v>11</v>
      </c>
      <c r="O525">
        <v>76.81</v>
      </c>
      <c r="P525">
        <f t="shared" si="32"/>
        <v>1.0822510822510822E-2</v>
      </c>
      <c r="Q525">
        <f t="shared" si="32"/>
        <v>0.16057142857142859</v>
      </c>
      <c r="R525">
        <f t="shared" si="33"/>
        <v>5.1090909090909093</v>
      </c>
      <c r="S525">
        <f t="shared" si="34"/>
        <v>1.3667259786476869</v>
      </c>
      <c r="T525">
        <f t="shared" si="35"/>
        <v>3.1428571428571431E-2</v>
      </c>
      <c r="U525" t="str">
        <f>YEAR('Campaign Data'!$A525)&amp;"-"&amp;TEXT(MONTH('Campaign Data'!$A525),"00")</f>
        <v>2026-01</v>
      </c>
    </row>
    <row r="526" spans="1:21" x14ac:dyDescent="0.25">
      <c r="A526">
        <v>46051</v>
      </c>
      <c r="B526" t="s">
        <v>179</v>
      </c>
      <c r="C526" t="s">
        <v>180</v>
      </c>
      <c r="D526" t="s">
        <v>58</v>
      </c>
      <c r="E526" t="s">
        <v>42</v>
      </c>
      <c r="F526" t="s">
        <v>25</v>
      </c>
      <c r="G526" t="s">
        <v>54</v>
      </c>
      <c r="H526" t="s">
        <v>27</v>
      </c>
      <c r="I526" t="s">
        <v>37</v>
      </c>
      <c r="J526" t="s">
        <v>87</v>
      </c>
      <c r="K526">
        <v>3604</v>
      </c>
      <c r="L526">
        <v>10</v>
      </c>
      <c r="M526">
        <v>97.93</v>
      </c>
      <c r="N526">
        <v>0</v>
      </c>
      <c r="O526">
        <v>0</v>
      </c>
      <c r="P526">
        <f t="shared" si="32"/>
        <v>2.7746947835738068E-3</v>
      </c>
      <c r="Q526">
        <f t="shared" si="32"/>
        <v>9.793000000000001</v>
      </c>
      <c r="R526">
        <f t="shared" si="33"/>
        <v>0</v>
      </c>
      <c r="S526">
        <f t="shared" si="34"/>
        <v>0</v>
      </c>
      <c r="T526">
        <f t="shared" si="35"/>
        <v>0</v>
      </c>
      <c r="U526" t="str">
        <f>YEAR('Campaign Data'!$A526)&amp;"-"&amp;TEXT(MONTH('Campaign Data'!$A526),"00")</f>
        <v>2026-01</v>
      </c>
    </row>
    <row r="527" spans="1:21" x14ac:dyDescent="0.25">
      <c r="A527">
        <v>46051</v>
      </c>
      <c r="B527" t="s">
        <v>140</v>
      </c>
      <c r="C527" t="s">
        <v>40</v>
      </c>
      <c r="D527" t="s">
        <v>41</v>
      </c>
      <c r="E527" t="s">
        <v>42</v>
      </c>
      <c r="F527" t="s">
        <v>43</v>
      </c>
      <c r="G527" t="s">
        <v>44</v>
      </c>
      <c r="H527" t="s">
        <v>90</v>
      </c>
      <c r="I527" t="s">
        <v>37</v>
      </c>
      <c r="J527" t="s">
        <v>62</v>
      </c>
      <c r="K527">
        <v>3599</v>
      </c>
      <c r="L527">
        <v>25</v>
      </c>
      <c r="M527">
        <v>30.96</v>
      </c>
      <c r="N527">
        <v>2</v>
      </c>
      <c r="O527">
        <v>10.8</v>
      </c>
      <c r="P527">
        <f t="shared" si="32"/>
        <v>6.9463739927757709E-3</v>
      </c>
      <c r="Q527">
        <f t="shared" si="32"/>
        <v>1.2383999999999999</v>
      </c>
      <c r="R527">
        <f t="shared" si="33"/>
        <v>15.48</v>
      </c>
      <c r="S527">
        <f t="shared" si="34"/>
        <v>0.34883720930232559</v>
      </c>
      <c r="T527">
        <f t="shared" si="35"/>
        <v>0.08</v>
      </c>
      <c r="U527" t="str">
        <f>YEAR('Campaign Data'!$A527)&amp;"-"&amp;TEXT(MONTH('Campaign Data'!$A527),"00")</f>
        <v>2026-01</v>
      </c>
    </row>
    <row r="528" spans="1:21" x14ac:dyDescent="0.25">
      <c r="A528">
        <v>46051</v>
      </c>
      <c r="B528" t="s">
        <v>155</v>
      </c>
      <c r="C528" t="s">
        <v>156</v>
      </c>
      <c r="D528" t="s">
        <v>32</v>
      </c>
      <c r="E528" t="s">
        <v>24</v>
      </c>
      <c r="F528" t="s">
        <v>34</v>
      </c>
      <c r="G528" t="s">
        <v>129</v>
      </c>
      <c r="H528" t="s">
        <v>27</v>
      </c>
      <c r="I528" t="s">
        <v>37</v>
      </c>
      <c r="J528" t="s">
        <v>29</v>
      </c>
      <c r="K528">
        <v>3793</v>
      </c>
      <c r="L528">
        <v>44</v>
      </c>
      <c r="M528">
        <v>66.89</v>
      </c>
      <c r="N528">
        <v>0</v>
      </c>
      <c r="O528">
        <v>0</v>
      </c>
      <c r="P528">
        <f t="shared" si="32"/>
        <v>1.1600316372264698E-2</v>
      </c>
      <c r="Q528">
        <f t="shared" si="32"/>
        <v>1.5202272727272728</v>
      </c>
      <c r="R528">
        <f t="shared" si="33"/>
        <v>0</v>
      </c>
      <c r="S528">
        <f t="shared" si="34"/>
        <v>0</v>
      </c>
      <c r="T528">
        <f t="shared" si="35"/>
        <v>0</v>
      </c>
      <c r="U528" t="str">
        <f>YEAR('Campaign Data'!$A528)&amp;"-"&amp;TEXT(MONTH('Campaign Data'!$A528),"00")</f>
        <v>2026-01</v>
      </c>
    </row>
    <row r="529" spans="1:21" x14ac:dyDescent="0.25">
      <c r="A529">
        <v>46051</v>
      </c>
      <c r="B529" t="s">
        <v>134</v>
      </c>
      <c r="C529" t="s">
        <v>135</v>
      </c>
      <c r="D529" t="s">
        <v>32</v>
      </c>
      <c r="E529" t="s">
        <v>74</v>
      </c>
      <c r="F529" t="s">
        <v>25</v>
      </c>
      <c r="G529" t="s">
        <v>107</v>
      </c>
      <c r="H529" t="s">
        <v>36</v>
      </c>
      <c r="I529" t="s">
        <v>61</v>
      </c>
      <c r="J529" t="s">
        <v>87</v>
      </c>
      <c r="K529">
        <v>3815</v>
      </c>
      <c r="L529">
        <v>121</v>
      </c>
      <c r="M529">
        <v>177.59</v>
      </c>
      <c r="N529">
        <v>3</v>
      </c>
      <c r="O529">
        <v>288.88</v>
      </c>
      <c r="P529">
        <f t="shared" si="32"/>
        <v>3.1716906946264743E-2</v>
      </c>
      <c r="Q529">
        <f t="shared" si="32"/>
        <v>1.4676859504132231</v>
      </c>
      <c r="R529">
        <f t="shared" si="33"/>
        <v>59.196666666666665</v>
      </c>
      <c r="S529">
        <f t="shared" si="34"/>
        <v>1.6266681682527169</v>
      </c>
      <c r="T529">
        <f t="shared" si="35"/>
        <v>2.4793388429752067E-2</v>
      </c>
      <c r="U529" t="str">
        <f>YEAR('Campaign Data'!$A529)&amp;"-"&amp;TEXT(MONTH('Campaign Data'!$A529),"00")</f>
        <v>2026-01</v>
      </c>
    </row>
    <row r="530" spans="1:21" x14ac:dyDescent="0.25">
      <c r="A530">
        <v>46051</v>
      </c>
      <c r="B530" t="s">
        <v>114</v>
      </c>
      <c r="C530" t="s">
        <v>115</v>
      </c>
      <c r="D530" t="s">
        <v>69</v>
      </c>
      <c r="E530" t="s">
        <v>49</v>
      </c>
      <c r="F530" t="s">
        <v>25</v>
      </c>
      <c r="G530" t="s">
        <v>107</v>
      </c>
      <c r="H530" t="s">
        <v>55</v>
      </c>
      <c r="I530" t="s">
        <v>37</v>
      </c>
      <c r="J530" t="s">
        <v>45</v>
      </c>
      <c r="K530">
        <v>3518</v>
      </c>
      <c r="L530">
        <v>126</v>
      </c>
      <c r="M530">
        <v>171.76</v>
      </c>
      <c r="N530">
        <v>4</v>
      </c>
      <c r="O530">
        <v>457.13</v>
      </c>
      <c r="P530">
        <f t="shared" si="32"/>
        <v>3.5815804434337691E-2</v>
      </c>
      <c r="Q530">
        <f t="shared" si="32"/>
        <v>1.363174603174603</v>
      </c>
      <c r="R530">
        <f t="shared" si="33"/>
        <v>42.94</v>
      </c>
      <c r="S530">
        <f t="shared" si="34"/>
        <v>2.6614462040055895</v>
      </c>
      <c r="T530">
        <f t="shared" si="35"/>
        <v>3.1746031746031744E-2</v>
      </c>
      <c r="U530" t="str">
        <f>YEAR('Campaign Data'!$A530)&amp;"-"&amp;TEXT(MONTH('Campaign Data'!$A530),"00")</f>
        <v>2026-01</v>
      </c>
    </row>
    <row r="531" spans="1:21" x14ac:dyDescent="0.25">
      <c r="A531">
        <v>46051</v>
      </c>
      <c r="B531" t="s">
        <v>141</v>
      </c>
      <c r="C531" t="s">
        <v>142</v>
      </c>
      <c r="D531" t="s">
        <v>80</v>
      </c>
      <c r="E531" t="s">
        <v>49</v>
      </c>
      <c r="F531" t="s">
        <v>81</v>
      </c>
      <c r="G531" t="s">
        <v>97</v>
      </c>
      <c r="H531" t="s">
        <v>27</v>
      </c>
      <c r="I531" t="s">
        <v>28</v>
      </c>
      <c r="J531" t="s">
        <v>45</v>
      </c>
      <c r="K531">
        <v>7590</v>
      </c>
      <c r="L531">
        <v>392</v>
      </c>
      <c r="M531">
        <v>948.13</v>
      </c>
      <c r="N531">
        <v>6</v>
      </c>
      <c r="O531">
        <v>116.06</v>
      </c>
      <c r="P531">
        <f t="shared" si="32"/>
        <v>5.1646903820816867E-2</v>
      </c>
      <c r="Q531">
        <f t="shared" si="32"/>
        <v>2.4186989795918366</v>
      </c>
      <c r="R531">
        <f t="shared" si="33"/>
        <v>158.02166666666668</v>
      </c>
      <c r="S531">
        <f t="shared" si="34"/>
        <v>0.12240937424192885</v>
      </c>
      <c r="T531">
        <f t="shared" si="35"/>
        <v>1.5306122448979591E-2</v>
      </c>
      <c r="U531" t="str">
        <f>YEAR('Campaign Data'!$A531)&amp;"-"&amp;TEXT(MONTH('Campaign Data'!$A531),"00")</f>
        <v>2026-01</v>
      </c>
    </row>
    <row r="532" spans="1:21" x14ac:dyDescent="0.25">
      <c r="A532">
        <v>46051</v>
      </c>
      <c r="B532" t="s">
        <v>141</v>
      </c>
      <c r="C532" t="s">
        <v>142</v>
      </c>
      <c r="D532" t="s">
        <v>80</v>
      </c>
      <c r="E532" t="s">
        <v>49</v>
      </c>
      <c r="F532" t="s">
        <v>81</v>
      </c>
      <c r="G532" t="s">
        <v>97</v>
      </c>
      <c r="H532" t="s">
        <v>36</v>
      </c>
      <c r="I532" t="s">
        <v>37</v>
      </c>
      <c r="J532" t="s">
        <v>62</v>
      </c>
      <c r="K532">
        <v>8051</v>
      </c>
      <c r="L532">
        <v>405</v>
      </c>
      <c r="M532">
        <v>428.16</v>
      </c>
      <c r="N532">
        <v>25</v>
      </c>
      <c r="O532">
        <v>640.79</v>
      </c>
      <c r="P532">
        <f t="shared" si="32"/>
        <v>5.0304310023599551E-2</v>
      </c>
      <c r="Q532">
        <f t="shared" si="32"/>
        <v>1.0571851851851852</v>
      </c>
      <c r="R532">
        <f t="shared" si="33"/>
        <v>17.1264</v>
      </c>
      <c r="S532">
        <f t="shared" si="34"/>
        <v>1.4966134155455904</v>
      </c>
      <c r="T532">
        <f t="shared" si="35"/>
        <v>6.1728395061728392E-2</v>
      </c>
      <c r="U532" t="str">
        <f>YEAR('Campaign Data'!$A532)&amp;"-"&amp;TEXT(MONTH('Campaign Data'!$A532),"00")</f>
        <v>2026-01</v>
      </c>
    </row>
    <row r="533" spans="1:21" x14ac:dyDescent="0.25">
      <c r="A533">
        <v>46051</v>
      </c>
      <c r="B533" t="s">
        <v>67</v>
      </c>
      <c r="C533" t="s">
        <v>68</v>
      </c>
      <c r="D533" t="s">
        <v>69</v>
      </c>
      <c r="E533" t="s">
        <v>49</v>
      </c>
      <c r="F533" t="s">
        <v>34</v>
      </c>
      <c r="G533" t="s">
        <v>70</v>
      </c>
      <c r="H533" t="s">
        <v>51</v>
      </c>
      <c r="I533" t="s">
        <v>28</v>
      </c>
      <c r="J533" t="s">
        <v>62</v>
      </c>
      <c r="K533">
        <v>4600</v>
      </c>
      <c r="L533">
        <v>361</v>
      </c>
      <c r="M533">
        <v>659.29</v>
      </c>
      <c r="N533">
        <v>13</v>
      </c>
      <c r="O533">
        <v>1315.78</v>
      </c>
      <c r="P533">
        <f t="shared" si="32"/>
        <v>7.847826086956522E-2</v>
      </c>
      <c r="Q533">
        <f t="shared" si="32"/>
        <v>1.8262880886426591</v>
      </c>
      <c r="R533">
        <f t="shared" si="33"/>
        <v>50.714615384615385</v>
      </c>
      <c r="S533">
        <f t="shared" si="34"/>
        <v>1.9957530070227063</v>
      </c>
      <c r="T533">
        <f t="shared" si="35"/>
        <v>3.6011080332409975E-2</v>
      </c>
      <c r="U533" t="str">
        <f>YEAR('Campaign Data'!$A533)&amp;"-"&amp;TEXT(MONTH('Campaign Data'!$A533),"00")</f>
        <v>2026-01</v>
      </c>
    </row>
    <row r="534" spans="1:21" x14ac:dyDescent="0.25">
      <c r="A534">
        <v>46051</v>
      </c>
      <c r="B534" t="s">
        <v>78</v>
      </c>
      <c r="C534" t="s">
        <v>79</v>
      </c>
      <c r="D534" t="s">
        <v>80</v>
      </c>
      <c r="E534" t="s">
        <v>24</v>
      </c>
      <c r="F534" t="s">
        <v>81</v>
      </c>
      <c r="G534" t="s">
        <v>66</v>
      </c>
      <c r="H534" t="s">
        <v>27</v>
      </c>
      <c r="I534" t="s">
        <v>37</v>
      </c>
      <c r="J534" t="s">
        <v>29</v>
      </c>
      <c r="K534">
        <v>3131</v>
      </c>
      <c r="L534">
        <v>11</v>
      </c>
      <c r="M534">
        <v>14.55</v>
      </c>
      <c r="N534">
        <v>0</v>
      </c>
      <c r="O534">
        <v>0</v>
      </c>
      <c r="P534">
        <f t="shared" si="32"/>
        <v>3.5132545512615776E-3</v>
      </c>
      <c r="Q534">
        <f t="shared" si="32"/>
        <v>1.3227272727272728</v>
      </c>
      <c r="R534">
        <f t="shared" si="33"/>
        <v>0</v>
      </c>
      <c r="S534">
        <f t="shared" si="34"/>
        <v>0</v>
      </c>
      <c r="T534">
        <f t="shared" si="35"/>
        <v>0</v>
      </c>
      <c r="U534" t="str">
        <f>YEAR('Campaign Data'!$A534)&amp;"-"&amp;TEXT(MONTH('Campaign Data'!$A534),"00")</f>
        <v>2026-01</v>
      </c>
    </row>
    <row r="535" spans="1:21" x14ac:dyDescent="0.25">
      <c r="A535">
        <v>46052</v>
      </c>
      <c r="B535" t="s">
        <v>165</v>
      </c>
      <c r="C535" t="s">
        <v>166</v>
      </c>
      <c r="D535" t="s">
        <v>41</v>
      </c>
      <c r="E535" t="s">
        <v>33</v>
      </c>
      <c r="F535" t="s">
        <v>43</v>
      </c>
      <c r="G535" t="s">
        <v>59</v>
      </c>
      <c r="H535" t="s">
        <v>27</v>
      </c>
      <c r="I535" t="s">
        <v>28</v>
      </c>
      <c r="J535" t="s">
        <v>62</v>
      </c>
      <c r="K535">
        <v>3402</v>
      </c>
      <c r="L535">
        <v>56</v>
      </c>
      <c r="M535">
        <v>40.36</v>
      </c>
      <c r="N535">
        <v>1</v>
      </c>
      <c r="O535">
        <v>44.33</v>
      </c>
      <c r="P535">
        <f t="shared" si="32"/>
        <v>1.646090534979424E-2</v>
      </c>
      <c r="Q535">
        <f t="shared" si="32"/>
        <v>0.72071428571428575</v>
      </c>
      <c r="R535">
        <f t="shared" si="33"/>
        <v>40.36</v>
      </c>
      <c r="S535">
        <f t="shared" si="34"/>
        <v>1.0983647175421209</v>
      </c>
      <c r="T535">
        <f t="shared" si="35"/>
        <v>1.7857142857142856E-2</v>
      </c>
      <c r="U535" t="str">
        <f>YEAR('Campaign Data'!$A535)&amp;"-"&amp;TEXT(MONTH('Campaign Data'!$A535),"00")</f>
        <v>2026-01</v>
      </c>
    </row>
    <row r="536" spans="1:21" x14ac:dyDescent="0.25">
      <c r="A536">
        <v>46052</v>
      </c>
      <c r="B536" t="s">
        <v>21</v>
      </c>
      <c r="C536" t="s">
        <v>124</v>
      </c>
      <c r="D536" t="s">
        <v>23</v>
      </c>
      <c r="E536" t="s">
        <v>24</v>
      </c>
      <c r="F536" t="s">
        <v>25</v>
      </c>
      <c r="G536" t="s">
        <v>26</v>
      </c>
      <c r="H536" t="s">
        <v>55</v>
      </c>
      <c r="I536" t="s">
        <v>37</v>
      </c>
      <c r="J536" t="s">
        <v>38</v>
      </c>
      <c r="K536">
        <v>17916</v>
      </c>
      <c r="L536">
        <v>187</v>
      </c>
      <c r="M536">
        <v>175.24</v>
      </c>
      <c r="N536">
        <v>2</v>
      </c>
      <c r="O536">
        <v>310</v>
      </c>
      <c r="P536">
        <f t="shared" si="32"/>
        <v>1.0437597678053136E-2</v>
      </c>
      <c r="Q536">
        <f t="shared" si="32"/>
        <v>0.93711229946524066</v>
      </c>
      <c r="R536">
        <f t="shared" si="33"/>
        <v>87.62</v>
      </c>
      <c r="S536">
        <f t="shared" si="34"/>
        <v>1.7690025108422733</v>
      </c>
      <c r="T536">
        <f t="shared" si="35"/>
        <v>1.06951871657754E-2</v>
      </c>
      <c r="U536" t="str">
        <f>YEAR('Campaign Data'!$A536)&amp;"-"&amp;TEXT(MONTH('Campaign Data'!$A536),"00")</f>
        <v>2026-01</v>
      </c>
    </row>
    <row r="537" spans="1:21" x14ac:dyDescent="0.25">
      <c r="A537">
        <v>46052</v>
      </c>
      <c r="B537" t="s">
        <v>125</v>
      </c>
      <c r="C537" t="s">
        <v>126</v>
      </c>
      <c r="D537" t="s">
        <v>41</v>
      </c>
      <c r="E537" t="s">
        <v>42</v>
      </c>
      <c r="F537" t="s">
        <v>81</v>
      </c>
      <c r="G537" t="s">
        <v>44</v>
      </c>
      <c r="H537" t="s">
        <v>51</v>
      </c>
      <c r="I537" t="s">
        <v>28</v>
      </c>
      <c r="J537" t="s">
        <v>45</v>
      </c>
      <c r="K537">
        <v>9133</v>
      </c>
      <c r="L537">
        <v>47</v>
      </c>
      <c r="M537">
        <v>298.41000000000003</v>
      </c>
      <c r="N537">
        <v>1</v>
      </c>
      <c r="O537">
        <v>26.03</v>
      </c>
      <c r="P537">
        <f t="shared" si="32"/>
        <v>5.146173218000657E-3</v>
      </c>
      <c r="Q537">
        <f t="shared" si="32"/>
        <v>6.3491489361702129</v>
      </c>
      <c r="R537">
        <f t="shared" si="33"/>
        <v>298.41000000000003</v>
      </c>
      <c r="S537">
        <f t="shared" si="34"/>
        <v>8.7228980262055555E-2</v>
      </c>
      <c r="T537">
        <f t="shared" si="35"/>
        <v>2.1276595744680851E-2</v>
      </c>
      <c r="U537" t="str">
        <f>YEAR('Campaign Data'!$A537)&amp;"-"&amp;TEXT(MONTH('Campaign Data'!$A537),"00")</f>
        <v>2026-01</v>
      </c>
    </row>
    <row r="538" spans="1:21" x14ac:dyDescent="0.25">
      <c r="A538">
        <v>46052</v>
      </c>
      <c r="B538" t="s">
        <v>30</v>
      </c>
      <c r="C538" t="s">
        <v>31</v>
      </c>
      <c r="D538" t="s">
        <v>32</v>
      </c>
      <c r="E538" t="s">
        <v>33</v>
      </c>
      <c r="F538" t="s">
        <v>34</v>
      </c>
      <c r="G538" t="s">
        <v>35</v>
      </c>
      <c r="H538" t="s">
        <v>90</v>
      </c>
      <c r="I538" t="s">
        <v>37</v>
      </c>
      <c r="J538" t="s">
        <v>29</v>
      </c>
      <c r="K538">
        <v>10002</v>
      </c>
      <c r="L538">
        <v>38</v>
      </c>
      <c r="M538">
        <v>4.7</v>
      </c>
      <c r="N538">
        <v>2</v>
      </c>
      <c r="O538">
        <v>56.79</v>
      </c>
      <c r="P538">
        <f t="shared" si="32"/>
        <v>3.7992401519696059E-3</v>
      </c>
      <c r="Q538">
        <f t="shared" si="32"/>
        <v>0.1236842105263158</v>
      </c>
      <c r="R538">
        <f t="shared" si="33"/>
        <v>2.35</v>
      </c>
      <c r="S538">
        <f t="shared" si="34"/>
        <v>12.082978723404254</v>
      </c>
      <c r="T538">
        <f t="shared" si="35"/>
        <v>5.2631578947368418E-2</v>
      </c>
      <c r="U538" t="str">
        <f>YEAR('Campaign Data'!$A538)&amp;"-"&amp;TEXT(MONTH('Campaign Data'!$A538),"00")</f>
        <v>2026-01</v>
      </c>
    </row>
    <row r="539" spans="1:21" x14ac:dyDescent="0.25">
      <c r="A539">
        <v>46052</v>
      </c>
      <c r="B539" t="s">
        <v>151</v>
      </c>
      <c r="C539" t="s">
        <v>152</v>
      </c>
      <c r="D539" t="s">
        <v>48</v>
      </c>
      <c r="E539" t="s">
        <v>24</v>
      </c>
      <c r="F539" t="s">
        <v>81</v>
      </c>
      <c r="G539" t="s">
        <v>129</v>
      </c>
      <c r="H539" t="s">
        <v>71</v>
      </c>
      <c r="I539" t="s">
        <v>37</v>
      </c>
      <c r="J539" t="s">
        <v>29</v>
      </c>
      <c r="K539">
        <v>5848</v>
      </c>
      <c r="L539">
        <v>78</v>
      </c>
      <c r="M539">
        <v>56.25</v>
      </c>
      <c r="N539">
        <v>2</v>
      </c>
      <c r="O539">
        <v>46.33</v>
      </c>
      <c r="P539">
        <f t="shared" si="32"/>
        <v>1.3337893296853625E-2</v>
      </c>
      <c r="Q539">
        <f t="shared" si="32"/>
        <v>0.72115384615384615</v>
      </c>
      <c r="R539">
        <f t="shared" si="33"/>
        <v>28.125</v>
      </c>
      <c r="S539">
        <f t="shared" si="34"/>
        <v>0.8236444444444444</v>
      </c>
      <c r="T539">
        <f t="shared" si="35"/>
        <v>2.564102564102564E-2</v>
      </c>
      <c r="U539" t="str">
        <f>YEAR('Campaign Data'!$A539)&amp;"-"&amp;TEXT(MONTH('Campaign Data'!$A539),"00")</f>
        <v>2026-01</v>
      </c>
    </row>
    <row r="540" spans="1:21" x14ac:dyDescent="0.25">
      <c r="A540">
        <v>46052</v>
      </c>
      <c r="B540" t="s">
        <v>52</v>
      </c>
      <c r="C540" t="s">
        <v>53</v>
      </c>
      <c r="D540" t="s">
        <v>32</v>
      </c>
      <c r="E540" t="s">
        <v>42</v>
      </c>
      <c r="F540" t="s">
        <v>25</v>
      </c>
      <c r="G540" t="s">
        <v>54</v>
      </c>
      <c r="H540" t="s">
        <v>27</v>
      </c>
      <c r="I540" t="s">
        <v>37</v>
      </c>
      <c r="J540" t="s">
        <v>29</v>
      </c>
      <c r="K540">
        <v>5143</v>
      </c>
      <c r="L540">
        <v>35</v>
      </c>
      <c r="M540">
        <v>146.81</v>
      </c>
      <c r="N540">
        <v>0</v>
      </c>
      <c r="O540">
        <v>0</v>
      </c>
      <c r="P540">
        <f t="shared" si="32"/>
        <v>6.805366517596733E-3</v>
      </c>
      <c r="Q540">
        <f t="shared" si="32"/>
        <v>4.1945714285714288</v>
      </c>
      <c r="R540">
        <f t="shared" si="33"/>
        <v>0</v>
      </c>
      <c r="S540">
        <f t="shared" si="34"/>
        <v>0</v>
      </c>
      <c r="T540">
        <f t="shared" si="35"/>
        <v>0</v>
      </c>
      <c r="U540" t="str">
        <f>YEAR('Campaign Data'!$A540)&amp;"-"&amp;TEXT(MONTH('Campaign Data'!$A540),"00")</f>
        <v>2026-01</v>
      </c>
    </row>
    <row r="541" spans="1:21" x14ac:dyDescent="0.25">
      <c r="A541">
        <v>46052</v>
      </c>
      <c r="B541" t="s">
        <v>52</v>
      </c>
      <c r="C541" t="s">
        <v>53</v>
      </c>
      <c r="D541" t="s">
        <v>32</v>
      </c>
      <c r="E541" t="s">
        <v>42</v>
      </c>
      <c r="F541" t="s">
        <v>25</v>
      </c>
      <c r="G541" t="s">
        <v>54</v>
      </c>
      <c r="H541" t="s">
        <v>90</v>
      </c>
      <c r="I541" t="s">
        <v>37</v>
      </c>
      <c r="J541" t="s">
        <v>87</v>
      </c>
      <c r="K541">
        <v>6361</v>
      </c>
      <c r="L541">
        <v>38</v>
      </c>
      <c r="M541">
        <v>40.65</v>
      </c>
      <c r="N541">
        <v>0</v>
      </c>
      <c r="O541">
        <v>0</v>
      </c>
      <c r="P541">
        <f t="shared" si="32"/>
        <v>5.9739034742964945E-3</v>
      </c>
      <c r="Q541">
        <f t="shared" si="32"/>
        <v>1.0697368421052631</v>
      </c>
      <c r="R541">
        <f t="shared" si="33"/>
        <v>0</v>
      </c>
      <c r="S541">
        <f t="shared" si="34"/>
        <v>0</v>
      </c>
      <c r="T541">
        <f t="shared" si="35"/>
        <v>0</v>
      </c>
      <c r="U541" t="str">
        <f>YEAR('Campaign Data'!$A541)&amp;"-"&amp;TEXT(MONTH('Campaign Data'!$A541),"00")</f>
        <v>2026-01</v>
      </c>
    </row>
    <row r="542" spans="1:21" x14ac:dyDescent="0.25">
      <c r="A542">
        <v>46052</v>
      </c>
      <c r="B542" t="s">
        <v>100</v>
      </c>
      <c r="C542" t="s">
        <v>101</v>
      </c>
      <c r="D542" t="s">
        <v>80</v>
      </c>
      <c r="E542" t="s">
        <v>33</v>
      </c>
      <c r="F542" t="s">
        <v>25</v>
      </c>
      <c r="G542" t="s">
        <v>102</v>
      </c>
      <c r="H542" t="s">
        <v>51</v>
      </c>
      <c r="I542" t="s">
        <v>37</v>
      </c>
      <c r="J542" t="s">
        <v>45</v>
      </c>
      <c r="K542">
        <v>14911</v>
      </c>
      <c r="L542">
        <v>137</v>
      </c>
      <c r="M542">
        <v>89.48</v>
      </c>
      <c r="N542">
        <v>3</v>
      </c>
      <c r="O542">
        <v>427.55</v>
      </c>
      <c r="P542">
        <f t="shared" si="32"/>
        <v>9.1878478975253169E-3</v>
      </c>
      <c r="Q542">
        <f t="shared" si="32"/>
        <v>0.65313868613138693</v>
      </c>
      <c r="R542">
        <f t="shared" si="33"/>
        <v>29.826666666666668</v>
      </c>
      <c r="S542">
        <f t="shared" si="34"/>
        <v>4.7781627179257935</v>
      </c>
      <c r="T542">
        <f t="shared" si="35"/>
        <v>2.1897810218978103E-2</v>
      </c>
      <c r="U542" t="str">
        <f>YEAR('Campaign Data'!$A542)&amp;"-"&amp;TEXT(MONTH('Campaign Data'!$A542),"00")</f>
        <v>2026-01</v>
      </c>
    </row>
    <row r="543" spans="1:21" x14ac:dyDescent="0.25">
      <c r="A543">
        <v>46052</v>
      </c>
      <c r="B543" t="s">
        <v>169</v>
      </c>
      <c r="C543" t="s">
        <v>170</v>
      </c>
      <c r="D543" t="s">
        <v>58</v>
      </c>
      <c r="E543" t="s">
        <v>74</v>
      </c>
      <c r="F543" t="s">
        <v>75</v>
      </c>
      <c r="G543" t="s">
        <v>9</v>
      </c>
      <c r="H543" t="s">
        <v>27</v>
      </c>
      <c r="I543" t="s">
        <v>37</v>
      </c>
      <c r="J543" t="s">
        <v>45</v>
      </c>
      <c r="K543">
        <v>12245</v>
      </c>
      <c r="L543">
        <v>249</v>
      </c>
      <c r="M543">
        <v>408.18</v>
      </c>
      <c r="N543">
        <v>9</v>
      </c>
      <c r="O543">
        <v>427.53</v>
      </c>
      <c r="P543">
        <f t="shared" si="32"/>
        <v>2.0334830543078809E-2</v>
      </c>
      <c r="Q543">
        <f t="shared" si="32"/>
        <v>1.639277108433735</v>
      </c>
      <c r="R543">
        <f t="shared" si="33"/>
        <v>45.353333333333332</v>
      </c>
      <c r="S543">
        <f t="shared" si="34"/>
        <v>1.0474055563721887</v>
      </c>
      <c r="T543">
        <f t="shared" si="35"/>
        <v>3.614457831325301E-2</v>
      </c>
      <c r="U543" t="str">
        <f>YEAR('Campaign Data'!$A543)&amp;"-"&amp;TEXT(MONTH('Campaign Data'!$A543),"00")</f>
        <v>2026-01</v>
      </c>
    </row>
    <row r="544" spans="1:21" x14ac:dyDescent="0.25">
      <c r="A544">
        <v>46052</v>
      </c>
      <c r="B544" t="s">
        <v>132</v>
      </c>
      <c r="C544" t="s">
        <v>133</v>
      </c>
      <c r="D544" t="s">
        <v>23</v>
      </c>
      <c r="E544" t="s">
        <v>42</v>
      </c>
      <c r="F544" t="s">
        <v>75</v>
      </c>
      <c r="G544" t="s">
        <v>84</v>
      </c>
      <c r="H544" t="s">
        <v>27</v>
      </c>
      <c r="I544" t="s">
        <v>28</v>
      </c>
      <c r="J544" t="s">
        <v>87</v>
      </c>
      <c r="K544">
        <v>2262</v>
      </c>
      <c r="L544">
        <v>11</v>
      </c>
      <c r="M544">
        <v>71.739999999999995</v>
      </c>
      <c r="N544">
        <v>0</v>
      </c>
      <c r="O544">
        <v>0</v>
      </c>
      <c r="P544">
        <f t="shared" si="32"/>
        <v>4.8629531388152082E-3</v>
      </c>
      <c r="Q544">
        <f t="shared" si="32"/>
        <v>6.5218181818181815</v>
      </c>
      <c r="R544">
        <f t="shared" si="33"/>
        <v>0</v>
      </c>
      <c r="S544">
        <f t="shared" si="34"/>
        <v>0</v>
      </c>
      <c r="T544">
        <f t="shared" si="35"/>
        <v>0</v>
      </c>
      <c r="U544" t="str">
        <f>YEAR('Campaign Data'!$A544)&amp;"-"&amp;TEXT(MONTH('Campaign Data'!$A544),"00")</f>
        <v>2026-01</v>
      </c>
    </row>
    <row r="545" spans="1:21" x14ac:dyDescent="0.25">
      <c r="A545">
        <v>46052</v>
      </c>
      <c r="B545" t="s">
        <v>177</v>
      </c>
      <c r="C545" t="s">
        <v>178</v>
      </c>
      <c r="D545" t="s">
        <v>41</v>
      </c>
      <c r="E545" t="s">
        <v>49</v>
      </c>
      <c r="F545" t="s">
        <v>34</v>
      </c>
      <c r="G545" t="s">
        <v>107</v>
      </c>
      <c r="H545" t="s">
        <v>90</v>
      </c>
      <c r="I545" t="s">
        <v>37</v>
      </c>
      <c r="J545" t="s">
        <v>45</v>
      </c>
      <c r="K545">
        <v>12046</v>
      </c>
      <c r="L545">
        <v>452</v>
      </c>
      <c r="M545">
        <v>161.97</v>
      </c>
      <c r="N545">
        <v>18</v>
      </c>
      <c r="O545">
        <v>263.8</v>
      </c>
      <c r="P545">
        <f t="shared" si="32"/>
        <v>3.7522829154906193E-2</v>
      </c>
      <c r="Q545">
        <f t="shared" si="32"/>
        <v>0.35834070796460177</v>
      </c>
      <c r="R545">
        <f t="shared" si="33"/>
        <v>8.9983333333333331</v>
      </c>
      <c r="S545">
        <f t="shared" si="34"/>
        <v>1.6286966722232512</v>
      </c>
      <c r="T545">
        <f t="shared" si="35"/>
        <v>3.9823008849557522E-2</v>
      </c>
      <c r="U545" t="str">
        <f>YEAR('Campaign Data'!$A545)&amp;"-"&amp;TEXT(MONTH('Campaign Data'!$A545),"00")</f>
        <v>2026-01</v>
      </c>
    </row>
    <row r="546" spans="1:21" x14ac:dyDescent="0.25">
      <c r="A546">
        <v>46052</v>
      </c>
      <c r="B546" t="s">
        <v>155</v>
      </c>
      <c r="C546" t="s">
        <v>156</v>
      </c>
      <c r="D546" t="s">
        <v>32</v>
      </c>
      <c r="E546" t="s">
        <v>24</v>
      </c>
      <c r="F546" t="s">
        <v>34</v>
      </c>
      <c r="G546" t="s">
        <v>129</v>
      </c>
      <c r="H546" t="s">
        <v>55</v>
      </c>
      <c r="I546" t="s">
        <v>37</v>
      </c>
      <c r="J546" t="s">
        <v>62</v>
      </c>
      <c r="K546">
        <v>21223</v>
      </c>
      <c r="L546">
        <v>434</v>
      </c>
      <c r="M546">
        <v>386.88</v>
      </c>
      <c r="N546">
        <v>23</v>
      </c>
      <c r="O546">
        <v>3215.63</v>
      </c>
      <c r="P546">
        <f t="shared" si="32"/>
        <v>2.0449512321537956E-2</v>
      </c>
      <c r="Q546">
        <f t="shared" si="32"/>
        <v>0.89142857142857146</v>
      </c>
      <c r="R546">
        <f t="shared" si="33"/>
        <v>16.820869565217389</v>
      </c>
      <c r="S546">
        <f t="shared" si="34"/>
        <v>8.311698717948719</v>
      </c>
      <c r="T546">
        <f t="shared" si="35"/>
        <v>5.2995391705069124E-2</v>
      </c>
      <c r="U546" t="str">
        <f>YEAR('Campaign Data'!$A546)&amp;"-"&amp;TEXT(MONTH('Campaign Data'!$A546),"00")</f>
        <v>2026-01</v>
      </c>
    </row>
    <row r="547" spans="1:21" x14ac:dyDescent="0.25">
      <c r="A547">
        <v>46052</v>
      </c>
      <c r="B547" t="s">
        <v>157</v>
      </c>
      <c r="C547" t="s">
        <v>158</v>
      </c>
      <c r="D547" t="s">
        <v>58</v>
      </c>
      <c r="E547" t="s">
        <v>49</v>
      </c>
      <c r="F547" t="s">
        <v>81</v>
      </c>
      <c r="G547" t="s">
        <v>50</v>
      </c>
      <c r="H547" t="s">
        <v>90</v>
      </c>
      <c r="I547" t="s">
        <v>61</v>
      </c>
      <c r="J547" t="s">
        <v>38</v>
      </c>
      <c r="K547">
        <v>4393</v>
      </c>
      <c r="L547">
        <v>167</v>
      </c>
      <c r="M547">
        <v>90.48</v>
      </c>
      <c r="N547">
        <v>8</v>
      </c>
      <c r="O547">
        <v>40</v>
      </c>
      <c r="P547">
        <f t="shared" si="32"/>
        <v>3.8015023901661733E-2</v>
      </c>
      <c r="Q547">
        <f t="shared" si="32"/>
        <v>0.54179640718562871</v>
      </c>
      <c r="R547">
        <f t="shared" si="33"/>
        <v>11.31</v>
      </c>
      <c r="S547">
        <f t="shared" si="34"/>
        <v>0.44208664898320071</v>
      </c>
      <c r="T547">
        <f t="shared" si="35"/>
        <v>4.790419161676647E-2</v>
      </c>
      <c r="U547" t="str">
        <f>YEAR('Campaign Data'!$A547)&amp;"-"&amp;TEXT(MONTH('Campaign Data'!$A547),"00")</f>
        <v>2026-01</v>
      </c>
    </row>
    <row r="548" spans="1:21" x14ac:dyDescent="0.25">
      <c r="A548">
        <v>46052</v>
      </c>
      <c r="B548" t="s">
        <v>181</v>
      </c>
      <c r="C548" t="s">
        <v>182</v>
      </c>
      <c r="D548" t="s">
        <v>32</v>
      </c>
      <c r="E548" t="s">
        <v>33</v>
      </c>
      <c r="F548" t="s">
        <v>75</v>
      </c>
      <c r="G548" t="s">
        <v>59</v>
      </c>
      <c r="H548" t="s">
        <v>60</v>
      </c>
      <c r="I548" t="s">
        <v>37</v>
      </c>
      <c r="J548" t="s">
        <v>45</v>
      </c>
      <c r="K548">
        <v>2832</v>
      </c>
      <c r="L548">
        <v>27</v>
      </c>
      <c r="M548">
        <v>17.309999999999999</v>
      </c>
      <c r="N548">
        <v>0</v>
      </c>
      <c r="O548">
        <v>0</v>
      </c>
      <c r="P548">
        <f t="shared" si="32"/>
        <v>9.5338983050847464E-3</v>
      </c>
      <c r="Q548">
        <f t="shared" si="32"/>
        <v>0.64111111111111108</v>
      </c>
      <c r="R548">
        <f t="shared" si="33"/>
        <v>0</v>
      </c>
      <c r="S548">
        <f t="shared" si="34"/>
        <v>0</v>
      </c>
      <c r="T548">
        <f t="shared" si="35"/>
        <v>0</v>
      </c>
      <c r="U548" t="str">
        <f>YEAR('Campaign Data'!$A548)&amp;"-"&amp;TEXT(MONTH('Campaign Data'!$A548),"00")</f>
        <v>2026-01</v>
      </c>
    </row>
    <row r="549" spans="1:21" x14ac:dyDescent="0.25">
      <c r="A549">
        <v>46052</v>
      </c>
      <c r="B549" t="s">
        <v>114</v>
      </c>
      <c r="C549" t="s">
        <v>115</v>
      </c>
      <c r="D549" t="s">
        <v>69</v>
      </c>
      <c r="E549" t="s">
        <v>49</v>
      </c>
      <c r="F549" t="s">
        <v>25</v>
      </c>
      <c r="G549" t="s">
        <v>107</v>
      </c>
      <c r="H549" t="s">
        <v>90</v>
      </c>
      <c r="I549" t="s">
        <v>37</v>
      </c>
      <c r="J549" t="s">
        <v>87</v>
      </c>
      <c r="K549">
        <v>12107</v>
      </c>
      <c r="L549">
        <v>426</v>
      </c>
      <c r="M549">
        <v>263.3</v>
      </c>
      <c r="N549">
        <v>13</v>
      </c>
      <c r="O549">
        <v>367.8</v>
      </c>
      <c r="P549">
        <f t="shared" si="32"/>
        <v>3.5186255885025192E-2</v>
      </c>
      <c r="Q549">
        <f t="shared" si="32"/>
        <v>0.61807511737089205</v>
      </c>
      <c r="R549">
        <f t="shared" si="33"/>
        <v>20.253846153846155</v>
      </c>
      <c r="S549">
        <f t="shared" si="34"/>
        <v>1.3968856817318647</v>
      </c>
      <c r="T549">
        <f t="shared" si="35"/>
        <v>3.0516431924882629E-2</v>
      </c>
      <c r="U549" t="str">
        <f>YEAR('Campaign Data'!$A549)&amp;"-"&amp;TEXT(MONTH('Campaign Data'!$A549),"00")</f>
        <v>2026-01</v>
      </c>
    </row>
    <row r="550" spans="1:21" x14ac:dyDescent="0.25">
      <c r="A550">
        <v>46052</v>
      </c>
      <c r="B550" t="s">
        <v>114</v>
      </c>
      <c r="C550" t="s">
        <v>115</v>
      </c>
      <c r="D550" t="s">
        <v>69</v>
      </c>
      <c r="E550" t="s">
        <v>49</v>
      </c>
      <c r="F550" t="s">
        <v>25</v>
      </c>
      <c r="G550" t="s">
        <v>107</v>
      </c>
      <c r="H550" t="s">
        <v>90</v>
      </c>
      <c r="I550" t="s">
        <v>28</v>
      </c>
      <c r="J550" t="s">
        <v>45</v>
      </c>
      <c r="K550">
        <v>8521</v>
      </c>
      <c r="L550">
        <v>277</v>
      </c>
      <c r="M550">
        <v>112.64</v>
      </c>
      <c r="N550">
        <v>9</v>
      </c>
      <c r="O550">
        <v>470.04</v>
      </c>
      <c r="P550">
        <f t="shared" si="32"/>
        <v>3.250792160544537E-2</v>
      </c>
      <c r="Q550">
        <f t="shared" si="32"/>
        <v>0.40664259927797836</v>
      </c>
      <c r="R550">
        <f t="shared" si="33"/>
        <v>12.515555555555556</v>
      </c>
      <c r="S550">
        <f t="shared" si="34"/>
        <v>4.1729403409090908</v>
      </c>
      <c r="T550">
        <f t="shared" si="35"/>
        <v>3.2490974729241874E-2</v>
      </c>
      <c r="U550" t="str">
        <f>YEAR('Campaign Data'!$A550)&amp;"-"&amp;TEXT(MONTH('Campaign Data'!$A550),"00")</f>
        <v>2026-01</v>
      </c>
    </row>
    <row r="551" spans="1:21" x14ac:dyDescent="0.25">
      <c r="A551">
        <v>46052</v>
      </c>
      <c r="B551" t="s">
        <v>143</v>
      </c>
      <c r="C551" t="s">
        <v>144</v>
      </c>
      <c r="D551" t="s">
        <v>48</v>
      </c>
      <c r="E551" t="s">
        <v>42</v>
      </c>
      <c r="F551" t="s">
        <v>25</v>
      </c>
      <c r="G551" t="s">
        <v>84</v>
      </c>
      <c r="H551" t="s">
        <v>27</v>
      </c>
      <c r="I551" t="s">
        <v>37</v>
      </c>
      <c r="J551" t="s">
        <v>62</v>
      </c>
      <c r="K551">
        <v>5654</v>
      </c>
      <c r="L551">
        <v>39</v>
      </c>
      <c r="M551">
        <v>207.63</v>
      </c>
      <c r="N551">
        <v>6</v>
      </c>
      <c r="O551">
        <v>906.75</v>
      </c>
      <c r="P551">
        <f t="shared" si="32"/>
        <v>6.8977714892111781E-3</v>
      </c>
      <c r="Q551">
        <f t="shared" si="32"/>
        <v>5.3238461538461541</v>
      </c>
      <c r="R551">
        <f t="shared" si="33"/>
        <v>34.604999999999997</v>
      </c>
      <c r="S551">
        <f t="shared" si="34"/>
        <v>4.3671434763762464</v>
      </c>
      <c r="T551">
        <f t="shared" si="35"/>
        <v>0.15384615384615385</v>
      </c>
      <c r="U551" t="str">
        <f>YEAR('Campaign Data'!$A551)&amp;"-"&amp;TEXT(MONTH('Campaign Data'!$A551),"00")</f>
        <v>2026-01</v>
      </c>
    </row>
    <row r="552" spans="1:21" x14ac:dyDescent="0.25">
      <c r="A552">
        <v>46052</v>
      </c>
      <c r="B552" t="s">
        <v>145</v>
      </c>
      <c r="C552" t="s">
        <v>146</v>
      </c>
      <c r="D552" t="s">
        <v>41</v>
      </c>
      <c r="E552" t="s">
        <v>49</v>
      </c>
      <c r="F552" t="s">
        <v>75</v>
      </c>
      <c r="G552" t="s">
        <v>70</v>
      </c>
      <c r="H552" t="s">
        <v>55</v>
      </c>
      <c r="I552" t="s">
        <v>37</v>
      </c>
      <c r="J552" t="s">
        <v>87</v>
      </c>
      <c r="K552">
        <v>3975</v>
      </c>
      <c r="L552">
        <v>296</v>
      </c>
      <c r="M552">
        <v>481.72</v>
      </c>
      <c r="N552">
        <v>4</v>
      </c>
      <c r="O552">
        <v>172.42</v>
      </c>
      <c r="P552">
        <f t="shared" si="32"/>
        <v>7.4465408805031441E-2</v>
      </c>
      <c r="Q552">
        <f t="shared" si="32"/>
        <v>1.6274324324324325</v>
      </c>
      <c r="R552">
        <f t="shared" si="33"/>
        <v>120.43</v>
      </c>
      <c r="S552">
        <f t="shared" si="34"/>
        <v>0.35792576600514819</v>
      </c>
      <c r="T552">
        <f t="shared" si="35"/>
        <v>1.3513513513513514E-2</v>
      </c>
      <c r="U552" t="str">
        <f>YEAR('Campaign Data'!$A552)&amp;"-"&amp;TEXT(MONTH('Campaign Data'!$A552),"00")</f>
        <v>2026-01</v>
      </c>
    </row>
    <row r="553" spans="1:21" x14ac:dyDescent="0.25">
      <c r="A553">
        <v>46053</v>
      </c>
      <c r="B553" t="s">
        <v>173</v>
      </c>
      <c r="C553" t="s">
        <v>174</v>
      </c>
      <c r="D553" t="s">
        <v>48</v>
      </c>
      <c r="E553" t="s">
        <v>74</v>
      </c>
      <c r="F553" t="s">
        <v>25</v>
      </c>
      <c r="G553" t="s">
        <v>9</v>
      </c>
      <c r="H553" t="s">
        <v>90</v>
      </c>
      <c r="I553" t="s">
        <v>28</v>
      </c>
      <c r="J553" t="s">
        <v>87</v>
      </c>
      <c r="K553">
        <v>7177</v>
      </c>
      <c r="L553">
        <v>267</v>
      </c>
      <c r="M553">
        <v>103.35</v>
      </c>
      <c r="N553">
        <v>16</v>
      </c>
      <c r="O553">
        <v>717.99</v>
      </c>
      <c r="P553">
        <f t="shared" si="32"/>
        <v>3.7202173610143517E-2</v>
      </c>
      <c r="Q553">
        <f t="shared" si="32"/>
        <v>0.38707865168539324</v>
      </c>
      <c r="R553">
        <f t="shared" si="33"/>
        <v>6.4593749999999996</v>
      </c>
      <c r="S553">
        <f t="shared" si="34"/>
        <v>6.9471698113207552</v>
      </c>
      <c r="T553">
        <f t="shared" si="35"/>
        <v>5.9925093632958802E-2</v>
      </c>
      <c r="U553" t="str">
        <f>YEAR('Campaign Data'!$A553)&amp;"-"&amp;TEXT(MONTH('Campaign Data'!$A553),"00")</f>
        <v>2026-01</v>
      </c>
    </row>
    <row r="554" spans="1:21" x14ac:dyDescent="0.25">
      <c r="A554">
        <v>46053</v>
      </c>
      <c r="B554" t="s">
        <v>173</v>
      </c>
      <c r="C554" t="s">
        <v>174</v>
      </c>
      <c r="D554" t="s">
        <v>48</v>
      </c>
      <c r="E554" t="s">
        <v>74</v>
      </c>
      <c r="F554" t="s">
        <v>25</v>
      </c>
      <c r="G554" t="s">
        <v>9</v>
      </c>
      <c r="H554" t="s">
        <v>71</v>
      </c>
      <c r="I554" t="s">
        <v>61</v>
      </c>
      <c r="J554" t="s">
        <v>62</v>
      </c>
      <c r="K554">
        <v>2906</v>
      </c>
      <c r="L554">
        <v>127</v>
      </c>
      <c r="M554">
        <v>157.16999999999999</v>
      </c>
      <c r="N554">
        <v>4</v>
      </c>
      <c r="O554">
        <v>391.12</v>
      </c>
      <c r="P554">
        <f t="shared" si="32"/>
        <v>4.3702684101858222E-2</v>
      </c>
      <c r="Q554">
        <f t="shared" si="32"/>
        <v>1.2375590551181102</v>
      </c>
      <c r="R554">
        <f t="shared" si="33"/>
        <v>39.292499999999997</v>
      </c>
      <c r="S554">
        <f t="shared" si="34"/>
        <v>2.488515620029268</v>
      </c>
      <c r="T554">
        <f t="shared" si="35"/>
        <v>3.1496062992125984E-2</v>
      </c>
      <c r="U554" t="str">
        <f>YEAR('Campaign Data'!$A554)&amp;"-"&amp;TEXT(MONTH('Campaign Data'!$A554),"00")</f>
        <v>2026-01</v>
      </c>
    </row>
    <row r="555" spans="1:21" x14ac:dyDescent="0.25">
      <c r="A555">
        <v>46053</v>
      </c>
      <c r="B555" t="s">
        <v>175</v>
      </c>
      <c r="C555" t="s">
        <v>176</v>
      </c>
      <c r="D555" t="s">
        <v>65</v>
      </c>
      <c r="E555" t="s">
        <v>49</v>
      </c>
      <c r="F555" t="s">
        <v>75</v>
      </c>
      <c r="G555" t="s">
        <v>70</v>
      </c>
      <c r="H555" t="s">
        <v>90</v>
      </c>
      <c r="I555" t="s">
        <v>37</v>
      </c>
      <c r="J555" t="s">
        <v>29</v>
      </c>
      <c r="K555">
        <v>3645</v>
      </c>
      <c r="L555">
        <v>121</v>
      </c>
      <c r="M555">
        <v>71.069999999999993</v>
      </c>
      <c r="N555">
        <v>7</v>
      </c>
      <c r="O555">
        <v>62.96</v>
      </c>
      <c r="P555">
        <f t="shared" si="32"/>
        <v>3.3196159122085046E-2</v>
      </c>
      <c r="Q555">
        <f t="shared" si="32"/>
        <v>0.58735537190082643</v>
      </c>
      <c r="R555">
        <f t="shared" si="33"/>
        <v>10.152857142857142</v>
      </c>
      <c r="S555">
        <f t="shared" si="34"/>
        <v>0.88588715351062342</v>
      </c>
      <c r="T555">
        <f t="shared" si="35"/>
        <v>5.7851239669421489E-2</v>
      </c>
      <c r="U555" t="str">
        <f>YEAR('Campaign Data'!$A555)&amp;"-"&amp;TEXT(MONTH('Campaign Data'!$A555),"00")</f>
        <v>2026-01</v>
      </c>
    </row>
    <row r="556" spans="1:21" x14ac:dyDescent="0.25">
      <c r="A556">
        <v>46053</v>
      </c>
      <c r="B556" t="s">
        <v>147</v>
      </c>
      <c r="C556" t="s">
        <v>148</v>
      </c>
      <c r="D556" t="s">
        <v>23</v>
      </c>
      <c r="E556" t="s">
        <v>42</v>
      </c>
      <c r="F556" t="s">
        <v>75</v>
      </c>
      <c r="G556" t="s">
        <v>44</v>
      </c>
      <c r="H556" t="s">
        <v>27</v>
      </c>
      <c r="I556" t="s">
        <v>37</v>
      </c>
      <c r="J556" t="s">
        <v>29</v>
      </c>
      <c r="K556">
        <v>17560</v>
      </c>
      <c r="L556">
        <v>142</v>
      </c>
      <c r="M556">
        <v>977.62</v>
      </c>
      <c r="N556">
        <v>8</v>
      </c>
      <c r="O556">
        <v>295.88</v>
      </c>
      <c r="P556">
        <f t="shared" si="32"/>
        <v>8.0865603644646924E-3</v>
      </c>
      <c r="Q556">
        <f t="shared" si="32"/>
        <v>6.8846478873239434</v>
      </c>
      <c r="R556">
        <f t="shared" si="33"/>
        <v>122.2025</v>
      </c>
      <c r="S556">
        <f t="shared" si="34"/>
        <v>0.30265338270493647</v>
      </c>
      <c r="T556">
        <f t="shared" si="35"/>
        <v>5.6338028169014086E-2</v>
      </c>
      <c r="U556" t="str">
        <f>YEAR('Campaign Data'!$A556)&amp;"-"&amp;TEXT(MONTH('Campaign Data'!$A556),"00")</f>
        <v>2026-01</v>
      </c>
    </row>
    <row r="557" spans="1:21" x14ac:dyDescent="0.25">
      <c r="A557">
        <v>46053</v>
      </c>
      <c r="B557" t="s">
        <v>125</v>
      </c>
      <c r="C557" t="s">
        <v>126</v>
      </c>
      <c r="D557" t="s">
        <v>41</v>
      </c>
      <c r="E557" t="s">
        <v>42</v>
      </c>
      <c r="F557" t="s">
        <v>81</v>
      </c>
      <c r="G557" t="s">
        <v>44</v>
      </c>
      <c r="H557" t="s">
        <v>60</v>
      </c>
      <c r="I557" t="s">
        <v>61</v>
      </c>
      <c r="J557" t="s">
        <v>38</v>
      </c>
      <c r="K557">
        <v>10006</v>
      </c>
      <c r="L557">
        <v>68</v>
      </c>
      <c r="M557">
        <v>374.17</v>
      </c>
      <c r="N557">
        <v>0</v>
      </c>
      <c r="O557">
        <v>0</v>
      </c>
      <c r="P557">
        <f t="shared" si="32"/>
        <v>6.7959224465320807E-3</v>
      </c>
      <c r="Q557">
        <f t="shared" si="32"/>
        <v>5.5025000000000004</v>
      </c>
      <c r="R557">
        <f t="shared" si="33"/>
        <v>0</v>
      </c>
      <c r="S557">
        <f t="shared" si="34"/>
        <v>0</v>
      </c>
      <c r="T557">
        <f t="shared" si="35"/>
        <v>0</v>
      </c>
      <c r="U557" t="str">
        <f>YEAR('Campaign Data'!$A557)&amp;"-"&amp;TEXT(MONTH('Campaign Data'!$A557),"00")</f>
        <v>2026-01</v>
      </c>
    </row>
    <row r="558" spans="1:21" x14ac:dyDescent="0.25">
      <c r="A558">
        <v>46053</v>
      </c>
      <c r="B558" t="s">
        <v>149</v>
      </c>
      <c r="C558" t="s">
        <v>150</v>
      </c>
      <c r="D558" t="s">
        <v>65</v>
      </c>
      <c r="E558" t="s">
        <v>33</v>
      </c>
      <c r="F558" t="s">
        <v>43</v>
      </c>
      <c r="G558" t="s">
        <v>59</v>
      </c>
      <c r="H558" t="s">
        <v>90</v>
      </c>
      <c r="I558" t="s">
        <v>28</v>
      </c>
      <c r="J558" t="s">
        <v>29</v>
      </c>
      <c r="K558">
        <v>3779</v>
      </c>
      <c r="L558">
        <v>26</v>
      </c>
      <c r="M558">
        <v>4.55</v>
      </c>
      <c r="N558">
        <v>1</v>
      </c>
      <c r="O558">
        <v>7.83</v>
      </c>
      <c r="P558">
        <f t="shared" si="32"/>
        <v>6.880127017729558E-3</v>
      </c>
      <c r="Q558">
        <f t="shared" si="32"/>
        <v>0.17499999999999999</v>
      </c>
      <c r="R558">
        <f t="shared" si="33"/>
        <v>4.55</v>
      </c>
      <c r="S558">
        <f t="shared" si="34"/>
        <v>1.720879120879121</v>
      </c>
      <c r="T558">
        <f t="shared" si="35"/>
        <v>3.8461538461538464E-2</v>
      </c>
      <c r="U558" t="str">
        <f>YEAR('Campaign Data'!$A558)&amp;"-"&amp;TEXT(MONTH('Campaign Data'!$A558),"00")</f>
        <v>2026-01</v>
      </c>
    </row>
    <row r="559" spans="1:21" x14ac:dyDescent="0.25">
      <c r="A559">
        <v>46053</v>
      </c>
      <c r="B559" t="s">
        <v>39</v>
      </c>
      <c r="C559" t="s">
        <v>40</v>
      </c>
      <c r="D559" t="s">
        <v>41</v>
      </c>
      <c r="E559" t="s">
        <v>42</v>
      </c>
      <c r="F559" t="s">
        <v>43</v>
      </c>
      <c r="G559" t="s">
        <v>44</v>
      </c>
      <c r="H559" t="s">
        <v>51</v>
      </c>
      <c r="I559" t="s">
        <v>37</v>
      </c>
      <c r="J559" t="s">
        <v>38</v>
      </c>
      <c r="K559">
        <v>2381</v>
      </c>
      <c r="L559">
        <v>8</v>
      </c>
      <c r="M559">
        <v>42.55</v>
      </c>
      <c r="N559">
        <v>0</v>
      </c>
      <c r="O559">
        <v>0</v>
      </c>
      <c r="P559">
        <f t="shared" si="32"/>
        <v>3.3599328013439733E-3</v>
      </c>
      <c r="Q559">
        <f t="shared" si="32"/>
        <v>5.3187499999999996</v>
      </c>
      <c r="R559">
        <f t="shared" si="33"/>
        <v>0</v>
      </c>
      <c r="S559">
        <f t="shared" si="34"/>
        <v>0</v>
      </c>
      <c r="T559">
        <f t="shared" si="35"/>
        <v>0</v>
      </c>
      <c r="U559" t="str">
        <f>YEAR('Campaign Data'!$A559)&amp;"-"&amp;TEXT(MONTH('Campaign Data'!$A559),"00")</f>
        <v>2026-01</v>
      </c>
    </row>
    <row r="560" spans="1:21" x14ac:dyDescent="0.25">
      <c r="A560">
        <v>46053</v>
      </c>
      <c r="B560" t="s">
        <v>127</v>
      </c>
      <c r="C560" t="s">
        <v>128</v>
      </c>
      <c r="D560" t="s">
        <v>58</v>
      </c>
      <c r="E560" t="s">
        <v>24</v>
      </c>
      <c r="F560" t="s">
        <v>81</v>
      </c>
      <c r="G560" t="s">
        <v>129</v>
      </c>
      <c r="H560" t="s">
        <v>36</v>
      </c>
      <c r="I560" t="s">
        <v>37</v>
      </c>
      <c r="J560" t="s">
        <v>38</v>
      </c>
      <c r="K560">
        <v>33312</v>
      </c>
      <c r="L560">
        <v>364</v>
      </c>
      <c r="M560">
        <v>374.35</v>
      </c>
      <c r="N560">
        <v>5</v>
      </c>
      <c r="O560">
        <v>141.18</v>
      </c>
      <c r="P560">
        <f t="shared" si="32"/>
        <v>1.0926993275696446E-2</v>
      </c>
      <c r="Q560">
        <f t="shared" si="32"/>
        <v>1.0284340659340661</v>
      </c>
      <c r="R560">
        <f t="shared" si="33"/>
        <v>74.87</v>
      </c>
      <c r="S560">
        <f t="shared" si="34"/>
        <v>0.37713369841057831</v>
      </c>
      <c r="T560">
        <f t="shared" si="35"/>
        <v>1.3736263736263736E-2</v>
      </c>
      <c r="U560" t="str">
        <f>YEAR('Campaign Data'!$A560)&amp;"-"&amp;TEXT(MONTH('Campaign Data'!$A560),"00")</f>
        <v>2026-01</v>
      </c>
    </row>
    <row r="561" spans="1:21" x14ac:dyDescent="0.25">
      <c r="A561">
        <v>46053</v>
      </c>
      <c r="B561" t="s">
        <v>127</v>
      </c>
      <c r="C561" t="s">
        <v>128</v>
      </c>
      <c r="D561" t="s">
        <v>58</v>
      </c>
      <c r="E561" t="s">
        <v>24</v>
      </c>
      <c r="F561" t="s">
        <v>81</v>
      </c>
      <c r="G561" t="s">
        <v>129</v>
      </c>
      <c r="H561" t="s">
        <v>27</v>
      </c>
      <c r="I561" t="s">
        <v>37</v>
      </c>
      <c r="J561" t="s">
        <v>45</v>
      </c>
      <c r="K561">
        <v>3955</v>
      </c>
      <c r="L561">
        <v>64</v>
      </c>
      <c r="M561">
        <v>65.95</v>
      </c>
      <c r="N561">
        <v>1</v>
      </c>
      <c r="O561">
        <v>22.07</v>
      </c>
      <c r="P561">
        <f t="shared" si="32"/>
        <v>1.6182048040455119E-2</v>
      </c>
      <c r="Q561">
        <f t="shared" si="32"/>
        <v>1.03046875</v>
      </c>
      <c r="R561">
        <f t="shared" si="33"/>
        <v>65.95</v>
      </c>
      <c r="S561">
        <f t="shared" si="34"/>
        <v>0.334647460197119</v>
      </c>
      <c r="T561">
        <f t="shared" si="35"/>
        <v>1.5625E-2</v>
      </c>
      <c r="U561" t="str">
        <f>YEAR('Campaign Data'!$A561)&amp;"-"&amp;TEXT(MONTH('Campaign Data'!$A561),"00")</f>
        <v>2026-01</v>
      </c>
    </row>
    <row r="562" spans="1:21" x14ac:dyDescent="0.25">
      <c r="A562">
        <v>46053</v>
      </c>
      <c r="B562" t="s">
        <v>103</v>
      </c>
      <c r="C562" t="s">
        <v>104</v>
      </c>
      <c r="D562" t="s">
        <v>65</v>
      </c>
      <c r="E562" t="s">
        <v>33</v>
      </c>
      <c r="F562" t="s">
        <v>43</v>
      </c>
      <c r="G562" t="s">
        <v>102</v>
      </c>
      <c r="H562" t="s">
        <v>90</v>
      </c>
      <c r="I562" t="s">
        <v>37</v>
      </c>
      <c r="J562" t="s">
        <v>45</v>
      </c>
      <c r="K562">
        <v>3629</v>
      </c>
      <c r="L562">
        <v>31</v>
      </c>
      <c r="M562">
        <v>3.38</v>
      </c>
      <c r="N562">
        <v>1</v>
      </c>
      <c r="O562">
        <v>7.75</v>
      </c>
      <c r="P562">
        <f t="shared" si="32"/>
        <v>8.5422981537613667E-3</v>
      </c>
      <c r="Q562">
        <f t="shared" si="32"/>
        <v>0.10903225806451612</v>
      </c>
      <c r="R562">
        <f t="shared" si="33"/>
        <v>3.38</v>
      </c>
      <c r="S562">
        <f t="shared" si="34"/>
        <v>2.2928994082840237</v>
      </c>
      <c r="T562">
        <f t="shared" si="35"/>
        <v>3.2258064516129031E-2</v>
      </c>
      <c r="U562" t="str">
        <f>YEAR('Campaign Data'!$A562)&amp;"-"&amp;TEXT(MONTH('Campaign Data'!$A562),"00")</f>
        <v>2026-01</v>
      </c>
    </row>
    <row r="563" spans="1:21" x14ac:dyDescent="0.25">
      <c r="A563">
        <v>46053</v>
      </c>
      <c r="B563" t="s">
        <v>105</v>
      </c>
      <c r="C563" t="s">
        <v>106</v>
      </c>
      <c r="D563" t="s">
        <v>58</v>
      </c>
      <c r="E563" t="s">
        <v>49</v>
      </c>
      <c r="F563" t="s">
        <v>81</v>
      </c>
      <c r="G563" t="s">
        <v>107</v>
      </c>
      <c r="H563" t="s">
        <v>55</v>
      </c>
      <c r="I563" t="s">
        <v>28</v>
      </c>
      <c r="J563" t="s">
        <v>38</v>
      </c>
      <c r="K563">
        <v>3898</v>
      </c>
      <c r="L563">
        <v>178</v>
      </c>
      <c r="M563">
        <v>266.02999999999997</v>
      </c>
      <c r="N563">
        <v>9</v>
      </c>
      <c r="O563">
        <v>188.64</v>
      </c>
      <c r="P563">
        <f t="shared" si="32"/>
        <v>4.5664443304258596E-2</v>
      </c>
      <c r="Q563">
        <f t="shared" si="32"/>
        <v>1.4945505617977526</v>
      </c>
      <c r="R563">
        <f t="shared" si="33"/>
        <v>29.558888888888887</v>
      </c>
      <c r="S563">
        <f t="shared" si="34"/>
        <v>0.70909295944066464</v>
      </c>
      <c r="T563">
        <f t="shared" si="35"/>
        <v>5.0561797752808987E-2</v>
      </c>
      <c r="U563" t="str">
        <f>YEAR('Campaign Data'!$A563)&amp;"-"&amp;TEXT(MONTH('Campaign Data'!$A563),"00")</f>
        <v>2026-01</v>
      </c>
    </row>
    <row r="564" spans="1:21" x14ac:dyDescent="0.25">
      <c r="A564">
        <v>46053</v>
      </c>
      <c r="B564" t="s">
        <v>179</v>
      </c>
      <c r="C564" t="s">
        <v>180</v>
      </c>
      <c r="D564" t="s">
        <v>58</v>
      </c>
      <c r="E564" t="s">
        <v>42</v>
      </c>
      <c r="F564" t="s">
        <v>25</v>
      </c>
      <c r="G564" t="s">
        <v>54</v>
      </c>
      <c r="H564" t="s">
        <v>55</v>
      </c>
      <c r="I564" t="s">
        <v>61</v>
      </c>
      <c r="J564" t="s">
        <v>29</v>
      </c>
      <c r="K564">
        <v>3988</v>
      </c>
      <c r="L564">
        <v>20</v>
      </c>
      <c r="M564">
        <v>102.16</v>
      </c>
      <c r="N564">
        <v>0</v>
      </c>
      <c r="O564">
        <v>0</v>
      </c>
      <c r="P564">
        <f t="shared" si="32"/>
        <v>5.0150451354062184E-3</v>
      </c>
      <c r="Q564">
        <f t="shared" si="32"/>
        <v>5.1079999999999997</v>
      </c>
      <c r="R564">
        <f t="shared" si="33"/>
        <v>0</v>
      </c>
      <c r="S564">
        <f t="shared" si="34"/>
        <v>0</v>
      </c>
      <c r="T564">
        <f t="shared" si="35"/>
        <v>0</v>
      </c>
      <c r="U564" t="str">
        <f>YEAR('Campaign Data'!$A564)&amp;"-"&amp;TEXT(MONTH('Campaign Data'!$A564),"00")</f>
        <v>2026-01</v>
      </c>
    </row>
    <row r="565" spans="1:21" x14ac:dyDescent="0.25">
      <c r="A565">
        <v>46053</v>
      </c>
      <c r="B565" t="s">
        <v>159</v>
      </c>
      <c r="C565" t="s">
        <v>160</v>
      </c>
      <c r="D565" t="s">
        <v>65</v>
      </c>
      <c r="E565" t="s">
        <v>42</v>
      </c>
      <c r="F565" t="s">
        <v>75</v>
      </c>
      <c r="G565" t="s">
        <v>54</v>
      </c>
      <c r="H565" t="s">
        <v>36</v>
      </c>
      <c r="I565" t="s">
        <v>37</v>
      </c>
      <c r="J565" t="s">
        <v>45</v>
      </c>
      <c r="K565">
        <v>10298</v>
      </c>
      <c r="L565">
        <v>27</v>
      </c>
      <c r="M565">
        <v>150.35</v>
      </c>
      <c r="N565">
        <v>0</v>
      </c>
      <c r="O565">
        <v>0</v>
      </c>
      <c r="P565">
        <f t="shared" si="32"/>
        <v>2.6218683239463973E-3</v>
      </c>
      <c r="Q565">
        <f t="shared" si="32"/>
        <v>5.568518518518518</v>
      </c>
      <c r="R565">
        <f t="shared" si="33"/>
        <v>0</v>
      </c>
      <c r="S565">
        <f t="shared" si="34"/>
        <v>0</v>
      </c>
      <c r="T565">
        <f t="shared" si="35"/>
        <v>0</v>
      </c>
      <c r="U565" t="str">
        <f>YEAR('Campaign Data'!$A565)&amp;"-"&amp;TEXT(MONTH('Campaign Data'!$A565),"00")</f>
        <v>2026-01</v>
      </c>
    </row>
    <row r="566" spans="1:21" x14ac:dyDescent="0.25">
      <c r="A566">
        <v>46053</v>
      </c>
      <c r="B566" t="s">
        <v>159</v>
      </c>
      <c r="C566" t="s">
        <v>160</v>
      </c>
      <c r="D566" t="s">
        <v>65</v>
      </c>
      <c r="E566" t="s">
        <v>42</v>
      </c>
      <c r="F566" t="s">
        <v>75</v>
      </c>
      <c r="G566" t="s">
        <v>54</v>
      </c>
      <c r="H566" t="s">
        <v>27</v>
      </c>
      <c r="I566" t="s">
        <v>37</v>
      </c>
      <c r="J566" t="s">
        <v>62</v>
      </c>
      <c r="K566">
        <v>2022</v>
      </c>
      <c r="L566">
        <v>12</v>
      </c>
      <c r="M566">
        <v>93.69</v>
      </c>
      <c r="N566">
        <v>0</v>
      </c>
      <c r="O566">
        <v>0</v>
      </c>
      <c r="P566">
        <f t="shared" si="32"/>
        <v>5.9347181008902079E-3</v>
      </c>
      <c r="Q566">
        <f t="shared" si="32"/>
        <v>7.8075000000000001</v>
      </c>
      <c r="R566">
        <f t="shared" si="33"/>
        <v>0</v>
      </c>
      <c r="S566">
        <f t="shared" si="34"/>
        <v>0</v>
      </c>
      <c r="T566">
        <f t="shared" si="35"/>
        <v>0</v>
      </c>
      <c r="U566" t="str">
        <f>YEAR('Campaign Data'!$A566)&amp;"-"&amp;TEXT(MONTH('Campaign Data'!$A566),"00")</f>
        <v>2026-01</v>
      </c>
    </row>
    <row r="567" spans="1:21" x14ac:dyDescent="0.25">
      <c r="A567">
        <v>46053</v>
      </c>
      <c r="B567" t="s">
        <v>159</v>
      </c>
      <c r="C567" t="s">
        <v>160</v>
      </c>
      <c r="D567" t="s">
        <v>65</v>
      </c>
      <c r="E567" t="s">
        <v>42</v>
      </c>
      <c r="F567" t="s">
        <v>75</v>
      </c>
      <c r="G567" t="s">
        <v>54</v>
      </c>
      <c r="H567" t="s">
        <v>60</v>
      </c>
      <c r="I567" t="s">
        <v>28</v>
      </c>
      <c r="J567" t="s">
        <v>29</v>
      </c>
      <c r="K567">
        <v>12024</v>
      </c>
      <c r="L567">
        <v>81</v>
      </c>
      <c r="M567">
        <v>521.37</v>
      </c>
      <c r="N567">
        <v>4</v>
      </c>
      <c r="O567">
        <v>139.52000000000001</v>
      </c>
      <c r="P567">
        <f t="shared" si="32"/>
        <v>6.7365269461077846E-3</v>
      </c>
      <c r="Q567">
        <f t="shared" si="32"/>
        <v>6.4366666666666665</v>
      </c>
      <c r="R567">
        <f t="shared" si="33"/>
        <v>130.3425</v>
      </c>
      <c r="S567">
        <f t="shared" si="34"/>
        <v>0.26760266221685175</v>
      </c>
      <c r="T567">
        <f t="shared" si="35"/>
        <v>4.9382716049382713E-2</v>
      </c>
      <c r="U567" t="str">
        <f>YEAR('Campaign Data'!$A567)&amp;"-"&amp;TEXT(MONTH('Campaign Data'!$A567),"00")</f>
        <v>2026-01</v>
      </c>
    </row>
    <row r="568" spans="1:21" x14ac:dyDescent="0.25">
      <c r="A568">
        <v>46053</v>
      </c>
      <c r="B568" t="s">
        <v>181</v>
      </c>
      <c r="C568" t="s">
        <v>182</v>
      </c>
      <c r="D568" t="s">
        <v>32</v>
      </c>
      <c r="E568" t="s">
        <v>33</v>
      </c>
      <c r="F568" t="s">
        <v>75</v>
      </c>
      <c r="G568" t="s">
        <v>59</v>
      </c>
      <c r="H568" t="s">
        <v>27</v>
      </c>
      <c r="I568" t="s">
        <v>28</v>
      </c>
      <c r="J568" t="s">
        <v>87</v>
      </c>
      <c r="K568">
        <v>1468</v>
      </c>
      <c r="L568">
        <v>15</v>
      </c>
      <c r="M568">
        <v>12.19</v>
      </c>
      <c r="N568">
        <v>0</v>
      </c>
      <c r="O568">
        <v>0</v>
      </c>
      <c r="P568">
        <f t="shared" si="32"/>
        <v>1.0217983651226158E-2</v>
      </c>
      <c r="Q568">
        <f t="shared" si="32"/>
        <v>0.81266666666666665</v>
      </c>
      <c r="R568">
        <f t="shared" si="33"/>
        <v>0</v>
      </c>
      <c r="S568">
        <f t="shared" si="34"/>
        <v>0</v>
      </c>
      <c r="T568">
        <f t="shared" si="35"/>
        <v>0</v>
      </c>
      <c r="U568" t="str">
        <f>YEAR('Campaign Data'!$A568)&amp;"-"&amp;TEXT(MONTH('Campaign Data'!$A568),"00")</f>
        <v>2026-01</v>
      </c>
    </row>
    <row r="569" spans="1:21" x14ac:dyDescent="0.25">
      <c r="A569">
        <v>46053</v>
      </c>
      <c r="B569" t="s">
        <v>141</v>
      </c>
      <c r="C569" t="s">
        <v>142</v>
      </c>
      <c r="D569" t="s">
        <v>80</v>
      </c>
      <c r="E569" t="s">
        <v>49</v>
      </c>
      <c r="F569" t="s">
        <v>81</v>
      </c>
      <c r="G569" t="s">
        <v>97</v>
      </c>
      <c r="H569" t="s">
        <v>27</v>
      </c>
      <c r="I569" t="s">
        <v>28</v>
      </c>
      <c r="J569" t="s">
        <v>38</v>
      </c>
      <c r="K569">
        <v>16654</v>
      </c>
      <c r="L569">
        <v>706</v>
      </c>
      <c r="M569">
        <v>1862.56</v>
      </c>
      <c r="N569">
        <v>25</v>
      </c>
      <c r="O569">
        <v>678.25</v>
      </c>
      <c r="P569">
        <f t="shared" si="32"/>
        <v>4.2392218085745163E-2</v>
      </c>
      <c r="Q569">
        <f t="shared" si="32"/>
        <v>2.6381869688385269</v>
      </c>
      <c r="R569">
        <f t="shared" si="33"/>
        <v>74.502399999999994</v>
      </c>
      <c r="S569">
        <f t="shared" si="34"/>
        <v>0.3641493428399622</v>
      </c>
      <c r="T569">
        <f t="shared" si="35"/>
        <v>3.5410764872521247E-2</v>
      </c>
      <c r="U569" t="str">
        <f>YEAR('Campaign Data'!$A569)&amp;"-"&amp;TEXT(MONTH('Campaign Data'!$A569),"00")</f>
        <v>2026-01</v>
      </c>
    </row>
    <row r="570" spans="1:21" x14ac:dyDescent="0.25">
      <c r="A570">
        <v>46053</v>
      </c>
      <c r="B570" t="s">
        <v>183</v>
      </c>
      <c r="C570" t="s">
        <v>184</v>
      </c>
      <c r="D570" t="s">
        <v>23</v>
      </c>
      <c r="E570" t="s">
        <v>24</v>
      </c>
      <c r="F570" t="s">
        <v>81</v>
      </c>
      <c r="G570" t="s">
        <v>185</v>
      </c>
      <c r="H570" t="s">
        <v>55</v>
      </c>
      <c r="I570" t="s">
        <v>37</v>
      </c>
      <c r="J570" t="s">
        <v>38</v>
      </c>
      <c r="K570">
        <v>12624</v>
      </c>
      <c r="L570">
        <v>137</v>
      </c>
      <c r="M570">
        <v>151.13999999999999</v>
      </c>
      <c r="N570">
        <v>4</v>
      </c>
      <c r="O570">
        <v>58.02</v>
      </c>
      <c r="P570">
        <f t="shared" si="32"/>
        <v>1.085234474017744E-2</v>
      </c>
      <c r="Q570">
        <f t="shared" si="32"/>
        <v>1.1032116788321167</v>
      </c>
      <c r="R570">
        <f t="shared" si="33"/>
        <v>37.784999999999997</v>
      </c>
      <c r="S570">
        <f t="shared" si="34"/>
        <v>0.38388249305279881</v>
      </c>
      <c r="T570">
        <f t="shared" si="35"/>
        <v>2.9197080291970802E-2</v>
      </c>
      <c r="U570" t="str">
        <f>YEAR('Campaign Data'!$A570)&amp;"-"&amp;TEXT(MONTH('Campaign Data'!$A570),"00")</f>
        <v>2026-01</v>
      </c>
    </row>
    <row r="571" spans="1:21" x14ac:dyDescent="0.25">
      <c r="A571">
        <v>46053</v>
      </c>
      <c r="B571" t="s">
        <v>116</v>
      </c>
      <c r="C571" t="s">
        <v>117</v>
      </c>
      <c r="D571" t="s">
        <v>48</v>
      </c>
      <c r="E571" t="s">
        <v>24</v>
      </c>
      <c r="F571" t="s">
        <v>43</v>
      </c>
      <c r="G571" t="s">
        <v>26</v>
      </c>
      <c r="H571" t="s">
        <v>51</v>
      </c>
      <c r="I571" t="s">
        <v>37</v>
      </c>
      <c r="J571" t="s">
        <v>62</v>
      </c>
      <c r="K571">
        <v>4863</v>
      </c>
      <c r="L571">
        <v>106</v>
      </c>
      <c r="M571">
        <v>140.6</v>
      </c>
      <c r="N571">
        <v>3</v>
      </c>
      <c r="O571">
        <v>62.4</v>
      </c>
      <c r="P571">
        <f t="shared" si="32"/>
        <v>2.1797244499280281E-2</v>
      </c>
      <c r="Q571">
        <f t="shared" si="32"/>
        <v>1.3264150943396227</v>
      </c>
      <c r="R571">
        <f t="shared" si="33"/>
        <v>46.866666666666667</v>
      </c>
      <c r="S571">
        <f t="shared" si="34"/>
        <v>0.44381223328591751</v>
      </c>
      <c r="T571">
        <f t="shared" si="35"/>
        <v>2.8301886792452831E-2</v>
      </c>
      <c r="U571" t="str">
        <f>YEAR('Campaign Data'!$A571)&amp;"-"&amp;TEXT(MONTH('Campaign Data'!$A571),"00")</f>
        <v>2026-01</v>
      </c>
    </row>
    <row r="572" spans="1:21" x14ac:dyDescent="0.25">
      <c r="A572">
        <v>46053</v>
      </c>
      <c r="B572" t="s">
        <v>116</v>
      </c>
      <c r="C572" t="s">
        <v>117</v>
      </c>
      <c r="D572" t="s">
        <v>48</v>
      </c>
      <c r="E572" t="s">
        <v>24</v>
      </c>
      <c r="F572" t="s">
        <v>43</v>
      </c>
      <c r="G572" t="s">
        <v>26</v>
      </c>
      <c r="H572" t="s">
        <v>51</v>
      </c>
      <c r="I572" t="s">
        <v>37</v>
      </c>
      <c r="J572" t="s">
        <v>62</v>
      </c>
      <c r="K572">
        <v>10910</v>
      </c>
      <c r="L572">
        <v>217</v>
      </c>
      <c r="M572">
        <v>262.57</v>
      </c>
      <c r="N572">
        <v>5</v>
      </c>
      <c r="O572">
        <v>146.26</v>
      </c>
      <c r="P572">
        <f t="shared" si="32"/>
        <v>1.989000916590284E-2</v>
      </c>
      <c r="Q572">
        <f t="shared" si="32"/>
        <v>1.21</v>
      </c>
      <c r="R572">
        <f t="shared" si="33"/>
        <v>52.513999999999996</v>
      </c>
      <c r="S572">
        <f t="shared" si="34"/>
        <v>0.55703241040484441</v>
      </c>
      <c r="T572">
        <f t="shared" si="35"/>
        <v>2.3041474654377881E-2</v>
      </c>
      <c r="U572" t="str">
        <f>YEAR('Campaign Data'!$A572)&amp;"-"&amp;TEXT(MONTH('Campaign Data'!$A572),"00")</f>
        <v>2026-01</v>
      </c>
    </row>
    <row r="573" spans="1:21" x14ac:dyDescent="0.25">
      <c r="A573">
        <v>46053</v>
      </c>
      <c r="B573" t="s">
        <v>163</v>
      </c>
      <c r="C573" t="s">
        <v>164</v>
      </c>
      <c r="D573" t="s">
        <v>58</v>
      </c>
      <c r="E573" t="s">
        <v>42</v>
      </c>
      <c r="F573" t="s">
        <v>43</v>
      </c>
      <c r="G573" t="s">
        <v>44</v>
      </c>
      <c r="H573" t="s">
        <v>60</v>
      </c>
      <c r="I573" t="s">
        <v>37</v>
      </c>
      <c r="J573" t="s">
        <v>62</v>
      </c>
      <c r="K573">
        <v>1662</v>
      </c>
      <c r="L573">
        <v>9</v>
      </c>
      <c r="M573">
        <v>53.21</v>
      </c>
      <c r="N573">
        <v>0</v>
      </c>
      <c r="O573">
        <v>0</v>
      </c>
      <c r="P573">
        <f t="shared" si="32"/>
        <v>5.415162454873646E-3</v>
      </c>
      <c r="Q573">
        <f t="shared" si="32"/>
        <v>5.9122222222222227</v>
      </c>
      <c r="R573">
        <f t="shared" si="33"/>
        <v>0</v>
      </c>
      <c r="S573">
        <f t="shared" si="34"/>
        <v>0</v>
      </c>
      <c r="T573">
        <f t="shared" si="35"/>
        <v>0</v>
      </c>
      <c r="U573" t="str">
        <f>YEAR('Campaign Data'!$A573)&amp;"-"&amp;TEXT(MONTH('Campaign Data'!$A573),"00")</f>
        <v>2026-01</v>
      </c>
    </row>
    <row r="574" spans="1:21" x14ac:dyDescent="0.25">
      <c r="A574">
        <v>46053</v>
      </c>
      <c r="B574" t="s">
        <v>78</v>
      </c>
      <c r="C574" t="s">
        <v>79</v>
      </c>
      <c r="D574" t="s">
        <v>80</v>
      </c>
      <c r="E574" t="s">
        <v>24</v>
      </c>
      <c r="F574" t="s">
        <v>81</v>
      </c>
      <c r="G574" t="s">
        <v>66</v>
      </c>
      <c r="H574" t="s">
        <v>27</v>
      </c>
      <c r="I574" t="s">
        <v>61</v>
      </c>
      <c r="J574" t="s">
        <v>62</v>
      </c>
      <c r="K574">
        <v>4671</v>
      </c>
      <c r="L574">
        <v>70</v>
      </c>
      <c r="M574">
        <v>88.87</v>
      </c>
      <c r="N574">
        <v>3</v>
      </c>
      <c r="O574">
        <v>89.63</v>
      </c>
      <c r="P574">
        <f t="shared" si="32"/>
        <v>1.49860843502462E-2</v>
      </c>
      <c r="Q574">
        <f t="shared" si="32"/>
        <v>1.2695714285714286</v>
      </c>
      <c r="R574">
        <f t="shared" si="33"/>
        <v>29.623333333333335</v>
      </c>
      <c r="S574">
        <f t="shared" si="34"/>
        <v>1.0085518172611678</v>
      </c>
      <c r="T574">
        <f t="shared" si="35"/>
        <v>4.2857142857142858E-2</v>
      </c>
      <c r="U574" t="str">
        <f>YEAR('Campaign Data'!$A574)&amp;"-"&amp;TEXT(MONTH('Campaign Data'!$A574),"00")</f>
        <v>2026-01</v>
      </c>
    </row>
    <row r="575" spans="1:21" x14ac:dyDescent="0.25">
      <c r="A575">
        <v>46054</v>
      </c>
      <c r="B575" t="s">
        <v>165</v>
      </c>
      <c r="C575" t="s">
        <v>166</v>
      </c>
      <c r="D575" t="s">
        <v>41</v>
      </c>
      <c r="E575" t="s">
        <v>33</v>
      </c>
      <c r="F575" t="s">
        <v>43</v>
      </c>
      <c r="G575" t="s">
        <v>59</v>
      </c>
      <c r="H575" t="s">
        <v>60</v>
      </c>
      <c r="I575" t="s">
        <v>28</v>
      </c>
      <c r="J575" t="s">
        <v>29</v>
      </c>
      <c r="K575">
        <v>3453</v>
      </c>
      <c r="L575">
        <v>37</v>
      </c>
      <c r="M575">
        <v>21.31</v>
      </c>
      <c r="N575">
        <v>1</v>
      </c>
      <c r="O575">
        <v>16.39</v>
      </c>
      <c r="P575">
        <f t="shared" si="32"/>
        <v>1.071532001158413E-2</v>
      </c>
      <c r="Q575">
        <f t="shared" si="32"/>
        <v>0.57594594594594595</v>
      </c>
      <c r="R575">
        <f t="shared" si="33"/>
        <v>21.31</v>
      </c>
      <c r="S575">
        <f t="shared" si="34"/>
        <v>0.76912247770999542</v>
      </c>
      <c r="T575">
        <f t="shared" si="35"/>
        <v>2.7027027027027029E-2</v>
      </c>
      <c r="U575" t="str">
        <f>YEAR('Campaign Data'!$A575)&amp;"-"&amp;TEXT(MONTH('Campaign Data'!$A575),"00")</f>
        <v>2026-02</v>
      </c>
    </row>
    <row r="576" spans="1:21" x14ac:dyDescent="0.25">
      <c r="A576">
        <v>46054</v>
      </c>
      <c r="B576" t="s">
        <v>138</v>
      </c>
      <c r="C576" t="s">
        <v>139</v>
      </c>
      <c r="D576" t="s">
        <v>58</v>
      </c>
      <c r="E576" t="s">
        <v>74</v>
      </c>
      <c r="F576" t="s">
        <v>34</v>
      </c>
      <c r="G576" t="s">
        <v>9</v>
      </c>
      <c r="H576" t="s">
        <v>36</v>
      </c>
      <c r="I576" t="s">
        <v>37</v>
      </c>
      <c r="J576" t="s">
        <v>38</v>
      </c>
      <c r="K576">
        <v>2413</v>
      </c>
      <c r="L576">
        <v>79</v>
      </c>
      <c r="M576">
        <v>77.23</v>
      </c>
      <c r="N576">
        <v>6</v>
      </c>
      <c r="O576">
        <v>829.32</v>
      </c>
      <c r="P576">
        <f t="shared" si="32"/>
        <v>3.2739328636552011E-2</v>
      </c>
      <c r="Q576">
        <f t="shared" si="32"/>
        <v>0.97759493670886077</v>
      </c>
      <c r="R576">
        <f t="shared" si="33"/>
        <v>12.871666666666668</v>
      </c>
      <c r="S576">
        <f t="shared" si="34"/>
        <v>10.738314126634728</v>
      </c>
      <c r="T576">
        <f t="shared" si="35"/>
        <v>7.5949367088607597E-2</v>
      </c>
      <c r="U576" t="str">
        <f>YEAR('Campaign Data'!$A576)&amp;"-"&amp;TEXT(MONTH('Campaign Data'!$A576),"00")</f>
        <v>2026-02</v>
      </c>
    </row>
    <row r="577" spans="1:21" x14ac:dyDescent="0.25">
      <c r="A577">
        <v>46054</v>
      </c>
      <c r="B577" t="s">
        <v>149</v>
      </c>
      <c r="C577" t="s">
        <v>150</v>
      </c>
      <c r="D577" t="s">
        <v>65</v>
      </c>
      <c r="E577" t="s">
        <v>33</v>
      </c>
      <c r="F577" t="s">
        <v>43</v>
      </c>
      <c r="G577" t="s">
        <v>59</v>
      </c>
      <c r="H577" t="s">
        <v>55</v>
      </c>
      <c r="I577" t="s">
        <v>37</v>
      </c>
      <c r="J577" t="s">
        <v>62</v>
      </c>
      <c r="K577">
        <v>6562</v>
      </c>
      <c r="L577">
        <v>93</v>
      </c>
      <c r="M577">
        <v>51.78</v>
      </c>
      <c r="N577">
        <v>2</v>
      </c>
      <c r="O577">
        <v>25.54</v>
      </c>
      <c r="P577">
        <f t="shared" si="32"/>
        <v>1.4172508381590978E-2</v>
      </c>
      <c r="Q577">
        <f t="shared" si="32"/>
        <v>0.55677419354838709</v>
      </c>
      <c r="R577">
        <f t="shared" si="33"/>
        <v>25.89</v>
      </c>
      <c r="S577">
        <f t="shared" si="34"/>
        <v>0.49324063344920815</v>
      </c>
      <c r="T577">
        <f t="shared" si="35"/>
        <v>2.1505376344086023E-2</v>
      </c>
      <c r="U577" t="str">
        <f>YEAR('Campaign Data'!$A577)&amp;"-"&amp;TEXT(MONTH('Campaign Data'!$A577),"00")</f>
        <v>2026-02</v>
      </c>
    </row>
    <row r="578" spans="1:21" x14ac:dyDescent="0.25">
      <c r="A578">
        <v>46054</v>
      </c>
      <c r="B578" t="s">
        <v>149</v>
      </c>
      <c r="C578" t="s">
        <v>150</v>
      </c>
      <c r="D578" t="s">
        <v>65</v>
      </c>
      <c r="E578" t="s">
        <v>33</v>
      </c>
      <c r="F578" t="s">
        <v>43</v>
      </c>
      <c r="G578" t="s">
        <v>59</v>
      </c>
      <c r="H578" t="s">
        <v>27</v>
      </c>
      <c r="I578" t="s">
        <v>61</v>
      </c>
      <c r="J578" t="s">
        <v>29</v>
      </c>
      <c r="K578">
        <v>8885</v>
      </c>
      <c r="L578">
        <v>71</v>
      </c>
      <c r="M578">
        <v>58.86</v>
      </c>
      <c r="N578">
        <v>3</v>
      </c>
      <c r="O578">
        <v>88.72</v>
      </c>
      <c r="P578">
        <f t="shared" ref="P578:Q641" si="36">IF(K578=0,0,L578/K578)</f>
        <v>7.9909960607765906E-3</v>
      </c>
      <c r="Q578">
        <f t="shared" si="36"/>
        <v>0.82901408450704228</v>
      </c>
      <c r="R578">
        <f t="shared" ref="R578:R641" si="37">IF(N578=0,0,M578/N578)</f>
        <v>19.62</v>
      </c>
      <c r="S578">
        <f t="shared" ref="S578:S641" si="38">IF(M578=0,0,O578/M578)</f>
        <v>1.507305470608223</v>
      </c>
      <c r="T578">
        <f t="shared" ref="T578:T641" si="39">IF(L578=0,0,N578/L578)</f>
        <v>4.2253521126760563E-2</v>
      </c>
      <c r="U578" t="str">
        <f>YEAR('Campaign Data'!$A578)&amp;"-"&amp;TEXT(MONTH('Campaign Data'!$A578),"00")</f>
        <v>2026-02</v>
      </c>
    </row>
    <row r="579" spans="1:21" x14ac:dyDescent="0.25">
      <c r="A579">
        <v>46054</v>
      </c>
      <c r="B579" t="s">
        <v>151</v>
      </c>
      <c r="C579" t="s">
        <v>152</v>
      </c>
      <c r="D579" t="s">
        <v>48</v>
      </c>
      <c r="E579" t="s">
        <v>24</v>
      </c>
      <c r="F579" t="s">
        <v>81</v>
      </c>
      <c r="G579" t="s">
        <v>129</v>
      </c>
      <c r="H579" t="s">
        <v>51</v>
      </c>
      <c r="I579" t="s">
        <v>37</v>
      </c>
      <c r="J579" t="s">
        <v>29</v>
      </c>
      <c r="K579">
        <v>1716</v>
      </c>
      <c r="L579">
        <v>20</v>
      </c>
      <c r="M579">
        <v>19.29</v>
      </c>
      <c r="N579">
        <v>0</v>
      </c>
      <c r="O579">
        <v>0</v>
      </c>
      <c r="P579">
        <f t="shared" si="36"/>
        <v>1.1655011655011656E-2</v>
      </c>
      <c r="Q579">
        <f t="shared" si="36"/>
        <v>0.96449999999999991</v>
      </c>
      <c r="R579">
        <f t="shared" si="37"/>
        <v>0</v>
      </c>
      <c r="S579">
        <f t="shared" si="38"/>
        <v>0</v>
      </c>
      <c r="T579">
        <f t="shared" si="39"/>
        <v>0</v>
      </c>
      <c r="U579" t="str">
        <f>YEAR('Campaign Data'!$A579)&amp;"-"&amp;TEXT(MONTH('Campaign Data'!$A579),"00")</f>
        <v>2026-02</v>
      </c>
    </row>
    <row r="580" spans="1:21" x14ac:dyDescent="0.25">
      <c r="A580">
        <v>46054</v>
      </c>
      <c r="B580" t="s">
        <v>130</v>
      </c>
      <c r="C580" t="s">
        <v>131</v>
      </c>
      <c r="D580" t="s">
        <v>48</v>
      </c>
      <c r="E580" t="s">
        <v>33</v>
      </c>
      <c r="F580" t="s">
        <v>34</v>
      </c>
      <c r="G580" t="s">
        <v>35</v>
      </c>
      <c r="H580" t="s">
        <v>51</v>
      </c>
      <c r="I580" t="s">
        <v>61</v>
      </c>
      <c r="J580" t="s">
        <v>62</v>
      </c>
      <c r="K580">
        <v>5998</v>
      </c>
      <c r="L580">
        <v>67</v>
      </c>
      <c r="M580">
        <v>30.11</v>
      </c>
      <c r="N580">
        <v>1</v>
      </c>
      <c r="O580">
        <v>121.09</v>
      </c>
      <c r="P580">
        <f t="shared" si="36"/>
        <v>1.1170390130043348E-2</v>
      </c>
      <c r="Q580">
        <f t="shared" si="36"/>
        <v>0.44940298507462684</v>
      </c>
      <c r="R580">
        <f t="shared" si="37"/>
        <v>30.11</v>
      </c>
      <c r="S580">
        <f t="shared" si="38"/>
        <v>4.0215875124543343</v>
      </c>
      <c r="T580">
        <f t="shared" si="39"/>
        <v>1.4925373134328358E-2</v>
      </c>
      <c r="U580" t="str">
        <f>YEAR('Campaign Data'!$A580)&amp;"-"&amp;TEXT(MONTH('Campaign Data'!$A580),"00")</f>
        <v>2026-02</v>
      </c>
    </row>
    <row r="581" spans="1:21" x14ac:dyDescent="0.25">
      <c r="A581">
        <v>46054</v>
      </c>
      <c r="B581" t="s">
        <v>153</v>
      </c>
      <c r="C581" t="s">
        <v>154</v>
      </c>
      <c r="D581" t="s">
        <v>48</v>
      </c>
      <c r="E581" t="s">
        <v>33</v>
      </c>
      <c r="F581" t="s">
        <v>43</v>
      </c>
      <c r="G581" t="s">
        <v>59</v>
      </c>
      <c r="H581" t="s">
        <v>27</v>
      </c>
      <c r="I581" t="s">
        <v>37</v>
      </c>
      <c r="J581" t="s">
        <v>62</v>
      </c>
      <c r="K581">
        <v>6690</v>
      </c>
      <c r="L581">
        <v>105</v>
      </c>
      <c r="M581">
        <v>113.05</v>
      </c>
      <c r="N581">
        <v>2</v>
      </c>
      <c r="O581">
        <v>36.43</v>
      </c>
      <c r="P581">
        <f t="shared" si="36"/>
        <v>1.5695067264573991E-2</v>
      </c>
      <c r="Q581">
        <f t="shared" si="36"/>
        <v>1.0766666666666667</v>
      </c>
      <c r="R581">
        <f t="shared" si="37"/>
        <v>56.524999999999999</v>
      </c>
      <c r="S581">
        <f t="shared" si="38"/>
        <v>0.3222467934542238</v>
      </c>
      <c r="T581">
        <f t="shared" si="39"/>
        <v>1.9047619047619049E-2</v>
      </c>
      <c r="U581" t="str">
        <f>YEAR('Campaign Data'!$A581)&amp;"-"&amp;TEXT(MONTH('Campaign Data'!$A581),"00")</f>
        <v>2026-02</v>
      </c>
    </row>
    <row r="582" spans="1:21" x14ac:dyDescent="0.25">
      <c r="A582">
        <v>46054</v>
      </c>
      <c r="B582" t="s">
        <v>179</v>
      </c>
      <c r="C582" t="s">
        <v>180</v>
      </c>
      <c r="D582" t="s">
        <v>58</v>
      </c>
      <c r="E582" t="s">
        <v>42</v>
      </c>
      <c r="F582" t="s">
        <v>25</v>
      </c>
      <c r="G582" t="s">
        <v>54</v>
      </c>
      <c r="H582" t="s">
        <v>27</v>
      </c>
      <c r="I582" t="s">
        <v>37</v>
      </c>
      <c r="J582" t="s">
        <v>87</v>
      </c>
      <c r="K582">
        <v>16571</v>
      </c>
      <c r="L582">
        <v>135</v>
      </c>
      <c r="M582">
        <v>616.29999999999995</v>
      </c>
      <c r="N582">
        <v>7</v>
      </c>
      <c r="O582">
        <v>1508.49</v>
      </c>
      <c r="P582">
        <f t="shared" si="36"/>
        <v>8.1467624162693871E-3</v>
      </c>
      <c r="Q582">
        <f t="shared" si="36"/>
        <v>4.565185185185185</v>
      </c>
      <c r="R582">
        <f t="shared" si="37"/>
        <v>88.04285714285713</v>
      </c>
      <c r="S582">
        <f t="shared" si="38"/>
        <v>2.4476553626480611</v>
      </c>
      <c r="T582">
        <f t="shared" si="39"/>
        <v>5.185185185185185E-2</v>
      </c>
      <c r="U582" t="str">
        <f>YEAR('Campaign Data'!$A582)&amp;"-"&amp;TEXT(MONTH('Campaign Data'!$A582),"00")</f>
        <v>2026-02</v>
      </c>
    </row>
    <row r="583" spans="1:21" x14ac:dyDescent="0.25">
      <c r="A583">
        <v>46054</v>
      </c>
      <c r="B583" t="s">
        <v>179</v>
      </c>
      <c r="C583" t="s">
        <v>180</v>
      </c>
      <c r="D583" t="s">
        <v>58</v>
      </c>
      <c r="E583" t="s">
        <v>42</v>
      </c>
      <c r="F583" t="s">
        <v>25</v>
      </c>
      <c r="G583" t="s">
        <v>54</v>
      </c>
      <c r="H583" t="s">
        <v>27</v>
      </c>
      <c r="I583" t="s">
        <v>28</v>
      </c>
      <c r="J583" t="s">
        <v>45</v>
      </c>
      <c r="K583">
        <v>8876</v>
      </c>
      <c r="L583">
        <v>78</v>
      </c>
      <c r="M583">
        <v>488.54</v>
      </c>
      <c r="N583">
        <v>4</v>
      </c>
      <c r="O583">
        <v>627.61</v>
      </c>
      <c r="P583">
        <f t="shared" si="36"/>
        <v>8.7877422262280305E-3</v>
      </c>
      <c r="Q583">
        <f t="shared" si="36"/>
        <v>6.2633333333333336</v>
      </c>
      <c r="R583">
        <f t="shared" si="37"/>
        <v>122.13500000000001</v>
      </c>
      <c r="S583">
        <f t="shared" si="38"/>
        <v>1.284664510582552</v>
      </c>
      <c r="T583">
        <f t="shared" si="39"/>
        <v>5.128205128205128E-2</v>
      </c>
      <c r="U583" t="str">
        <f>YEAR('Campaign Data'!$A583)&amp;"-"&amp;TEXT(MONTH('Campaign Data'!$A583),"00")</f>
        <v>2026-02</v>
      </c>
    </row>
    <row r="584" spans="1:21" x14ac:dyDescent="0.25">
      <c r="A584">
        <v>46054</v>
      </c>
      <c r="B584" t="s">
        <v>140</v>
      </c>
      <c r="C584" t="s">
        <v>40</v>
      </c>
      <c r="D584" t="s">
        <v>41</v>
      </c>
      <c r="E584" t="s">
        <v>42</v>
      </c>
      <c r="F584" t="s">
        <v>43</v>
      </c>
      <c r="G584" t="s">
        <v>44</v>
      </c>
      <c r="H584" t="s">
        <v>27</v>
      </c>
      <c r="I584" t="s">
        <v>28</v>
      </c>
      <c r="J584" t="s">
        <v>62</v>
      </c>
      <c r="K584">
        <v>2297</v>
      </c>
      <c r="L584">
        <v>31</v>
      </c>
      <c r="M584">
        <v>140.06</v>
      </c>
      <c r="N584">
        <v>2</v>
      </c>
      <c r="O584">
        <v>54.4</v>
      </c>
      <c r="P584">
        <f t="shared" si="36"/>
        <v>1.3495864170657379E-2</v>
      </c>
      <c r="Q584">
        <f t="shared" si="36"/>
        <v>4.5180645161290327</v>
      </c>
      <c r="R584">
        <f t="shared" si="37"/>
        <v>70.03</v>
      </c>
      <c r="S584">
        <f t="shared" si="38"/>
        <v>0.38840496929887192</v>
      </c>
      <c r="T584">
        <f t="shared" si="39"/>
        <v>6.4516129032258063E-2</v>
      </c>
      <c r="U584" t="str">
        <f>YEAR('Campaign Data'!$A584)&amp;"-"&amp;TEXT(MONTH('Campaign Data'!$A584),"00")</f>
        <v>2026-02</v>
      </c>
    </row>
    <row r="585" spans="1:21" x14ac:dyDescent="0.25">
      <c r="A585">
        <v>46054</v>
      </c>
      <c r="B585" t="s">
        <v>134</v>
      </c>
      <c r="C585" t="s">
        <v>135</v>
      </c>
      <c r="D585" t="s">
        <v>32</v>
      </c>
      <c r="E585" t="s">
        <v>74</v>
      </c>
      <c r="F585" t="s">
        <v>25</v>
      </c>
      <c r="G585" t="s">
        <v>107</v>
      </c>
      <c r="H585" t="s">
        <v>55</v>
      </c>
      <c r="I585" t="s">
        <v>37</v>
      </c>
      <c r="J585" t="s">
        <v>29</v>
      </c>
      <c r="K585">
        <v>5434</v>
      </c>
      <c r="L585">
        <v>143</v>
      </c>
      <c r="M585">
        <v>138.88</v>
      </c>
      <c r="N585">
        <v>3</v>
      </c>
      <c r="O585">
        <v>257.17</v>
      </c>
      <c r="P585">
        <f t="shared" si="36"/>
        <v>2.6315789473684209E-2</v>
      </c>
      <c r="Q585">
        <f t="shared" si="36"/>
        <v>0.97118881118881117</v>
      </c>
      <c r="R585">
        <f t="shared" si="37"/>
        <v>46.293333333333329</v>
      </c>
      <c r="S585">
        <f t="shared" si="38"/>
        <v>1.8517425115207375</v>
      </c>
      <c r="T585">
        <f t="shared" si="39"/>
        <v>2.097902097902098E-2</v>
      </c>
      <c r="U585" t="str">
        <f>YEAR('Campaign Data'!$A585)&amp;"-"&amp;TEXT(MONTH('Campaign Data'!$A585),"00")</f>
        <v>2026-02</v>
      </c>
    </row>
    <row r="586" spans="1:21" x14ac:dyDescent="0.25">
      <c r="A586">
        <v>46054</v>
      </c>
      <c r="B586" t="s">
        <v>183</v>
      </c>
      <c r="C586" t="s">
        <v>184</v>
      </c>
      <c r="D586" t="s">
        <v>23</v>
      </c>
      <c r="E586" t="s">
        <v>24</v>
      </c>
      <c r="F586" t="s">
        <v>81</v>
      </c>
      <c r="G586" t="s">
        <v>185</v>
      </c>
      <c r="H586" t="s">
        <v>90</v>
      </c>
      <c r="I586" t="s">
        <v>28</v>
      </c>
      <c r="J586" t="s">
        <v>45</v>
      </c>
      <c r="K586">
        <v>4070</v>
      </c>
      <c r="L586">
        <v>48</v>
      </c>
      <c r="M586">
        <v>12.73</v>
      </c>
      <c r="N586">
        <v>3</v>
      </c>
      <c r="O586">
        <v>15</v>
      </c>
      <c r="P586">
        <f t="shared" si="36"/>
        <v>1.1793611793611793E-2</v>
      </c>
      <c r="Q586">
        <f t="shared" si="36"/>
        <v>0.26520833333333332</v>
      </c>
      <c r="R586">
        <f t="shared" si="37"/>
        <v>4.2433333333333332</v>
      </c>
      <c r="S586">
        <f t="shared" si="38"/>
        <v>1.178318931657502</v>
      </c>
      <c r="T586">
        <f t="shared" si="39"/>
        <v>6.25E-2</v>
      </c>
      <c r="U586" t="str">
        <f>YEAR('Campaign Data'!$A586)&amp;"-"&amp;TEXT(MONTH('Campaign Data'!$A586),"00")</f>
        <v>2026-02</v>
      </c>
    </row>
    <row r="587" spans="1:21" x14ac:dyDescent="0.25">
      <c r="A587">
        <v>46054</v>
      </c>
      <c r="B587" t="s">
        <v>163</v>
      </c>
      <c r="C587" t="s">
        <v>164</v>
      </c>
      <c r="D587" t="s">
        <v>58</v>
      </c>
      <c r="E587" t="s">
        <v>42</v>
      </c>
      <c r="F587" t="s">
        <v>43</v>
      </c>
      <c r="G587" t="s">
        <v>44</v>
      </c>
      <c r="H587" t="s">
        <v>36</v>
      </c>
      <c r="I587" t="s">
        <v>28</v>
      </c>
      <c r="J587" t="s">
        <v>38</v>
      </c>
      <c r="K587">
        <v>3128</v>
      </c>
      <c r="L587">
        <v>30</v>
      </c>
      <c r="M587">
        <v>144.53</v>
      </c>
      <c r="N587">
        <v>1</v>
      </c>
      <c r="O587">
        <v>25.53</v>
      </c>
      <c r="P587">
        <f t="shared" si="36"/>
        <v>9.5907928388746806E-3</v>
      </c>
      <c r="Q587">
        <f t="shared" si="36"/>
        <v>4.8176666666666668</v>
      </c>
      <c r="R587">
        <f t="shared" si="37"/>
        <v>144.53</v>
      </c>
      <c r="S587">
        <f t="shared" si="38"/>
        <v>0.17664152771050995</v>
      </c>
      <c r="T587">
        <f t="shared" si="39"/>
        <v>3.3333333333333333E-2</v>
      </c>
      <c r="U587" t="str">
        <f>YEAR('Campaign Data'!$A587)&amp;"-"&amp;TEXT(MONTH('Campaign Data'!$A587),"00")</f>
        <v>2026-02</v>
      </c>
    </row>
    <row r="588" spans="1:21" x14ac:dyDescent="0.25">
      <c r="A588">
        <v>46054</v>
      </c>
      <c r="B588" t="s">
        <v>76</v>
      </c>
      <c r="C588" t="s">
        <v>77</v>
      </c>
      <c r="D588" t="s">
        <v>65</v>
      </c>
      <c r="E588" t="s">
        <v>42</v>
      </c>
      <c r="F588" t="s">
        <v>43</v>
      </c>
      <c r="G588" t="s">
        <v>44</v>
      </c>
      <c r="H588" t="s">
        <v>71</v>
      </c>
      <c r="I588" t="s">
        <v>61</v>
      </c>
      <c r="J588" t="s">
        <v>29</v>
      </c>
      <c r="K588">
        <v>3628</v>
      </c>
      <c r="L588">
        <v>16</v>
      </c>
      <c r="M588">
        <v>109.64</v>
      </c>
      <c r="N588">
        <v>0</v>
      </c>
      <c r="O588">
        <v>0</v>
      </c>
      <c r="P588">
        <f t="shared" si="36"/>
        <v>4.410143329658214E-3</v>
      </c>
      <c r="Q588">
        <f t="shared" si="36"/>
        <v>6.8525</v>
      </c>
      <c r="R588">
        <f t="shared" si="37"/>
        <v>0</v>
      </c>
      <c r="S588">
        <f t="shared" si="38"/>
        <v>0</v>
      </c>
      <c r="T588">
        <f t="shared" si="39"/>
        <v>0</v>
      </c>
      <c r="U588" t="str">
        <f>YEAR('Campaign Data'!$A588)&amp;"-"&amp;TEXT(MONTH('Campaign Data'!$A588),"00")</f>
        <v>2026-02</v>
      </c>
    </row>
    <row r="589" spans="1:21" x14ac:dyDescent="0.25">
      <c r="A589">
        <v>46054</v>
      </c>
      <c r="B589" t="s">
        <v>120</v>
      </c>
      <c r="C589" t="s">
        <v>121</v>
      </c>
      <c r="D589" t="s">
        <v>23</v>
      </c>
      <c r="E589" t="s">
        <v>49</v>
      </c>
      <c r="F589" t="s">
        <v>75</v>
      </c>
      <c r="G589" t="s">
        <v>70</v>
      </c>
      <c r="H589" t="s">
        <v>55</v>
      </c>
      <c r="I589" t="s">
        <v>37</v>
      </c>
      <c r="J589" t="s">
        <v>87</v>
      </c>
      <c r="K589">
        <v>20249</v>
      </c>
      <c r="L589">
        <v>686</v>
      </c>
      <c r="M589">
        <v>1058.24</v>
      </c>
      <c r="N589">
        <v>28</v>
      </c>
      <c r="O589">
        <v>838.21</v>
      </c>
      <c r="P589">
        <f t="shared" si="36"/>
        <v>3.3878216208207815E-2</v>
      </c>
      <c r="Q589">
        <f t="shared" si="36"/>
        <v>1.5426239067055394</v>
      </c>
      <c r="R589">
        <f t="shared" si="37"/>
        <v>37.794285714285714</v>
      </c>
      <c r="S589">
        <f t="shared" si="38"/>
        <v>0.79207930148170547</v>
      </c>
      <c r="T589">
        <f t="shared" si="39"/>
        <v>4.0816326530612242E-2</v>
      </c>
      <c r="U589" t="str">
        <f>YEAR('Campaign Data'!$A589)&amp;"-"&amp;TEXT(MONTH('Campaign Data'!$A589),"00")</f>
        <v>2026-02</v>
      </c>
    </row>
    <row r="590" spans="1:21" x14ac:dyDescent="0.25">
      <c r="A590">
        <v>46054</v>
      </c>
      <c r="B590" t="s">
        <v>82</v>
      </c>
      <c r="C590" t="s">
        <v>83</v>
      </c>
      <c r="D590" t="s">
        <v>80</v>
      </c>
      <c r="E590" t="s">
        <v>42</v>
      </c>
      <c r="F590" t="s">
        <v>34</v>
      </c>
      <c r="G590" t="s">
        <v>84</v>
      </c>
      <c r="H590" t="s">
        <v>90</v>
      </c>
      <c r="I590" t="s">
        <v>37</v>
      </c>
      <c r="J590" t="s">
        <v>38</v>
      </c>
      <c r="K590">
        <v>17533</v>
      </c>
      <c r="L590">
        <v>145</v>
      </c>
      <c r="M590">
        <v>245.88</v>
      </c>
      <c r="N590">
        <v>6</v>
      </c>
      <c r="O590">
        <v>180.7</v>
      </c>
      <c r="P590">
        <f t="shared" si="36"/>
        <v>8.2701192037871445E-3</v>
      </c>
      <c r="Q590">
        <f t="shared" si="36"/>
        <v>1.6957241379310344</v>
      </c>
      <c r="R590">
        <f t="shared" si="37"/>
        <v>40.98</v>
      </c>
      <c r="S590">
        <f t="shared" si="38"/>
        <v>0.73491133886448667</v>
      </c>
      <c r="T590">
        <f t="shared" si="39"/>
        <v>4.1379310344827586E-2</v>
      </c>
      <c r="U590" t="str">
        <f>YEAR('Campaign Data'!$A590)&amp;"-"&amp;TEXT(MONTH('Campaign Data'!$A590),"00")</f>
        <v>2026-02</v>
      </c>
    </row>
    <row r="591" spans="1:21" x14ac:dyDescent="0.25">
      <c r="A591">
        <v>46055</v>
      </c>
      <c r="B591" t="s">
        <v>85</v>
      </c>
      <c r="C591" t="s">
        <v>86</v>
      </c>
      <c r="D591" t="s">
        <v>80</v>
      </c>
      <c r="E591" t="s">
        <v>33</v>
      </c>
      <c r="F591" t="s">
        <v>43</v>
      </c>
      <c r="G591" t="s">
        <v>35</v>
      </c>
      <c r="H591" t="s">
        <v>71</v>
      </c>
      <c r="I591" t="s">
        <v>28</v>
      </c>
      <c r="J591" t="s">
        <v>45</v>
      </c>
      <c r="K591">
        <v>6906</v>
      </c>
      <c r="L591">
        <v>68</v>
      </c>
      <c r="M591">
        <v>30.76</v>
      </c>
      <c r="N591">
        <v>1</v>
      </c>
      <c r="O591">
        <v>33.36</v>
      </c>
      <c r="P591">
        <f t="shared" si="36"/>
        <v>9.8465102809151463E-3</v>
      </c>
      <c r="Q591">
        <f t="shared" si="36"/>
        <v>0.45235294117647062</v>
      </c>
      <c r="R591">
        <f t="shared" si="37"/>
        <v>30.76</v>
      </c>
      <c r="S591">
        <f t="shared" si="38"/>
        <v>1.0845253576072822</v>
      </c>
      <c r="T591">
        <f t="shared" si="39"/>
        <v>1.4705882352941176E-2</v>
      </c>
      <c r="U591" t="str">
        <f>YEAR('Campaign Data'!$A591)&amp;"-"&amp;TEXT(MONTH('Campaign Data'!$A591),"00")</f>
        <v>2026-02</v>
      </c>
    </row>
    <row r="592" spans="1:21" x14ac:dyDescent="0.25">
      <c r="A592">
        <v>46055</v>
      </c>
      <c r="B592" t="s">
        <v>167</v>
      </c>
      <c r="C592" t="s">
        <v>168</v>
      </c>
      <c r="D592" t="s">
        <v>58</v>
      </c>
      <c r="E592" t="s">
        <v>33</v>
      </c>
      <c r="F592" t="s">
        <v>75</v>
      </c>
      <c r="G592" t="s">
        <v>35</v>
      </c>
      <c r="H592" t="s">
        <v>90</v>
      </c>
      <c r="I592" t="s">
        <v>37</v>
      </c>
      <c r="J592" t="s">
        <v>45</v>
      </c>
      <c r="K592">
        <v>13234</v>
      </c>
      <c r="L592">
        <v>145</v>
      </c>
      <c r="M592">
        <v>23.23</v>
      </c>
      <c r="N592">
        <v>0</v>
      </c>
      <c r="O592">
        <v>0</v>
      </c>
      <c r="P592">
        <f t="shared" si="36"/>
        <v>1.0956626870182862E-2</v>
      </c>
      <c r="Q592">
        <f t="shared" si="36"/>
        <v>0.16020689655172415</v>
      </c>
      <c r="R592">
        <f t="shared" si="37"/>
        <v>0</v>
      </c>
      <c r="S592">
        <f t="shared" si="38"/>
        <v>0</v>
      </c>
      <c r="T592">
        <f t="shared" si="39"/>
        <v>0</v>
      </c>
      <c r="U592" t="str">
        <f>YEAR('Campaign Data'!$A592)&amp;"-"&amp;TEXT(MONTH('Campaign Data'!$A592),"00")</f>
        <v>2026-02</v>
      </c>
    </row>
    <row r="593" spans="1:21" x14ac:dyDescent="0.25">
      <c r="A593">
        <v>46055</v>
      </c>
      <c r="B593" t="s">
        <v>138</v>
      </c>
      <c r="C593" t="s">
        <v>139</v>
      </c>
      <c r="D593" t="s">
        <v>58</v>
      </c>
      <c r="E593" t="s">
        <v>74</v>
      </c>
      <c r="F593" t="s">
        <v>34</v>
      </c>
      <c r="G593" t="s">
        <v>9</v>
      </c>
      <c r="H593" t="s">
        <v>90</v>
      </c>
      <c r="I593" t="s">
        <v>61</v>
      </c>
      <c r="J593" t="s">
        <v>87</v>
      </c>
      <c r="K593">
        <v>4814</v>
      </c>
      <c r="L593">
        <v>157</v>
      </c>
      <c r="M593">
        <v>44.31</v>
      </c>
      <c r="N593">
        <v>10</v>
      </c>
      <c r="O593">
        <v>279.48</v>
      </c>
      <c r="P593">
        <f t="shared" si="36"/>
        <v>3.261321146655588E-2</v>
      </c>
      <c r="Q593">
        <f t="shared" si="36"/>
        <v>0.28222929936305735</v>
      </c>
      <c r="R593">
        <f t="shared" si="37"/>
        <v>4.431</v>
      </c>
      <c r="S593">
        <f t="shared" si="38"/>
        <v>6.3073798239675014</v>
      </c>
      <c r="T593">
        <f t="shared" si="39"/>
        <v>6.3694267515923567E-2</v>
      </c>
      <c r="U593" t="str">
        <f>YEAR('Campaign Data'!$A593)&amp;"-"&amp;TEXT(MONTH('Campaign Data'!$A593),"00")</f>
        <v>2026-02</v>
      </c>
    </row>
    <row r="594" spans="1:21" x14ac:dyDescent="0.25">
      <c r="A594">
        <v>46055</v>
      </c>
      <c r="B594" t="s">
        <v>149</v>
      </c>
      <c r="C594" t="s">
        <v>150</v>
      </c>
      <c r="D594" t="s">
        <v>65</v>
      </c>
      <c r="E594" t="s">
        <v>33</v>
      </c>
      <c r="F594" t="s">
        <v>43</v>
      </c>
      <c r="G594" t="s">
        <v>59</v>
      </c>
      <c r="H594" t="s">
        <v>60</v>
      </c>
      <c r="I594" t="s">
        <v>28</v>
      </c>
      <c r="J594" t="s">
        <v>87</v>
      </c>
      <c r="K594">
        <v>33705</v>
      </c>
      <c r="L594">
        <v>229</v>
      </c>
      <c r="M594">
        <v>134.81</v>
      </c>
      <c r="N594">
        <v>4</v>
      </c>
      <c r="O594">
        <v>60.94</v>
      </c>
      <c r="P594">
        <f t="shared" si="36"/>
        <v>6.7942441774217479E-3</v>
      </c>
      <c r="Q594">
        <f t="shared" si="36"/>
        <v>0.58868995633187771</v>
      </c>
      <c r="R594">
        <f t="shared" si="37"/>
        <v>33.702500000000001</v>
      </c>
      <c r="S594">
        <f t="shared" si="38"/>
        <v>0.45204361694236328</v>
      </c>
      <c r="T594">
        <f t="shared" si="39"/>
        <v>1.7467248908296942E-2</v>
      </c>
      <c r="U594" t="str">
        <f>YEAR('Campaign Data'!$A594)&amp;"-"&amp;TEXT(MONTH('Campaign Data'!$A594),"00")</f>
        <v>2026-02</v>
      </c>
    </row>
    <row r="595" spans="1:21" x14ac:dyDescent="0.25">
      <c r="A595">
        <v>46055</v>
      </c>
      <c r="B595" t="s">
        <v>149</v>
      </c>
      <c r="C595" t="s">
        <v>150</v>
      </c>
      <c r="D595" t="s">
        <v>65</v>
      </c>
      <c r="E595" t="s">
        <v>33</v>
      </c>
      <c r="F595" t="s">
        <v>43</v>
      </c>
      <c r="G595" t="s">
        <v>59</v>
      </c>
      <c r="H595" t="s">
        <v>90</v>
      </c>
      <c r="I595" t="s">
        <v>28</v>
      </c>
      <c r="J595" t="s">
        <v>38</v>
      </c>
      <c r="K595">
        <v>1810</v>
      </c>
      <c r="L595">
        <v>8</v>
      </c>
      <c r="M595">
        <v>1.72</v>
      </c>
      <c r="N595">
        <v>0</v>
      </c>
      <c r="O595">
        <v>0</v>
      </c>
      <c r="P595">
        <f t="shared" si="36"/>
        <v>4.4198895027624313E-3</v>
      </c>
      <c r="Q595">
        <f t="shared" si="36"/>
        <v>0.215</v>
      </c>
      <c r="R595">
        <f t="shared" si="37"/>
        <v>0</v>
      </c>
      <c r="S595">
        <f t="shared" si="38"/>
        <v>0</v>
      </c>
      <c r="T595">
        <f t="shared" si="39"/>
        <v>0</v>
      </c>
      <c r="U595" t="str">
        <f>YEAR('Campaign Data'!$A595)&amp;"-"&amp;TEXT(MONTH('Campaign Data'!$A595),"00")</f>
        <v>2026-02</v>
      </c>
    </row>
    <row r="596" spans="1:21" x14ac:dyDescent="0.25">
      <c r="A596">
        <v>46055</v>
      </c>
      <c r="B596" t="s">
        <v>93</v>
      </c>
      <c r="C596" t="s">
        <v>94</v>
      </c>
      <c r="D596" t="s">
        <v>69</v>
      </c>
      <c r="E596" t="s">
        <v>42</v>
      </c>
      <c r="F596" t="s">
        <v>75</v>
      </c>
      <c r="G596" t="s">
        <v>44</v>
      </c>
      <c r="H596" t="s">
        <v>27</v>
      </c>
      <c r="I596" t="s">
        <v>61</v>
      </c>
      <c r="J596" t="s">
        <v>38</v>
      </c>
      <c r="K596">
        <v>15155</v>
      </c>
      <c r="L596">
        <v>117</v>
      </c>
      <c r="M596">
        <v>634.78</v>
      </c>
      <c r="N596">
        <v>5</v>
      </c>
      <c r="O596">
        <v>277.35000000000002</v>
      </c>
      <c r="P596">
        <f t="shared" si="36"/>
        <v>7.7202243483998683E-3</v>
      </c>
      <c r="Q596">
        <f t="shared" si="36"/>
        <v>5.425470085470085</v>
      </c>
      <c r="R596">
        <f t="shared" si="37"/>
        <v>126.95599999999999</v>
      </c>
      <c r="S596">
        <f t="shared" si="38"/>
        <v>0.43692302845080189</v>
      </c>
      <c r="T596">
        <f t="shared" si="39"/>
        <v>4.2735042735042736E-2</v>
      </c>
      <c r="U596" t="str">
        <f>YEAR('Campaign Data'!$A596)&amp;"-"&amp;TEXT(MONTH('Campaign Data'!$A596),"00")</f>
        <v>2026-02</v>
      </c>
    </row>
    <row r="597" spans="1:21" x14ac:dyDescent="0.25">
      <c r="A597">
        <v>46055</v>
      </c>
      <c r="B597" t="s">
        <v>151</v>
      </c>
      <c r="C597" t="s">
        <v>152</v>
      </c>
      <c r="D597" t="s">
        <v>48</v>
      </c>
      <c r="E597" t="s">
        <v>24</v>
      </c>
      <c r="F597" t="s">
        <v>81</v>
      </c>
      <c r="G597" t="s">
        <v>129</v>
      </c>
      <c r="H597" t="s">
        <v>55</v>
      </c>
      <c r="I597" t="s">
        <v>37</v>
      </c>
      <c r="J597" t="s">
        <v>62</v>
      </c>
      <c r="K597">
        <v>5339</v>
      </c>
      <c r="L597">
        <v>69</v>
      </c>
      <c r="M597">
        <v>58.45</v>
      </c>
      <c r="N597">
        <v>3</v>
      </c>
      <c r="O597">
        <v>44.73</v>
      </c>
      <c r="P597">
        <f t="shared" si="36"/>
        <v>1.2923768495973029E-2</v>
      </c>
      <c r="Q597">
        <f t="shared" si="36"/>
        <v>0.84710144927536235</v>
      </c>
      <c r="R597">
        <f t="shared" si="37"/>
        <v>19.483333333333334</v>
      </c>
      <c r="S597">
        <f t="shared" si="38"/>
        <v>0.76526946107784422</v>
      </c>
      <c r="T597">
        <f t="shared" si="39"/>
        <v>4.3478260869565216E-2</v>
      </c>
      <c r="U597" t="str">
        <f>YEAR('Campaign Data'!$A597)&amp;"-"&amp;TEXT(MONTH('Campaign Data'!$A597),"00")</f>
        <v>2026-02</v>
      </c>
    </row>
    <row r="598" spans="1:21" x14ac:dyDescent="0.25">
      <c r="A598">
        <v>46055</v>
      </c>
      <c r="B598" t="s">
        <v>105</v>
      </c>
      <c r="C598" t="s">
        <v>106</v>
      </c>
      <c r="D598" t="s">
        <v>58</v>
      </c>
      <c r="E598" t="s">
        <v>49</v>
      </c>
      <c r="F598" t="s">
        <v>81</v>
      </c>
      <c r="G598" t="s">
        <v>107</v>
      </c>
      <c r="H598" t="s">
        <v>71</v>
      </c>
      <c r="I598" t="s">
        <v>37</v>
      </c>
      <c r="J598" t="s">
        <v>87</v>
      </c>
      <c r="K598">
        <v>21851</v>
      </c>
      <c r="L598">
        <v>1243</v>
      </c>
      <c r="M598">
        <v>1797.84</v>
      </c>
      <c r="N598">
        <v>48</v>
      </c>
      <c r="O598">
        <v>1083.33</v>
      </c>
      <c r="P598">
        <f t="shared" si="36"/>
        <v>5.688526840876848E-2</v>
      </c>
      <c r="Q598">
        <f t="shared" si="36"/>
        <v>1.4463716814159291</v>
      </c>
      <c r="R598">
        <f t="shared" si="37"/>
        <v>37.454999999999998</v>
      </c>
      <c r="S598">
        <f t="shared" si="38"/>
        <v>0.60257308770524631</v>
      </c>
      <c r="T598">
        <f t="shared" si="39"/>
        <v>3.8616251005631534E-2</v>
      </c>
      <c r="U598" t="str">
        <f>YEAR('Campaign Data'!$A598)&amp;"-"&amp;TEXT(MONTH('Campaign Data'!$A598),"00")</f>
        <v>2026-02</v>
      </c>
    </row>
    <row r="599" spans="1:21" x14ac:dyDescent="0.25">
      <c r="A599">
        <v>46055</v>
      </c>
      <c r="B599" t="s">
        <v>108</v>
      </c>
      <c r="C599" t="s">
        <v>109</v>
      </c>
      <c r="D599" t="s">
        <v>58</v>
      </c>
      <c r="E599" t="s">
        <v>33</v>
      </c>
      <c r="F599" t="s">
        <v>43</v>
      </c>
      <c r="G599" t="s">
        <v>59</v>
      </c>
      <c r="H599" t="s">
        <v>55</v>
      </c>
      <c r="I599" t="s">
        <v>28</v>
      </c>
      <c r="J599" t="s">
        <v>87</v>
      </c>
      <c r="K599">
        <v>9446</v>
      </c>
      <c r="L599">
        <v>97</v>
      </c>
      <c r="M599">
        <v>66.84</v>
      </c>
      <c r="N599">
        <v>2</v>
      </c>
      <c r="O599">
        <v>43.53</v>
      </c>
      <c r="P599">
        <f t="shared" si="36"/>
        <v>1.0268896887571459E-2</v>
      </c>
      <c r="Q599">
        <f t="shared" si="36"/>
        <v>0.68907216494845369</v>
      </c>
      <c r="R599">
        <f t="shared" si="37"/>
        <v>33.42</v>
      </c>
      <c r="S599">
        <f t="shared" si="38"/>
        <v>0.65125673249551164</v>
      </c>
      <c r="T599">
        <f t="shared" si="39"/>
        <v>2.0618556701030927E-2</v>
      </c>
      <c r="U599" t="str">
        <f>YEAR('Campaign Data'!$A599)&amp;"-"&amp;TEXT(MONTH('Campaign Data'!$A599),"00")</f>
        <v>2026-02</v>
      </c>
    </row>
    <row r="600" spans="1:21" x14ac:dyDescent="0.25">
      <c r="A600">
        <v>46055</v>
      </c>
      <c r="B600" t="s">
        <v>157</v>
      </c>
      <c r="C600" t="s">
        <v>158</v>
      </c>
      <c r="D600" t="s">
        <v>58</v>
      </c>
      <c r="E600" t="s">
        <v>49</v>
      </c>
      <c r="F600" t="s">
        <v>81</v>
      </c>
      <c r="G600" t="s">
        <v>50</v>
      </c>
      <c r="H600" t="s">
        <v>36</v>
      </c>
      <c r="I600" t="s">
        <v>28</v>
      </c>
      <c r="J600" t="s">
        <v>29</v>
      </c>
      <c r="K600">
        <v>8996</v>
      </c>
      <c r="L600">
        <v>326</v>
      </c>
      <c r="M600">
        <v>624.16</v>
      </c>
      <c r="N600">
        <v>12</v>
      </c>
      <c r="O600">
        <v>293.91000000000003</v>
      </c>
      <c r="P600">
        <f t="shared" si="36"/>
        <v>3.6238328145842595E-2</v>
      </c>
      <c r="Q600">
        <f t="shared" si="36"/>
        <v>1.914601226993865</v>
      </c>
      <c r="R600">
        <f t="shared" si="37"/>
        <v>52.013333333333328</v>
      </c>
      <c r="S600">
        <f t="shared" si="38"/>
        <v>0.47088887464752632</v>
      </c>
      <c r="T600">
        <f t="shared" si="39"/>
        <v>3.6809815950920248E-2</v>
      </c>
      <c r="U600" t="str">
        <f>YEAR('Campaign Data'!$A600)&amp;"-"&amp;TEXT(MONTH('Campaign Data'!$A600),"00")</f>
        <v>2026-02</v>
      </c>
    </row>
    <row r="601" spans="1:21" x14ac:dyDescent="0.25">
      <c r="A601">
        <v>46055</v>
      </c>
      <c r="B601" t="s">
        <v>63</v>
      </c>
      <c r="C601" t="s">
        <v>64</v>
      </c>
      <c r="D601" t="s">
        <v>65</v>
      </c>
      <c r="E601" t="s">
        <v>24</v>
      </c>
      <c r="F601" t="s">
        <v>43</v>
      </c>
      <c r="G601" t="s">
        <v>66</v>
      </c>
      <c r="H601" t="s">
        <v>90</v>
      </c>
      <c r="I601" t="s">
        <v>28</v>
      </c>
      <c r="J601" t="s">
        <v>38</v>
      </c>
      <c r="K601">
        <v>7615</v>
      </c>
      <c r="L601">
        <v>71</v>
      </c>
      <c r="M601">
        <v>13.61</v>
      </c>
      <c r="N601">
        <v>2</v>
      </c>
      <c r="O601">
        <v>11.62</v>
      </c>
      <c r="P601">
        <f t="shared" si="36"/>
        <v>9.3237032173342088E-3</v>
      </c>
      <c r="Q601">
        <f t="shared" si="36"/>
        <v>0.19169014084507041</v>
      </c>
      <c r="R601">
        <f t="shared" si="37"/>
        <v>6.8049999999999997</v>
      </c>
      <c r="S601">
        <f t="shared" si="38"/>
        <v>0.85378398236590736</v>
      </c>
      <c r="T601">
        <f t="shared" si="39"/>
        <v>2.8169014084507043E-2</v>
      </c>
      <c r="U601" t="str">
        <f>YEAR('Campaign Data'!$A601)&amp;"-"&amp;TEXT(MONTH('Campaign Data'!$A601),"00")</f>
        <v>2026-02</v>
      </c>
    </row>
    <row r="602" spans="1:21" x14ac:dyDescent="0.25">
      <c r="A602">
        <v>46055</v>
      </c>
      <c r="B602" t="s">
        <v>63</v>
      </c>
      <c r="C602" t="s">
        <v>64</v>
      </c>
      <c r="D602" t="s">
        <v>65</v>
      </c>
      <c r="E602" t="s">
        <v>24</v>
      </c>
      <c r="F602" t="s">
        <v>43</v>
      </c>
      <c r="G602" t="s">
        <v>66</v>
      </c>
      <c r="H602" t="s">
        <v>27</v>
      </c>
      <c r="I602" t="s">
        <v>37</v>
      </c>
      <c r="J602" t="s">
        <v>45</v>
      </c>
      <c r="K602">
        <v>5708</v>
      </c>
      <c r="L602">
        <v>62</v>
      </c>
      <c r="M602">
        <v>89.37</v>
      </c>
      <c r="N602">
        <v>0</v>
      </c>
      <c r="O602">
        <v>0</v>
      </c>
      <c r="P602">
        <f t="shared" si="36"/>
        <v>1.0861948142957253E-2</v>
      </c>
      <c r="Q602">
        <f t="shared" si="36"/>
        <v>1.441451612903226</v>
      </c>
      <c r="R602">
        <f t="shared" si="37"/>
        <v>0</v>
      </c>
      <c r="S602">
        <f t="shared" si="38"/>
        <v>0</v>
      </c>
      <c r="T602">
        <f t="shared" si="39"/>
        <v>0</v>
      </c>
      <c r="U602" t="str">
        <f>YEAR('Campaign Data'!$A602)&amp;"-"&amp;TEXT(MONTH('Campaign Data'!$A602),"00")</f>
        <v>2026-02</v>
      </c>
    </row>
    <row r="603" spans="1:21" x14ac:dyDescent="0.25">
      <c r="A603">
        <v>46055</v>
      </c>
      <c r="B603" t="s">
        <v>63</v>
      </c>
      <c r="C603" t="s">
        <v>64</v>
      </c>
      <c r="D603" t="s">
        <v>65</v>
      </c>
      <c r="E603" t="s">
        <v>24</v>
      </c>
      <c r="F603" t="s">
        <v>43</v>
      </c>
      <c r="G603" t="s">
        <v>66</v>
      </c>
      <c r="H603" t="s">
        <v>27</v>
      </c>
      <c r="I603" t="s">
        <v>28</v>
      </c>
      <c r="J603" t="s">
        <v>62</v>
      </c>
      <c r="K603">
        <v>12718</v>
      </c>
      <c r="L603">
        <v>179</v>
      </c>
      <c r="M603">
        <v>210.71</v>
      </c>
      <c r="N603">
        <v>5</v>
      </c>
      <c r="O603">
        <v>183.33</v>
      </c>
      <c r="P603">
        <f t="shared" si="36"/>
        <v>1.407454002201604E-2</v>
      </c>
      <c r="Q603">
        <f t="shared" si="36"/>
        <v>1.1771508379888269</v>
      </c>
      <c r="R603">
        <f t="shared" si="37"/>
        <v>42.142000000000003</v>
      </c>
      <c r="S603">
        <f t="shared" si="38"/>
        <v>0.87005837406862518</v>
      </c>
      <c r="T603">
        <f t="shared" si="39"/>
        <v>2.7932960893854747E-2</v>
      </c>
      <c r="U603" t="str">
        <f>YEAR('Campaign Data'!$A603)&amp;"-"&amp;TEXT(MONTH('Campaign Data'!$A603),"00")</f>
        <v>2026-02</v>
      </c>
    </row>
    <row r="604" spans="1:21" x14ac:dyDescent="0.25">
      <c r="A604">
        <v>46055</v>
      </c>
      <c r="B604" t="s">
        <v>145</v>
      </c>
      <c r="C604" t="s">
        <v>146</v>
      </c>
      <c r="D604" t="s">
        <v>41</v>
      </c>
      <c r="E604" t="s">
        <v>49</v>
      </c>
      <c r="F604" t="s">
        <v>75</v>
      </c>
      <c r="G604" t="s">
        <v>70</v>
      </c>
      <c r="H604" t="s">
        <v>27</v>
      </c>
      <c r="I604" t="s">
        <v>37</v>
      </c>
      <c r="J604" t="s">
        <v>62</v>
      </c>
      <c r="K604">
        <v>5468</v>
      </c>
      <c r="L604">
        <v>280</v>
      </c>
      <c r="M604">
        <v>664.69</v>
      </c>
      <c r="N604">
        <v>21</v>
      </c>
      <c r="O604">
        <v>1107.31</v>
      </c>
      <c r="P604">
        <f t="shared" si="36"/>
        <v>5.1207022677395755E-2</v>
      </c>
      <c r="Q604">
        <f t="shared" si="36"/>
        <v>2.3738928571428572</v>
      </c>
      <c r="R604">
        <f t="shared" si="37"/>
        <v>31.651904761904763</v>
      </c>
      <c r="S604">
        <f t="shared" si="38"/>
        <v>1.6659044065654665</v>
      </c>
      <c r="T604">
        <f t="shared" si="39"/>
        <v>7.4999999999999997E-2</v>
      </c>
      <c r="U604" t="str">
        <f>YEAR('Campaign Data'!$A604)&amp;"-"&amp;TEXT(MONTH('Campaign Data'!$A604),"00")</f>
        <v>2026-02</v>
      </c>
    </row>
    <row r="605" spans="1:21" x14ac:dyDescent="0.25">
      <c r="A605">
        <v>46055</v>
      </c>
      <c r="B605" t="s">
        <v>145</v>
      </c>
      <c r="C605" t="s">
        <v>146</v>
      </c>
      <c r="D605" t="s">
        <v>41</v>
      </c>
      <c r="E605" t="s">
        <v>49</v>
      </c>
      <c r="F605" t="s">
        <v>75</v>
      </c>
      <c r="G605" t="s">
        <v>70</v>
      </c>
      <c r="H605" t="s">
        <v>51</v>
      </c>
      <c r="I605" t="s">
        <v>37</v>
      </c>
      <c r="J605" t="s">
        <v>62</v>
      </c>
      <c r="K605">
        <v>12780</v>
      </c>
      <c r="L605">
        <v>1128</v>
      </c>
      <c r="M605">
        <v>2113.08</v>
      </c>
      <c r="N605">
        <v>84</v>
      </c>
      <c r="O605">
        <v>2865.85</v>
      </c>
      <c r="P605">
        <f t="shared" si="36"/>
        <v>8.8262910798122068E-2</v>
      </c>
      <c r="Q605">
        <f t="shared" si="36"/>
        <v>1.8732978723404254</v>
      </c>
      <c r="R605">
        <f t="shared" si="37"/>
        <v>25.155714285714286</v>
      </c>
      <c r="S605">
        <f t="shared" si="38"/>
        <v>1.3562430196679729</v>
      </c>
      <c r="T605">
        <f t="shared" si="39"/>
        <v>7.4468085106382975E-2</v>
      </c>
      <c r="U605" t="str">
        <f>YEAR('Campaign Data'!$A605)&amp;"-"&amp;TEXT(MONTH('Campaign Data'!$A605),"00")</f>
        <v>2026-02</v>
      </c>
    </row>
    <row r="606" spans="1:21" x14ac:dyDescent="0.25">
      <c r="A606">
        <v>46055</v>
      </c>
      <c r="B606" t="s">
        <v>76</v>
      </c>
      <c r="C606" t="s">
        <v>77</v>
      </c>
      <c r="D606" t="s">
        <v>65</v>
      </c>
      <c r="E606" t="s">
        <v>42</v>
      </c>
      <c r="F606" t="s">
        <v>43</v>
      </c>
      <c r="G606" t="s">
        <v>44</v>
      </c>
      <c r="H606" t="s">
        <v>51</v>
      </c>
      <c r="I606" t="s">
        <v>28</v>
      </c>
      <c r="J606" t="s">
        <v>38</v>
      </c>
      <c r="K606">
        <v>14785</v>
      </c>
      <c r="L606">
        <v>116</v>
      </c>
      <c r="M606">
        <v>616.54999999999995</v>
      </c>
      <c r="N606">
        <v>4</v>
      </c>
      <c r="O606">
        <v>58.16</v>
      </c>
      <c r="P606">
        <f t="shared" si="36"/>
        <v>7.8457896516739931E-3</v>
      </c>
      <c r="Q606">
        <f t="shared" si="36"/>
        <v>5.3150862068965514</v>
      </c>
      <c r="R606">
        <f t="shared" si="37"/>
        <v>154.13749999999999</v>
      </c>
      <c r="S606">
        <f t="shared" si="38"/>
        <v>9.4331359987024577E-2</v>
      </c>
      <c r="T606">
        <f t="shared" si="39"/>
        <v>3.4482758620689655E-2</v>
      </c>
      <c r="U606" t="str">
        <f>YEAR('Campaign Data'!$A606)&amp;"-"&amp;TEXT(MONTH('Campaign Data'!$A606),"00")</f>
        <v>2026-02</v>
      </c>
    </row>
    <row r="607" spans="1:21" x14ac:dyDescent="0.25">
      <c r="A607">
        <v>46055</v>
      </c>
      <c r="B607" t="s">
        <v>78</v>
      </c>
      <c r="C607" t="s">
        <v>79</v>
      </c>
      <c r="D607" t="s">
        <v>80</v>
      </c>
      <c r="E607" t="s">
        <v>24</v>
      </c>
      <c r="F607" t="s">
        <v>81</v>
      </c>
      <c r="G607" t="s">
        <v>66</v>
      </c>
      <c r="H607" t="s">
        <v>27</v>
      </c>
      <c r="I607" t="s">
        <v>61</v>
      </c>
      <c r="J607" t="s">
        <v>62</v>
      </c>
      <c r="K607">
        <v>11594</v>
      </c>
      <c r="L607">
        <v>239</v>
      </c>
      <c r="M607">
        <v>309.67</v>
      </c>
      <c r="N607">
        <v>5</v>
      </c>
      <c r="O607">
        <v>170.37</v>
      </c>
      <c r="P607">
        <f t="shared" si="36"/>
        <v>2.0614110746938072E-2</v>
      </c>
      <c r="Q607">
        <f t="shared" si="36"/>
        <v>1.2956903765690377</v>
      </c>
      <c r="R607">
        <f t="shared" si="37"/>
        <v>61.934000000000005</v>
      </c>
      <c r="S607">
        <f t="shared" si="38"/>
        <v>0.55016630606774952</v>
      </c>
      <c r="T607">
        <f t="shared" si="39"/>
        <v>2.0920502092050208E-2</v>
      </c>
      <c r="U607" t="str">
        <f>YEAR('Campaign Data'!$A607)&amp;"-"&amp;TEXT(MONTH('Campaign Data'!$A607),"00")</f>
        <v>2026-02</v>
      </c>
    </row>
    <row r="608" spans="1:21" x14ac:dyDescent="0.25">
      <c r="A608">
        <v>46055</v>
      </c>
      <c r="B608" t="s">
        <v>122</v>
      </c>
      <c r="C608" t="s">
        <v>123</v>
      </c>
      <c r="D608" t="s">
        <v>41</v>
      </c>
      <c r="E608" t="s">
        <v>33</v>
      </c>
      <c r="F608" t="s">
        <v>75</v>
      </c>
      <c r="G608" t="s">
        <v>35</v>
      </c>
      <c r="H608" t="s">
        <v>27</v>
      </c>
      <c r="I608" t="s">
        <v>37</v>
      </c>
      <c r="J608" t="s">
        <v>45</v>
      </c>
      <c r="K608">
        <v>4037</v>
      </c>
      <c r="L608">
        <v>26</v>
      </c>
      <c r="M608">
        <v>20.45</v>
      </c>
      <c r="N608">
        <v>0</v>
      </c>
      <c r="O608">
        <v>0</v>
      </c>
      <c r="P608">
        <f t="shared" si="36"/>
        <v>6.4404260589546692E-3</v>
      </c>
      <c r="Q608">
        <f t="shared" si="36"/>
        <v>0.78653846153846152</v>
      </c>
      <c r="R608">
        <f t="shared" si="37"/>
        <v>0</v>
      </c>
      <c r="S608">
        <f t="shared" si="38"/>
        <v>0</v>
      </c>
      <c r="T608">
        <f t="shared" si="39"/>
        <v>0</v>
      </c>
      <c r="U608" t="str">
        <f>YEAR('Campaign Data'!$A608)&amp;"-"&amp;TEXT(MONTH('Campaign Data'!$A608),"00")</f>
        <v>2026-02</v>
      </c>
    </row>
    <row r="609" spans="1:21" x14ac:dyDescent="0.25">
      <c r="A609">
        <v>46056</v>
      </c>
      <c r="B609" t="s">
        <v>85</v>
      </c>
      <c r="C609" t="s">
        <v>86</v>
      </c>
      <c r="D609" t="s">
        <v>80</v>
      </c>
      <c r="E609" t="s">
        <v>33</v>
      </c>
      <c r="F609" t="s">
        <v>43</v>
      </c>
      <c r="G609" t="s">
        <v>35</v>
      </c>
      <c r="H609" t="s">
        <v>27</v>
      </c>
      <c r="I609" t="s">
        <v>37</v>
      </c>
      <c r="J609" t="s">
        <v>29</v>
      </c>
      <c r="K609">
        <v>5816</v>
      </c>
      <c r="L609">
        <v>33</v>
      </c>
      <c r="M609">
        <v>30.77</v>
      </c>
      <c r="N609">
        <v>0</v>
      </c>
      <c r="O609">
        <v>0</v>
      </c>
      <c r="P609">
        <f t="shared" si="36"/>
        <v>5.6740027510316371E-3</v>
      </c>
      <c r="Q609">
        <f t="shared" si="36"/>
        <v>0.93242424242424238</v>
      </c>
      <c r="R609">
        <f t="shared" si="37"/>
        <v>0</v>
      </c>
      <c r="S609">
        <f t="shared" si="38"/>
        <v>0</v>
      </c>
      <c r="T609">
        <f t="shared" si="39"/>
        <v>0</v>
      </c>
      <c r="U609" t="str">
        <f>YEAR('Campaign Data'!$A609)&amp;"-"&amp;TEXT(MONTH('Campaign Data'!$A609),"00")</f>
        <v>2026-02</v>
      </c>
    </row>
    <row r="610" spans="1:21" x14ac:dyDescent="0.25">
      <c r="A610">
        <v>46056</v>
      </c>
      <c r="B610" t="s">
        <v>125</v>
      </c>
      <c r="C610" t="s">
        <v>126</v>
      </c>
      <c r="D610" t="s">
        <v>41</v>
      </c>
      <c r="E610" t="s">
        <v>42</v>
      </c>
      <c r="F610" t="s">
        <v>81</v>
      </c>
      <c r="G610" t="s">
        <v>44</v>
      </c>
      <c r="H610" t="s">
        <v>36</v>
      </c>
      <c r="I610" t="s">
        <v>37</v>
      </c>
      <c r="J610" t="s">
        <v>38</v>
      </c>
      <c r="K610">
        <v>12762</v>
      </c>
      <c r="L610">
        <v>103</v>
      </c>
      <c r="M610">
        <v>505.19</v>
      </c>
      <c r="N610">
        <v>0</v>
      </c>
      <c r="O610">
        <v>0</v>
      </c>
      <c r="P610">
        <f t="shared" si="36"/>
        <v>8.0708352922739379E-3</v>
      </c>
      <c r="Q610">
        <f t="shared" si="36"/>
        <v>4.9047572815533984</v>
      </c>
      <c r="R610">
        <f t="shared" si="37"/>
        <v>0</v>
      </c>
      <c r="S610">
        <f t="shared" si="38"/>
        <v>0</v>
      </c>
      <c r="T610">
        <f t="shared" si="39"/>
        <v>0</v>
      </c>
      <c r="U610" t="str">
        <f>YEAR('Campaign Data'!$A610)&amp;"-"&amp;TEXT(MONTH('Campaign Data'!$A610),"00")</f>
        <v>2026-02</v>
      </c>
    </row>
    <row r="611" spans="1:21" x14ac:dyDescent="0.25">
      <c r="A611">
        <v>46056</v>
      </c>
      <c r="B611" t="s">
        <v>151</v>
      </c>
      <c r="C611" t="s">
        <v>152</v>
      </c>
      <c r="D611" t="s">
        <v>48</v>
      </c>
      <c r="E611" t="s">
        <v>24</v>
      </c>
      <c r="F611" t="s">
        <v>81</v>
      </c>
      <c r="G611" t="s">
        <v>129</v>
      </c>
      <c r="H611" t="s">
        <v>27</v>
      </c>
      <c r="I611" t="s">
        <v>28</v>
      </c>
      <c r="J611" t="s">
        <v>62</v>
      </c>
      <c r="K611">
        <v>8957</v>
      </c>
      <c r="L611">
        <v>164</v>
      </c>
      <c r="M611">
        <v>225.13</v>
      </c>
      <c r="N611">
        <v>4</v>
      </c>
      <c r="O611">
        <v>127.48</v>
      </c>
      <c r="P611">
        <f t="shared" si="36"/>
        <v>1.8309701909121359E-2</v>
      </c>
      <c r="Q611">
        <f t="shared" si="36"/>
        <v>1.3727439024390244</v>
      </c>
      <c r="R611">
        <f t="shared" si="37"/>
        <v>56.282499999999999</v>
      </c>
      <c r="S611">
        <f t="shared" si="38"/>
        <v>0.56625061075822858</v>
      </c>
      <c r="T611">
        <f t="shared" si="39"/>
        <v>2.4390243902439025E-2</v>
      </c>
      <c r="U611" t="str">
        <f>YEAR('Campaign Data'!$A611)&amp;"-"&amp;TEXT(MONTH('Campaign Data'!$A611),"00")</f>
        <v>2026-02</v>
      </c>
    </row>
    <row r="612" spans="1:21" x14ac:dyDescent="0.25">
      <c r="A612">
        <v>46056</v>
      </c>
      <c r="B612" t="s">
        <v>151</v>
      </c>
      <c r="C612" t="s">
        <v>152</v>
      </c>
      <c r="D612" t="s">
        <v>48</v>
      </c>
      <c r="E612" t="s">
        <v>24</v>
      </c>
      <c r="F612" t="s">
        <v>81</v>
      </c>
      <c r="G612" t="s">
        <v>129</v>
      </c>
      <c r="H612" t="s">
        <v>60</v>
      </c>
      <c r="I612" t="s">
        <v>37</v>
      </c>
      <c r="J612" t="s">
        <v>38</v>
      </c>
      <c r="K612">
        <v>7399</v>
      </c>
      <c r="L612">
        <v>92</v>
      </c>
      <c r="M612">
        <v>85.77</v>
      </c>
      <c r="N612">
        <v>3</v>
      </c>
      <c r="O612">
        <v>81.94</v>
      </c>
      <c r="P612">
        <f t="shared" si="36"/>
        <v>1.2434112717934856E-2</v>
      </c>
      <c r="Q612">
        <f t="shared" si="36"/>
        <v>0.93228260869565216</v>
      </c>
      <c r="R612">
        <f t="shared" si="37"/>
        <v>28.59</v>
      </c>
      <c r="S612">
        <f t="shared" si="38"/>
        <v>0.95534569196688823</v>
      </c>
      <c r="T612">
        <f t="shared" si="39"/>
        <v>3.2608695652173912E-2</v>
      </c>
      <c r="U612" t="str">
        <f>YEAR('Campaign Data'!$A612)&amp;"-"&amp;TEXT(MONTH('Campaign Data'!$A612),"00")</f>
        <v>2026-02</v>
      </c>
    </row>
    <row r="613" spans="1:21" x14ac:dyDescent="0.25">
      <c r="A613">
        <v>46056</v>
      </c>
      <c r="B613" t="s">
        <v>151</v>
      </c>
      <c r="C613" t="s">
        <v>152</v>
      </c>
      <c r="D613" t="s">
        <v>48</v>
      </c>
      <c r="E613" t="s">
        <v>24</v>
      </c>
      <c r="F613" t="s">
        <v>81</v>
      </c>
      <c r="G613" t="s">
        <v>129</v>
      </c>
      <c r="H613" t="s">
        <v>71</v>
      </c>
      <c r="I613" t="s">
        <v>37</v>
      </c>
      <c r="J613" t="s">
        <v>29</v>
      </c>
      <c r="K613">
        <v>24025</v>
      </c>
      <c r="L613">
        <v>276</v>
      </c>
      <c r="M613">
        <v>291.97000000000003</v>
      </c>
      <c r="N613">
        <v>6</v>
      </c>
      <c r="O613">
        <v>91.38</v>
      </c>
      <c r="P613">
        <f t="shared" si="36"/>
        <v>1.1488033298647242E-2</v>
      </c>
      <c r="Q613">
        <f t="shared" si="36"/>
        <v>1.0578623188405798</v>
      </c>
      <c r="R613">
        <f t="shared" si="37"/>
        <v>48.661666666666669</v>
      </c>
      <c r="S613">
        <f t="shared" si="38"/>
        <v>0.31297736068774185</v>
      </c>
      <c r="T613">
        <f t="shared" si="39"/>
        <v>2.1739130434782608E-2</v>
      </c>
      <c r="U613" t="str">
        <f>YEAR('Campaign Data'!$A613)&amp;"-"&amp;TEXT(MONTH('Campaign Data'!$A613),"00")</f>
        <v>2026-02</v>
      </c>
    </row>
    <row r="614" spans="1:21" x14ac:dyDescent="0.25">
      <c r="A614">
        <v>46056</v>
      </c>
      <c r="B614" t="s">
        <v>100</v>
      </c>
      <c r="C614" t="s">
        <v>101</v>
      </c>
      <c r="D614" t="s">
        <v>80</v>
      </c>
      <c r="E614" t="s">
        <v>33</v>
      </c>
      <c r="F614" t="s">
        <v>25</v>
      </c>
      <c r="G614" t="s">
        <v>102</v>
      </c>
      <c r="H614" t="s">
        <v>55</v>
      </c>
      <c r="I614" t="s">
        <v>28</v>
      </c>
      <c r="J614" t="s">
        <v>29</v>
      </c>
      <c r="K614">
        <v>3002</v>
      </c>
      <c r="L614">
        <v>23</v>
      </c>
      <c r="M614">
        <v>11.04</v>
      </c>
      <c r="N614">
        <v>2</v>
      </c>
      <c r="O614">
        <v>320.95999999999998</v>
      </c>
      <c r="P614">
        <f t="shared" si="36"/>
        <v>7.6615589606928713E-3</v>
      </c>
      <c r="Q614">
        <f t="shared" si="36"/>
        <v>0.48</v>
      </c>
      <c r="R614">
        <f t="shared" si="37"/>
        <v>5.52</v>
      </c>
      <c r="S614">
        <f t="shared" si="38"/>
        <v>29.072463768115941</v>
      </c>
      <c r="T614">
        <f t="shared" si="39"/>
        <v>8.6956521739130432E-2</v>
      </c>
      <c r="U614" t="str">
        <f>YEAR('Campaign Data'!$A614)&amp;"-"&amp;TEXT(MONTH('Campaign Data'!$A614),"00")</f>
        <v>2026-02</v>
      </c>
    </row>
    <row r="615" spans="1:21" x14ac:dyDescent="0.25">
      <c r="A615">
        <v>46056</v>
      </c>
      <c r="B615" t="s">
        <v>103</v>
      </c>
      <c r="C615" t="s">
        <v>104</v>
      </c>
      <c r="D615" t="s">
        <v>65</v>
      </c>
      <c r="E615" t="s">
        <v>33</v>
      </c>
      <c r="F615" t="s">
        <v>43</v>
      </c>
      <c r="G615" t="s">
        <v>102</v>
      </c>
      <c r="H615" t="s">
        <v>71</v>
      </c>
      <c r="I615" t="s">
        <v>37</v>
      </c>
      <c r="J615" t="s">
        <v>29</v>
      </c>
      <c r="K615">
        <v>3223</v>
      </c>
      <c r="L615">
        <v>17</v>
      </c>
      <c r="M615">
        <v>9.81</v>
      </c>
      <c r="N615">
        <v>0</v>
      </c>
      <c r="O615">
        <v>0</v>
      </c>
      <c r="P615">
        <f t="shared" si="36"/>
        <v>5.2745888923363326E-3</v>
      </c>
      <c r="Q615">
        <f t="shared" si="36"/>
        <v>0.57705882352941185</v>
      </c>
      <c r="R615">
        <f t="shared" si="37"/>
        <v>0</v>
      </c>
      <c r="S615">
        <f t="shared" si="38"/>
        <v>0</v>
      </c>
      <c r="T615">
        <f t="shared" si="39"/>
        <v>0</v>
      </c>
      <c r="U615" t="str">
        <f>YEAR('Campaign Data'!$A615)&amp;"-"&amp;TEXT(MONTH('Campaign Data'!$A615),"00")</f>
        <v>2026-02</v>
      </c>
    </row>
    <row r="616" spans="1:21" x14ac:dyDescent="0.25">
      <c r="A616">
        <v>46056</v>
      </c>
      <c r="B616" t="s">
        <v>171</v>
      </c>
      <c r="C616" t="s">
        <v>172</v>
      </c>
      <c r="D616" t="s">
        <v>23</v>
      </c>
      <c r="E616" t="s">
        <v>33</v>
      </c>
      <c r="F616" t="s">
        <v>75</v>
      </c>
      <c r="G616" t="s">
        <v>59</v>
      </c>
      <c r="H616" t="s">
        <v>90</v>
      </c>
      <c r="I616" t="s">
        <v>61</v>
      </c>
      <c r="J616" t="s">
        <v>29</v>
      </c>
      <c r="K616">
        <v>12402</v>
      </c>
      <c r="L616">
        <v>130</v>
      </c>
      <c r="M616">
        <v>12.5</v>
      </c>
      <c r="N616">
        <v>1</v>
      </c>
      <c r="O616">
        <v>5</v>
      </c>
      <c r="P616">
        <f t="shared" si="36"/>
        <v>1.0482180293501049E-2</v>
      </c>
      <c r="Q616">
        <f t="shared" si="36"/>
        <v>9.6153846153846159E-2</v>
      </c>
      <c r="R616">
        <f t="shared" si="37"/>
        <v>12.5</v>
      </c>
      <c r="S616">
        <f t="shared" si="38"/>
        <v>0.4</v>
      </c>
      <c r="T616">
        <f t="shared" si="39"/>
        <v>7.6923076923076927E-3</v>
      </c>
      <c r="U616" t="str">
        <f>YEAR('Campaign Data'!$A616)&amp;"-"&amp;TEXT(MONTH('Campaign Data'!$A616),"00")</f>
        <v>2026-02</v>
      </c>
    </row>
    <row r="617" spans="1:21" x14ac:dyDescent="0.25">
      <c r="A617">
        <v>46056</v>
      </c>
      <c r="B617" t="s">
        <v>140</v>
      </c>
      <c r="C617" t="s">
        <v>40</v>
      </c>
      <c r="D617" t="s">
        <v>41</v>
      </c>
      <c r="E617" t="s">
        <v>42</v>
      </c>
      <c r="F617" t="s">
        <v>43</v>
      </c>
      <c r="G617" t="s">
        <v>44</v>
      </c>
      <c r="H617" t="s">
        <v>36</v>
      </c>
      <c r="I617" t="s">
        <v>28</v>
      </c>
      <c r="J617" t="s">
        <v>62</v>
      </c>
      <c r="K617">
        <v>13120</v>
      </c>
      <c r="L617">
        <v>39</v>
      </c>
      <c r="M617">
        <v>239.77</v>
      </c>
      <c r="N617">
        <v>2</v>
      </c>
      <c r="O617">
        <v>37.69</v>
      </c>
      <c r="P617">
        <f t="shared" si="36"/>
        <v>2.9725609756097561E-3</v>
      </c>
      <c r="Q617">
        <f t="shared" si="36"/>
        <v>6.1479487179487178</v>
      </c>
      <c r="R617">
        <f t="shared" si="37"/>
        <v>119.88500000000001</v>
      </c>
      <c r="S617">
        <f t="shared" si="38"/>
        <v>0.15719230929640904</v>
      </c>
      <c r="T617">
        <f t="shared" si="39"/>
        <v>5.128205128205128E-2</v>
      </c>
      <c r="U617" t="str">
        <f>YEAR('Campaign Data'!$A617)&amp;"-"&amp;TEXT(MONTH('Campaign Data'!$A617),"00")</f>
        <v>2026-02</v>
      </c>
    </row>
    <row r="618" spans="1:21" x14ac:dyDescent="0.25">
      <c r="A618">
        <v>46056</v>
      </c>
      <c r="B618" t="s">
        <v>110</v>
      </c>
      <c r="C618" t="s">
        <v>111</v>
      </c>
      <c r="D618" t="s">
        <v>23</v>
      </c>
      <c r="E618" t="s">
        <v>49</v>
      </c>
      <c r="F618" t="s">
        <v>34</v>
      </c>
      <c r="G618" t="s">
        <v>50</v>
      </c>
      <c r="H618" t="s">
        <v>27</v>
      </c>
      <c r="I618" t="s">
        <v>28</v>
      </c>
      <c r="J618" t="s">
        <v>38</v>
      </c>
      <c r="K618">
        <v>4578</v>
      </c>
      <c r="L618">
        <v>217</v>
      </c>
      <c r="M618">
        <v>463.01</v>
      </c>
      <c r="N618">
        <v>11</v>
      </c>
      <c r="O618">
        <v>889.93</v>
      </c>
      <c r="P618">
        <f t="shared" si="36"/>
        <v>4.7400611620795105E-2</v>
      </c>
      <c r="Q618">
        <f t="shared" si="36"/>
        <v>2.1336866359447004</v>
      </c>
      <c r="R618">
        <f t="shared" si="37"/>
        <v>42.091818181818184</v>
      </c>
      <c r="S618">
        <f t="shared" si="38"/>
        <v>1.9220535193624326</v>
      </c>
      <c r="T618">
        <f t="shared" si="39"/>
        <v>5.0691244239631339E-2</v>
      </c>
      <c r="U618" t="str">
        <f>YEAR('Campaign Data'!$A618)&amp;"-"&amp;TEXT(MONTH('Campaign Data'!$A618),"00")</f>
        <v>2026-02</v>
      </c>
    </row>
    <row r="619" spans="1:21" x14ac:dyDescent="0.25">
      <c r="A619">
        <v>46056</v>
      </c>
      <c r="B619" t="s">
        <v>161</v>
      </c>
      <c r="C619" t="s">
        <v>162</v>
      </c>
      <c r="D619" t="s">
        <v>48</v>
      </c>
      <c r="E619" t="s">
        <v>74</v>
      </c>
      <c r="F619" t="s">
        <v>34</v>
      </c>
      <c r="G619" t="s">
        <v>107</v>
      </c>
      <c r="H619" t="s">
        <v>27</v>
      </c>
      <c r="I619" t="s">
        <v>37</v>
      </c>
      <c r="J619" t="s">
        <v>45</v>
      </c>
      <c r="K619">
        <v>8266</v>
      </c>
      <c r="L619">
        <v>231</v>
      </c>
      <c r="M619">
        <v>506.95</v>
      </c>
      <c r="N619">
        <v>12</v>
      </c>
      <c r="O619">
        <v>1518.6</v>
      </c>
      <c r="P619">
        <f t="shared" si="36"/>
        <v>2.794580208081297E-2</v>
      </c>
      <c r="Q619">
        <f t="shared" si="36"/>
        <v>2.1945887445887444</v>
      </c>
      <c r="R619">
        <f t="shared" si="37"/>
        <v>42.24583333333333</v>
      </c>
      <c r="S619">
        <f t="shared" si="38"/>
        <v>2.9955616924746029</v>
      </c>
      <c r="T619">
        <f t="shared" si="39"/>
        <v>5.1948051948051951E-2</v>
      </c>
      <c r="U619" t="str">
        <f>YEAR('Campaign Data'!$A619)&amp;"-"&amp;TEXT(MONTH('Campaign Data'!$A619),"00")</f>
        <v>2026-02</v>
      </c>
    </row>
    <row r="620" spans="1:21" x14ac:dyDescent="0.25">
      <c r="A620">
        <v>46056</v>
      </c>
      <c r="B620" t="s">
        <v>114</v>
      </c>
      <c r="C620" t="s">
        <v>115</v>
      </c>
      <c r="D620" t="s">
        <v>69</v>
      </c>
      <c r="E620" t="s">
        <v>49</v>
      </c>
      <c r="F620" t="s">
        <v>25</v>
      </c>
      <c r="G620" t="s">
        <v>107</v>
      </c>
      <c r="H620" t="s">
        <v>71</v>
      </c>
      <c r="I620" t="s">
        <v>28</v>
      </c>
      <c r="J620" t="s">
        <v>29</v>
      </c>
      <c r="K620">
        <v>26514</v>
      </c>
      <c r="L620">
        <v>1187</v>
      </c>
      <c r="M620">
        <v>1595.34</v>
      </c>
      <c r="N620">
        <v>78</v>
      </c>
      <c r="O620">
        <v>6035.77</v>
      </c>
      <c r="P620">
        <f t="shared" si="36"/>
        <v>4.4768801387945992E-2</v>
      </c>
      <c r="Q620">
        <f t="shared" si="36"/>
        <v>1.3440101095197978</v>
      </c>
      <c r="R620">
        <f t="shared" si="37"/>
        <v>20.453076923076921</v>
      </c>
      <c r="S620">
        <f t="shared" si="38"/>
        <v>3.7833753306505202</v>
      </c>
      <c r="T620">
        <f t="shared" si="39"/>
        <v>6.571187868576242E-2</v>
      </c>
      <c r="U620" t="str">
        <f>YEAR('Campaign Data'!$A620)&amp;"-"&amp;TEXT(MONTH('Campaign Data'!$A620),"00")</f>
        <v>2026-02</v>
      </c>
    </row>
    <row r="621" spans="1:21" x14ac:dyDescent="0.25">
      <c r="A621">
        <v>46056</v>
      </c>
      <c r="B621" t="s">
        <v>56</v>
      </c>
      <c r="C621" t="s">
        <v>57</v>
      </c>
      <c r="D621" t="s">
        <v>58</v>
      </c>
      <c r="E621" t="s">
        <v>33</v>
      </c>
      <c r="F621" t="s">
        <v>43</v>
      </c>
      <c r="G621" t="s">
        <v>59</v>
      </c>
      <c r="H621" t="s">
        <v>51</v>
      </c>
      <c r="I621" t="s">
        <v>28</v>
      </c>
      <c r="J621" t="s">
        <v>87</v>
      </c>
      <c r="K621">
        <v>8653</v>
      </c>
      <c r="L621">
        <v>63</v>
      </c>
      <c r="M621">
        <v>32.26</v>
      </c>
      <c r="N621">
        <v>0</v>
      </c>
      <c r="O621">
        <v>0</v>
      </c>
      <c r="P621">
        <f t="shared" si="36"/>
        <v>7.2807118918294233E-3</v>
      </c>
      <c r="Q621">
        <f t="shared" si="36"/>
        <v>0.512063492063492</v>
      </c>
      <c r="R621">
        <f t="shared" si="37"/>
        <v>0</v>
      </c>
      <c r="S621">
        <f t="shared" si="38"/>
        <v>0</v>
      </c>
      <c r="T621">
        <f t="shared" si="39"/>
        <v>0</v>
      </c>
      <c r="U621" t="str">
        <f>YEAR('Campaign Data'!$A621)&amp;"-"&amp;TEXT(MONTH('Campaign Data'!$A621),"00")</f>
        <v>2026-02</v>
      </c>
    </row>
    <row r="622" spans="1:21" x14ac:dyDescent="0.25">
      <c r="A622">
        <v>46056</v>
      </c>
      <c r="B622" t="s">
        <v>118</v>
      </c>
      <c r="C622" t="s">
        <v>119</v>
      </c>
      <c r="D622" t="s">
        <v>69</v>
      </c>
      <c r="E622" t="s">
        <v>33</v>
      </c>
      <c r="F622" t="s">
        <v>34</v>
      </c>
      <c r="G622" t="s">
        <v>35</v>
      </c>
      <c r="H622" t="s">
        <v>36</v>
      </c>
      <c r="I622" t="s">
        <v>37</v>
      </c>
      <c r="J622" t="s">
        <v>62</v>
      </c>
      <c r="K622">
        <v>7549</v>
      </c>
      <c r="L622">
        <v>100</v>
      </c>
      <c r="M622">
        <v>70.97</v>
      </c>
      <c r="N622">
        <v>1</v>
      </c>
      <c r="O622">
        <v>100.19</v>
      </c>
      <c r="P622">
        <f t="shared" si="36"/>
        <v>1.3246787653993907E-2</v>
      </c>
      <c r="Q622">
        <f t="shared" si="36"/>
        <v>0.7097</v>
      </c>
      <c r="R622">
        <f t="shared" si="37"/>
        <v>70.97</v>
      </c>
      <c r="S622">
        <f t="shared" si="38"/>
        <v>1.4117232633507115</v>
      </c>
      <c r="T622">
        <f t="shared" si="39"/>
        <v>0.01</v>
      </c>
      <c r="U622" t="str">
        <f>YEAR('Campaign Data'!$A622)&amp;"-"&amp;TEXT(MONTH('Campaign Data'!$A622),"00")</f>
        <v>2026-02</v>
      </c>
    </row>
    <row r="623" spans="1:21" x14ac:dyDescent="0.25">
      <c r="A623">
        <v>46057</v>
      </c>
      <c r="B623" t="s">
        <v>147</v>
      </c>
      <c r="C623" t="s">
        <v>148</v>
      </c>
      <c r="D623" t="s">
        <v>23</v>
      </c>
      <c r="E623" t="s">
        <v>42</v>
      </c>
      <c r="F623" t="s">
        <v>75</v>
      </c>
      <c r="G623" t="s">
        <v>44</v>
      </c>
      <c r="H623" t="s">
        <v>27</v>
      </c>
      <c r="I623" t="s">
        <v>28</v>
      </c>
      <c r="J623" t="s">
        <v>87</v>
      </c>
      <c r="K623">
        <v>4201</v>
      </c>
      <c r="L623">
        <v>44</v>
      </c>
      <c r="M623">
        <v>337.89</v>
      </c>
      <c r="N623">
        <v>0</v>
      </c>
      <c r="O623">
        <v>0</v>
      </c>
      <c r="P623">
        <f t="shared" si="36"/>
        <v>1.0473696738871698E-2</v>
      </c>
      <c r="Q623">
        <f t="shared" si="36"/>
        <v>7.6793181818181813</v>
      </c>
      <c r="R623">
        <f t="shared" si="37"/>
        <v>0</v>
      </c>
      <c r="S623">
        <f t="shared" si="38"/>
        <v>0</v>
      </c>
      <c r="T623">
        <f t="shared" si="39"/>
        <v>0</v>
      </c>
      <c r="U623" t="str">
        <f>YEAR('Campaign Data'!$A623)&amp;"-"&amp;TEXT(MONTH('Campaign Data'!$A623),"00")</f>
        <v>2026-02</v>
      </c>
    </row>
    <row r="624" spans="1:21" x14ac:dyDescent="0.25">
      <c r="A624">
        <v>46057</v>
      </c>
      <c r="B624" t="s">
        <v>138</v>
      </c>
      <c r="C624" t="s">
        <v>139</v>
      </c>
      <c r="D624" t="s">
        <v>58</v>
      </c>
      <c r="E624" t="s">
        <v>74</v>
      </c>
      <c r="F624" t="s">
        <v>34</v>
      </c>
      <c r="G624" t="s">
        <v>9</v>
      </c>
      <c r="H624" t="s">
        <v>60</v>
      </c>
      <c r="I624" t="s">
        <v>37</v>
      </c>
      <c r="J624" t="s">
        <v>45</v>
      </c>
      <c r="K624">
        <v>2662</v>
      </c>
      <c r="L624">
        <v>68</v>
      </c>
      <c r="M624">
        <v>115.15</v>
      </c>
      <c r="N624">
        <v>3</v>
      </c>
      <c r="O624">
        <v>422.1</v>
      </c>
      <c r="P624">
        <f t="shared" si="36"/>
        <v>2.5544703230653644E-2</v>
      </c>
      <c r="Q624">
        <f t="shared" si="36"/>
        <v>1.6933823529411764</v>
      </c>
      <c r="R624">
        <f t="shared" si="37"/>
        <v>38.383333333333333</v>
      </c>
      <c r="S624">
        <f t="shared" si="38"/>
        <v>3.6656534954407296</v>
      </c>
      <c r="T624">
        <f t="shared" si="39"/>
        <v>4.4117647058823532E-2</v>
      </c>
      <c r="U624" t="str">
        <f>YEAR('Campaign Data'!$A624)&amp;"-"&amp;TEXT(MONTH('Campaign Data'!$A624),"00")</f>
        <v>2026-02</v>
      </c>
    </row>
    <row r="625" spans="1:21" x14ac:dyDescent="0.25">
      <c r="A625">
        <v>46057</v>
      </c>
      <c r="B625" t="s">
        <v>149</v>
      </c>
      <c r="C625" t="s">
        <v>150</v>
      </c>
      <c r="D625" t="s">
        <v>65</v>
      </c>
      <c r="E625" t="s">
        <v>33</v>
      </c>
      <c r="F625" t="s">
        <v>43</v>
      </c>
      <c r="G625" t="s">
        <v>59</v>
      </c>
      <c r="H625" t="s">
        <v>90</v>
      </c>
      <c r="I625" t="s">
        <v>28</v>
      </c>
      <c r="J625" t="s">
        <v>62</v>
      </c>
      <c r="K625">
        <v>1586</v>
      </c>
      <c r="L625">
        <v>10</v>
      </c>
      <c r="M625">
        <v>1.95</v>
      </c>
      <c r="N625">
        <v>0</v>
      </c>
      <c r="O625">
        <v>0</v>
      </c>
      <c r="P625">
        <f t="shared" si="36"/>
        <v>6.3051702395964691E-3</v>
      </c>
      <c r="Q625">
        <f t="shared" si="36"/>
        <v>0.19500000000000001</v>
      </c>
      <c r="R625">
        <f t="shared" si="37"/>
        <v>0</v>
      </c>
      <c r="S625">
        <f t="shared" si="38"/>
        <v>0</v>
      </c>
      <c r="T625">
        <f t="shared" si="39"/>
        <v>0</v>
      </c>
      <c r="U625" t="str">
        <f>YEAR('Campaign Data'!$A625)&amp;"-"&amp;TEXT(MONTH('Campaign Data'!$A625),"00")</f>
        <v>2026-02</v>
      </c>
    </row>
    <row r="626" spans="1:21" x14ac:dyDescent="0.25">
      <c r="A626">
        <v>46057</v>
      </c>
      <c r="B626" t="s">
        <v>149</v>
      </c>
      <c r="C626" t="s">
        <v>150</v>
      </c>
      <c r="D626" t="s">
        <v>65</v>
      </c>
      <c r="E626" t="s">
        <v>33</v>
      </c>
      <c r="F626" t="s">
        <v>43</v>
      </c>
      <c r="G626" t="s">
        <v>59</v>
      </c>
      <c r="H626" t="s">
        <v>27</v>
      </c>
      <c r="I626" t="s">
        <v>28</v>
      </c>
      <c r="J626" t="s">
        <v>38</v>
      </c>
      <c r="K626">
        <v>9243</v>
      </c>
      <c r="L626">
        <v>102</v>
      </c>
      <c r="M626">
        <v>96.06</v>
      </c>
      <c r="N626">
        <v>0</v>
      </c>
      <c r="O626">
        <v>0</v>
      </c>
      <c r="P626">
        <f t="shared" si="36"/>
        <v>1.1035378123985719E-2</v>
      </c>
      <c r="Q626">
        <f t="shared" si="36"/>
        <v>0.94176470588235295</v>
      </c>
      <c r="R626">
        <f t="shared" si="37"/>
        <v>0</v>
      </c>
      <c r="S626">
        <f t="shared" si="38"/>
        <v>0</v>
      </c>
      <c r="T626">
        <f t="shared" si="39"/>
        <v>0</v>
      </c>
      <c r="U626" t="str">
        <f>YEAR('Campaign Data'!$A626)&amp;"-"&amp;TEXT(MONTH('Campaign Data'!$A626),"00")</f>
        <v>2026-02</v>
      </c>
    </row>
    <row r="627" spans="1:21" x14ac:dyDescent="0.25">
      <c r="A627">
        <v>46057</v>
      </c>
      <c r="B627" t="s">
        <v>169</v>
      </c>
      <c r="C627" t="s">
        <v>170</v>
      </c>
      <c r="D627" t="s">
        <v>58</v>
      </c>
      <c r="E627" t="s">
        <v>74</v>
      </c>
      <c r="F627" t="s">
        <v>75</v>
      </c>
      <c r="G627" t="s">
        <v>9</v>
      </c>
      <c r="H627" t="s">
        <v>60</v>
      </c>
      <c r="I627" t="s">
        <v>28</v>
      </c>
      <c r="J627" t="s">
        <v>62</v>
      </c>
      <c r="K627">
        <v>8976</v>
      </c>
      <c r="L627">
        <v>463</v>
      </c>
      <c r="M627">
        <v>636</v>
      </c>
      <c r="N627">
        <v>45</v>
      </c>
      <c r="O627">
        <v>1522.58</v>
      </c>
      <c r="P627">
        <f t="shared" si="36"/>
        <v>5.1581996434937612E-2</v>
      </c>
      <c r="Q627">
        <f t="shared" si="36"/>
        <v>1.3736501079913608</v>
      </c>
      <c r="R627">
        <f t="shared" si="37"/>
        <v>14.133333333333333</v>
      </c>
      <c r="S627">
        <f t="shared" si="38"/>
        <v>2.3939937106918237</v>
      </c>
      <c r="T627">
        <f t="shared" si="39"/>
        <v>9.719222462203024E-2</v>
      </c>
      <c r="U627" t="str">
        <f>YEAR('Campaign Data'!$A627)&amp;"-"&amp;TEXT(MONTH('Campaign Data'!$A627),"00")</f>
        <v>2026-02</v>
      </c>
    </row>
    <row r="628" spans="1:21" x14ac:dyDescent="0.25">
      <c r="A628">
        <v>46057</v>
      </c>
      <c r="B628" t="s">
        <v>127</v>
      </c>
      <c r="C628" t="s">
        <v>128</v>
      </c>
      <c r="D628" t="s">
        <v>58</v>
      </c>
      <c r="E628" t="s">
        <v>24</v>
      </c>
      <c r="F628" t="s">
        <v>81</v>
      </c>
      <c r="G628" t="s">
        <v>129</v>
      </c>
      <c r="H628" t="s">
        <v>51</v>
      </c>
      <c r="I628" t="s">
        <v>37</v>
      </c>
      <c r="J628" t="s">
        <v>29</v>
      </c>
      <c r="K628">
        <v>9185</v>
      </c>
      <c r="L628">
        <v>120</v>
      </c>
      <c r="M628">
        <v>82.51</v>
      </c>
      <c r="N628">
        <v>5</v>
      </c>
      <c r="O628">
        <v>100.9</v>
      </c>
      <c r="P628">
        <f t="shared" si="36"/>
        <v>1.30647795318454E-2</v>
      </c>
      <c r="Q628">
        <f t="shared" si="36"/>
        <v>0.68758333333333332</v>
      </c>
      <c r="R628">
        <f t="shared" si="37"/>
        <v>16.502000000000002</v>
      </c>
      <c r="S628">
        <f t="shared" si="38"/>
        <v>1.2228820749000122</v>
      </c>
      <c r="T628">
        <f t="shared" si="39"/>
        <v>4.1666666666666664E-2</v>
      </c>
      <c r="U628" t="str">
        <f>YEAR('Campaign Data'!$A628)&amp;"-"&amp;TEXT(MONTH('Campaign Data'!$A628),"00")</f>
        <v>2026-02</v>
      </c>
    </row>
    <row r="629" spans="1:21" x14ac:dyDescent="0.25">
      <c r="A629">
        <v>46057</v>
      </c>
      <c r="B629" t="s">
        <v>130</v>
      </c>
      <c r="C629" t="s">
        <v>131</v>
      </c>
      <c r="D629" t="s">
        <v>48</v>
      </c>
      <c r="E629" t="s">
        <v>33</v>
      </c>
      <c r="F629" t="s">
        <v>34</v>
      </c>
      <c r="G629" t="s">
        <v>35</v>
      </c>
      <c r="H629" t="s">
        <v>71</v>
      </c>
      <c r="I629" t="s">
        <v>37</v>
      </c>
      <c r="J629" t="s">
        <v>87</v>
      </c>
      <c r="K629">
        <v>5728</v>
      </c>
      <c r="L629">
        <v>62</v>
      </c>
      <c r="M629">
        <v>22.89</v>
      </c>
      <c r="N629">
        <v>0</v>
      </c>
      <c r="O629">
        <v>0</v>
      </c>
      <c r="P629">
        <f t="shared" si="36"/>
        <v>1.0824022346368716E-2</v>
      </c>
      <c r="Q629">
        <f t="shared" si="36"/>
        <v>0.36919354838709678</v>
      </c>
      <c r="R629">
        <f t="shared" si="37"/>
        <v>0</v>
      </c>
      <c r="S629">
        <f t="shared" si="38"/>
        <v>0</v>
      </c>
      <c r="T629">
        <f t="shared" si="39"/>
        <v>0</v>
      </c>
      <c r="U629" t="str">
        <f>YEAR('Campaign Data'!$A629)&amp;"-"&amp;TEXT(MONTH('Campaign Data'!$A629),"00")</f>
        <v>2026-02</v>
      </c>
    </row>
    <row r="630" spans="1:21" x14ac:dyDescent="0.25">
      <c r="A630">
        <v>46057</v>
      </c>
      <c r="B630" t="s">
        <v>153</v>
      </c>
      <c r="C630" t="s">
        <v>154</v>
      </c>
      <c r="D630" t="s">
        <v>48</v>
      </c>
      <c r="E630" t="s">
        <v>33</v>
      </c>
      <c r="F630" t="s">
        <v>43</v>
      </c>
      <c r="G630" t="s">
        <v>59</v>
      </c>
      <c r="H630" t="s">
        <v>55</v>
      </c>
      <c r="I630" t="s">
        <v>37</v>
      </c>
      <c r="J630" t="s">
        <v>29</v>
      </c>
      <c r="K630">
        <v>14099</v>
      </c>
      <c r="L630">
        <v>126</v>
      </c>
      <c r="M630">
        <v>66.19</v>
      </c>
      <c r="N630">
        <v>1</v>
      </c>
      <c r="O630">
        <v>20.420000000000002</v>
      </c>
      <c r="P630">
        <f t="shared" si="36"/>
        <v>8.9368040286545141E-3</v>
      </c>
      <c r="Q630">
        <f t="shared" si="36"/>
        <v>0.52531746031746029</v>
      </c>
      <c r="R630">
        <f t="shared" si="37"/>
        <v>66.19</v>
      </c>
      <c r="S630">
        <f t="shared" si="38"/>
        <v>0.30850581658860859</v>
      </c>
      <c r="T630">
        <f t="shared" si="39"/>
        <v>7.9365079365079361E-3</v>
      </c>
      <c r="U630" t="str">
        <f>YEAR('Campaign Data'!$A630)&amp;"-"&amp;TEXT(MONTH('Campaign Data'!$A630),"00")</f>
        <v>2026-02</v>
      </c>
    </row>
    <row r="631" spans="1:21" x14ac:dyDescent="0.25">
      <c r="A631">
        <v>46057</v>
      </c>
      <c r="B631" t="s">
        <v>140</v>
      </c>
      <c r="C631" t="s">
        <v>40</v>
      </c>
      <c r="D631" t="s">
        <v>41</v>
      </c>
      <c r="E631" t="s">
        <v>42</v>
      </c>
      <c r="F631" t="s">
        <v>43</v>
      </c>
      <c r="G631" t="s">
        <v>44</v>
      </c>
      <c r="H631" t="s">
        <v>27</v>
      </c>
      <c r="I631" t="s">
        <v>37</v>
      </c>
      <c r="J631" t="s">
        <v>87</v>
      </c>
      <c r="K631">
        <v>5578</v>
      </c>
      <c r="L631">
        <v>21</v>
      </c>
      <c r="M631">
        <v>150.5</v>
      </c>
      <c r="N631">
        <v>2</v>
      </c>
      <c r="O631">
        <v>71.44</v>
      </c>
      <c r="P631">
        <f t="shared" si="36"/>
        <v>3.7647902474005021E-3</v>
      </c>
      <c r="Q631">
        <f t="shared" si="36"/>
        <v>7.166666666666667</v>
      </c>
      <c r="R631">
        <f t="shared" si="37"/>
        <v>75.25</v>
      </c>
      <c r="S631">
        <f t="shared" si="38"/>
        <v>0.47468438538205976</v>
      </c>
      <c r="T631">
        <f t="shared" si="39"/>
        <v>9.5238095238095233E-2</v>
      </c>
      <c r="U631" t="str">
        <f>YEAR('Campaign Data'!$A631)&amp;"-"&amp;TEXT(MONTH('Campaign Data'!$A631),"00")</f>
        <v>2026-02</v>
      </c>
    </row>
    <row r="632" spans="1:21" x14ac:dyDescent="0.25">
      <c r="A632">
        <v>46057</v>
      </c>
      <c r="B632" t="s">
        <v>140</v>
      </c>
      <c r="C632" t="s">
        <v>40</v>
      </c>
      <c r="D632" t="s">
        <v>41</v>
      </c>
      <c r="E632" t="s">
        <v>42</v>
      </c>
      <c r="F632" t="s">
        <v>43</v>
      </c>
      <c r="G632" t="s">
        <v>44</v>
      </c>
      <c r="H632" t="s">
        <v>71</v>
      </c>
      <c r="I632" t="s">
        <v>37</v>
      </c>
      <c r="J632" t="s">
        <v>87</v>
      </c>
      <c r="K632">
        <v>6102</v>
      </c>
      <c r="L632">
        <v>42</v>
      </c>
      <c r="M632">
        <v>188.34</v>
      </c>
      <c r="N632">
        <v>0</v>
      </c>
      <c r="O632">
        <v>0</v>
      </c>
      <c r="P632">
        <f t="shared" si="36"/>
        <v>6.8829891838741398E-3</v>
      </c>
      <c r="Q632">
        <f t="shared" si="36"/>
        <v>4.484285714285714</v>
      </c>
      <c r="R632">
        <f t="shared" si="37"/>
        <v>0</v>
      </c>
      <c r="S632">
        <f t="shared" si="38"/>
        <v>0</v>
      </c>
      <c r="T632">
        <f t="shared" si="39"/>
        <v>0</v>
      </c>
      <c r="U632" t="str">
        <f>YEAR('Campaign Data'!$A632)&amp;"-"&amp;TEXT(MONTH('Campaign Data'!$A632),"00")</f>
        <v>2026-02</v>
      </c>
    </row>
    <row r="633" spans="1:21" x14ac:dyDescent="0.25">
      <c r="A633">
        <v>46057</v>
      </c>
      <c r="B633" t="s">
        <v>155</v>
      </c>
      <c r="C633" t="s">
        <v>156</v>
      </c>
      <c r="D633" t="s">
        <v>32</v>
      </c>
      <c r="E633" t="s">
        <v>24</v>
      </c>
      <c r="F633" t="s">
        <v>34</v>
      </c>
      <c r="G633" t="s">
        <v>129</v>
      </c>
      <c r="H633" t="s">
        <v>27</v>
      </c>
      <c r="I633" t="s">
        <v>37</v>
      </c>
      <c r="J633" t="s">
        <v>29</v>
      </c>
      <c r="K633">
        <v>7425</v>
      </c>
      <c r="L633">
        <v>72</v>
      </c>
      <c r="M633">
        <v>73.86</v>
      </c>
      <c r="N633">
        <v>1</v>
      </c>
      <c r="O633">
        <v>232.05</v>
      </c>
      <c r="P633">
        <f t="shared" si="36"/>
        <v>9.696969696969697E-3</v>
      </c>
      <c r="Q633">
        <f t="shared" si="36"/>
        <v>1.0258333333333334</v>
      </c>
      <c r="R633">
        <f t="shared" si="37"/>
        <v>73.86</v>
      </c>
      <c r="S633">
        <f t="shared" si="38"/>
        <v>3.1417546709991879</v>
      </c>
      <c r="T633">
        <f t="shared" si="39"/>
        <v>1.3888888888888888E-2</v>
      </c>
      <c r="U633" t="str">
        <f>YEAR('Campaign Data'!$A633)&amp;"-"&amp;TEXT(MONTH('Campaign Data'!$A633),"00")</f>
        <v>2026-02</v>
      </c>
    </row>
    <row r="634" spans="1:21" x14ac:dyDescent="0.25">
      <c r="A634">
        <v>46057</v>
      </c>
      <c r="B634" t="s">
        <v>159</v>
      </c>
      <c r="C634" t="s">
        <v>160</v>
      </c>
      <c r="D634" t="s">
        <v>65</v>
      </c>
      <c r="E634" t="s">
        <v>42</v>
      </c>
      <c r="F634" t="s">
        <v>75</v>
      </c>
      <c r="G634" t="s">
        <v>54</v>
      </c>
      <c r="H634" t="s">
        <v>60</v>
      </c>
      <c r="I634" t="s">
        <v>37</v>
      </c>
      <c r="J634" t="s">
        <v>45</v>
      </c>
      <c r="K634">
        <v>9809</v>
      </c>
      <c r="L634">
        <v>62</v>
      </c>
      <c r="M634">
        <v>511.44</v>
      </c>
      <c r="N634">
        <v>2</v>
      </c>
      <c r="O634">
        <v>120.88</v>
      </c>
      <c r="P634">
        <f t="shared" si="36"/>
        <v>6.320725864002447E-3</v>
      </c>
      <c r="Q634">
        <f t="shared" si="36"/>
        <v>8.2490322580645152</v>
      </c>
      <c r="R634">
        <f t="shared" si="37"/>
        <v>255.72</v>
      </c>
      <c r="S634">
        <f t="shared" si="38"/>
        <v>0.23635226028468637</v>
      </c>
      <c r="T634">
        <f t="shared" si="39"/>
        <v>3.2258064516129031E-2</v>
      </c>
      <c r="U634" t="str">
        <f>YEAR('Campaign Data'!$A634)&amp;"-"&amp;TEXT(MONTH('Campaign Data'!$A634),"00")</f>
        <v>2026-02</v>
      </c>
    </row>
    <row r="635" spans="1:21" x14ac:dyDescent="0.25">
      <c r="A635">
        <v>46057</v>
      </c>
      <c r="B635" t="s">
        <v>141</v>
      </c>
      <c r="C635" t="s">
        <v>142</v>
      </c>
      <c r="D635" t="s">
        <v>80</v>
      </c>
      <c r="E635" t="s">
        <v>49</v>
      </c>
      <c r="F635" t="s">
        <v>81</v>
      </c>
      <c r="G635" t="s">
        <v>97</v>
      </c>
      <c r="H635" t="s">
        <v>27</v>
      </c>
      <c r="I635" t="s">
        <v>28</v>
      </c>
      <c r="J635" t="s">
        <v>29</v>
      </c>
      <c r="K635">
        <v>6922</v>
      </c>
      <c r="L635">
        <v>386</v>
      </c>
      <c r="M635">
        <v>835.88</v>
      </c>
      <c r="N635">
        <v>34</v>
      </c>
      <c r="O635">
        <v>1174.9100000000001</v>
      </c>
      <c r="P635">
        <f t="shared" si="36"/>
        <v>5.5764229991331987E-2</v>
      </c>
      <c r="Q635">
        <f t="shared" si="36"/>
        <v>2.1654922279792745</v>
      </c>
      <c r="R635">
        <f t="shared" si="37"/>
        <v>24.584705882352942</v>
      </c>
      <c r="S635">
        <f t="shared" si="38"/>
        <v>1.4055964971048478</v>
      </c>
      <c r="T635">
        <f t="shared" si="39"/>
        <v>8.8082901554404139E-2</v>
      </c>
      <c r="U635" t="str">
        <f>YEAR('Campaign Data'!$A635)&amp;"-"&amp;TEXT(MONTH('Campaign Data'!$A635),"00")</f>
        <v>2026-02</v>
      </c>
    </row>
    <row r="636" spans="1:21" x14ac:dyDescent="0.25">
      <c r="A636">
        <v>46057</v>
      </c>
      <c r="B636" t="s">
        <v>116</v>
      </c>
      <c r="C636" t="s">
        <v>117</v>
      </c>
      <c r="D636" t="s">
        <v>48</v>
      </c>
      <c r="E636" t="s">
        <v>24</v>
      </c>
      <c r="F636" t="s">
        <v>43</v>
      </c>
      <c r="G636" t="s">
        <v>26</v>
      </c>
      <c r="H636" t="s">
        <v>71</v>
      </c>
      <c r="I636" t="s">
        <v>37</v>
      </c>
      <c r="J636" t="s">
        <v>45</v>
      </c>
      <c r="K636">
        <v>7908</v>
      </c>
      <c r="L636">
        <v>75</v>
      </c>
      <c r="M636">
        <v>88.38</v>
      </c>
      <c r="N636">
        <v>3</v>
      </c>
      <c r="O636">
        <v>64.95</v>
      </c>
      <c r="P636">
        <f t="shared" si="36"/>
        <v>9.4840667678300454E-3</v>
      </c>
      <c r="Q636">
        <f t="shared" si="36"/>
        <v>1.1783999999999999</v>
      </c>
      <c r="R636">
        <f t="shared" si="37"/>
        <v>29.459999999999997</v>
      </c>
      <c r="S636">
        <f t="shared" si="38"/>
        <v>0.73489477257298041</v>
      </c>
      <c r="T636">
        <f t="shared" si="39"/>
        <v>0.04</v>
      </c>
      <c r="U636" t="str">
        <f>YEAR('Campaign Data'!$A636)&amp;"-"&amp;TEXT(MONTH('Campaign Data'!$A636),"00")</f>
        <v>2026-02</v>
      </c>
    </row>
    <row r="637" spans="1:21" x14ac:dyDescent="0.25">
      <c r="A637">
        <v>46057</v>
      </c>
      <c r="B637" t="s">
        <v>116</v>
      </c>
      <c r="C637" t="s">
        <v>117</v>
      </c>
      <c r="D637" t="s">
        <v>48</v>
      </c>
      <c r="E637" t="s">
        <v>24</v>
      </c>
      <c r="F637" t="s">
        <v>43</v>
      </c>
      <c r="G637" t="s">
        <v>26</v>
      </c>
      <c r="H637" t="s">
        <v>51</v>
      </c>
      <c r="I637" t="s">
        <v>28</v>
      </c>
      <c r="J637" t="s">
        <v>29</v>
      </c>
      <c r="K637">
        <v>4599</v>
      </c>
      <c r="L637">
        <v>40</v>
      </c>
      <c r="M637">
        <v>39.770000000000003</v>
      </c>
      <c r="N637">
        <v>2</v>
      </c>
      <c r="O637">
        <v>48.42</v>
      </c>
      <c r="P637">
        <f t="shared" si="36"/>
        <v>8.6975429441182861E-3</v>
      </c>
      <c r="Q637">
        <f t="shared" si="36"/>
        <v>0.99425000000000008</v>
      </c>
      <c r="R637">
        <f t="shared" si="37"/>
        <v>19.885000000000002</v>
      </c>
      <c r="S637">
        <f t="shared" si="38"/>
        <v>1.2175006286145336</v>
      </c>
      <c r="T637">
        <f t="shared" si="39"/>
        <v>0.05</v>
      </c>
      <c r="U637" t="str">
        <f>YEAR('Campaign Data'!$A637)&amp;"-"&amp;TEXT(MONTH('Campaign Data'!$A637),"00")</f>
        <v>2026-02</v>
      </c>
    </row>
    <row r="638" spans="1:21" x14ac:dyDescent="0.25">
      <c r="A638">
        <v>46057</v>
      </c>
      <c r="B638" t="s">
        <v>78</v>
      </c>
      <c r="C638" t="s">
        <v>79</v>
      </c>
      <c r="D638" t="s">
        <v>80</v>
      </c>
      <c r="E638" t="s">
        <v>24</v>
      </c>
      <c r="F638" t="s">
        <v>81</v>
      </c>
      <c r="G638" t="s">
        <v>66</v>
      </c>
      <c r="H638" t="s">
        <v>27</v>
      </c>
      <c r="I638" t="s">
        <v>61</v>
      </c>
      <c r="J638" t="s">
        <v>29</v>
      </c>
      <c r="K638">
        <v>8757</v>
      </c>
      <c r="L638">
        <v>163</v>
      </c>
      <c r="M638">
        <v>183.32</v>
      </c>
      <c r="N638">
        <v>7</v>
      </c>
      <c r="O638">
        <v>55.14</v>
      </c>
      <c r="P638">
        <f t="shared" si="36"/>
        <v>1.8613680484184082E-2</v>
      </c>
      <c r="Q638">
        <f t="shared" si="36"/>
        <v>1.1246625766871166</v>
      </c>
      <c r="R638">
        <f t="shared" si="37"/>
        <v>26.188571428571429</v>
      </c>
      <c r="S638">
        <f t="shared" si="38"/>
        <v>0.30078551167357626</v>
      </c>
      <c r="T638">
        <f t="shared" si="39"/>
        <v>4.2944785276073622E-2</v>
      </c>
      <c r="U638" t="str">
        <f>YEAR('Campaign Data'!$A638)&amp;"-"&amp;TEXT(MONTH('Campaign Data'!$A638),"00")</f>
        <v>2026-02</v>
      </c>
    </row>
    <row r="639" spans="1:21" x14ac:dyDescent="0.25">
      <c r="A639">
        <v>46057</v>
      </c>
      <c r="B639" t="s">
        <v>120</v>
      </c>
      <c r="C639" t="s">
        <v>121</v>
      </c>
      <c r="D639" t="s">
        <v>23</v>
      </c>
      <c r="E639" t="s">
        <v>49</v>
      </c>
      <c r="F639" t="s">
        <v>75</v>
      </c>
      <c r="G639" t="s">
        <v>70</v>
      </c>
      <c r="H639" t="s">
        <v>90</v>
      </c>
      <c r="I639" t="s">
        <v>37</v>
      </c>
      <c r="J639" t="s">
        <v>62</v>
      </c>
      <c r="K639">
        <v>6164</v>
      </c>
      <c r="L639">
        <v>416</v>
      </c>
      <c r="M639">
        <v>169.05</v>
      </c>
      <c r="N639">
        <v>31</v>
      </c>
      <c r="O639">
        <v>288.70999999999998</v>
      </c>
      <c r="P639">
        <f t="shared" si="36"/>
        <v>6.7488643737832574E-2</v>
      </c>
      <c r="Q639">
        <f t="shared" si="36"/>
        <v>0.40637019230769234</v>
      </c>
      <c r="R639">
        <f t="shared" si="37"/>
        <v>5.4532258064516137</v>
      </c>
      <c r="S639">
        <f t="shared" si="38"/>
        <v>1.7078379177758058</v>
      </c>
      <c r="T639">
        <f t="shared" si="39"/>
        <v>7.4519230769230768E-2</v>
      </c>
      <c r="U639" t="str">
        <f>YEAR('Campaign Data'!$A639)&amp;"-"&amp;TEXT(MONTH('Campaign Data'!$A639),"00")</f>
        <v>2026-02</v>
      </c>
    </row>
    <row r="640" spans="1:21" x14ac:dyDescent="0.25">
      <c r="A640">
        <v>46058</v>
      </c>
      <c r="B640" t="s">
        <v>165</v>
      </c>
      <c r="C640" t="s">
        <v>166</v>
      </c>
      <c r="D640" t="s">
        <v>41</v>
      </c>
      <c r="E640" t="s">
        <v>33</v>
      </c>
      <c r="F640" t="s">
        <v>43</v>
      </c>
      <c r="G640" t="s">
        <v>59</v>
      </c>
      <c r="H640" t="s">
        <v>27</v>
      </c>
      <c r="I640" t="s">
        <v>37</v>
      </c>
      <c r="J640" t="s">
        <v>45</v>
      </c>
      <c r="K640">
        <v>6884</v>
      </c>
      <c r="L640">
        <v>81</v>
      </c>
      <c r="M640">
        <v>64.569999999999993</v>
      </c>
      <c r="N640">
        <v>0</v>
      </c>
      <c r="O640">
        <v>0</v>
      </c>
      <c r="P640">
        <f t="shared" si="36"/>
        <v>1.1766414875072632E-2</v>
      </c>
      <c r="Q640">
        <f t="shared" si="36"/>
        <v>0.79716049382716037</v>
      </c>
      <c r="R640">
        <f t="shared" si="37"/>
        <v>0</v>
      </c>
      <c r="S640">
        <f t="shared" si="38"/>
        <v>0</v>
      </c>
      <c r="T640">
        <f t="shared" si="39"/>
        <v>0</v>
      </c>
      <c r="U640" t="str">
        <f>YEAR('Campaign Data'!$A640)&amp;"-"&amp;TEXT(MONTH('Campaign Data'!$A640),"00")</f>
        <v>2026-02</v>
      </c>
    </row>
    <row r="641" spans="1:21" x14ac:dyDescent="0.25">
      <c r="A641">
        <v>46058</v>
      </c>
      <c r="B641" t="s">
        <v>147</v>
      </c>
      <c r="C641" t="s">
        <v>148</v>
      </c>
      <c r="D641" t="s">
        <v>23</v>
      </c>
      <c r="E641" t="s">
        <v>42</v>
      </c>
      <c r="F641" t="s">
        <v>75</v>
      </c>
      <c r="G641" t="s">
        <v>44</v>
      </c>
      <c r="H641" t="s">
        <v>90</v>
      </c>
      <c r="I641" t="s">
        <v>37</v>
      </c>
      <c r="J641" t="s">
        <v>87</v>
      </c>
      <c r="K641">
        <v>4846</v>
      </c>
      <c r="L641">
        <v>46</v>
      </c>
      <c r="M641">
        <v>84.85</v>
      </c>
      <c r="N641">
        <v>3</v>
      </c>
      <c r="O641">
        <v>21.28</v>
      </c>
      <c r="P641">
        <f t="shared" si="36"/>
        <v>9.4923648369789511E-3</v>
      </c>
      <c r="Q641">
        <f t="shared" si="36"/>
        <v>1.8445652173913043</v>
      </c>
      <c r="R641">
        <f t="shared" si="37"/>
        <v>28.283333333333331</v>
      </c>
      <c r="S641">
        <f t="shared" si="38"/>
        <v>0.25079552150854451</v>
      </c>
      <c r="T641">
        <f t="shared" si="39"/>
        <v>6.5217391304347824E-2</v>
      </c>
      <c r="U641" t="str">
        <f>YEAR('Campaign Data'!$A641)&amp;"-"&amp;TEXT(MONTH('Campaign Data'!$A641),"00")</f>
        <v>2026-02</v>
      </c>
    </row>
    <row r="642" spans="1:21" x14ac:dyDescent="0.25">
      <c r="A642">
        <v>46058</v>
      </c>
      <c r="B642" t="s">
        <v>125</v>
      </c>
      <c r="C642" t="s">
        <v>126</v>
      </c>
      <c r="D642" t="s">
        <v>41</v>
      </c>
      <c r="E642" t="s">
        <v>42</v>
      </c>
      <c r="F642" t="s">
        <v>81</v>
      </c>
      <c r="G642" t="s">
        <v>44</v>
      </c>
      <c r="H642" t="s">
        <v>51</v>
      </c>
      <c r="I642" t="s">
        <v>37</v>
      </c>
      <c r="J642" t="s">
        <v>62</v>
      </c>
      <c r="K642">
        <v>25695</v>
      </c>
      <c r="L642">
        <v>137</v>
      </c>
      <c r="M642">
        <v>575.72</v>
      </c>
      <c r="N642">
        <v>7</v>
      </c>
      <c r="O642">
        <v>160.99</v>
      </c>
      <c r="P642">
        <f t="shared" ref="P642:Q705" si="40">IF(K642=0,0,L642/K642)</f>
        <v>5.3317766102354541E-3</v>
      </c>
      <c r="Q642">
        <f t="shared" si="40"/>
        <v>4.2023357664233583</v>
      </c>
      <c r="R642">
        <f t="shared" ref="R642:R705" si="41">IF(N642=0,0,M642/N642)</f>
        <v>82.245714285714286</v>
      </c>
      <c r="S642">
        <f t="shared" ref="S642:S705" si="42">IF(M642=0,0,O642/M642)</f>
        <v>0.27963246022371985</v>
      </c>
      <c r="T642">
        <f t="shared" ref="T642:T705" si="43">IF(L642=0,0,N642/L642)</f>
        <v>5.1094890510948905E-2</v>
      </c>
      <c r="U642" t="str">
        <f>YEAR('Campaign Data'!$A642)&amp;"-"&amp;TEXT(MONTH('Campaign Data'!$A642),"00")</f>
        <v>2026-02</v>
      </c>
    </row>
    <row r="643" spans="1:21" x14ac:dyDescent="0.25">
      <c r="A643">
        <v>46058</v>
      </c>
      <c r="B643" t="s">
        <v>149</v>
      </c>
      <c r="C643" t="s">
        <v>150</v>
      </c>
      <c r="D643" t="s">
        <v>65</v>
      </c>
      <c r="E643" t="s">
        <v>33</v>
      </c>
      <c r="F643" t="s">
        <v>43</v>
      </c>
      <c r="G643" t="s">
        <v>59</v>
      </c>
      <c r="H643" t="s">
        <v>27</v>
      </c>
      <c r="I643" t="s">
        <v>37</v>
      </c>
      <c r="J643" t="s">
        <v>45</v>
      </c>
      <c r="K643">
        <v>12387</v>
      </c>
      <c r="L643">
        <v>120</v>
      </c>
      <c r="M643">
        <v>109.29</v>
      </c>
      <c r="N643">
        <v>5</v>
      </c>
      <c r="O643">
        <v>164.99</v>
      </c>
      <c r="P643">
        <f t="shared" si="40"/>
        <v>9.6875756841850319E-3</v>
      </c>
      <c r="Q643">
        <f t="shared" si="40"/>
        <v>0.91075000000000006</v>
      </c>
      <c r="R643">
        <f t="shared" si="41"/>
        <v>21.858000000000001</v>
      </c>
      <c r="S643">
        <f t="shared" si="42"/>
        <v>1.5096532162137433</v>
      </c>
      <c r="T643">
        <f t="shared" si="43"/>
        <v>4.1666666666666664E-2</v>
      </c>
      <c r="U643" t="str">
        <f>YEAR('Campaign Data'!$A643)&amp;"-"&amp;TEXT(MONTH('Campaign Data'!$A643),"00")</f>
        <v>2026-02</v>
      </c>
    </row>
    <row r="644" spans="1:21" x14ac:dyDescent="0.25">
      <c r="A644">
        <v>46058</v>
      </c>
      <c r="B644" t="s">
        <v>95</v>
      </c>
      <c r="C644" t="s">
        <v>96</v>
      </c>
      <c r="D644" t="s">
        <v>23</v>
      </c>
      <c r="E644" t="s">
        <v>49</v>
      </c>
      <c r="F644" t="s">
        <v>43</v>
      </c>
      <c r="G644" t="s">
        <v>97</v>
      </c>
      <c r="H644" t="s">
        <v>27</v>
      </c>
      <c r="I644" t="s">
        <v>37</v>
      </c>
      <c r="J644" t="s">
        <v>29</v>
      </c>
      <c r="K644">
        <v>4261</v>
      </c>
      <c r="L644">
        <v>175</v>
      </c>
      <c r="M644">
        <v>292.68</v>
      </c>
      <c r="N644">
        <v>5</v>
      </c>
      <c r="O644">
        <v>171.57</v>
      </c>
      <c r="P644">
        <f t="shared" si="40"/>
        <v>4.1070171321286084E-2</v>
      </c>
      <c r="Q644">
        <f t="shared" si="40"/>
        <v>1.6724571428571429</v>
      </c>
      <c r="R644">
        <f t="shared" si="41"/>
        <v>58.536000000000001</v>
      </c>
      <c r="S644">
        <f t="shared" si="42"/>
        <v>0.58620336203362033</v>
      </c>
      <c r="T644">
        <f t="shared" si="43"/>
        <v>2.8571428571428571E-2</v>
      </c>
      <c r="U644" t="str">
        <f>YEAR('Campaign Data'!$A644)&amp;"-"&amp;TEXT(MONTH('Campaign Data'!$A644),"00")</f>
        <v>2026-02</v>
      </c>
    </row>
    <row r="645" spans="1:21" x14ac:dyDescent="0.25">
      <c r="A645">
        <v>46058</v>
      </c>
      <c r="B645" t="s">
        <v>39</v>
      </c>
      <c r="C645" t="s">
        <v>40</v>
      </c>
      <c r="D645" t="s">
        <v>41</v>
      </c>
      <c r="E645" t="s">
        <v>42</v>
      </c>
      <c r="F645" t="s">
        <v>43</v>
      </c>
      <c r="G645" t="s">
        <v>44</v>
      </c>
      <c r="H645" t="s">
        <v>27</v>
      </c>
      <c r="I645" t="s">
        <v>37</v>
      </c>
      <c r="J645" t="s">
        <v>29</v>
      </c>
      <c r="K645">
        <v>3552</v>
      </c>
      <c r="L645">
        <v>12</v>
      </c>
      <c r="M645">
        <v>87.66</v>
      </c>
      <c r="N645">
        <v>0</v>
      </c>
      <c r="O645">
        <v>0</v>
      </c>
      <c r="P645">
        <f t="shared" si="40"/>
        <v>3.3783783783783786E-3</v>
      </c>
      <c r="Q645">
        <f t="shared" si="40"/>
        <v>7.3049999999999997</v>
      </c>
      <c r="R645">
        <f t="shared" si="41"/>
        <v>0</v>
      </c>
      <c r="S645">
        <f t="shared" si="42"/>
        <v>0</v>
      </c>
      <c r="T645">
        <f t="shared" si="43"/>
        <v>0</v>
      </c>
      <c r="U645" t="str">
        <f>YEAR('Campaign Data'!$A645)&amp;"-"&amp;TEXT(MONTH('Campaign Data'!$A645),"00")</f>
        <v>2026-02</v>
      </c>
    </row>
    <row r="646" spans="1:21" x14ac:dyDescent="0.25">
      <c r="A646">
        <v>46058</v>
      </c>
      <c r="B646" t="s">
        <v>39</v>
      </c>
      <c r="C646" t="s">
        <v>40</v>
      </c>
      <c r="D646" t="s">
        <v>41</v>
      </c>
      <c r="E646" t="s">
        <v>42</v>
      </c>
      <c r="F646" t="s">
        <v>43</v>
      </c>
      <c r="G646" t="s">
        <v>44</v>
      </c>
      <c r="H646" t="s">
        <v>60</v>
      </c>
      <c r="I646" t="s">
        <v>28</v>
      </c>
      <c r="J646" t="s">
        <v>45</v>
      </c>
      <c r="K646">
        <v>7871</v>
      </c>
      <c r="L646">
        <v>66</v>
      </c>
      <c r="M646">
        <v>365.68</v>
      </c>
      <c r="N646">
        <v>4</v>
      </c>
      <c r="O646">
        <v>90.96</v>
      </c>
      <c r="P646">
        <f t="shared" si="40"/>
        <v>8.3852115360182958E-3</v>
      </c>
      <c r="Q646">
        <f t="shared" si="40"/>
        <v>5.540606060606061</v>
      </c>
      <c r="R646">
        <f t="shared" si="41"/>
        <v>91.42</v>
      </c>
      <c r="S646">
        <f t="shared" si="42"/>
        <v>0.24874206956902206</v>
      </c>
      <c r="T646">
        <f t="shared" si="43"/>
        <v>6.0606060606060608E-2</v>
      </c>
      <c r="U646" t="str">
        <f>YEAR('Campaign Data'!$A646)&amp;"-"&amp;TEXT(MONTH('Campaign Data'!$A646),"00")</f>
        <v>2026-02</v>
      </c>
    </row>
    <row r="647" spans="1:21" x14ac:dyDescent="0.25">
      <c r="A647">
        <v>46058</v>
      </c>
      <c r="B647" t="s">
        <v>98</v>
      </c>
      <c r="C647" t="s">
        <v>99</v>
      </c>
      <c r="D647" t="s">
        <v>69</v>
      </c>
      <c r="E647" t="s">
        <v>24</v>
      </c>
      <c r="F647" t="s">
        <v>75</v>
      </c>
      <c r="G647" t="s">
        <v>66</v>
      </c>
      <c r="H647" t="s">
        <v>27</v>
      </c>
      <c r="I647" t="s">
        <v>37</v>
      </c>
      <c r="J647" t="s">
        <v>45</v>
      </c>
      <c r="K647">
        <v>5251</v>
      </c>
      <c r="L647">
        <v>49</v>
      </c>
      <c r="M647">
        <v>64.11</v>
      </c>
      <c r="N647">
        <v>4</v>
      </c>
      <c r="O647">
        <v>126.56</v>
      </c>
      <c r="P647">
        <f t="shared" si="40"/>
        <v>9.3315558941154068E-3</v>
      </c>
      <c r="Q647">
        <f t="shared" si="40"/>
        <v>1.3083673469387755</v>
      </c>
      <c r="R647">
        <f t="shared" si="41"/>
        <v>16.0275</v>
      </c>
      <c r="S647">
        <f t="shared" si="42"/>
        <v>1.9741070035875838</v>
      </c>
      <c r="T647">
        <f t="shared" si="43"/>
        <v>8.1632653061224483E-2</v>
      </c>
      <c r="U647" t="str">
        <f>YEAR('Campaign Data'!$A647)&amp;"-"&amp;TEXT(MONTH('Campaign Data'!$A647),"00")</f>
        <v>2026-02</v>
      </c>
    </row>
    <row r="648" spans="1:21" x14ac:dyDescent="0.25">
      <c r="A648">
        <v>46058</v>
      </c>
      <c r="B648" t="s">
        <v>52</v>
      </c>
      <c r="C648" t="s">
        <v>53</v>
      </c>
      <c r="D648" t="s">
        <v>32</v>
      </c>
      <c r="E648" t="s">
        <v>42</v>
      </c>
      <c r="F648" t="s">
        <v>25</v>
      </c>
      <c r="G648" t="s">
        <v>54</v>
      </c>
      <c r="H648" t="s">
        <v>36</v>
      </c>
      <c r="I648" t="s">
        <v>37</v>
      </c>
      <c r="J648" t="s">
        <v>62</v>
      </c>
      <c r="K648">
        <v>8937</v>
      </c>
      <c r="L648">
        <v>68</v>
      </c>
      <c r="M648">
        <v>345.05</v>
      </c>
      <c r="N648">
        <v>3</v>
      </c>
      <c r="O648">
        <v>416.26</v>
      </c>
      <c r="P648">
        <f t="shared" si="40"/>
        <v>7.6088172764909928E-3</v>
      </c>
      <c r="Q648">
        <f t="shared" si="40"/>
        <v>5.0742647058823529</v>
      </c>
      <c r="R648">
        <f t="shared" si="41"/>
        <v>115.01666666666667</v>
      </c>
      <c r="S648">
        <f t="shared" si="42"/>
        <v>1.2063758875525286</v>
      </c>
      <c r="T648">
        <f t="shared" si="43"/>
        <v>4.4117647058823532E-2</v>
      </c>
      <c r="U648" t="str">
        <f>YEAR('Campaign Data'!$A648)&amp;"-"&amp;TEXT(MONTH('Campaign Data'!$A648),"00")</f>
        <v>2026-02</v>
      </c>
    </row>
    <row r="649" spans="1:21" x14ac:dyDescent="0.25">
      <c r="A649">
        <v>46058</v>
      </c>
      <c r="B649" t="s">
        <v>105</v>
      </c>
      <c r="C649" t="s">
        <v>106</v>
      </c>
      <c r="D649" t="s">
        <v>58</v>
      </c>
      <c r="E649" t="s">
        <v>49</v>
      </c>
      <c r="F649" t="s">
        <v>81</v>
      </c>
      <c r="G649" t="s">
        <v>107</v>
      </c>
      <c r="H649" t="s">
        <v>71</v>
      </c>
      <c r="I649" t="s">
        <v>37</v>
      </c>
      <c r="J649" t="s">
        <v>87</v>
      </c>
      <c r="K649">
        <v>8898</v>
      </c>
      <c r="L649">
        <v>325</v>
      </c>
      <c r="M649">
        <v>510.97</v>
      </c>
      <c r="N649">
        <v>13</v>
      </c>
      <c r="O649">
        <v>140.34</v>
      </c>
      <c r="P649">
        <f t="shared" si="40"/>
        <v>3.6525061811643063E-2</v>
      </c>
      <c r="Q649">
        <f t="shared" si="40"/>
        <v>1.5722153846153848</v>
      </c>
      <c r="R649">
        <f t="shared" si="41"/>
        <v>39.305384615384618</v>
      </c>
      <c r="S649">
        <f t="shared" si="42"/>
        <v>0.27465408928117108</v>
      </c>
      <c r="T649">
        <f t="shared" si="43"/>
        <v>0.04</v>
      </c>
      <c r="U649" t="str">
        <f>YEAR('Campaign Data'!$A649)&amp;"-"&amp;TEXT(MONTH('Campaign Data'!$A649),"00")</f>
        <v>2026-02</v>
      </c>
    </row>
    <row r="650" spans="1:21" x14ac:dyDescent="0.25">
      <c r="A650">
        <v>46058</v>
      </c>
      <c r="B650" t="s">
        <v>130</v>
      </c>
      <c r="C650" t="s">
        <v>131</v>
      </c>
      <c r="D650" t="s">
        <v>48</v>
      </c>
      <c r="E650" t="s">
        <v>33</v>
      </c>
      <c r="F650" t="s">
        <v>34</v>
      </c>
      <c r="G650" t="s">
        <v>35</v>
      </c>
      <c r="H650" t="s">
        <v>90</v>
      </c>
      <c r="I650" t="s">
        <v>37</v>
      </c>
      <c r="J650" t="s">
        <v>38</v>
      </c>
      <c r="K650">
        <v>11102</v>
      </c>
      <c r="L650">
        <v>152</v>
      </c>
      <c r="M650">
        <v>31.43</v>
      </c>
      <c r="N650">
        <v>1</v>
      </c>
      <c r="O650">
        <v>37.46</v>
      </c>
      <c r="P650">
        <f t="shared" si="40"/>
        <v>1.3691226805980904E-2</v>
      </c>
      <c r="Q650">
        <f t="shared" si="40"/>
        <v>0.20677631578947367</v>
      </c>
      <c r="R650">
        <f t="shared" si="41"/>
        <v>31.43</v>
      </c>
      <c r="S650">
        <f t="shared" si="42"/>
        <v>1.1918549156856506</v>
      </c>
      <c r="T650">
        <f t="shared" si="43"/>
        <v>6.5789473684210523E-3</v>
      </c>
      <c r="U650" t="str">
        <f>YEAR('Campaign Data'!$A650)&amp;"-"&amp;TEXT(MONTH('Campaign Data'!$A650),"00")</f>
        <v>2026-02</v>
      </c>
    </row>
    <row r="651" spans="1:21" x14ac:dyDescent="0.25">
      <c r="A651">
        <v>46058</v>
      </c>
      <c r="B651" t="s">
        <v>177</v>
      </c>
      <c r="C651" t="s">
        <v>178</v>
      </c>
      <c r="D651" t="s">
        <v>41</v>
      </c>
      <c r="E651" t="s">
        <v>49</v>
      </c>
      <c r="F651" t="s">
        <v>34</v>
      </c>
      <c r="G651" t="s">
        <v>107</v>
      </c>
      <c r="H651" t="s">
        <v>27</v>
      </c>
      <c r="I651" t="s">
        <v>37</v>
      </c>
      <c r="J651" t="s">
        <v>62</v>
      </c>
      <c r="K651">
        <v>28225</v>
      </c>
      <c r="L651">
        <v>1868</v>
      </c>
      <c r="M651">
        <v>5039.6499999999996</v>
      </c>
      <c r="N651">
        <v>207</v>
      </c>
      <c r="O651">
        <v>41557.269999999997</v>
      </c>
      <c r="P651">
        <f t="shared" si="40"/>
        <v>6.6182462356067312E-2</v>
      </c>
      <c r="Q651">
        <f t="shared" si="40"/>
        <v>2.6978854389721625</v>
      </c>
      <c r="R651">
        <f t="shared" si="41"/>
        <v>24.346135265700482</v>
      </c>
      <c r="S651">
        <f t="shared" si="42"/>
        <v>8.2460627226097056</v>
      </c>
      <c r="T651">
        <f t="shared" si="43"/>
        <v>0.11081370449678801</v>
      </c>
      <c r="U651" t="str">
        <f>YEAR('Campaign Data'!$A651)&amp;"-"&amp;TEXT(MONTH('Campaign Data'!$A651),"00")</f>
        <v>2026-02</v>
      </c>
    </row>
    <row r="652" spans="1:21" x14ac:dyDescent="0.25">
      <c r="A652">
        <v>46058</v>
      </c>
      <c r="B652" t="s">
        <v>112</v>
      </c>
      <c r="C652" t="s">
        <v>113</v>
      </c>
      <c r="D652" t="s">
        <v>32</v>
      </c>
      <c r="E652" t="s">
        <v>24</v>
      </c>
      <c r="F652" t="s">
        <v>75</v>
      </c>
      <c r="G652" t="s">
        <v>66</v>
      </c>
      <c r="H652" t="s">
        <v>60</v>
      </c>
      <c r="I652" t="s">
        <v>28</v>
      </c>
      <c r="J652" t="s">
        <v>87</v>
      </c>
      <c r="K652">
        <v>4547</v>
      </c>
      <c r="L652">
        <v>22</v>
      </c>
      <c r="M652">
        <v>18.989999999999998</v>
      </c>
      <c r="N652">
        <v>0</v>
      </c>
      <c r="O652">
        <v>0</v>
      </c>
      <c r="P652">
        <f t="shared" si="40"/>
        <v>4.8383549593138337E-3</v>
      </c>
      <c r="Q652">
        <f t="shared" si="40"/>
        <v>0.86318181818181816</v>
      </c>
      <c r="R652">
        <f t="shared" si="41"/>
        <v>0</v>
      </c>
      <c r="S652">
        <f t="shared" si="42"/>
        <v>0</v>
      </c>
      <c r="T652">
        <f t="shared" si="43"/>
        <v>0</v>
      </c>
      <c r="U652" t="str">
        <f>YEAR('Campaign Data'!$A652)&amp;"-"&amp;TEXT(MONTH('Campaign Data'!$A652),"00")</f>
        <v>2026-02</v>
      </c>
    </row>
    <row r="653" spans="1:21" x14ac:dyDescent="0.25">
      <c r="A653">
        <v>46058</v>
      </c>
      <c r="B653" t="s">
        <v>112</v>
      </c>
      <c r="C653" t="s">
        <v>113</v>
      </c>
      <c r="D653" t="s">
        <v>32</v>
      </c>
      <c r="E653" t="s">
        <v>24</v>
      </c>
      <c r="F653" t="s">
        <v>75</v>
      </c>
      <c r="G653" t="s">
        <v>66</v>
      </c>
      <c r="H653" t="s">
        <v>71</v>
      </c>
      <c r="I653" t="s">
        <v>37</v>
      </c>
      <c r="J653" t="s">
        <v>45</v>
      </c>
      <c r="K653">
        <v>19262</v>
      </c>
      <c r="L653">
        <v>148</v>
      </c>
      <c r="M653">
        <v>170.43</v>
      </c>
      <c r="N653">
        <v>4</v>
      </c>
      <c r="O653">
        <v>146.04</v>
      </c>
      <c r="P653">
        <f t="shared" si="40"/>
        <v>7.6835219603364133E-3</v>
      </c>
      <c r="Q653">
        <f t="shared" si="40"/>
        <v>1.1515540540540541</v>
      </c>
      <c r="R653">
        <f t="shared" si="41"/>
        <v>42.607500000000002</v>
      </c>
      <c r="S653">
        <f t="shared" si="42"/>
        <v>0.85689139236049983</v>
      </c>
      <c r="T653">
        <f t="shared" si="43"/>
        <v>2.7027027027027029E-2</v>
      </c>
      <c r="U653" t="str">
        <f>YEAR('Campaign Data'!$A653)&amp;"-"&amp;TEXT(MONTH('Campaign Data'!$A653),"00")</f>
        <v>2026-02</v>
      </c>
    </row>
    <row r="654" spans="1:21" x14ac:dyDescent="0.25">
      <c r="A654">
        <v>46058</v>
      </c>
      <c r="B654" t="s">
        <v>136</v>
      </c>
      <c r="C654" t="s">
        <v>137</v>
      </c>
      <c r="D654" t="s">
        <v>32</v>
      </c>
      <c r="E654" t="s">
        <v>49</v>
      </c>
      <c r="F654" t="s">
        <v>75</v>
      </c>
      <c r="G654" t="s">
        <v>97</v>
      </c>
      <c r="H654" t="s">
        <v>27</v>
      </c>
      <c r="I654" t="s">
        <v>28</v>
      </c>
      <c r="J654" t="s">
        <v>62</v>
      </c>
      <c r="K654">
        <v>5106</v>
      </c>
      <c r="L654">
        <v>312</v>
      </c>
      <c r="M654">
        <v>658.73</v>
      </c>
      <c r="N654">
        <v>36</v>
      </c>
      <c r="O654">
        <v>2282.87</v>
      </c>
      <c r="P654">
        <f t="shared" si="40"/>
        <v>6.1104582843713277E-2</v>
      </c>
      <c r="Q654">
        <f t="shared" si="40"/>
        <v>2.1113141025641027</v>
      </c>
      <c r="R654">
        <f t="shared" si="41"/>
        <v>18.298055555555557</v>
      </c>
      <c r="S654">
        <f t="shared" si="42"/>
        <v>3.4655625218222941</v>
      </c>
      <c r="T654">
        <f t="shared" si="43"/>
        <v>0.11538461538461539</v>
      </c>
      <c r="U654" t="str">
        <f>YEAR('Campaign Data'!$A654)&amp;"-"&amp;TEXT(MONTH('Campaign Data'!$A654),"00")</f>
        <v>2026-02</v>
      </c>
    </row>
    <row r="655" spans="1:21" x14ac:dyDescent="0.25">
      <c r="A655">
        <v>46058</v>
      </c>
      <c r="B655" t="s">
        <v>183</v>
      </c>
      <c r="C655" t="s">
        <v>184</v>
      </c>
      <c r="D655" t="s">
        <v>23</v>
      </c>
      <c r="E655" t="s">
        <v>24</v>
      </c>
      <c r="F655" t="s">
        <v>81</v>
      </c>
      <c r="G655" t="s">
        <v>185</v>
      </c>
      <c r="H655" t="s">
        <v>27</v>
      </c>
      <c r="I655" t="s">
        <v>37</v>
      </c>
      <c r="J655" t="s">
        <v>38</v>
      </c>
      <c r="K655">
        <v>1828</v>
      </c>
      <c r="L655">
        <v>13</v>
      </c>
      <c r="M655">
        <v>17.100000000000001</v>
      </c>
      <c r="N655">
        <v>1</v>
      </c>
      <c r="O655">
        <v>22.89</v>
      </c>
      <c r="P655">
        <f t="shared" si="40"/>
        <v>7.1115973741794312E-3</v>
      </c>
      <c r="Q655">
        <f t="shared" si="40"/>
        <v>1.3153846153846156</v>
      </c>
      <c r="R655">
        <f t="shared" si="41"/>
        <v>17.100000000000001</v>
      </c>
      <c r="S655">
        <f t="shared" si="42"/>
        <v>1.3385964912280701</v>
      </c>
      <c r="T655">
        <f t="shared" si="43"/>
        <v>7.6923076923076927E-2</v>
      </c>
      <c r="U655" t="str">
        <f>YEAR('Campaign Data'!$A655)&amp;"-"&amp;TEXT(MONTH('Campaign Data'!$A655),"00")</f>
        <v>2026-02</v>
      </c>
    </row>
    <row r="656" spans="1:21" x14ac:dyDescent="0.25">
      <c r="A656">
        <v>46058</v>
      </c>
      <c r="B656" t="s">
        <v>72</v>
      </c>
      <c r="C656" t="s">
        <v>73</v>
      </c>
      <c r="D656" t="s">
        <v>69</v>
      </c>
      <c r="E656" t="s">
        <v>74</v>
      </c>
      <c r="F656" t="s">
        <v>75</v>
      </c>
      <c r="G656" t="s">
        <v>9</v>
      </c>
      <c r="H656" t="s">
        <v>90</v>
      </c>
      <c r="I656" t="s">
        <v>28</v>
      </c>
      <c r="J656" t="s">
        <v>38</v>
      </c>
      <c r="K656">
        <v>7822</v>
      </c>
      <c r="L656">
        <v>257</v>
      </c>
      <c r="M656">
        <v>79.599999999999994</v>
      </c>
      <c r="N656">
        <v>3</v>
      </c>
      <c r="O656">
        <v>32.76</v>
      </c>
      <c r="P656">
        <f t="shared" si="40"/>
        <v>3.2856047046791105E-2</v>
      </c>
      <c r="Q656">
        <f t="shared" si="40"/>
        <v>0.30972762645914392</v>
      </c>
      <c r="R656">
        <f t="shared" si="41"/>
        <v>26.533333333333331</v>
      </c>
      <c r="S656">
        <f t="shared" si="42"/>
        <v>0.41155778894472361</v>
      </c>
      <c r="T656">
        <f t="shared" si="43"/>
        <v>1.1673151750972763E-2</v>
      </c>
      <c r="U656" t="str">
        <f>YEAR('Campaign Data'!$A656)&amp;"-"&amp;TEXT(MONTH('Campaign Data'!$A656),"00")</f>
        <v>2026-02</v>
      </c>
    </row>
    <row r="657" spans="1:21" x14ac:dyDescent="0.25">
      <c r="A657">
        <v>46058</v>
      </c>
      <c r="B657" t="s">
        <v>163</v>
      </c>
      <c r="C657" t="s">
        <v>164</v>
      </c>
      <c r="D657" t="s">
        <v>58</v>
      </c>
      <c r="E657" t="s">
        <v>42</v>
      </c>
      <c r="F657" t="s">
        <v>43</v>
      </c>
      <c r="G657" t="s">
        <v>44</v>
      </c>
      <c r="H657" t="s">
        <v>90</v>
      </c>
      <c r="I657" t="s">
        <v>28</v>
      </c>
      <c r="J657" t="s">
        <v>29</v>
      </c>
      <c r="K657">
        <v>7039</v>
      </c>
      <c r="L657">
        <v>36</v>
      </c>
      <c r="M657">
        <v>46.62</v>
      </c>
      <c r="N657">
        <v>1</v>
      </c>
      <c r="O657">
        <v>6.66</v>
      </c>
      <c r="P657">
        <f t="shared" si="40"/>
        <v>5.1143628356300607E-3</v>
      </c>
      <c r="Q657">
        <f t="shared" si="40"/>
        <v>1.2949999999999999</v>
      </c>
      <c r="R657">
        <f t="shared" si="41"/>
        <v>46.62</v>
      </c>
      <c r="S657">
        <f t="shared" si="42"/>
        <v>0.14285714285714288</v>
      </c>
      <c r="T657">
        <f t="shared" si="43"/>
        <v>2.7777777777777776E-2</v>
      </c>
      <c r="U657" t="str">
        <f>YEAR('Campaign Data'!$A657)&amp;"-"&amp;TEXT(MONTH('Campaign Data'!$A657),"00")</f>
        <v>2026-02</v>
      </c>
    </row>
    <row r="658" spans="1:21" x14ac:dyDescent="0.25">
      <c r="A658">
        <v>46058</v>
      </c>
      <c r="B658" t="s">
        <v>163</v>
      </c>
      <c r="C658" t="s">
        <v>164</v>
      </c>
      <c r="D658" t="s">
        <v>58</v>
      </c>
      <c r="E658" t="s">
        <v>42</v>
      </c>
      <c r="F658" t="s">
        <v>43</v>
      </c>
      <c r="G658" t="s">
        <v>44</v>
      </c>
      <c r="H658" t="s">
        <v>90</v>
      </c>
      <c r="I658" t="s">
        <v>28</v>
      </c>
      <c r="J658" t="s">
        <v>38</v>
      </c>
      <c r="K658">
        <v>11225</v>
      </c>
      <c r="L658">
        <v>77</v>
      </c>
      <c r="M658">
        <v>110.2</v>
      </c>
      <c r="N658">
        <v>1</v>
      </c>
      <c r="O658">
        <v>5</v>
      </c>
      <c r="P658">
        <f t="shared" si="40"/>
        <v>6.8596881959910915E-3</v>
      </c>
      <c r="Q658">
        <f t="shared" si="40"/>
        <v>1.4311688311688313</v>
      </c>
      <c r="R658">
        <f t="shared" si="41"/>
        <v>110.2</v>
      </c>
      <c r="S658">
        <f t="shared" si="42"/>
        <v>4.5372050816696916E-2</v>
      </c>
      <c r="T658">
        <f t="shared" si="43"/>
        <v>1.2987012987012988E-2</v>
      </c>
      <c r="U658" t="str">
        <f>YEAR('Campaign Data'!$A658)&amp;"-"&amp;TEXT(MONTH('Campaign Data'!$A658),"00")</f>
        <v>2026-02</v>
      </c>
    </row>
    <row r="659" spans="1:21" x14ac:dyDescent="0.25">
      <c r="A659">
        <v>46059</v>
      </c>
      <c r="B659" t="s">
        <v>165</v>
      </c>
      <c r="C659" t="s">
        <v>166</v>
      </c>
      <c r="D659" t="s">
        <v>41</v>
      </c>
      <c r="E659" t="s">
        <v>33</v>
      </c>
      <c r="F659" t="s">
        <v>43</v>
      </c>
      <c r="G659" t="s">
        <v>59</v>
      </c>
      <c r="H659" t="s">
        <v>27</v>
      </c>
      <c r="I659" t="s">
        <v>37</v>
      </c>
      <c r="J659" t="s">
        <v>87</v>
      </c>
      <c r="K659">
        <v>4794</v>
      </c>
      <c r="L659">
        <v>32</v>
      </c>
      <c r="M659">
        <v>23.57</v>
      </c>
      <c r="N659">
        <v>0</v>
      </c>
      <c r="O659">
        <v>0</v>
      </c>
      <c r="P659">
        <f t="shared" si="40"/>
        <v>6.6750104297037963E-3</v>
      </c>
      <c r="Q659">
        <f t="shared" si="40"/>
        <v>0.73656250000000001</v>
      </c>
      <c r="R659">
        <f t="shared" si="41"/>
        <v>0</v>
      </c>
      <c r="S659">
        <f t="shared" si="42"/>
        <v>0</v>
      </c>
      <c r="T659">
        <f t="shared" si="43"/>
        <v>0</v>
      </c>
      <c r="U659" t="str">
        <f>YEAR('Campaign Data'!$A659)&amp;"-"&amp;TEXT(MONTH('Campaign Data'!$A659),"00")</f>
        <v>2026-02</v>
      </c>
    </row>
    <row r="660" spans="1:21" x14ac:dyDescent="0.25">
      <c r="A660">
        <v>46059</v>
      </c>
      <c r="B660" t="s">
        <v>173</v>
      </c>
      <c r="C660" t="s">
        <v>174</v>
      </c>
      <c r="D660" t="s">
        <v>48</v>
      </c>
      <c r="E660" t="s">
        <v>74</v>
      </c>
      <c r="F660" t="s">
        <v>25</v>
      </c>
      <c r="G660" t="s">
        <v>9</v>
      </c>
      <c r="H660" t="s">
        <v>55</v>
      </c>
      <c r="I660" t="s">
        <v>28</v>
      </c>
      <c r="J660" t="s">
        <v>45</v>
      </c>
      <c r="K660">
        <v>14631</v>
      </c>
      <c r="L660">
        <v>572</v>
      </c>
      <c r="M660">
        <v>704.88</v>
      </c>
      <c r="N660">
        <v>23</v>
      </c>
      <c r="O660">
        <v>3685.46</v>
      </c>
      <c r="P660">
        <f t="shared" si="40"/>
        <v>3.9095072107169705E-2</v>
      </c>
      <c r="Q660">
        <f t="shared" si="40"/>
        <v>1.2323076923076923</v>
      </c>
      <c r="R660">
        <f t="shared" si="41"/>
        <v>30.646956521739131</v>
      </c>
      <c r="S660">
        <f t="shared" si="42"/>
        <v>5.2284927930995346</v>
      </c>
      <c r="T660">
        <f t="shared" si="43"/>
        <v>4.0209790209790208E-2</v>
      </c>
      <c r="U660" t="str">
        <f>YEAR('Campaign Data'!$A660)&amp;"-"&amp;TEXT(MONTH('Campaign Data'!$A660),"00")</f>
        <v>2026-02</v>
      </c>
    </row>
    <row r="661" spans="1:21" x14ac:dyDescent="0.25">
      <c r="A661">
        <v>46059</v>
      </c>
      <c r="B661" t="s">
        <v>85</v>
      </c>
      <c r="C661" t="s">
        <v>86</v>
      </c>
      <c r="D661" t="s">
        <v>80</v>
      </c>
      <c r="E661" t="s">
        <v>33</v>
      </c>
      <c r="F661" t="s">
        <v>43</v>
      </c>
      <c r="G661" t="s">
        <v>35</v>
      </c>
      <c r="H661" t="s">
        <v>27</v>
      </c>
      <c r="I661" t="s">
        <v>37</v>
      </c>
      <c r="J661" t="s">
        <v>29</v>
      </c>
      <c r="K661">
        <v>2665</v>
      </c>
      <c r="L661">
        <v>21</v>
      </c>
      <c r="M661">
        <v>20.05</v>
      </c>
      <c r="N661">
        <v>1</v>
      </c>
      <c r="O661">
        <v>29.48</v>
      </c>
      <c r="P661">
        <f t="shared" si="40"/>
        <v>7.8799249530956857E-3</v>
      </c>
      <c r="Q661">
        <f t="shared" si="40"/>
        <v>0.95476190476190481</v>
      </c>
      <c r="R661">
        <f t="shared" si="41"/>
        <v>20.05</v>
      </c>
      <c r="S661">
        <f t="shared" si="42"/>
        <v>1.4703241895261845</v>
      </c>
      <c r="T661">
        <f t="shared" si="43"/>
        <v>4.7619047619047616E-2</v>
      </c>
      <c r="U661" t="str">
        <f>YEAR('Campaign Data'!$A661)&amp;"-"&amp;TEXT(MONTH('Campaign Data'!$A661),"00")</f>
        <v>2026-02</v>
      </c>
    </row>
    <row r="662" spans="1:21" x14ac:dyDescent="0.25">
      <c r="A662">
        <v>46059</v>
      </c>
      <c r="B662" t="s">
        <v>125</v>
      </c>
      <c r="C662" t="s">
        <v>126</v>
      </c>
      <c r="D662" t="s">
        <v>41</v>
      </c>
      <c r="E662" t="s">
        <v>42</v>
      </c>
      <c r="F662" t="s">
        <v>81</v>
      </c>
      <c r="G662" t="s">
        <v>44</v>
      </c>
      <c r="H662" t="s">
        <v>51</v>
      </c>
      <c r="I662" t="s">
        <v>37</v>
      </c>
      <c r="J662" t="s">
        <v>38</v>
      </c>
      <c r="K662">
        <v>7160</v>
      </c>
      <c r="L662">
        <v>64</v>
      </c>
      <c r="M662">
        <v>297.10000000000002</v>
      </c>
      <c r="N662">
        <v>1</v>
      </c>
      <c r="O662">
        <v>12</v>
      </c>
      <c r="P662">
        <f t="shared" si="40"/>
        <v>8.9385474860335188E-3</v>
      </c>
      <c r="Q662">
        <f t="shared" si="40"/>
        <v>4.6421875000000004</v>
      </c>
      <c r="R662">
        <f t="shared" si="41"/>
        <v>297.10000000000002</v>
      </c>
      <c r="S662">
        <f t="shared" si="42"/>
        <v>4.0390440928980136E-2</v>
      </c>
      <c r="T662">
        <f t="shared" si="43"/>
        <v>1.5625E-2</v>
      </c>
      <c r="U662" t="str">
        <f>YEAR('Campaign Data'!$A662)&amp;"-"&amp;TEXT(MONTH('Campaign Data'!$A662),"00")</f>
        <v>2026-02</v>
      </c>
    </row>
    <row r="663" spans="1:21" x14ac:dyDescent="0.25">
      <c r="A663">
        <v>46059</v>
      </c>
      <c r="B663" t="s">
        <v>177</v>
      </c>
      <c r="C663" t="s">
        <v>178</v>
      </c>
      <c r="D663" t="s">
        <v>41</v>
      </c>
      <c r="E663" t="s">
        <v>49</v>
      </c>
      <c r="F663" t="s">
        <v>34</v>
      </c>
      <c r="G663" t="s">
        <v>107</v>
      </c>
      <c r="H663" t="s">
        <v>55</v>
      </c>
      <c r="I663" t="s">
        <v>61</v>
      </c>
      <c r="J663" t="s">
        <v>29</v>
      </c>
      <c r="K663">
        <v>4691</v>
      </c>
      <c r="L663">
        <v>223</v>
      </c>
      <c r="M663">
        <v>248.17</v>
      </c>
      <c r="N663">
        <v>6</v>
      </c>
      <c r="O663">
        <v>1258.81</v>
      </c>
      <c r="P663">
        <f t="shared" si="40"/>
        <v>4.7537838413984228E-2</v>
      </c>
      <c r="Q663">
        <f t="shared" si="40"/>
        <v>1.1128699551569505</v>
      </c>
      <c r="R663">
        <f t="shared" si="41"/>
        <v>41.361666666666665</v>
      </c>
      <c r="S663">
        <f t="shared" si="42"/>
        <v>5.0723697465447071</v>
      </c>
      <c r="T663">
        <f t="shared" si="43"/>
        <v>2.6905829596412557E-2</v>
      </c>
      <c r="U663" t="str">
        <f>YEAR('Campaign Data'!$A663)&amp;"-"&amp;TEXT(MONTH('Campaign Data'!$A663),"00")</f>
        <v>2026-02</v>
      </c>
    </row>
    <row r="664" spans="1:21" x14ac:dyDescent="0.25">
      <c r="A664">
        <v>46059</v>
      </c>
      <c r="B664" t="s">
        <v>153</v>
      </c>
      <c r="C664" t="s">
        <v>154</v>
      </c>
      <c r="D664" t="s">
        <v>48</v>
      </c>
      <c r="E664" t="s">
        <v>33</v>
      </c>
      <c r="F664" t="s">
        <v>43</v>
      </c>
      <c r="G664" t="s">
        <v>59</v>
      </c>
      <c r="H664" t="s">
        <v>36</v>
      </c>
      <c r="I664" t="s">
        <v>37</v>
      </c>
      <c r="J664" t="s">
        <v>38</v>
      </c>
      <c r="K664">
        <v>7332</v>
      </c>
      <c r="L664">
        <v>18</v>
      </c>
      <c r="M664">
        <v>9.19</v>
      </c>
      <c r="N664">
        <v>0</v>
      </c>
      <c r="O664">
        <v>0</v>
      </c>
      <c r="P664">
        <f t="shared" si="40"/>
        <v>2.4549918166939444E-3</v>
      </c>
      <c r="Q664">
        <f t="shared" si="40"/>
        <v>0.51055555555555554</v>
      </c>
      <c r="R664">
        <f t="shared" si="41"/>
        <v>0</v>
      </c>
      <c r="S664">
        <f t="shared" si="42"/>
        <v>0</v>
      </c>
      <c r="T664">
        <f t="shared" si="43"/>
        <v>0</v>
      </c>
      <c r="U664" t="str">
        <f>YEAR('Campaign Data'!$A664)&amp;"-"&amp;TEXT(MONTH('Campaign Data'!$A664),"00")</f>
        <v>2026-02</v>
      </c>
    </row>
    <row r="665" spans="1:21" x14ac:dyDescent="0.25">
      <c r="A665">
        <v>46059</v>
      </c>
      <c r="B665" t="s">
        <v>153</v>
      </c>
      <c r="C665" t="s">
        <v>154</v>
      </c>
      <c r="D665" t="s">
        <v>48</v>
      </c>
      <c r="E665" t="s">
        <v>33</v>
      </c>
      <c r="F665" t="s">
        <v>43</v>
      </c>
      <c r="G665" t="s">
        <v>59</v>
      </c>
      <c r="H665" t="s">
        <v>90</v>
      </c>
      <c r="I665" t="s">
        <v>37</v>
      </c>
      <c r="J665" t="s">
        <v>38</v>
      </c>
      <c r="K665">
        <v>6386</v>
      </c>
      <c r="L665">
        <v>72</v>
      </c>
      <c r="M665">
        <v>10.08</v>
      </c>
      <c r="N665">
        <v>0</v>
      </c>
      <c r="O665">
        <v>0</v>
      </c>
      <c r="P665">
        <f t="shared" si="40"/>
        <v>1.1274663326025681E-2</v>
      </c>
      <c r="Q665">
        <f t="shared" si="40"/>
        <v>0.14000000000000001</v>
      </c>
      <c r="R665">
        <f t="shared" si="41"/>
        <v>0</v>
      </c>
      <c r="S665">
        <f t="shared" si="42"/>
        <v>0</v>
      </c>
      <c r="T665">
        <f t="shared" si="43"/>
        <v>0</v>
      </c>
      <c r="U665" t="str">
        <f>YEAR('Campaign Data'!$A665)&amp;"-"&amp;TEXT(MONTH('Campaign Data'!$A665),"00")</f>
        <v>2026-02</v>
      </c>
    </row>
    <row r="666" spans="1:21" x14ac:dyDescent="0.25">
      <c r="A666">
        <v>46059</v>
      </c>
      <c r="B666" t="s">
        <v>155</v>
      </c>
      <c r="C666" t="s">
        <v>156</v>
      </c>
      <c r="D666" t="s">
        <v>32</v>
      </c>
      <c r="E666" t="s">
        <v>24</v>
      </c>
      <c r="F666" t="s">
        <v>34</v>
      </c>
      <c r="G666" t="s">
        <v>129</v>
      </c>
      <c r="H666" t="s">
        <v>71</v>
      </c>
      <c r="I666" t="s">
        <v>28</v>
      </c>
      <c r="J666" t="s">
        <v>62</v>
      </c>
      <c r="K666">
        <v>6722</v>
      </c>
      <c r="L666">
        <v>120</v>
      </c>
      <c r="M666">
        <v>108.84</v>
      </c>
      <c r="N666">
        <v>3</v>
      </c>
      <c r="O666">
        <v>400.53</v>
      </c>
      <c r="P666">
        <f t="shared" si="40"/>
        <v>1.7851829812555786E-2</v>
      </c>
      <c r="Q666">
        <f t="shared" si="40"/>
        <v>0.90700000000000003</v>
      </c>
      <c r="R666">
        <f t="shared" si="41"/>
        <v>36.28</v>
      </c>
      <c r="S666">
        <f t="shared" si="42"/>
        <v>3.6799889746416756</v>
      </c>
      <c r="T666">
        <f t="shared" si="43"/>
        <v>2.5000000000000001E-2</v>
      </c>
      <c r="U666" t="str">
        <f>YEAR('Campaign Data'!$A666)&amp;"-"&amp;TEXT(MONTH('Campaign Data'!$A666),"00")</f>
        <v>2026-02</v>
      </c>
    </row>
    <row r="667" spans="1:21" x14ac:dyDescent="0.25">
      <c r="A667">
        <v>46059</v>
      </c>
      <c r="B667" t="s">
        <v>155</v>
      </c>
      <c r="C667" t="s">
        <v>156</v>
      </c>
      <c r="D667" t="s">
        <v>32</v>
      </c>
      <c r="E667" t="s">
        <v>24</v>
      </c>
      <c r="F667" t="s">
        <v>34</v>
      </c>
      <c r="G667" t="s">
        <v>129</v>
      </c>
      <c r="H667" t="s">
        <v>71</v>
      </c>
      <c r="I667" t="s">
        <v>37</v>
      </c>
      <c r="J667" t="s">
        <v>29</v>
      </c>
      <c r="K667">
        <v>13198</v>
      </c>
      <c r="L667">
        <v>205</v>
      </c>
      <c r="M667">
        <v>166.68</v>
      </c>
      <c r="N667">
        <v>2</v>
      </c>
      <c r="O667">
        <v>259.17</v>
      </c>
      <c r="P667">
        <f t="shared" si="40"/>
        <v>1.553265646310047E-2</v>
      </c>
      <c r="Q667">
        <f t="shared" si="40"/>
        <v>0.81307317073170737</v>
      </c>
      <c r="R667">
        <f t="shared" si="41"/>
        <v>83.34</v>
      </c>
      <c r="S667">
        <f t="shared" si="42"/>
        <v>1.5548956083513319</v>
      </c>
      <c r="T667">
        <f t="shared" si="43"/>
        <v>9.7560975609756097E-3</v>
      </c>
      <c r="U667" t="str">
        <f>YEAR('Campaign Data'!$A667)&amp;"-"&amp;TEXT(MONTH('Campaign Data'!$A667),"00")</f>
        <v>2026-02</v>
      </c>
    </row>
    <row r="668" spans="1:21" x14ac:dyDescent="0.25">
      <c r="A668">
        <v>46059</v>
      </c>
      <c r="B668" t="s">
        <v>181</v>
      </c>
      <c r="C668" t="s">
        <v>182</v>
      </c>
      <c r="D668" t="s">
        <v>32</v>
      </c>
      <c r="E668" t="s">
        <v>33</v>
      </c>
      <c r="F668" t="s">
        <v>75</v>
      </c>
      <c r="G668" t="s">
        <v>59</v>
      </c>
      <c r="H668" t="s">
        <v>27</v>
      </c>
      <c r="I668" t="s">
        <v>28</v>
      </c>
      <c r="J668" t="s">
        <v>62</v>
      </c>
      <c r="K668">
        <v>3824</v>
      </c>
      <c r="L668">
        <v>26</v>
      </c>
      <c r="M668">
        <v>20.13</v>
      </c>
      <c r="N668">
        <v>0</v>
      </c>
      <c r="O668">
        <v>0</v>
      </c>
      <c r="P668">
        <f t="shared" si="40"/>
        <v>6.7991631799163184E-3</v>
      </c>
      <c r="Q668">
        <f t="shared" si="40"/>
        <v>0.77423076923076917</v>
      </c>
      <c r="R668">
        <f t="shared" si="41"/>
        <v>0</v>
      </c>
      <c r="S668">
        <f t="shared" si="42"/>
        <v>0</v>
      </c>
      <c r="T668">
        <f t="shared" si="43"/>
        <v>0</v>
      </c>
      <c r="U668" t="str">
        <f>YEAR('Campaign Data'!$A668)&amp;"-"&amp;TEXT(MONTH('Campaign Data'!$A668),"00")</f>
        <v>2026-02</v>
      </c>
    </row>
    <row r="669" spans="1:21" x14ac:dyDescent="0.25">
      <c r="A669">
        <v>46059</v>
      </c>
      <c r="B669" t="s">
        <v>181</v>
      </c>
      <c r="C669" t="s">
        <v>182</v>
      </c>
      <c r="D669" t="s">
        <v>32</v>
      </c>
      <c r="E669" t="s">
        <v>33</v>
      </c>
      <c r="F669" t="s">
        <v>75</v>
      </c>
      <c r="G669" t="s">
        <v>59</v>
      </c>
      <c r="H669" t="s">
        <v>27</v>
      </c>
      <c r="I669" t="s">
        <v>37</v>
      </c>
      <c r="J669" t="s">
        <v>45</v>
      </c>
      <c r="K669">
        <v>4917</v>
      </c>
      <c r="L669">
        <v>50</v>
      </c>
      <c r="M669">
        <v>36.81</v>
      </c>
      <c r="N669">
        <v>1</v>
      </c>
      <c r="O669">
        <v>68.75</v>
      </c>
      <c r="P669">
        <f t="shared" si="40"/>
        <v>1.016880211511084E-2</v>
      </c>
      <c r="Q669">
        <f t="shared" si="40"/>
        <v>0.73620000000000008</v>
      </c>
      <c r="R669">
        <f t="shared" si="41"/>
        <v>36.81</v>
      </c>
      <c r="S669">
        <f t="shared" si="42"/>
        <v>1.8676989948383591</v>
      </c>
      <c r="T669">
        <f t="shared" si="43"/>
        <v>0.02</v>
      </c>
      <c r="U669" t="str">
        <f>YEAR('Campaign Data'!$A669)&amp;"-"&amp;TEXT(MONTH('Campaign Data'!$A669),"00")</f>
        <v>2026-02</v>
      </c>
    </row>
    <row r="670" spans="1:21" x14ac:dyDescent="0.25">
      <c r="A670">
        <v>46059</v>
      </c>
      <c r="B670" t="s">
        <v>72</v>
      </c>
      <c r="C670" t="s">
        <v>73</v>
      </c>
      <c r="D670" t="s">
        <v>69</v>
      </c>
      <c r="E670" t="s">
        <v>74</v>
      </c>
      <c r="F670" t="s">
        <v>75</v>
      </c>
      <c r="G670" t="s">
        <v>9</v>
      </c>
      <c r="H670" t="s">
        <v>60</v>
      </c>
      <c r="I670" t="s">
        <v>37</v>
      </c>
      <c r="J670" t="s">
        <v>38</v>
      </c>
      <c r="K670">
        <v>17508</v>
      </c>
      <c r="L670">
        <v>391</v>
      </c>
      <c r="M670">
        <v>523.13</v>
      </c>
      <c r="N670">
        <v>19</v>
      </c>
      <c r="O670">
        <v>853.78</v>
      </c>
      <c r="P670">
        <f t="shared" si="40"/>
        <v>2.2332647932373773E-2</v>
      </c>
      <c r="Q670">
        <f t="shared" si="40"/>
        <v>1.337928388746803</v>
      </c>
      <c r="R670">
        <f t="shared" si="41"/>
        <v>27.533157894736842</v>
      </c>
      <c r="S670">
        <f t="shared" si="42"/>
        <v>1.6320608644122876</v>
      </c>
      <c r="T670">
        <f t="shared" si="43"/>
        <v>4.859335038363171E-2</v>
      </c>
      <c r="U670" t="str">
        <f>YEAR('Campaign Data'!$A670)&amp;"-"&amp;TEXT(MONTH('Campaign Data'!$A670),"00")</f>
        <v>2026-02</v>
      </c>
    </row>
    <row r="671" spans="1:21" x14ac:dyDescent="0.25">
      <c r="A671">
        <v>46059</v>
      </c>
      <c r="B671" t="s">
        <v>72</v>
      </c>
      <c r="C671" t="s">
        <v>73</v>
      </c>
      <c r="D671" t="s">
        <v>69</v>
      </c>
      <c r="E671" t="s">
        <v>74</v>
      </c>
      <c r="F671" t="s">
        <v>75</v>
      </c>
      <c r="G671" t="s">
        <v>9</v>
      </c>
      <c r="H671" t="s">
        <v>71</v>
      </c>
      <c r="I671" t="s">
        <v>37</v>
      </c>
      <c r="J671" t="s">
        <v>87</v>
      </c>
      <c r="K671">
        <v>7680</v>
      </c>
      <c r="L671">
        <v>298</v>
      </c>
      <c r="M671">
        <v>367.11</v>
      </c>
      <c r="N671">
        <v>12</v>
      </c>
      <c r="O671">
        <v>467.6</v>
      </c>
      <c r="P671">
        <f t="shared" si="40"/>
        <v>3.8802083333333334E-2</v>
      </c>
      <c r="Q671">
        <f t="shared" si="40"/>
        <v>1.2319127516778523</v>
      </c>
      <c r="R671">
        <f t="shared" si="41"/>
        <v>30.592500000000001</v>
      </c>
      <c r="S671">
        <f t="shared" si="42"/>
        <v>1.2737326686824113</v>
      </c>
      <c r="T671">
        <f t="shared" si="43"/>
        <v>4.0268456375838924E-2</v>
      </c>
      <c r="U671" t="str">
        <f>YEAR('Campaign Data'!$A671)&amp;"-"&amp;TEXT(MONTH('Campaign Data'!$A671),"00")</f>
        <v>2026-02</v>
      </c>
    </row>
    <row r="672" spans="1:21" x14ac:dyDescent="0.25">
      <c r="A672">
        <v>46060</v>
      </c>
      <c r="B672" t="s">
        <v>175</v>
      </c>
      <c r="C672" t="s">
        <v>176</v>
      </c>
      <c r="D672" t="s">
        <v>65</v>
      </c>
      <c r="E672" t="s">
        <v>49</v>
      </c>
      <c r="F672" t="s">
        <v>75</v>
      </c>
      <c r="G672" t="s">
        <v>70</v>
      </c>
      <c r="H672" t="s">
        <v>51</v>
      </c>
      <c r="I672" t="s">
        <v>28</v>
      </c>
      <c r="J672" t="s">
        <v>38</v>
      </c>
      <c r="K672">
        <v>12738</v>
      </c>
      <c r="L672">
        <v>635</v>
      </c>
      <c r="M672">
        <v>1205.76</v>
      </c>
      <c r="N672">
        <v>20</v>
      </c>
      <c r="O672">
        <v>692.66</v>
      </c>
      <c r="P672">
        <f t="shared" si="40"/>
        <v>4.9850840006280421E-2</v>
      </c>
      <c r="Q672">
        <f t="shared" si="40"/>
        <v>1.8988346456692913</v>
      </c>
      <c r="R672">
        <f t="shared" si="41"/>
        <v>60.287999999999997</v>
      </c>
      <c r="S672">
        <f t="shared" si="42"/>
        <v>0.57445926220806787</v>
      </c>
      <c r="T672">
        <f t="shared" si="43"/>
        <v>3.1496062992125984E-2</v>
      </c>
      <c r="U672" t="str">
        <f>YEAR('Campaign Data'!$A672)&amp;"-"&amp;TEXT(MONTH('Campaign Data'!$A672),"00")</f>
        <v>2026-02</v>
      </c>
    </row>
    <row r="673" spans="1:21" x14ac:dyDescent="0.25">
      <c r="A673">
        <v>46060</v>
      </c>
      <c r="B673" t="s">
        <v>138</v>
      </c>
      <c r="C673" t="s">
        <v>139</v>
      </c>
      <c r="D673" t="s">
        <v>58</v>
      </c>
      <c r="E673" t="s">
        <v>74</v>
      </c>
      <c r="F673" t="s">
        <v>34</v>
      </c>
      <c r="G673" t="s">
        <v>9</v>
      </c>
      <c r="H673" t="s">
        <v>60</v>
      </c>
      <c r="I673" t="s">
        <v>28</v>
      </c>
      <c r="J673" t="s">
        <v>45</v>
      </c>
      <c r="K673">
        <v>3652</v>
      </c>
      <c r="L673">
        <v>118</v>
      </c>
      <c r="M673">
        <v>132.02000000000001</v>
      </c>
      <c r="N673">
        <v>7</v>
      </c>
      <c r="O673">
        <v>1480.09</v>
      </c>
      <c r="P673">
        <f t="shared" si="40"/>
        <v>3.2311062431544357E-2</v>
      </c>
      <c r="Q673">
        <f t="shared" si="40"/>
        <v>1.1188135593220341</v>
      </c>
      <c r="R673">
        <f t="shared" si="41"/>
        <v>18.860000000000003</v>
      </c>
      <c r="S673">
        <f t="shared" si="42"/>
        <v>11.211104378124524</v>
      </c>
      <c r="T673">
        <f t="shared" si="43"/>
        <v>5.9322033898305086E-2</v>
      </c>
      <c r="U673" t="str">
        <f>YEAR('Campaign Data'!$A673)&amp;"-"&amp;TEXT(MONTH('Campaign Data'!$A673),"00")</f>
        <v>2026-02</v>
      </c>
    </row>
    <row r="674" spans="1:21" x14ac:dyDescent="0.25">
      <c r="A674">
        <v>46060</v>
      </c>
      <c r="B674" t="s">
        <v>149</v>
      </c>
      <c r="C674" t="s">
        <v>150</v>
      </c>
      <c r="D674" t="s">
        <v>65</v>
      </c>
      <c r="E674" t="s">
        <v>33</v>
      </c>
      <c r="F674" t="s">
        <v>43</v>
      </c>
      <c r="G674" t="s">
        <v>59</v>
      </c>
      <c r="H674" t="s">
        <v>27</v>
      </c>
      <c r="I674" t="s">
        <v>37</v>
      </c>
      <c r="J674" t="s">
        <v>29</v>
      </c>
      <c r="K674">
        <v>10104</v>
      </c>
      <c r="L674">
        <v>70</v>
      </c>
      <c r="M674">
        <v>46.47</v>
      </c>
      <c r="N674">
        <v>0</v>
      </c>
      <c r="O674">
        <v>0</v>
      </c>
      <c r="P674">
        <f t="shared" si="40"/>
        <v>6.9279493269992082E-3</v>
      </c>
      <c r="Q674">
        <f t="shared" si="40"/>
        <v>0.66385714285714281</v>
      </c>
      <c r="R674">
        <f t="shared" si="41"/>
        <v>0</v>
      </c>
      <c r="S674">
        <f t="shared" si="42"/>
        <v>0</v>
      </c>
      <c r="T674">
        <f t="shared" si="43"/>
        <v>0</v>
      </c>
      <c r="U674" t="str">
        <f>YEAR('Campaign Data'!$A674)&amp;"-"&amp;TEXT(MONTH('Campaign Data'!$A674),"00")</f>
        <v>2026-02</v>
      </c>
    </row>
    <row r="675" spans="1:21" x14ac:dyDescent="0.25">
      <c r="A675">
        <v>46060</v>
      </c>
      <c r="B675" t="s">
        <v>186</v>
      </c>
      <c r="C675" t="s">
        <v>187</v>
      </c>
      <c r="D675" t="s">
        <v>80</v>
      </c>
      <c r="E675" t="s">
        <v>33</v>
      </c>
      <c r="F675" t="s">
        <v>43</v>
      </c>
      <c r="G675" t="s">
        <v>102</v>
      </c>
      <c r="H675" t="s">
        <v>55</v>
      </c>
      <c r="I675" t="s">
        <v>28</v>
      </c>
      <c r="J675" t="s">
        <v>87</v>
      </c>
      <c r="K675">
        <v>7893</v>
      </c>
      <c r="L675">
        <v>98</v>
      </c>
      <c r="M675">
        <v>45.55</v>
      </c>
      <c r="N675">
        <v>1</v>
      </c>
      <c r="O675">
        <v>27.85</v>
      </c>
      <c r="P675">
        <f t="shared" si="40"/>
        <v>1.2416064867604206E-2</v>
      </c>
      <c r="Q675">
        <f t="shared" si="40"/>
        <v>0.46479591836734691</v>
      </c>
      <c r="R675">
        <f t="shared" si="41"/>
        <v>45.55</v>
      </c>
      <c r="S675">
        <f t="shared" si="42"/>
        <v>0.61141602634467629</v>
      </c>
      <c r="T675">
        <f t="shared" si="43"/>
        <v>1.020408163265306E-2</v>
      </c>
      <c r="U675" t="str">
        <f>YEAR('Campaign Data'!$A675)&amp;"-"&amp;TEXT(MONTH('Campaign Data'!$A675),"00")</f>
        <v>2026-02</v>
      </c>
    </row>
    <row r="676" spans="1:21" x14ac:dyDescent="0.25">
      <c r="A676">
        <v>46060</v>
      </c>
      <c r="B676" t="s">
        <v>95</v>
      </c>
      <c r="C676" t="s">
        <v>96</v>
      </c>
      <c r="D676" t="s">
        <v>23</v>
      </c>
      <c r="E676" t="s">
        <v>49</v>
      </c>
      <c r="F676" t="s">
        <v>43</v>
      </c>
      <c r="G676" t="s">
        <v>97</v>
      </c>
      <c r="H676" t="s">
        <v>60</v>
      </c>
      <c r="I676" t="s">
        <v>37</v>
      </c>
      <c r="J676" t="s">
        <v>29</v>
      </c>
      <c r="K676">
        <v>2589</v>
      </c>
      <c r="L676">
        <v>116</v>
      </c>
      <c r="M676">
        <v>238.88</v>
      </c>
      <c r="N676">
        <v>2</v>
      </c>
      <c r="O676">
        <v>31.53</v>
      </c>
      <c r="P676">
        <f t="shared" si="40"/>
        <v>4.4804943993820005E-2</v>
      </c>
      <c r="Q676">
        <f t="shared" si="40"/>
        <v>2.059310344827586</v>
      </c>
      <c r="R676">
        <f t="shared" si="41"/>
        <v>119.44</v>
      </c>
      <c r="S676">
        <f t="shared" si="42"/>
        <v>0.13199095780308107</v>
      </c>
      <c r="T676">
        <f t="shared" si="43"/>
        <v>1.7241379310344827E-2</v>
      </c>
      <c r="U676" t="str">
        <f>YEAR('Campaign Data'!$A676)&amp;"-"&amp;TEXT(MONTH('Campaign Data'!$A676),"00")</f>
        <v>2026-02</v>
      </c>
    </row>
    <row r="677" spans="1:21" x14ac:dyDescent="0.25">
      <c r="A677">
        <v>46060</v>
      </c>
      <c r="B677" t="s">
        <v>151</v>
      </c>
      <c r="C677" t="s">
        <v>152</v>
      </c>
      <c r="D677" t="s">
        <v>48</v>
      </c>
      <c r="E677" t="s">
        <v>24</v>
      </c>
      <c r="F677" t="s">
        <v>81</v>
      </c>
      <c r="G677" t="s">
        <v>129</v>
      </c>
      <c r="H677" t="s">
        <v>27</v>
      </c>
      <c r="I677" t="s">
        <v>37</v>
      </c>
      <c r="J677" t="s">
        <v>45</v>
      </c>
      <c r="K677">
        <v>2803</v>
      </c>
      <c r="L677">
        <v>35</v>
      </c>
      <c r="M677">
        <v>41.08</v>
      </c>
      <c r="N677">
        <v>0</v>
      </c>
      <c r="O677">
        <v>0</v>
      </c>
      <c r="P677">
        <f t="shared" si="40"/>
        <v>1.2486621476988941E-2</v>
      </c>
      <c r="Q677">
        <f t="shared" si="40"/>
        <v>1.1737142857142857</v>
      </c>
      <c r="R677">
        <f t="shared" si="41"/>
        <v>0</v>
      </c>
      <c r="S677">
        <f t="shared" si="42"/>
        <v>0</v>
      </c>
      <c r="T677">
        <f t="shared" si="43"/>
        <v>0</v>
      </c>
      <c r="U677" t="str">
        <f>YEAR('Campaign Data'!$A677)&amp;"-"&amp;TEXT(MONTH('Campaign Data'!$A677),"00")</f>
        <v>2026-02</v>
      </c>
    </row>
    <row r="678" spans="1:21" x14ac:dyDescent="0.25">
      <c r="A678">
        <v>46060</v>
      </c>
      <c r="B678" t="s">
        <v>39</v>
      </c>
      <c r="C678" t="s">
        <v>40</v>
      </c>
      <c r="D678" t="s">
        <v>41</v>
      </c>
      <c r="E678" t="s">
        <v>42</v>
      </c>
      <c r="F678" t="s">
        <v>43</v>
      </c>
      <c r="G678" t="s">
        <v>44</v>
      </c>
      <c r="H678" t="s">
        <v>27</v>
      </c>
      <c r="I678" t="s">
        <v>37</v>
      </c>
      <c r="J678" t="s">
        <v>29</v>
      </c>
      <c r="K678">
        <v>3553</v>
      </c>
      <c r="L678">
        <v>21</v>
      </c>
      <c r="M678">
        <v>155.68</v>
      </c>
      <c r="N678">
        <v>1</v>
      </c>
      <c r="O678">
        <v>38.71</v>
      </c>
      <c r="P678">
        <f t="shared" si="40"/>
        <v>5.9104981705600905E-3</v>
      </c>
      <c r="Q678">
        <f t="shared" si="40"/>
        <v>7.413333333333334</v>
      </c>
      <c r="R678">
        <f t="shared" si="41"/>
        <v>155.68</v>
      </c>
      <c r="S678">
        <f t="shared" si="42"/>
        <v>0.24865107913669066</v>
      </c>
      <c r="T678">
        <f t="shared" si="43"/>
        <v>4.7619047619047616E-2</v>
      </c>
      <c r="U678" t="str">
        <f>YEAR('Campaign Data'!$A678)&amp;"-"&amp;TEXT(MONTH('Campaign Data'!$A678),"00")</f>
        <v>2026-02</v>
      </c>
    </row>
    <row r="679" spans="1:21" x14ac:dyDescent="0.25">
      <c r="A679">
        <v>46060</v>
      </c>
      <c r="B679" t="s">
        <v>46</v>
      </c>
      <c r="C679" t="s">
        <v>47</v>
      </c>
      <c r="D679" t="s">
        <v>48</v>
      </c>
      <c r="E679" t="s">
        <v>49</v>
      </c>
      <c r="F679" t="s">
        <v>43</v>
      </c>
      <c r="G679" t="s">
        <v>50</v>
      </c>
      <c r="H679" t="s">
        <v>51</v>
      </c>
      <c r="I679" t="s">
        <v>28</v>
      </c>
      <c r="J679" t="s">
        <v>87</v>
      </c>
      <c r="K679">
        <v>9386</v>
      </c>
      <c r="L679">
        <v>303</v>
      </c>
      <c r="M679">
        <v>642.88</v>
      </c>
      <c r="N679">
        <v>8</v>
      </c>
      <c r="O679">
        <v>101.41</v>
      </c>
      <c r="P679">
        <f t="shared" si="40"/>
        <v>3.2282122309823143E-2</v>
      </c>
      <c r="Q679">
        <f t="shared" si="40"/>
        <v>2.1217161716171615</v>
      </c>
      <c r="R679">
        <f t="shared" si="41"/>
        <v>80.36</v>
      </c>
      <c r="S679">
        <f t="shared" si="42"/>
        <v>0.15774328023892484</v>
      </c>
      <c r="T679">
        <f t="shared" si="43"/>
        <v>2.6402640264026403E-2</v>
      </c>
      <c r="U679" t="str">
        <f>YEAR('Campaign Data'!$A679)&amp;"-"&amp;TEXT(MONTH('Campaign Data'!$A679),"00")</f>
        <v>2026-02</v>
      </c>
    </row>
    <row r="680" spans="1:21" x14ac:dyDescent="0.25">
      <c r="A680">
        <v>46060</v>
      </c>
      <c r="B680" t="s">
        <v>98</v>
      </c>
      <c r="C680" t="s">
        <v>99</v>
      </c>
      <c r="D680" t="s">
        <v>69</v>
      </c>
      <c r="E680" t="s">
        <v>24</v>
      </c>
      <c r="F680" t="s">
        <v>75</v>
      </c>
      <c r="G680" t="s">
        <v>66</v>
      </c>
      <c r="H680" t="s">
        <v>90</v>
      </c>
      <c r="I680" t="s">
        <v>37</v>
      </c>
      <c r="J680" t="s">
        <v>29</v>
      </c>
      <c r="K680">
        <v>7920</v>
      </c>
      <c r="L680">
        <v>58</v>
      </c>
      <c r="M680">
        <v>18.8</v>
      </c>
      <c r="N680">
        <v>3</v>
      </c>
      <c r="O680">
        <v>15</v>
      </c>
      <c r="P680">
        <f t="shared" si="40"/>
        <v>7.3232323232323236E-3</v>
      </c>
      <c r="Q680">
        <f t="shared" si="40"/>
        <v>0.3241379310344828</v>
      </c>
      <c r="R680">
        <f t="shared" si="41"/>
        <v>6.2666666666666666</v>
      </c>
      <c r="S680">
        <f t="shared" si="42"/>
        <v>0.7978723404255319</v>
      </c>
      <c r="T680">
        <f t="shared" si="43"/>
        <v>5.1724137931034482E-2</v>
      </c>
      <c r="U680" t="str">
        <f>YEAR('Campaign Data'!$A680)&amp;"-"&amp;TEXT(MONTH('Campaign Data'!$A680),"00")</f>
        <v>2026-02</v>
      </c>
    </row>
    <row r="681" spans="1:21" x14ac:dyDescent="0.25">
      <c r="A681">
        <v>46060</v>
      </c>
      <c r="B681" t="s">
        <v>103</v>
      </c>
      <c r="C681" t="s">
        <v>104</v>
      </c>
      <c r="D681" t="s">
        <v>65</v>
      </c>
      <c r="E681" t="s">
        <v>33</v>
      </c>
      <c r="F681" t="s">
        <v>43</v>
      </c>
      <c r="G681" t="s">
        <v>102</v>
      </c>
      <c r="H681" t="s">
        <v>71</v>
      </c>
      <c r="I681" t="s">
        <v>37</v>
      </c>
      <c r="J681" t="s">
        <v>38</v>
      </c>
      <c r="K681">
        <v>6591</v>
      </c>
      <c r="L681">
        <v>64</v>
      </c>
      <c r="M681">
        <v>25.46</v>
      </c>
      <c r="N681">
        <v>0</v>
      </c>
      <c r="O681">
        <v>0</v>
      </c>
      <c r="P681">
        <f t="shared" si="40"/>
        <v>9.7102108936428459E-3</v>
      </c>
      <c r="Q681">
        <f t="shared" si="40"/>
        <v>0.39781250000000001</v>
      </c>
      <c r="R681">
        <f t="shared" si="41"/>
        <v>0</v>
      </c>
      <c r="S681">
        <f t="shared" si="42"/>
        <v>0</v>
      </c>
      <c r="T681">
        <f t="shared" si="43"/>
        <v>0</v>
      </c>
      <c r="U681" t="str">
        <f>YEAR('Campaign Data'!$A681)&amp;"-"&amp;TEXT(MONTH('Campaign Data'!$A681),"00")</f>
        <v>2026-02</v>
      </c>
    </row>
    <row r="682" spans="1:21" x14ac:dyDescent="0.25">
      <c r="A682">
        <v>46060</v>
      </c>
      <c r="B682" t="s">
        <v>130</v>
      </c>
      <c r="C682" t="s">
        <v>131</v>
      </c>
      <c r="D682" t="s">
        <v>48</v>
      </c>
      <c r="E682" t="s">
        <v>33</v>
      </c>
      <c r="F682" t="s">
        <v>34</v>
      </c>
      <c r="G682" t="s">
        <v>35</v>
      </c>
      <c r="H682" t="s">
        <v>51</v>
      </c>
      <c r="I682" t="s">
        <v>37</v>
      </c>
      <c r="J682" t="s">
        <v>38</v>
      </c>
      <c r="K682">
        <v>5324</v>
      </c>
      <c r="L682">
        <v>44</v>
      </c>
      <c r="M682">
        <v>32.6</v>
      </c>
      <c r="N682">
        <v>1</v>
      </c>
      <c r="O682">
        <v>92.11</v>
      </c>
      <c r="P682">
        <f t="shared" si="40"/>
        <v>8.2644628099173556E-3</v>
      </c>
      <c r="Q682">
        <f t="shared" si="40"/>
        <v>0.74090909090909096</v>
      </c>
      <c r="R682">
        <f t="shared" si="41"/>
        <v>32.6</v>
      </c>
      <c r="S682">
        <f t="shared" si="42"/>
        <v>2.8254601226993863</v>
      </c>
      <c r="T682">
        <f t="shared" si="43"/>
        <v>2.2727272727272728E-2</v>
      </c>
      <c r="U682" t="str">
        <f>YEAR('Campaign Data'!$A682)&amp;"-"&amp;TEXT(MONTH('Campaign Data'!$A682),"00")</f>
        <v>2026-02</v>
      </c>
    </row>
    <row r="683" spans="1:21" x14ac:dyDescent="0.25">
      <c r="A683">
        <v>46060</v>
      </c>
      <c r="B683" t="s">
        <v>171</v>
      </c>
      <c r="C683" t="s">
        <v>172</v>
      </c>
      <c r="D683" t="s">
        <v>23</v>
      </c>
      <c r="E683" t="s">
        <v>33</v>
      </c>
      <c r="F683" t="s">
        <v>75</v>
      </c>
      <c r="G683" t="s">
        <v>59</v>
      </c>
      <c r="H683" t="s">
        <v>36</v>
      </c>
      <c r="I683" t="s">
        <v>61</v>
      </c>
      <c r="J683" t="s">
        <v>87</v>
      </c>
      <c r="K683">
        <v>1701</v>
      </c>
      <c r="L683">
        <v>22</v>
      </c>
      <c r="M683">
        <v>18.23</v>
      </c>
      <c r="N683">
        <v>0</v>
      </c>
      <c r="O683">
        <v>0</v>
      </c>
      <c r="P683">
        <f t="shared" si="40"/>
        <v>1.2933568489124045E-2</v>
      </c>
      <c r="Q683">
        <f t="shared" si="40"/>
        <v>0.82863636363636362</v>
      </c>
      <c r="R683">
        <f t="shared" si="41"/>
        <v>0</v>
      </c>
      <c r="S683">
        <f t="shared" si="42"/>
        <v>0</v>
      </c>
      <c r="T683">
        <f t="shared" si="43"/>
        <v>0</v>
      </c>
      <c r="U683" t="str">
        <f>YEAR('Campaign Data'!$A683)&amp;"-"&amp;TEXT(MONTH('Campaign Data'!$A683),"00")</f>
        <v>2026-02</v>
      </c>
    </row>
    <row r="684" spans="1:21" x14ac:dyDescent="0.25">
      <c r="A684">
        <v>46060</v>
      </c>
      <c r="B684" t="s">
        <v>140</v>
      </c>
      <c r="C684" t="s">
        <v>40</v>
      </c>
      <c r="D684" t="s">
        <v>41</v>
      </c>
      <c r="E684" t="s">
        <v>42</v>
      </c>
      <c r="F684" t="s">
        <v>43</v>
      </c>
      <c r="G684" t="s">
        <v>44</v>
      </c>
      <c r="H684" t="s">
        <v>90</v>
      </c>
      <c r="I684" t="s">
        <v>28</v>
      </c>
      <c r="J684" t="s">
        <v>87</v>
      </c>
      <c r="K684">
        <v>7861</v>
      </c>
      <c r="L684">
        <v>71</v>
      </c>
      <c r="M684">
        <v>83.25</v>
      </c>
      <c r="N684">
        <v>3</v>
      </c>
      <c r="O684">
        <v>21.04</v>
      </c>
      <c r="P684">
        <f t="shared" si="40"/>
        <v>9.0319297799262184E-3</v>
      </c>
      <c r="Q684">
        <f t="shared" si="40"/>
        <v>1.1725352112676057</v>
      </c>
      <c r="R684">
        <f t="shared" si="41"/>
        <v>27.75</v>
      </c>
      <c r="S684">
        <f t="shared" si="42"/>
        <v>0.25273273273273272</v>
      </c>
      <c r="T684">
        <f t="shared" si="43"/>
        <v>4.2253521126760563E-2</v>
      </c>
      <c r="U684" t="str">
        <f>YEAR('Campaign Data'!$A684)&amp;"-"&amp;TEXT(MONTH('Campaign Data'!$A684),"00")</f>
        <v>2026-02</v>
      </c>
    </row>
    <row r="685" spans="1:21" x14ac:dyDescent="0.25">
      <c r="A685">
        <v>46060</v>
      </c>
      <c r="B685" t="s">
        <v>157</v>
      </c>
      <c r="C685" t="s">
        <v>158</v>
      </c>
      <c r="D685" t="s">
        <v>58</v>
      </c>
      <c r="E685" t="s">
        <v>49</v>
      </c>
      <c r="F685" t="s">
        <v>81</v>
      </c>
      <c r="G685" t="s">
        <v>50</v>
      </c>
      <c r="H685" t="s">
        <v>90</v>
      </c>
      <c r="I685" t="s">
        <v>37</v>
      </c>
      <c r="J685" t="s">
        <v>62</v>
      </c>
      <c r="K685">
        <v>19259</v>
      </c>
      <c r="L685">
        <v>1159</v>
      </c>
      <c r="M685">
        <v>649.26</v>
      </c>
      <c r="N685">
        <v>56</v>
      </c>
      <c r="O685">
        <v>358.62</v>
      </c>
      <c r="P685">
        <f t="shared" si="40"/>
        <v>6.0179656264603559E-2</v>
      </c>
      <c r="Q685">
        <f t="shared" si="40"/>
        <v>0.5601898188093184</v>
      </c>
      <c r="R685">
        <f t="shared" si="41"/>
        <v>11.593928571428572</v>
      </c>
      <c r="S685">
        <f t="shared" si="42"/>
        <v>0.55235190832640235</v>
      </c>
      <c r="T685">
        <f t="shared" si="43"/>
        <v>4.8317515099223468E-2</v>
      </c>
      <c r="U685" t="str">
        <f>YEAR('Campaign Data'!$A685)&amp;"-"&amp;TEXT(MONTH('Campaign Data'!$A685),"00")</f>
        <v>2026-02</v>
      </c>
    </row>
    <row r="686" spans="1:21" x14ac:dyDescent="0.25">
      <c r="A686">
        <v>46060</v>
      </c>
      <c r="B686" t="s">
        <v>112</v>
      </c>
      <c r="C686" t="s">
        <v>113</v>
      </c>
      <c r="D686" t="s">
        <v>32</v>
      </c>
      <c r="E686" t="s">
        <v>24</v>
      </c>
      <c r="F686" t="s">
        <v>75</v>
      </c>
      <c r="G686" t="s">
        <v>66</v>
      </c>
      <c r="H686" t="s">
        <v>27</v>
      </c>
      <c r="I686" t="s">
        <v>37</v>
      </c>
      <c r="J686" t="s">
        <v>87</v>
      </c>
      <c r="K686">
        <v>3931</v>
      </c>
      <c r="L686">
        <v>54</v>
      </c>
      <c r="M686">
        <v>51.51</v>
      </c>
      <c r="N686">
        <v>1</v>
      </c>
      <c r="O686">
        <v>77.78</v>
      </c>
      <c r="P686">
        <f t="shared" si="40"/>
        <v>1.3736962604935132E-2</v>
      </c>
      <c r="Q686">
        <f t="shared" si="40"/>
        <v>0.9538888888888889</v>
      </c>
      <c r="R686">
        <f t="shared" si="41"/>
        <v>51.51</v>
      </c>
      <c r="S686">
        <f t="shared" si="42"/>
        <v>1.5099980586293924</v>
      </c>
      <c r="T686">
        <f t="shared" si="43"/>
        <v>1.8518518518518517E-2</v>
      </c>
      <c r="U686" t="str">
        <f>YEAR('Campaign Data'!$A686)&amp;"-"&amp;TEXT(MONTH('Campaign Data'!$A686),"00")</f>
        <v>2026-02</v>
      </c>
    </row>
    <row r="687" spans="1:21" x14ac:dyDescent="0.25">
      <c r="A687">
        <v>46060</v>
      </c>
      <c r="B687" t="s">
        <v>114</v>
      </c>
      <c r="C687" t="s">
        <v>115</v>
      </c>
      <c r="D687" t="s">
        <v>69</v>
      </c>
      <c r="E687" t="s">
        <v>49</v>
      </c>
      <c r="F687" t="s">
        <v>25</v>
      </c>
      <c r="G687" t="s">
        <v>107</v>
      </c>
      <c r="H687" t="s">
        <v>27</v>
      </c>
      <c r="I687" t="s">
        <v>37</v>
      </c>
      <c r="J687" t="s">
        <v>29</v>
      </c>
      <c r="K687">
        <v>4778</v>
      </c>
      <c r="L687">
        <v>225</v>
      </c>
      <c r="M687">
        <v>639.1</v>
      </c>
      <c r="N687">
        <v>15</v>
      </c>
      <c r="O687">
        <v>3969.66</v>
      </c>
      <c r="P687">
        <f t="shared" si="40"/>
        <v>4.7090832984512346E-2</v>
      </c>
      <c r="Q687">
        <f t="shared" si="40"/>
        <v>2.8404444444444445</v>
      </c>
      <c r="R687">
        <f t="shared" si="41"/>
        <v>42.606666666666669</v>
      </c>
      <c r="S687">
        <f t="shared" si="42"/>
        <v>6.2113284306055387</v>
      </c>
      <c r="T687">
        <f t="shared" si="43"/>
        <v>6.6666666666666666E-2</v>
      </c>
      <c r="U687" t="str">
        <f>YEAR('Campaign Data'!$A687)&amp;"-"&amp;TEXT(MONTH('Campaign Data'!$A687),"00")</f>
        <v>2026-02</v>
      </c>
    </row>
    <row r="688" spans="1:21" x14ac:dyDescent="0.25">
      <c r="A688">
        <v>46060</v>
      </c>
      <c r="B688" t="s">
        <v>143</v>
      </c>
      <c r="C688" t="s">
        <v>144</v>
      </c>
      <c r="D688" t="s">
        <v>48</v>
      </c>
      <c r="E688" t="s">
        <v>42</v>
      </c>
      <c r="F688" t="s">
        <v>25</v>
      </c>
      <c r="G688" t="s">
        <v>84</v>
      </c>
      <c r="H688" t="s">
        <v>90</v>
      </c>
      <c r="I688" t="s">
        <v>37</v>
      </c>
      <c r="J688" t="s">
        <v>87</v>
      </c>
      <c r="K688">
        <v>5318</v>
      </c>
      <c r="L688">
        <v>28</v>
      </c>
      <c r="M688">
        <v>35.729999999999997</v>
      </c>
      <c r="N688">
        <v>0</v>
      </c>
      <c r="O688">
        <v>0</v>
      </c>
      <c r="P688">
        <f t="shared" si="40"/>
        <v>5.2651372696502444E-3</v>
      </c>
      <c r="Q688">
        <f t="shared" si="40"/>
        <v>1.2760714285714285</v>
      </c>
      <c r="R688">
        <f t="shared" si="41"/>
        <v>0</v>
      </c>
      <c r="S688">
        <f t="shared" si="42"/>
        <v>0</v>
      </c>
      <c r="T688">
        <f t="shared" si="43"/>
        <v>0</v>
      </c>
      <c r="U688" t="str">
        <f>YEAR('Campaign Data'!$A688)&amp;"-"&amp;TEXT(MONTH('Campaign Data'!$A688),"00")</f>
        <v>2026-02</v>
      </c>
    </row>
    <row r="689" spans="1:21" x14ac:dyDescent="0.25">
      <c r="A689">
        <v>46060</v>
      </c>
      <c r="B689" t="s">
        <v>67</v>
      </c>
      <c r="C689" t="s">
        <v>68</v>
      </c>
      <c r="D689" t="s">
        <v>69</v>
      </c>
      <c r="E689" t="s">
        <v>49</v>
      </c>
      <c r="F689" t="s">
        <v>34</v>
      </c>
      <c r="G689" t="s">
        <v>70</v>
      </c>
      <c r="H689" t="s">
        <v>36</v>
      </c>
      <c r="I689" t="s">
        <v>28</v>
      </c>
      <c r="J689" t="s">
        <v>45</v>
      </c>
      <c r="K689">
        <v>883</v>
      </c>
      <c r="L689">
        <v>38</v>
      </c>
      <c r="M689">
        <v>67.42</v>
      </c>
      <c r="N689">
        <v>3</v>
      </c>
      <c r="O689">
        <v>590.30999999999995</v>
      </c>
      <c r="P689">
        <f t="shared" si="40"/>
        <v>4.3035107587768968E-2</v>
      </c>
      <c r="Q689">
        <f t="shared" si="40"/>
        <v>1.7742105263157895</v>
      </c>
      <c r="R689">
        <f t="shared" si="41"/>
        <v>22.473333333333333</v>
      </c>
      <c r="S689">
        <f t="shared" si="42"/>
        <v>8.7557104716701257</v>
      </c>
      <c r="T689">
        <f t="shared" si="43"/>
        <v>7.8947368421052627E-2</v>
      </c>
      <c r="U689" t="str">
        <f>YEAR('Campaign Data'!$A689)&amp;"-"&amp;TEXT(MONTH('Campaign Data'!$A689),"00")</f>
        <v>2026-02</v>
      </c>
    </row>
    <row r="690" spans="1:21" x14ac:dyDescent="0.25">
      <c r="A690">
        <v>46060</v>
      </c>
      <c r="B690" t="s">
        <v>116</v>
      </c>
      <c r="C690" t="s">
        <v>117</v>
      </c>
      <c r="D690" t="s">
        <v>48</v>
      </c>
      <c r="E690" t="s">
        <v>24</v>
      </c>
      <c r="F690" t="s">
        <v>43</v>
      </c>
      <c r="G690" t="s">
        <v>26</v>
      </c>
      <c r="H690" t="s">
        <v>55</v>
      </c>
      <c r="I690" t="s">
        <v>37</v>
      </c>
      <c r="J690" t="s">
        <v>87</v>
      </c>
      <c r="K690">
        <v>9354</v>
      </c>
      <c r="L690">
        <v>92</v>
      </c>
      <c r="M690">
        <v>85.09</v>
      </c>
      <c r="N690">
        <v>7</v>
      </c>
      <c r="O690">
        <v>146.53</v>
      </c>
      <c r="P690">
        <f t="shared" si="40"/>
        <v>9.8353645499251654E-3</v>
      </c>
      <c r="Q690">
        <f t="shared" si="40"/>
        <v>0.92489130434782607</v>
      </c>
      <c r="R690">
        <f t="shared" si="41"/>
        <v>12.155714285714286</v>
      </c>
      <c r="S690">
        <f t="shared" si="42"/>
        <v>1.7220589963567987</v>
      </c>
      <c r="T690">
        <f t="shared" si="43"/>
        <v>7.6086956521739135E-2</v>
      </c>
      <c r="U690" t="str">
        <f>YEAR('Campaign Data'!$A690)&amp;"-"&amp;TEXT(MONTH('Campaign Data'!$A690),"00")</f>
        <v>2026-02</v>
      </c>
    </row>
    <row r="691" spans="1:21" x14ac:dyDescent="0.25">
      <c r="A691">
        <v>46060</v>
      </c>
      <c r="B691" t="s">
        <v>163</v>
      </c>
      <c r="C691" t="s">
        <v>164</v>
      </c>
      <c r="D691" t="s">
        <v>58</v>
      </c>
      <c r="E691" t="s">
        <v>42</v>
      </c>
      <c r="F691" t="s">
        <v>43</v>
      </c>
      <c r="G691" t="s">
        <v>44</v>
      </c>
      <c r="H691" t="s">
        <v>36</v>
      </c>
      <c r="I691" t="s">
        <v>37</v>
      </c>
      <c r="J691" t="s">
        <v>38</v>
      </c>
      <c r="K691">
        <v>6250</v>
      </c>
      <c r="L691">
        <v>31</v>
      </c>
      <c r="M691">
        <v>168.08</v>
      </c>
      <c r="N691">
        <v>2</v>
      </c>
      <c r="O691">
        <v>51.03</v>
      </c>
      <c r="P691">
        <f t="shared" si="40"/>
        <v>4.96E-3</v>
      </c>
      <c r="Q691">
        <f t="shared" si="40"/>
        <v>5.4219354838709686</v>
      </c>
      <c r="R691">
        <f t="shared" si="41"/>
        <v>84.04</v>
      </c>
      <c r="S691">
        <f t="shared" si="42"/>
        <v>0.30360542598762491</v>
      </c>
      <c r="T691">
        <f t="shared" si="43"/>
        <v>6.4516129032258063E-2</v>
      </c>
      <c r="U691" t="str">
        <f>YEAR('Campaign Data'!$A691)&amp;"-"&amp;TEXT(MONTH('Campaign Data'!$A691),"00")</f>
        <v>2026-02</v>
      </c>
    </row>
    <row r="692" spans="1:21" x14ac:dyDescent="0.25">
      <c r="A692">
        <v>46060</v>
      </c>
      <c r="B692" t="s">
        <v>145</v>
      </c>
      <c r="C692" t="s">
        <v>146</v>
      </c>
      <c r="D692" t="s">
        <v>41</v>
      </c>
      <c r="E692" t="s">
        <v>49</v>
      </c>
      <c r="F692" t="s">
        <v>75</v>
      </c>
      <c r="G692" t="s">
        <v>70</v>
      </c>
      <c r="H692" t="s">
        <v>27</v>
      </c>
      <c r="I692" t="s">
        <v>28</v>
      </c>
      <c r="J692" t="s">
        <v>38</v>
      </c>
      <c r="K692">
        <v>3767</v>
      </c>
      <c r="L692">
        <v>216</v>
      </c>
      <c r="M692">
        <v>403.28</v>
      </c>
      <c r="N692">
        <v>13</v>
      </c>
      <c r="O692">
        <v>996.6</v>
      </c>
      <c r="P692">
        <f t="shared" si="40"/>
        <v>5.7340058401911337E-2</v>
      </c>
      <c r="Q692">
        <f t="shared" si="40"/>
        <v>1.8670370370370368</v>
      </c>
      <c r="R692">
        <f t="shared" si="41"/>
        <v>31.021538461538459</v>
      </c>
      <c r="S692">
        <f t="shared" si="42"/>
        <v>2.4712358658996232</v>
      </c>
      <c r="T692">
        <f t="shared" si="43"/>
        <v>6.0185185185185182E-2</v>
      </c>
      <c r="U692" t="str">
        <f>YEAR('Campaign Data'!$A692)&amp;"-"&amp;TEXT(MONTH('Campaign Data'!$A692),"00")</f>
        <v>2026-02</v>
      </c>
    </row>
    <row r="693" spans="1:21" x14ac:dyDescent="0.25">
      <c r="A693">
        <v>46061</v>
      </c>
      <c r="B693" t="s">
        <v>167</v>
      </c>
      <c r="C693" t="s">
        <v>168</v>
      </c>
      <c r="D693" t="s">
        <v>58</v>
      </c>
      <c r="E693" t="s">
        <v>33</v>
      </c>
      <c r="F693" t="s">
        <v>75</v>
      </c>
      <c r="G693" t="s">
        <v>35</v>
      </c>
      <c r="H693" t="s">
        <v>90</v>
      </c>
      <c r="I693" t="s">
        <v>28</v>
      </c>
      <c r="J693" t="s">
        <v>45</v>
      </c>
      <c r="K693">
        <v>9265</v>
      </c>
      <c r="L693">
        <v>98</v>
      </c>
      <c r="M693">
        <v>16.28</v>
      </c>
      <c r="N693">
        <v>1</v>
      </c>
      <c r="O693">
        <v>8.36</v>
      </c>
      <c r="P693">
        <f t="shared" si="40"/>
        <v>1.0577441985968699E-2</v>
      </c>
      <c r="Q693">
        <f t="shared" si="40"/>
        <v>0.16612244897959186</v>
      </c>
      <c r="R693">
        <f t="shared" si="41"/>
        <v>16.28</v>
      </c>
      <c r="S693">
        <f t="shared" si="42"/>
        <v>0.51351351351351349</v>
      </c>
      <c r="T693">
        <f t="shared" si="43"/>
        <v>1.020408163265306E-2</v>
      </c>
      <c r="U693" t="str">
        <f>YEAR('Campaign Data'!$A693)&amp;"-"&amp;TEXT(MONTH('Campaign Data'!$A693),"00")</f>
        <v>2026-02</v>
      </c>
    </row>
    <row r="694" spans="1:21" x14ac:dyDescent="0.25">
      <c r="A694">
        <v>46061</v>
      </c>
      <c r="B694" t="s">
        <v>149</v>
      </c>
      <c r="C694" t="s">
        <v>150</v>
      </c>
      <c r="D694" t="s">
        <v>65</v>
      </c>
      <c r="E694" t="s">
        <v>33</v>
      </c>
      <c r="F694" t="s">
        <v>43</v>
      </c>
      <c r="G694" t="s">
        <v>59</v>
      </c>
      <c r="H694" t="s">
        <v>27</v>
      </c>
      <c r="I694" t="s">
        <v>28</v>
      </c>
      <c r="J694" t="s">
        <v>45</v>
      </c>
      <c r="K694">
        <v>21703</v>
      </c>
      <c r="L694">
        <v>103</v>
      </c>
      <c r="M694">
        <v>66.319999999999993</v>
      </c>
      <c r="N694">
        <v>2</v>
      </c>
      <c r="O694">
        <v>90.94</v>
      </c>
      <c r="P694">
        <f t="shared" si="40"/>
        <v>4.7458876652997284E-3</v>
      </c>
      <c r="Q694">
        <f t="shared" si="40"/>
        <v>0.64388349514563104</v>
      </c>
      <c r="R694">
        <f t="shared" si="41"/>
        <v>33.159999999999997</v>
      </c>
      <c r="S694">
        <f t="shared" si="42"/>
        <v>1.3712303980699638</v>
      </c>
      <c r="T694">
        <f t="shared" si="43"/>
        <v>1.9417475728155338E-2</v>
      </c>
      <c r="U694" t="str">
        <f>YEAR('Campaign Data'!$A694)&amp;"-"&amp;TEXT(MONTH('Campaign Data'!$A694),"00")</f>
        <v>2026-02</v>
      </c>
    </row>
    <row r="695" spans="1:21" x14ac:dyDescent="0.25">
      <c r="A695">
        <v>46061</v>
      </c>
      <c r="B695" t="s">
        <v>186</v>
      </c>
      <c r="C695" t="s">
        <v>187</v>
      </c>
      <c r="D695" t="s">
        <v>80</v>
      </c>
      <c r="E695" t="s">
        <v>33</v>
      </c>
      <c r="F695" t="s">
        <v>43</v>
      </c>
      <c r="G695" t="s">
        <v>102</v>
      </c>
      <c r="H695" t="s">
        <v>36</v>
      </c>
      <c r="I695" t="s">
        <v>37</v>
      </c>
      <c r="J695" t="s">
        <v>38</v>
      </c>
      <c r="K695">
        <v>2106</v>
      </c>
      <c r="L695">
        <v>17</v>
      </c>
      <c r="M695">
        <v>7.66</v>
      </c>
      <c r="N695">
        <v>0</v>
      </c>
      <c r="O695">
        <v>0</v>
      </c>
      <c r="P695">
        <f t="shared" si="40"/>
        <v>8.0721747388414061E-3</v>
      </c>
      <c r="Q695">
        <f t="shared" si="40"/>
        <v>0.45058823529411768</v>
      </c>
      <c r="R695">
        <f t="shared" si="41"/>
        <v>0</v>
      </c>
      <c r="S695">
        <f t="shared" si="42"/>
        <v>0</v>
      </c>
      <c r="T695">
        <f t="shared" si="43"/>
        <v>0</v>
      </c>
      <c r="U695" t="str">
        <f>YEAR('Campaign Data'!$A695)&amp;"-"&amp;TEXT(MONTH('Campaign Data'!$A695),"00")</f>
        <v>2026-02</v>
      </c>
    </row>
    <row r="696" spans="1:21" x14ac:dyDescent="0.25">
      <c r="A696">
        <v>46061</v>
      </c>
      <c r="B696" t="s">
        <v>186</v>
      </c>
      <c r="C696" t="s">
        <v>187</v>
      </c>
      <c r="D696" t="s">
        <v>80</v>
      </c>
      <c r="E696" t="s">
        <v>33</v>
      </c>
      <c r="F696" t="s">
        <v>43</v>
      </c>
      <c r="G696" t="s">
        <v>102</v>
      </c>
      <c r="H696" t="s">
        <v>27</v>
      </c>
      <c r="I696" t="s">
        <v>28</v>
      </c>
      <c r="J696" t="s">
        <v>29</v>
      </c>
      <c r="K696">
        <v>5090</v>
      </c>
      <c r="L696">
        <v>49</v>
      </c>
      <c r="M696">
        <v>51.36</v>
      </c>
      <c r="N696">
        <v>0</v>
      </c>
      <c r="O696">
        <v>0</v>
      </c>
      <c r="P696">
        <f t="shared" si="40"/>
        <v>9.6267190569744605E-3</v>
      </c>
      <c r="Q696">
        <f t="shared" si="40"/>
        <v>1.0481632653061224</v>
      </c>
      <c r="R696">
        <f t="shared" si="41"/>
        <v>0</v>
      </c>
      <c r="S696">
        <f t="shared" si="42"/>
        <v>0</v>
      </c>
      <c r="T696">
        <f t="shared" si="43"/>
        <v>0</v>
      </c>
      <c r="U696" t="str">
        <f>YEAR('Campaign Data'!$A696)&amp;"-"&amp;TEXT(MONTH('Campaign Data'!$A696),"00")</f>
        <v>2026-02</v>
      </c>
    </row>
    <row r="697" spans="1:21" x14ac:dyDescent="0.25">
      <c r="A697">
        <v>46061</v>
      </c>
      <c r="B697" t="s">
        <v>151</v>
      </c>
      <c r="C697" t="s">
        <v>152</v>
      </c>
      <c r="D697" t="s">
        <v>48</v>
      </c>
      <c r="E697" t="s">
        <v>24</v>
      </c>
      <c r="F697" t="s">
        <v>81</v>
      </c>
      <c r="G697" t="s">
        <v>129</v>
      </c>
      <c r="H697" t="s">
        <v>60</v>
      </c>
      <c r="I697" t="s">
        <v>37</v>
      </c>
      <c r="J697" t="s">
        <v>29</v>
      </c>
      <c r="K697">
        <v>6347</v>
      </c>
      <c r="L697">
        <v>98</v>
      </c>
      <c r="M697">
        <v>111.41</v>
      </c>
      <c r="N697">
        <v>2</v>
      </c>
      <c r="O697">
        <v>55.98</v>
      </c>
      <c r="P697">
        <f t="shared" si="40"/>
        <v>1.544036552702064E-2</v>
      </c>
      <c r="Q697">
        <f t="shared" si="40"/>
        <v>1.1368367346938775</v>
      </c>
      <c r="R697">
        <f t="shared" si="41"/>
        <v>55.704999999999998</v>
      </c>
      <c r="S697">
        <f t="shared" si="42"/>
        <v>0.50246836011130058</v>
      </c>
      <c r="T697">
        <f t="shared" si="43"/>
        <v>2.0408163265306121E-2</v>
      </c>
      <c r="U697" t="str">
        <f>YEAR('Campaign Data'!$A697)&amp;"-"&amp;TEXT(MONTH('Campaign Data'!$A697),"00")</f>
        <v>2026-02</v>
      </c>
    </row>
    <row r="698" spans="1:21" x14ac:dyDescent="0.25">
      <c r="A698">
        <v>46061</v>
      </c>
      <c r="B698" t="s">
        <v>39</v>
      </c>
      <c r="C698" t="s">
        <v>40</v>
      </c>
      <c r="D698" t="s">
        <v>41</v>
      </c>
      <c r="E698" t="s">
        <v>42</v>
      </c>
      <c r="F698" t="s">
        <v>43</v>
      </c>
      <c r="G698" t="s">
        <v>44</v>
      </c>
      <c r="H698" t="s">
        <v>90</v>
      </c>
      <c r="I698" t="s">
        <v>37</v>
      </c>
      <c r="J698" t="s">
        <v>29</v>
      </c>
      <c r="K698">
        <v>5751</v>
      </c>
      <c r="L698">
        <v>45</v>
      </c>
      <c r="M698">
        <v>54.07</v>
      </c>
      <c r="N698">
        <v>0</v>
      </c>
      <c r="O698">
        <v>0</v>
      </c>
      <c r="P698">
        <f t="shared" si="40"/>
        <v>7.8247261345852897E-3</v>
      </c>
      <c r="Q698">
        <f t="shared" si="40"/>
        <v>1.2015555555555555</v>
      </c>
      <c r="R698">
        <f t="shared" si="41"/>
        <v>0</v>
      </c>
      <c r="S698">
        <f t="shared" si="42"/>
        <v>0</v>
      </c>
      <c r="T698">
        <f t="shared" si="43"/>
        <v>0</v>
      </c>
      <c r="U698" t="str">
        <f>YEAR('Campaign Data'!$A698)&amp;"-"&amp;TEXT(MONTH('Campaign Data'!$A698),"00")</f>
        <v>2026-02</v>
      </c>
    </row>
    <row r="699" spans="1:21" x14ac:dyDescent="0.25">
      <c r="A699">
        <v>46061</v>
      </c>
      <c r="B699" t="s">
        <v>46</v>
      </c>
      <c r="C699" t="s">
        <v>47</v>
      </c>
      <c r="D699" t="s">
        <v>48</v>
      </c>
      <c r="E699" t="s">
        <v>49</v>
      </c>
      <c r="F699" t="s">
        <v>43</v>
      </c>
      <c r="G699" t="s">
        <v>50</v>
      </c>
      <c r="H699" t="s">
        <v>27</v>
      </c>
      <c r="I699" t="s">
        <v>28</v>
      </c>
      <c r="J699" t="s">
        <v>45</v>
      </c>
      <c r="K699">
        <v>6271</v>
      </c>
      <c r="L699">
        <v>291</v>
      </c>
      <c r="M699">
        <v>567.5</v>
      </c>
      <c r="N699">
        <v>11</v>
      </c>
      <c r="O699">
        <v>450.35</v>
      </c>
      <c r="P699">
        <f t="shared" si="40"/>
        <v>4.6404082283527347E-2</v>
      </c>
      <c r="Q699">
        <f t="shared" si="40"/>
        <v>1.9501718213058419</v>
      </c>
      <c r="R699">
        <f t="shared" si="41"/>
        <v>51.590909090909093</v>
      </c>
      <c r="S699">
        <f t="shared" si="42"/>
        <v>0.79356828193832607</v>
      </c>
      <c r="T699">
        <f t="shared" si="43"/>
        <v>3.7800687285223365E-2</v>
      </c>
      <c r="U699" t="str">
        <f>YEAR('Campaign Data'!$A699)&amp;"-"&amp;TEXT(MONTH('Campaign Data'!$A699),"00")</f>
        <v>2026-02</v>
      </c>
    </row>
    <row r="700" spans="1:21" x14ac:dyDescent="0.25">
      <c r="A700">
        <v>46061</v>
      </c>
      <c r="B700" t="s">
        <v>127</v>
      </c>
      <c r="C700" t="s">
        <v>128</v>
      </c>
      <c r="D700" t="s">
        <v>58</v>
      </c>
      <c r="E700" t="s">
        <v>24</v>
      </c>
      <c r="F700" t="s">
        <v>81</v>
      </c>
      <c r="G700" t="s">
        <v>129</v>
      </c>
      <c r="H700" t="s">
        <v>90</v>
      </c>
      <c r="I700" t="s">
        <v>37</v>
      </c>
      <c r="J700" t="s">
        <v>38</v>
      </c>
      <c r="K700">
        <v>3652</v>
      </c>
      <c r="L700">
        <v>37</v>
      </c>
      <c r="M700">
        <v>7.91</v>
      </c>
      <c r="N700">
        <v>2</v>
      </c>
      <c r="O700">
        <v>12.31</v>
      </c>
      <c r="P700">
        <f t="shared" si="40"/>
        <v>1.0131434830230011E-2</v>
      </c>
      <c r="Q700">
        <f t="shared" si="40"/>
        <v>0.21378378378378379</v>
      </c>
      <c r="R700">
        <f t="shared" si="41"/>
        <v>3.9550000000000001</v>
      </c>
      <c r="S700">
        <f t="shared" si="42"/>
        <v>1.5562579013906448</v>
      </c>
      <c r="T700">
        <f t="shared" si="43"/>
        <v>5.4054054054054057E-2</v>
      </c>
      <c r="U700" t="str">
        <f>YEAR('Campaign Data'!$A700)&amp;"-"&amp;TEXT(MONTH('Campaign Data'!$A700),"00")</f>
        <v>2026-02</v>
      </c>
    </row>
    <row r="701" spans="1:21" x14ac:dyDescent="0.25">
      <c r="A701">
        <v>46061</v>
      </c>
      <c r="B701" t="s">
        <v>177</v>
      </c>
      <c r="C701" t="s">
        <v>178</v>
      </c>
      <c r="D701" t="s">
        <v>41</v>
      </c>
      <c r="E701" t="s">
        <v>49</v>
      </c>
      <c r="F701" t="s">
        <v>34</v>
      </c>
      <c r="G701" t="s">
        <v>107</v>
      </c>
      <c r="H701" t="s">
        <v>27</v>
      </c>
      <c r="I701" t="s">
        <v>37</v>
      </c>
      <c r="J701" t="s">
        <v>62</v>
      </c>
      <c r="K701">
        <v>6926</v>
      </c>
      <c r="L701">
        <v>440</v>
      </c>
      <c r="M701">
        <v>1046.9000000000001</v>
      </c>
      <c r="N701">
        <v>25</v>
      </c>
      <c r="O701">
        <v>7639.72</v>
      </c>
      <c r="P701">
        <f t="shared" si="40"/>
        <v>6.3528732313023389E-2</v>
      </c>
      <c r="Q701">
        <f t="shared" si="40"/>
        <v>2.3793181818181819</v>
      </c>
      <c r="R701">
        <f t="shared" si="41"/>
        <v>41.876000000000005</v>
      </c>
      <c r="S701">
        <f t="shared" si="42"/>
        <v>7.2974687171649633</v>
      </c>
      <c r="T701">
        <f t="shared" si="43"/>
        <v>5.6818181818181816E-2</v>
      </c>
      <c r="U701" t="str">
        <f>YEAR('Campaign Data'!$A701)&amp;"-"&amp;TEXT(MONTH('Campaign Data'!$A701),"00")</f>
        <v>2026-02</v>
      </c>
    </row>
    <row r="702" spans="1:21" x14ac:dyDescent="0.25">
      <c r="A702">
        <v>46061</v>
      </c>
      <c r="B702" t="s">
        <v>140</v>
      </c>
      <c r="C702" t="s">
        <v>40</v>
      </c>
      <c r="D702" t="s">
        <v>41</v>
      </c>
      <c r="E702" t="s">
        <v>42</v>
      </c>
      <c r="F702" t="s">
        <v>43</v>
      </c>
      <c r="G702" t="s">
        <v>44</v>
      </c>
      <c r="H702" t="s">
        <v>36</v>
      </c>
      <c r="I702" t="s">
        <v>37</v>
      </c>
      <c r="J702" t="s">
        <v>87</v>
      </c>
      <c r="K702">
        <v>7725</v>
      </c>
      <c r="L702">
        <v>43</v>
      </c>
      <c r="M702">
        <v>290.68</v>
      </c>
      <c r="N702">
        <v>1</v>
      </c>
      <c r="O702">
        <v>32.35</v>
      </c>
      <c r="P702">
        <f t="shared" si="40"/>
        <v>5.5663430420711977E-3</v>
      </c>
      <c r="Q702">
        <f t="shared" si="40"/>
        <v>6.76</v>
      </c>
      <c r="R702">
        <f t="shared" si="41"/>
        <v>290.68</v>
      </c>
      <c r="S702">
        <f t="shared" si="42"/>
        <v>0.11129076647860191</v>
      </c>
      <c r="T702">
        <f t="shared" si="43"/>
        <v>2.3255813953488372E-2</v>
      </c>
      <c r="U702" t="str">
        <f>YEAR('Campaign Data'!$A702)&amp;"-"&amp;TEXT(MONTH('Campaign Data'!$A702),"00")</f>
        <v>2026-02</v>
      </c>
    </row>
    <row r="703" spans="1:21" x14ac:dyDescent="0.25">
      <c r="A703">
        <v>46061</v>
      </c>
      <c r="B703" t="s">
        <v>157</v>
      </c>
      <c r="C703" t="s">
        <v>158</v>
      </c>
      <c r="D703" t="s">
        <v>58</v>
      </c>
      <c r="E703" t="s">
        <v>49</v>
      </c>
      <c r="F703" t="s">
        <v>81</v>
      </c>
      <c r="G703" t="s">
        <v>50</v>
      </c>
      <c r="H703" t="s">
        <v>51</v>
      </c>
      <c r="I703" t="s">
        <v>28</v>
      </c>
      <c r="J703" t="s">
        <v>38</v>
      </c>
      <c r="K703">
        <v>8131</v>
      </c>
      <c r="L703">
        <v>299</v>
      </c>
      <c r="M703">
        <v>524.69000000000005</v>
      </c>
      <c r="N703">
        <v>11</v>
      </c>
      <c r="O703">
        <v>198.66</v>
      </c>
      <c r="P703">
        <f t="shared" si="40"/>
        <v>3.6772844668552455E-2</v>
      </c>
      <c r="Q703">
        <f t="shared" si="40"/>
        <v>1.7548160535117059</v>
      </c>
      <c r="R703">
        <f t="shared" si="41"/>
        <v>47.699090909090913</v>
      </c>
      <c r="S703">
        <f t="shared" si="42"/>
        <v>0.37862356820217646</v>
      </c>
      <c r="T703">
        <f t="shared" si="43"/>
        <v>3.678929765886288E-2</v>
      </c>
      <c r="U703" t="str">
        <f>YEAR('Campaign Data'!$A703)&amp;"-"&amp;TEXT(MONTH('Campaign Data'!$A703),"00")</f>
        <v>2026-02</v>
      </c>
    </row>
    <row r="704" spans="1:21" x14ac:dyDescent="0.25">
      <c r="A704">
        <v>46061</v>
      </c>
      <c r="B704" t="s">
        <v>67</v>
      </c>
      <c r="C704" t="s">
        <v>68</v>
      </c>
      <c r="D704" t="s">
        <v>69</v>
      </c>
      <c r="E704" t="s">
        <v>49</v>
      </c>
      <c r="F704" t="s">
        <v>34</v>
      </c>
      <c r="G704" t="s">
        <v>70</v>
      </c>
      <c r="H704" t="s">
        <v>90</v>
      </c>
      <c r="I704" t="s">
        <v>37</v>
      </c>
      <c r="J704" t="s">
        <v>87</v>
      </c>
      <c r="K704">
        <v>1765</v>
      </c>
      <c r="L704">
        <v>45</v>
      </c>
      <c r="M704">
        <v>20.010000000000002</v>
      </c>
      <c r="N704">
        <v>2</v>
      </c>
      <c r="O704">
        <v>73.59</v>
      </c>
      <c r="P704">
        <f t="shared" si="40"/>
        <v>2.5495750708215296E-2</v>
      </c>
      <c r="Q704">
        <f t="shared" si="40"/>
        <v>0.44466666666666671</v>
      </c>
      <c r="R704">
        <f t="shared" si="41"/>
        <v>10.005000000000001</v>
      </c>
      <c r="S704">
        <f t="shared" si="42"/>
        <v>3.6776611694152921</v>
      </c>
      <c r="T704">
        <f t="shared" si="43"/>
        <v>4.4444444444444446E-2</v>
      </c>
      <c r="U704" t="str">
        <f>YEAR('Campaign Data'!$A704)&amp;"-"&amp;TEXT(MONTH('Campaign Data'!$A704),"00")</f>
        <v>2026-02</v>
      </c>
    </row>
    <row r="705" spans="1:21" x14ac:dyDescent="0.25">
      <c r="A705">
        <v>46061</v>
      </c>
      <c r="B705" t="s">
        <v>116</v>
      </c>
      <c r="C705" t="s">
        <v>117</v>
      </c>
      <c r="D705" t="s">
        <v>48</v>
      </c>
      <c r="E705" t="s">
        <v>24</v>
      </c>
      <c r="F705" t="s">
        <v>43</v>
      </c>
      <c r="G705" t="s">
        <v>26</v>
      </c>
      <c r="H705" t="s">
        <v>27</v>
      </c>
      <c r="I705" t="s">
        <v>37</v>
      </c>
      <c r="J705" t="s">
        <v>38</v>
      </c>
      <c r="K705">
        <v>4251</v>
      </c>
      <c r="L705">
        <v>64</v>
      </c>
      <c r="M705">
        <v>56.14</v>
      </c>
      <c r="N705">
        <v>1</v>
      </c>
      <c r="O705">
        <v>39.29</v>
      </c>
      <c r="P705">
        <f t="shared" si="40"/>
        <v>1.5055281110326982E-2</v>
      </c>
      <c r="Q705">
        <f t="shared" si="40"/>
        <v>0.87718750000000001</v>
      </c>
      <c r="R705">
        <f t="shared" si="41"/>
        <v>56.14</v>
      </c>
      <c r="S705">
        <f t="shared" si="42"/>
        <v>0.69985749910936945</v>
      </c>
      <c r="T705">
        <f t="shared" si="43"/>
        <v>1.5625E-2</v>
      </c>
      <c r="U705" t="str">
        <f>YEAR('Campaign Data'!$A705)&amp;"-"&amp;TEXT(MONTH('Campaign Data'!$A705),"00")</f>
        <v>2026-02</v>
      </c>
    </row>
    <row r="706" spans="1:21" x14ac:dyDescent="0.25">
      <c r="A706">
        <v>46061</v>
      </c>
      <c r="B706" t="s">
        <v>76</v>
      </c>
      <c r="C706" t="s">
        <v>77</v>
      </c>
      <c r="D706" t="s">
        <v>65</v>
      </c>
      <c r="E706" t="s">
        <v>42</v>
      </c>
      <c r="F706" t="s">
        <v>43</v>
      </c>
      <c r="G706" t="s">
        <v>44</v>
      </c>
      <c r="H706" t="s">
        <v>90</v>
      </c>
      <c r="I706" t="s">
        <v>37</v>
      </c>
      <c r="J706" t="s">
        <v>62</v>
      </c>
      <c r="K706">
        <v>4388</v>
      </c>
      <c r="L706">
        <v>28</v>
      </c>
      <c r="M706">
        <v>43.47</v>
      </c>
      <c r="N706">
        <v>2</v>
      </c>
      <c r="O706">
        <v>11.14</v>
      </c>
      <c r="P706">
        <f t="shared" ref="P706:Q769" si="44">IF(K706=0,0,L706/K706)</f>
        <v>6.3810391978122152E-3</v>
      </c>
      <c r="Q706">
        <f t="shared" si="44"/>
        <v>1.5525</v>
      </c>
      <c r="R706">
        <f t="shared" ref="R706:R769" si="45">IF(N706=0,0,M706/N706)</f>
        <v>21.734999999999999</v>
      </c>
      <c r="S706">
        <f t="shared" ref="S706:S769" si="46">IF(M706=0,0,O706/M706)</f>
        <v>0.25626869105129979</v>
      </c>
      <c r="T706">
        <f t="shared" ref="T706:T769" si="47">IF(L706=0,0,N706/L706)</f>
        <v>7.1428571428571425E-2</v>
      </c>
      <c r="U706" t="str">
        <f>YEAR('Campaign Data'!$A706)&amp;"-"&amp;TEXT(MONTH('Campaign Data'!$A706),"00")</f>
        <v>2026-02</v>
      </c>
    </row>
    <row r="707" spans="1:21" x14ac:dyDescent="0.25">
      <c r="A707">
        <v>46061</v>
      </c>
      <c r="B707" t="s">
        <v>122</v>
      </c>
      <c r="C707" t="s">
        <v>123</v>
      </c>
      <c r="D707" t="s">
        <v>41</v>
      </c>
      <c r="E707" t="s">
        <v>33</v>
      </c>
      <c r="F707" t="s">
        <v>75</v>
      </c>
      <c r="G707" t="s">
        <v>35</v>
      </c>
      <c r="H707" t="s">
        <v>36</v>
      </c>
      <c r="I707" t="s">
        <v>37</v>
      </c>
      <c r="J707" t="s">
        <v>29</v>
      </c>
      <c r="K707">
        <v>5936</v>
      </c>
      <c r="L707">
        <v>75</v>
      </c>
      <c r="M707">
        <v>48.77</v>
      </c>
      <c r="N707">
        <v>1</v>
      </c>
      <c r="O707">
        <v>32.56</v>
      </c>
      <c r="P707">
        <f t="shared" si="44"/>
        <v>1.2634770889487871E-2</v>
      </c>
      <c r="Q707">
        <f t="shared" si="44"/>
        <v>0.65026666666666666</v>
      </c>
      <c r="R707">
        <f t="shared" si="45"/>
        <v>48.77</v>
      </c>
      <c r="S707">
        <f t="shared" si="46"/>
        <v>0.66762353906089811</v>
      </c>
      <c r="T707">
        <f t="shared" si="47"/>
        <v>1.3333333333333334E-2</v>
      </c>
      <c r="U707" t="str">
        <f>YEAR('Campaign Data'!$A707)&amp;"-"&amp;TEXT(MONTH('Campaign Data'!$A707),"00")</f>
        <v>2026-02</v>
      </c>
    </row>
    <row r="708" spans="1:21" x14ac:dyDescent="0.25">
      <c r="A708">
        <v>46062</v>
      </c>
      <c r="B708" t="s">
        <v>85</v>
      </c>
      <c r="C708" t="s">
        <v>86</v>
      </c>
      <c r="D708" t="s">
        <v>80</v>
      </c>
      <c r="E708" t="s">
        <v>33</v>
      </c>
      <c r="F708" t="s">
        <v>43</v>
      </c>
      <c r="G708" t="s">
        <v>35</v>
      </c>
      <c r="H708" t="s">
        <v>51</v>
      </c>
      <c r="I708" t="s">
        <v>37</v>
      </c>
      <c r="J708" t="s">
        <v>87</v>
      </c>
      <c r="K708">
        <v>6666</v>
      </c>
      <c r="L708">
        <v>45</v>
      </c>
      <c r="M708">
        <v>22.14</v>
      </c>
      <c r="N708">
        <v>0</v>
      </c>
      <c r="O708">
        <v>0</v>
      </c>
      <c r="P708">
        <f t="shared" si="44"/>
        <v>6.7506750675067504E-3</v>
      </c>
      <c r="Q708">
        <f t="shared" si="44"/>
        <v>0.49199999999999999</v>
      </c>
      <c r="R708">
        <f t="shared" si="45"/>
        <v>0</v>
      </c>
      <c r="S708">
        <f t="shared" si="46"/>
        <v>0</v>
      </c>
      <c r="T708">
        <f t="shared" si="47"/>
        <v>0</v>
      </c>
      <c r="U708" t="str">
        <f>YEAR('Campaign Data'!$A708)&amp;"-"&amp;TEXT(MONTH('Campaign Data'!$A708),"00")</f>
        <v>2026-02</v>
      </c>
    </row>
    <row r="709" spans="1:21" x14ac:dyDescent="0.25">
      <c r="A709">
        <v>46062</v>
      </c>
      <c r="B709" t="s">
        <v>21</v>
      </c>
      <c r="C709" t="s">
        <v>124</v>
      </c>
      <c r="D709" t="s">
        <v>23</v>
      </c>
      <c r="E709" t="s">
        <v>24</v>
      </c>
      <c r="F709" t="s">
        <v>25</v>
      </c>
      <c r="G709" t="s">
        <v>26</v>
      </c>
      <c r="H709" t="s">
        <v>60</v>
      </c>
      <c r="I709" t="s">
        <v>28</v>
      </c>
      <c r="J709" t="s">
        <v>62</v>
      </c>
      <c r="K709">
        <v>3663</v>
      </c>
      <c r="L709">
        <v>51</v>
      </c>
      <c r="M709">
        <v>57.96</v>
      </c>
      <c r="N709">
        <v>3</v>
      </c>
      <c r="O709">
        <v>505.83</v>
      </c>
      <c r="P709">
        <f t="shared" si="44"/>
        <v>1.3923013923013924E-2</v>
      </c>
      <c r="Q709">
        <f t="shared" si="44"/>
        <v>1.1364705882352941</v>
      </c>
      <c r="R709">
        <f t="shared" si="45"/>
        <v>19.32</v>
      </c>
      <c r="S709">
        <f t="shared" si="46"/>
        <v>8.7272256728778466</v>
      </c>
      <c r="T709">
        <f t="shared" si="47"/>
        <v>5.8823529411764705E-2</v>
      </c>
      <c r="U709" t="str">
        <f>YEAR('Campaign Data'!$A709)&amp;"-"&amp;TEXT(MONTH('Campaign Data'!$A709),"00")</f>
        <v>2026-02</v>
      </c>
    </row>
    <row r="710" spans="1:21" x14ac:dyDescent="0.25">
      <c r="A710">
        <v>46062</v>
      </c>
      <c r="B710" t="s">
        <v>125</v>
      </c>
      <c r="C710" t="s">
        <v>126</v>
      </c>
      <c r="D710" t="s">
        <v>41</v>
      </c>
      <c r="E710" t="s">
        <v>42</v>
      </c>
      <c r="F710" t="s">
        <v>81</v>
      </c>
      <c r="G710" t="s">
        <v>44</v>
      </c>
      <c r="H710" t="s">
        <v>36</v>
      </c>
      <c r="I710" t="s">
        <v>28</v>
      </c>
      <c r="J710" t="s">
        <v>38</v>
      </c>
      <c r="K710">
        <v>23361</v>
      </c>
      <c r="L710">
        <v>45</v>
      </c>
      <c r="M710">
        <v>248.01</v>
      </c>
      <c r="N710">
        <v>0</v>
      </c>
      <c r="O710">
        <v>0</v>
      </c>
      <c r="P710">
        <f t="shared" si="44"/>
        <v>1.9262874020803903E-3</v>
      </c>
      <c r="Q710">
        <f t="shared" si="44"/>
        <v>5.511333333333333</v>
      </c>
      <c r="R710">
        <f t="shared" si="45"/>
        <v>0</v>
      </c>
      <c r="S710">
        <f t="shared" si="46"/>
        <v>0</v>
      </c>
      <c r="T710">
        <f t="shared" si="47"/>
        <v>0</v>
      </c>
      <c r="U710" t="str">
        <f>YEAR('Campaign Data'!$A710)&amp;"-"&amp;TEXT(MONTH('Campaign Data'!$A710),"00")</f>
        <v>2026-02</v>
      </c>
    </row>
    <row r="711" spans="1:21" x14ac:dyDescent="0.25">
      <c r="A711">
        <v>46062</v>
      </c>
      <c r="B711" t="s">
        <v>149</v>
      </c>
      <c r="C711" t="s">
        <v>150</v>
      </c>
      <c r="D711" t="s">
        <v>65</v>
      </c>
      <c r="E711" t="s">
        <v>33</v>
      </c>
      <c r="F711" t="s">
        <v>43</v>
      </c>
      <c r="G711" t="s">
        <v>59</v>
      </c>
      <c r="H711" t="s">
        <v>55</v>
      </c>
      <c r="I711" t="s">
        <v>28</v>
      </c>
      <c r="J711" t="s">
        <v>87</v>
      </c>
      <c r="K711">
        <v>7870</v>
      </c>
      <c r="L711">
        <v>41</v>
      </c>
      <c r="M711">
        <v>25.18</v>
      </c>
      <c r="N711">
        <v>0</v>
      </c>
      <c r="O711">
        <v>0</v>
      </c>
      <c r="P711">
        <f t="shared" si="44"/>
        <v>5.2096569250317665E-3</v>
      </c>
      <c r="Q711">
        <f t="shared" si="44"/>
        <v>0.61414634146341462</v>
      </c>
      <c r="R711">
        <f t="shared" si="45"/>
        <v>0</v>
      </c>
      <c r="S711">
        <f t="shared" si="46"/>
        <v>0</v>
      </c>
      <c r="T711">
        <f t="shared" si="47"/>
        <v>0</v>
      </c>
      <c r="U711" t="str">
        <f>YEAR('Campaign Data'!$A711)&amp;"-"&amp;TEXT(MONTH('Campaign Data'!$A711),"00")</f>
        <v>2026-02</v>
      </c>
    </row>
    <row r="712" spans="1:21" x14ac:dyDescent="0.25">
      <c r="A712">
        <v>46062</v>
      </c>
      <c r="B712" t="s">
        <v>151</v>
      </c>
      <c r="C712" t="s">
        <v>152</v>
      </c>
      <c r="D712" t="s">
        <v>48</v>
      </c>
      <c r="E712" t="s">
        <v>24</v>
      </c>
      <c r="F712" t="s">
        <v>81</v>
      </c>
      <c r="G712" t="s">
        <v>129</v>
      </c>
      <c r="H712" t="s">
        <v>36</v>
      </c>
      <c r="I712" t="s">
        <v>28</v>
      </c>
      <c r="J712" t="s">
        <v>62</v>
      </c>
      <c r="K712">
        <v>4342</v>
      </c>
      <c r="L712">
        <v>42</v>
      </c>
      <c r="M712">
        <v>44.03</v>
      </c>
      <c r="N712">
        <v>8</v>
      </c>
      <c r="O712">
        <v>171.71</v>
      </c>
      <c r="P712">
        <f t="shared" si="44"/>
        <v>9.6729617687701525E-3</v>
      </c>
      <c r="Q712">
        <f t="shared" si="44"/>
        <v>1.0483333333333333</v>
      </c>
      <c r="R712">
        <f t="shared" si="45"/>
        <v>5.5037500000000001</v>
      </c>
      <c r="S712">
        <f t="shared" si="46"/>
        <v>3.8998410174880762</v>
      </c>
      <c r="T712">
        <f t="shared" si="47"/>
        <v>0.19047619047619047</v>
      </c>
      <c r="U712" t="str">
        <f>YEAR('Campaign Data'!$A712)&amp;"-"&amp;TEXT(MONTH('Campaign Data'!$A712),"00")</f>
        <v>2026-02</v>
      </c>
    </row>
    <row r="713" spans="1:21" x14ac:dyDescent="0.25">
      <c r="A713">
        <v>46062</v>
      </c>
      <c r="B713" t="s">
        <v>98</v>
      </c>
      <c r="C713" t="s">
        <v>99</v>
      </c>
      <c r="D713" t="s">
        <v>69</v>
      </c>
      <c r="E713" t="s">
        <v>24</v>
      </c>
      <c r="F713" t="s">
        <v>75</v>
      </c>
      <c r="G713" t="s">
        <v>66</v>
      </c>
      <c r="H713" t="s">
        <v>55</v>
      </c>
      <c r="I713" t="s">
        <v>28</v>
      </c>
      <c r="J713" t="s">
        <v>38</v>
      </c>
      <c r="K713">
        <v>54220</v>
      </c>
      <c r="L713">
        <v>873</v>
      </c>
      <c r="M713">
        <v>570.47</v>
      </c>
      <c r="N713">
        <v>4</v>
      </c>
      <c r="O713">
        <v>147.78</v>
      </c>
      <c r="P713">
        <f t="shared" si="44"/>
        <v>1.6101069715971965E-2</v>
      </c>
      <c r="Q713">
        <f t="shared" si="44"/>
        <v>0.65345933562428415</v>
      </c>
      <c r="R713">
        <f t="shared" si="45"/>
        <v>142.61750000000001</v>
      </c>
      <c r="S713">
        <f t="shared" si="46"/>
        <v>0.25904955562956861</v>
      </c>
      <c r="T713">
        <f t="shared" si="47"/>
        <v>4.5819014891179842E-3</v>
      </c>
      <c r="U713" t="str">
        <f>YEAR('Campaign Data'!$A713)&amp;"-"&amp;TEXT(MONTH('Campaign Data'!$A713),"00")</f>
        <v>2026-02</v>
      </c>
    </row>
    <row r="714" spans="1:21" x14ac:dyDescent="0.25">
      <c r="A714">
        <v>46062</v>
      </c>
      <c r="B714" t="s">
        <v>98</v>
      </c>
      <c r="C714" t="s">
        <v>99</v>
      </c>
      <c r="D714" t="s">
        <v>69</v>
      </c>
      <c r="E714" t="s">
        <v>24</v>
      </c>
      <c r="F714" t="s">
        <v>75</v>
      </c>
      <c r="G714" t="s">
        <v>66</v>
      </c>
      <c r="H714" t="s">
        <v>27</v>
      </c>
      <c r="I714" t="s">
        <v>28</v>
      </c>
      <c r="J714" t="s">
        <v>29</v>
      </c>
      <c r="K714">
        <v>8759</v>
      </c>
      <c r="L714">
        <v>128</v>
      </c>
      <c r="M714">
        <v>152.78</v>
      </c>
      <c r="N714">
        <v>9</v>
      </c>
      <c r="O714">
        <v>364.1</v>
      </c>
      <c r="P714">
        <f t="shared" si="44"/>
        <v>1.4613540358488412E-2</v>
      </c>
      <c r="Q714">
        <f t="shared" si="44"/>
        <v>1.19359375</v>
      </c>
      <c r="R714">
        <f t="shared" si="45"/>
        <v>16.975555555555555</v>
      </c>
      <c r="S714">
        <f t="shared" si="46"/>
        <v>2.3831653357769342</v>
      </c>
      <c r="T714">
        <f t="shared" si="47"/>
        <v>7.03125E-2</v>
      </c>
      <c r="U714" t="str">
        <f>YEAR('Campaign Data'!$A714)&amp;"-"&amp;TEXT(MONTH('Campaign Data'!$A714),"00")</f>
        <v>2026-02</v>
      </c>
    </row>
    <row r="715" spans="1:21" x14ac:dyDescent="0.25">
      <c r="A715">
        <v>46062</v>
      </c>
      <c r="B715" t="s">
        <v>100</v>
      </c>
      <c r="C715" t="s">
        <v>101</v>
      </c>
      <c r="D715" t="s">
        <v>80</v>
      </c>
      <c r="E715" t="s">
        <v>33</v>
      </c>
      <c r="F715" t="s">
        <v>25</v>
      </c>
      <c r="G715" t="s">
        <v>102</v>
      </c>
      <c r="H715" t="s">
        <v>27</v>
      </c>
      <c r="I715" t="s">
        <v>28</v>
      </c>
      <c r="J715" t="s">
        <v>62</v>
      </c>
      <c r="K715">
        <v>10243</v>
      </c>
      <c r="L715">
        <v>71</v>
      </c>
      <c r="M715">
        <v>57.61</v>
      </c>
      <c r="N715">
        <v>0</v>
      </c>
      <c r="O715">
        <v>0</v>
      </c>
      <c r="P715">
        <f t="shared" si="44"/>
        <v>6.9315630186468809E-3</v>
      </c>
      <c r="Q715">
        <f t="shared" si="44"/>
        <v>0.81140845070422529</v>
      </c>
      <c r="R715">
        <f t="shared" si="45"/>
        <v>0</v>
      </c>
      <c r="S715">
        <f t="shared" si="46"/>
        <v>0</v>
      </c>
      <c r="T715">
        <f t="shared" si="47"/>
        <v>0</v>
      </c>
      <c r="U715" t="str">
        <f>YEAR('Campaign Data'!$A715)&amp;"-"&amp;TEXT(MONTH('Campaign Data'!$A715),"00")</f>
        <v>2026-02</v>
      </c>
    </row>
    <row r="716" spans="1:21" x14ac:dyDescent="0.25">
      <c r="A716">
        <v>46062</v>
      </c>
      <c r="B716" t="s">
        <v>169</v>
      </c>
      <c r="C716" t="s">
        <v>170</v>
      </c>
      <c r="D716" t="s">
        <v>58</v>
      </c>
      <c r="E716" t="s">
        <v>74</v>
      </c>
      <c r="F716" t="s">
        <v>75</v>
      </c>
      <c r="G716" t="s">
        <v>9</v>
      </c>
      <c r="H716" t="s">
        <v>71</v>
      </c>
      <c r="I716" t="s">
        <v>28</v>
      </c>
      <c r="J716" t="s">
        <v>87</v>
      </c>
      <c r="K716">
        <v>8891</v>
      </c>
      <c r="L716">
        <v>304</v>
      </c>
      <c r="M716">
        <v>335.39</v>
      </c>
      <c r="N716">
        <v>14</v>
      </c>
      <c r="O716">
        <v>556.52</v>
      </c>
      <c r="P716">
        <f t="shared" si="44"/>
        <v>3.4191879428635698E-2</v>
      </c>
      <c r="Q716">
        <f t="shared" si="44"/>
        <v>1.1032565789473683</v>
      </c>
      <c r="R716">
        <f t="shared" si="45"/>
        <v>23.956428571428571</v>
      </c>
      <c r="S716">
        <f t="shared" si="46"/>
        <v>1.6593219833626525</v>
      </c>
      <c r="T716">
        <f t="shared" si="47"/>
        <v>4.6052631578947366E-2</v>
      </c>
      <c r="U716" t="str">
        <f>YEAR('Campaign Data'!$A716)&amp;"-"&amp;TEXT(MONTH('Campaign Data'!$A716),"00")</f>
        <v>2026-02</v>
      </c>
    </row>
    <row r="717" spans="1:21" x14ac:dyDescent="0.25">
      <c r="A717">
        <v>46062</v>
      </c>
      <c r="B717" t="s">
        <v>103</v>
      </c>
      <c r="C717" t="s">
        <v>104</v>
      </c>
      <c r="D717" t="s">
        <v>65</v>
      </c>
      <c r="E717" t="s">
        <v>33</v>
      </c>
      <c r="F717" t="s">
        <v>43</v>
      </c>
      <c r="G717" t="s">
        <v>102</v>
      </c>
      <c r="H717" t="s">
        <v>27</v>
      </c>
      <c r="I717" t="s">
        <v>28</v>
      </c>
      <c r="J717" t="s">
        <v>29</v>
      </c>
      <c r="K717">
        <v>6373</v>
      </c>
      <c r="L717">
        <v>35</v>
      </c>
      <c r="M717">
        <v>29.21</v>
      </c>
      <c r="N717">
        <v>1</v>
      </c>
      <c r="O717">
        <v>17.04</v>
      </c>
      <c r="P717">
        <f t="shared" si="44"/>
        <v>5.4919190334222498E-3</v>
      </c>
      <c r="Q717">
        <f t="shared" si="44"/>
        <v>0.83457142857142863</v>
      </c>
      <c r="R717">
        <f t="shared" si="45"/>
        <v>29.21</v>
      </c>
      <c r="S717">
        <f t="shared" si="46"/>
        <v>0.5833618623758986</v>
      </c>
      <c r="T717">
        <f t="shared" si="47"/>
        <v>2.8571428571428571E-2</v>
      </c>
      <c r="U717" t="str">
        <f>YEAR('Campaign Data'!$A717)&amp;"-"&amp;TEXT(MONTH('Campaign Data'!$A717),"00")</f>
        <v>2026-02</v>
      </c>
    </row>
    <row r="718" spans="1:21" x14ac:dyDescent="0.25">
      <c r="A718">
        <v>46062</v>
      </c>
      <c r="B718" t="s">
        <v>105</v>
      </c>
      <c r="C718" t="s">
        <v>106</v>
      </c>
      <c r="D718" t="s">
        <v>58</v>
      </c>
      <c r="E718" t="s">
        <v>49</v>
      </c>
      <c r="F718" t="s">
        <v>81</v>
      </c>
      <c r="G718" t="s">
        <v>107</v>
      </c>
      <c r="H718" t="s">
        <v>60</v>
      </c>
      <c r="I718" t="s">
        <v>28</v>
      </c>
      <c r="J718" t="s">
        <v>62</v>
      </c>
      <c r="K718">
        <v>16494</v>
      </c>
      <c r="L718">
        <v>813</v>
      </c>
      <c r="M718">
        <v>1877.41</v>
      </c>
      <c r="N718">
        <v>56</v>
      </c>
      <c r="O718">
        <v>977.14</v>
      </c>
      <c r="P718">
        <f t="shared" si="44"/>
        <v>4.9290651145871223E-2</v>
      </c>
      <c r="Q718">
        <f t="shared" si="44"/>
        <v>2.309237392373924</v>
      </c>
      <c r="R718">
        <f t="shared" si="45"/>
        <v>33.525178571428576</v>
      </c>
      <c r="S718">
        <f t="shared" si="46"/>
        <v>0.5204723528691122</v>
      </c>
      <c r="T718">
        <f t="shared" si="47"/>
        <v>6.8880688806888066E-2</v>
      </c>
      <c r="U718" t="str">
        <f>YEAR('Campaign Data'!$A718)&amp;"-"&amp;TEXT(MONTH('Campaign Data'!$A718),"00")</f>
        <v>2026-02</v>
      </c>
    </row>
    <row r="719" spans="1:21" x14ac:dyDescent="0.25">
      <c r="A719">
        <v>46062</v>
      </c>
      <c r="B719" t="s">
        <v>105</v>
      </c>
      <c r="C719" t="s">
        <v>106</v>
      </c>
      <c r="D719" t="s">
        <v>58</v>
      </c>
      <c r="E719" t="s">
        <v>49</v>
      </c>
      <c r="F719" t="s">
        <v>81</v>
      </c>
      <c r="G719" t="s">
        <v>107</v>
      </c>
      <c r="H719" t="s">
        <v>51</v>
      </c>
      <c r="I719" t="s">
        <v>37</v>
      </c>
      <c r="J719" t="s">
        <v>29</v>
      </c>
      <c r="K719">
        <v>123589</v>
      </c>
      <c r="L719">
        <v>6408</v>
      </c>
      <c r="M719">
        <v>9840.17</v>
      </c>
      <c r="N719">
        <v>313</v>
      </c>
      <c r="O719">
        <v>9291.94</v>
      </c>
      <c r="P719">
        <f t="shared" si="44"/>
        <v>5.1849274611818201E-2</v>
      </c>
      <c r="Q719">
        <f t="shared" si="44"/>
        <v>1.5356070536828963</v>
      </c>
      <c r="R719">
        <f t="shared" si="45"/>
        <v>31.438242811501599</v>
      </c>
      <c r="S719">
        <f t="shared" si="46"/>
        <v>0.94428653163512422</v>
      </c>
      <c r="T719">
        <f t="shared" si="47"/>
        <v>4.8845193508114858E-2</v>
      </c>
      <c r="U719" t="str">
        <f>YEAR('Campaign Data'!$A719)&amp;"-"&amp;TEXT(MONTH('Campaign Data'!$A719),"00")</f>
        <v>2026-02</v>
      </c>
    </row>
    <row r="720" spans="1:21" x14ac:dyDescent="0.25">
      <c r="A720">
        <v>46062</v>
      </c>
      <c r="B720" t="s">
        <v>153</v>
      </c>
      <c r="C720" t="s">
        <v>154</v>
      </c>
      <c r="D720" t="s">
        <v>48</v>
      </c>
      <c r="E720" t="s">
        <v>33</v>
      </c>
      <c r="F720" t="s">
        <v>43</v>
      </c>
      <c r="G720" t="s">
        <v>59</v>
      </c>
      <c r="H720" t="s">
        <v>90</v>
      </c>
      <c r="I720" t="s">
        <v>37</v>
      </c>
      <c r="J720" t="s">
        <v>62</v>
      </c>
      <c r="K720">
        <v>6652</v>
      </c>
      <c r="L720">
        <v>59</v>
      </c>
      <c r="M720">
        <v>6.09</v>
      </c>
      <c r="N720">
        <v>3</v>
      </c>
      <c r="O720">
        <v>15</v>
      </c>
      <c r="P720">
        <f t="shared" si="44"/>
        <v>8.8695129284425741E-3</v>
      </c>
      <c r="Q720">
        <f t="shared" si="44"/>
        <v>0.10322033898305084</v>
      </c>
      <c r="R720">
        <f t="shared" si="45"/>
        <v>2.0299999999999998</v>
      </c>
      <c r="S720">
        <f t="shared" si="46"/>
        <v>2.4630541871921183</v>
      </c>
      <c r="T720">
        <f t="shared" si="47"/>
        <v>5.0847457627118647E-2</v>
      </c>
      <c r="U720" t="str">
        <f>YEAR('Campaign Data'!$A720)&amp;"-"&amp;TEXT(MONTH('Campaign Data'!$A720),"00")</f>
        <v>2026-02</v>
      </c>
    </row>
    <row r="721" spans="1:21" x14ac:dyDescent="0.25">
      <c r="A721">
        <v>46062</v>
      </c>
      <c r="B721" t="s">
        <v>179</v>
      </c>
      <c r="C721" t="s">
        <v>180</v>
      </c>
      <c r="D721" t="s">
        <v>58</v>
      </c>
      <c r="E721" t="s">
        <v>42</v>
      </c>
      <c r="F721" t="s">
        <v>25</v>
      </c>
      <c r="G721" t="s">
        <v>54</v>
      </c>
      <c r="H721" t="s">
        <v>27</v>
      </c>
      <c r="I721" t="s">
        <v>61</v>
      </c>
      <c r="J721" t="s">
        <v>62</v>
      </c>
      <c r="K721">
        <v>9664</v>
      </c>
      <c r="L721">
        <v>94</v>
      </c>
      <c r="M721">
        <v>807.68</v>
      </c>
      <c r="N721">
        <v>1</v>
      </c>
      <c r="O721">
        <v>160.56</v>
      </c>
      <c r="P721">
        <f t="shared" si="44"/>
        <v>9.7268211920529795E-3</v>
      </c>
      <c r="Q721">
        <f t="shared" si="44"/>
        <v>8.5923404255319138</v>
      </c>
      <c r="R721">
        <f t="shared" si="45"/>
        <v>807.68</v>
      </c>
      <c r="S721">
        <f t="shared" si="46"/>
        <v>0.19879160063391443</v>
      </c>
      <c r="T721">
        <f t="shared" si="47"/>
        <v>1.0638297872340425E-2</v>
      </c>
      <c r="U721" t="str">
        <f>YEAR('Campaign Data'!$A721)&amp;"-"&amp;TEXT(MONTH('Campaign Data'!$A721),"00")</f>
        <v>2026-02</v>
      </c>
    </row>
    <row r="722" spans="1:21" x14ac:dyDescent="0.25">
      <c r="A722">
        <v>46062</v>
      </c>
      <c r="B722" t="s">
        <v>155</v>
      </c>
      <c r="C722" t="s">
        <v>156</v>
      </c>
      <c r="D722" t="s">
        <v>32</v>
      </c>
      <c r="E722" t="s">
        <v>24</v>
      </c>
      <c r="F722" t="s">
        <v>34</v>
      </c>
      <c r="G722" t="s">
        <v>129</v>
      </c>
      <c r="H722" t="s">
        <v>27</v>
      </c>
      <c r="I722" t="s">
        <v>61</v>
      </c>
      <c r="J722" t="s">
        <v>38</v>
      </c>
      <c r="K722">
        <v>4765</v>
      </c>
      <c r="L722">
        <v>60</v>
      </c>
      <c r="M722">
        <v>101.86</v>
      </c>
      <c r="N722">
        <v>0</v>
      </c>
      <c r="O722">
        <v>0</v>
      </c>
      <c r="P722">
        <f t="shared" si="44"/>
        <v>1.2591815320041973E-2</v>
      </c>
      <c r="Q722">
        <f t="shared" si="44"/>
        <v>1.6976666666666667</v>
      </c>
      <c r="R722">
        <f t="shared" si="45"/>
        <v>0</v>
      </c>
      <c r="S722">
        <f t="shared" si="46"/>
        <v>0</v>
      </c>
      <c r="T722">
        <f t="shared" si="47"/>
        <v>0</v>
      </c>
      <c r="U722" t="str">
        <f>YEAR('Campaign Data'!$A722)&amp;"-"&amp;TEXT(MONTH('Campaign Data'!$A722),"00")</f>
        <v>2026-02</v>
      </c>
    </row>
    <row r="723" spans="1:21" x14ac:dyDescent="0.25">
      <c r="A723">
        <v>46062</v>
      </c>
      <c r="B723" t="s">
        <v>82</v>
      </c>
      <c r="C723" t="s">
        <v>83</v>
      </c>
      <c r="D723" t="s">
        <v>80</v>
      </c>
      <c r="E723" t="s">
        <v>42</v>
      </c>
      <c r="F723" t="s">
        <v>34</v>
      </c>
      <c r="G723" t="s">
        <v>84</v>
      </c>
      <c r="H723" t="s">
        <v>51</v>
      </c>
      <c r="I723" t="s">
        <v>28</v>
      </c>
      <c r="J723" t="s">
        <v>45</v>
      </c>
      <c r="K723">
        <v>19098</v>
      </c>
      <c r="L723">
        <v>145</v>
      </c>
      <c r="M723">
        <v>834.58</v>
      </c>
      <c r="N723">
        <v>3</v>
      </c>
      <c r="O723">
        <v>256.76</v>
      </c>
      <c r="P723">
        <f t="shared" si="44"/>
        <v>7.592418054246518E-3</v>
      </c>
      <c r="Q723">
        <f t="shared" si="44"/>
        <v>5.7557241379310344</v>
      </c>
      <c r="R723">
        <f t="shared" si="45"/>
        <v>278.19333333333333</v>
      </c>
      <c r="S723">
        <f t="shared" si="46"/>
        <v>0.30765175297754555</v>
      </c>
      <c r="T723">
        <f t="shared" si="47"/>
        <v>2.0689655172413793E-2</v>
      </c>
      <c r="U723" t="str">
        <f>YEAR('Campaign Data'!$A723)&amp;"-"&amp;TEXT(MONTH('Campaign Data'!$A723),"00")</f>
        <v>2026-02</v>
      </c>
    </row>
    <row r="724" spans="1:21" x14ac:dyDescent="0.25">
      <c r="A724">
        <v>46063</v>
      </c>
      <c r="B724" t="s">
        <v>88</v>
      </c>
      <c r="C724" t="s">
        <v>89</v>
      </c>
      <c r="D724" t="s">
        <v>23</v>
      </c>
      <c r="E724" t="s">
        <v>49</v>
      </c>
      <c r="F724" t="s">
        <v>81</v>
      </c>
      <c r="G724" t="s">
        <v>50</v>
      </c>
      <c r="H724" t="s">
        <v>90</v>
      </c>
      <c r="I724" t="s">
        <v>37</v>
      </c>
      <c r="J724" t="s">
        <v>87</v>
      </c>
      <c r="K724">
        <v>12953</v>
      </c>
      <c r="L724">
        <v>585</v>
      </c>
      <c r="M724">
        <v>367.41</v>
      </c>
      <c r="N724">
        <v>28</v>
      </c>
      <c r="O724">
        <v>240.27</v>
      </c>
      <c r="P724">
        <f t="shared" si="44"/>
        <v>4.5163282637226895E-2</v>
      </c>
      <c r="Q724">
        <f t="shared" si="44"/>
        <v>0.62805128205128213</v>
      </c>
      <c r="R724">
        <f t="shared" si="45"/>
        <v>13.121785714285716</v>
      </c>
      <c r="S724">
        <f t="shared" si="46"/>
        <v>0.65395607087449981</v>
      </c>
      <c r="T724">
        <f t="shared" si="47"/>
        <v>4.7863247863247867E-2</v>
      </c>
      <c r="U724" t="str">
        <f>YEAR('Campaign Data'!$A724)&amp;"-"&amp;TEXT(MONTH('Campaign Data'!$A724),"00")</f>
        <v>2026-02</v>
      </c>
    </row>
    <row r="725" spans="1:21" x14ac:dyDescent="0.25">
      <c r="A725">
        <v>46063</v>
      </c>
      <c r="B725" t="s">
        <v>21</v>
      </c>
      <c r="C725" t="s">
        <v>124</v>
      </c>
      <c r="D725" t="s">
        <v>23</v>
      </c>
      <c r="E725" t="s">
        <v>24</v>
      </c>
      <c r="F725" t="s">
        <v>25</v>
      </c>
      <c r="G725" t="s">
        <v>26</v>
      </c>
      <c r="H725" t="s">
        <v>60</v>
      </c>
      <c r="I725" t="s">
        <v>28</v>
      </c>
      <c r="J725" t="s">
        <v>62</v>
      </c>
      <c r="K725">
        <v>20517</v>
      </c>
      <c r="L725">
        <v>253</v>
      </c>
      <c r="M725">
        <v>270.67</v>
      </c>
      <c r="N725">
        <v>5</v>
      </c>
      <c r="O725">
        <v>785.7</v>
      </c>
      <c r="P725">
        <f t="shared" si="44"/>
        <v>1.2331237510357265E-2</v>
      </c>
      <c r="Q725">
        <f t="shared" si="44"/>
        <v>1.0698418972332016</v>
      </c>
      <c r="R725">
        <f t="shared" si="45"/>
        <v>54.134</v>
      </c>
      <c r="S725">
        <f t="shared" si="46"/>
        <v>2.9027967635866552</v>
      </c>
      <c r="T725">
        <f t="shared" si="47"/>
        <v>1.9762845849802372E-2</v>
      </c>
      <c r="U725" t="str">
        <f>YEAR('Campaign Data'!$A725)&amp;"-"&amp;TEXT(MONTH('Campaign Data'!$A725),"00")</f>
        <v>2026-02</v>
      </c>
    </row>
    <row r="726" spans="1:21" x14ac:dyDescent="0.25">
      <c r="A726">
        <v>46063</v>
      </c>
      <c r="B726" t="s">
        <v>167</v>
      </c>
      <c r="C726" t="s">
        <v>168</v>
      </c>
      <c r="D726" t="s">
        <v>58</v>
      </c>
      <c r="E726" t="s">
        <v>33</v>
      </c>
      <c r="F726" t="s">
        <v>75</v>
      </c>
      <c r="G726" t="s">
        <v>35</v>
      </c>
      <c r="H726" t="s">
        <v>90</v>
      </c>
      <c r="I726" t="s">
        <v>28</v>
      </c>
      <c r="J726" t="s">
        <v>62</v>
      </c>
      <c r="K726">
        <v>2734</v>
      </c>
      <c r="L726">
        <v>29</v>
      </c>
      <c r="M726">
        <v>5.47</v>
      </c>
      <c r="N726">
        <v>1</v>
      </c>
      <c r="O726">
        <v>10.93</v>
      </c>
      <c r="P726">
        <f t="shared" si="44"/>
        <v>1.0607168983174835E-2</v>
      </c>
      <c r="Q726">
        <f t="shared" si="44"/>
        <v>0.1886206896551724</v>
      </c>
      <c r="R726">
        <f t="shared" si="45"/>
        <v>5.47</v>
      </c>
      <c r="S726">
        <f t="shared" si="46"/>
        <v>1.9981718464351006</v>
      </c>
      <c r="T726">
        <f t="shared" si="47"/>
        <v>3.4482758620689655E-2</v>
      </c>
      <c r="U726" t="str">
        <f>YEAR('Campaign Data'!$A726)&amp;"-"&amp;TEXT(MONTH('Campaign Data'!$A726),"00")</f>
        <v>2026-02</v>
      </c>
    </row>
    <row r="727" spans="1:21" x14ac:dyDescent="0.25">
      <c r="A727">
        <v>46063</v>
      </c>
      <c r="B727" t="s">
        <v>186</v>
      </c>
      <c r="C727" t="s">
        <v>187</v>
      </c>
      <c r="D727" t="s">
        <v>80</v>
      </c>
      <c r="E727" t="s">
        <v>33</v>
      </c>
      <c r="F727" t="s">
        <v>43</v>
      </c>
      <c r="G727" t="s">
        <v>102</v>
      </c>
      <c r="H727" t="s">
        <v>27</v>
      </c>
      <c r="I727" t="s">
        <v>28</v>
      </c>
      <c r="J727" t="s">
        <v>87</v>
      </c>
      <c r="K727">
        <v>21988</v>
      </c>
      <c r="L727">
        <v>199</v>
      </c>
      <c r="M727">
        <v>188.38</v>
      </c>
      <c r="N727">
        <v>1</v>
      </c>
      <c r="O727">
        <v>47.86</v>
      </c>
      <c r="P727">
        <f t="shared" si="44"/>
        <v>9.0503911224304161E-3</v>
      </c>
      <c r="Q727">
        <f t="shared" si="44"/>
        <v>0.9466331658291457</v>
      </c>
      <c r="R727">
        <f t="shared" si="45"/>
        <v>188.38</v>
      </c>
      <c r="S727">
        <f t="shared" si="46"/>
        <v>0.2540609406518739</v>
      </c>
      <c r="T727">
        <f t="shared" si="47"/>
        <v>5.0251256281407036E-3</v>
      </c>
      <c r="U727" t="str">
        <f>YEAR('Campaign Data'!$A727)&amp;"-"&amp;TEXT(MONTH('Campaign Data'!$A727),"00")</f>
        <v>2026-02</v>
      </c>
    </row>
    <row r="728" spans="1:21" x14ac:dyDescent="0.25">
      <c r="A728">
        <v>46063</v>
      </c>
      <c r="B728" t="s">
        <v>186</v>
      </c>
      <c r="C728" t="s">
        <v>187</v>
      </c>
      <c r="D728" t="s">
        <v>80</v>
      </c>
      <c r="E728" t="s">
        <v>33</v>
      </c>
      <c r="F728" t="s">
        <v>43</v>
      </c>
      <c r="G728" t="s">
        <v>102</v>
      </c>
      <c r="H728" t="s">
        <v>36</v>
      </c>
      <c r="I728" t="s">
        <v>37</v>
      </c>
      <c r="J728" t="s">
        <v>38</v>
      </c>
      <c r="K728">
        <v>14146</v>
      </c>
      <c r="L728">
        <v>163</v>
      </c>
      <c r="M728">
        <v>98.36</v>
      </c>
      <c r="N728">
        <v>5</v>
      </c>
      <c r="O728">
        <v>152.15</v>
      </c>
      <c r="P728">
        <f t="shared" si="44"/>
        <v>1.1522691927046516E-2</v>
      </c>
      <c r="Q728">
        <f t="shared" si="44"/>
        <v>0.60343558282208587</v>
      </c>
      <c r="R728">
        <f t="shared" si="45"/>
        <v>19.672000000000001</v>
      </c>
      <c r="S728">
        <f t="shared" si="46"/>
        <v>1.5468686457909719</v>
      </c>
      <c r="T728">
        <f t="shared" si="47"/>
        <v>3.0674846625766871E-2</v>
      </c>
      <c r="U728" t="str">
        <f>YEAR('Campaign Data'!$A728)&amp;"-"&amp;TEXT(MONTH('Campaign Data'!$A728),"00")</f>
        <v>2026-02</v>
      </c>
    </row>
    <row r="729" spans="1:21" x14ac:dyDescent="0.25">
      <c r="A729">
        <v>46063</v>
      </c>
      <c r="B729" t="s">
        <v>46</v>
      </c>
      <c r="C729" t="s">
        <v>47</v>
      </c>
      <c r="D729" t="s">
        <v>48</v>
      </c>
      <c r="E729" t="s">
        <v>49</v>
      </c>
      <c r="F729" t="s">
        <v>43</v>
      </c>
      <c r="G729" t="s">
        <v>50</v>
      </c>
      <c r="H729" t="s">
        <v>60</v>
      </c>
      <c r="I729" t="s">
        <v>37</v>
      </c>
      <c r="J729" t="s">
        <v>45</v>
      </c>
      <c r="K729">
        <v>8954</v>
      </c>
      <c r="L729">
        <v>367</v>
      </c>
      <c r="M729">
        <v>742.53</v>
      </c>
      <c r="N729">
        <v>21</v>
      </c>
      <c r="O729">
        <v>296.36</v>
      </c>
      <c r="P729">
        <f t="shared" si="44"/>
        <v>4.0987268259995532E-2</v>
      </c>
      <c r="Q729">
        <f t="shared" si="44"/>
        <v>2.023242506811989</v>
      </c>
      <c r="R729">
        <f t="shared" si="45"/>
        <v>35.35857142857143</v>
      </c>
      <c r="S729">
        <f t="shared" si="46"/>
        <v>0.39912192099982496</v>
      </c>
      <c r="T729">
        <f t="shared" si="47"/>
        <v>5.7220708446866483E-2</v>
      </c>
      <c r="U729" t="str">
        <f>YEAR('Campaign Data'!$A729)&amp;"-"&amp;TEXT(MONTH('Campaign Data'!$A729),"00")</f>
        <v>2026-02</v>
      </c>
    </row>
    <row r="730" spans="1:21" x14ac:dyDescent="0.25">
      <c r="A730">
        <v>46063</v>
      </c>
      <c r="B730" t="s">
        <v>98</v>
      </c>
      <c r="C730" t="s">
        <v>99</v>
      </c>
      <c r="D730" t="s">
        <v>69</v>
      </c>
      <c r="E730" t="s">
        <v>24</v>
      </c>
      <c r="F730" t="s">
        <v>75</v>
      </c>
      <c r="G730" t="s">
        <v>66</v>
      </c>
      <c r="H730" t="s">
        <v>51</v>
      </c>
      <c r="I730" t="s">
        <v>37</v>
      </c>
      <c r="J730" t="s">
        <v>62</v>
      </c>
      <c r="K730">
        <v>8491</v>
      </c>
      <c r="L730">
        <v>79</v>
      </c>
      <c r="M730">
        <v>66.67</v>
      </c>
      <c r="N730">
        <v>6</v>
      </c>
      <c r="O730">
        <v>210.17</v>
      </c>
      <c r="P730">
        <f t="shared" si="44"/>
        <v>9.3039689082557997E-3</v>
      </c>
      <c r="Q730">
        <f t="shared" si="44"/>
        <v>0.84392405063291143</v>
      </c>
      <c r="R730">
        <f t="shared" si="45"/>
        <v>11.111666666666666</v>
      </c>
      <c r="S730">
        <f t="shared" si="46"/>
        <v>3.1523923803809808</v>
      </c>
      <c r="T730">
        <f t="shared" si="47"/>
        <v>7.5949367088607597E-2</v>
      </c>
      <c r="U730" t="str">
        <f>YEAR('Campaign Data'!$A730)&amp;"-"&amp;TEXT(MONTH('Campaign Data'!$A730),"00")</f>
        <v>2026-02</v>
      </c>
    </row>
    <row r="731" spans="1:21" x14ac:dyDescent="0.25">
      <c r="A731">
        <v>46063</v>
      </c>
      <c r="B731" t="s">
        <v>52</v>
      </c>
      <c r="C731" t="s">
        <v>53</v>
      </c>
      <c r="D731" t="s">
        <v>32</v>
      </c>
      <c r="E731" t="s">
        <v>42</v>
      </c>
      <c r="F731" t="s">
        <v>25</v>
      </c>
      <c r="G731" t="s">
        <v>54</v>
      </c>
      <c r="H731" t="s">
        <v>27</v>
      </c>
      <c r="I731" t="s">
        <v>37</v>
      </c>
      <c r="J731" t="s">
        <v>45</v>
      </c>
      <c r="K731">
        <v>3528</v>
      </c>
      <c r="L731">
        <v>26</v>
      </c>
      <c r="M731">
        <v>172.92</v>
      </c>
      <c r="N731">
        <v>1</v>
      </c>
      <c r="O731">
        <v>161.37</v>
      </c>
      <c r="P731">
        <f t="shared" si="44"/>
        <v>7.3696145124716554E-3</v>
      </c>
      <c r="Q731">
        <f t="shared" si="44"/>
        <v>6.6507692307692299</v>
      </c>
      <c r="R731">
        <f t="shared" si="45"/>
        <v>172.92</v>
      </c>
      <c r="S731">
        <f t="shared" si="46"/>
        <v>0.93320610687022909</v>
      </c>
      <c r="T731">
        <f t="shared" si="47"/>
        <v>3.8461538461538464E-2</v>
      </c>
      <c r="U731" t="str">
        <f>YEAR('Campaign Data'!$A731)&amp;"-"&amp;TEXT(MONTH('Campaign Data'!$A731),"00")</f>
        <v>2026-02</v>
      </c>
    </row>
    <row r="732" spans="1:21" x14ac:dyDescent="0.25">
      <c r="A732">
        <v>46063</v>
      </c>
      <c r="B732" t="s">
        <v>127</v>
      </c>
      <c r="C732" t="s">
        <v>128</v>
      </c>
      <c r="D732" t="s">
        <v>58</v>
      </c>
      <c r="E732" t="s">
        <v>24</v>
      </c>
      <c r="F732" t="s">
        <v>81</v>
      </c>
      <c r="G732" t="s">
        <v>129</v>
      </c>
      <c r="H732" t="s">
        <v>71</v>
      </c>
      <c r="I732" t="s">
        <v>28</v>
      </c>
      <c r="J732" t="s">
        <v>62</v>
      </c>
      <c r="K732">
        <v>7819</v>
      </c>
      <c r="L732">
        <v>153</v>
      </c>
      <c r="M732">
        <v>134.58000000000001</v>
      </c>
      <c r="N732">
        <v>4</v>
      </c>
      <c r="O732">
        <v>67.42</v>
      </c>
      <c r="P732">
        <f t="shared" si="44"/>
        <v>1.9567719657245172E-2</v>
      </c>
      <c r="Q732">
        <f t="shared" si="44"/>
        <v>0.87960784313725493</v>
      </c>
      <c r="R732">
        <f t="shared" si="45"/>
        <v>33.645000000000003</v>
      </c>
      <c r="S732">
        <f t="shared" si="46"/>
        <v>0.50096596819735473</v>
      </c>
      <c r="T732">
        <f t="shared" si="47"/>
        <v>2.6143790849673203E-2</v>
      </c>
      <c r="U732" t="str">
        <f>YEAR('Campaign Data'!$A732)&amp;"-"&amp;TEXT(MONTH('Campaign Data'!$A732),"00")</f>
        <v>2026-02</v>
      </c>
    </row>
    <row r="733" spans="1:21" x14ac:dyDescent="0.25">
      <c r="A733">
        <v>46063</v>
      </c>
      <c r="B733" t="s">
        <v>105</v>
      </c>
      <c r="C733" t="s">
        <v>106</v>
      </c>
      <c r="D733" t="s">
        <v>58</v>
      </c>
      <c r="E733" t="s">
        <v>49</v>
      </c>
      <c r="F733" t="s">
        <v>81</v>
      </c>
      <c r="G733" t="s">
        <v>107</v>
      </c>
      <c r="H733" t="s">
        <v>27</v>
      </c>
      <c r="I733" t="s">
        <v>37</v>
      </c>
      <c r="J733" t="s">
        <v>87</v>
      </c>
      <c r="K733">
        <v>8650</v>
      </c>
      <c r="L733">
        <v>472</v>
      </c>
      <c r="M733">
        <v>1250.69</v>
      </c>
      <c r="N733">
        <v>20</v>
      </c>
      <c r="O733">
        <v>495.44</v>
      </c>
      <c r="P733">
        <f t="shared" si="44"/>
        <v>5.4566473988439307E-2</v>
      </c>
      <c r="Q733">
        <f t="shared" si="44"/>
        <v>2.6497669491525424</v>
      </c>
      <c r="R733">
        <f t="shared" si="45"/>
        <v>62.534500000000001</v>
      </c>
      <c r="S733">
        <f t="shared" si="46"/>
        <v>0.39613333439941151</v>
      </c>
      <c r="T733">
        <f t="shared" si="47"/>
        <v>4.2372881355932202E-2</v>
      </c>
      <c r="U733" t="str">
        <f>YEAR('Campaign Data'!$A733)&amp;"-"&amp;TEXT(MONTH('Campaign Data'!$A733),"00")</f>
        <v>2026-02</v>
      </c>
    </row>
    <row r="734" spans="1:21" x14ac:dyDescent="0.25">
      <c r="A734">
        <v>46063</v>
      </c>
      <c r="B734" t="s">
        <v>108</v>
      </c>
      <c r="C734" t="s">
        <v>109</v>
      </c>
      <c r="D734" t="s">
        <v>58</v>
      </c>
      <c r="E734" t="s">
        <v>33</v>
      </c>
      <c r="F734" t="s">
        <v>43</v>
      </c>
      <c r="G734" t="s">
        <v>59</v>
      </c>
      <c r="H734" t="s">
        <v>27</v>
      </c>
      <c r="I734" t="s">
        <v>37</v>
      </c>
      <c r="J734" t="s">
        <v>87</v>
      </c>
      <c r="K734">
        <v>6504</v>
      </c>
      <c r="L734">
        <v>44</v>
      </c>
      <c r="M734">
        <v>31.26</v>
      </c>
      <c r="N734">
        <v>1</v>
      </c>
      <c r="O734">
        <v>27.3</v>
      </c>
      <c r="P734">
        <f t="shared" si="44"/>
        <v>6.7650676506765071E-3</v>
      </c>
      <c r="Q734">
        <f t="shared" si="44"/>
        <v>0.71045454545454545</v>
      </c>
      <c r="R734">
        <f t="shared" si="45"/>
        <v>31.26</v>
      </c>
      <c r="S734">
        <f t="shared" si="46"/>
        <v>0.87332053742802296</v>
      </c>
      <c r="T734">
        <f t="shared" si="47"/>
        <v>2.2727272727272728E-2</v>
      </c>
      <c r="U734" t="str">
        <f>YEAR('Campaign Data'!$A734)&amp;"-"&amp;TEXT(MONTH('Campaign Data'!$A734),"00")</f>
        <v>2026-02</v>
      </c>
    </row>
    <row r="735" spans="1:21" x14ac:dyDescent="0.25">
      <c r="A735">
        <v>46063</v>
      </c>
      <c r="B735" t="s">
        <v>132</v>
      </c>
      <c r="C735" t="s">
        <v>133</v>
      </c>
      <c r="D735" t="s">
        <v>23</v>
      </c>
      <c r="E735" t="s">
        <v>42</v>
      </c>
      <c r="F735" t="s">
        <v>75</v>
      </c>
      <c r="G735" t="s">
        <v>84</v>
      </c>
      <c r="H735" t="s">
        <v>90</v>
      </c>
      <c r="I735" t="s">
        <v>37</v>
      </c>
      <c r="J735" t="s">
        <v>45</v>
      </c>
      <c r="K735">
        <v>10663</v>
      </c>
      <c r="L735">
        <v>73</v>
      </c>
      <c r="M735">
        <v>125.7</v>
      </c>
      <c r="N735">
        <v>4</v>
      </c>
      <c r="O735">
        <v>55.04</v>
      </c>
      <c r="P735">
        <f t="shared" si="44"/>
        <v>6.8461033480258842E-3</v>
      </c>
      <c r="Q735">
        <f t="shared" si="44"/>
        <v>1.7219178082191782</v>
      </c>
      <c r="R735">
        <f t="shared" si="45"/>
        <v>31.425000000000001</v>
      </c>
      <c r="S735">
        <f t="shared" si="46"/>
        <v>0.43786793953858394</v>
      </c>
      <c r="T735">
        <f t="shared" si="47"/>
        <v>5.4794520547945202E-2</v>
      </c>
      <c r="U735" t="str">
        <f>YEAR('Campaign Data'!$A735)&amp;"-"&amp;TEXT(MONTH('Campaign Data'!$A735),"00")</f>
        <v>2026-02</v>
      </c>
    </row>
    <row r="736" spans="1:21" x14ac:dyDescent="0.25">
      <c r="A736">
        <v>46063</v>
      </c>
      <c r="B736" t="s">
        <v>179</v>
      </c>
      <c r="C736" t="s">
        <v>180</v>
      </c>
      <c r="D736" t="s">
        <v>58</v>
      </c>
      <c r="E736" t="s">
        <v>42</v>
      </c>
      <c r="F736" t="s">
        <v>25</v>
      </c>
      <c r="G736" t="s">
        <v>54</v>
      </c>
      <c r="H736" t="s">
        <v>51</v>
      </c>
      <c r="I736" t="s">
        <v>61</v>
      </c>
      <c r="J736" t="s">
        <v>38</v>
      </c>
      <c r="K736">
        <v>5992</v>
      </c>
      <c r="L736">
        <v>29</v>
      </c>
      <c r="M736">
        <v>180.53</v>
      </c>
      <c r="N736">
        <v>3</v>
      </c>
      <c r="O736">
        <v>612.41</v>
      </c>
      <c r="P736">
        <f t="shared" si="44"/>
        <v>4.8397863818424565E-3</v>
      </c>
      <c r="Q736">
        <f t="shared" si="44"/>
        <v>6.2251724137931035</v>
      </c>
      <c r="R736">
        <f t="shared" si="45"/>
        <v>60.176666666666669</v>
      </c>
      <c r="S736">
        <f t="shared" si="46"/>
        <v>3.3922893701877803</v>
      </c>
      <c r="T736">
        <f t="shared" si="47"/>
        <v>0.10344827586206896</v>
      </c>
      <c r="U736" t="str">
        <f>YEAR('Campaign Data'!$A736)&amp;"-"&amp;TEXT(MONTH('Campaign Data'!$A736),"00")</f>
        <v>2026-02</v>
      </c>
    </row>
    <row r="737" spans="1:21" x14ac:dyDescent="0.25">
      <c r="A737">
        <v>46063</v>
      </c>
      <c r="B737" t="s">
        <v>140</v>
      </c>
      <c r="C737" t="s">
        <v>40</v>
      </c>
      <c r="D737" t="s">
        <v>41</v>
      </c>
      <c r="E737" t="s">
        <v>42</v>
      </c>
      <c r="F737" t="s">
        <v>43</v>
      </c>
      <c r="G737" t="s">
        <v>44</v>
      </c>
      <c r="H737" t="s">
        <v>55</v>
      </c>
      <c r="I737" t="s">
        <v>28</v>
      </c>
      <c r="J737" t="s">
        <v>38</v>
      </c>
      <c r="K737">
        <v>10879</v>
      </c>
      <c r="L737">
        <v>64</v>
      </c>
      <c r="M737">
        <v>381.63</v>
      </c>
      <c r="N737">
        <v>3</v>
      </c>
      <c r="O737">
        <v>90.02</v>
      </c>
      <c r="P737">
        <f t="shared" si="44"/>
        <v>5.8828936483132643E-3</v>
      </c>
      <c r="Q737">
        <f t="shared" si="44"/>
        <v>5.9629687499999999</v>
      </c>
      <c r="R737">
        <f t="shared" si="45"/>
        <v>127.21</v>
      </c>
      <c r="S737">
        <f t="shared" si="46"/>
        <v>0.23588292325026858</v>
      </c>
      <c r="T737">
        <f t="shared" si="47"/>
        <v>4.6875E-2</v>
      </c>
      <c r="U737" t="str">
        <f>YEAR('Campaign Data'!$A737)&amp;"-"&amp;TEXT(MONTH('Campaign Data'!$A737),"00")</f>
        <v>2026-02</v>
      </c>
    </row>
    <row r="738" spans="1:21" x14ac:dyDescent="0.25">
      <c r="A738">
        <v>46063</v>
      </c>
      <c r="B738" t="s">
        <v>114</v>
      </c>
      <c r="C738" t="s">
        <v>115</v>
      </c>
      <c r="D738" t="s">
        <v>69</v>
      </c>
      <c r="E738" t="s">
        <v>49</v>
      </c>
      <c r="F738" t="s">
        <v>25</v>
      </c>
      <c r="G738" t="s">
        <v>107</v>
      </c>
      <c r="H738" t="s">
        <v>27</v>
      </c>
      <c r="I738" t="s">
        <v>37</v>
      </c>
      <c r="J738" t="s">
        <v>45</v>
      </c>
      <c r="K738">
        <v>11485</v>
      </c>
      <c r="L738">
        <v>513</v>
      </c>
      <c r="M738">
        <v>1234.95</v>
      </c>
      <c r="N738">
        <v>31</v>
      </c>
      <c r="O738">
        <v>4028.34</v>
      </c>
      <c r="P738">
        <f t="shared" si="44"/>
        <v>4.4666956900304748E-2</v>
      </c>
      <c r="Q738">
        <f t="shared" si="44"/>
        <v>2.407309941520468</v>
      </c>
      <c r="R738">
        <f t="shared" si="45"/>
        <v>39.837096774193547</v>
      </c>
      <c r="S738">
        <f t="shared" si="46"/>
        <v>3.2619458277663065</v>
      </c>
      <c r="T738">
        <f t="shared" si="47"/>
        <v>6.042884990253411E-2</v>
      </c>
      <c r="U738" t="str">
        <f>YEAR('Campaign Data'!$A738)&amp;"-"&amp;TEXT(MONTH('Campaign Data'!$A738),"00")</f>
        <v>2026-02</v>
      </c>
    </row>
    <row r="739" spans="1:21" x14ac:dyDescent="0.25">
      <c r="A739">
        <v>46063</v>
      </c>
      <c r="B739" t="s">
        <v>143</v>
      </c>
      <c r="C739" t="s">
        <v>144</v>
      </c>
      <c r="D739" t="s">
        <v>48</v>
      </c>
      <c r="E739" t="s">
        <v>42</v>
      </c>
      <c r="F739" t="s">
        <v>25</v>
      </c>
      <c r="G739" t="s">
        <v>84</v>
      </c>
      <c r="H739" t="s">
        <v>36</v>
      </c>
      <c r="I739" t="s">
        <v>37</v>
      </c>
      <c r="J739" t="s">
        <v>38</v>
      </c>
      <c r="K739">
        <v>6957</v>
      </c>
      <c r="L739">
        <v>44</v>
      </c>
      <c r="M739">
        <v>296.3</v>
      </c>
      <c r="N739">
        <v>1</v>
      </c>
      <c r="O739">
        <v>157.80000000000001</v>
      </c>
      <c r="P739">
        <f t="shared" si="44"/>
        <v>6.324565186143453E-3</v>
      </c>
      <c r="Q739">
        <f t="shared" si="44"/>
        <v>6.7340909090909093</v>
      </c>
      <c r="R739">
        <f t="shared" si="45"/>
        <v>296.3</v>
      </c>
      <c r="S739">
        <f t="shared" si="46"/>
        <v>0.53256834289571386</v>
      </c>
      <c r="T739">
        <f t="shared" si="47"/>
        <v>2.2727272727272728E-2</v>
      </c>
      <c r="U739" t="str">
        <f>YEAR('Campaign Data'!$A739)&amp;"-"&amp;TEXT(MONTH('Campaign Data'!$A739),"00")</f>
        <v>2026-02</v>
      </c>
    </row>
    <row r="740" spans="1:21" x14ac:dyDescent="0.25">
      <c r="A740">
        <v>46063</v>
      </c>
      <c r="B740" t="s">
        <v>78</v>
      </c>
      <c r="C740" t="s">
        <v>79</v>
      </c>
      <c r="D740" t="s">
        <v>80</v>
      </c>
      <c r="E740" t="s">
        <v>24</v>
      </c>
      <c r="F740" t="s">
        <v>81</v>
      </c>
      <c r="G740" t="s">
        <v>66</v>
      </c>
      <c r="H740" t="s">
        <v>27</v>
      </c>
      <c r="I740" t="s">
        <v>28</v>
      </c>
      <c r="J740" t="s">
        <v>45</v>
      </c>
      <c r="K740">
        <v>9499</v>
      </c>
      <c r="L740">
        <v>143</v>
      </c>
      <c r="M740">
        <v>229.18</v>
      </c>
      <c r="N740">
        <v>3</v>
      </c>
      <c r="O740">
        <v>81.31</v>
      </c>
      <c r="P740">
        <f t="shared" si="44"/>
        <v>1.5054216233287714E-2</v>
      </c>
      <c r="Q740">
        <f t="shared" si="44"/>
        <v>1.6026573426573427</v>
      </c>
      <c r="R740">
        <f t="shared" si="45"/>
        <v>76.393333333333331</v>
      </c>
      <c r="S740">
        <f t="shared" si="46"/>
        <v>0.35478663059603804</v>
      </c>
      <c r="T740">
        <f t="shared" si="47"/>
        <v>2.097902097902098E-2</v>
      </c>
      <c r="U740" t="str">
        <f>YEAR('Campaign Data'!$A740)&amp;"-"&amp;TEXT(MONTH('Campaign Data'!$A740),"00")</f>
        <v>2026-02</v>
      </c>
    </row>
    <row r="741" spans="1:21" x14ac:dyDescent="0.25">
      <c r="A741">
        <v>46063</v>
      </c>
      <c r="B741" t="s">
        <v>82</v>
      </c>
      <c r="C741" t="s">
        <v>83</v>
      </c>
      <c r="D741" t="s">
        <v>80</v>
      </c>
      <c r="E741" t="s">
        <v>42</v>
      </c>
      <c r="F741" t="s">
        <v>34</v>
      </c>
      <c r="G741" t="s">
        <v>84</v>
      </c>
      <c r="H741" t="s">
        <v>90</v>
      </c>
      <c r="I741" t="s">
        <v>28</v>
      </c>
      <c r="J741" t="s">
        <v>29</v>
      </c>
      <c r="K741">
        <v>4301</v>
      </c>
      <c r="L741">
        <v>33</v>
      </c>
      <c r="M741">
        <v>68.75</v>
      </c>
      <c r="N741">
        <v>1</v>
      </c>
      <c r="O741">
        <v>17.350000000000001</v>
      </c>
      <c r="P741">
        <f t="shared" si="44"/>
        <v>7.6726342710997444E-3</v>
      </c>
      <c r="Q741">
        <f t="shared" si="44"/>
        <v>2.0833333333333335</v>
      </c>
      <c r="R741">
        <f t="shared" si="45"/>
        <v>68.75</v>
      </c>
      <c r="S741">
        <f t="shared" si="46"/>
        <v>0.2523636363636364</v>
      </c>
      <c r="T741">
        <f t="shared" si="47"/>
        <v>3.0303030303030304E-2</v>
      </c>
      <c r="U741" t="str">
        <f>YEAR('Campaign Data'!$A741)&amp;"-"&amp;TEXT(MONTH('Campaign Data'!$A741),"00")</f>
        <v>2026-02</v>
      </c>
    </row>
    <row r="742" spans="1:21" x14ac:dyDescent="0.25">
      <c r="A742">
        <v>46064</v>
      </c>
      <c r="B742" t="s">
        <v>165</v>
      </c>
      <c r="C742" t="s">
        <v>166</v>
      </c>
      <c r="D742" t="s">
        <v>41</v>
      </c>
      <c r="E742" t="s">
        <v>33</v>
      </c>
      <c r="F742" t="s">
        <v>43</v>
      </c>
      <c r="G742" t="s">
        <v>59</v>
      </c>
      <c r="H742" t="s">
        <v>71</v>
      </c>
      <c r="I742" t="s">
        <v>28</v>
      </c>
      <c r="J742" t="s">
        <v>45</v>
      </c>
      <c r="K742">
        <v>1997</v>
      </c>
      <c r="L742">
        <v>22</v>
      </c>
      <c r="M742">
        <v>11.29</v>
      </c>
      <c r="N742">
        <v>0</v>
      </c>
      <c r="O742">
        <v>0</v>
      </c>
      <c r="P742">
        <f t="shared" si="44"/>
        <v>1.1016524787180772E-2</v>
      </c>
      <c r="Q742">
        <f t="shared" si="44"/>
        <v>0.51318181818181818</v>
      </c>
      <c r="R742">
        <f t="shared" si="45"/>
        <v>0</v>
      </c>
      <c r="S742">
        <f t="shared" si="46"/>
        <v>0</v>
      </c>
      <c r="T742">
        <f t="shared" si="47"/>
        <v>0</v>
      </c>
      <c r="U742" t="str">
        <f>YEAR('Campaign Data'!$A742)&amp;"-"&amp;TEXT(MONTH('Campaign Data'!$A742),"00")</f>
        <v>2026-02</v>
      </c>
    </row>
    <row r="743" spans="1:21" x14ac:dyDescent="0.25">
      <c r="A743">
        <v>46064</v>
      </c>
      <c r="B743" t="s">
        <v>173</v>
      </c>
      <c r="C743" t="s">
        <v>174</v>
      </c>
      <c r="D743" t="s">
        <v>48</v>
      </c>
      <c r="E743" t="s">
        <v>74</v>
      </c>
      <c r="F743" t="s">
        <v>25</v>
      </c>
      <c r="G743" t="s">
        <v>9</v>
      </c>
      <c r="H743" t="s">
        <v>90</v>
      </c>
      <c r="I743" t="s">
        <v>28</v>
      </c>
      <c r="J743" t="s">
        <v>87</v>
      </c>
      <c r="K743">
        <v>8587</v>
      </c>
      <c r="L743">
        <v>197</v>
      </c>
      <c r="M743">
        <v>66.239999999999995</v>
      </c>
      <c r="N743">
        <v>10</v>
      </c>
      <c r="O743">
        <v>586.78</v>
      </c>
      <c r="P743">
        <f t="shared" si="44"/>
        <v>2.2941655991615233E-2</v>
      </c>
      <c r="Q743">
        <f t="shared" si="44"/>
        <v>0.33624365482233498</v>
      </c>
      <c r="R743">
        <f t="shared" si="45"/>
        <v>6.6239999999999997</v>
      </c>
      <c r="S743">
        <f t="shared" si="46"/>
        <v>8.858393719806763</v>
      </c>
      <c r="T743">
        <f t="shared" si="47"/>
        <v>5.0761421319796954E-2</v>
      </c>
      <c r="U743" t="str">
        <f>YEAR('Campaign Data'!$A743)&amp;"-"&amp;TEXT(MONTH('Campaign Data'!$A743),"00")</f>
        <v>2026-02</v>
      </c>
    </row>
    <row r="744" spans="1:21" x14ac:dyDescent="0.25">
      <c r="A744">
        <v>46064</v>
      </c>
      <c r="B744" t="s">
        <v>175</v>
      </c>
      <c r="C744" t="s">
        <v>176</v>
      </c>
      <c r="D744" t="s">
        <v>65</v>
      </c>
      <c r="E744" t="s">
        <v>49</v>
      </c>
      <c r="F744" t="s">
        <v>75</v>
      </c>
      <c r="G744" t="s">
        <v>70</v>
      </c>
      <c r="H744" t="s">
        <v>27</v>
      </c>
      <c r="I744" t="s">
        <v>37</v>
      </c>
      <c r="J744" t="s">
        <v>29</v>
      </c>
      <c r="K744">
        <v>15668</v>
      </c>
      <c r="L744">
        <v>704</v>
      </c>
      <c r="M744">
        <v>1843.88</v>
      </c>
      <c r="N744">
        <v>34</v>
      </c>
      <c r="O744">
        <v>2012.15</v>
      </c>
      <c r="P744">
        <f t="shared" si="44"/>
        <v>4.4932346183303551E-2</v>
      </c>
      <c r="Q744">
        <f t="shared" si="44"/>
        <v>2.6191477272727273</v>
      </c>
      <c r="R744">
        <f t="shared" si="45"/>
        <v>54.231764705882355</v>
      </c>
      <c r="S744">
        <f t="shared" si="46"/>
        <v>1.0912586502375425</v>
      </c>
      <c r="T744">
        <f t="shared" si="47"/>
        <v>4.8295454545454544E-2</v>
      </c>
      <c r="U744" t="str">
        <f>YEAR('Campaign Data'!$A744)&amp;"-"&amp;TEXT(MONTH('Campaign Data'!$A744),"00")</f>
        <v>2026-02</v>
      </c>
    </row>
    <row r="745" spans="1:21" x14ac:dyDescent="0.25">
      <c r="A745">
        <v>46064</v>
      </c>
      <c r="B745" t="s">
        <v>21</v>
      </c>
      <c r="C745" t="s">
        <v>124</v>
      </c>
      <c r="D745" t="s">
        <v>23</v>
      </c>
      <c r="E745" t="s">
        <v>24</v>
      </c>
      <c r="F745" t="s">
        <v>25</v>
      </c>
      <c r="G745" t="s">
        <v>26</v>
      </c>
      <c r="H745" t="s">
        <v>60</v>
      </c>
      <c r="I745" t="s">
        <v>28</v>
      </c>
      <c r="J745" t="s">
        <v>38</v>
      </c>
      <c r="K745">
        <v>6333</v>
      </c>
      <c r="L745">
        <v>87</v>
      </c>
      <c r="M745">
        <v>68.45</v>
      </c>
      <c r="N745">
        <v>6</v>
      </c>
      <c r="O745">
        <v>1000.41</v>
      </c>
      <c r="P745">
        <f t="shared" si="44"/>
        <v>1.3737565135007106E-2</v>
      </c>
      <c r="Q745">
        <f t="shared" si="44"/>
        <v>0.7867816091954023</v>
      </c>
      <c r="R745">
        <f t="shared" si="45"/>
        <v>11.408333333333333</v>
      </c>
      <c r="S745">
        <f t="shared" si="46"/>
        <v>14.615193571950327</v>
      </c>
      <c r="T745">
        <f t="shared" si="47"/>
        <v>6.8965517241379309E-2</v>
      </c>
      <c r="U745" t="str">
        <f>YEAR('Campaign Data'!$A745)&amp;"-"&amp;TEXT(MONTH('Campaign Data'!$A745),"00")</f>
        <v>2026-02</v>
      </c>
    </row>
    <row r="746" spans="1:21" x14ac:dyDescent="0.25">
      <c r="A746">
        <v>46064</v>
      </c>
      <c r="B746" t="s">
        <v>125</v>
      </c>
      <c r="C746" t="s">
        <v>126</v>
      </c>
      <c r="D746" t="s">
        <v>41</v>
      </c>
      <c r="E746" t="s">
        <v>42</v>
      </c>
      <c r="F746" t="s">
        <v>81</v>
      </c>
      <c r="G746" t="s">
        <v>44</v>
      </c>
      <c r="H746" t="s">
        <v>36</v>
      </c>
      <c r="I746" t="s">
        <v>37</v>
      </c>
      <c r="J746" t="s">
        <v>87</v>
      </c>
      <c r="K746">
        <v>4317</v>
      </c>
      <c r="L746">
        <v>37</v>
      </c>
      <c r="M746">
        <v>247.02</v>
      </c>
      <c r="N746">
        <v>1</v>
      </c>
      <c r="O746">
        <v>20.13</v>
      </c>
      <c r="P746">
        <f t="shared" si="44"/>
        <v>8.5707667361593701E-3</v>
      </c>
      <c r="Q746">
        <f t="shared" si="44"/>
        <v>6.6762162162162166</v>
      </c>
      <c r="R746">
        <f t="shared" si="45"/>
        <v>247.02</v>
      </c>
      <c r="S746">
        <f t="shared" si="46"/>
        <v>8.1491377216419719E-2</v>
      </c>
      <c r="T746">
        <f t="shared" si="47"/>
        <v>2.7027027027027029E-2</v>
      </c>
      <c r="U746" t="str">
        <f>YEAR('Campaign Data'!$A746)&amp;"-"&amp;TEXT(MONTH('Campaign Data'!$A746),"00")</f>
        <v>2026-02</v>
      </c>
    </row>
    <row r="747" spans="1:21" x14ac:dyDescent="0.25">
      <c r="A747">
        <v>46064</v>
      </c>
      <c r="B747" t="s">
        <v>91</v>
      </c>
      <c r="C747" t="s">
        <v>92</v>
      </c>
      <c r="D747" t="s">
        <v>41</v>
      </c>
      <c r="E747" t="s">
        <v>74</v>
      </c>
      <c r="F747" t="s">
        <v>75</v>
      </c>
      <c r="G747" t="s">
        <v>9</v>
      </c>
      <c r="H747" t="s">
        <v>90</v>
      </c>
      <c r="I747" t="s">
        <v>37</v>
      </c>
      <c r="J747" t="s">
        <v>38</v>
      </c>
      <c r="K747">
        <v>6626</v>
      </c>
      <c r="L747">
        <v>238</v>
      </c>
      <c r="M747">
        <v>98.78</v>
      </c>
      <c r="N747">
        <v>1</v>
      </c>
      <c r="O747">
        <v>9.9600000000000009</v>
      </c>
      <c r="P747">
        <f t="shared" si="44"/>
        <v>3.5919106549954727E-2</v>
      </c>
      <c r="Q747">
        <f t="shared" si="44"/>
        <v>0.4150420168067227</v>
      </c>
      <c r="R747">
        <f t="shared" si="45"/>
        <v>98.78</v>
      </c>
      <c r="S747">
        <f t="shared" si="46"/>
        <v>0.10083012755618546</v>
      </c>
      <c r="T747">
        <f t="shared" si="47"/>
        <v>4.2016806722689074E-3</v>
      </c>
      <c r="U747" t="str">
        <f>YEAR('Campaign Data'!$A747)&amp;"-"&amp;TEXT(MONTH('Campaign Data'!$A747),"00")</f>
        <v>2026-02</v>
      </c>
    </row>
    <row r="748" spans="1:21" x14ac:dyDescent="0.25">
      <c r="A748">
        <v>46064</v>
      </c>
      <c r="B748" t="s">
        <v>108</v>
      </c>
      <c r="C748" t="s">
        <v>109</v>
      </c>
      <c r="D748" t="s">
        <v>58</v>
      </c>
      <c r="E748" t="s">
        <v>33</v>
      </c>
      <c r="F748" t="s">
        <v>43</v>
      </c>
      <c r="G748" t="s">
        <v>59</v>
      </c>
      <c r="H748" t="s">
        <v>71</v>
      </c>
      <c r="I748" t="s">
        <v>37</v>
      </c>
      <c r="J748" t="s">
        <v>38</v>
      </c>
      <c r="K748">
        <v>3683</v>
      </c>
      <c r="L748">
        <v>24</v>
      </c>
      <c r="M748">
        <v>12.11</v>
      </c>
      <c r="N748">
        <v>0</v>
      </c>
      <c r="O748">
        <v>0</v>
      </c>
      <c r="P748">
        <f t="shared" si="44"/>
        <v>6.5164268259571001E-3</v>
      </c>
      <c r="Q748">
        <f t="shared" si="44"/>
        <v>0.50458333333333327</v>
      </c>
      <c r="R748">
        <f t="shared" si="45"/>
        <v>0</v>
      </c>
      <c r="S748">
        <f t="shared" si="46"/>
        <v>0</v>
      </c>
      <c r="T748">
        <f t="shared" si="47"/>
        <v>0</v>
      </c>
      <c r="U748" t="str">
        <f>YEAR('Campaign Data'!$A748)&amp;"-"&amp;TEXT(MONTH('Campaign Data'!$A748),"00")</f>
        <v>2026-02</v>
      </c>
    </row>
    <row r="749" spans="1:21" x14ac:dyDescent="0.25">
      <c r="A749">
        <v>46064</v>
      </c>
      <c r="B749" t="s">
        <v>181</v>
      </c>
      <c r="C749" t="s">
        <v>182</v>
      </c>
      <c r="D749" t="s">
        <v>32</v>
      </c>
      <c r="E749" t="s">
        <v>33</v>
      </c>
      <c r="F749" t="s">
        <v>75</v>
      </c>
      <c r="G749" t="s">
        <v>59</v>
      </c>
      <c r="H749" t="s">
        <v>36</v>
      </c>
      <c r="I749" t="s">
        <v>37</v>
      </c>
      <c r="J749" t="s">
        <v>38</v>
      </c>
      <c r="K749">
        <v>5821</v>
      </c>
      <c r="L749">
        <v>49</v>
      </c>
      <c r="M749">
        <v>32.22</v>
      </c>
      <c r="N749">
        <v>1</v>
      </c>
      <c r="O749">
        <v>36.28</v>
      </c>
      <c r="P749">
        <f t="shared" si="44"/>
        <v>8.4177976292733204E-3</v>
      </c>
      <c r="Q749">
        <f t="shared" si="44"/>
        <v>0.65755102040816327</v>
      </c>
      <c r="R749">
        <f t="shared" si="45"/>
        <v>32.22</v>
      </c>
      <c r="S749">
        <f t="shared" si="46"/>
        <v>1.1260086902545003</v>
      </c>
      <c r="T749">
        <f t="shared" si="47"/>
        <v>2.0408163265306121E-2</v>
      </c>
      <c r="U749" t="str">
        <f>YEAR('Campaign Data'!$A749)&amp;"-"&amp;TEXT(MONTH('Campaign Data'!$A749),"00")</f>
        <v>2026-02</v>
      </c>
    </row>
    <row r="750" spans="1:21" x14ac:dyDescent="0.25">
      <c r="A750">
        <v>46064</v>
      </c>
      <c r="B750" t="s">
        <v>161</v>
      </c>
      <c r="C750" t="s">
        <v>162</v>
      </c>
      <c r="D750" t="s">
        <v>48</v>
      </c>
      <c r="E750" t="s">
        <v>74</v>
      </c>
      <c r="F750" t="s">
        <v>34</v>
      </c>
      <c r="G750" t="s">
        <v>107</v>
      </c>
      <c r="H750" t="s">
        <v>90</v>
      </c>
      <c r="I750" t="s">
        <v>37</v>
      </c>
      <c r="J750" t="s">
        <v>45</v>
      </c>
      <c r="K750">
        <v>4672</v>
      </c>
      <c r="L750">
        <v>109</v>
      </c>
      <c r="M750">
        <v>54.97</v>
      </c>
      <c r="N750">
        <v>5</v>
      </c>
      <c r="O750">
        <v>120.15</v>
      </c>
      <c r="P750">
        <f t="shared" si="44"/>
        <v>2.3330479452054794E-2</v>
      </c>
      <c r="Q750">
        <f t="shared" si="44"/>
        <v>0.50431192660550461</v>
      </c>
      <c r="R750">
        <f t="shared" si="45"/>
        <v>10.994</v>
      </c>
      <c r="S750">
        <f t="shared" si="46"/>
        <v>2.1857376750955066</v>
      </c>
      <c r="T750">
        <f t="shared" si="47"/>
        <v>4.5871559633027525E-2</v>
      </c>
      <c r="U750" t="str">
        <f>YEAR('Campaign Data'!$A750)&amp;"-"&amp;TEXT(MONTH('Campaign Data'!$A750),"00")</f>
        <v>2026-02</v>
      </c>
    </row>
    <row r="751" spans="1:21" x14ac:dyDescent="0.25">
      <c r="A751">
        <v>46064</v>
      </c>
      <c r="B751" t="s">
        <v>114</v>
      </c>
      <c r="C751" t="s">
        <v>115</v>
      </c>
      <c r="D751" t="s">
        <v>69</v>
      </c>
      <c r="E751" t="s">
        <v>49</v>
      </c>
      <c r="F751" t="s">
        <v>25</v>
      </c>
      <c r="G751" t="s">
        <v>107</v>
      </c>
      <c r="H751" t="s">
        <v>36</v>
      </c>
      <c r="I751" t="s">
        <v>37</v>
      </c>
      <c r="J751" t="s">
        <v>29</v>
      </c>
      <c r="K751">
        <v>5069</v>
      </c>
      <c r="L751">
        <v>356</v>
      </c>
      <c r="M751">
        <v>684.84</v>
      </c>
      <c r="N751">
        <v>8</v>
      </c>
      <c r="O751">
        <v>1196.27</v>
      </c>
      <c r="P751">
        <f t="shared" si="44"/>
        <v>7.0230814756362198E-2</v>
      </c>
      <c r="Q751">
        <f t="shared" si="44"/>
        <v>1.9237078651685393</v>
      </c>
      <c r="R751">
        <f t="shared" si="45"/>
        <v>85.605000000000004</v>
      </c>
      <c r="S751">
        <f t="shared" si="46"/>
        <v>1.7467875708194613</v>
      </c>
      <c r="T751">
        <f t="shared" si="47"/>
        <v>2.247191011235955E-2</v>
      </c>
      <c r="U751" t="str">
        <f>YEAR('Campaign Data'!$A751)&amp;"-"&amp;TEXT(MONTH('Campaign Data'!$A751),"00")</f>
        <v>2026-02</v>
      </c>
    </row>
    <row r="752" spans="1:21" x14ac:dyDescent="0.25">
      <c r="A752">
        <v>46064</v>
      </c>
      <c r="B752" t="s">
        <v>114</v>
      </c>
      <c r="C752" t="s">
        <v>115</v>
      </c>
      <c r="D752" t="s">
        <v>69</v>
      </c>
      <c r="E752" t="s">
        <v>49</v>
      </c>
      <c r="F752" t="s">
        <v>25</v>
      </c>
      <c r="G752" t="s">
        <v>107</v>
      </c>
      <c r="H752" t="s">
        <v>71</v>
      </c>
      <c r="I752" t="s">
        <v>37</v>
      </c>
      <c r="J752" t="s">
        <v>87</v>
      </c>
      <c r="K752">
        <v>9481</v>
      </c>
      <c r="L752">
        <v>454</v>
      </c>
      <c r="M752">
        <v>787.72</v>
      </c>
      <c r="N752">
        <v>29</v>
      </c>
      <c r="O752">
        <v>3312.3</v>
      </c>
      <c r="P752">
        <f t="shared" si="44"/>
        <v>4.7885244172555637E-2</v>
      </c>
      <c r="Q752">
        <f t="shared" si="44"/>
        <v>1.7350660792951542</v>
      </c>
      <c r="R752">
        <f t="shared" si="45"/>
        <v>27.162758620689655</v>
      </c>
      <c r="S752">
        <f t="shared" si="46"/>
        <v>4.2049205301376125</v>
      </c>
      <c r="T752">
        <f t="shared" si="47"/>
        <v>6.3876651982378851E-2</v>
      </c>
      <c r="U752" t="str">
        <f>YEAR('Campaign Data'!$A752)&amp;"-"&amp;TEXT(MONTH('Campaign Data'!$A752),"00")</f>
        <v>2026-02</v>
      </c>
    </row>
    <row r="753" spans="1:21" x14ac:dyDescent="0.25">
      <c r="A753">
        <v>46064</v>
      </c>
      <c r="B753" t="s">
        <v>56</v>
      </c>
      <c r="C753" t="s">
        <v>57</v>
      </c>
      <c r="D753" t="s">
        <v>58</v>
      </c>
      <c r="E753" t="s">
        <v>33</v>
      </c>
      <c r="F753" t="s">
        <v>43</v>
      </c>
      <c r="G753" t="s">
        <v>59</v>
      </c>
      <c r="H753" t="s">
        <v>36</v>
      </c>
      <c r="I753" t="s">
        <v>28</v>
      </c>
      <c r="J753" t="s">
        <v>38</v>
      </c>
      <c r="K753">
        <v>15493</v>
      </c>
      <c r="L753">
        <v>135</v>
      </c>
      <c r="M753">
        <v>90.39</v>
      </c>
      <c r="N753">
        <v>3</v>
      </c>
      <c r="O753">
        <v>79.22</v>
      </c>
      <c r="P753">
        <f t="shared" si="44"/>
        <v>8.7136125992383663E-3</v>
      </c>
      <c r="Q753">
        <f t="shared" si="44"/>
        <v>0.66955555555555557</v>
      </c>
      <c r="R753">
        <f t="shared" si="45"/>
        <v>30.13</v>
      </c>
      <c r="S753">
        <f t="shared" si="46"/>
        <v>0.87642438322823324</v>
      </c>
      <c r="T753">
        <f t="shared" si="47"/>
        <v>2.2222222222222223E-2</v>
      </c>
      <c r="U753" t="str">
        <f>YEAR('Campaign Data'!$A753)&amp;"-"&amp;TEXT(MONTH('Campaign Data'!$A753),"00")</f>
        <v>2026-02</v>
      </c>
    </row>
    <row r="754" spans="1:21" x14ac:dyDescent="0.25">
      <c r="A754">
        <v>46064</v>
      </c>
      <c r="B754" t="s">
        <v>56</v>
      </c>
      <c r="C754" t="s">
        <v>57</v>
      </c>
      <c r="D754" t="s">
        <v>58</v>
      </c>
      <c r="E754" t="s">
        <v>33</v>
      </c>
      <c r="F754" t="s">
        <v>43</v>
      </c>
      <c r="G754" t="s">
        <v>59</v>
      </c>
      <c r="H754" t="s">
        <v>27</v>
      </c>
      <c r="I754" t="s">
        <v>37</v>
      </c>
      <c r="J754" t="s">
        <v>87</v>
      </c>
      <c r="K754">
        <v>13147</v>
      </c>
      <c r="L754">
        <v>154</v>
      </c>
      <c r="M754">
        <v>133.63999999999999</v>
      </c>
      <c r="N754">
        <v>4</v>
      </c>
      <c r="O754">
        <v>112.63</v>
      </c>
      <c r="P754">
        <f t="shared" si="44"/>
        <v>1.1713698942724575E-2</v>
      </c>
      <c r="Q754">
        <f t="shared" si="44"/>
        <v>0.86779220779220767</v>
      </c>
      <c r="R754">
        <f t="shared" si="45"/>
        <v>33.409999999999997</v>
      </c>
      <c r="S754">
        <f t="shared" si="46"/>
        <v>0.84278659084106555</v>
      </c>
      <c r="T754">
        <f t="shared" si="47"/>
        <v>2.5974025974025976E-2</v>
      </c>
      <c r="U754" t="str">
        <f>YEAR('Campaign Data'!$A754)&amp;"-"&amp;TEXT(MONTH('Campaign Data'!$A754),"00")</f>
        <v>2026-02</v>
      </c>
    </row>
    <row r="755" spans="1:21" x14ac:dyDescent="0.25">
      <c r="A755">
        <v>46064</v>
      </c>
      <c r="B755" t="s">
        <v>163</v>
      </c>
      <c r="C755" t="s">
        <v>164</v>
      </c>
      <c r="D755" t="s">
        <v>58</v>
      </c>
      <c r="E755" t="s">
        <v>42</v>
      </c>
      <c r="F755" t="s">
        <v>43</v>
      </c>
      <c r="G755" t="s">
        <v>44</v>
      </c>
      <c r="H755" t="s">
        <v>27</v>
      </c>
      <c r="I755" t="s">
        <v>28</v>
      </c>
      <c r="J755" t="s">
        <v>62</v>
      </c>
      <c r="K755">
        <v>5908</v>
      </c>
      <c r="L755">
        <v>46</v>
      </c>
      <c r="M755">
        <v>438.64</v>
      </c>
      <c r="N755">
        <v>3</v>
      </c>
      <c r="O755">
        <v>15</v>
      </c>
      <c r="P755">
        <f t="shared" si="44"/>
        <v>7.7860528097494922E-3</v>
      </c>
      <c r="Q755">
        <f t="shared" si="44"/>
        <v>9.5356521739130429</v>
      </c>
      <c r="R755">
        <f t="shared" si="45"/>
        <v>146.21333333333334</v>
      </c>
      <c r="S755">
        <f t="shared" si="46"/>
        <v>3.4196607696516508E-2</v>
      </c>
      <c r="T755">
        <f t="shared" si="47"/>
        <v>6.5217391304347824E-2</v>
      </c>
      <c r="U755" t="str">
        <f>YEAR('Campaign Data'!$A755)&amp;"-"&amp;TEXT(MONTH('Campaign Data'!$A755),"00")</f>
        <v>2026-02</v>
      </c>
    </row>
    <row r="756" spans="1:21" x14ac:dyDescent="0.25">
      <c r="A756">
        <v>46064</v>
      </c>
      <c r="B756" t="s">
        <v>76</v>
      </c>
      <c r="C756" t="s">
        <v>77</v>
      </c>
      <c r="D756" t="s">
        <v>65</v>
      </c>
      <c r="E756" t="s">
        <v>42</v>
      </c>
      <c r="F756" t="s">
        <v>43</v>
      </c>
      <c r="G756" t="s">
        <v>44</v>
      </c>
      <c r="H756" t="s">
        <v>90</v>
      </c>
      <c r="I756" t="s">
        <v>28</v>
      </c>
      <c r="J756" t="s">
        <v>87</v>
      </c>
      <c r="K756">
        <v>2478</v>
      </c>
      <c r="L756">
        <v>17</v>
      </c>
      <c r="M756">
        <v>32.61</v>
      </c>
      <c r="N756">
        <v>0</v>
      </c>
      <c r="O756">
        <v>0</v>
      </c>
      <c r="P756">
        <f t="shared" si="44"/>
        <v>6.8603712671509278E-3</v>
      </c>
      <c r="Q756">
        <f t="shared" si="44"/>
        <v>1.918235294117647</v>
      </c>
      <c r="R756">
        <f t="shared" si="45"/>
        <v>0</v>
      </c>
      <c r="S756">
        <f t="shared" si="46"/>
        <v>0</v>
      </c>
      <c r="T756">
        <f t="shared" si="47"/>
        <v>0</v>
      </c>
      <c r="U756" t="str">
        <f>YEAR('Campaign Data'!$A756)&amp;"-"&amp;TEXT(MONTH('Campaign Data'!$A756),"00")</f>
        <v>2026-02</v>
      </c>
    </row>
    <row r="757" spans="1:21" x14ac:dyDescent="0.25">
      <c r="A757">
        <v>46064</v>
      </c>
      <c r="B757" t="s">
        <v>122</v>
      </c>
      <c r="C757" t="s">
        <v>123</v>
      </c>
      <c r="D757" t="s">
        <v>41</v>
      </c>
      <c r="E757" t="s">
        <v>33</v>
      </c>
      <c r="F757" t="s">
        <v>75</v>
      </c>
      <c r="G757" t="s">
        <v>35</v>
      </c>
      <c r="H757" t="s">
        <v>90</v>
      </c>
      <c r="I757" t="s">
        <v>37</v>
      </c>
      <c r="J757" t="s">
        <v>29</v>
      </c>
      <c r="K757">
        <v>5146</v>
      </c>
      <c r="L757">
        <v>71</v>
      </c>
      <c r="M757">
        <v>10.25</v>
      </c>
      <c r="N757">
        <v>0</v>
      </c>
      <c r="O757">
        <v>0</v>
      </c>
      <c r="P757">
        <f t="shared" si="44"/>
        <v>1.3797123979790129E-2</v>
      </c>
      <c r="Q757">
        <f t="shared" si="44"/>
        <v>0.14436619718309859</v>
      </c>
      <c r="R757">
        <f t="shared" si="45"/>
        <v>0</v>
      </c>
      <c r="S757">
        <f t="shared" si="46"/>
        <v>0</v>
      </c>
      <c r="T757">
        <f t="shared" si="47"/>
        <v>0</v>
      </c>
      <c r="U757" t="str">
        <f>YEAR('Campaign Data'!$A757)&amp;"-"&amp;TEXT(MONTH('Campaign Data'!$A757),"00")</f>
        <v>2026-02</v>
      </c>
    </row>
    <row r="758" spans="1:21" x14ac:dyDescent="0.25">
      <c r="A758">
        <v>46065</v>
      </c>
      <c r="B758" t="s">
        <v>173</v>
      </c>
      <c r="C758" t="s">
        <v>174</v>
      </c>
      <c r="D758" t="s">
        <v>48</v>
      </c>
      <c r="E758" t="s">
        <v>74</v>
      </c>
      <c r="F758" t="s">
        <v>25</v>
      </c>
      <c r="G758" t="s">
        <v>9</v>
      </c>
      <c r="H758" t="s">
        <v>90</v>
      </c>
      <c r="I758" t="s">
        <v>28</v>
      </c>
      <c r="J758" t="s">
        <v>62</v>
      </c>
      <c r="K758">
        <v>18863</v>
      </c>
      <c r="L758">
        <v>892</v>
      </c>
      <c r="M758">
        <v>373.34</v>
      </c>
      <c r="N758">
        <v>57</v>
      </c>
      <c r="O758">
        <v>2481.69</v>
      </c>
      <c r="P758">
        <f t="shared" si="44"/>
        <v>4.7288342257329162E-2</v>
      </c>
      <c r="Q758">
        <f t="shared" si="44"/>
        <v>0.41854260089686096</v>
      </c>
      <c r="R758">
        <f t="shared" si="45"/>
        <v>6.5498245614035087</v>
      </c>
      <c r="S758">
        <f t="shared" si="46"/>
        <v>6.6472652274066544</v>
      </c>
      <c r="T758">
        <f t="shared" si="47"/>
        <v>6.3901345291479825E-2</v>
      </c>
      <c r="U758" t="str">
        <f>YEAR('Campaign Data'!$A758)&amp;"-"&amp;TEXT(MONTH('Campaign Data'!$A758),"00")</f>
        <v>2026-02</v>
      </c>
    </row>
    <row r="759" spans="1:21" x14ac:dyDescent="0.25">
      <c r="A759">
        <v>46065</v>
      </c>
      <c r="B759" t="s">
        <v>125</v>
      </c>
      <c r="C759" t="s">
        <v>126</v>
      </c>
      <c r="D759" t="s">
        <v>41</v>
      </c>
      <c r="E759" t="s">
        <v>42</v>
      </c>
      <c r="F759" t="s">
        <v>81</v>
      </c>
      <c r="G759" t="s">
        <v>44</v>
      </c>
      <c r="H759" t="s">
        <v>90</v>
      </c>
      <c r="I759" t="s">
        <v>28</v>
      </c>
      <c r="J759" t="s">
        <v>45</v>
      </c>
      <c r="K759">
        <v>10083</v>
      </c>
      <c r="L759">
        <v>74</v>
      </c>
      <c r="M759">
        <v>114.61</v>
      </c>
      <c r="N759">
        <v>3</v>
      </c>
      <c r="O759">
        <v>21.69</v>
      </c>
      <c r="P759">
        <f t="shared" si="44"/>
        <v>7.3390855896062679E-3</v>
      </c>
      <c r="Q759">
        <f t="shared" si="44"/>
        <v>1.5487837837837837</v>
      </c>
      <c r="R759">
        <f t="shared" si="45"/>
        <v>38.203333333333333</v>
      </c>
      <c r="S759">
        <f t="shared" si="46"/>
        <v>0.18925050170142221</v>
      </c>
      <c r="T759">
        <f t="shared" si="47"/>
        <v>4.0540540540540543E-2</v>
      </c>
      <c r="U759" t="str">
        <f>YEAR('Campaign Data'!$A759)&amp;"-"&amp;TEXT(MONTH('Campaign Data'!$A759),"00")</f>
        <v>2026-02</v>
      </c>
    </row>
    <row r="760" spans="1:21" x14ac:dyDescent="0.25">
      <c r="A760">
        <v>46065</v>
      </c>
      <c r="B760" t="s">
        <v>149</v>
      </c>
      <c r="C760" t="s">
        <v>150</v>
      </c>
      <c r="D760" t="s">
        <v>65</v>
      </c>
      <c r="E760" t="s">
        <v>33</v>
      </c>
      <c r="F760" t="s">
        <v>43</v>
      </c>
      <c r="G760" t="s">
        <v>59</v>
      </c>
      <c r="H760" t="s">
        <v>55</v>
      </c>
      <c r="I760" t="s">
        <v>28</v>
      </c>
      <c r="J760" t="s">
        <v>29</v>
      </c>
      <c r="K760">
        <v>2668</v>
      </c>
      <c r="L760">
        <v>13</v>
      </c>
      <c r="M760">
        <v>6.51</v>
      </c>
      <c r="N760">
        <v>1</v>
      </c>
      <c r="O760">
        <v>15.14</v>
      </c>
      <c r="P760">
        <f t="shared" si="44"/>
        <v>4.8725637181409294E-3</v>
      </c>
      <c r="Q760">
        <f t="shared" si="44"/>
        <v>0.50076923076923074</v>
      </c>
      <c r="R760">
        <f t="shared" si="45"/>
        <v>6.51</v>
      </c>
      <c r="S760">
        <f t="shared" si="46"/>
        <v>2.3256528417818743</v>
      </c>
      <c r="T760">
        <f t="shared" si="47"/>
        <v>7.6923076923076927E-2</v>
      </c>
      <c r="U760" t="str">
        <f>YEAR('Campaign Data'!$A760)&amp;"-"&amp;TEXT(MONTH('Campaign Data'!$A760),"00")</f>
        <v>2026-02</v>
      </c>
    </row>
    <row r="761" spans="1:21" x14ac:dyDescent="0.25">
      <c r="A761">
        <v>46065</v>
      </c>
      <c r="B761" t="s">
        <v>46</v>
      </c>
      <c r="C761" t="s">
        <v>47</v>
      </c>
      <c r="D761" t="s">
        <v>48</v>
      </c>
      <c r="E761" t="s">
        <v>49</v>
      </c>
      <c r="F761" t="s">
        <v>43</v>
      </c>
      <c r="G761" t="s">
        <v>50</v>
      </c>
      <c r="H761" t="s">
        <v>71</v>
      </c>
      <c r="I761" t="s">
        <v>28</v>
      </c>
      <c r="J761" t="s">
        <v>29</v>
      </c>
      <c r="K761">
        <v>27450</v>
      </c>
      <c r="L761">
        <v>1310</v>
      </c>
      <c r="M761">
        <v>1995.08</v>
      </c>
      <c r="N761">
        <v>86</v>
      </c>
      <c r="O761">
        <v>2707.26</v>
      </c>
      <c r="P761">
        <f t="shared" si="44"/>
        <v>4.7723132969034611E-2</v>
      </c>
      <c r="Q761">
        <f t="shared" si="44"/>
        <v>1.5229618320610687</v>
      </c>
      <c r="R761">
        <f t="shared" si="45"/>
        <v>23.198604651162789</v>
      </c>
      <c r="S761">
        <f t="shared" si="46"/>
        <v>1.3569681416284061</v>
      </c>
      <c r="T761">
        <f t="shared" si="47"/>
        <v>6.5648854961832065E-2</v>
      </c>
      <c r="U761" t="str">
        <f>YEAR('Campaign Data'!$A761)&amp;"-"&amp;TEXT(MONTH('Campaign Data'!$A761),"00")</f>
        <v>2026-02</v>
      </c>
    </row>
    <row r="762" spans="1:21" x14ac:dyDescent="0.25">
      <c r="A762">
        <v>46065</v>
      </c>
      <c r="B762" t="s">
        <v>100</v>
      </c>
      <c r="C762" t="s">
        <v>101</v>
      </c>
      <c r="D762" t="s">
        <v>80</v>
      </c>
      <c r="E762" t="s">
        <v>33</v>
      </c>
      <c r="F762" t="s">
        <v>25</v>
      </c>
      <c r="G762" t="s">
        <v>102</v>
      </c>
      <c r="H762" t="s">
        <v>90</v>
      </c>
      <c r="I762" t="s">
        <v>37</v>
      </c>
      <c r="J762" t="s">
        <v>38</v>
      </c>
      <c r="K762">
        <v>7101</v>
      </c>
      <c r="L762">
        <v>89</v>
      </c>
      <c r="M762">
        <v>16.18</v>
      </c>
      <c r="N762">
        <v>4</v>
      </c>
      <c r="O762">
        <v>167.83</v>
      </c>
      <c r="P762">
        <f t="shared" si="44"/>
        <v>1.253344599352204E-2</v>
      </c>
      <c r="Q762">
        <f t="shared" si="44"/>
        <v>0.18179775280898877</v>
      </c>
      <c r="R762">
        <f t="shared" si="45"/>
        <v>4.0449999999999999</v>
      </c>
      <c r="S762">
        <f t="shared" si="46"/>
        <v>10.372682323856614</v>
      </c>
      <c r="T762">
        <f t="shared" si="47"/>
        <v>4.49438202247191E-2</v>
      </c>
      <c r="U762" t="str">
        <f>YEAR('Campaign Data'!$A762)&amp;"-"&amp;TEXT(MONTH('Campaign Data'!$A762),"00")</f>
        <v>2026-02</v>
      </c>
    </row>
    <row r="763" spans="1:21" x14ac:dyDescent="0.25">
      <c r="A763">
        <v>46065</v>
      </c>
      <c r="B763" t="s">
        <v>127</v>
      </c>
      <c r="C763" t="s">
        <v>128</v>
      </c>
      <c r="D763" t="s">
        <v>58</v>
      </c>
      <c r="E763" t="s">
        <v>24</v>
      </c>
      <c r="F763" t="s">
        <v>81</v>
      </c>
      <c r="G763" t="s">
        <v>129</v>
      </c>
      <c r="H763" t="s">
        <v>51</v>
      </c>
      <c r="I763" t="s">
        <v>37</v>
      </c>
      <c r="J763" t="s">
        <v>87</v>
      </c>
      <c r="K763">
        <v>4245</v>
      </c>
      <c r="L763">
        <v>64</v>
      </c>
      <c r="M763">
        <v>52.94</v>
      </c>
      <c r="N763">
        <v>1</v>
      </c>
      <c r="O763">
        <v>14.54</v>
      </c>
      <c r="P763">
        <f t="shared" si="44"/>
        <v>1.5076560659599529E-2</v>
      </c>
      <c r="Q763">
        <f t="shared" si="44"/>
        <v>0.82718749999999996</v>
      </c>
      <c r="R763">
        <f t="shared" si="45"/>
        <v>52.94</v>
      </c>
      <c r="S763">
        <f t="shared" si="46"/>
        <v>0.27465054778995091</v>
      </c>
      <c r="T763">
        <f t="shared" si="47"/>
        <v>1.5625E-2</v>
      </c>
      <c r="U763" t="str">
        <f>YEAR('Campaign Data'!$A763)&amp;"-"&amp;TEXT(MONTH('Campaign Data'!$A763),"00")</f>
        <v>2026-02</v>
      </c>
    </row>
    <row r="764" spans="1:21" x14ac:dyDescent="0.25">
      <c r="A764">
        <v>46065</v>
      </c>
      <c r="B764" t="s">
        <v>132</v>
      </c>
      <c r="C764" t="s">
        <v>133</v>
      </c>
      <c r="D764" t="s">
        <v>23</v>
      </c>
      <c r="E764" t="s">
        <v>42</v>
      </c>
      <c r="F764" t="s">
        <v>75</v>
      </c>
      <c r="G764" t="s">
        <v>84</v>
      </c>
      <c r="H764" t="s">
        <v>71</v>
      </c>
      <c r="I764" t="s">
        <v>28</v>
      </c>
      <c r="J764" t="s">
        <v>87</v>
      </c>
      <c r="K764">
        <v>14004</v>
      </c>
      <c r="L764">
        <v>60</v>
      </c>
      <c r="M764">
        <v>271.02999999999997</v>
      </c>
      <c r="N764">
        <v>6</v>
      </c>
      <c r="O764">
        <v>201.62</v>
      </c>
      <c r="P764">
        <f t="shared" si="44"/>
        <v>4.2844901456726651E-3</v>
      </c>
      <c r="Q764">
        <f t="shared" si="44"/>
        <v>4.5171666666666663</v>
      </c>
      <c r="R764">
        <f t="shared" si="45"/>
        <v>45.17166666666666</v>
      </c>
      <c r="S764">
        <f t="shared" si="46"/>
        <v>0.74390288897907986</v>
      </c>
      <c r="T764">
        <f t="shared" si="47"/>
        <v>0.1</v>
      </c>
      <c r="U764" t="str">
        <f>YEAR('Campaign Data'!$A764)&amp;"-"&amp;TEXT(MONTH('Campaign Data'!$A764),"00")</f>
        <v>2026-02</v>
      </c>
    </row>
    <row r="765" spans="1:21" x14ac:dyDescent="0.25">
      <c r="A765">
        <v>46065</v>
      </c>
      <c r="B765" t="s">
        <v>177</v>
      </c>
      <c r="C765" t="s">
        <v>178</v>
      </c>
      <c r="D765" t="s">
        <v>41</v>
      </c>
      <c r="E765" t="s">
        <v>49</v>
      </c>
      <c r="F765" t="s">
        <v>34</v>
      </c>
      <c r="G765" t="s">
        <v>107</v>
      </c>
      <c r="H765" t="s">
        <v>55</v>
      </c>
      <c r="I765" t="s">
        <v>37</v>
      </c>
      <c r="J765" t="s">
        <v>29</v>
      </c>
      <c r="K765">
        <v>4115</v>
      </c>
      <c r="L765">
        <v>142</v>
      </c>
      <c r="M765">
        <v>260.20999999999998</v>
      </c>
      <c r="N765">
        <v>5</v>
      </c>
      <c r="O765">
        <v>881.26</v>
      </c>
      <c r="P765">
        <f t="shared" si="44"/>
        <v>3.450789793438639E-2</v>
      </c>
      <c r="Q765">
        <f t="shared" si="44"/>
        <v>1.8324647887323942</v>
      </c>
      <c r="R765">
        <f t="shared" si="45"/>
        <v>52.041999999999994</v>
      </c>
      <c r="S765">
        <f t="shared" si="46"/>
        <v>3.3867261058375928</v>
      </c>
      <c r="T765">
        <f t="shared" si="47"/>
        <v>3.5211267605633804E-2</v>
      </c>
      <c r="U765" t="str">
        <f>YEAR('Campaign Data'!$A765)&amp;"-"&amp;TEXT(MONTH('Campaign Data'!$A765),"00")</f>
        <v>2026-02</v>
      </c>
    </row>
    <row r="766" spans="1:21" x14ac:dyDescent="0.25">
      <c r="A766">
        <v>46065</v>
      </c>
      <c r="B766" t="s">
        <v>153</v>
      </c>
      <c r="C766" t="s">
        <v>154</v>
      </c>
      <c r="D766" t="s">
        <v>48</v>
      </c>
      <c r="E766" t="s">
        <v>33</v>
      </c>
      <c r="F766" t="s">
        <v>43</v>
      </c>
      <c r="G766" t="s">
        <v>59</v>
      </c>
      <c r="H766" t="s">
        <v>60</v>
      </c>
      <c r="I766" t="s">
        <v>37</v>
      </c>
      <c r="J766" t="s">
        <v>29</v>
      </c>
      <c r="K766">
        <v>16344</v>
      </c>
      <c r="L766">
        <v>49</v>
      </c>
      <c r="M766">
        <v>36.39</v>
      </c>
      <c r="N766">
        <v>1</v>
      </c>
      <c r="O766">
        <v>31.46</v>
      </c>
      <c r="P766">
        <f t="shared" si="44"/>
        <v>2.9980420949583947E-3</v>
      </c>
      <c r="Q766">
        <f t="shared" si="44"/>
        <v>0.74265306122448982</v>
      </c>
      <c r="R766">
        <f t="shared" si="45"/>
        <v>36.39</v>
      </c>
      <c r="S766">
        <f t="shared" si="46"/>
        <v>0.86452322066501786</v>
      </c>
      <c r="T766">
        <f t="shared" si="47"/>
        <v>2.0408163265306121E-2</v>
      </c>
      <c r="U766" t="str">
        <f>YEAR('Campaign Data'!$A766)&amp;"-"&amp;TEXT(MONTH('Campaign Data'!$A766),"00")</f>
        <v>2026-02</v>
      </c>
    </row>
    <row r="767" spans="1:21" x14ac:dyDescent="0.25">
      <c r="A767">
        <v>46065</v>
      </c>
      <c r="B767" t="s">
        <v>179</v>
      </c>
      <c r="C767" t="s">
        <v>180</v>
      </c>
      <c r="D767" t="s">
        <v>58</v>
      </c>
      <c r="E767" t="s">
        <v>42</v>
      </c>
      <c r="F767" t="s">
        <v>25</v>
      </c>
      <c r="G767" t="s">
        <v>54</v>
      </c>
      <c r="H767" t="s">
        <v>60</v>
      </c>
      <c r="I767" t="s">
        <v>37</v>
      </c>
      <c r="J767" t="s">
        <v>62</v>
      </c>
      <c r="K767">
        <v>4531</v>
      </c>
      <c r="L767">
        <v>31</v>
      </c>
      <c r="M767">
        <v>148.19999999999999</v>
      </c>
      <c r="N767">
        <v>3</v>
      </c>
      <c r="O767">
        <v>154.59</v>
      </c>
      <c r="P767">
        <f t="shared" si="44"/>
        <v>6.8417567865813288E-3</v>
      </c>
      <c r="Q767">
        <f t="shared" si="44"/>
        <v>4.7806451612903222</v>
      </c>
      <c r="R767">
        <f t="shared" si="45"/>
        <v>49.4</v>
      </c>
      <c r="S767">
        <f t="shared" si="46"/>
        <v>1.0431174089068826</v>
      </c>
      <c r="T767">
        <f t="shared" si="47"/>
        <v>9.6774193548387094E-2</v>
      </c>
      <c r="U767" t="str">
        <f>YEAR('Campaign Data'!$A767)&amp;"-"&amp;TEXT(MONTH('Campaign Data'!$A767),"00")</f>
        <v>2026-02</v>
      </c>
    </row>
    <row r="768" spans="1:21" x14ac:dyDescent="0.25">
      <c r="A768">
        <v>46065</v>
      </c>
      <c r="B768" t="s">
        <v>171</v>
      </c>
      <c r="C768" t="s">
        <v>172</v>
      </c>
      <c r="D768" t="s">
        <v>23</v>
      </c>
      <c r="E768" t="s">
        <v>33</v>
      </c>
      <c r="F768" t="s">
        <v>75</v>
      </c>
      <c r="G768" t="s">
        <v>59</v>
      </c>
      <c r="H768" t="s">
        <v>27</v>
      </c>
      <c r="I768" t="s">
        <v>37</v>
      </c>
      <c r="J768" t="s">
        <v>87</v>
      </c>
      <c r="K768">
        <v>4255</v>
      </c>
      <c r="L768">
        <v>32</v>
      </c>
      <c r="M768">
        <v>26.48</v>
      </c>
      <c r="N768">
        <v>1</v>
      </c>
      <c r="O768">
        <v>47.62</v>
      </c>
      <c r="P768">
        <f t="shared" si="44"/>
        <v>7.5205640423031727E-3</v>
      </c>
      <c r="Q768">
        <f t="shared" si="44"/>
        <v>0.82750000000000001</v>
      </c>
      <c r="R768">
        <f t="shared" si="45"/>
        <v>26.48</v>
      </c>
      <c r="S768">
        <f t="shared" si="46"/>
        <v>1.7983383685800602</v>
      </c>
      <c r="T768">
        <f t="shared" si="47"/>
        <v>3.125E-2</v>
      </c>
      <c r="U768" t="str">
        <f>YEAR('Campaign Data'!$A768)&amp;"-"&amp;TEXT(MONTH('Campaign Data'!$A768),"00")</f>
        <v>2026-02</v>
      </c>
    </row>
    <row r="769" spans="1:21" x14ac:dyDescent="0.25">
      <c r="A769">
        <v>46065</v>
      </c>
      <c r="B769" t="s">
        <v>110</v>
      </c>
      <c r="C769" t="s">
        <v>111</v>
      </c>
      <c r="D769" t="s">
        <v>23</v>
      </c>
      <c r="E769" t="s">
        <v>49</v>
      </c>
      <c r="F769" t="s">
        <v>34</v>
      </c>
      <c r="G769" t="s">
        <v>50</v>
      </c>
      <c r="H769" t="s">
        <v>27</v>
      </c>
      <c r="I769" t="s">
        <v>28</v>
      </c>
      <c r="J769" t="s">
        <v>38</v>
      </c>
      <c r="K769">
        <v>5719</v>
      </c>
      <c r="L769">
        <v>188</v>
      </c>
      <c r="M769">
        <v>295.55</v>
      </c>
      <c r="N769">
        <v>5</v>
      </c>
      <c r="O769">
        <v>744.68</v>
      </c>
      <c r="P769">
        <f t="shared" si="44"/>
        <v>3.2872879874103866E-2</v>
      </c>
      <c r="Q769">
        <f t="shared" si="44"/>
        <v>1.5720744680851064</v>
      </c>
      <c r="R769">
        <f t="shared" si="45"/>
        <v>59.11</v>
      </c>
      <c r="S769">
        <f t="shared" si="46"/>
        <v>2.5196413466418539</v>
      </c>
      <c r="T769">
        <f t="shared" si="47"/>
        <v>2.6595744680851064E-2</v>
      </c>
      <c r="U769" t="str">
        <f>YEAR('Campaign Data'!$A769)&amp;"-"&amp;TEXT(MONTH('Campaign Data'!$A769),"00")</f>
        <v>2026-02</v>
      </c>
    </row>
    <row r="770" spans="1:21" x14ac:dyDescent="0.25">
      <c r="A770">
        <v>46065</v>
      </c>
      <c r="B770" t="s">
        <v>110</v>
      </c>
      <c r="C770" t="s">
        <v>111</v>
      </c>
      <c r="D770" t="s">
        <v>23</v>
      </c>
      <c r="E770" t="s">
        <v>49</v>
      </c>
      <c r="F770" t="s">
        <v>34</v>
      </c>
      <c r="G770" t="s">
        <v>50</v>
      </c>
      <c r="H770" t="s">
        <v>90</v>
      </c>
      <c r="I770" t="s">
        <v>37</v>
      </c>
      <c r="J770" t="s">
        <v>29</v>
      </c>
      <c r="K770">
        <v>4601</v>
      </c>
      <c r="L770">
        <v>115</v>
      </c>
      <c r="M770">
        <v>57.35</v>
      </c>
      <c r="N770">
        <v>2</v>
      </c>
      <c r="O770">
        <v>77.84</v>
      </c>
      <c r="P770">
        <f t="shared" ref="P770:Q833" si="48">IF(K770=0,0,L770/K770)</f>
        <v>2.4994566398608999E-2</v>
      </c>
      <c r="Q770">
        <f t="shared" si="48"/>
        <v>0.49869565217391304</v>
      </c>
      <c r="R770">
        <f t="shared" ref="R770:R833" si="49">IF(N770=0,0,M770/N770)</f>
        <v>28.675000000000001</v>
      </c>
      <c r="S770">
        <f t="shared" ref="S770:S833" si="50">IF(M770=0,0,O770/M770)</f>
        <v>1.3572798605056671</v>
      </c>
      <c r="T770">
        <f t="shared" ref="T770:T833" si="51">IF(L770=0,0,N770/L770)</f>
        <v>1.7391304347826087E-2</v>
      </c>
      <c r="U770" t="str">
        <f>YEAR('Campaign Data'!$A770)&amp;"-"&amp;TEXT(MONTH('Campaign Data'!$A770),"00")</f>
        <v>2026-02</v>
      </c>
    </row>
    <row r="771" spans="1:21" x14ac:dyDescent="0.25">
      <c r="A771">
        <v>46065</v>
      </c>
      <c r="B771" t="s">
        <v>134</v>
      </c>
      <c r="C771" t="s">
        <v>135</v>
      </c>
      <c r="D771" t="s">
        <v>32</v>
      </c>
      <c r="E771" t="s">
        <v>74</v>
      </c>
      <c r="F771" t="s">
        <v>25</v>
      </c>
      <c r="G771" t="s">
        <v>107</v>
      </c>
      <c r="H771" t="s">
        <v>36</v>
      </c>
      <c r="I771" t="s">
        <v>61</v>
      </c>
      <c r="J771" t="s">
        <v>38</v>
      </c>
      <c r="K771">
        <v>18599</v>
      </c>
      <c r="L771">
        <v>509</v>
      </c>
      <c r="M771">
        <v>890.27</v>
      </c>
      <c r="N771">
        <v>24</v>
      </c>
      <c r="O771">
        <v>4561.62</v>
      </c>
      <c r="P771">
        <f t="shared" si="48"/>
        <v>2.7367062745308889E-2</v>
      </c>
      <c r="Q771">
        <f t="shared" si="48"/>
        <v>1.7490569744597249</v>
      </c>
      <c r="R771">
        <f t="shared" si="49"/>
        <v>37.094583333333333</v>
      </c>
      <c r="S771">
        <f t="shared" si="50"/>
        <v>5.1238613005043412</v>
      </c>
      <c r="T771">
        <f t="shared" si="51"/>
        <v>4.7151277013752456E-2</v>
      </c>
      <c r="U771" t="str">
        <f>YEAR('Campaign Data'!$A771)&amp;"-"&amp;TEXT(MONTH('Campaign Data'!$A771),"00")</f>
        <v>2026-02</v>
      </c>
    </row>
    <row r="772" spans="1:21" x14ac:dyDescent="0.25">
      <c r="A772">
        <v>46065</v>
      </c>
      <c r="B772" t="s">
        <v>181</v>
      </c>
      <c r="C772" t="s">
        <v>182</v>
      </c>
      <c r="D772" t="s">
        <v>32</v>
      </c>
      <c r="E772" t="s">
        <v>33</v>
      </c>
      <c r="F772" t="s">
        <v>75</v>
      </c>
      <c r="G772" t="s">
        <v>59</v>
      </c>
      <c r="H772" t="s">
        <v>90</v>
      </c>
      <c r="I772" t="s">
        <v>37</v>
      </c>
      <c r="J772" t="s">
        <v>87</v>
      </c>
      <c r="K772">
        <v>9169</v>
      </c>
      <c r="L772">
        <v>58</v>
      </c>
      <c r="M772">
        <v>11.74</v>
      </c>
      <c r="N772">
        <v>0</v>
      </c>
      <c r="O772">
        <v>0</v>
      </c>
      <c r="P772">
        <f t="shared" si="48"/>
        <v>6.3256625586214418E-3</v>
      </c>
      <c r="Q772">
        <f t="shared" si="48"/>
        <v>0.20241379310344829</v>
      </c>
      <c r="R772">
        <f t="shared" si="49"/>
        <v>0</v>
      </c>
      <c r="S772">
        <f t="shared" si="50"/>
        <v>0</v>
      </c>
      <c r="T772">
        <f t="shared" si="51"/>
        <v>0</v>
      </c>
      <c r="U772" t="str">
        <f>YEAR('Campaign Data'!$A772)&amp;"-"&amp;TEXT(MONTH('Campaign Data'!$A772),"00")</f>
        <v>2026-02</v>
      </c>
    </row>
    <row r="773" spans="1:21" x14ac:dyDescent="0.25">
      <c r="A773">
        <v>46065</v>
      </c>
      <c r="B773" t="s">
        <v>181</v>
      </c>
      <c r="C773" t="s">
        <v>182</v>
      </c>
      <c r="D773" t="s">
        <v>32</v>
      </c>
      <c r="E773" t="s">
        <v>33</v>
      </c>
      <c r="F773" t="s">
        <v>75</v>
      </c>
      <c r="G773" t="s">
        <v>59</v>
      </c>
      <c r="H773" t="s">
        <v>36</v>
      </c>
      <c r="I773" t="s">
        <v>37</v>
      </c>
      <c r="J773" t="s">
        <v>38</v>
      </c>
      <c r="K773">
        <v>3468</v>
      </c>
      <c r="L773">
        <v>33</v>
      </c>
      <c r="M773">
        <v>21.57</v>
      </c>
      <c r="N773">
        <v>0</v>
      </c>
      <c r="O773">
        <v>0</v>
      </c>
      <c r="P773">
        <f t="shared" si="48"/>
        <v>9.5155709342560554E-3</v>
      </c>
      <c r="Q773">
        <f t="shared" si="48"/>
        <v>0.65363636363636368</v>
      </c>
      <c r="R773">
        <f t="shared" si="49"/>
        <v>0</v>
      </c>
      <c r="S773">
        <f t="shared" si="50"/>
        <v>0</v>
      </c>
      <c r="T773">
        <f t="shared" si="51"/>
        <v>0</v>
      </c>
      <c r="U773" t="str">
        <f>YEAR('Campaign Data'!$A773)&amp;"-"&amp;TEXT(MONTH('Campaign Data'!$A773),"00")</f>
        <v>2026-02</v>
      </c>
    </row>
    <row r="774" spans="1:21" x14ac:dyDescent="0.25">
      <c r="A774">
        <v>46065</v>
      </c>
      <c r="B774" t="s">
        <v>56</v>
      </c>
      <c r="C774" t="s">
        <v>57</v>
      </c>
      <c r="D774" t="s">
        <v>58</v>
      </c>
      <c r="E774" t="s">
        <v>33</v>
      </c>
      <c r="F774" t="s">
        <v>43</v>
      </c>
      <c r="G774" t="s">
        <v>59</v>
      </c>
      <c r="H774" t="s">
        <v>90</v>
      </c>
      <c r="I774" t="s">
        <v>37</v>
      </c>
      <c r="J774" t="s">
        <v>62</v>
      </c>
      <c r="K774">
        <v>3061</v>
      </c>
      <c r="L774">
        <v>25</v>
      </c>
      <c r="M774">
        <v>4.18</v>
      </c>
      <c r="N774">
        <v>0</v>
      </c>
      <c r="O774">
        <v>0</v>
      </c>
      <c r="P774">
        <f t="shared" si="48"/>
        <v>8.1672655994772941E-3</v>
      </c>
      <c r="Q774">
        <f t="shared" si="48"/>
        <v>0.16719999999999999</v>
      </c>
      <c r="R774">
        <f t="shared" si="49"/>
        <v>0</v>
      </c>
      <c r="S774">
        <f t="shared" si="50"/>
        <v>0</v>
      </c>
      <c r="T774">
        <f t="shared" si="51"/>
        <v>0</v>
      </c>
      <c r="U774" t="str">
        <f>YEAR('Campaign Data'!$A774)&amp;"-"&amp;TEXT(MONTH('Campaign Data'!$A774),"00")</f>
        <v>2026-02</v>
      </c>
    </row>
    <row r="775" spans="1:21" x14ac:dyDescent="0.25">
      <c r="A775">
        <v>46065</v>
      </c>
      <c r="B775" t="s">
        <v>141</v>
      </c>
      <c r="C775" t="s">
        <v>142</v>
      </c>
      <c r="D775" t="s">
        <v>80</v>
      </c>
      <c r="E775" t="s">
        <v>49</v>
      </c>
      <c r="F775" t="s">
        <v>81</v>
      </c>
      <c r="G775" t="s">
        <v>97</v>
      </c>
      <c r="H775" t="s">
        <v>90</v>
      </c>
      <c r="I775" t="s">
        <v>37</v>
      </c>
      <c r="J775" t="s">
        <v>45</v>
      </c>
      <c r="K775">
        <v>6495</v>
      </c>
      <c r="L775">
        <v>346</v>
      </c>
      <c r="M775">
        <v>169.23</v>
      </c>
      <c r="N775">
        <v>15</v>
      </c>
      <c r="O775">
        <v>85.07</v>
      </c>
      <c r="P775">
        <f t="shared" si="48"/>
        <v>5.3271747498075443E-2</v>
      </c>
      <c r="Q775">
        <f t="shared" si="48"/>
        <v>0.48910404624277454</v>
      </c>
      <c r="R775">
        <f t="shared" si="49"/>
        <v>11.282</v>
      </c>
      <c r="S775">
        <f t="shared" si="50"/>
        <v>0.50268864858476625</v>
      </c>
      <c r="T775">
        <f t="shared" si="51"/>
        <v>4.3352601156069363E-2</v>
      </c>
      <c r="U775" t="str">
        <f>YEAR('Campaign Data'!$A775)&amp;"-"&amp;TEXT(MONTH('Campaign Data'!$A775),"00")</f>
        <v>2026-02</v>
      </c>
    </row>
    <row r="776" spans="1:21" x14ac:dyDescent="0.25">
      <c r="A776">
        <v>46065</v>
      </c>
      <c r="B776" t="s">
        <v>136</v>
      </c>
      <c r="C776" t="s">
        <v>137</v>
      </c>
      <c r="D776" t="s">
        <v>32</v>
      </c>
      <c r="E776" t="s">
        <v>49</v>
      </c>
      <c r="F776" t="s">
        <v>75</v>
      </c>
      <c r="G776" t="s">
        <v>97</v>
      </c>
      <c r="H776" t="s">
        <v>51</v>
      </c>
      <c r="I776" t="s">
        <v>28</v>
      </c>
      <c r="J776" t="s">
        <v>62</v>
      </c>
      <c r="K776">
        <v>39772</v>
      </c>
      <c r="L776">
        <v>1298</v>
      </c>
      <c r="M776">
        <v>1974.93</v>
      </c>
      <c r="N776">
        <v>78</v>
      </c>
      <c r="O776">
        <v>2624.34</v>
      </c>
      <c r="P776">
        <f t="shared" si="48"/>
        <v>3.2636025344463443E-2</v>
      </c>
      <c r="Q776">
        <f t="shared" si="48"/>
        <v>1.5215177195685672</v>
      </c>
      <c r="R776">
        <f t="shared" si="49"/>
        <v>25.319615384615386</v>
      </c>
      <c r="S776">
        <f t="shared" si="50"/>
        <v>1.3288268444957543</v>
      </c>
      <c r="T776">
        <f t="shared" si="51"/>
        <v>6.0092449922958396E-2</v>
      </c>
      <c r="U776" t="str">
        <f>YEAR('Campaign Data'!$A776)&amp;"-"&amp;TEXT(MONTH('Campaign Data'!$A776),"00")</f>
        <v>2026-02</v>
      </c>
    </row>
    <row r="777" spans="1:21" x14ac:dyDescent="0.25">
      <c r="A777">
        <v>46065</v>
      </c>
      <c r="B777" t="s">
        <v>136</v>
      </c>
      <c r="C777" t="s">
        <v>137</v>
      </c>
      <c r="D777" t="s">
        <v>32</v>
      </c>
      <c r="E777" t="s">
        <v>49</v>
      </c>
      <c r="F777" t="s">
        <v>75</v>
      </c>
      <c r="G777" t="s">
        <v>97</v>
      </c>
      <c r="H777" t="s">
        <v>90</v>
      </c>
      <c r="I777" t="s">
        <v>28</v>
      </c>
      <c r="J777" t="s">
        <v>87</v>
      </c>
      <c r="K777">
        <v>5146</v>
      </c>
      <c r="L777">
        <v>292</v>
      </c>
      <c r="M777">
        <v>133.88</v>
      </c>
      <c r="N777">
        <v>8</v>
      </c>
      <c r="O777">
        <v>63.31</v>
      </c>
      <c r="P777">
        <f t="shared" si="48"/>
        <v>5.6743101438010105E-2</v>
      </c>
      <c r="Q777">
        <f t="shared" si="48"/>
        <v>0.45849315068493152</v>
      </c>
      <c r="R777">
        <f t="shared" si="49"/>
        <v>16.734999999999999</v>
      </c>
      <c r="S777">
        <f t="shared" si="50"/>
        <v>0.47288616671646255</v>
      </c>
      <c r="T777">
        <f t="shared" si="51"/>
        <v>2.7397260273972601E-2</v>
      </c>
      <c r="U777" t="str">
        <f>YEAR('Campaign Data'!$A777)&amp;"-"&amp;TEXT(MONTH('Campaign Data'!$A777),"00")</f>
        <v>2026-02</v>
      </c>
    </row>
    <row r="778" spans="1:21" x14ac:dyDescent="0.25">
      <c r="A778">
        <v>46065</v>
      </c>
      <c r="B778" t="s">
        <v>76</v>
      </c>
      <c r="C778" t="s">
        <v>77</v>
      </c>
      <c r="D778" t="s">
        <v>65</v>
      </c>
      <c r="E778" t="s">
        <v>42</v>
      </c>
      <c r="F778" t="s">
        <v>43</v>
      </c>
      <c r="G778" t="s">
        <v>44</v>
      </c>
      <c r="H778" t="s">
        <v>36</v>
      </c>
      <c r="I778" t="s">
        <v>37</v>
      </c>
      <c r="J778" t="s">
        <v>45</v>
      </c>
      <c r="K778">
        <v>3903</v>
      </c>
      <c r="L778">
        <v>19</v>
      </c>
      <c r="M778">
        <v>131.34</v>
      </c>
      <c r="N778">
        <v>1</v>
      </c>
      <c r="O778">
        <v>18.21</v>
      </c>
      <c r="P778">
        <f t="shared" si="48"/>
        <v>4.8680502177811938E-3</v>
      </c>
      <c r="Q778">
        <f t="shared" si="48"/>
        <v>6.9126315789473685</v>
      </c>
      <c r="R778">
        <f t="shared" si="49"/>
        <v>131.34</v>
      </c>
      <c r="S778">
        <f t="shared" si="50"/>
        <v>0.13864778437642761</v>
      </c>
      <c r="T778">
        <f t="shared" si="51"/>
        <v>5.2631578947368418E-2</v>
      </c>
      <c r="U778" t="str">
        <f>YEAR('Campaign Data'!$A778)&amp;"-"&amp;TEXT(MONTH('Campaign Data'!$A778),"00")</f>
        <v>2026-02</v>
      </c>
    </row>
    <row r="779" spans="1:21" x14ac:dyDescent="0.25">
      <c r="A779">
        <v>46066</v>
      </c>
      <c r="B779" t="s">
        <v>125</v>
      </c>
      <c r="C779" t="s">
        <v>126</v>
      </c>
      <c r="D779" t="s">
        <v>41</v>
      </c>
      <c r="E779" t="s">
        <v>42</v>
      </c>
      <c r="F779" t="s">
        <v>81</v>
      </c>
      <c r="G779" t="s">
        <v>44</v>
      </c>
      <c r="H779" t="s">
        <v>60</v>
      </c>
      <c r="I779" t="s">
        <v>28</v>
      </c>
      <c r="J779" t="s">
        <v>45</v>
      </c>
      <c r="K779">
        <v>3389</v>
      </c>
      <c r="L779">
        <v>15</v>
      </c>
      <c r="M779">
        <v>121.37</v>
      </c>
      <c r="N779">
        <v>0</v>
      </c>
      <c r="O779">
        <v>0</v>
      </c>
      <c r="P779">
        <f t="shared" si="48"/>
        <v>4.4260843906757151E-3</v>
      </c>
      <c r="Q779">
        <f t="shared" si="48"/>
        <v>8.091333333333333</v>
      </c>
      <c r="R779">
        <f t="shared" si="49"/>
        <v>0</v>
      </c>
      <c r="S779">
        <f t="shared" si="50"/>
        <v>0</v>
      </c>
      <c r="T779">
        <f t="shared" si="51"/>
        <v>0</v>
      </c>
      <c r="U779" t="str">
        <f>YEAR('Campaign Data'!$A779)&amp;"-"&amp;TEXT(MONTH('Campaign Data'!$A779),"00")</f>
        <v>2026-02</v>
      </c>
    </row>
    <row r="780" spans="1:21" x14ac:dyDescent="0.25">
      <c r="A780">
        <v>46066</v>
      </c>
      <c r="B780" t="s">
        <v>138</v>
      </c>
      <c r="C780" t="s">
        <v>139</v>
      </c>
      <c r="D780" t="s">
        <v>58</v>
      </c>
      <c r="E780" t="s">
        <v>74</v>
      </c>
      <c r="F780" t="s">
        <v>34</v>
      </c>
      <c r="G780" t="s">
        <v>9</v>
      </c>
      <c r="H780" t="s">
        <v>36</v>
      </c>
      <c r="I780" t="s">
        <v>37</v>
      </c>
      <c r="J780" t="s">
        <v>62</v>
      </c>
      <c r="K780">
        <v>8137</v>
      </c>
      <c r="L780">
        <v>250</v>
      </c>
      <c r="M780">
        <v>357.49</v>
      </c>
      <c r="N780">
        <v>12</v>
      </c>
      <c r="O780">
        <v>1915.04</v>
      </c>
      <c r="P780">
        <f t="shared" si="48"/>
        <v>3.0723854000245791E-2</v>
      </c>
      <c r="Q780">
        <f t="shared" si="48"/>
        <v>1.4299600000000001</v>
      </c>
      <c r="R780">
        <f t="shared" si="49"/>
        <v>29.790833333333335</v>
      </c>
      <c r="S780">
        <f t="shared" si="50"/>
        <v>5.3569050882542166</v>
      </c>
      <c r="T780">
        <f t="shared" si="51"/>
        <v>4.8000000000000001E-2</v>
      </c>
      <c r="U780" t="str">
        <f>YEAR('Campaign Data'!$A780)&amp;"-"&amp;TEXT(MONTH('Campaign Data'!$A780),"00")</f>
        <v>2026-02</v>
      </c>
    </row>
    <row r="781" spans="1:21" x14ac:dyDescent="0.25">
      <c r="A781">
        <v>46066</v>
      </c>
      <c r="B781" t="s">
        <v>95</v>
      </c>
      <c r="C781" t="s">
        <v>96</v>
      </c>
      <c r="D781" t="s">
        <v>23</v>
      </c>
      <c r="E781" t="s">
        <v>49</v>
      </c>
      <c r="F781" t="s">
        <v>43</v>
      </c>
      <c r="G781" t="s">
        <v>97</v>
      </c>
      <c r="H781" t="s">
        <v>51</v>
      </c>
      <c r="I781" t="s">
        <v>28</v>
      </c>
      <c r="J781" t="s">
        <v>87</v>
      </c>
      <c r="K781">
        <v>5762</v>
      </c>
      <c r="L781">
        <v>248</v>
      </c>
      <c r="M781">
        <v>457.44</v>
      </c>
      <c r="N781">
        <v>14</v>
      </c>
      <c r="O781">
        <v>271.2</v>
      </c>
      <c r="P781">
        <f t="shared" si="48"/>
        <v>4.3040610898993407E-2</v>
      </c>
      <c r="Q781">
        <f t="shared" si="48"/>
        <v>1.844516129032258</v>
      </c>
      <c r="R781">
        <f t="shared" si="49"/>
        <v>32.674285714285716</v>
      </c>
      <c r="S781">
        <f t="shared" si="50"/>
        <v>0.59286463798530953</v>
      </c>
      <c r="T781">
        <f t="shared" si="51"/>
        <v>5.6451612903225805E-2</v>
      </c>
      <c r="U781" t="str">
        <f>YEAR('Campaign Data'!$A781)&amp;"-"&amp;TEXT(MONTH('Campaign Data'!$A781),"00")</f>
        <v>2026-02</v>
      </c>
    </row>
    <row r="782" spans="1:21" x14ac:dyDescent="0.25">
      <c r="A782">
        <v>46066</v>
      </c>
      <c r="B782" t="s">
        <v>151</v>
      </c>
      <c r="C782" t="s">
        <v>152</v>
      </c>
      <c r="D782" t="s">
        <v>48</v>
      </c>
      <c r="E782" t="s">
        <v>24</v>
      </c>
      <c r="F782" t="s">
        <v>81</v>
      </c>
      <c r="G782" t="s">
        <v>129</v>
      </c>
      <c r="H782" t="s">
        <v>51</v>
      </c>
      <c r="I782" t="s">
        <v>37</v>
      </c>
      <c r="J782" t="s">
        <v>62</v>
      </c>
      <c r="K782">
        <v>1040</v>
      </c>
      <c r="L782">
        <v>14</v>
      </c>
      <c r="M782">
        <v>15.5</v>
      </c>
      <c r="N782">
        <v>0</v>
      </c>
      <c r="O782">
        <v>0</v>
      </c>
      <c r="P782">
        <f t="shared" si="48"/>
        <v>1.3461538461538462E-2</v>
      </c>
      <c r="Q782">
        <f t="shared" si="48"/>
        <v>1.1071428571428572</v>
      </c>
      <c r="R782">
        <f t="shared" si="49"/>
        <v>0</v>
      </c>
      <c r="S782">
        <f t="shared" si="50"/>
        <v>0</v>
      </c>
      <c r="T782">
        <f t="shared" si="51"/>
        <v>0</v>
      </c>
      <c r="U782" t="str">
        <f>YEAR('Campaign Data'!$A782)&amp;"-"&amp;TEXT(MONTH('Campaign Data'!$A782),"00")</f>
        <v>2026-02</v>
      </c>
    </row>
    <row r="783" spans="1:21" x14ac:dyDescent="0.25">
      <c r="A783">
        <v>46066</v>
      </c>
      <c r="B783" t="s">
        <v>151</v>
      </c>
      <c r="C783" t="s">
        <v>152</v>
      </c>
      <c r="D783" t="s">
        <v>48</v>
      </c>
      <c r="E783" t="s">
        <v>24</v>
      </c>
      <c r="F783" t="s">
        <v>81</v>
      </c>
      <c r="G783" t="s">
        <v>129</v>
      </c>
      <c r="H783" t="s">
        <v>90</v>
      </c>
      <c r="I783" t="s">
        <v>37</v>
      </c>
      <c r="J783" t="s">
        <v>62</v>
      </c>
      <c r="K783">
        <v>3034</v>
      </c>
      <c r="L783">
        <v>28</v>
      </c>
      <c r="M783">
        <v>6.66</v>
      </c>
      <c r="N783">
        <v>1</v>
      </c>
      <c r="O783">
        <v>5.7</v>
      </c>
      <c r="P783">
        <f t="shared" si="48"/>
        <v>9.2287409360580098E-3</v>
      </c>
      <c r="Q783">
        <f t="shared" si="48"/>
        <v>0.23785714285714285</v>
      </c>
      <c r="R783">
        <f t="shared" si="49"/>
        <v>6.66</v>
      </c>
      <c r="S783">
        <f t="shared" si="50"/>
        <v>0.85585585585585588</v>
      </c>
      <c r="T783">
        <f t="shared" si="51"/>
        <v>3.5714285714285712E-2</v>
      </c>
      <c r="U783" t="str">
        <f>YEAR('Campaign Data'!$A783)&amp;"-"&amp;TEXT(MONTH('Campaign Data'!$A783),"00")</f>
        <v>2026-02</v>
      </c>
    </row>
    <row r="784" spans="1:21" x14ac:dyDescent="0.25">
      <c r="A784">
        <v>46066</v>
      </c>
      <c r="B784" t="s">
        <v>46</v>
      </c>
      <c r="C784" t="s">
        <v>47</v>
      </c>
      <c r="D784" t="s">
        <v>48</v>
      </c>
      <c r="E784" t="s">
        <v>49</v>
      </c>
      <c r="F784" t="s">
        <v>43</v>
      </c>
      <c r="G784" t="s">
        <v>50</v>
      </c>
      <c r="H784" t="s">
        <v>90</v>
      </c>
      <c r="I784" t="s">
        <v>28</v>
      </c>
      <c r="J784" t="s">
        <v>29</v>
      </c>
      <c r="K784">
        <v>6826</v>
      </c>
      <c r="L784">
        <v>415</v>
      </c>
      <c r="M784">
        <v>207.26</v>
      </c>
      <c r="N784">
        <v>24</v>
      </c>
      <c r="O784">
        <v>221.55</v>
      </c>
      <c r="P784">
        <f t="shared" si="48"/>
        <v>6.0796952827424554E-2</v>
      </c>
      <c r="Q784">
        <f t="shared" si="48"/>
        <v>0.49942168674698795</v>
      </c>
      <c r="R784">
        <f t="shared" si="49"/>
        <v>8.6358333333333324</v>
      </c>
      <c r="S784">
        <f t="shared" si="50"/>
        <v>1.0689472160571265</v>
      </c>
      <c r="T784">
        <f t="shared" si="51"/>
        <v>5.7831325301204821E-2</v>
      </c>
      <c r="U784" t="str">
        <f>YEAR('Campaign Data'!$A784)&amp;"-"&amp;TEXT(MONTH('Campaign Data'!$A784),"00")</f>
        <v>2026-02</v>
      </c>
    </row>
    <row r="785" spans="1:21" x14ac:dyDescent="0.25">
      <c r="A785">
        <v>46066</v>
      </c>
      <c r="B785" t="s">
        <v>52</v>
      </c>
      <c r="C785" t="s">
        <v>53</v>
      </c>
      <c r="D785" t="s">
        <v>32</v>
      </c>
      <c r="E785" t="s">
        <v>42</v>
      </c>
      <c r="F785" t="s">
        <v>25</v>
      </c>
      <c r="G785" t="s">
        <v>54</v>
      </c>
      <c r="H785" t="s">
        <v>60</v>
      </c>
      <c r="I785" t="s">
        <v>28</v>
      </c>
      <c r="J785" t="s">
        <v>87</v>
      </c>
      <c r="K785">
        <v>6132</v>
      </c>
      <c r="L785">
        <v>46</v>
      </c>
      <c r="M785">
        <v>227.92</v>
      </c>
      <c r="N785">
        <v>1</v>
      </c>
      <c r="O785">
        <v>144.18</v>
      </c>
      <c r="P785">
        <f t="shared" si="48"/>
        <v>7.5016307893020218E-3</v>
      </c>
      <c r="Q785">
        <f t="shared" si="48"/>
        <v>4.9547826086956519</v>
      </c>
      <c r="R785">
        <f t="shared" si="49"/>
        <v>227.92</v>
      </c>
      <c r="S785">
        <f t="shared" si="50"/>
        <v>0.63259038259038269</v>
      </c>
      <c r="T785">
        <f t="shared" si="51"/>
        <v>2.1739130434782608E-2</v>
      </c>
      <c r="U785" t="str">
        <f>YEAR('Campaign Data'!$A785)&amp;"-"&amp;TEXT(MONTH('Campaign Data'!$A785),"00")</f>
        <v>2026-02</v>
      </c>
    </row>
    <row r="786" spans="1:21" x14ac:dyDescent="0.25">
      <c r="A786">
        <v>46066</v>
      </c>
      <c r="B786" t="s">
        <v>169</v>
      </c>
      <c r="C786" t="s">
        <v>170</v>
      </c>
      <c r="D786" t="s">
        <v>58</v>
      </c>
      <c r="E786" t="s">
        <v>74</v>
      </c>
      <c r="F786" t="s">
        <v>75</v>
      </c>
      <c r="G786" t="s">
        <v>9</v>
      </c>
      <c r="H786" t="s">
        <v>27</v>
      </c>
      <c r="I786" t="s">
        <v>37</v>
      </c>
      <c r="J786" t="s">
        <v>45</v>
      </c>
      <c r="K786">
        <v>5585</v>
      </c>
      <c r="L786">
        <v>157</v>
      </c>
      <c r="M786">
        <v>278.45999999999998</v>
      </c>
      <c r="N786">
        <v>8</v>
      </c>
      <c r="O786">
        <v>535.54999999999995</v>
      </c>
      <c r="P786">
        <f t="shared" si="48"/>
        <v>2.8111011638316922E-2</v>
      </c>
      <c r="Q786">
        <f t="shared" si="48"/>
        <v>1.7736305732484074</v>
      </c>
      <c r="R786">
        <f t="shared" si="49"/>
        <v>34.807499999999997</v>
      </c>
      <c r="S786">
        <f t="shared" si="50"/>
        <v>1.9232564820800115</v>
      </c>
      <c r="T786">
        <f t="shared" si="51"/>
        <v>5.0955414012738856E-2</v>
      </c>
      <c r="U786" t="str">
        <f>YEAR('Campaign Data'!$A786)&amp;"-"&amp;TEXT(MONTH('Campaign Data'!$A786),"00")</f>
        <v>2026-02</v>
      </c>
    </row>
    <row r="787" spans="1:21" x14ac:dyDescent="0.25">
      <c r="A787">
        <v>46066</v>
      </c>
      <c r="B787" t="s">
        <v>103</v>
      </c>
      <c r="C787" t="s">
        <v>104</v>
      </c>
      <c r="D787" t="s">
        <v>65</v>
      </c>
      <c r="E787" t="s">
        <v>33</v>
      </c>
      <c r="F787" t="s">
        <v>43</v>
      </c>
      <c r="G787" t="s">
        <v>102</v>
      </c>
      <c r="H787" t="s">
        <v>27</v>
      </c>
      <c r="I787" t="s">
        <v>37</v>
      </c>
      <c r="J787" t="s">
        <v>45</v>
      </c>
      <c r="K787">
        <v>10445</v>
      </c>
      <c r="L787">
        <v>101</v>
      </c>
      <c r="M787">
        <v>69.7</v>
      </c>
      <c r="N787">
        <v>3</v>
      </c>
      <c r="O787">
        <v>78.41</v>
      </c>
      <c r="P787">
        <f t="shared" si="48"/>
        <v>9.669698420296793E-3</v>
      </c>
      <c r="Q787">
        <f t="shared" si="48"/>
        <v>0.69009900990099016</v>
      </c>
      <c r="R787">
        <f t="shared" si="49"/>
        <v>23.233333333333334</v>
      </c>
      <c r="S787">
        <f t="shared" si="50"/>
        <v>1.1249641319942609</v>
      </c>
      <c r="T787">
        <f t="shared" si="51"/>
        <v>2.9702970297029702E-2</v>
      </c>
      <c r="U787" t="str">
        <f>YEAR('Campaign Data'!$A787)&amp;"-"&amp;TEXT(MONTH('Campaign Data'!$A787),"00")</f>
        <v>2026-02</v>
      </c>
    </row>
    <row r="788" spans="1:21" x14ac:dyDescent="0.25">
      <c r="A788">
        <v>46066</v>
      </c>
      <c r="B788" t="s">
        <v>103</v>
      </c>
      <c r="C788" t="s">
        <v>104</v>
      </c>
      <c r="D788" t="s">
        <v>65</v>
      </c>
      <c r="E788" t="s">
        <v>33</v>
      </c>
      <c r="F788" t="s">
        <v>43</v>
      </c>
      <c r="G788" t="s">
        <v>102</v>
      </c>
      <c r="H788" t="s">
        <v>27</v>
      </c>
      <c r="I788" t="s">
        <v>37</v>
      </c>
      <c r="J788" t="s">
        <v>29</v>
      </c>
      <c r="K788">
        <v>19964</v>
      </c>
      <c r="L788">
        <v>227</v>
      </c>
      <c r="M788">
        <v>207.96</v>
      </c>
      <c r="N788">
        <v>4</v>
      </c>
      <c r="O788">
        <v>116.63</v>
      </c>
      <c r="P788">
        <f t="shared" si="48"/>
        <v>1.1370466840312562E-2</v>
      </c>
      <c r="Q788">
        <f t="shared" si="48"/>
        <v>0.91612334801762119</v>
      </c>
      <c r="R788">
        <f t="shared" si="49"/>
        <v>51.99</v>
      </c>
      <c r="S788">
        <f t="shared" si="50"/>
        <v>0.56082900557799575</v>
      </c>
      <c r="T788">
        <f t="shared" si="51"/>
        <v>1.7621145374449341E-2</v>
      </c>
      <c r="U788" t="str">
        <f>YEAR('Campaign Data'!$A788)&amp;"-"&amp;TEXT(MONTH('Campaign Data'!$A788),"00")</f>
        <v>2026-02</v>
      </c>
    </row>
    <row r="789" spans="1:21" x14ac:dyDescent="0.25">
      <c r="A789">
        <v>46066</v>
      </c>
      <c r="B789" t="s">
        <v>103</v>
      </c>
      <c r="C789" t="s">
        <v>104</v>
      </c>
      <c r="D789" t="s">
        <v>65</v>
      </c>
      <c r="E789" t="s">
        <v>33</v>
      </c>
      <c r="F789" t="s">
        <v>43</v>
      </c>
      <c r="G789" t="s">
        <v>102</v>
      </c>
      <c r="H789" t="s">
        <v>36</v>
      </c>
      <c r="I789" t="s">
        <v>37</v>
      </c>
      <c r="J789" t="s">
        <v>62</v>
      </c>
      <c r="K789">
        <v>6721</v>
      </c>
      <c r="L789">
        <v>102</v>
      </c>
      <c r="M789">
        <v>56.57</v>
      </c>
      <c r="N789">
        <v>1</v>
      </c>
      <c r="O789">
        <v>43.34</v>
      </c>
      <c r="P789">
        <f t="shared" si="48"/>
        <v>1.5176313048653474E-2</v>
      </c>
      <c r="Q789">
        <f t="shared" si="48"/>
        <v>0.55460784313725486</v>
      </c>
      <c r="R789">
        <f t="shared" si="49"/>
        <v>56.57</v>
      </c>
      <c r="S789">
        <f t="shared" si="50"/>
        <v>0.76613045783984446</v>
      </c>
      <c r="T789">
        <f t="shared" si="51"/>
        <v>9.8039215686274508E-3</v>
      </c>
      <c r="U789" t="str">
        <f>YEAR('Campaign Data'!$A789)&amp;"-"&amp;TEXT(MONTH('Campaign Data'!$A789),"00")</f>
        <v>2026-02</v>
      </c>
    </row>
    <row r="790" spans="1:21" x14ac:dyDescent="0.25">
      <c r="A790">
        <v>46066</v>
      </c>
      <c r="B790" t="s">
        <v>177</v>
      </c>
      <c r="C790" t="s">
        <v>178</v>
      </c>
      <c r="D790" t="s">
        <v>41</v>
      </c>
      <c r="E790" t="s">
        <v>49</v>
      </c>
      <c r="F790" t="s">
        <v>34</v>
      </c>
      <c r="G790" t="s">
        <v>107</v>
      </c>
      <c r="H790" t="s">
        <v>27</v>
      </c>
      <c r="I790" t="s">
        <v>28</v>
      </c>
      <c r="J790" t="s">
        <v>45</v>
      </c>
      <c r="K790">
        <v>11259</v>
      </c>
      <c r="L790">
        <v>499</v>
      </c>
      <c r="M790">
        <v>1087.74</v>
      </c>
      <c r="N790">
        <v>34</v>
      </c>
      <c r="O790">
        <v>6219.61</v>
      </c>
      <c r="P790">
        <f t="shared" si="48"/>
        <v>4.4320099475974775E-2</v>
      </c>
      <c r="Q790">
        <f t="shared" si="48"/>
        <v>2.1798396793587176</v>
      </c>
      <c r="R790">
        <f t="shared" si="49"/>
        <v>31.99235294117647</v>
      </c>
      <c r="S790">
        <f t="shared" si="50"/>
        <v>5.7179197234633277</v>
      </c>
      <c r="T790">
        <f t="shared" si="51"/>
        <v>6.8136272545090179E-2</v>
      </c>
      <c r="U790" t="str">
        <f>YEAR('Campaign Data'!$A790)&amp;"-"&amp;TEXT(MONTH('Campaign Data'!$A790),"00")</f>
        <v>2026-02</v>
      </c>
    </row>
    <row r="791" spans="1:21" x14ac:dyDescent="0.25">
      <c r="A791">
        <v>46066</v>
      </c>
      <c r="B791" t="s">
        <v>157</v>
      </c>
      <c r="C791" t="s">
        <v>158</v>
      </c>
      <c r="D791" t="s">
        <v>58</v>
      </c>
      <c r="E791" t="s">
        <v>49</v>
      </c>
      <c r="F791" t="s">
        <v>81</v>
      </c>
      <c r="G791" t="s">
        <v>50</v>
      </c>
      <c r="H791" t="s">
        <v>36</v>
      </c>
      <c r="I791" t="s">
        <v>28</v>
      </c>
      <c r="J791" t="s">
        <v>29</v>
      </c>
      <c r="K791">
        <v>7178</v>
      </c>
      <c r="L791">
        <v>386</v>
      </c>
      <c r="M791">
        <v>610.46</v>
      </c>
      <c r="N791">
        <v>31</v>
      </c>
      <c r="O791">
        <v>742.31</v>
      </c>
      <c r="P791">
        <f t="shared" si="48"/>
        <v>5.3775424909445528E-2</v>
      </c>
      <c r="Q791">
        <f t="shared" si="48"/>
        <v>1.5815025906735751</v>
      </c>
      <c r="R791">
        <f t="shared" si="49"/>
        <v>19.692258064516132</v>
      </c>
      <c r="S791">
        <f t="shared" si="50"/>
        <v>1.2159846673000687</v>
      </c>
      <c r="T791">
        <f t="shared" si="51"/>
        <v>8.0310880829015538E-2</v>
      </c>
      <c r="U791" t="str">
        <f>YEAR('Campaign Data'!$A791)&amp;"-"&amp;TEXT(MONTH('Campaign Data'!$A791),"00")</f>
        <v>2026-02</v>
      </c>
    </row>
    <row r="792" spans="1:21" x14ac:dyDescent="0.25">
      <c r="A792">
        <v>46066</v>
      </c>
      <c r="B792" t="s">
        <v>161</v>
      </c>
      <c r="C792" t="s">
        <v>162</v>
      </c>
      <c r="D792" t="s">
        <v>48</v>
      </c>
      <c r="E792" t="s">
        <v>74</v>
      </c>
      <c r="F792" t="s">
        <v>34</v>
      </c>
      <c r="G792" t="s">
        <v>107</v>
      </c>
      <c r="H792" t="s">
        <v>27</v>
      </c>
      <c r="I792" t="s">
        <v>37</v>
      </c>
      <c r="J792" t="s">
        <v>62</v>
      </c>
      <c r="K792">
        <v>10427</v>
      </c>
      <c r="L792">
        <v>391</v>
      </c>
      <c r="M792">
        <v>626.89</v>
      </c>
      <c r="N792">
        <v>20</v>
      </c>
      <c r="O792">
        <v>5568.65</v>
      </c>
      <c r="P792">
        <f t="shared" si="48"/>
        <v>3.749880118922029E-2</v>
      </c>
      <c r="Q792">
        <f t="shared" si="48"/>
        <v>1.6032992327365729</v>
      </c>
      <c r="R792">
        <f t="shared" si="49"/>
        <v>31.3445</v>
      </c>
      <c r="S792">
        <f t="shared" si="50"/>
        <v>8.8829778749062829</v>
      </c>
      <c r="T792">
        <f t="shared" si="51"/>
        <v>5.1150895140664961E-2</v>
      </c>
      <c r="U792" t="str">
        <f>YEAR('Campaign Data'!$A792)&amp;"-"&amp;TEXT(MONTH('Campaign Data'!$A792),"00")</f>
        <v>2026-02</v>
      </c>
    </row>
    <row r="793" spans="1:21" x14ac:dyDescent="0.25">
      <c r="A793">
        <v>46066</v>
      </c>
      <c r="B793" t="s">
        <v>136</v>
      </c>
      <c r="C793" t="s">
        <v>137</v>
      </c>
      <c r="D793" t="s">
        <v>32</v>
      </c>
      <c r="E793" t="s">
        <v>49</v>
      </c>
      <c r="F793" t="s">
        <v>75</v>
      </c>
      <c r="G793" t="s">
        <v>97</v>
      </c>
      <c r="H793" t="s">
        <v>90</v>
      </c>
      <c r="I793" t="s">
        <v>28</v>
      </c>
      <c r="J793" t="s">
        <v>87</v>
      </c>
      <c r="K793">
        <v>5567</v>
      </c>
      <c r="L793">
        <v>203</v>
      </c>
      <c r="M793">
        <v>102.34</v>
      </c>
      <c r="N793">
        <v>16</v>
      </c>
      <c r="O793">
        <v>160.97999999999999</v>
      </c>
      <c r="P793">
        <f t="shared" si="48"/>
        <v>3.6464882342374709E-2</v>
      </c>
      <c r="Q793">
        <f t="shared" si="48"/>
        <v>0.50413793103448279</v>
      </c>
      <c r="R793">
        <f t="shared" si="49"/>
        <v>6.3962500000000002</v>
      </c>
      <c r="S793">
        <f t="shared" si="50"/>
        <v>1.5729919874926714</v>
      </c>
      <c r="T793">
        <f t="shared" si="51"/>
        <v>7.8817733990147784E-2</v>
      </c>
      <c r="U793" t="str">
        <f>YEAR('Campaign Data'!$A793)&amp;"-"&amp;TEXT(MONTH('Campaign Data'!$A793),"00")</f>
        <v>2026-02</v>
      </c>
    </row>
    <row r="794" spans="1:21" x14ac:dyDescent="0.25">
      <c r="A794">
        <v>46066</v>
      </c>
      <c r="B794" t="s">
        <v>72</v>
      </c>
      <c r="C794" t="s">
        <v>73</v>
      </c>
      <c r="D794" t="s">
        <v>69</v>
      </c>
      <c r="E794" t="s">
        <v>74</v>
      </c>
      <c r="F794" t="s">
        <v>75</v>
      </c>
      <c r="G794" t="s">
        <v>9</v>
      </c>
      <c r="H794" t="s">
        <v>60</v>
      </c>
      <c r="I794" t="s">
        <v>28</v>
      </c>
      <c r="J794" t="s">
        <v>87</v>
      </c>
      <c r="K794">
        <v>15487</v>
      </c>
      <c r="L794">
        <v>627</v>
      </c>
      <c r="M794">
        <v>919.65</v>
      </c>
      <c r="N794">
        <v>16</v>
      </c>
      <c r="O794">
        <v>913.45</v>
      </c>
      <c r="P794">
        <f t="shared" si="48"/>
        <v>4.0485568541357264E-2</v>
      </c>
      <c r="Q794">
        <f t="shared" si="48"/>
        <v>1.4667464114832536</v>
      </c>
      <c r="R794">
        <f t="shared" si="49"/>
        <v>57.478124999999999</v>
      </c>
      <c r="S794">
        <f t="shared" si="50"/>
        <v>0.99325830478986576</v>
      </c>
      <c r="T794">
        <f t="shared" si="51"/>
        <v>2.5518341307814992E-2</v>
      </c>
      <c r="U794" t="str">
        <f>YEAR('Campaign Data'!$A794)&amp;"-"&amp;TEXT(MONTH('Campaign Data'!$A794),"00")</f>
        <v>2026-02</v>
      </c>
    </row>
    <row r="795" spans="1:21" x14ac:dyDescent="0.25">
      <c r="A795">
        <v>46066</v>
      </c>
      <c r="B795" t="s">
        <v>163</v>
      </c>
      <c r="C795" t="s">
        <v>164</v>
      </c>
      <c r="D795" t="s">
        <v>58</v>
      </c>
      <c r="E795" t="s">
        <v>42</v>
      </c>
      <c r="F795" t="s">
        <v>43</v>
      </c>
      <c r="G795" t="s">
        <v>44</v>
      </c>
      <c r="H795" t="s">
        <v>27</v>
      </c>
      <c r="I795" t="s">
        <v>28</v>
      </c>
      <c r="J795" t="s">
        <v>45</v>
      </c>
      <c r="K795">
        <v>7104</v>
      </c>
      <c r="L795">
        <v>39</v>
      </c>
      <c r="M795">
        <v>161.78</v>
      </c>
      <c r="N795">
        <v>3</v>
      </c>
      <c r="O795">
        <v>82.36</v>
      </c>
      <c r="P795">
        <f t="shared" si="48"/>
        <v>5.4898648648648652E-3</v>
      </c>
      <c r="Q795">
        <f t="shared" si="48"/>
        <v>4.1482051282051282</v>
      </c>
      <c r="R795">
        <f t="shared" si="49"/>
        <v>53.926666666666669</v>
      </c>
      <c r="S795">
        <f t="shared" si="50"/>
        <v>0.5090864136481642</v>
      </c>
      <c r="T795">
        <f t="shared" si="51"/>
        <v>7.6923076923076927E-2</v>
      </c>
      <c r="U795" t="str">
        <f>YEAR('Campaign Data'!$A795)&amp;"-"&amp;TEXT(MONTH('Campaign Data'!$A795),"00")</f>
        <v>2026-02</v>
      </c>
    </row>
    <row r="796" spans="1:21" x14ac:dyDescent="0.25">
      <c r="A796">
        <v>46066</v>
      </c>
      <c r="B796" t="s">
        <v>120</v>
      </c>
      <c r="C796" t="s">
        <v>121</v>
      </c>
      <c r="D796" t="s">
        <v>23</v>
      </c>
      <c r="E796" t="s">
        <v>49</v>
      </c>
      <c r="F796" t="s">
        <v>75</v>
      </c>
      <c r="G796" t="s">
        <v>70</v>
      </c>
      <c r="H796" t="s">
        <v>27</v>
      </c>
      <c r="I796" t="s">
        <v>28</v>
      </c>
      <c r="J796" t="s">
        <v>62</v>
      </c>
      <c r="K796">
        <v>7867</v>
      </c>
      <c r="L796">
        <v>426</v>
      </c>
      <c r="M796">
        <v>1096.99</v>
      </c>
      <c r="N796">
        <v>44</v>
      </c>
      <c r="O796">
        <v>1687.02</v>
      </c>
      <c r="P796">
        <f t="shared" si="48"/>
        <v>5.415024787085293E-2</v>
      </c>
      <c r="Q796">
        <f t="shared" si="48"/>
        <v>2.5750938967136152</v>
      </c>
      <c r="R796">
        <f t="shared" si="49"/>
        <v>24.931590909090911</v>
      </c>
      <c r="S796">
        <f t="shared" si="50"/>
        <v>1.5378626970163811</v>
      </c>
      <c r="T796">
        <f t="shared" si="51"/>
        <v>0.10328638497652583</v>
      </c>
      <c r="U796" t="str">
        <f>YEAR('Campaign Data'!$A796)&amp;"-"&amp;TEXT(MONTH('Campaign Data'!$A796),"00")</f>
        <v>2026-02</v>
      </c>
    </row>
    <row r="797" spans="1:21" x14ac:dyDescent="0.25">
      <c r="A797">
        <v>46066</v>
      </c>
      <c r="B797" t="s">
        <v>120</v>
      </c>
      <c r="C797" t="s">
        <v>121</v>
      </c>
      <c r="D797" t="s">
        <v>23</v>
      </c>
      <c r="E797" t="s">
        <v>49</v>
      </c>
      <c r="F797" t="s">
        <v>75</v>
      </c>
      <c r="G797" t="s">
        <v>70</v>
      </c>
      <c r="H797" t="s">
        <v>36</v>
      </c>
      <c r="I797" t="s">
        <v>37</v>
      </c>
      <c r="J797" t="s">
        <v>87</v>
      </c>
      <c r="K797">
        <v>12963</v>
      </c>
      <c r="L797">
        <v>548</v>
      </c>
      <c r="M797">
        <v>455.57</v>
      </c>
      <c r="N797">
        <v>25</v>
      </c>
      <c r="O797">
        <v>782.3</v>
      </c>
      <c r="P797">
        <f t="shared" si="48"/>
        <v>4.2274164930957342E-2</v>
      </c>
      <c r="Q797">
        <f t="shared" si="48"/>
        <v>0.8313321167883212</v>
      </c>
      <c r="R797">
        <f t="shared" si="49"/>
        <v>18.222799999999999</v>
      </c>
      <c r="S797">
        <f t="shared" si="50"/>
        <v>1.717189454968501</v>
      </c>
      <c r="T797">
        <f t="shared" si="51"/>
        <v>4.5620437956204379E-2</v>
      </c>
      <c r="U797" t="str">
        <f>YEAR('Campaign Data'!$A797)&amp;"-"&amp;TEXT(MONTH('Campaign Data'!$A797),"00")</f>
        <v>2026-02</v>
      </c>
    </row>
    <row r="798" spans="1:21" x14ac:dyDescent="0.25">
      <c r="A798">
        <v>46067</v>
      </c>
      <c r="B798" t="s">
        <v>175</v>
      </c>
      <c r="C798" t="s">
        <v>176</v>
      </c>
      <c r="D798" t="s">
        <v>65</v>
      </c>
      <c r="E798" t="s">
        <v>49</v>
      </c>
      <c r="F798" t="s">
        <v>75</v>
      </c>
      <c r="G798" t="s">
        <v>70</v>
      </c>
      <c r="H798" t="s">
        <v>36</v>
      </c>
      <c r="I798" t="s">
        <v>37</v>
      </c>
      <c r="J798" t="s">
        <v>45</v>
      </c>
      <c r="K798">
        <v>21463</v>
      </c>
      <c r="L798">
        <v>1716</v>
      </c>
      <c r="M798">
        <v>4090.16</v>
      </c>
      <c r="N798">
        <v>124</v>
      </c>
      <c r="O798">
        <v>6977.07</v>
      </c>
      <c r="P798">
        <f t="shared" si="48"/>
        <v>7.9951544518473652E-2</v>
      </c>
      <c r="Q798">
        <f t="shared" si="48"/>
        <v>2.3835431235431233</v>
      </c>
      <c r="R798">
        <f t="shared" si="49"/>
        <v>32.98516129032258</v>
      </c>
      <c r="S798">
        <f t="shared" si="50"/>
        <v>1.7058183542942085</v>
      </c>
      <c r="T798">
        <f t="shared" si="51"/>
        <v>7.2261072261072257E-2</v>
      </c>
      <c r="U798" t="str">
        <f>YEAR('Campaign Data'!$A798)&amp;"-"&amp;TEXT(MONTH('Campaign Data'!$A798),"00")</f>
        <v>2026-02</v>
      </c>
    </row>
    <row r="799" spans="1:21" x14ac:dyDescent="0.25">
      <c r="A799">
        <v>46067</v>
      </c>
      <c r="B799" t="s">
        <v>147</v>
      </c>
      <c r="C799" t="s">
        <v>148</v>
      </c>
      <c r="D799" t="s">
        <v>23</v>
      </c>
      <c r="E799" t="s">
        <v>42</v>
      </c>
      <c r="F799" t="s">
        <v>75</v>
      </c>
      <c r="G799" t="s">
        <v>44</v>
      </c>
      <c r="H799" t="s">
        <v>90</v>
      </c>
      <c r="I799" t="s">
        <v>37</v>
      </c>
      <c r="J799" t="s">
        <v>38</v>
      </c>
      <c r="K799">
        <v>7165</v>
      </c>
      <c r="L799">
        <v>69</v>
      </c>
      <c r="M799">
        <v>97.9</v>
      </c>
      <c r="N799">
        <v>3</v>
      </c>
      <c r="O799">
        <v>41.25</v>
      </c>
      <c r="P799">
        <f t="shared" si="48"/>
        <v>9.6301465457083041E-3</v>
      </c>
      <c r="Q799">
        <f t="shared" si="48"/>
        <v>1.4188405797101451</v>
      </c>
      <c r="R799">
        <f t="shared" si="49"/>
        <v>32.633333333333333</v>
      </c>
      <c r="S799">
        <f t="shared" si="50"/>
        <v>0.42134831460674155</v>
      </c>
      <c r="T799">
        <f t="shared" si="51"/>
        <v>4.3478260869565216E-2</v>
      </c>
      <c r="U799" t="str">
        <f>YEAR('Campaign Data'!$A799)&amp;"-"&amp;TEXT(MONTH('Campaign Data'!$A799),"00")</f>
        <v>2026-02</v>
      </c>
    </row>
    <row r="800" spans="1:21" x14ac:dyDescent="0.25">
      <c r="A800">
        <v>46067</v>
      </c>
      <c r="B800" t="s">
        <v>91</v>
      </c>
      <c r="C800" t="s">
        <v>92</v>
      </c>
      <c r="D800" t="s">
        <v>41</v>
      </c>
      <c r="E800" t="s">
        <v>74</v>
      </c>
      <c r="F800" t="s">
        <v>75</v>
      </c>
      <c r="G800" t="s">
        <v>9</v>
      </c>
      <c r="H800" t="s">
        <v>27</v>
      </c>
      <c r="I800" t="s">
        <v>61</v>
      </c>
      <c r="J800" t="s">
        <v>45</v>
      </c>
      <c r="K800">
        <v>14433</v>
      </c>
      <c r="L800">
        <v>341</v>
      </c>
      <c r="M800">
        <v>606.13</v>
      </c>
      <c r="N800">
        <v>10</v>
      </c>
      <c r="O800">
        <v>311.60000000000002</v>
      </c>
      <c r="P800">
        <f t="shared" si="48"/>
        <v>2.3626411695420218E-2</v>
      </c>
      <c r="Q800">
        <f t="shared" si="48"/>
        <v>1.7775073313782992</v>
      </c>
      <c r="R800">
        <f t="shared" si="49"/>
        <v>60.613</v>
      </c>
      <c r="S800">
        <f t="shared" si="50"/>
        <v>0.51408113770973229</v>
      </c>
      <c r="T800">
        <f t="shared" si="51"/>
        <v>2.932551319648094E-2</v>
      </c>
      <c r="U800" t="str">
        <f>YEAR('Campaign Data'!$A800)&amp;"-"&amp;TEXT(MONTH('Campaign Data'!$A800),"00")</f>
        <v>2026-02</v>
      </c>
    </row>
    <row r="801" spans="1:21" x14ac:dyDescent="0.25">
      <c r="A801">
        <v>46067</v>
      </c>
      <c r="B801" t="s">
        <v>93</v>
      </c>
      <c r="C801" t="s">
        <v>94</v>
      </c>
      <c r="D801" t="s">
        <v>69</v>
      </c>
      <c r="E801" t="s">
        <v>42</v>
      </c>
      <c r="F801" t="s">
        <v>75</v>
      </c>
      <c r="G801" t="s">
        <v>44</v>
      </c>
      <c r="H801" t="s">
        <v>90</v>
      </c>
      <c r="I801" t="s">
        <v>28</v>
      </c>
      <c r="J801" t="s">
        <v>29</v>
      </c>
      <c r="K801">
        <v>9838</v>
      </c>
      <c r="L801">
        <v>59</v>
      </c>
      <c r="M801">
        <v>61.93</v>
      </c>
      <c r="N801">
        <v>2</v>
      </c>
      <c r="O801">
        <v>17.190000000000001</v>
      </c>
      <c r="P801">
        <f t="shared" si="48"/>
        <v>5.9971538930676969E-3</v>
      </c>
      <c r="Q801">
        <f t="shared" si="48"/>
        <v>1.0496610169491525</v>
      </c>
      <c r="R801">
        <f t="shared" si="49"/>
        <v>30.965</v>
      </c>
      <c r="S801">
        <f t="shared" si="50"/>
        <v>0.2775714516389472</v>
      </c>
      <c r="T801">
        <f t="shared" si="51"/>
        <v>3.3898305084745763E-2</v>
      </c>
      <c r="U801" t="str">
        <f>YEAR('Campaign Data'!$A801)&amp;"-"&amp;TEXT(MONTH('Campaign Data'!$A801),"00")</f>
        <v>2026-02</v>
      </c>
    </row>
    <row r="802" spans="1:21" x14ac:dyDescent="0.25">
      <c r="A802">
        <v>46067</v>
      </c>
      <c r="B802" t="s">
        <v>39</v>
      </c>
      <c r="C802" t="s">
        <v>40</v>
      </c>
      <c r="D802" t="s">
        <v>41</v>
      </c>
      <c r="E802" t="s">
        <v>42</v>
      </c>
      <c r="F802" t="s">
        <v>43</v>
      </c>
      <c r="G802" t="s">
        <v>44</v>
      </c>
      <c r="H802" t="s">
        <v>55</v>
      </c>
      <c r="I802" t="s">
        <v>28</v>
      </c>
      <c r="J802" t="s">
        <v>38</v>
      </c>
      <c r="K802">
        <v>5197</v>
      </c>
      <c r="L802">
        <v>35</v>
      </c>
      <c r="M802">
        <v>182.22</v>
      </c>
      <c r="N802">
        <v>1</v>
      </c>
      <c r="O802">
        <v>32.869999999999997</v>
      </c>
      <c r="P802">
        <f t="shared" si="48"/>
        <v>6.7346546084279396E-3</v>
      </c>
      <c r="Q802">
        <f t="shared" si="48"/>
        <v>5.2062857142857144</v>
      </c>
      <c r="R802">
        <f t="shared" si="49"/>
        <v>182.22</v>
      </c>
      <c r="S802">
        <f t="shared" si="50"/>
        <v>0.18038634617495333</v>
      </c>
      <c r="T802">
        <f t="shared" si="51"/>
        <v>2.8571428571428571E-2</v>
      </c>
      <c r="U802" t="str">
        <f>YEAR('Campaign Data'!$A802)&amp;"-"&amp;TEXT(MONTH('Campaign Data'!$A802),"00")</f>
        <v>2026-02</v>
      </c>
    </row>
    <row r="803" spans="1:21" x14ac:dyDescent="0.25">
      <c r="A803">
        <v>46067</v>
      </c>
      <c r="B803" t="s">
        <v>46</v>
      </c>
      <c r="C803" t="s">
        <v>47</v>
      </c>
      <c r="D803" t="s">
        <v>48</v>
      </c>
      <c r="E803" t="s">
        <v>49</v>
      </c>
      <c r="F803" t="s">
        <v>43</v>
      </c>
      <c r="G803" t="s">
        <v>50</v>
      </c>
      <c r="H803" t="s">
        <v>51</v>
      </c>
      <c r="I803" t="s">
        <v>28</v>
      </c>
      <c r="J803" t="s">
        <v>38</v>
      </c>
      <c r="K803">
        <v>11244</v>
      </c>
      <c r="L803">
        <v>326</v>
      </c>
      <c r="M803">
        <v>636.91999999999996</v>
      </c>
      <c r="N803">
        <v>15</v>
      </c>
      <c r="O803">
        <v>130.22999999999999</v>
      </c>
      <c r="P803">
        <f t="shared" si="48"/>
        <v>2.8993240839558877E-2</v>
      </c>
      <c r="Q803">
        <f t="shared" si="48"/>
        <v>1.9537423312883435</v>
      </c>
      <c r="R803">
        <f t="shared" si="49"/>
        <v>42.461333333333329</v>
      </c>
      <c r="S803">
        <f t="shared" si="50"/>
        <v>0.20446837907429505</v>
      </c>
      <c r="T803">
        <f t="shared" si="51"/>
        <v>4.6012269938650305E-2</v>
      </c>
      <c r="U803" t="str">
        <f>YEAR('Campaign Data'!$A803)&amp;"-"&amp;TEXT(MONTH('Campaign Data'!$A803),"00")</f>
        <v>2026-02</v>
      </c>
    </row>
    <row r="804" spans="1:21" x14ac:dyDescent="0.25">
      <c r="A804">
        <v>46067</v>
      </c>
      <c r="B804" t="s">
        <v>105</v>
      </c>
      <c r="C804" t="s">
        <v>106</v>
      </c>
      <c r="D804" t="s">
        <v>58</v>
      </c>
      <c r="E804" t="s">
        <v>49</v>
      </c>
      <c r="F804" t="s">
        <v>81</v>
      </c>
      <c r="G804" t="s">
        <v>107</v>
      </c>
      <c r="H804" t="s">
        <v>60</v>
      </c>
      <c r="I804" t="s">
        <v>37</v>
      </c>
      <c r="J804" t="s">
        <v>38</v>
      </c>
      <c r="K804">
        <v>8598</v>
      </c>
      <c r="L804">
        <v>347</v>
      </c>
      <c r="M804">
        <v>296.43</v>
      </c>
      <c r="N804">
        <v>17</v>
      </c>
      <c r="O804">
        <v>85</v>
      </c>
      <c r="P804">
        <f t="shared" si="48"/>
        <v>4.0358222842521517E-2</v>
      </c>
      <c r="Q804">
        <f t="shared" si="48"/>
        <v>0.85426512968299717</v>
      </c>
      <c r="R804">
        <f t="shared" si="49"/>
        <v>17.437058823529412</v>
      </c>
      <c r="S804">
        <f t="shared" si="50"/>
        <v>0.28674560604527205</v>
      </c>
      <c r="T804">
        <f t="shared" si="51"/>
        <v>4.8991354466858789E-2</v>
      </c>
      <c r="U804" t="str">
        <f>YEAR('Campaign Data'!$A804)&amp;"-"&amp;TEXT(MONTH('Campaign Data'!$A804),"00")</f>
        <v>2026-02</v>
      </c>
    </row>
    <row r="805" spans="1:21" x14ac:dyDescent="0.25">
      <c r="A805">
        <v>46067</v>
      </c>
      <c r="B805" t="s">
        <v>105</v>
      </c>
      <c r="C805" t="s">
        <v>106</v>
      </c>
      <c r="D805" t="s">
        <v>58</v>
      </c>
      <c r="E805" t="s">
        <v>49</v>
      </c>
      <c r="F805" t="s">
        <v>81</v>
      </c>
      <c r="G805" t="s">
        <v>107</v>
      </c>
      <c r="H805" t="s">
        <v>36</v>
      </c>
      <c r="I805" t="s">
        <v>37</v>
      </c>
      <c r="J805" t="s">
        <v>45</v>
      </c>
      <c r="K805">
        <v>8586</v>
      </c>
      <c r="L805">
        <v>218</v>
      </c>
      <c r="M805">
        <v>333.68</v>
      </c>
      <c r="N805">
        <v>5</v>
      </c>
      <c r="O805">
        <v>93.08</v>
      </c>
      <c r="P805">
        <f t="shared" si="48"/>
        <v>2.5390170044258094E-2</v>
      </c>
      <c r="Q805">
        <f t="shared" si="48"/>
        <v>1.5306422018348624</v>
      </c>
      <c r="R805">
        <f t="shared" si="49"/>
        <v>66.736000000000004</v>
      </c>
      <c r="S805">
        <f t="shared" si="50"/>
        <v>0.27894989211220328</v>
      </c>
      <c r="T805">
        <f t="shared" si="51"/>
        <v>2.2935779816513763E-2</v>
      </c>
      <c r="U805" t="str">
        <f>YEAR('Campaign Data'!$A805)&amp;"-"&amp;TEXT(MONTH('Campaign Data'!$A805),"00")</f>
        <v>2026-02</v>
      </c>
    </row>
    <row r="806" spans="1:21" x14ac:dyDescent="0.25">
      <c r="A806">
        <v>46067</v>
      </c>
      <c r="B806" t="s">
        <v>134</v>
      </c>
      <c r="C806" t="s">
        <v>135</v>
      </c>
      <c r="D806" t="s">
        <v>32</v>
      </c>
      <c r="E806" t="s">
        <v>74</v>
      </c>
      <c r="F806" t="s">
        <v>25</v>
      </c>
      <c r="G806" t="s">
        <v>107</v>
      </c>
      <c r="H806" t="s">
        <v>60</v>
      </c>
      <c r="I806" t="s">
        <v>37</v>
      </c>
      <c r="J806" t="s">
        <v>62</v>
      </c>
      <c r="K806">
        <v>9123</v>
      </c>
      <c r="L806">
        <v>288</v>
      </c>
      <c r="M806">
        <v>462.63</v>
      </c>
      <c r="N806">
        <v>17</v>
      </c>
      <c r="O806">
        <v>1224.94</v>
      </c>
      <c r="P806">
        <f t="shared" si="48"/>
        <v>3.1568562972706347E-2</v>
      </c>
      <c r="Q806">
        <f t="shared" si="48"/>
        <v>1.6063541666666667</v>
      </c>
      <c r="R806">
        <f t="shared" si="49"/>
        <v>27.213529411764707</v>
      </c>
      <c r="S806">
        <f t="shared" si="50"/>
        <v>2.6477746795495323</v>
      </c>
      <c r="T806">
        <f t="shared" si="51"/>
        <v>5.9027777777777776E-2</v>
      </c>
      <c r="U806" t="str">
        <f>YEAR('Campaign Data'!$A806)&amp;"-"&amp;TEXT(MONTH('Campaign Data'!$A806),"00")</f>
        <v>2026-02</v>
      </c>
    </row>
    <row r="807" spans="1:21" x14ac:dyDescent="0.25">
      <c r="A807">
        <v>46067</v>
      </c>
      <c r="B807" t="s">
        <v>114</v>
      </c>
      <c r="C807" t="s">
        <v>115</v>
      </c>
      <c r="D807" t="s">
        <v>69</v>
      </c>
      <c r="E807" t="s">
        <v>49</v>
      </c>
      <c r="F807" t="s">
        <v>25</v>
      </c>
      <c r="G807" t="s">
        <v>107</v>
      </c>
      <c r="H807" t="s">
        <v>36</v>
      </c>
      <c r="I807" t="s">
        <v>37</v>
      </c>
      <c r="J807" t="s">
        <v>62</v>
      </c>
      <c r="K807">
        <v>16587</v>
      </c>
      <c r="L807">
        <v>574</v>
      </c>
      <c r="M807">
        <v>1320.93</v>
      </c>
      <c r="N807">
        <v>40</v>
      </c>
      <c r="O807">
        <v>7210.65</v>
      </c>
      <c r="P807">
        <f t="shared" si="48"/>
        <v>3.4605413878338459E-2</v>
      </c>
      <c r="Q807">
        <f t="shared" si="48"/>
        <v>2.3012717770034845</v>
      </c>
      <c r="R807">
        <f t="shared" si="49"/>
        <v>33.023250000000004</v>
      </c>
      <c r="S807">
        <f t="shared" si="50"/>
        <v>5.4587676864027612</v>
      </c>
      <c r="T807">
        <f t="shared" si="51"/>
        <v>6.968641114982578E-2</v>
      </c>
      <c r="U807" t="str">
        <f>YEAR('Campaign Data'!$A807)&amp;"-"&amp;TEXT(MONTH('Campaign Data'!$A807),"00")</f>
        <v>2026-02</v>
      </c>
    </row>
    <row r="808" spans="1:21" x14ac:dyDescent="0.25">
      <c r="A808">
        <v>46067</v>
      </c>
      <c r="B808" t="s">
        <v>56</v>
      </c>
      <c r="C808" t="s">
        <v>57</v>
      </c>
      <c r="D808" t="s">
        <v>58</v>
      </c>
      <c r="E808" t="s">
        <v>33</v>
      </c>
      <c r="F808" t="s">
        <v>43</v>
      </c>
      <c r="G808" t="s">
        <v>59</v>
      </c>
      <c r="H808" t="s">
        <v>27</v>
      </c>
      <c r="I808" t="s">
        <v>28</v>
      </c>
      <c r="J808" t="s">
        <v>38</v>
      </c>
      <c r="K808">
        <v>9961</v>
      </c>
      <c r="L808">
        <v>122</v>
      </c>
      <c r="M808">
        <v>98.63</v>
      </c>
      <c r="N808">
        <v>0</v>
      </c>
      <c r="O808">
        <v>0</v>
      </c>
      <c r="P808">
        <f t="shared" si="48"/>
        <v>1.2247766288525249E-2</v>
      </c>
      <c r="Q808">
        <f t="shared" si="48"/>
        <v>0.80844262295081959</v>
      </c>
      <c r="R808">
        <f t="shared" si="49"/>
        <v>0</v>
      </c>
      <c r="S808">
        <f t="shared" si="50"/>
        <v>0</v>
      </c>
      <c r="T808">
        <f t="shared" si="51"/>
        <v>0</v>
      </c>
      <c r="U808" t="str">
        <f>YEAR('Campaign Data'!$A808)&amp;"-"&amp;TEXT(MONTH('Campaign Data'!$A808),"00")</f>
        <v>2026-02</v>
      </c>
    </row>
    <row r="809" spans="1:21" x14ac:dyDescent="0.25">
      <c r="A809">
        <v>46067</v>
      </c>
      <c r="B809" t="s">
        <v>141</v>
      </c>
      <c r="C809" t="s">
        <v>142</v>
      </c>
      <c r="D809" t="s">
        <v>80</v>
      </c>
      <c r="E809" t="s">
        <v>49</v>
      </c>
      <c r="F809" t="s">
        <v>81</v>
      </c>
      <c r="G809" t="s">
        <v>97</v>
      </c>
      <c r="H809" t="s">
        <v>90</v>
      </c>
      <c r="I809" t="s">
        <v>37</v>
      </c>
      <c r="J809" t="s">
        <v>29</v>
      </c>
      <c r="K809">
        <v>2951</v>
      </c>
      <c r="L809">
        <v>133</v>
      </c>
      <c r="M809">
        <v>64.95</v>
      </c>
      <c r="N809">
        <v>12</v>
      </c>
      <c r="O809">
        <v>87.18</v>
      </c>
      <c r="P809">
        <f t="shared" si="48"/>
        <v>4.5069467976956962E-2</v>
      </c>
      <c r="Q809">
        <f t="shared" si="48"/>
        <v>0.48834586466165414</v>
      </c>
      <c r="R809">
        <f t="shared" si="49"/>
        <v>5.4125000000000005</v>
      </c>
      <c r="S809">
        <f t="shared" si="50"/>
        <v>1.3422632794457274</v>
      </c>
      <c r="T809">
        <f t="shared" si="51"/>
        <v>9.0225563909774431E-2</v>
      </c>
      <c r="U809" t="str">
        <f>YEAR('Campaign Data'!$A809)&amp;"-"&amp;TEXT(MONTH('Campaign Data'!$A809),"00")</f>
        <v>2026-02</v>
      </c>
    </row>
    <row r="810" spans="1:21" x14ac:dyDescent="0.25">
      <c r="A810">
        <v>46067</v>
      </c>
      <c r="B810" t="s">
        <v>136</v>
      </c>
      <c r="C810" t="s">
        <v>137</v>
      </c>
      <c r="D810" t="s">
        <v>32</v>
      </c>
      <c r="E810" t="s">
        <v>49</v>
      </c>
      <c r="F810" t="s">
        <v>75</v>
      </c>
      <c r="G810" t="s">
        <v>97</v>
      </c>
      <c r="H810" t="s">
        <v>55</v>
      </c>
      <c r="I810" t="s">
        <v>37</v>
      </c>
      <c r="J810" t="s">
        <v>29</v>
      </c>
      <c r="K810">
        <v>2950</v>
      </c>
      <c r="L810">
        <v>186</v>
      </c>
      <c r="M810">
        <v>361.72</v>
      </c>
      <c r="N810">
        <v>14</v>
      </c>
      <c r="O810">
        <v>370.84</v>
      </c>
      <c r="P810">
        <f t="shared" si="48"/>
        <v>6.3050847457627124E-2</v>
      </c>
      <c r="Q810">
        <f t="shared" si="48"/>
        <v>1.944731182795699</v>
      </c>
      <c r="R810">
        <f t="shared" si="49"/>
        <v>25.837142857142858</v>
      </c>
      <c r="S810">
        <f t="shared" si="50"/>
        <v>1.0252128718345681</v>
      </c>
      <c r="T810">
        <f t="shared" si="51"/>
        <v>7.5268817204301078E-2</v>
      </c>
      <c r="U810" t="str">
        <f>YEAR('Campaign Data'!$A810)&amp;"-"&amp;TEXT(MONTH('Campaign Data'!$A810),"00")</f>
        <v>2026-02</v>
      </c>
    </row>
    <row r="811" spans="1:21" x14ac:dyDescent="0.25">
      <c r="A811">
        <v>46067</v>
      </c>
      <c r="B811" t="s">
        <v>145</v>
      </c>
      <c r="C811" t="s">
        <v>146</v>
      </c>
      <c r="D811" t="s">
        <v>41</v>
      </c>
      <c r="E811" t="s">
        <v>49</v>
      </c>
      <c r="F811" t="s">
        <v>75</v>
      </c>
      <c r="G811" t="s">
        <v>70</v>
      </c>
      <c r="H811" t="s">
        <v>27</v>
      </c>
      <c r="I811" t="s">
        <v>37</v>
      </c>
      <c r="J811" t="s">
        <v>62</v>
      </c>
      <c r="K811">
        <v>14280</v>
      </c>
      <c r="L811">
        <v>563</v>
      </c>
      <c r="M811">
        <v>1341.21</v>
      </c>
      <c r="N811">
        <v>32</v>
      </c>
      <c r="O811">
        <v>1626.87</v>
      </c>
      <c r="P811">
        <f t="shared" si="48"/>
        <v>3.9425770308123248E-2</v>
      </c>
      <c r="Q811">
        <f t="shared" si="48"/>
        <v>2.3822557726465363</v>
      </c>
      <c r="R811">
        <f t="shared" si="49"/>
        <v>41.912812500000001</v>
      </c>
      <c r="S811">
        <f t="shared" si="50"/>
        <v>1.212986780593643</v>
      </c>
      <c r="T811">
        <f t="shared" si="51"/>
        <v>5.6838365896980464E-2</v>
      </c>
      <c r="U811" t="str">
        <f>YEAR('Campaign Data'!$A811)&amp;"-"&amp;TEXT(MONTH('Campaign Data'!$A811),"00")</f>
        <v>2026-02</v>
      </c>
    </row>
    <row r="812" spans="1:21" x14ac:dyDescent="0.25">
      <c r="A812">
        <v>46067</v>
      </c>
      <c r="B812" t="s">
        <v>145</v>
      </c>
      <c r="C812" t="s">
        <v>146</v>
      </c>
      <c r="D812" t="s">
        <v>41</v>
      </c>
      <c r="E812" t="s">
        <v>49</v>
      </c>
      <c r="F812" t="s">
        <v>75</v>
      </c>
      <c r="G812" t="s">
        <v>70</v>
      </c>
      <c r="H812" t="s">
        <v>71</v>
      </c>
      <c r="I812" t="s">
        <v>28</v>
      </c>
      <c r="J812" t="s">
        <v>29</v>
      </c>
      <c r="K812">
        <v>2538</v>
      </c>
      <c r="L812">
        <v>100</v>
      </c>
      <c r="M812">
        <v>143.08000000000001</v>
      </c>
      <c r="N812">
        <v>5</v>
      </c>
      <c r="O812">
        <v>180.38</v>
      </c>
      <c r="P812">
        <f t="shared" si="48"/>
        <v>3.9401103230890466E-2</v>
      </c>
      <c r="Q812">
        <f t="shared" si="48"/>
        <v>1.4308000000000001</v>
      </c>
      <c r="R812">
        <f t="shared" si="49"/>
        <v>28.616000000000003</v>
      </c>
      <c r="S812">
        <f t="shared" si="50"/>
        <v>1.2606933184232596</v>
      </c>
      <c r="T812">
        <f t="shared" si="51"/>
        <v>0.05</v>
      </c>
      <c r="U812" t="str">
        <f>YEAR('Campaign Data'!$A812)&amp;"-"&amp;TEXT(MONTH('Campaign Data'!$A812),"00")</f>
        <v>2026-02</v>
      </c>
    </row>
    <row r="813" spans="1:21" x14ac:dyDescent="0.25">
      <c r="A813">
        <v>46067</v>
      </c>
      <c r="B813" t="s">
        <v>76</v>
      </c>
      <c r="C813" t="s">
        <v>77</v>
      </c>
      <c r="D813" t="s">
        <v>65</v>
      </c>
      <c r="E813" t="s">
        <v>42</v>
      </c>
      <c r="F813" t="s">
        <v>43</v>
      </c>
      <c r="G813" t="s">
        <v>44</v>
      </c>
      <c r="H813" t="s">
        <v>36</v>
      </c>
      <c r="I813" t="s">
        <v>61</v>
      </c>
      <c r="J813" t="s">
        <v>62</v>
      </c>
      <c r="K813">
        <v>8120</v>
      </c>
      <c r="L813">
        <v>97</v>
      </c>
      <c r="M813">
        <v>483.02</v>
      </c>
      <c r="N813">
        <v>1</v>
      </c>
      <c r="O813">
        <v>29.03</v>
      </c>
      <c r="P813">
        <f t="shared" si="48"/>
        <v>1.1945812807881774E-2</v>
      </c>
      <c r="Q813">
        <f t="shared" si="48"/>
        <v>4.9795876288659793</v>
      </c>
      <c r="R813">
        <f t="shared" si="49"/>
        <v>483.02</v>
      </c>
      <c r="S813">
        <f t="shared" si="50"/>
        <v>6.0101031013208565E-2</v>
      </c>
      <c r="T813">
        <f t="shared" si="51"/>
        <v>1.0309278350515464E-2</v>
      </c>
      <c r="U813" t="str">
        <f>YEAR('Campaign Data'!$A813)&amp;"-"&amp;TEXT(MONTH('Campaign Data'!$A813),"00")</f>
        <v>2026-02</v>
      </c>
    </row>
    <row r="814" spans="1:21" x14ac:dyDescent="0.25">
      <c r="A814">
        <v>46067</v>
      </c>
      <c r="B814" t="s">
        <v>122</v>
      </c>
      <c r="C814" t="s">
        <v>123</v>
      </c>
      <c r="D814" t="s">
        <v>41</v>
      </c>
      <c r="E814" t="s">
        <v>33</v>
      </c>
      <c r="F814" t="s">
        <v>75</v>
      </c>
      <c r="G814" t="s">
        <v>35</v>
      </c>
      <c r="H814" t="s">
        <v>27</v>
      </c>
      <c r="I814" t="s">
        <v>37</v>
      </c>
      <c r="J814" t="s">
        <v>29</v>
      </c>
      <c r="K814">
        <v>7797</v>
      </c>
      <c r="L814">
        <v>26</v>
      </c>
      <c r="M814">
        <v>23.23</v>
      </c>
      <c r="N814">
        <v>1</v>
      </c>
      <c r="O814">
        <v>51.6</v>
      </c>
      <c r="P814">
        <f t="shared" si="48"/>
        <v>3.3346158779017569E-3</v>
      </c>
      <c r="Q814">
        <f t="shared" si="48"/>
        <v>0.89346153846153853</v>
      </c>
      <c r="R814">
        <f t="shared" si="49"/>
        <v>23.23</v>
      </c>
      <c r="S814">
        <f t="shared" si="50"/>
        <v>2.2212656048213519</v>
      </c>
      <c r="T814">
        <f t="shared" si="51"/>
        <v>3.8461538461538464E-2</v>
      </c>
      <c r="U814" t="str">
        <f>YEAR('Campaign Data'!$A814)&amp;"-"&amp;TEXT(MONTH('Campaign Data'!$A814),"00")</f>
        <v>2026-02</v>
      </c>
    </row>
    <row r="815" spans="1:21" x14ac:dyDescent="0.25">
      <c r="A815">
        <v>46068</v>
      </c>
      <c r="B815" t="s">
        <v>173</v>
      </c>
      <c r="C815" t="s">
        <v>174</v>
      </c>
      <c r="D815" t="s">
        <v>48</v>
      </c>
      <c r="E815" t="s">
        <v>74</v>
      </c>
      <c r="F815" t="s">
        <v>25</v>
      </c>
      <c r="G815" t="s">
        <v>9</v>
      </c>
      <c r="H815" t="s">
        <v>27</v>
      </c>
      <c r="I815" t="s">
        <v>28</v>
      </c>
      <c r="J815" t="s">
        <v>38</v>
      </c>
      <c r="K815">
        <v>3670</v>
      </c>
      <c r="L815">
        <v>100</v>
      </c>
      <c r="M815">
        <v>206.51</v>
      </c>
      <c r="N815">
        <v>1</v>
      </c>
      <c r="O815">
        <v>133.21</v>
      </c>
      <c r="P815">
        <f t="shared" si="48"/>
        <v>2.7247956403269755E-2</v>
      </c>
      <c r="Q815">
        <f t="shared" si="48"/>
        <v>2.0650999999999997</v>
      </c>
      <c r="R815">
        <f t="shared" si="49"/>
        <v>206.51</v>
      </c>
      <c r="S815">
        <f t="shared" si="50"/>
        <v>0.64505350830468267</v>
      </c>
      <c r="T815">
        <f t="shared" si="51"/>
        <v>0.01</v>
      </c>
      <c r="U815" t="str">
        <f>YEAR('Campaign Data'!$A815)&amp;"-"&amp;TEXT(MONTH('Campaign Data'!$A815),"00")</f>
        <v>2026-02</v>
      </c>
    </row>
    <row r="816" spans="1:21" x14ac:dyDescent="0.25">
      <c r="A816">
        <v>46068</v>
      </c>
      <c r="B816" t="s">
        <v>147</v>
      </c>
      <c r="C816" t="s">
        <v>148</v>
      </c>
      <c r="D816" t="s">
        <v>23</v>
      </c>
      <c r="E816" t="s">
        <v>42</v>
      </c>
      <c r="F816" t="s">
        <v>75</v>
      </c>
      <c r="G816" t="s">
        <v>44</v>
      </c>
      <c r="H816" t="s">
        <v>36</v>
      </c>
      <c r="I816" t="s">
        <v>37</v>
      </c>
      <c r="J816" t="s">
        <v>38</v>
      </c>
      <c r="K816">
        <v>2687</v>
      </c>
      <c r="L816">
        <v>18</v>
      </c>
      <c r="M816">
        <v>77.98</v>
      </c>
      <c r="N816">
        <v>0</v>
      </c>
      <c r="O816">
        <v>0</v>
      </c>
      <c r="P816">
        <f t="shared" si="48"/>
        <v>6.6989207294380348E-3</v>
      </c>
      <c r="Q816">
        <f t="shared" si="48"/>
        <v>4.3322222222222226</v>
      </c>
      <c r="R816">
        <f t="shared" si="49"/>
        <v>0</v>
      </c>
      <c r="S816">
        <f t="shared" si="50"/>
        <v>0</v>
      </c>
      <c r="T816">
        <f t="shared" si="51"/>
        <v>0</v>
      </c>
      <c r="U816" t="str">
        <f>YEAR('Campaign Data'!$A816)&amp;"-"&amp;TEXT(MONTH('Campaign Data'!$A816),"00")</f>
        <v>2026-02</v>
      </c>
    </row>
    <row r="817" spans="1:21" x14ac:dyDescent="0.25">
      <c r="A817">
        <v>46068</v>
      </c>
      <c r="B817" t="s">
        <v>125</v>
      </c>
      <c r="C817" t="s">
        <v>126</v>
      </c>
      <c r="D817" t="s">
        <v>41</v>
      </c>
      <c r="E817" t="s">
        <v>42</v>
      </c>
      <c r="F817" t="s">
        <v>81</v>
      </c>
      <c r="G817" t="s">
        <v>44</v>
      </c>
      <c r="H817" t="s">
        <v>90</v>
      </c>
      <c r="I817" t="s">
        <v>28</v>
      </c>
      <c r="J817" t="s">
        <v>87</v>
      </c>
      <c r="K817">
        <v>4385</v>
      </c>
      <c r="L817">
        <v>14</v>
      </c>
      <c r="M817">
        <v>28.17</v>
      </c>
      <c r="N817">
        <v>1</v>
      </c>
      <c r="O817">
        <v>5.53</v>
      </c>
      <c r="P817">
        <f t="shared" si="48"/>
        <v>3.1927023945267957E-3</v>
      </c>
      <c r="Q817">
        <f t="shared" si="48"/>
        <v>2.0121428571428575</v>
      </c>
      <c r="R817">
        <f t="shared" si="49"/>
        <v>28.17</v>
      </c>
      <c r="S817">
        <f t="shared" si="50"/>
        <v>0.19630812921547747</v>
      </c>
      <c r="T817">
        <f t="shared" si="51"/>
        <v>7.1428571428571425E-2</v>
      </c>
      <c r="U817" t="str">
        <f>YEAR('Campaign Data'!$A817)&amp;"-"&amp;TEXT(MONTH('Campaign Data'!$A817),"00")</f>
        <v>2026-02</v>
      </c>
    </row>
    <row r="818" spans="1:21" x14ac:dyDescent="0.25">
      <c r="A818">
        <v>46068</v>
      </c>
      <c r="B818" t="s">
        <v>138</v>
      </c>
      <c r="C818" t="s">
        <v>139</v>
      </c>
      <c r="D818" t="s">
        <v>58</v>
      </c>
      <c r="E818" t="s">
        <v>74</v>
      </c>
      <c r="F818" t="s">
        <v>34</v>
      </c>
      <c r="G818" t="s">
        <v>9</v>
      </c>
      <c r="H818" t="s">
        <v>27</v>
      </c>
      <c r="I818" t="s">
        <v>37</v>
      </c>
      <c r="J818" t="s">
        <v>29</v>
      </c>
      <c r="K818">
        <v>1515</v>
      </c>
      <c r="L818">
        <v>43</v>
      </c>
      <c r="M818">
        <v>65.959999999999994</v>
      </c>
      <c r="N818">
        <v>2</v>
      </c>
      <c r="O818">
        <v>206.1</v>
      </c>
      <c r="P818">
        <f t="shared" si="48"/>
        <v>2.8382838283828381E-2</v>
      </c>
      <c r="Q818">
        <f t="shared" si="48"/>
        <v>1.5339534883720929</v>
      </c>
      <c r="R818">
        <f t="shared" si="49"/>
        <v>32.979999999999997</v>
      </c>
      <c r="S818">
        <f t="shared" si="50"/>
        <v>3.124620982413584</v>
      </c>
      <c r="T818">
        <f t="shared" si="51"/>
        <v>4.6511627906976744E-2</v>
      </c>
      <c r="U818" t="str">
        <f>YEAR('Campaign Data'!$A818)&amp;"-"&amp;TEXT(MONTH('Campaign Data'!$A818),"00")</f>
        <v>2026-02</v>
      </c>
    </row>
    <row r="819" spans="1:21" x14ac:dyDescent="0.25">
      <c r="A819">
        <v>46068</v>
      </c>
      <c r="B819" t="s">
        <v>95</v>
      </c>
      <c r="C819" t="s">
        <v>96</v>
      </c>
      <c r="D819" t="s">
        <v>23</v>
      </c>
      <c r="E819" t="s">
        <v>49</v>
      </c>
      <c r="F819" t="s">
        <v>43</v>
      </c>
      <c r="G819" t="s">
        <v>97</v>
      </c>
      <c r="H819" t="s">
        <v>55</v>
      </c>
      <c r="I819" t="s">
        <v>37</v>
      </c>
      <c r="J819" t="s">
        <v>29</v>
      </c>
      <c r="K819">
        <v>2812</v>
      </c>
      <c r="L819">
        <v>150</v>
      </c>
      <c r="M819">
        <v>209.6</v>
      </c>
      <c r="N819">
        <v>10</v>
      </c>
      <c r="O819">
        <v>190.41</v>
      </c>
      <c r="P819">
        <f t="shared" si="48"/>
        <v>5.3342816500711238E-2</v>
      </c>
      <c r="Q819">
        <f t="shared" si="48"/>
        <v>1.3973333333333333</v>
      </c>
      <c r="R819">
        <f t="shared" si="49"/>
        <v>20.96</v>
      </c>
      <c r="S819">
        <f t="shared" si="50"/>
        <v>0.90844465648854966</v>
      </c>
      <c r="T819">
        <f t="shared" si="51"/>
        <v>6.6666666666666666E-2</v>
      </c>
      <c r="U819" t="str">
        <f>YEAR('Campaign Data'!$A819)&amp;"-"&amp;TEXT(MONTH('Campaign Data'!$A819),"00")</f>
        <v>2026-02</v>
      </c>
    </row>
    <row r="820" spans="1:21" x14ac:dyDescent="0.25">
      <c r="A820">
        <v>46068</v>
      </c>
      <c r="B820" t="s">
        <v>46</v>
      </c>
      <c r="C820" t="s">
        <v>47</v>
      </c>
      <c r="D820" t="s">
        <v>48</v>
      </c>
      <c r="E820" t="s">
        <v>49</v>
      </c>
      <c r="F820" t="s">
        <v>43</v>
      </c>
      <c r="G820" t="s">
        <v>50</v>
      </c>
      <c r="H820" t="s">
        <v>90</v>
      </c>
      <c r="I820" t="s">
        <v>37</v>
      </c>
      <c r="J820" t="s">
        <v>38</v>
      </c>
      <c r="K820">
        <v>4844</v>
      </c>
      <c r="L820">
        <v>182</v>
      </c>
      <c r="M820">
        <v>89.49</v>
      </c>
      <c r="N820">
        <v>4</v>
      </c>
      <c r="O820">
        <v>33.409999999999997</v>
      </c>
      <c r="P820">
        <f t="shared" si="48"/>
        <v>3.7572254335260118E-2</v>
      </c>
      <c r="Q820">
        <f t="shared" si="48"/>
        <v>0.49170329670329666</v>
      </c>
      <c r="R820">
        <f t="shared" si="49"/>
        <v>22.372499999999999</v>
      </c>
      <c r="S820">
        <f t="shared" si="50"/>
        <v>0.37333780310649234</v>
      </c>
      <c r="T820">
        <f t="shared" si="51"/>
        <v>2.197802197802198E-2</v>
      </c>
      <c r="U820" t="str">
        <f>YEAR('Campaign Data'!$A820)&amp;"-"&amp;TEXT(MONTH('Campaign Data'!$A820),"00")</f>
        <v>2026-02</v>
      </c>
    </row>
    <row r="821" spans="1:21" x14ac:dyDescent="0.25">
      <c r="A821">
        <v>46068</v>
      </c>
      <c r="B821" t="s">
        <v>52</v>
      </c>
      <c r="C821" t="s">
        <v>53</v>
      </c>
      <c r="D821" t="s">
        <v>32</v>
      </c>
      <c r="E821" t="s">
        <v>42</v>
      </c>
      <c r="F821" t="s">
        <v>25</v>
      </c>
      <c r="G821" t="s">
        <v>54</v>
      </c>
      <c r="H821" t="s">
        <v>27</v>
      </c>
      <c r="I821" t="s">
        <v>37</v>
      </c>
      <c r="J821" t="s">
        <v>38</v>
      </c>
      <c r="K821">
        <v>13731</v>
      </c>
      <c r="L821">
        <v>62</v>
      </c>
      <c r="M821">
        <v>609.96</v>
      </c>
      <c r="N821">
        <v>3</v>
      </c>
      <c r="O821">
        <v>400.74</v>
      </c>
      <c r="P821">
        <f t="shared" si="48"/>
        <v>4.515330274561212E-3</v>
      </c>
      <c r="Q821">
        <f t="shared" si="48"/>
        <v>9.8380645161290321</v>
      </c>
      <c r="R821">
        <f t="shared" si="49"/>
        <v>203.32000000000002</v>
      </c>
      <c r="S821">
        <f t="shared" si="50"/>
        <v>0.65699390123942547</v>
      </c>
      <c r="T821">
        <f t="shared" si="51"/>
        <v>4.8387096774193547E-2</v>
      </c>
      <c r="U821" t="str">
        <f>YEAR('Campaign Data'!$A821)&amp;"-"&amp;TEXT(MONTH('Campaign Data'!$A821),"00")</f>
        <v>2026-02</v>
      </c>
    </row>
    <row r="822" spans="1:21" x14ac:dyDescent="0.25">
      <c r="A822">
        <v>46068</v>
      </c>
      <c r="B822" t="s">
        <v>105</v>
      </c>
      <c r="C822" t="s">
        <v>106</v>
      </c>
      <c r="D822" t="s">
        <v>58</v>
      </c>
      <c r="E822" t="s">
        <v>49</v>
      </c>
      <c r="F822" t="s">
        <v>81</v>
      </c>
      <c r="G822" t="s">
        <v>107</v>
      </c>
      <c r="H822" t="s">
        <v>27</v>
      </c>
      <c r="I822" t="s">
        <v>61</v>
      </c>
      <c r="J822" t="s">
        <v>29</v>
      </c>
      <c r="K822">
        <v>5621</v>
      </c>
      <c r="L822">
        <v>229</v>
      </c>
      <c r="M822">
        <v>525.6</v>
      </c>
      <c r="N822">
        <v>9</v>
      </c>
      <c r="O822">
        <v>263.33999999999997</v>
      </c>
      <c r="P822">
        <f t="shared" si="48"/>
        <v>4.0740081835972247E-2</v>
      </c>
      <c r="Q822">
        <f t="shared" si="48"/>
        <v>2.2951965065502185</v>
      </c>
      <c r="R822">
        <f t="shared" si="49"/>
        <v>58.400000000000006</v>
      </c>
      <c r="S822">
        <f t="shared" si="50"/>
        <v>0.5010273972602739</v>
      </c>
      <c r="T822">
        <f t="shared" si="51"/>
        <v>3.9301310043668124E-2</v>
      </c>
      <c r="U822" t="str">
        <f>YEAR('Campaign Data'!$A822)&amp;"-"&amp;TEXT(MONTH('Campaign Data'!$A822),"00")</f>
        <v>2026-02</v>
      </c>
    </row>
    <row r="823" spans="1:21" x14ac:dyDescent="0.25">
      <c r="A823">
        <v>46068</v>
      </c>
      <c r="B823" t="s">
        <v>130</v>
      </c>
      <c r="C823" t="s">
        <v>131</v>
      </c>
      <c r="D823" t="s">
        <v>48</v>
      </c>
      <c r="E823" t="s">
        <v>33</v>
      </c>
      <c r="F823" t="s">
        <v>34</v>
      </c>
      <c r="G823" t="s">
        <v>35</v>
      </c>
      <c r="H823" t="s">
        <v>36</v>
      </c>
      <c r="I823" t="s">
        <v>37</v>
      </c>
      <c r="J823" t="s">
        <v>29</v>
      </c>
      <c r="K823">
        <v>16942</v>
      </c>
      <c r="L823">
        <v>134</v>
      </c>
      <c r="M823">
        <v>76.959999999999994</v>
      </c>
      <c r="N823">
        <v>4</v>
      </c>
      <c r="O823">
        <v>521.75</v>
      </c>
      <c r="P823">
        <f t="shared" si="48"/>
        <v>7.9093377405265019E-3</v>
      </c>
      <c r="Q823">
        <f t="shared" si="48"/>
        <v>0.57432835820895523</v>
      </c>
      <c r="R823">
        <f t="shared" si="49"/>
        <v>19.239999999999998</v>
      </c>
      <c r="S823">
        <f t="shared" si="50"/>
        <v>6.7794958419958427</v>
      </c>
      <c r="T823">
        <f t="shared" si="51"/>
        <v>2.9850746268656716E-2</v>
      </c>
      <c r="U823" t="str">
        <f>YEAR('Campaign Data'!$A823)&amp;"-"&amp;TEXT(MONTH('Campaign Data'!$A823),"00")</f>
        <v>2026-02</v>
      </c>
    </row>
    <row r="824" spans="1:21" x14ac:dyDescent="0.25">
      <c r="A824">
        <v>46068</v>
      </c>
      <c r="B824" t="s">
        <v>177</v>
      </c>
      <c r="C824" t="s">
        <v>178</v>
      </c>
      <c r="D824" t="s">
        <v>41</v>
      </c>
      <c r="E824" t="s">
        <v>49</v>
      </c>
      <c r="F824" t="s">
        <v>34</v>
      </c>
      <c r="G824" t="s">
        <v>107</v>
      </c>
      <c r="H824" t="s">
        <v>36</v>
      </c>
      <c r="I824" t="s">
        <v>37</v>
      </c>
      <c r="J824" t="s">
        <v>29</v>
      </c>
      <c r="K824">
        <v>2580</v>
      </c>
      <c r="L824">
        <v>58</v>
      </c>
      <c r="M824">
        <v>121.87</v>
      </c>
      <c r="N824">
        <v>4</v>
      </c>
      <c r="O824">
        <v>549.46</v>
      </c>
      <c r="P824">
        <f t="shared" si="48"/>
        <v>2.2480620155038759E-2</v>
      </c>
      <c r="Q824">
        <f t="shared" si="48"/>
        <v>2.1012068965517243</v>
      </c>
      <c r="R824">
        <f t="shared" si="49"/>
        <v>30.467500000000001</v>
      </c>
      <c r="S824">
        <f t="shared" si="50"/>
        <v>4.5085747107573644</v>
      </c>
      <c r="T824">
        <f t="shared" si="51"/>
        <v>6.8965517241379309E-2</v>
      </c>
      <c r="U824" t="str">
        <f>YEAR('Campaign Data'!$A824)&amp;"-"&amp;TEXT(MONTH('Campaign Data'!$A824),"00")</f>
        <v>2026-02</v>
      </c>
    </row>
    <row r="825" spans="1:21" x14ac:dyDescent="0.25">
      <c r="A825">
        <v>46068</v>
      </c>
      <c r="B825" t="s">
        <v>171</v>
      </c>
      <c r="C825" t="s">
        <v>172</v>
      </c>
      <c r="D825" t="s">
        <v>23</v>
      </c>
      <c r="E825" t="s">
        <v>33</v>
      </c>
      <c r="F825" t="s">
        <v>75</v>
      </c>
      <c r="G825" t="s">
        <v>59</v>
      </c>
      <c r="H825" t="s">
        <v>90</v>
      </c>
      <c r="I825" t="s">
        <v>37</v>
      </c>
      <c r="J825" t="s">
        <v>62</v>
      </c>
      <c r="K825">
        <v>11664</v>
      </c>
      <c r="L825">
        <v>214</v>
      </c>
      <c r="M825">
        <v>35.56</v>
      </c>
      <c r="N825">
        <v>1</v>
      </c>
      <c r="O825">
        <v>5.6</v>
      </c>
      <c r="P825">
        <f t="shared" si="48"/>
        <v>1.8347050754458163E-2</v>
      </c>
      <c r="Q825">
        <f t="shared" si="48"/>
        <v>0.16616822429906544</v>
      </c>
      <c r="R825">
        <f t="shared" si="49"/>
        <v>35.56</v>
      </c>
      <c r="S825">
        <f t="shared" si="50"/>
        <v>0.15748031496062989</v>
      </c>
      <c r="T825">
        <f t="shared" si="51"/>
        <v>4.6728971962616819E-3</v>
      </c>
      <c r="U825" t="str">
        <f>YEAR('Campaign Data'!$A825)&amp;"-"&amp;TEXT(MONTH('Campaign Data'!$A825),"00")</f>
        <v>2026-02</v>
      </c>
    </row>
    <row r="826" spans="1:21" x14ac:dyDescent="0.25">
      <c r="A826">
        <v>46068</v>
      </c>
      <c r="B826" t="s">
        <v>112</v>
      </c>
      <c r="C826" t="s">
        <v>113</v>
      </c>
      <c r="D826" t="s">
        <v>32</v>
      </c>
      <c r="E826" t="s">
        <v>24</v>
      </c>
      <c r="F826" t="s">
        <v>75</v>
      </c>
      <c r="G826" t="s">
        <v>66</v>
      </c>
      <c r="H826" t="s">
        <v>27</v>
      </c>
      <c r="I826" t="s">
        <v>37</v>
      </c>
      <c r="J826" t="s">
        <v>29</v>
      </c>
      <c r="K826">
        <v>3992</v>
      </c>
      <c r="L826">
        <v>42</v>
      </c>
      <c r="M826">
        <v>50.84</v>
      </c>
      <c r="N826">
        <v>1</v>
      </c>
      <c r="O826">
        <v>53.7</v>
      </c>
      <c r="P826">
        <f t="shared" si="48"/>
        <v>1.0521042084168337E-2</v>
      </c>
      <c r="Q826">
        <f t="shared" si="48"/>
        <v>1.2104761904761905</v>
      </c>
      <c r="R826">
        <f t="shared" si="49"/>
        <v>50.84</v>
      </c>
      <c r="S826">
        <f t="shared" si="50"/>
        <v>1.0562549173878835</v>
      </c>
      <c r="T826">
        <f t="shared" si="51"/>
        <v>2.3809523809523808E-2</v>
      </c>
      <c r="U826" t="str">
        <f>YEAR('Campaign Data'!$A826)&amp;"-"&amp;TEXT(MONTH('Campaign Data'!$A826),"00")</f>
        <v>2026-02</v>
      </c>
    </row>
    <row r="827" spans="1:21" x14ac:dyDescent="0.25">
      <c r="A827">
        <v>46068</v>
      </c>
      <c r="B827" t="s">
        <v>161</v>
      </c>
      <c r="C827" t="s">
        <v>162</v>
      </c>
      <c r="D827" t="s">
        <v>48</v>
      </c>
      <c r="E827" t="s">
        <v>74</v>
      </c>
      <c r="F827" t="s">
        <v>34</v>
      </c>
      <c r="G827" t="s">
        <v>107</v>
      </c>
      <c r="H827" t="s">
        <v>90</v>
      </c>
      <c r="I827" t="s">
        <v>37</v>
      </c>
      <c r="J827" t="s">
        <v>29</v>
      </c>
      <c r="K827">
        <v>3385</v>
      </c>
      <c r="L827">
        <v>83</v>
      </c>
      <c r="M827">
        <v>29.95</v>
      </c>
      <c r="N827">
        <v>1</v>
      </c>
      <c r="O827">
        <v>30.21</v>
      </c>
      <c r="P827">
        <f t="shared" si="48"/>
        <v>2.4519940915805023E-2</v>
      </c>
      <c r="Q827">
        <f t="shared" si="48"/>
        <v>0.36084337349397588</v>
      </c>
      <c r="R827">
        <f t="shared" si="49"/>
        <v>29.95</v>
      </c>
      <c r="S827">
        <f t="shared" si="50"/>
        <v>1.0086811352253757</v>
      </c>
      <c r="T827">
        <f t="shared" si="51"/>
        <v>1.2048192771084338E-2</v>
      </c>
      <c r="U827" t="str">
        <f>YEAR('Campaign Data'!$A827)&amp;"-"&amp;TEXT(MONTH('Campaign Data'!$A827),"00")</f>
        <v>2026-02</v>
      </c>
    </row>
    <row r="828" spans="1:21" x14ac:dyDescent="0.25">
      <c r="A828">
        <v>46068</v>
      </c>
      <c r="B828" t="s">
        <v>67</v>
      </c>
      <c r="C828" t="s">
        <v>68</v>
      </c>
      <c r="D828" t="s">
        <v>69</v>
      </c>
      <c r="E828" t="s">
        <v>49</v>
      </c>
      <c r="F828" t="s">
        <v>34</v>
      </c>
      <c r="G828" t="s">
        <v>70</v>
      </c>
      <c r="H828" t="s">
        <v>36</v>
      </c>
      <c r="I828" t="s">
        <v>28</v>
      </c>
      <c r="J828" t="s">
        <v>29</v>
      </c>
      <c r="K828">
        <v>9422</v>
      </c>
      <c r="L828">
        <v>593</v>
      </c>
      <c r="M828">
        <v>1286.68</v>
      </c>
      <c r="N828">
        <v>33</v>
      </c>
      <c r="O828">
        <v>3548.23</v>
      </c>
      <c r="P828">
        <f t="shared" si="48"/>
        <v>6.2937805136913605E-2</v>
      </c>
      <c r="Q828">
        <f t="shared" si="48"/>
        <v>2.1697807757166947</v>
      </c>
      <c r="R828">
        <f t="shared" si="49"/>
        <v>38.990303030303032</v>
      </c>
      <c r="S828">
        <f t="shared" si="50"/>
        <v>2.7576631330245283</v>
      </c>
      <c r="T828">
        <f t="shared" si="51"/>
        <v>5.5649241146711638E-2</v>
      </c>
      <c r="U828" t="str">
        <f>YEAR('Campaign Data'!$A828)&amp;"-"&amp;TEXT(MONTH('Campaign Data'!$A828),"00")</f>
        <v>2026-02</v>
      </c>
    </row>
    <row r="829" spans="1:21" x14ac:dyDescent="0.25">
      <c r="A829">
        <v>46068</v>
      </c>
      <c r="B829" t="s">
        <v>72</v>
      </c>
      <c r="C829" t="s">
        <v>73</v>
      </c>
      <c r="D829" t="s">
        <v>69</v>
      </c>
      <c r="E829" t="s">
        <v>74</v>
      </c>
      <c r="F829" t="s">
        <v>75</v>
      </c>
      <c r="G829" t="s">
        <v>9</v>
      </c>
      <c r="H829" t="s">
        <v>71</v>
      </c>
      <c r="I829" t="s">
        <v>28</v>
      </c>
      <c r="J829" t="s">
        <v>62</v>
      </c>
      <c r="K829">
        <v>3336</v>
      </c>
      <c r="L829">
        <v>164</v>
      </c>
      <c r="M829">
        <v>213.18</v>
      </c>
      <c r="N829">
        <v>9</v>
      </c>
      <c r="O829">
        <v>298.42</v>
      </c>
      <c r="P829">
        <f t="shared" si="48"/>
        <v>4.9160671462829736E-2</v>
      </c>
      <c r="Q829">
        <f t="shared" si="48"/>
        <v>1.2998780487804877</v>
      </c>
      <c r="R829">
        <f t="shared" si="49"/>
        <v>23.686666666666667</v>
      </c>
      <c r="S829">
        <f t="shared" si="50"/>
        <v>1.399849892109954</v>
      </c>
      <c r="T829">
        <f t="shared" si="51"/>
        <v>5.4878048780487805E-2</v>
      </c>
      <c r="U829" t="str">
        <f>YEAR('Campaign Data'!$A829)&amp;"-"&amp;TEXT(MONTH('Campaign Data'!$A829),"00")</f>
        <v>2026-02</v>
      </c>
    </row>
    <row r="830" spans="1:21" x14ac:dyDescent="0.25">
      <c r="A830">
        <v>46068</v>
      </c>
      <c r="B830" t="s">
        <v>163</v>
      </c>
      <c r="C830" t="s">
        <v>164</v>
      </c>
      <c r="D830" t="s">
        <v>58</v>
      </c>
      <c r="E830" t="s">
        <v>42</v>
      </c>
      <c r="F830" t="s">
        <v>43</v>
      </c>
      <c r="G830" t="s">
        <v>44</v>
      </c>
      <c r="H830" t="s">
        <v>71</v>
      </c>
      <c r="I830" t="s">
        <v>37</v>
      </c>
      <c r="J830" t="s">
        <v>38</v>
      </c>
      <c r="K830">
        <v>5378</v>
      </c>
      <c r="L830">
        <v>35</v>
      </c>
      <c r="M830">
        <v>159.71</v>
      </c>
      <c r="N830">
        <v>0</v>
      </c>
      <c r="O830">
        <v>0</v>
      </c>
      <c r="P830">
        <f t="shared" si="48"/>
        <v>6.5079955373744886E-3</v>
      </c>
      <c r="Q830">
        <f t="shared" si="48"/>
        <v>4.5631428571428572</v>
      </c>
      <c r="R830">
        <f t="shared" si="49"/>
        <v>0</v>
      </c>
      <c r="S830">
        <f t="shared" si="50"/>
        <v>0</v>
      </c>
      <c r="T830">
        <f t="shared" si="51"/>
        <v>0</v>
      </c>
      <c r="U830" t="str">
        <f>YEAR('Campaign Data'!$A830)&amp;"-"&amp;TEXT(MONTH('Campaign Data'!$A830),"00")</f>
        <v>2026-02</v>
      </c>
    </row>
    <row r="831" spans="1:21" x14ac:dyDescent="0.25">
      <c r="A831">
        <v>46068</v>
      </c>
      <c r="B831" t="s">
        <v>82</v>
      </c>
      <c r="C831" t="s">
        <v>83</v>
      </c>
      <c r="D831" t="s">
        <v>80</v>
      </c>
      <c r="E831" t="s">
        <v>42</v>
      </c>
      <c r="F831" t="s">
        <v>34</v>
      </c>
      <c r="G831" t="s">
        <v>84</v>
      </c>
      <c r="H831" t="s">
        <v>90</v>
      </c>
      <c r="I831" t="s">
        <v>28</v>
      </c>
      <c r="J831" t="s">
        <v>62</v>
      </c>
      <c r="K831">
        <v>7231</v>
      </c>
      <c r="L831">
        <v>55</v>
      </c>
      <c r="M831">
        <v>84.08</v>
      </c>
      <c r="N831">
        <v>1</v>
      </c>
      <c r="O831">
        <v>39.28</v>
      </c>
      <c r="P831">
        <f t="shared" si="48"/>
        <v>7.6061402295671413E-3</v>
      </c>
      <c r="Q831">
        <f t="shared" si="48"/>
        <v>1.5287272727272727</v>
      </c>
      <c r="R831">
        <f t="shared" si="49"/>
        <v>84.08</v>
      </c>
      <c r="S831">
        <f t="shared" si="50"/>
        <v>0.46717411988582302</v>
      </c>
      <c r="T831">
        <f t="shared" si="51"/>
        <v>1.8181818181818181E-2</v>
      </c>
      <c r="U831" t="str">
        <f>YEAR('Campaign Data'!$A831)&amp;"-"&amp;TEXT(MONTH('Campaign Data'!$A831),"00")</f>
        <v>2026-02</v>
      </c>
    </row>
    <row r="832" spans="1:21" x14ac:dyDescent="0.25">
      <c r="A832">
        <v>46069</v>
      </c>
      <c r="B832" t="s">
        <v>165</v>
      </c>
      <c r="C832" t="s">
        <v>166</v>
      </c>
      <c r="D832" t="s">
        <v>41</v>
      </c>
      <c r="E832" t="s">
        <v>33</v>
      </c>
      <c r="F832" t="s">
        <v>43</v>
      </c>
      <c r="G832" t="s">
        <v>59</v>
      </c>
      <c r="H832" t="s">
        <v>27</v>
      </c>
      <c r="I832" t="s">
        <v>37</v>
      </c>
      <c r="J832" t="s">
        <v>38</v>
      </c>
      <c r="K832">
        <v>14772</v>
      </c>
      <c r="L832">
        <v>228</v>
      </c>
      <c r="M832">
        <v>117.7</v>
      </c>
      <c r="N832">
        <v>5</v>
      </c>
      <c r="O832">
        <v>152.19999999999999</v>
      </c>
      <c r="P832">
        <f t="shared" si="48"/>
        <v>1.5434606011372868E-2</v>
      </c>
      <c r="Q832">
        <f t="shared" si="48"/>
        <v>0.51622807017543859</v>
      </c>
      <c r="R832">
        <f t="shared" si="49"/>
        <v>23.54</v>
      </c>
      <c r="S832">
        <f t="shared" si="50"/>
        <v>1.2931180968564144</v>
      </c>
      <c r="T832">
        <f t="shared" si="51"/>
        <v>2.1929824561403508E-2</v>
      </c>
      <c r="U832" t="str">
        <f>YEAR('Campaign Data'!$A832)&amp;"-"&amp;TEXT(MONTH('Campaign Data'!$A832),"00")</f>
        <v>2026-02</v>
      </c>
    </row>
    <row r="833" spans="1:21" x14ac:dyDescent="0.25">
      <c r="A833">
        <v>46069</v>
      </c>
      <c r="B833" t="s">
        <v>165</v>
      </c>
      <c r="C833" t="s">
        <v>166</v>
      </c>
      <c r="D833" t="s">
        <v>41</v>
      </c>
      <c r="E833" t="s">
        <v>33</v>
      </c>
      <c r="F833" t="s">
        <v>43</v>
      </c>
      <c r="G833" t="s">
        <v>59</v>
      </c>
      <c r="H833" t="s">
        <v>60</v>
      </c>
      <c r="I833" t="s">
        <v>37</v>
      </c>
      <c r="J833" t="s">
        <v>45</v>
      </c>
      <c r="K833">
        <v>12809</v>
      </c>
      <c r="L833">
        <v>134</v>
      </c>
      <c r="M833">
        <v>97.84</v>
      </c>
      <c r="N833">
        <v>0</v>
      </c>
      <c r="O833">
        <v>0</v>
      </c>
      <c r="P833">
        <f t="shared" si="48"/>
        <v>1.0461394332110236E-2</v>
      </c>
      <c r="Q833">
        <f t="shared" si="48"/>
        <v>0.73014925373134332</v>
      </c>
      <c r="R833">
        <f t="shared" si="49"/>
        <v>0</v>
      </c>
      <c r="S833">
        <f t="shared" si="50"/>
        <v>0</v>
      </c>
      <c r="T833">
        <f t="shared" si="51"/>
        <v>0</v>
      </c>
      <c r="U833" t="str">
        <f>YEAR('Campaign Data'!$A833)&amp;"-"&amp;TEXT(MONTH('Campaign Data'!$A833),"00")</f>
        <v>2026-02</v>
      </c>
    </row>
    <row r="834" spans="1:21" x14ac:dyDescent="0.25">
      <c r="A834">
        <v>46069</v>
      </c>
      <c r="B834" t="s">
        <v>88</v>
      </c>
      <c r="C834" t="s">
        <v>89</v>
      </c>
      <c r="D834" t="s">
        <v>23</v>
      </c>
      <c r="E834" t="s">
        <v>49</v>
      </c>
      <c r="F834" t="s">
        <v>81</v>
      </c>
      <c r="G834" t="s">
        <v>50</v>
      </c>
      <c r="H834" t="s">
        <v>60</v>
      </c>
      <c r="I834" t="s">
        <v>37</v>
      </c>
      <c r="J834" t="s">
        <v>29</v>
      </c>
      <c r="K834">
        <v>21097</v>
      </c>
      <c r="L834">
        <v>1054</v>
      </c>
      <c r="M834">
        <v>1567.64</v>
      </c>
      <c r="N834">
        <v>50</v>
      </c>
      <c r="O834">
        <v>1227.29</v>
      </c>
      <c r="P834">
        <f t="shared" ref="P834:Q897" si="52">IF(K834=0,0,L834/K834)</f>
        <v>4.9959709911361803E-2</v>
      </c>
      <c r="Q834">
        <f t="shared" si="52"/>
        <v>1.4873244781783683</v>
      </c>
      <c r="R834">
        <f t="shared" ref="R834:R897" si="53">IF(N834=0,0,M834/N834)</f>
        <v>31.352800000000002</v>
      </c>
      <c r="S834">
        <f t="shared" ref="S834:S897" si="54">IF(M834=0,0,O834/M834)</f>
        <v>0.78289020438365942</v>
      </c>
      <c r="T834">
        <f t="shared" ref="T834:T897" si="55">IF(L834=0,0,N834/L834)</f>
        <v>4.743833017077799E-2</v>
      </c>
      <c r="U834" t="str">
        <f>YEAR('Campaign Data'!$A834)&amp;"-"&amp;TEXT(MONTH('Campaign Data'!$A834),"00")</f>
        <v>2026-02</v>
      </c>
    </row>
    <row r="835" spans="1:21" x14ac:dyDescent="0.25">
      <c r="A835">
        <v>46069</v>
      </c>
      <c r="B835" t="s">
        <v>167</v>
      </c>
      <c r="C835" t="s">
        <v>168</v>
      </c>
      <c r="D835" t="s">
        <v>58</v>
      </c>
      <c r="E835" t="s">
        <v>33</v>
      </c>
      <c r="F835" t="s">
        <v>75</v>
      </c>
      <c r="G835" t="s">
        <v>35</v>
      </c>
      <c r="H835" t="s">
        <v>55</v>
      </c>
      <c r="I835" t="s">
        <v>28</v>
      </c>
      <c r="J835" t="s">
        <v>29</v>
      </c>
      <c r="K835">
        <v>1799</v>
      </c>
      <c r="L835">
        <v>17</v>
      </c>
      <c r="M835">
        <v>6.66</v>
      </c>
      <c r="N835">
        <v>0</v>
      </c>
      <c r="O835">
        <v>0</v>
      </c>
      <c r="P835">
        <f t="shared" si="52"/>
        <v>9.4496942745969977E-3</v>
      </c>
      <c r="Q835">
        <f t="shared" si="52"/>
        <v>0.39176470588235296</v>
      </c>
      <c r="R835">
        <f t="shared" si="53"/>
        <v>0</v>
      </c>
      <c r="S835">
        <f t="shared" si="54"/>
        <v>0</v>
      </c>
      <c r="T835">
        <f t="shared" si="55"/>
        <v>0</v>
      </c>
      <c r="U835" t="str">
        <f>YEAR('Campaign Data'!$A835)&amp;"-"&amp;TEXT(MONTH('Campaign Data'!$A835),"00")</f>
        <v>2026-02</v>
      </c>
    </row>
    <row r="836" spans="1:21" x14ac:dyDescent="0.25">
      <c r="A836">
        <v>46069</v>
      </c>
      <c r="B836" t="s">
        <v>125</v>
      </c>
      <c r="C836" t="s">
        <v>126</v>
      </c>
      <c r="D836" t="s">
        <v>41</v>
      </c>
      <c r="E836" t="s">
        <v>42</v>
      </c>
      <c r="F836" t="s">
        <v>81</v>
      </c>
      <c r="G836" t="s">
        <v>44</v>
      </c>
      <c r="H836" t="s">
        <v>90</v>
      </c>
      <c r="I836" t="s">
        <v>28</v>
      </c>
      <c r="J836" t="s">
        <v>45</v>
      </c>
      <c r="K836">
        <v>6913</v>
      </c>
      <c r="L836">
        <v>66</v>
      </c>
      <c r="M836">
        <v>96.83</v>
      </c>
      <c r="N836">
        <v>3</v>
      </c>
      <c r="O836">
        <v>24.67</v>
      </c>
      <c r="P836">
        <f t="shared" si="52"/>
        <v>9.5472298567915517E-3</v>
      </c>
      <c r="Q836">
        <f t="shared" si="52"/>
        <v>1.467121212121212</v>
      </c>
      <c r="R836">
        <f t="shared" si="53"/>
        <v>32.276666666666664</v>
      </c>
      <c r="S836">
        <f t="shared" si="54"/>
        <v>0.25477641226892495</v>
      </c>
      <c r="T836">
        <f t="shared" si="55"/>
        <v>4.5454545454545456E-2</v>
      </c>
      <c r="U836" t="str">
        <f>YEAR('Campaign Data'!$A836)&amp;"-"&amp;TEXT(MONTH('Campaign Data'!$A836),"00")</f>
        <v>2026-02</v>
      </c>
    </row>
    <row r="837" spans="1:21" x14ac:dyDescent="0.25">
      <c r="A837">
        <v>46069</v>
      </c>
      <c r="B837" t="s">
        <v>186</v>
      </c>
      <c r="C837" t="s">
        <v>187</v>
      </c>
      <c r="D837" t="s">
        <v>80</v>
      </c>
      <c r="E837" t="s">
        <v>33</v>
      </c>
      <c r="F837" t="s">
        <v>43</v>
      </c>
      <c r="G837" t="s">
        <v>102</v>
      </c>
      <c r="H837" t="s">
        <v>71</v>
      </c>
      <c r="I837" t="s">
        <v>28</v>
      </c>
      <c r="J837" t="s">
        <v>62</v>
      </c>
      <c r="K837">
        <v>12040</v>
      </c>
      <c r="L837">
        <v>139</v>
      </c>
      <c r="M837">
        <v>92.64</v>
      </c>
      <c r="N837">
        <v>3</v>
      </c>
      <c r="O837">
        <v>40.520000000000003</v>
      </c>
      <c r="P837">
        <f t="shared" si="52"/>
        <v>1.1544850498338871E-2</v>
      </c>
      <c r="Q837">
        <f t="shared" si="52"/>
        <v>0.66647482014388493</v>
      </c>
      <c r="R837">
        <f t="shared" si="53"/>
        <v>30.88</v>
      </c>
      <c r="S837">
        <f t="shared" si="54"/>
        <v>0.43739205526770297</v>
      </c>
      <c r="T837">
        <f t="shared" si="55"/>
        <v>2.1582733812949641E-2</v>
      </c>
      <c r="U837" t="str">
        <f>YEAR('Campaign Data'!$A837)&amp;"-"&amp;TEXT(MONTH('Campaign Data'!$A837),"00")</f>
        <v>2026-02</v>
      </c>
    </row>
    <row r="838" spans="1:21" x14ac:dyDescent="0.25">
      <c r="A838">
        <v>46069</v>
      </c>
      <c r="B838" t="s">
        <v>98</v>
      </c>
      <c r="C838" t="s">
        <v>99</v>
      </c>
      <c r="D838" t="s">
        <v>69</v>
      </c>
      <c r="E838" t="s">
        <v>24</v>
      </c>
      <c r="F838" t="s">
        <v>75</v>
      </c>
      <c r="G838" t="s">
        <v>66</v>
      </c>
      <c r="H838" t="s">
        <v>71</v>
      </c>
      <c r="I838" t="s">
        <v>37</v>
      </c>
      <c r="J838" t="s">
        <v>87</v>
      </c>
      <c r="K838">
        <v>15391</v>
      </c>
      <c r="L838">
        <v>114</v>
      </c>
      <c r="M838">
        <v>123.91</v>
      </c>
      <c r="N838">
        <v>2</v>
      </c>
      <c r="O838">
        <v>29.81</v>
      </c>
      <c r="P838">
        <f t="shared" si="52"/>
        <v>7.4069261256578516E-3</v>
      </c>
      <c r="Q838">
        <f t="shared" si="52"/>
        <v>1.0869298245614034</v>
      </c>
      <c r="R838">
        <f t="shared" si="53"/>
        <v>61.954999999999998</v>
      </c>
      <c r="S838">
        <f t="shared" si="54"/>
        <v>0.24057783875393429</v>
      </c>
      <c r="T838">
        <f t="shared" si="55"/>
        <v>1.7543859649122806E-2</v>
      </c>
      <c r="U838" t="str">
        <f>YEAR('Campaign Data'!$A838)&amp;"-"&amp;TEXT(MONTH('Campaign Data'!$A838),"00")</f>
        <v>2026-02</v>
      </c>
    </row>
    <row r="839" spans="1:21" x14ac:dyDescent="0.25">
      <c r="A839">
        <v>46069</v>
      </c>
      <c r="B839" t="s">
        <v>169</v>
      </c>
      <c r="C839" t="s">
        <v>170</v>
      </c>
      <c r="D839" t="s">
        <v>58</v>
      </c>
      <c r="E839" t="s">
        <v>74</v>
      </c>
      <c r="F839" t="s">
        <v>75</v>
      </c>
      <c r="G839" t="s">
        <v>9</v>
      </c>
      <c r="H839" t="s">
        <v>27</v>
      </c>
      <c r="I839" t="s">
        <v>37</v>
      </c>
      <c r="J839" t="s">
        <v>38</v>
      </c>
      <c r="K839">
        <v>17598</v>
      </c>
      <c r="L839">
        <v>544</v>
      </c>
      <c r="M839">
        <v>790.45</v>
      </c>
      <c r="N839">
        <v>27</v>
      </c>
      <c r="O839">
        <v>1367.98</v>
      </c>
      <c r="P839">
        <f t="shared" si="52"/>
        <v>3.0912603704966474E-2</v>
      </c>
      <c r="Q839">
        <f t="shared" si="52"/>
        <v>1.4530330882352942</v>
      </c>
      <c r="R839">
        <f t="shared" si="53"/>
        <v>29.275925925925929</v>
      </c>
      <c r="S839">
        <f t="shared" si="54"/>
        <v>1.7306344487317351</v>
      </c>
      <c r="T839">
        <f t="shared" si="55"/>
        <v>4.9632352941176468E-2</v>
      </c>
      <c r="U839" t="str">
        <f>YEAR('Campaign Data'!$A839)&amp;"-"&amp;TEXT(MONTH('Campaign Data'!$A839),"00")</f>
        <v>2026-02</v>
      </c>
    </row>
    <row r="840" spans="1:21" x14ac:dyDescent="0.25">
      <c r="A840">
        <v>46069</v>
      </c>
      <c r="B840" t="s">
        <v>171</v>
      </c>
      <c r="C840" t="s">
        <v>172</v>
      </c>
      <c r="D840" t="s">
        <v>23</v>
      </c>
      <c r="E840" t="s">
        <v>33</v>
      </c>
      <c r="F840" t="s">
        <v>75</v>
      </c>
      <c r="G840" t="s">
        <v>59</v>
      </c>
      <c r="H840" t="s">
        <v>55</v>
      </c>
      <c r="I840" t="s">
        <v>37</v>
      </c>
      <c r="J840" t="s">
        <v>29</v>
      </c>
      <c r="K840">
        <v>1159</v>
      </c>
      <c r="L840">
        <v>12</v>
      </c>
      <c r="M840">
        <v>6</v>
      </c>
      <c r="N840">
        <v>0</v>
      </c>
      <c r="O840">
        <v>0</v>
      </c>
      <c r="P840">
        <f t="shared" si="52"/>
        <v>1.0353753235547885E-2</v>
      </c>
      <c r="Q840">
        <f t="shared" si="52"/>
        <v>0.5</v>
      </c>
      <c r="R840">
        <f t="shared" si="53"/>
        <v>0</v>
      </c>
      <c r="S840">
        <f t="shared" si="54"/>
        <v>0</v>
      </c>
      <c r="T840">
        <f t="shared" si="55"/>
        <v>0</v>
      </c>
      <c r="U840" t="str">
        <f>YEAR('Campaign Data'!$A840)&amp;"-"&amp;TEXT(MONTH('Campaign Data'!$A840),"00")</f>
        <v>2026-02</v>
      </c>
    </row>
    <row r="841" spans="1:21" x14ac:dyDescent="0.25">
      <c r="A841">
        <v>46069</v>
      </c>
      <c r="B841" t="s">
        <v>112</v>
      </c>
      <c r="C841" t="s">
        <v>113</v>
      </c>
      <c r="D841" t="s">
        <v>32</v>
      </c>
      <c r="E841" t="s">
        <v>24</v>
      </c>
      <c r="F841" t="s">
        <v>75</v>
      </c>
      <c r="G841" t="s">
        <v>66</v>
      </c>
      <c r="H841" t="s">
        <v>71</v>
      </c>
      <c r="I841" t="s">
        <v>37</v>
      </c>
      <c r="J841" t="s">
        <v>38</v>
      </c>
      <c r="K841">
        <v>14276</v>
      </c>
      <c r="L841">
        <v>172</v>
      </c>
      <c r="M841">
        <v>177.87</v>
      </c>
      <c r="N841">
        <v>7</v>
      </c>
      <c r="O841">
        <v>302.95999999999998</v>
      </c>
      <c r="P841">
        <f t="shared" si="52"/>
        <v>1.2048192771084338E-2</v>
      </c>
      <c r="Q841">
        <f t="shared" si="52"/>
        <v>1.0341279069767442</v>
      </c>
      <c r="R841">
        <f t="shared" si="53"/>
        <v>25.41</v>
      </c>
      <c r="S841">
        <f t="shared" si="54"/>
        <v>1.7032664305391576</v>
      </c>
      <c r="T841">
        <f t="shared" si="55"/>
        <v>4.0697674418604654E-2</v>
      </c>
      <c r="U841" t="str">
        <f>YEAR('Campaign Data'!$A841)&amp;"-"&amp;TEXT(MONTH('Campaign Data'!$A841),"00")</f>
        <v>2026-02</v>
      </c>
    </row>
    <row r="842" spans="1:21" x14ac:dyDescent="0.25">
      <c r="A842">
        <v>46069</v>
      </c>
      <c r="B842" t="s">
        <v>56</v>
      </c>
      <c r="C842" t="s">
        <v>57</v>
      </c>
      <c r="D842" t="s">
        <v>58</v>
      </c>
      <c r="E842" t="s">
        <v>33</v>
      </c>
      <c r="F842" t="s">
        <v>43</v>
      </c>
      <c r="G842" t="s">
        <v>59</v>
      </c>
      <c r="H842" t="s">
        <v>27</v>
      </c>
      <c r="I842" t="s">
        <v>37</v>
      </c>
      <c r="J842" t="s">
        <v>62</v>
      </c>
      <c r="K842">
        <v>1515</v>
      </c>
      <c r="L842">
        <v>19</v>
      </c>
      <c r="M842">
        <v>17.22</v>
      </c>
      <c r="N842">
        <v>0</v>
      </c>
      <c r="O842">
        <v>0</v>
      </c>
      <c r="P842">
        <f t="shared" si="52"/>
        <v>1.2541254125412541E-2</v>
      </c>
      <c r="Q842">
        <f t="shared" si="52"/>
        <v>0.90631578947368419</v>
      </c>
      <c r="R842">
        <f t="shared" si="53"/>
        <v>0</v>
      </c>
      <c r="S842">
        <f t="shared" si="54"/>
        <v>0</v>
      </c>
      <c r="T842">
        <f t="shared" si="55"/>
        <v>0</v>
      </c>
      <c r="U842" t="str">
        <f>YEAR('Campaign Data'!$A842)&amp;"-"&amp;TEXT(MONTH('Campaign Data'!$A842),"00")</f>
        <v>2026-02</v>
      </c>
    </row>
    <row r="843" spans="1:21" x14ac:dyDescent="0.25">
      <c r="A843">
        <v>46069</v>
      </c>
      <c r="B843" t="s">
        <v>141</v>
      </c>
      <c r="C843" t="s">
        <v>142</v>
      </c>
      <c r="D843" t="s">
        <v>80</v>
      </c>
      <c r="E843" t="s">
        <v>49</v>
      </c>
      <c r="F843" t="s">
        <v>81</v>
      </c>
      <c r="G843" t="s">
        <v>97</v>
      </c>
      <c r="H843" t="s">
        <v>90</v>
      </c>
      <c r="I843" t="s">
        <v>28</v>
      </c>
      <c r="J843" t="s">
        <v>62</v>
      </c>
      <c r="K843">
        <v>13431</v>
      </c>
      <c r="L843">
        <v>1192</v>
      </c>
      <c r="M843">
        <v>467.19</v>
      </c>
      <c r="N843">
        <v>83</v>
      </c>
      <c r="O843">
        <v>653.91999999999996</v>
      </c>
      <c r="P843">
        <f t="shared" si="52"/>
        <v>8.8749906931725117E-2</v>
      </c>
      <c r="Q843">
        <f t="shared" si="52"/>
        <v>0.39193791946308726</v>
      </c>
      <c r="R843">
        <f t="shared" si="53"/>
        <v>5.628795180722892</v>
      </c>
      <c r="S843">
        <f t="shared" si="54"/>
        <v>1.3996874933110726</v>
      </c>
      <c r="T843">
        <f t="shared" si="55"/>
        <v>6.9630872483221473E-2</v>
      </c>
      <c r="U843" t="str">
        <f>YEAR('Campaign Data'!$A843)&amp;"-"&amp;TEXT(MONTH('Campaign Data'!$A843),"00")</f>
        <v>2026-02</v>
      </c>
    </row>
    <row r="844" spans="1:21" x14ac:dyDescent="0.25">
      <c r="A844">
        <v>46069</v>
      </c>
      <c r="B844" t="s">
        <v>63</v>
      </c>
      <c r="C844" t="s">
        <v>64</v>
      </c>
      <c r="D844" t="s">
        <v>65</v>
      </c>
      <c r="E844" t="s">
        <v>24</v>
      </c>
      <c r="F844" t="s">
        <v>43</v>
      </c>
      <c r="G844" t="s">
        <v>66</v>
      </c>
      <c r="H844" t="s">
        <v>51</v>
      </c>
      <c r="I844" t="s">
        <v>28</v>
      </c>
      <c r="J844" t="s">
        <v>45</v>
      </c>
      <c r="K844">
        <v>8751</v>
      </c>
      <c r="L844">
        <v>79</v>
      </c>
      <c r="M844">
        <v>97.78</v>
      </c>
      <c r="N844">
        <v>1</v>
      </c>
      <c r="O844">
        <v>19.309999999999999</v>
      </c>
      <c r="P844">
        <f t="shared" si="52"/>
        <v>9.0275397097474581E-3</v>
      </c>
      <c r="Q844">
        <f t="shared" si="52"/>
        <v>1.2377215189873418</v>
      </c>
      <c r="R844">
        <f t="shared" si="53"/>
        <v>97.78</v>
      </c>
      <c r="S844">
        <f t="shared" si="54"/>
        <v>0.19748414808754344</v>
      </c>
      <c r="T844">
        <f t="shared" si="55"/>
        <v>1.2658227848101266E-2</v>
      </c>
      <c r="U844" t="str">
        <f>YEAR('Campaign Data'!$A844)&amp;"-"&amp;TEXT(MONTH('Campaign Data'!$A844),"00")</f>
        <v>2026-02</v>
      </c>
    </row>
    <row r="845" spans="1:21" x14ac:dyDescent="0.25">
      <c r="A845">
        <v>46069</v>
      </c>
      <c r="B845" t="s">
        <v>116</v>
      </c>
      <c r="C845" t="s">
        <v>117</v>
      </c>
      <c r="D845" t="s">
        <v>48</v>
      </c>
      <c r="E845" t="s">
        <v>24</v>
      </c>
      <c r="F845" t="s">
        <v>43</v>
      </c>
      <c r="G845" t="s">
        <v>26</v>
      </c>
      <c r="H845" t="s">
        <v>36</v>
      </c>
      <c r="I845" t="s">
        <v>28</v>
      </c>
      <c r="J845" t="s">
        <v>62</v>
      </c>
      <c r="K845">
        <v>6609</v>
      </c>
      <c r="L845">
        <v>158</v>
      </c>
      <c r="M845">
        <v>120.97</v>
      </c>
      <c r="N845">
        <v>4</v>
      </c>
      <c r="O845">
        <v>70.77</v>
      </c>
      <c r="P845">
        <f t="shared" si="52"/>
        <v>2.3906793766076562E-2</v>
      </c>
      <c r="Q845">
        <f t="shared" si="52"/>
        <v>0.76563291139240508</v>
      </c>
      <c r="R845">
        <f t="shared" si="53"/>
        <v>30.2425</v>
      </c>
      <c r="S845">
        <f t="shared" si="54"/>
        <v>0.58502107960651395</v>
      </c>
      <c r="T845">
        <f t="shared" si="55"/>
        <v>2.5316455696202531E-2</v>
      </c>
      <c r="U845" t="str">
        <f>YEAR('Campaign Data'!$A845)&amp;"-"&amp;TEXT(MONTH('Campaign Data'!$A845),"00")</f>
        <v>2026-02</v>
      </c>
    </row>
    <row r="846" spans="1:21" x14ac:dyDescent="0.25">
      <c r="A846">
        <v>46069</v>
      </c>
      <c r="B846" t="s">
        <v>76</v>
      </c>
      <c r="C846" t="s">
        <v>77</v>
      </c>
      <c r="D846" t="s">
        <v>65</v>
      </c>
      <c r="E846" t="s">
        <v>42</v>
      </c>
      <c r="F846" t="s">
        <v>43</v>
      </c>
      <c r="G846" t="s">
        <v>44</v>
      </c>
      <c r="H846" t="s">
        <v>71</v>
      </c>
      <c r="I846" t="s">
        <v>37</v>
      </c>
      <c r="J846" t="s">
        <v>87</v>
      </c>
      <c r="K846">
        <v>24746</v>
      </c>
      <c r="L846">
        <v>208</v>
      </c>
      <c r="M846">
        <v>1482.59</v>
      </c>
      <c r="N846">
        <v>2</v>
      </c>
      <c r="O846">
        <v>46.97</v>
      </c>
      <c r="P846">
        <f t="shared" si="52"/>
        <v>8.4053988523397714E-3</v>
      </c>
      <c r="Q846">
        <f t="shared" si="52"/>
        <v>7.1278365384615379</v>
      </c>
      <c r="R846">
        <f t="shared" si="53"/>
        <v>741.29499999999996</v>
      </c>
      <c r="S846">
        <f t="shared" si="54"/>
        <v>3.1681044658334399E-2</v>
      </c>
      <c r="T846">
        <f t="shared" si="55"/>
        <v>9.6153846153846159E-3</v>
      </c>
      <c r="U846" t="str">
        <f>YEAR('Campaign Data'!$A846)&amp;"-"&amp;TEXT(MONTH('Campaign Data'!$A846),"00")</f>
        <v>2026-02</v>
      </c>
    </row>
    <row r="847" spans="1:21" x14ac:dyDescent="0.25">
      <c r="A847">
        <v>46070</v>
      </c>
      <c r="B847" t="s">
        <v>85</v>
      </c>
      <c r="C847" t="s">
        <v>86</v>
      </c>
      <c r="D847" t="s">
        <v>80</v>
      </c>
      <c r="E847" t="s">
        <v>33</v>
      </c>
      <c r="F847" t="s">
        <v>43</v>
      </c>
      <c r="G847" t="s">
        <v>35</v>
      </c>
      <c r="H847" t="s">
        <v>60</v>
      </c>
      <c r="I847" t="s">
        <v>37</v>
      </c>
      <c r="J847" t="s">
        <v>45</v>
      </c>
      <c r="K847">
        <v>6665</v>
      </c>
      <c r="L847">
        <v>43</v>
      </c>
      <c r="M847">
        <v>25.21</v>
      </c>
      <c r="N847">
        <v>0</v>
      </c>
      <c r="O847">
        <v>0</v>
      </c>
      <c r="P847">
        <f t="shared" si="52"/>
        <v>6.4516129032258064E-3</v>
      </c>
      <c r="Q847">
        <f t="shared" si="52"/>
        <v>0.58627906976744193</v>
      </c>
      <c r="R847">
        <f t="shared" si="53"/>
        <v>0</v>
      </c>
      <c r="S847">
        <f t="shared" si="54"/>
        <v>0</v>
      </c>
      <c r="T847">
        <f t="shared" si="55"/>
        <v>0</v>
      </c>
      <c r="U847" t="str">
        <f>YEAR('Campaign Data'!$A847)&amp;"-"&amp;TEXT(MONTH('Campaign Data'!$A847),"00")</f>
        <v>2026-02</v>
      </c>
    </row>
    <row r="848" spans="1:21" x14ac:dyDescent="0.25">
      <c r="A848">
        <v>46070</v>
      </c>
      <c r="B848" t="s">
        <v>147</v>
      </c>
      <c r="C848" t="s">
        <v>148</v>
      </c>
      <c r="D848" t="s">
        <v>23</v>
      </c>
      <c r="E848" t="s">
        <v>42</v>
      </c>
      <c r="F848" t="s">
        <v>75</v>
      </c>
      <c r="G848" t="s">
        <v>44</v>
      </c>
      <c r="H848" t="s">
        <v>55</v>
      </c>
      <c r="I848" t="s">
        <v>28</v>
      </c>
      <c r="J848" t="s">
        <v>62</v>
      </c>
      <c r="K848">
        <v>11728</v>
      </c>
      <c r="L848">
        <v>78</v>
      </c>
      <c r="M848">
        <v>549.54</v>
      </c>
      <c r="N848">
        <v>1</v>
      </c>
      <c r="O848">
        <v>46.9</v>
      </c>
      <c r="P848">
        <f t="shared" si="52"/>
        <v>6.6507503410641201E-3</v>
      </c>
      <c r="Q848">
        <f t="shared" si="52"/>
        <v>7.0453846153846147</v>
      </c>
      <c r="R848">
        <f t="shared" si="53"/>
        <v>549.54</v>
      </c>
      <c r="S848">
        <f t="shared" si="54"/>
        <v>8.5344105979546531E-2</v>
      </c>
      <c r="T848">
        <f t="shared" si="55"/>
        <v>1.282051282051282E-2</v>
      </c>
      <c r="U848" t="str">
        <f>YEAR('Campaign Data'!$A848)&amp;"-"&amp;TEXT(MONTH('Campaign Data'!$A848),"00")</f>
        <v>2026-02</v>
      </c>
    </row>
    <row r="849" spans="1:21" x14ac:dyDescent="0.25">
      <c r="A849">
        <v>46070</v>
      </c>
      <c r="B849" t="s">
        <v>147</v>
      </c>
      <c r="C849" t="s">
        <v>148</v>
      </c>
      <c r="D849" t="s">
        <v>23</v>
      </c>
      <c r="E849" t="s">
        <v>42</v>
      </c>
      <c r="F849" t="s">
        <v>75</v>
      </c>
      <c r="G849" t="s">
        <v>44</v>
      </c>
      <c r="H849" t="s">
        <v>27</v>
      </c>
      <c r="I849" t="s">
        <v>37</v>
      </c>
      <c r="J849" t="s">
        <v>29</v>
      </c>
      <c r="K849">
        <v>5892</v>
      </c>
      <c r="L849">
        <v>34</v>
      </c>
      <c r="M849">
        <v>245.11</v>
      </c>
      <c r="N849">
        <v>1</v>
      </c>
      <c r="O849">
        <v>45.99</v>
      </c>
      <c r="P849">
        <f t="shared" si="52"/>
        <v>5.7705363204344877E-3</v>
      </c>
      <c r="Q849">
        <f t="shared" si="52"/>
        <v>7.2091176470588243</v>
      </c>
      <c r="R849">
        <f t="shared" si="53"/>
        <v>245.11</v>
      </c>
      <c r="S849">
        <f t="shared" si="54"/>
        <v>0.18763004365386968</v>
      </c>
      <c r="T849">
        <f t="shared" si="55"/>
        <v>2.9411764705882353E-2</v>
      </c>
      <c r="U849" t="str">
        <f>YEAR('Campaign Data'!$A849)&amp;"-"&amp;TEXT(MONTH('Campaign Data'!$A849),"00")</f>
        <v>2026-02</v>
      </c>
    </row>
    <row r="850" spans="1:21" x14ac:dyDescent="0.25">
      <c r="A850">
        <v>46070</v>
      </c>
      <c r="B850" t="s">
        <v>147</v>
      </c>
      <c r="C850" t="s">
        <v>148</v>
      </c>
      <c r="D850" t="s">
        <v>23</v>
      </c>
      <c r="E850" t="s">
        <v>42</v>
      </c>
      <c r="F850" t="s">
        <v>75</v>
      </c>
      <c r="G850" t="s">
        <v>44</v>
      </c>
      <c r="H850" t="s">
        <v>71</v>
      </c>
      <c r="I850" t="s">
        <v>28</v>
      </c>
      <c r="J850" t="s">
        <v>87</v>
      </c>
      <c r="K850">
        <v>7696</v>
      </c>
      <c r="L850">
        <v>56</v>
      </c>
      <c r="M850">
        <v>170.47</v>
      </c>
      <c r="N850">
        <v>0</v>
      </c>
      <c r="O850">
        <v>0</v>
      </c>
      <c r="P850">
        <f t="shared" si="52"/>
        <v>7.2765072765072769E-3</v>
      </c>
      <c r="Q850">
        <f t="shared" si="52"/>
        <v>3.0441071428571429</v>
      </c>
      <c r="R850">
        <f t="shared" si="53"/>
        <v>0</v>
      </c>
      <c r="S850">
        <f t="shared" si="54"/>
        <v>0</v>
      </c>
      <c r="T850">
        <f t="shared" si="55"/>
        <v>0</v>
      </c>
      <c r="U850" t="str">
        <f>YEAR('Campaign Data'!$A850)&amp;"-"&amp;TEXT(MONTH('Campaign Data'!$A850),"00")</f>
        <v>2026-02</v>
      </c>
    </row>
    <row r="851" spans="1:21" x14ac:dyDescent="0.25">
      <c r="A851">
        <v>46070</v>
      </c>
      <c r="B851" t="s">
        <v>125</v>
      </c>
      <c r="C851" t="s">
        <v>126</v>
      </c>
      <c r="D851" t="s">
        <v>41</v>
      </c>
      <c r="E851" t="s">
        <v>42</v>
      </c>
      <c r="F851" t="s">
        <v>81</v>
      </c>
      <c r="G851" t="s">
        <v>44</v>
      </c>
      <c r="H851" t="s">
        <v>27</v>
      </c>
      <c r="I851" t="s">
        <v>37</v>
      </c>
      <c r="J851" t="s">
        <v>38</v>
      </c>
      <c r="K851">
        <v>14338</v>
      </c>
      <c r="L851">
        <v>100</v>
      </c>
      <c r="M851">
        <v>930.87</v>
      </c>
      <c r="N851">
        <v>3</v>
      </c>
      <c r="O851">
        <v>59.98</v>
      </c>
      <c r="P851">
        <f t="shared" si="52"/>
        <v>6.9744734272562418E-3</v>
      </c>
      <c r="Q851">
        <f t="shared" si="52"/>
        <v>9.3087</v>
      </c>
      <c r="R851">
        <f t="shared" si="53"/>
        <v>310.29000000000002</v>
      </c>
      <c r="S851">
        <f t="shared" si="54"/>
        <v>6.443434636415396E-2</v>
      </c>
      <c r="T851">
        <f t="shared" si="55"/>
        <v>0.03</v>
      </c>
      <c r="U851" t="str">
        <f>YEAR('Campaign Data'!$A851)&amp;"-"&amp;TEXT(MONTH('Campaign Data'!$A851),"00")</f>
        <v>2026-02</v>
      </c>
    </row>
    <row r="852" spans="1:21" x14ac:dyDescent="0.25">
      <c r="A852">
        <v>46070</v>
      </c>
      <c r="B852" t="s">
        <v>138</v>
      </c>
      <c r="C852" t="s">
        <v>139</v>
      </c>
      <c r="D852" t="s">
        <v>58</v>
      </c>
      <c r="E852" t="s">
        <v>74</v>
      </c>
      <c r="F852" t="s">
        <v>34</v>
      </c>
      <c r="G852" t="s">
        <v>9</v>
      </c>
      <c r="H852" t="s">
        <v>27</v>
      </c>
      <c r="I852" t="s">
        <v>37</v>
      </c>
      <c r="J852" t="s">
        <v>45</v>
      </c>
      <c r="K852">
        <v>6938</v>
      </c>
      <c r="L852">
        <v>223</v>
      </c>
      <c r="M852">
        <v>374.47</v>
      </c>
      <c r="N852">
        <v>8</v>
      </c>
      <c r="O852">
        <v>1666.61</v>
      </c>
      <c r="P852">
        <f t="shared" si="52"/>
        <v>3.2141827616027671E-2</v>
      </c>
      <c r="Q852">
        <f t="shared" si="52"/>
        <v>1.6792376681614352</v>
      </c>
      <c r="R852">
        <f t="shared" si="53"/>
        <v>46.808750000000003</v>
      </c>
      <c r="S852">
        <f t="shared" si="54"/>
        <v>4.4505834913344184</v>
      </c>
      <c r="T852">
        <f t="shared" si="55"/>
        <v>3.5874439461883408E-2</v>
      </c>
      <c r="U852" t="str">
        <f>YEAR('Campaign Data'!$A852)&amp;"-"&amp;TEXT(MONTH('Campaign Data'!$A852),"00")</f>
        <v>2026-02</v>
      </c>
    </row>
    <row r="853" spans="1:21" x14ac:dyDescent="0.25">
      <c r="A853">
        <v>46070</v>
      </c>
      <c r="B853" t="s">
        <v>30</v>
      </c>
      <c r="C853" t="s">
        <v>31</v>
      </c>
      <c r="D853" t="s">
        <v>32</v>
      </c>
      <c r="E853" t="s">
        <v>33</v>
      </c>
      <c r="F853" t="s">
        <v>34</v>
      </c>
      <c r="G853" t="s">
        <v>35</v>
      </c>
      <c r="H853" t="s">
        <v>51</v>
      </c>
      <c r="I853" t="s">
        <v>61</v>
      </c>
      <c r="J853" t="s">
        <v>38</v>
      </c>
      <c r="K853">
        <v>9298</v>
      </c>
      <c r="L853">
        <v>113</v>
      </c>
      <c r="M853">
        <v>42.85</v>
      </c>
      <c r="N853">
        <v>1</v>
      </c>
      <c r="O853">
        <v>127</v>
      </c>
      <c r="P853">
        <f t="shared" si="52"/>
        <v>1.2153151215315121E-2</v>
      </c>
      <c r="Q853">
        <f t="shared" si="52"/>
        <v>0.37920353982300886</v>
      </c>
      <c r="R853">
        <f t="shared" si="53"/>
        <v>42.85</v>
      </c>
      <c r="S853">
        <f t="shared" si="54"/>
        <v>2.9638273045507582</v>
      </c>
      <c r="T853">
        <f t="shared" si="55"/>
        <v>8.8495575221238937E-3</v>
      </c>
      <c r="U853" t="str">
        <f>YEAR('Campaign Data'!$A853)&amp;"-"&amp;TEXT(MONTH('Campaign Data'!$A853),"00")</f>
        <v>2026-02</v>
      </c>
    </row>
    <row r="854" spans="1:21" x14ac:dyDescent="0.25">
      <c r="A854">
        <v>46070</v>
      </c>
      <c r="B854" t="s">
        <v>151</v>
      </c>
      <c r="C854" t="s">
        <v>152</v>
      </c>
      <c r="D854" t="s">
        <v>48</v>
      </c>
      <c r="E854" t="s">
        <v>24</v>
      </c>
      <c r="F854" t="s">
        <v>81</v>
      </c>
      <c r="G854" t="s">
        <v>129</v>
      </c>
      <c r="H854" t="s">
        <v>60</v>
      </c>
      <c r="I854" t="s">
        <v>37</v>
      </c>
      <c r="J854" t="s">
        <v>29</v>
      </c>
      <c r="K854">
        <v>10987</v>
      </c>
      <c r="L854">
        <v>139</v>
      </c>
      <c r="M854">
        <v>120.79</v>
      </c>
      <c r="N854">
        <v>2</v>
      </c>
      <c r="O854">
        <v>29.9</v>
      </c>
      <c r="P854">
        <f t="shared" si="52"/>
        <v>1.2651315190679895E-2</v>
      </c>
      <c r="Q854">
        <f t="shared" si="52"/>
        <v>0.86899280575539573</v>
      </c>
      <c r="R854">
        <f t="shared" si="53"/>
        <v>60.395000000000003</v>
      </c>
      <c r="S854">
        <f t="shared" si="54"/>
        <v>0.24753704776885502</v>
      </c>
      <c r="T854">
        <f t="shared" si="55"/>
        <v>1.4388489208633094E-2</v>
      </c>
      <c r="U854" t="str">
        <f>YEAR('Campaign Data'!$A854)&amp;"-"&amp;TEXT(MONTH('Campaign Data'!$A854),"00")</f>
        <v>2026-02</v>
      </c>
    </row>
    <row r="855" spans="1:21" x14ac:dyDescent="0.25">
      <c r="A855">
        <v>46070</v>
      </c>
      <c r="B855" t="s">
        <v>46</v>
      </c>
      <c r="C855" t="s">
        <v>47</v>
      </c>
      <c r="D855" t="s">
        <v>48</v>
      </c>
      <c r="E855" t="s">
        <v>49</v>
      </c>
      <c r="F855" t="s">
        <v>43</v>
      </c>
      <c r="G855" t="s">
        <v>50</v>
      </c>
      <c r="H855" t="s">
        <v>60</v>
      </c>
      <c r="I855" t="s">
        <v>37</v>
      </c>
      <c r="J855" t="s">
        <v>87</v>
      </c>
      <c r="K855">
        <v>11871</v>
      </c>
      <c r="L855">
        <v>766</v>
      </c>
      <c r="M855">
        <v>1116.8599999999999</v>
      </c>
      <c r="N855">
        <v>31</v>
      </c>
      <c r="O855">
        <v>895.61</v>
      </c>
      <c r="P855">
        <f t="shared" si="52"/>
        <v>6.452699856793867E-2</v>
      </c>
      <c r="Q855">
        <f t="shared" si="52"/>
        <v>1.4580417754569188</v>
      </c>
      <c r="R855">
        <f t="shared" si="53"/>
        <v>36.027741935483867</v>
      </c>
      <c r="S855">
        <f t="shared" si="54"/>
        <v>0.80189996955750953</v>
      </c>
      <c r="T855">
        <f t="shared" si="55"/>
        <v>4.0469973890339427E-2</v>
      </c>
      <c r="U855" t="str">
        <f>YEAR('Campaign Data'!$A855)&amp;"-"&amp;TEXT(MONTH('Campaign Data'!$A855),"00")</f>
        <v>2026-02</v>
      </c>
    </row>
    <row r="856" spans="1:21" x14ac:dyDescent="0.25">
      <c r="A856">
        <v>46070</v>
      </c>
      <c r="B856" t="s">
        <v>52</v>
      </c>
      <c r="C856" t="s">
        <v>53</v>
      </c>
      <c r="D856" t="s">
        <v>32</v>
      </c>
      <c r="E856" t="s">
        <v>42</v>
      </c>
      <c r="F856" t="s">
        <v>25</v>
      </c>
      <c r="G856" t="s">
        <v>54</v>
      </c>
      <c r="H856" t="s">
        <v>90</v>
      </c>
      <c r="I856" t="s">
        <v>28</v>
      </c>
      <c r="J856" t="s">
        <v>29</v>
      </c>
      <c r="K856">
        <v>2123</v>
      </c>
      <c r="L856">
        <v>2</v>
      </c>
      <c r="M856">
        <v>3.76</v>
      </c>
      <c r="N856">
        <v>0</v>
      </c>
      <c r="O856">
        <v>0</v>
      </c>
      <c r="P856">
        <f t="shared" si="52"/>
        <v>9.4206311822892137E-4</v>
      </c>
      <c r="Q856">
        <f t="shared" si="52"/>
        <v>1.88</v>
      </c>
      <c r="R856">
        <f t="shared" si="53"/>
        <v>0</v>
      </c>
      <c r="S856">
        <f t="shared" si="54"/>
        <v>0</v>
      </c>
      <c r="T856">
        <f t="shared" si="55"/>
        <v>0</v>
      </c>
      <c r="U856" t="str">
        <f>YEAR('Campaign Data'!$A856)&amp;"-"&amp;TEXT(MONTH('Campaign Data'!$A856),"00")</f>
        <v>2026-02</v>
      </c>
    </row>
    <row r="857" spans="1:21" x14ac:dyDescent="0.25">
      <c r="A857">
        <v>46070</v>
      </c>
      <c r="B857" t="s">
        <v>132</v>
      </c>
      <c r="C857" t="s">
        <v>133</v>
      </c>
      <c r="D857" t="s">
        <v>23</v>
      </c>
      <c r="E857" t="s">
        <v>42</v>
      </c>
      <c r="F857" t="s">
        <v>75</v>
      </c>
      <c r="G857" t="s">
        <v>84</v>
      </c>
      <c r="H857" t="s">
        <v>71</v>
      </c>
      <c r="I857" t="s">
        <v>28</v>
      </c>
      <c r="J857" t="s">
        <v>87</v>
      </c>
      <c r="K857">
        <v>8449</v>
      </c>
      <c r="L857">
        <v>43</v>
      </c>
      <c r="M857">
        <v>219</v>
      </c>
      <c r="N857">
        <v>3</v>
      </c>
      <c r="O857">
        <v>71.14</v>
      </c>
      <c r="P857">
        <f t="shared" si="52"/>
        <v>5.0893596875369864E-3</v>
      </c>
      <c r="Q857">
        <f t="shared" si="52"/>
        <v>5.0930232558139537</v>
      </c>
      <c r="R857">
        <f t="shared" si="53"/>
        <v>73</v>
      </c>
      <c r="S857">
        <f t="shared" si="54"/>
        <v>0.32484018264840181</v>
      </c>
      <c r="T857">
        <f t="shared" si="55"/>
        <v>6.9767441860465115E-2</v>
      </c>
      <c r="U857" t="str">
        <f>YEAR('Campaign Data'!$A857)&amp;"-"&amp;TEXT(MONTH('Campaign Data'!$A857),"00")</f>
        <v>2026-02</v>
      </c>
    </row>
    <row r="858" spans="1:21" x14ac:dyDescent="0.25">
      <c r="A858">
        <v>46070</v>
      </c>
      <c r="B858" t="s">
        <v>177</v>
      </c>
      <c r="C858" t="s">
        <v>178</v>
      </c>
      <c r="D858" t="s">
        <v>41</v>
      </c>
      <c r="E858" t="s">
        <v>49</v>
      </c>
      <c r="F858" t="s">
        <v>34</v>
      </c>
      <c r="G858" t="s">
        <v>107</v>
      </c>
      <c r="H858" t="s">
        <v>27</v>
      </c>
      <c r="I858" t="s">
        <v>37</v>
      </c>
      <c r="J858" t="s">
        <v>62</v>
      </c>
      <c r="K858">
        <v>7056</v>
      </c>
      <c r="L858">
        <v>295</v>
      </c>
      <c r="M858">
        <v>650.02</v>
      </c>
      <c r="N858">
        <v>46</v>
      </c>
      <c r="O858">
        <v>9535.5</v>
      </c>
      <c r="P858">
        <f t="shared" si="52"/>
        <v>4.1808390022675737E-2</v>
      </c>
      <c r="Q858">
        <f t="shared" si="52"/>
        <v>2.2034576271186439</v>
      </c>
      <c r="R858">
        <f t="shared" si="53"/>
        <v>14.130869565217392</v>
      </c>
      <c r="S858">
        <f t="shared" si="54"/>
        <v>14.669548629272946</v>
      </c>
      <c r="T858">
        <f t="shared" si="55"/>
        <v>0.15593220338983052</v>
      </c>
      <c r="U858" t="str">
        <f>YEAR('Campaign Data'!$A858)&amp;"-"&amp;TEXT(MONTH('Campaign Data'!$A858),"00")</f>
        <v>2026-02</v>
      </c>
    </row>
    <row r="859" spans="1:21" x14ac:dyDescent="0.25">
      <c r="A859">
        <v>46070</v>
      </c>
      <c r="B859" t="s">
        <v>155</v>
      </c>
      <c r="C859" t="s">
        <v>156</v>
      </c>
      <c r="D859" t="s">
        <v>32</v>
      </c>
      <c r="E859" t="s">
        <v>24</v>
      </c>
      <c r="F859" t="s">
        <v>34</v>
      </c>
      <c r="G859" t="s">
        <v>129</v>
      </c>
      <c r="H859" t="s">
        <v>60</v>
      </c>
      <c r="I859" t="s">
        <v>37</v>
      </c>
      <c r="J859" t="s">
        <v>45</v>
      </c>
      <c r="K859">
        <v>3554</v>
      </c>
      <c r="L859">
        <v>51</v>
      </c>
      <c r="M859">
        <v>50.16</v>
      </c>
      <c r="N859">
        <v>0</v>
      </c>
      <c r="O859">
        <v>0</v>
      </c>
      <c r="P859">
        <f t="shared" si="52"/>
        <v>1.4350028137310074E-2</v>
      </c>
      <c r="Q859">
        <f t="shared" si="52"/>
        <v>0.98352941176470576</v>
      </c>
      <c r="R859">
        <f t="shared" si="53"/>
        <v>0</v>
      </c>
      <c r="S859">
        <f t="shared" si="54"/>
        <v>0</v>
      </c>
      <c r="T859">
        <f t="shared" si="55"/>
        <v>0</v>
      </c>
      <c r="U859" t="str">
        <f>YEAR('Campaign Data'!$A859)&amp;"-"&amp;TEXT(MONTH('Campaign Data'!$A859),"00")</f>
        <v>2026-02</v>
      </c>
    </row>
    <row r="860" spans="1:21" x14ac:dyDescent="0.25">
      <c r="A860">
        <v>46070</v>
      </c>
      <c r="B860" t="s">
        <v>157</v>
      </c>
      <c r="C860" t="s">
        <v>158</v>
      </c>
      <c r="D860" t="s">
        <v>58</v>
      </c>
      <c r="E860" t="s">
        <v>49</v>
      </c>
      <c r="F860" t="s">
        <v>81</v>
      </c>
      <c r="G860" t="s">
        <v>50</v>
      </c>
      <c r="H860" t="s">
        <v>71</v>
      </c>
      <c r="I860" t="s">
        <v>28</v>
      </c>
      <c r="J860" t="s">
        <v>62</v>
      </c>
      <c r="K860">
        <v>11589</v>
      </c>
      <c r="L860">
        <v>863</v>
      </c>
      <c r="M860">
        <v>1831.9</v>
      </c>
      <c r="N860">
        <v>8</v>
      </c>
      <c r="O860">
        <v>158.96</v>
      </c>
      <c r="P860">
        <f t="shared" si="52"/>
        <v>7.4467167141254634E-2</v>
      </c>
      <c r="Q860">
        <f t="shared" si="52"/>
        <v>2.1227114716106605</v>
      </c>
      <c r="R860">
        <f t="shared" si="53"/>
        <v>228.98750000000001</v>
      </c>
      <c r="S860">
        <f t="shared" si="54"/>
        <v>8.6773295485561439E-2</v>
      </c>
      <c r="T860">
        <f t="shared" si="55"/>
        <v>9.2699884125144842E-3</v>
      </c>
      <c r="U860" t="str">
        <f>YEAR('Campaign Data'!$A860)&amp;"-"&amp;TEXT(MONTH('Campaign Data'!$A860),"00")</f>
        <v>2026-02</v>
      </c>
    </row>
    <row r="861" spans="1:21" x14ac:dyDescent="0.25">
      <c r="A861">
        <v>46070</v>
      </c>
      <c r="B861" t="s">
        <v>112</v>
      </c>
      <c r="C861" t="s">
        <v>113</v>
      </c>
      <c r="D861" t="s">
        <v>32</v>
      </c>
      <c r="E861" t="s">
        <v>24</v>
      </c>
      <c r="F861" t="s">
        <v>75</v>
      </c>
      <c r="G861" t="s">
        <v>66</v>
      </c>
      <c r="H861" t="s">
        <v>90</v>
      </c>
      <c r="I861" t="s">
        <v>37</v>
      </c>
      <c r="J861" t="s">
        <v>87</v>
      </c>
      <c r="K861">
        <v>6422</v>
      </c>
      <c r="L861">
        <v>69</v>
      </c>
      <c r="M861">
        <v>9.36</v>
      </c>
      <c r="N861">
        <v>2</v>
      </c>
      <c r="O861">
        <v>12.38</v>
      </c>
      <c r="P861">
        <f t="shared" si="52"/>
        <v>1.0744316412332606E-2</v>
      </c>
      <c r="Q861">
        <f t="shared" si="52"/>
        <v>0.13565217391304346</v>
      </c>
      <c r="R861">
        <f t="shared" si="53"/>
        <v>4.68</v>
      </c>
      <c r="S861">
        <f t="shared" si="54"/>
        <v>1.3226495726495728</v>
      </c>
      <c r="T861">
        <f t="shared" si="55"/>
        <v>2.8985507246376812E-2</v>
      </c>
      <c r="U861" t="str">
        <f>YEAR('Campaign Data'!$A861)&amp;"-"&amp;TEXT(MONTH('Campaign Data'!$A861),"00")</f>
        <v>2026-02</v>
      </c>
    </row>
    <row r="862" spans="1:21" x14ac:dyDescent="0.25">
      <c r="A862">
        <v>46070</v>
      </c>
      <c r="B862" t="s">
        <v>159</v>
      </c>
      <c r="C862" t="s">
        <v>160</v>
      </c>
      <c r="D862" t="s">
        <v>65</v>
      </c>
      <c r="E862" t="s">
        <v>42</v>
      </c>
      <c r="F862" t="s">
        <v>75</v>
      </c>
      <c r="G862" t="s">
        <v>54</v>
      </c>
      <c r="H862" t="s">
        <v>90</v>
      </c>
      <c r="I862" t="s">
        <v>37</v>
      </c>
      <c r="J862" t="s">
        <v>62</v>
      </c>
      <c r="K862">
        <v>1626</v>
      </c>
      <c r="L862">
        <v>21</v>
      </c>
      <c r="M862">
        <v>31.59</v>
      </c>
      <c r="N862">
        <v>0</v>
      </c>
      <c r="O862">
        <v>0</v>
      </c>
      <c r="P862">
        <f t="shared" si="52"/>
        <v>1.2915129151291513E-2</v>
      </c>
      <c r="Q862">
        <f t="shared" si="52"/>
        <v>1.5042857142857142</v>
      </c>
      <c r="R862">
        <f t="shared" si="53"/>
        <v>0</v>
      </c>
      <c r="S862">
        <f t="shared" si="54"/>
        <v>0</v>
      </c>
      <c r="T862">
        <f t="shared" si="55"/>
        <v>0</v>
      </c>
      <c r="U862" t="str">
        <f>YEAR('Campaign Data'!$A862)&amp;"-"&amp;TEXT(MONTH('Campaign Data'!$A862),"00")</f>
        <v>2026-02</v>
      </c>
    </row>
    <row r="863" spans="1:21" x14ac:dyDescent="0.25">
      <c r="A863">
        <v>46070</v>
      </c>
      <c r="B863" t="s">
        <v>143</v>
      </c>
      <c r="C863" t="s">
        <v>144</v>
      </c>
      <c r="D863" t="s">
        <v>48</v>
      </c>
      <c r="E863" t="s">
        <v>42</v>
      </c>
      <c r="F863" t="s">
        <v>25</v>
      </c>
      <c r="G863" t="s">
        <v>84</v>
      </c>
      <c r="H863" t="s">
        <v>51</v>
      </c>
      <c r="I863" t="s">
        <v>37</v>
      </c>
      <c r="J863" t="s">
        <v>45</v>
      </c>
      <c r="K863">
        <v>5686</v>
      </c>
      <c r="L863">
        <v>44</v>
      </c>
      <c r="M863">
        <v>308.12</v>
      </c>
      <c r="N863">
        <v>1</v>
      </c>
      <c r="O863">
        <v>199.29</v>
      </c>
      <c r="P863">
        <f t="shared" si="52"/>
        <v>7.7383046078086529E-3</v>
      </c>
      <c r="Q863">
        <f t="shared" si="52"/>
        <v>7.0027272727272729</v>
      </c>
      <c r="R863">
        <f t="shared" si="53"/>
        <v>308.12</v>
      </c>
      <c r="S863">
        <f t="shared" si="54"/>
        <v>0.64679345709463842</v>
      </c>
      <c r="T863">
        <f t="shared" si="55"/>
        <v>2.2727272727272728E-2</v>
      </c>
      <c r="U863" t="str">
        <f>YEAR('Campaign Data'!$A863)&amp;"-"&amp;TEXT(MONTH('Campaign Data'!$A863),"00")</f>
        <v>2026-02</v>
      </c>
    </row>
    <row r="864" spans="1:21" x14ac:dyDescent="0.25">
      <c r="A864">
        <v>46070</v>
      </c>
      <c r="B864" t="s">
        <v>63</v>
      </c>
      <c r="C864" t="s">
        <v>64</v>
      </c>
      <c r="D864" t="s">
        <v>65</v>
      </c>
      <c r="E864" t="s">
        <v>24</v>
      </c>
      <c r="F864" t="s">
        <v>43</v>
      </c>
      <c r="G864" t="s">
        <v>66</v>
      </c>
      <c r="H864" t="s">
        <v>90</v>
      </c>
      <c r="I864" t="s">
        <v>37</v>
      </c>
      <c r="J864" t="s">
        <v>62</v>
      </c>
      <c r="K864">
        <v>2444</v>
      </c>
      <c r="L864">
        <v>40</v>
      </c>
      <c r="M864">
        <v>8.52</v>
      </c>
      <c r="N864">
        <v>3</v>
      </c>
      <c r="O864">
        <v>24</v>
      </c>
      <c r="P864">
        <f t="shared" si="52"/>
        <v>1.6366612111292964E-2</v>
      </c>
      <c r="Q864">
        <f t="shared" si="52"/>
        <v>0.21299999999999999</v>
      </c>
      <c r="R864">
        <f t="shared" si="53"/>
        <v>2.84</v>
      </c>
      <c r="S864">
        <f t="shared" si="54"/>
        <v>2.8169014084507045</v>
      </c>
      <c r="T864">
        <f t="shared" si="55"/>
        <v>7.4999999999999997E-2</v>
      </c>
      <c r="U864" t="str">
        <f>YEAR('Campaign Data'!$A864)&amp;"-"&amp;TEXT(MONTH('Campaign Data'!$A864),"00")</f>
        <v>2026-02</v>
      </c>
    </row>
    <row r="865" spans="1:21" x14ac:dyDescent="0.25">
      <c r="A865">
        <v>46070</v>
      </c>
      <c r="B865" t="s">
        <v>183</v>
      </c>
      <c r="C865" t="s">
        <v>184</v>
      </c>
      <c r="D865" t="s">
        <v>23</v>
      </c>
      <c r="E865" t="s">
        <v>24</v>
      </c>
      <c r="F865" t="s">
        <v>81</v>
      </c>
      <c r="G865" t="s">
        <v>185</v>
      </c>
      <c r="H865" t="s">
        <v>60</v>
      </c>
      <c r="I865" t="s">
        <v>37</v>
      </c>
      <c r="J865" t="s">
        <v>45</v>
      </c>
      <c r="K865">
        <v>1511</v>
      </c>
      <c r="L865">
        <v>8</v>
      </c>
      <c r="M865">
        <v>9.32</v>
      </c>
      <c r="N865">
        <v>0</v>
      </c>
      <c r="O865">
        <v>0</v>
      </c>
      <c r="P865">
        <f t="shared" si="52"/>
        <v>5.2945069490403706E-3</v>
      </c>
      <c r="Q865">
        <f t="shared" si="52"/>
        <v>1.165</v>
      </c>
      <c r="R865">
        <f t="shared" si="53"/>
        <v>0</v>
      </c>
      <c r="S865">
        <f t="shared" si="54"/>
        <v>0</v>
      </c>
      <c r="T865">
        <f t="shared" si="55"/>
        <v>0</v>
      </c>
      <c r="U865" t="str">
        <f>YEAR('Campaign Data'!$A865)&amp;"-"&amp;TEXT(MONTH('Campaign Data'!$A865),"00")</f>
        <v>2026-02</v>
      </c>
    </row>
    <row r="866" spans="1:21" x14ac:dyDescent="0.25">
      <c r="A866">
        <v>46070</v>
      </c>
      <c r="B866" t="s">
        <v>67</v>
      </c>
      <c r="C866" t="s">
        <v>68</v>
      </c>
      <c r="D866" t="s">
        <v>69</v>
      </c>
      <c r="E866" t="s">
        <v>49</v>
      </c>
      <c r="F866" t="s">
        <v>34</v>
      </c>
      <c r="G866" t="s">
        <v>70</v>
      </c>
      <c r="H866" t="s">
        <v>90</v>
      </c>
      <c r="I866" t="s">
        <v>37</v>
      </c>
      <c r="J866" t="s">
        <v>87</v>
      </c>
      <c r="K866">
        <v>3698</v>
      </c>
      <c r="L866">
        <v>194</v>
      </c>
      <c r="M866">
        <v>93.07</v>
      </c>
      <c r="N866">
        <v>4</v>
      </c>
      <c r="O866">
        <v>123.64</v>
      </c>
      <c r="P866">
        <f t="shared" si="52"/>
        <v>5.2460789616008655E-2</v>
      </c>
      <c r="Q866">
        <f t="shared" si="52"/>
        <v>0.4797422680412371</v>
      </c>
      <c r="R866">
        <f t="shared" si="53"/>
        <v>23.267499999999998</v>
      </c>
      <c r="S866">
        <f t="shared" si="54"/>
        <v>1.328462447620071</v>
      </c>
      <c r="T866">
        <f t="shared" si="55"/>
        <v>2.0618556701030927E-2</v>
      </c>
      <c r="U866" t="str">
        <f>YEAR('Campaign Data'!$A866)&amp;"-"&amp;TEXT(MONTH('Campaign Data'!$A866),"00")</f>
        <v>2026-02</v>
      </c>
    </row>
    <row r="867" spans="1:21" x14ac:dyDescent="0.25">
      <c r="A867">
        <v>46070</v>
      </c>
      <c r="B867" t="s">
        <v>72</v>
      </c>
      <c r="C867" t="s">
        <v>73</v>
      </c>
      <c r="D867" t="s">
        <v>69</v>
      </c>
      <c r="E867" t="s">
        <v>74</v>
      </c>
      <c r="F867" t="s">
        <v>75</v>
      </c>
      <c r="G867" t="s">
        <v>9</v>
      </c>
      <c r="H867" t="s">
        <v>27</v>
      </c>
      <c r="I867" t="s">
        <v>37</v>
      </c>
      <c r="J867" t="s">
        <v>87</v>
      </c>
      <c r="K867">
        <v>8518</v>
      </c>
      <c r="L867">
        <v>206</v>
      </c>
      <c r="M867">
        <v>271.89999999999998</v>
      </c>
      <c r="N867">
        <v>7</v>
      </c>
      <c r="O867">
        <v>354.72</v>
      </c>
      <c r="P867">
        <f t="shared" si="52"/>
        <v>2.4184080770133835E-2</v>
      </c>
      <c r="Q867">
        <f t="shared" si="52"/>
        <v>1.3199029126213591</v>
      </c>
      <c r="R867">
        <f t="shared" si="53"/>
        <v>38.842857142857142</v>
      </c>
      <c r="S867">
        <f t="shared" si="54"/>
        <v>1.3045972784111808</v>
      </c>
      <c r="T867">
        <f t="shared" si="55"/>
        <v>3.3980582524271843E-2</v>
      </c>
      <c r="U867" t="str">
        <f>YEAR('Campaign Data'!$A867)&amp;"-"&amp;TEXT(MONTH('Campaign Data'!$A867),"00")</f>
        <v>2026-02</v>
      </c>
    </row>
    <row r="868" spans="1:21" x14ac:dyDescent="0.25">
      <c r="A868">
        <v>46070</v>
      </c>
      <c r="B868" t="s">
        <v>116</v>
      </c>
      <c r="C868" t="s">
        <v>117</v>
      </c>
      <c r="D868" t="s">
        <v>48</v>
      </c>
      <c r="E868" t="s">
        <v>24</v>
      </c>
      <c r="F868" t="s">
        <v>43</v>
      </c>
      <c r="G868" t="s">
        <v>26</v>
      </c>
      <c r="H868" t="s">
        <v>27</v>
      </c>
      <c r="I868" t="s">
        <v>37</v>
      </c>
      <c r="J868" t="s">
        <v>62</v>
      </c>
      <c r="K868">
        <v>6286</v>
      </c>
      <c r="L868">
        <v>50</v>
      </c>
      <c r="M868">
        <v>60.75</v>
      </c>
      <c r="N868">
        <v>1</v>
      </c>
      <c r="O868">
        <v>49.88</v>
      </c>
      <c r="P868">
        <f t="shared" si="52"/>
        <v>7.9541839007317844E-3</v>
      </c>
      <c r="Q868">
        <f t="shared" si="52"/>
        <v>1.2150000000000001</v>
      </c>
      <c r="R868">
        <f t="shared" si="53"/>
        <v>60.75</v>
      </c>
      <c r="S868">
        <f t="shared" si="54"/>
        <v>0.8210699588477367</v>
      </c>
      <c r="T868">
        <f t="shared" si="55"/>
        <v>0.02</v>
      </c>
      <c r="U868" t="str">
        <f>YEAR('Campaign Data'!$A868)&amp;"-"&amp;TEXT(MONTH('Campaign Data'!$A868),"00")</f>
        <v>2026-02</v>
      </c>
    </row>
    <row r="869" spans="1:21" x14ac:dyDescent="0.25">
      <c r="A869">
        <v>46070</v>
      </c>
      <c r="B869" t="s">
        <v>78</v>
      </c>
      <c r="C869" t="s">
        <v>79</v>
      </c>
      <c r="D869" t="s">
        <v>80</v>
      </c>
      <c r="E869" t="s">
        <v>24</v>
      </c>
      <c r="F869" t="s">
        <v>81</v>
      </c>
      <c r="G869" t="s">
        <v>66</v>
      </c>
      <c r="H869" t="s">
        <v>51</v>
      </c>
      <c r="I869" t="s">
        <v>28</v>
      </c>
      <c r="J869" t="s">
        <v>38</v>
      </c>
      <c r="K869">
        <v>8069</v>
      </c>
      <c r="L869">
        <v>60</v>
      </c>
      <c r="M869">
        <v>64.08</v>
      </c>
      <c r="N869">
        <v>2</v>
      </c>
      <c r="O869">
        <v>41.06</v>
      </c>
      <c r="P869">
        <f t="shared" si="52"/>
        <v>7.435865658693766E-3</v>
      </c>
      <c r="Q869">
        <f t="shared" si="52"/>
        <v>1.0680000000000001</v>
      </c>
      <c r="R869">
        <f t="shared" si="53"/>
        <v>32.04</v>
      </c>
      <c r="S869">
        <f t="shared" si="54"/>
        <v>0.64076154806491892</v>
      </c>
      <c r="T869">
        <f t="shared" si="55"/>
        <v>3.3333333333333333E-2</v>
      </c>
      <c r="U869" t="str">
        <f>YEAR('Campaign Data'!$A869)&amp;"-"&amp;TEXT(MONTH('Campaign Data'!$A869),"00")</f>
        <v>2026-02</v>
      </c>
    </row>
    <row r="870" spans="1:21" x14ac:dyDescent="0.25">
      <c r="A870">
        <v>46070</v>
      </c>
      <c r="B870" t="s">
        <v>120</v>
      </c>
      <c r="C870" t="s">
        <v>121</v>
      </c>
      <c r="D870" t="s">
        <v>23</v>
      </c>
      <c r="E870" t="s">
        <v>49</v>
      </c>
      <c r="F870" t="s">
        <v>75</v>
      </c>
      <c r="G870" t="s">
        <v>70</v>
      </c>
      <c r="H870" t="s">
        <v>27</v>
      </c>
      <c r="I870" t="s">
        <v>37</v>
      </c>
      <c r="J870" t="s">
        <v>29</v>
      </c>
      <c r="K870">
        <v>19679</v>
      </c>
      <c r="L870">
        <v>1194</v>
      </c>
      <c r="M870">
        <v>1923.75</v>
      </c>
      <c r="N870">
        <v>55</v>
      </c>
      <c r="O870">
        <v>2070.3200000000002</v>
      </c>
      <c r="P870">
        <f t="shared" si="52"/>
        <v>6.067381472635805E-2</v>
      </c>
      <c r="Q870">
        <f t="shared" si="52"/>
        <v>1.6111809045226131</v>
      </c>
      <c r="R870">
        <f t="shared" si="53"/>
        <v>34.977272727272727</v>
      </c>
      <c r="S870">
        <f t="shared" si="54"/>
        <v>1.0761897335932424</v>
      </c>
      <c r="T870">
        <f t="shared" si="55"/>
        <v>4.6063651591289785E-2</v>
      </c>
      <c r="U870" t="str">
        <f>YEAR('Campaign Data'!$A870)&amp;"-"&amp;TEXT(MONTH('Campaign Data'!$A870),"00")</f>
        <v>2026-02</v>
      </c>
    </row>
    <row r="871" spans="1:21" x14ac:dyDescent="0.25">
      <c r="A871">
        <v>46071</v>
      </c>
      <c r="B871" t="s">
        <v>167</v>
      </c>
      <c r="C871" t="s">
        <v>168</v>
      </c>
      <c r="D871" t="s">
        <v>58</v>
      </c>
      <c r="E871" t="s">
        <v>33</v>
      </c>
      <c r="F871" t="s">
        <v>75</v>
      </c>
      <c r="G871" t="s">
        <v>35</v>
      </c>
      <c r="H871" t="s">
        <v>71</v>
      </c>
      <c r="I871" t="s">
        <v>37</v>
      </c>
      <c r="J871" t="s">
        <v>45</v>
      </c>
      <c r="K871">
        <v>10504</v>
      </c>
      <c r="L871">
        <v>66</v>
      </c>
      <c r="M871">
        <v>39.159999999999997</v>
      </c>
      <c r="N871">
        <v>0</v>
      </c>
      <c r="O871">
        <v>0</v>
      </c>
      <c r="P871">
        <f t="shared" si="52"/>
        <v>6.2833206397562829E-3</v>
      </c>
      <c r="Q871">
        <f t="shared" si="52"/>
        <v>0.59333333333333327</v>
      </c>
      <c r="R871">
        <f t="shared" si="53"/>
        <v>0</v>
      </c>
      <c r="S871">
        <f t="shared" si="54"/>
        <v>0</v>
      </c>
      <c r="T871">
        <f t="shared" si="55"/>
        <v>0</v>
      </c>
      <c r="U871" t="str">
        <f>YEAR('Campaign Data'!$A871)&amp;"-"&amp;TEXT(MONTH('Campaign Data'!$A871),"00")</f>
        <v>2026-02</v>
      </c>
    </row>
    <row r="872" spans="1:21" x14ac:dyDescent="0.25">
      <c r="A872">
        <v>46071</v>
      </c>
      <c r="B872" t="s">
        <v>138</v>
      </c>
      <c r="C872" t="s">
        <v>139</v>
      </c>
      <c r="D872" t="s">
        <v>58</v>
      </c>
      <c r="E872" t="s">
        <v>74</v>
      </c>
      <c r="F872" t="s">
        <v>34</v>
      </c>
      <c r="G872" t="s">
        <v>9</v>
      </c>
      <c r="H872" t="s">
        <v>51</v>
      </c>
      <c r="I872" t="s">
        <v>28</v>
      </c>
      <c r="J872" t="s">
        <v>38</v>
      </c>
      <c r="K872">
        <v>6704</v>
      </c>
      <c r="L872">
        <v>203</v>
      </c>
      <c r="M872">
        <v>276.31</v>
      </c>
      <c r="N872">
        <v>5</v>
      </c>
      <c r="O872">
        <v>969.25</v>
      </c>
      <c r="P872">
        <f t="shared" si="52"/>
        <v>3.0280429594272077E-2</v>
      </c>
      <c r="Q872">
        <f t="shared" si="52"/>
        <v>1.3611330049261083</v>
      </c>
      <c r="R872">
        <f t="shared" si="53"/>
        <v>55.262</v>
      </c>
      <c r="S872">
        <f t="shared" si="54"/>
        <v>3.5078354022655711</v>
      </c>
      <c r="T872">
        <f t="shared" si="55"/>
        <v>2.4630541871921183E-2</v>
      </c>
      <c r="U872" t="str">
        <f>YEAR('Campaign Data'!$A872)&amp;"-"&amp;TEXT(MONTH('Campaign Data'!$A872),"00")</f>
        <v>2026-02</v>
      </c>
    </row>
    <row r="873" spans="1:21" x14ac:dyDescent="0.25">
      <c r="A873">
        <v>46071</v>
      </c>
      <c r="B873" t="s">
        <v>95</v>
      </c>
      <c r="C873" t="s">
        <v>96</v>
      </c>
      <c r="D873" t="s">
        <v>23</v>
      </c>
      <c r="E873" t="s">
        <v>49</v>
      </c>
      <c r="F873" t="s">
        <v>43</v>
      </c>
      <c r="G873" t="s">
        <v>97</v>
      </c>
      <c r="H873" t="s">
        <v>36</v>
      </c>
      <c r="I873" t="s">
        <v>28</v>
      </c>
      <c r="J873" t="s">
        <v>29</v>
      </c>
      <c r="K873">
        <v>2265</v>
      </c>
      <c r="L873">
        <v>89</v>
      </c>
      <c r="M873">
        <v>168.15</v>
      </c>
      <c r="N873">
        <v>7</v>
      </c>
      <c r="O873">
        <v>147.52000000000001</v>
      </c>
      <c r="P873">
        <f t="shared" si="52"/>
        <v>3.9293598233995586E-2</v>
      </c>
      <c r="Q873">
        <f t="shared" si="52"/>
        <v>1.8893258426966293</v>
      </c>
      <c r="R873">
        <f t="shared" si="53"/>
        <v>24.021428571428572</v>
      </c>
      <c r="S873">
        <f t="shared" si="54"/>
        <v>0.87731192387749035</v>
      </c>
      <c r="T873">
        <f t="shared" si="55"/>
        <v>7.8651685393258425E-2</v>
      </c>
      <c r="U873" t="str">
        <f>YEAR('Campaign Data'!$A873)&amp;"-"&amp;TEXT(MONTH('Campaign Data'!$A873),"00")</f>
        <v>2026-02</v>
      </c>
    </row>
    <row r="874" spans="1:21" x14ac:dyDescent="0.25">
      <c r="A874">
        <v>46071</v>
      </c>
      <c r="B874" t="s">
        <v>39</v>
      </c>
      <c r="C874" t="s">
        <v>40</v>
      </c>
      <c r="D874" t="s">
        <v>41</v>
      </c>
      <c r="E874" t="s">
        <v>42</v>
      </c>
      <c r="F874" t="s">
        <v>43</v>
      </c>
      <c r="G874" t="s">
        <v>44</v>
      </c>
      <c r="H874" t="s">
        <v>71</v>
      </c>
      <c r="I874" t="s">
        <v>28</v>
      </c>
      <c r="J874" t="s">
        <v>38</v>
      </c>
      <c r="K874">
        <v>3529</v>
      </c>
      <c r="L874">
        <v>25</v>
      </c>
      <c r="M874">
        <v>146.34</v>
      </c>
      <c r="N874">
        <v>1</v>
      </c>
      <c r="O874">
        <v>16.09</v>
      </c>
      <c r="P874">
        <f t="shared" si="52"/>
        <v>7.0841598186455086E-3</v>
      </c>
      <c r="Q874">
        <f t="shared" si="52"/>
        <v>5.8536000000000001</v>
      </c>
      <c r="R874">
        <f t="shared" si="53"/>
        <v>146.34</v>
      </c>
      <c r="S874">
        <f t="shared" si="54"/>
        <v>0.10994943282766161</v>
      </c>
      <c r="T874">
        <f t="shared" si="55"/>
        <v>0.04</v>
      </c>
      <c r="U874" t="str">
        <f>YEAR('Campaign Data'!$A874)&amp;"-"&amp;TEXT(MONTH('Campaign Data'!$A874),"00")</f>
        <v>2026-02</v>
      </c>
    </row>
    <row r="875" spans="1:21" x14ac:dyDescent="0.25">
      <c r="A875">
        <v>46071</v>
      </c>
      <c r="B875" t="s">
        <v>39</v>
      </c>
      <c r="C875" t="s">
        <v>40</v>
      </c>
      <c r="D875" t="s">
        <v>41</v>
      </c>
      <c r="E875" t="s">
        <v>42</v>
      </c>
      <c r="F875" t="s">
        <v>43</v>
      </c>
      <c r="G875" t="s">
        <v>44</v>
      </c>
      <c r="H875" t="s">
        <v>27</v>
      </c>
      <c r="I875" t="s">
        <v>37</v>
      </c>
      <c r="J875" t="s">
        <v>38</v>
      </c>
      <c r="K875">
        <v>13994</v>
      </c>
      <c r="L875">
        <v>89</v>
      </c>
      <c r="M875">
        <v>718.61</v>
      </c>
      <c r="N875">
        <v>5</v>
      </c>
      <c r="O875">
        <v>152.93</v>
      </c>
      <c r="P875">
        <f t="shared" si="52"/>
        <v>6.3598685150778904E-3</v>
      </c>
      <c r="Q875">
        <f t="shared" si="52"/>
        <v>8.0742696629213491</v>
      </c>
      <c r="R875">
        <f t="shared" si="53"/>
        <v>143.72200000000001</v>
      </c>
      <c r="S875">
        <f t="shared" si="54"/>
        <v>0.2128136263063414</v>
      </c>
      <c r="T875">
        <f t="shared" si="55"/>
        <v>5.6179775280898875E-2</v>
      </c>
      <c r="U875" t="str">
        <f>YEAR('Campaign Data'!$A875)&amp;"-"&amp;TEXT(MONTH('Campaign Data'!$A875),"00")</f>
        <v>2026-02</v>
      </c>
    </row>
    <row r="876" spans="1:21" x14ac:dyDescent="0.25">
      <c r="A876">
        <v>46071</v>
      </c>
      <c r="B876" t="s">
        <v>46</v>
      </c>
      <c r="C876" t="s">
        <v>47</v>
      </c>
      <c r="D876" t="s">
        <v>48</v>
      </c>
      <c r="E876" t="s">
        <v>49</v>
      </c>
      <c r="F876" t="s">
        <v>43</v>
      </c>
      <c r="G876" t="s">
        <v>50</v>
      </c>
      <c r="H876" t="s">
        <v>90</v>
      </c>
      <c r="I876" t="s">
        <v>37</v>
      </c>
      <c r="J876" t="s">
        <v>45</v>
      </c>
      <c r="K876">
        <v>2908</v>
      </c>
      <c r="L876">
        <v>69</v>
      </c>
      <c r="M876">
        <v>40.049999999999997</v>
      </c>
      <c r="N876">
        <v>7</v>
      </c>
      <c r="O876">
        <v>60.44</v>
      </c>
      <c r="P876">
        <f t="shared" si="52"/>
        <v>2.372764786795048E-2</v>
      </c>
      <c r="Q876">
        <f t="shared" si="52"/>
        <v>0.58043478260869563</v>
      </c>
      <c r="R876">
        <f t="shared" si="53"/>
        <v>5.7214285714285706</v>
      </c>
      <c r="S876">
        <f t="shared" si="54"/>
        <v>1.5091136079900125</v>
      </c>
      <c r="T876">
        <f t="shared" si="55"/>
        <v>0.10144927536231885</v>
      </c>
      <c r="U876" t="str">
        <f>YEAR('Campaign Data'!$A876)&amp;"-"&amp;TEXT(MONTH('Campaign Data'!$A876),"00")</f>
        <v>2026-02</v>
      </c>
    </row>
    <row r="877" spans="1:21" x14ac:dyDescent="0.25">
      <c r="A877">
        <v>46071</v>
      </c>
      <c r="B877" t="s">
        <v>169</v>
      </c>
      <c r="C877" t="s">
        <v>170</v>
      </c>
      <c r="D877" t="s">
        <v>58</v>
      </c>
      <c r="E877" t="s">
        <v>74</v>
      </c>
      <c r="F877" t="s">
        <v>75</v>
      </c>
      <c r="G877" t="s">
        <v>9</v>
      </c>
      <c r="H877" t="s">
        <v>36</v>
      </c>
      <c r="I877" t="s">
        <v>37</v>
      </c>
      <c r="J877" t="s">
        <v>38</v>
      </c>
      <c r="K877">
        <v>5114</v>
      </c>
      <c r="L877">
        <v>125</v>
      </c>
      <c r="M877">
        <v>198.14</v>
      </c>
      <c r="N877">
        <v>0</v>
      </c>
      <c r="O877">
        <v>0</v>
      </c>
      <c r="P877">
        <f t="shared" si="52"/>
        <v>2.4442706296441141E-2</v>
      </c>
      <c r="Q877">
        <f t="shared" si="52"/>
        <v>1.5851199999999999</v>
      </c>
      <c r="R877">
        <f t="shared" si="53"/>
        <v>0</v>
      </c>
      <c r="S877">
        <f t="shared" si="54"/>
        <v>0</v>
      </c>
      <c r="T877">
        <f t="shared" si="55"/>
        <v>0</v>
      </c>
      <c r="U877" t="str">
        <f>YEAR('Campaign Data'!$A877)&amp;"-"&amp;TEXT(MONTH('Campaign Data'!$A877),"00")</f>
        <v>2026-02</v>
      </c>
    </row>
    <row r="878" spans="1:21" x14ac:dyDescent="0.25">
      <c r="A878">
        <v>46071</v>
      </c>
      <c r="B878" t="s">
        <v>110</v>
      </c>
      <c r="C878" t="s">
        <v>111</v>
      </c>
      <c r="D878" t="s">
        <v>23</v>
      </c>
      <c r="E878" t="s">
        <v>49</v>
      </c>
      <c r="F878" t="s">
        <v>34</v>
      </c>
      <c r="G878" t="s">
        <v>50</v>
      </c>
      <c r="H878" t="s">
        <v>36</v>
      </c>
      <c r="I878" t="s">
        <v>28</v>
      </c>
      <c r="J878" t="s">
        <v>29</v>
      </c>
      <c r="K878">
        <v>6062</v>
      </c>
      <c r="L878">
        <v>198</v>
      </c>
      <c r="M878">
        <v>246.67</v>
      </c>
      <c r="N878">
        <v>6</v>
      </c>
      <c r="O878">
        <v>748.81</v>
      </c>
      <c r="P878">
        <f t="shared" si="52"/>
        <v>3.2662487627845599E-2</v>
      </c>
      <c r="Q878">
        <f t="shared" si="52"/>
        <v>1.2458080808080807</v>
      </c>
      <c r="R878">
        <f t="shared" si="53"/>
        <v>41.111666666666665</v>
      </c>
      <c r="S878">
        <f t="shared" si="54"/>
        <v>3.0356751935784652</v>
      </c>
      <c r="T878">
        <f t="shared" si="55"/>
        <v>3.0303030303030304E-2</v>
      </c>
      <c r="U878" t="str">
        <f>YEAR('Campaign Data'!$A878)&amp;"-"&amp;TEXT(MONTH('Campaign Data'!$A878),"00")</f>
        <v>2026-02</v>
      </c>
    </row>
    <row r="879" spans="1:21" x14ac:dyDescent="0.25">
      <c r="A879">
        <v>46071</v>
      </c>
      <c r="B879" t="s">
        <v>110</v>
      </c>
      <c r="C879" t="s">
        <v>111</v>
      </c>
      <c r="D879" t="s">
        <v>23</v>
      </c>
      <c r="E879" t="s">
        <v>49</v>
      </c>
      <c r="F879" t="s">
        <v>34</v>
      </c>
      <c r="G879" t="s">
        <v>50</v>
      </c>
      <c r="H879" t="s">
        <v>27</v>
      </c>
      <c r="I879" t="s">
        <v>37</v>
      </c>
      <c r="J879" t="s">
        <v>87</v>
      </c>
      <c r="K879">
        <v>6802</v>
      </c>
      <c r="L879">
        <v>227</v>
      </c>
      <c r="M879">
        <v>486.93</v>
      </c>
      <c r="N879">
        <v>4</v>
      </c>
      <c r="O879">
        <v>702.03</v>
      </c>
      <c r="P879">
        <f t="shared" si="52"/>
        <v>3.3372537488973834E-2</v>
      </c>
      <c r="Q879">
        <f t="shared" si="52"/>
        <v>2.1450660792951544</v>
      </c>
      <c r="R879">
        <f t="shared" si="53"/>
        <v>121.7325</v>
      </c>
      <c r="S879">
        <f t="shared" si="54"/>
        <v>1.4417472737354444</v>
      </c>
      <c r="T879">
        <f t="shared" si="55"/>
        <v>1.7621145374449341E-2</v>
      </c>
      <c r="U879" t="str">
        <f>YEAR('Campaign Data'!$A879)&amp;"-"&amp;TEXT(MONTH('Campaign Data'!$A879),"00")</f>
        <v>2026-02</v>
      </c>
    </row>
    <row r="880" spans="1:21" x14ac:dyDescent="0.25">
      <c r="A880">
        <v>46071</v>
      </c>
      <c r="B880" t="s">
        <v>110</v>
      </c>
      <c r="C880" t="s">
        <v>111</v>
      </c>
      <c r="D880" t="s">
        <v>23</v>
      </c>
      <c r="E880" t="s">
        <v>49</v>
      </c>
      <c r="F880" t="s">
        <v>34</v>
      </c>
      <c r="G880" t="s">
        <v>50</v>
      </c>
      <c r="H880" t="s">
        <v>36</v>
      </c>
      <c r="I880" t="s">
        <v>37</v>
      </c>
      <c r="J880" t="s">
        <v>38</v>
      </c>
      <c r="K880">
        <v>2383</v>
      </c>
      <c r="L880">
        <v>164</v>
      </c>
      <c r="M880">
        <v>322.27</v>
      </c>
      <c r="N880">
        <v>13</v>
      </c>
      <c r="O880">
        <v>1933.06</v>
      </c>
      <c r="P880">
        <f t="shared" si="52"/>
        <v>6.8820814099874103E-2</v>
      </c>
      <c r="Q880">
        <f t="shared" si="52"/>
        <v>1.9650609756097559</v>
      </c>
      <c r="R880">
        <f t="shared" si="53"/>
        <v>24.79</v>
      </c>
      <c r="S880">
        <f t="shared" si="54"/>
        <v>5.9982623266205355</v>
      </c>
      <c r="T880">
        <f t="shared" si="55"/>
        <v>7.926829268292683E-2</v>
      </c>
      <c r="U880" t="str">
        <f>YEAR('Campaign Data'!$A880)&amp;"-"&amp;TEXT(MONTH('Campaign Data'!$A880),"00")</f>
        <v>2026-02</v>
      </c>
    </row>
    <row r="881" spans="1:21" x14ac:dyDescent="0.25">
      <c r="A881">
        <v>46071</v>
      </c>
      <c r="B881" t="s">
        <v>134</v>
      </c>
      <c r="C881" t="s">
        <v>135</v>
      </c>
      <c r="D881" t="s">
        <v>32</v>
      </c>
      <c r="E881" t="s">
        <v>74</v>
      </c>
      <c r="F881" t="s">
        <v>25</v>
      </c>
      <c r="G881" t="s">
        <v>107</v>
      </c>
      <c r="H881" t="s">
        <v>90</v>
      </c>
      <c r="I881" t="s">
        <v>37</v>
      </c>
      <c r="J881" t="s">
        <v>45</v>
      </c>
      <c r="K881">
        <v>13880</v>
      </c>
      <c r="L881">
        <v>544</v>
      </c>
      <c r="M881">
        <v>229.59</v>
      </c>
      <c r="N881">
        <v>11</v>
      </c>
      <c r="O881">
        <v>407.24</v>
      </c>
      <c r="P881">
        <f t="shared" si="52"/>
        <v>3.9193083573487032E-2</v>
      </c>
      <c r="Q881">
        <f t="shared" si="52"/>
        <v>0.4220404411764706</v>
      </c>
      <c r="R881">
        <f t="shared" si="53"/>
        <v>20.871818181818181</v>
      </c>
      <c r="S881">
        <f t="shared" si="54"/>
        <v>1.7737706346095212</v>
      </c>
      <c r="T881">
        <f t="shared" si="55"/>
        <v>2.0220588235294119E-2</v>
      </c>
      <c r="U881" t="str">
        <f>YEAR('Campaign Data'!$A881)&amp;"-"&amp;TEXT(MONTH('Campaign Data'!$A881),"00")</f>
        <v>2026-02</v>
      </c>
    </row>
    <row r="882" spans="1:21" x14ac:dyDescent="0.25">
      <c r="A882">
        <v>46071</v>
      </c>
      <c r="B882" t="s">
        <v>157</v>
      </c>
      <c r="C882" t="s">
        <v>158</v>
      </c>
      <c r="D882" t="s">
        <v>58</v>
      </c>
      <c r="E882" t="s">
        <v>49</v>
      </c>
      <c r="F882" t="s">
        <v>81</v>
      </c>
      <c r="G882" t="s">
        <v>50</v>
      </c>
      <c r="H882" t="s">
        <v>90</v>
      </c>
      <c r="I882" t="s">
        <v>37</v>
      </c>
      <c r="J882" t="s">
        <v>38</v>
      </c>
      <c r="K882">
        <v>9547</v>
      </c>
      <c r="L882">
        <v>381</v>
      </c>
      <c r="M882">
        <v>132.97999999999999</v>
      </c>
      <c r="N882">
        <v>32</v>
      </c>
      <c r="O882">
        <v>189.55</v>
      </c>
      <c r="P882">
        <f t="shared" si="52"/>
        <v>3.9907824447470409E-2</v>
      </c>
      <c r="Q882">
        <f t="shared" si="52"/>
        <v>0.34902887139107608</v>
      </c>
      <c r="R882">
        <f t="shared" si="53"/>
        <v>4.1556249999999997</v>
      </c>
      <c r="S882">
        <f t="shared" si="54"/>
        <v>1.4254023161377654</v>
      </c>
      <c r="T882">
        <f t="shared" si="55"/>
        <v>8.3989501312335957E-2</v>
      </c>
      <c r="U882" t="str">
        <f>YEAR('Campaign Data'!$A882)&amp;"-"&amp;TEXT(MONTH('Campaign Data'!$A882),"00")</f>
        <v>2026-02</v>
      </c>
    </row>
    <row r="883" spans="1:21" x14ac:dyDescent="0.25">
      <c r="A883">
        <v>46071</v>
      </c>
      <c r="B883" t="s">
        <v>157</v>
      </c>
      <c r="C883" t="s">
        <v>158</v>
      </c>
      <c r="D883" t="s">
        <v>58</v>
      </c>
      <c r="E883" t="s">
        <v>49</v>
      </c>
      <c r="F883" t="s">
        <v>81</v>
      </c>
      <c r="G883" t="s">
        <v>50</v>
      </c>
      <c r="H883" t="s">
        <v>90</v>
      </c>
      <c r="I883" t="s">
        <v>28</v>
      </c>
      <c r="J883" t="s">
        <v>62</v>
      </c>
      <c r="K883">
        <v>15967</v>
      </c>
      <c r="L883">
        <v>1029</v>
      </c>
      <c r="M883">
        <v>520.83000000000004</v>
      </c>
      <c r="N883">
        <v>64</v>
      </c>
      <c r="O883">
        <v>447.44</v>
      </c>
      <c r="P883">
        <f t="shared" si="52"/>
        <v>6.4445418676019287E-2</v>
      </c>
      <c r="Q883">
        <f t="shared" si="52"/>
        <v>0.50615160349854227</v>
      </c>
      <c r="R883">
        <f t="shared" si="53"/>
        <v>8.1379687500000006</v>
      </c>
      <c r="S883">
        <f t="shared" si="54"/>
        <v>0.85909029817790827</v>
      </c>
      <c r="T883">
        <f t="shared" si="55"/>
        <v>6.2196307094266275E-2</v>
      </c>
      <c r="U883" t="str">
        <f>YEAR('Campaign Data'!$A883)&amp;"-"&amp;TEXT(MONTH('Campaign Data'!$A883),"00")</f>
        <v>2026-02</v>
      </c>
    </row>
    <row r="884" spans="1:21" x14ac:dyDescent="0.25">
      <c r="A884">
        <v>46071</v>
      </c>
      <c r="B884" t="s">
        <v>181</v>
      </c>
      <c r="C884" t="s">
        <v>182</v>
      </c>
      <c r="D884" t="s">
        <v>32</v>
      </c>
      <c r="E884" t="s">
        <v>33</v>
      </c>
      <c r="F884" t="s">
        <v>75</v>
      </c>
      <c r="G884" t="s">
        <v>59</v>
      </c>
      <c r="H884" t="s">
        <v>90</v>
      </c>
      <c r="I884" t="s">
        <v>61</v>
      </c>
      <c r="J884" t="s">
        <v>38</v>
      </c>
      <c r="K884">
        <v>12326</v>
      </c>
      <c r="L884">
        <v>130</v>
      </c>
      <c r="M884">
        <v>23.55</v>
      </c>
      <c r="N884">
        <v>0</v>
      </c>
      <c r="O884">
        <v>0</v>
      </c>
      <c r="P884">
        <f t="shared" si="52"/>
        <v>1.0546811617718643E-2</v>
      </c>
      <c r="Q884">
        <f t="shared" si="52"/>
        <v>0.18115384615384617</v>
      </c>
      <c r="R884">
        <f t="shared" si="53"/>
        <v>0</v>
      </c>
      <c r="S884">
        <f t="shared" si="54"/>
        <v>0</v>
      </c>
      <c r="T884">
        <f t="shared" si="55"/>
        <v>0</v>
      </c>
      <c r="U884" t="str">
        <f>YEAR('Campaign Data'!$A884)&amp;"-"&amp;TEXT(MONTH('Campaign Data'!$A884),"00")</f>
        <v>2026-02</v>
      </c>
    </row>
    <row r="885" spans="1:21" x14ac:dyDescent="0.25">
      <c r="A885">
        <v>46071</v>
      </c>
      <c r="B885" t="s">
        <v>181</v>
      </c>
      <c r="C885" t="s">
        <v>182</v>
      </c>
      <c r="D885" t="s">
        <v>32</v>
      </c>
      <c r="E885" t="s">
        <v>33</v>
      </c>
      <c r="F885" t="s">
        <v>75</v>
      </c>
      <c r="G885" t="s">
        <v>59</v>
      </c>
      <c r="H885" t="s">
        <v>60</v>
      </c>
      <c r="I885" t="s">
        <v>37</v>
      </c>
      <c r="J885" t="s">
        <v>45</v>
      </c>
      <c r="K885">
        <v>28672</v>
      </c>
      <c r="L885">
        <v>233</v>
      </c>
      <c r="M885">
        <v>150.47999999999999</v>
      </c>
      <c r="N885">
        <v>6</v>
      </c>
      <c r="O885">
        <v>197.17</v>
      </c>
      <c r="P885">
        <f t="shared" si="52"/>
        <v>8.126395089285714E-3</v>
      </c>
      <c r="Q885">
        <f t="shared" si="52"/>
        <v>0.64583690987124465</v>
      </c>
      <c r="R885">
        <f t="shared" si="53"/>
        <v>25.08</v>
      </c>
      <c r="S885">
        <f t="shared" si="54"/>
        <v>1.3102737905369484</v>
      </c>
      <c r="T885">
        <f t="shared" si="55"/>
        <v>2.575107296137339E-2</v>
      </c>
      <c r="U885" t="str">
        <f>YEAR('Campaign Data'!$A885)&amp;"-"&amp;TEXT(MONTH('Campaign Data'!$A885),"00")</f>
        <v>2026-02</v>
      </c>
    </row>
    <row r="886" spans="1:21" x14ac:dyDescent="0.25">
      <c r="A886">
        <v>46071</v>
      </c>
      <c r="B886" t="s">
        <v>161</v>
      </c>
      <c r="C886" t="s">
        <v>162</v>
      </c>
      <c r="D886" t="s">
        <v>48</v>
      </c>
      <c r="E886" t="s">
        <v>74</v>
      </c>
      <c r="F886" t="s">
        <v>34</v>
      </c>
      <c r="G886" t="s">
        <v>107</v>
      </c>
      <c r="H886" t="s">
        <v>60</v>
      </c>
      <c r="I886" t="s">
        <v>37</v>
      </c>
      <c r="J886" t="s">
        <v>87</v>
      </c>
      <c r="K886">
        <v>4615</v>
      </c>
      <c r="L886">
        <v>52</v>
      </c>
      <c r="M886">
        <v>66.98</v>
      </c>
      <c r="N886">
        <v>0</v>
      </c>
      <c r="O886">
        <v>0</v>
      </c>
      <c r="P886">
        <f t="shared" si="52"/>
        <v>1.1267605633802818E-2</v>
      </c>
      <c r="Q886">
        <f t="shared" si="52"/>
        <v>1.2880769230769231</v>
      </c>
      <c r="R886">
        <f t="shared" si="53"/>
        <v>0</v>
      </c>
      <c r="S886">
        <f t="shared" si="54"/>
        <v>0</v>
      </c>
      <c r="T886">
        <f t="shared" si="55"/>
        <v>0</v>
      </c>
      <c r="U886" t="str">
        <f>YEAR('Campaign Data'!$A886)&amp;"-"&amp;TEXT(MONTH('Campaign Data'!$A886),"00")</f>
        <v>2026-02</v>
      </c>
    </row>
    <row r="887" spans="1:21" x14ac:dyDescent="0.25">
      <c r="A887">
        <v>46071</v>
      </c>
      <c r="B887" t="s">
        <v>161</v>
      </c>
      <c r="C887" t="s">
        <v>162</v>
      </c>
      <c r="D887" t="s">
        <v>48</v>
      </c>
      <c r="E887" t="s">
        <v>74</v>
      </c>
      <c r="F887" t="s">
        <v>34</v>
      </c>
      <c r="G887" t="s">
        <v>107</v>
      </c>
      <c r="H887" t="s">
        <v>27</v>
      </c>
      <c r="I887" t="s">
        <v>28</v>
      </c>
      <c r="J887" t="s">
        <v>38</v>
      </c>
      <c r="K887">
        <v>4146</v>
      </c>
      <c r="L887">
        <v>71</v>
      </c>
      <c r="M887">
        <v>127.82</v>
      </c>
      <c r="N887">
        <v>5</v>
      </c>
      <c r="O887">
        <v>613.52</v>
      </c>
      <c r="P887">
        <f t="shared" si="52"/>
        <v>1.7124939700916546E-2</v>
      </c>
      <c r="Q887">
        <f t="shared" si="52"/>
        <v>1.8002816901408449</v>
      </c>
      <c r="R887">
        <f t="shared" si="53"/>
        <v>25.564</v>
      </c>
      <c r="S887">
        <f t="shared" si="54"/>
        <v>4.7998748239712095</v>
      </c>
      <c r="T887">
        <f t="shared" si="55"/>
        <v>7.0422535211267609E-2</v>
      </c>
      <c r="U887" t="str">
        <f>YEAR('Campaign Data'!$A887)&amp;"-"&amp;TEXT(MONTH('Campaign Data'!$A887),"00")</f>
        <v>2026-02</v>
      </c>
    </row>
    <row r="888" spans="1:21" x14ac:dyDescent="0.25">
      <c r="A888">
        <v>46071</v>
      </c>
      <c r="B888" t="s">
        <v>114</v>
      </c>
      <c r="C888" t="s">
        <v>115</v>
      </c>
      <c r="D888" t="s">
        <v>69</v>
      </c>
      <c r="E888" t="s">
        <v>49</v>
      </c>
      <c r="F888" t="s">
        <v>25</v>
      </c>
      <c r="G888" t="s">
        <v>107</v>
      </c>
      <c r="H888" t="s">
        <v>90</v>
      </c>
      <c r="I888" t="s">
        <v>37</v>
      </c>
      <c r="J888" t="s">
        <v>45</v>
      </c>
      <c r="K888">
        <v>11182</v>
      </c>
      <c r="L888">
        <v>307</v>
      </c>
      <c r="M888">
        <v>190.92</v>
      </c>
      <c r="N888">
        <v>25</v>
      </c>
      <c r="O888">
        <v>1349.57</v>
      </c>
      <c r="P888">
        <f t="shared" si="52"/>
        <v>2.7454838132713291E-2</v>
      </c>
      <c r="Q888">
        <f t="shared" si="52"/>
        <v>0.62188925081433222</v>
      </c>
      <c r="R888">
        <f t="shared" si="53"/>
        <v>7.6367999999999991</v>
      </c>
      <c r="S888">
        <f t="shared" si="54"/>
        <v>7.0687722606327261</v>
      </c>
      <c r="T888">
        <f t="shared" si="55"/>
        <v>8.143322475570032E-2</v>
      </c>
      <c r="U888" t="str">
        <f>YEAR('Campaign Data'!$A888)&amp;"-"&amp;TEXT(MONTH('Campaign Data'!$A888),"00")</f>
        <v>2026-02</v>
      </c>
    </row>
    <row r="889" spans="1:21" x14ac:dyDescent="0.25">
      <c r="A889">
        <v>46071</v>
      </c>
      <c r="B889" t="s">
        <v>120</v>
      </c>
      <c r="C889" t="s">
        <v>121</v>
      </c>
      <c r="D889" t="s">
        <v>23</v>
      </c>
      <c r="E889" t="s">
        <v>49</v>
      </c>
      <c r="F889" t="s">
        <v>75</v>
      </c>
      <c r="G889" t="s">
        <v>70</v>
      </c>
      <c r="H889" t="s">
        <v>60</v>
      </c>
      <c r="I889" t="s">
        <v>28</v>
      </c>
      <c r="J889" t="s">
        <v>29</v>
      </c>
      <c r="K889">
        <v>3114</v>
      </c>
      <c r="L889">
        <v>133</v>
      </c>
      <c r="M889">
        <v>196.22</v>
      </c>
      <c r="N889">
        <v>7</v>
      </c>
      <c r="O889">
        <v>344.16</v>
      </c>
      <c r="P889">
        <f t="shared" si="52"/>
        <v>4.2710340398201672E-2</v>
      </c>
      <c r="Q889">
        <f t="shared" si="52"/>
        <v>1.4753383458646616</v>
      </c>
      <c r="R889">
        <f t="shared" si="53"/>
        <v>28.03142857142857</v>
      </c>
      <c r="S889">
        <f t="shared" si="54"/>
        <v>1.7539496483538886</v>
      </c>
      <c r="T889">
        <f t="shared" si="55"/>
        <v>5.2631578947368418E-2</v>
      </c>
      <c r="U889" t="str">
        <f>YEAR('Campaign Data'!$A889)&amp;"-"&amp;TEXT(MONTH('Campaign Data'!$A889),"00")</f>
        <v>2026-02</v>
      </c>
    </row>
    <row r="890" spans="1:21" x14ac:dyDescent="0.25">
      <c r="A890">
        <v>46072</v>
      </c>
      <c r="B890" t="s">
        <v>173</v>
      </c>
      <c r="C890" t="s">
        <v>174</v>
      </c>
      <c r="D890" t="s">
        <v>48</v>
      </c>
      <c r="E890" t="s">
        <v>74</v>
      </c>
      <c r="F890" t="s">
        <v>25</v>
      </c>
      <c r="G890" t="s">
        <v>9</v>
      </c>
      <c r="H890" t="s">
        <v>60</v>
      </c>
      <c r="I890" t="s">
        <v>28</v>
      </c>
      <c r="J890" t="s">
        <v>38</v>
      </c>
      <c r="K890">
        <v>13356</v>
      </c>
      <c r="L890">
        <v>504</v>
      </c>
      <c r="M890">
        <v>667.85</v>
      </c>
      <c r="N890">
        <v>13</v>
      </c>
      <c r="O890">
        <v>441.28</v>
      </c>
      <c r="P890">
        <f t="shared" si="52"/>
        <v>3.7735849056603772E-2</v>
      </c>
      <c r="Q890">
        <f t="shared" si="52"/>
        <v>1.3250992063492064</v>
      </c>
      <c r="R890">
        <f t="shared" si="53"/>
        <v>51.373076923076923</v>
      </c>
      <c r="S890">
        <f t="shared" si="54"/>
        <v>0.66074717376656433</v>
      </c>
      <c r="T890">
        <f t="shared" si="55"/>
        <v>2.5793650793650792E-2</v>
      </c>
      <c r="U890" t="str">
        <f>YEAR('Campaign Data'!$A890)&amp;"-"&amp;TEXT(MONTH('Campaign Data'!$A890),"00")</f>
        <v>2026-02</v>
      </c>
    </row>
    <row r="891" spans="1:21" x14ac:dyDescent="0.25">
      <c r="A891">
        <v>46072</v>
      </c>
      <c r="B891" t="s">
        <v>147</v>
      </c>
      <c r="C891" t="s">
        <v>148</v>
      </c>
      <c r="D891" t="s">
        <v>23</v>
      </c>
      <c r="E891" t="s">
        <v>42</v>
      </c>
      <c r="F891" t="s">
        <v>75</v>
      </c>
      <c r="G891" t="s">
        <v>44</v>
      </c>
      <c r="H891" t="s">
        <v>60</v>
      </c>
      <c r="I891" t="s">
        <v>37</v>
      </c>
      <c r="J891" t="s">
        <v>87</v>
      </c>
      <c r="K891">
        <v>6676</v>
      </c>
      <c r="L891">
        <v>21</v>
      </c>
      <c r="M891">
        <v>123.22</v>
      </c>
      <c r="N891">
        <v>1</v>
      </c>
      <c r="O891">
        <v>60.35</v>
      </c>
      <c r="P891">
        <f t="shared" si="52"/>
        <v>3.1455961653684842E-3</v>
      </c>
      <c r="Q891">
        <f t="shared" si="52"/>
        <v>5.8676190476190477</v>
      </c>
      <c r="R891">
        <f t="shared" si="53"/>
        <v>123.22</v>
      </c>
      <c r="S891">
        <f t="shared" si="54"/>
        <v>0.48977438727479305</v>
      </c>
      <c r="T891">
        <f t="shared" si="55"/>
        <v>4.7619047619047616E-2</v>
      </c>
      <c r="U891" t="str">
        <f>YEAR('Campaign Data'!$A891)&amp;"-"&amp;TEXT(MONTH('Campaign Data'!$A891),"00")</f>
        <v>2026-02</v>
      </c>
    </row>
    <row r="892" spans="1:21" x14ac:dyDescent="0.25">
      <c r="A892">
        <v>46072</v>
      </c>
      <c r="B892" t="s">
        <v>147</v>
      </c>
      <c r="C892" t="s">
        <v>148</v>
      </c>
      <c r="D892" t="s">
        <v>23</v>
      </c>
      <c r="E892" t="s">
        <v>42</v>
      </c>
      <c r="F892" t="s">
        <v>75</v>
      </c>
      <c r="G892" t="s">
        <v>44</v>
      </c>
      <c r="H892" t="s">
        <v>90</v>
      </c>
      <c r="I892" t="s">
        <v>28</v>
      </c>
      <c r="J892" t="s">
        <v>29</v>
      </c>
      <c r="K892">
        <v>11930</v>
      </c>
      <c r="L892">
        <v>60</v>
      </c>
      <c r="M892">
        <v>122.55</v>
      </c>
      <c r="N892">
        <v>4</v>
      </c>
      <c r="O892">
        <v>49.95</v>
      </c>
      <c r="P892">
        <f t="shared" si="52"/>
        <v>5.0293378038558257E-3</v>
      </c>
      <c r="Q892">
        <f t="shared" si="52"/>
        <v>2.0425</v>
      </c>
      <c r="R892">
        <f t="shared" si="53"/>
        <v>30.637499999999999</v>
      </c>
      <c r="S892">
        <f t="shared" si="54"/>
        <v>0.40758873929008571</v>
      </c>
      <c r="T892">
        <f t="shared" si="55"/>
        <v>6.6666666666666666E-2</v>
      </c>
      <c r="U892" t="str">
        <f>YEAR('Campaign Data'!$A892)&amp;"-"&amp;TEXT(MONTH('Campaign Data'!$A892),"00")</f>
        <v>2026-02</v>
      </c>
    </row>
    <row r="893" spans="1:21" x14ac:dyDescent="0.25">
      <c r="A893">
        <v>46072</v>
      </c>
      <c r="B893" t="s">
        <v>125</v>
      </c>
      <c r="C893" t="s">
        <v>126</v>
      </c>
      <c r="D893" t="s">
        <v>41</v>
      </c>
      <c r="E893" t="s">
        <v>42</v>
      </c>
      <c r="F893" t="s">
        <v>81</v>
      </c>
      <c r="G893" t="s">
        <v>44</v>
      </c>
      <c r="H893" t="s">
        <v>71</v>
      </c>
      <c r="I893" t="s">
        <v>37</v>
      </c>
      <c r="J893" t="s">
        <v>87</v>
      </c>
      <c r="K893">
        <v>14639</v>
      </c>
      <c r="L893">
        <v>89</v>
      </c>
      <c r="M893">
        <v>238.58</v>
      </c>
      <c r="N893">
        <v>4</v>
      </c>
      <c r="O893">
        <v>103.81</v>
      </c>
      <c r="P893">
        <f t="shared" si="52"/>
        <v>6.0796502493339708E-3</v>
      </c>
      <c r="Q893">
        <f t="shared" si="52"/>
        <v>2.680674157303371</v>
      </c>
      <c r="R893">
        <f t="shared" si="53"/>
        <v>59.645000000000003</v>
      </c>
      <c r="S893">
        <f t="shared" si="54"/>
        <v>0.43511610361304381</v>
      </c>
      <c r="T893">
        <f t="shared" si="55"/>
        <v>4.49438202247191E-2</v>
      </c>
      <c r="U893" t="str">
        <f>YEAR('Campaign Data'!$A893)&amp;"-"&amp;TEXT(MONTH('Campaign Data'!$A893),"00")</f>
        <v>2026-02</v>
      </c>
    </row>
    <row r="894" spans="1:21" x14ac:dyDescent="0.25">
      <c r="A894">
        <v>46072</v>
      </c>
      <c r="B894" t="s">
        <v>125</v>
      </c>
      <c r="C894" t="s">
        <v>126</v>
      </c>
      <c r="D894" t="s">
        <v>41</v>
      </c>
      <c r="E894" t="s">
        <v>42</v>
      </c>
      <c r="F894" t="s">
        <v>81</v>
      </c>
      <c r="G894" t="s">
        <v>44</v>
      </c>
      <c r="H894" t="s">
        <v>90</v>
      </c>
      <c r="I894" t="s">
        <v>28</v>
      </c>
      <c r="J894" t="s">
        <v>29</v>
      </c>
      <c r="K894">
        <v>5975</v>
      </c>
      <c r="L894">
        <v>45</v>
      </c>
      <c r="M894">
        <v>63.05</v>
      </c>
      <c r="N894">
        <v>2</v>
      </c>
      <c r="O894">
        <v>10</v>
      </c>
      <c r="P894">
        <f t="shared" si="52"/>
        <v>7.5313807531380752E-3</v>
      </c>
      <c r="Q894">
        <f t="shared" si="52"/>
        <v>1.401111111111111</v>
      </c>
      <c r="R894">
        <f t="shared" si="53"/>
        <v>31.524999999999999</v>
      </c>
      <c r="S894">
        <f t="shared" si="54"/>
        <v>0.15860428231562254</v>
      </c>
      <c r="T894">
        <f t="shared" si="55"/>
        <v>4.4444444444444446E-2</v>
      </c>
      <c r="U894" t="str">
        <f>YEAR('Campaign Data'!$A894)&amp;"-"&amp;TEXT(MONTH('Campaign Data'!$A894),"00")</f>
        <v>2026-02</v>
      </c>
    </row>
    <row r="895" spans="1:21" x14ac:dyDescent="0.25">
      <c r="A895">
        <v>46072</v>
      </c>
      <c r="B895" t="s">
        <v>186</v>
      </c>
      <c r="C895" t="s">
        <v>187</v>
      </c>
      <c r="D895" t="s">
        <v>80</v>
      </c>
      <c r="E895" t="s">
        <v>33</v>
      </c>
      <c r="F895" t="s">
        <v>43</v>
      </c>
      <c r="G895" t="s">
        <v>102</v>
      </c>
      <c r="H895" t="s">
        <v>90</v>
      </c>
      <c r="I895" t="s">
        <v>37</v>
      </c>
      <c r="J895" t="s">
        <v>62</v>
      </c>
      <c r="K895">
        <v>6343</v>
      </c>
      <c r="L895">
        <v>80</v>
      </c>
      <c r="M895">
        <v>11.88</v>
      </c>
      <c r="N895">
        <v>1</v>
      </c>
      <c r="O895">
        <v>5.68</v>
      </c>
      <c r="P895">
        <f t="shared" si="52"/>
        <v>1.2612328551158758E-2</v>
      </c>
      <c r="Q895">
        <f t="shared" si="52"/>
        <v>0.14850000000000002</v>
      </c>
      <c r="R895">
        <f t="shared" si="53"/>
        <v>11.88</v>
      </c>
      <c r="S895">
        <f t="shared" si="54"/>
        <v>0.47811447811447805</v>
      </c>
      <c r="T895">
        <f t="shared" si="55"/>
        <v>1.2500000000000001E-2</v>
      </c>
      <c r="U895" t="str">
        <f>YEAR('Campaign Data'!$A895)&amp;"-"&amp;TEXT(MONTH('Campaign Data'!$A895),"00")</f>
        <v>2026-02</v>
      </c>
    </row>
    <row r="896" spans="1:21" x14ac:dyDescent="0.25">
      <c r="A896">
        <v>46072</v>
      </c>
      <c r="B896" t="s">
        <v>186</v>
      </c>
      <c r="C896" t="s">
        <v>187</v>
      </c>
      <c r="D896" t="s">
        <v>80</v>
      </c>
      <c r="E896" t="s">
        <v>33</v>
      </c>
      <c r="F896" t="s">
        <v>43</v>
      </c>
      <c r="G896" t="s">
        <v>102</v>
      </c>
      <c r="H896" t="s">
        <v>27</v>
      </c>
      <c r="I896" t="s">
        <v>61</v>
      </c>
      <c r="J896" t="s">
        <v>45</v>
      </c>
      <c r="K896">
        <v>9682</v>
      </c>
      <c r="L896">
        <v>113</v>
      </c>
      <c r="M896">
        <v>84.84</v>
      </c>
      <c r="N896">
        <v>3</v>
      </c>
      <c r="O896">
        <v>121.48</v>
      </c>
      <c r="P896">
        <f t="shared" si="52"/>
        <v>1.167114232596571E-2</v>
      </c>
      <c r="Q896">
        <f t="shared" si="52"/>
        <v>0.7507964601769912</v>
      </c>
      <c r="R896">
        <f t="shared" si="53"/>
        <v>28.28</v>
      </c>
      <c r="S896">
        <f t="shared" si="54"/>
        <v>1.4318717586044318</v>
      </c>
      <c r="T896">
        <f t="shared" si="55"/>
        <v>2.6548672566371681E-2</v>
      </c>
      <c r="U896" t="str">
        <f>YEAR('Campaign Data'!$A896)&amp;"-"&amp;TEXT(MONTH('Campaign Data'!$A896),"00")</f>
        <v>2026-02</v>
      </c>
    </row>
    <row r="897" spans="1:21" x14ac:dyDescent="0.25">
      <c r="A897">
        <v>46072</v>
      </c>
      <c r="B897" t="s">
        <v>30</v>
      </c>
      <c r="C897" t="s">
        <v>31</v>
      </c>
      <c r="D897" t="s">
        <v>32</v>
      </c>
      <c r="E897" t="s">
        <v>33</v>
      </c>
      <c r="F897" t="s">
        <v>34</v>
      </c>
      <c r="G897" t="s">
        <v>35</v>
      </c>
      <c r="H897" t="s">
        <v>27</v>
      </c>
      <c r="I897" t="s">
        <v>61</v>
      </c>
      <c r="J897" t="s">
        <v>87</v>
      </c>
      <c r="K897">
        <v>8200</v>
      </c>
      <c r="L897">
        <v>69</v>
      </c>
      <c r="M897">
        <v>49.28</v>
      </c>
      <c r="N897">
        <v>3</v>
      </c>
      <c r="O897">
        <v>546.71</v>
      </c>
      <c r="P897">
        <f t="shared" si="52"/>
        <v>8.4146341463414639E-3</v>
      </c>
      <c r="Q897">
        <f t="shared" si="52"/>
        <v>0.71420289855072461</v>
      </c>
      <c r="R897">
        <f t="shared" si="53"/>
        <v>16.426666666666666</v>
      </c>
      <c r="S897">
        <f t="shared" si="54"/>
        <v>11.093952922077923</v>
      </c>
      <c r="T897">
        <f t="shared" si="55"/>
        <v>4.3478260869565216E-2</v>
      </c>
      <c r="U897" t="str">
        <f>YEAR('Campaign Data'!$A897)&amp;"-"&amp;TEXT(MONTH('Campaign Data'!$A897),"00")</f>
        <v>2026-02</v>
      </c>
    </row>
    <row r="898" spans="1:21" x14ac:dyDescent="0.25">
      <c r="A898">
        <v>46072</v>
      </c>
      <c r="B898" t="s">
        <v>103</v>
      </c>
      <c r="C898" t="s">
        <v>104</v>
      </c>
      <c r="D898" t="s">
        <v>65</v>
      </c>
      <c r="E898" t="s">
        <v>33</v>
      </c>
      <c r="F898" t="s">
        <v>43</v>
      </c>
      <c r="G898" t="s">
        <v>102</v>
      </c>
      <c r="H898" t="s">
        <v>60</v>
      </c>
      <c r="I898" t="s">
        <v>37</v>
      </c>
      <c r="J898" t="s">
        <v>45</v>
      </c>
      <c r="K898">
        <v>11362</v>
      </c>
      <c r="L898">
        <v>102</v>
      </c>
      <c r="M898">
        <v>59.17</v>
      </c>
      <c r="N898">
        <v>2</v>
      </c>
      <c r="O898">
        <v>47.73</v>
      </c>
      <c r="P898">
        <f t="shared" ref="P898:Q961" si="56">IF(K898=0,0,L898/K898)</f>
        <v>8.9772927301531424E-3</v>
      </c>
      <c r="Q898">
        <f t="shared" si="56"/>
        <v>0.58009803921568626</v>
      </c>
      <c r="R898">
        <f t="shared" ref="R898:R961" si="57">IF(N898=0,0,M898/N898)</f>
        <v>29.585000000000001</v>
      </c>
      <c r="S898">
        <f t="shared" ref="S898:S961" si="58">IF(M898=0,0,O898/M898)</f>
        <v>0.80665877978705414</v>
      </c>
      <c r="T898">
        <f t="shared" ref="T898:T961" si="59">IF(L898=0,0,N898/L898)</f>
        <v>1.9607843137254902E-2</v>
      </c>
      <c r="U898" t="str">
        <f>YEAR('Campaign Data'!$A898)&amp;"-"&amp;TEXT(MONTH('Campaign Data'!$A898),"00")</f>
        <v>2026-02</v>
      </c>
    </row>
    <row r="899" spans="1:21" x14ac:dyDescent="0.25">
      <c r="A899">
        <v>46072</v>
      </c>
      <c r="B899" t="s">
        <v>132</v>
      </c>
      <c r="C899" t="s">
        <v>133</v>
      </c>
      <c r="D899" t="s">
        <v>23</v>
      </c>
      <c r="E899" t="s">
        <v>42</v>
      </c>
      <c r="F899" t="s">
        <v>75</v>
      </c>
      <c r="G899" t="s">
        <v>84</v>
      </c>
      <c r="H899" t="s">
        <v>60</v>
      </c>
      <c r="I899" t="s">
        <v>37</v>
      </c>
      <c r="J899" t="s">
        <v>45</v>
      </c>
      <c r="K899">
        <v>2161</v>
      </c>
      <c r="L899">
        <v>9</v>
      </c>
      <c r="M899">
        <v>27.58</v>
      </c>
      <c r="N899">
        <v>1</v>
      </c>
      <c r="O899">
        <v>40.619999999999997</v>
      </c>
      <c r="P899">
        <f t="shared" si="56"/>
        <v>4.1647385469689956E-3</v>
      </c>
      <c r="Q899">
        <f t="shared" si="56"/>
        <v>3.0644444444444443</v>
      </c>
      <c r="R899">
        <f t="shared" si="57"/>
        <v>27.58</v>
      </c>
      <c r="S899">
        <f t="shared" si="58"/>
        <v>1.472806381435823</v>
      </c>
      <c r="T899">
        <f t="shared" si="59"/>
        <v>0.1111111111111111</v>
      </c>
      <c r="U899" t="str">
        <f>YEAR('Campaign Data'!$A899)&amp;"-"&amp;TEXT(MONTH('Campaign Data'!$A899),"00")</f>
        <v>2026-02</v>
      </c>
    </row>
    <row r="900" spans="1:21" x14ac:dyDescent="0.25">
      <c r="A900">
        <v>46072</v>
      </c>
      <c r="B900" t="s">
        <v>153</v>
      </c>
      <c r="C900" t="s">
        <v>154</v>
      </c>
      <c r="D900" t="s">
        <v>48</v>
      </c>
      <c r="E900" t="s">
        <v>33</v>
      </c>
      <c r="F900" t="s">
        <v>43</v>
      </c>
      <c r="G900" t="s">
        <v>59</v>
      </c>
      <c r="H900" t="s">
        <v>51</v>
      </c>
      <c r="I900" t="s">
        <v>28</v>
      </c>
      <c r="J900" t="s">
        <v>29</v>
      </c>
      <c r="K900">
        <v>13962</v>
      </c>
      <c r="L900">
        <v>68</v>
      </c>
      <c r="M900">
        <v>52.31</v>
      </c>
      <c r="N900">
        <v>3</v>
      </c>
      <c r="O900">
        <v>53.03</v>
      </c>
      <c r="P900">
        <f t="shared" si="56"/>
        <v>4.8703624122618536E-3</v>
      </c>
      <c r="Q900">
        <f t="shared" si="56"/>
        <v>0.76926470588235296</v>
      </c>
      <c r="R900">
        <f t="shared" si="57"/>
        <v>17.436666666666667</v>
      </c>
      <c r="S900">
        <f t="shared" si="58"/>
        <v>1.013764098642707</v>
      </c>
      <c r="T900">
        <f t="shared" si="59"/>
        <v>4.4117647058823532E-2</v>
      </c>
      <c r="U900" t="str">
        <f>YEAR('Campaign Data'!$A900)&amp;"-"&amp;TEXT(MONTH('Campaign Data'!$A900),"00")</f>
        <v>2026-02</v>
      </c>
    </row>
    <row r="901" spans="1:21" x14ac:dyDescent="0.25">
      <c r="A901">
        <v>46072</v>
      </c>
      <c r="B901" t="s">
        <v>110</v>
      </c>
      <c r="C901" t="s">
        <v>111</v>
      </c>
      <c r="D901" t="s">
        <v>23</v>
      </c>
      <c r="E901" t="s">
        <v>49</v>
      </c>
      <c r="F901" t="s">
        <v>34</v>
      </c>
      <c r="G901" t="s">
        <v>50</v>
      </c>
      <c r="H901" t="s">
        <v>71</v>
      </c>
      <c r="I901" t="s">
        <v>37</v>
      </c>
      <c r="J901" t="s">
        <v>87</v>
      </c>
      <c r="K901">
        <v>8092</v>
      </c>
      <c r="L901">
        <v>489</v>
      </c>
      <c r="M901">
        <v>835.8</v>
      </c>
      <c r="N901">
        <v>3</v>
      </c>
      <c r="O901">
        <v>372.4</v>
      </c>
      <c r="P901">
        <f t="shared" si="56"/>
        <v>6.0430054374691053E-2</v>
      </c>
      <c r="Q901">
        <f t="shared" si="56"/>
        <v>1.70920245398773</v>
      </c>
      <c r="R901">
        <f t="shared" si="57"/>
        <v>278.59999999999997</v>
      </c>
      <c r="S901">
        <f t="shared" si="58"/>
        <v>0.44556113902847572</v>
      </c>
      <c r="T901">
        <f t="shared" si="59"/>
        <v>6.1349693251533744E-3</v>
      </c>
      <c r="U901" t="str">
        <f>YEAR('Campaign Data'!$A901)&amp;"-"&amp;TEXT(MONTH('Campaign Data'!$A901),"00")</f>
        <v>2026-02</v>
      </c>
    </row>
    <row r="902" spans="1:21" x14ac:dyDescent="0.25">
      <c r="A902">
        <v>46072</v>
      </c>
      <c r="B902" t="s">
        <v>110</v>
      </c>
      <c r="C902" t="s">
        <v>111</v>
      </c>
      <c r="D902" t="s">
        <v>23</v>
      </c>
      <c r="E902" t="s">
        <v>49</v>
      </c>
      <c r="F902" t="s">
        <v>34</v>
      </c>
      <c r="G902" t="s">
        <v>50</v>
      </c>
      <c r="H902" t="s">
        <v>90</v>
      </c>
      <c r="I902" t="s">
        <v>28</v>
      </c>
      <c r="J902" t="s">
        <v>45</v>
      </c>
      <c r="K902">
        <v>5871</v>
      </c>
      <c r="L902">
        <v>231</v>
      </c>
      <c r="M902">
        <v>96.81</v>
      </c>
      <c r="N902">
        <v>14</v>
      </c>
      <c r="O902">
        <v>297.2</v>
      </c>
      <c r="P902">
        <f t="shared" si="56"/>
        <v>3.9345937659683188E-2</v>
      </c>
      <c r="Q902">
        <f t="shared" si="56"/>
        <v>0.41909090909090913</v>
      </c>
      <c r="R902">
        <f t="shared" si="57"/>
        <v>6.915</v>
      </c>
      <c r="S902">
        <f t="shared" si="58"/>
        <v>3.0699307922735253</v>
      </c>
      <c r="T902">
        <f t="shared" si="59"/>
        <v>6.0606060606060608E-2</v>
      </c>
      <c r="U902" t="str">
        <f>YEAR('Campaign Data'!$A902)&amp;"-"&amp;TEXT(MONTH('Campaign Data'!$A902),"00")</f>
        <v>2026-02</v>
      </c>
    </row>
    <row r="903" spans="1:21" x14ac:dyDescent="0.25">
      <c r="A903">
        <v>46072</v>
      </c>
      <c r="B903" t="s">
        <v>67</v>
      </c>
      <c r="C903" t="s">
        <v>68</v>
      </c>
      <c r="D903" t="s">
        <v>69</v>
      </c>
      <c r="E903" t="s">
        <v>49</v>
      </c>
      <c r="F903" t="s">
        <v>34</v>
      </c>
      <c r="G903" t="s">
        <v>70</v>
      </c>
      <c r="H903" t="s">
        <v>55</v>
      </c>
      <c r="I903" t="s">
        <v>37</v>
      </c>
      <c r="J903" t="s">
        <v>38</v>
      </c>
      <c r="K903">
        <v>49224</v>
      </c>
      <c r="L903">
        <v>1410</v>
      </c>
      <c r="M903">
        <v>1821.78</v>
      </c>
      <c r="N903">
        <v>54</v>
      </c>
      <c r="O903">
        <v>4873.29</v>
      </c>
      <c r="P903">
        <f t="shared" si="56"/>
        <v>2.864456362749878E-2</v>
      </c>
      <c r="Q903">
        <f t="shared" si="56"/>
        <v>1.2920425531914894</v>
      </c>
      <c r="R903">
        <f t="shared" si="57"/>
        <v>33.736666666666665</v>
      </c>
      <c r="S903">
        <f t="shared" si="58"/>
        <v>2.6750156440404438</v>
      </c>
      <c r="T903">
        <f t="shared" si="59"/>
        <v>3.8297872340425532E-2</v>
      </c>
      <c r="U903" t="str">
        <f>YEAR('Campaign Data'!$A903)&amp;"-"&amp;TEXT(MONTH('Campaign Data'!$A903),"00")</f>
        <v>2026-02</v>
      </c>
    </row>
    <row r="904" spans="1:21" x14ac:dyDescent="0.25">
      <c r="A904">
        <v>46072</v>
      </c>
      <c r="B904" t="s">
        <v>67</v>
      </c>
      <c r="C904" t="s">
        <v>68</v>
      </c>
      <c r="D904" t="s">
        <v>69</v>
      </c>
      <c r="E904" t="s">
        <v>49</v>
      </c>
      <c r="F904" t="s">
        <v>34</v>
      </c>
      <c r="G904" t="s">
        <v>70</v>
      </c>
      <c r="H904" t="s">
        <v>27</v>
      </c>
      <c r="I904" t="s">
        <v>37</v>
      </c>
      <c r="J904" t="s">
        <v>29</v>
      </c>
      <c r="K904">
        <v>12382</v>
      </c>
      <c r="L904">
        <v>919</v>
      </c>
      <c r="M904">
        <v>2138.2399999999998</v>
      </c>
      <c r="N904">
        <v>81</v>
      </c>
      <c r="O904">
        <v>14351.35</v>
      </c>
      <c r="P904">
        <f t="shared" si="56"/>
        <v>7.4220642868680339E-2</v>
      </c>
      <c r="Q904">
        <f t="shared" si="56"/>
        <v>2.3267029379760609</v>
      </c>
      <c r="R904">
        <f t="shared" si="57"/>
        <v>26.398024691358021</v>
      </c>
      <c r="S904">
        <f t="shared" si="58"/>
        <v>6.711758268482491</v>
      </c>
      <c r="T904">
        <f t="shared" si="59"/>
        <v>8.8139281828073998E-2</v>
      </c>
      <c r="U904" t="str">
        <f>YEAR('Campaign Data'!$A904)&amp;"-"&amp;TEXT(MONTH('Campaign Data'!$A904),"00")</f>
        <v>2026-02</v>
      </c>
    </row>
    <row r="905" spans="1:21" x14ac:dyDescent="0.25">
      <c r="A905">
        <v>46072</v>
      </c>
      <c r="B905" t="s">
        <v>122</v>
      </c>
      <c r="C905" t="s">
        <v>123</v>
      </c>
      <c r="D905" t="s">
        <v>41</v>
      </c>
      <c r="E905" t="s">
        <v>33</v>
      </c>
      <c r="F905" t="s">
        <v>75</v>
      </c>
      <c r="G905" t="s">
        <v>35</v>
      </c>
      <c r="H905" t="s">
        <v>27</v>
      </c>
      <c r="I905" t="s">
        <v>28</v>
      </c>
      <c r="J905" t="s">
        <v>45</v>
      </c>
      <c r="K905">
        <v>9418</v>
      </c>
      <c r="L905">
        <v>74</v>
      </c>
      <c r="M905">
        <v>59.61</v>
      </c>
      <c r="N905">
        <v>2</v>
      </c>
      <c r="O905">
        <v>126.57</v>
      </c>
      <c r="P905">
        <f t="shared" si="56"/>
        <v>7.8572945423656827E-3</v>
      </c>
      <c r="Q905">
        <f t="shared" si="56"/>
        <v>0.80554054054054058</v>
      </c>
      <c r="R905">
        <f t="shared" si="57"/>
        <v>29.805</v>
      </c>
      <c r="S905">
        <f t="shared" si="58"/>
        <v>2.123301459486663</v>
      </c>
      <c r="T905">
        <f t="shared" si="59"/>
        <v>2.7027027027027029E-2</v>
      </c>
      <c r="U905" t="str">
        <f>YEAR('Campaign Data'!$A905)&amp;"-"&amp;TEXT(MONTH('Campaign Data'!$A905),"00")</f>
        <v>2026-02</v>
      </c>
    </row>
    <row r="906" spans="1:21" x14ac:dyDescent="0.25">
      <c r="A906">
        <v>46073</v>
      </c>
      <c r="B906" t="s">
        <v>165</v>
      </c>
      <c r="C906" t="s">
        <v>166</v>
      </c>
      <c r="D906" t="s">
        <v>41</v>
      </c>
      <c r="E906" t="s">
        <v>33</v>
      </c>
      <c r="F906" t="s">
        <v>43</v>
      </c>
      <c r="G906" t="s">
        <v>59</v>
      </c>
      <c r="H906" t="s">
        <v>36</v>
      </c>
      <c r="I906" t="s">
        <v>37</v>
      </c>
      <c r="J906" t="s">
        <v>87</v>
      </c>
      <c r="K906">
        <v>4575</v>
      </c>
      <c r="L906">
        <v>21</v>
      </c>
      <c r="M906">
        <v>10.99</v>
      </c>
      <c r="N906">
        <v>1</v>
      </c>
      <c r="O906">
        <v>27.86</v>
      </c>
      <c r="P906">
        <f t="shared" si="56"/>
        <v>4.5901639344262295E-3</v>
      </c>
      <c r="Q906">
        <f t="shared" si="56"/>
        <v>0.52333333333333332</v>
      </c>
      <c r="R906">
        <f t="shared" si="57"/>
        <v>10.99</v>
      </c>
      <c r="S906">
        <f t="shared" si="58"/>
        <v>2.5350318471337578</v>
      </c>
      <c r="T906">
        <f t="shared" si="59"/>
        <v>4.7619047619047616E-2</v>
      </c>
      <c r="U906" t="str">
        <f>YEAR('Campaign Data'!$A906)&amp;"-"&amp;TEXT(MONTH('Campaign Data'!$A906),"00")</f>
        <v>2026-02</v>
      </c>
    </row>
    <row r="907" spans="1:21" x14ac:dyDescent="0.25">
      <c r="A907">
        <v>46073</v>
      </c>
      <c r="B907" t="s">
        <v>85</v>
      </c>
      <c r="C907" t="s">
        <v>86</v>
      </c>
      <c r="D907" t="s">
        <v>80</v>
      </c>
      <c r="E907" t="s">
        <v>33</v>
      </c>
      <c r="F907" t="s">
        <v>43</v>
      </c>
      <c r="G907" t="s">
        <v>35</v>
      </c>
      <c r="H907" t="s">
        <v>90</v>
      </c>
      <c r="I907" t="s">
        <v>28</v>
      </c>
      <c r="J907" t="s">
        <v>38</v>
      </c>
      <c r="K907">
        <v>4371</v>
      </c>
      <c r="L907">
        <v>30</v>
      </c>
      <c r="M907">
        <v>5.6</v>
      </c>
      <c r="N907">
        <v>0</v>
      </c>
      <c r="O907">
        <v>0</v>
      </c>
      <c r="P907">
        <f t="shared" si="56"/>
        <v>6.8634179821551134E-3</v>
      </c>
      <c r="Q907">
        <f t="shared" si="56"/>
        <v>0.18666666666666665</v>
      </c>
      <c r="R907">
        <f t="shared" si="57"/>
        <v>0</v>
      </c>
      <c r="S907">
        <f t="shared" si="58"/>
        <v>0</v>
      </c>
      <c r="T907">
        <f t="shared" si="59"/>
        <v>0</v>
      </c>
      <c r="U907" t="str">
        <f>YEAR('Campaign Data'!$A907)&amp;"-"&amp;TEXT(MONTH('Campaign Data'!$A907),"00")</f>
        <v>2026-02</v>
      </c>
    </row>
    <row r="908" spans="1:21" x14ac:dyDescent="0.25">
      <c r="A908">
        <v>46073</v>
      </c>
      <c r="B908" t="s">
        <v>167</v>
      </c>
      <c r="C908" t="s">
        <v>168</v>
      </c>
      <c r="D908" t="s">
        <v>58</v>
      </c>
      <c r="E908" t="s">
        <v>33</v>
      </c>
      <c r="F908" t="s">
        <v>75</v>
      </c>
      <c r="G908" t="s">
        <v>35</v>
      </c>
      <c r="H908" t="s">
        <v>90</v>
      </c>
      <c r="I908" t="s">
        <v>37</v>
      </c>
      <c r="J908" t="s">
        <v>29</v>
      </c>
      <c r="K908">
        <v>5814</v>
      </c>
      <c r="L908">
        <v>69</v>
      </c>
      <c r="M908">
        <v>14.25</v>
      </c>
      <c r="N908">
        <v>0</v>
      </c>
      <c r="O908">
        <v>0</v>
      </c>
      <c r="P908">
        <f t="shared" si="56"/>
        <v>1.1867905056759546E-2</v>
      </c>
      <c r="Q908">
        <f t="shared" si="56"/>
        <v>0.20652173913043478</v>
      </c>
      <c r="R908">
        <f t="shared" si="57"/>
        <v>0</v>
      </c>
      <c r="S908">
        <f t="shared" si="58"/>
        <v>0</v>
      </c>
      <c r="T908">
        <f t="shared" si="59"/>
        <v>0</v>
      </c>
      <c r="U908" t="str">
        <f>YEAR('Campaign Data'!$A908)&amp;"-"&amp;TEXT(MONTH('Campaign Data'!$A908),"00")</f>
        <v>2026-02</v>
      </c>
    </row>
    <row r="909" spans="1:21" x14ac:dyDescent="0.25">
      <c r="A909">
        <v>46073</v>
      </c>
      <c r="B909" t="s">
        <v>167</v>
      </c>
      <c r="C909" t="s">
        <v>168</v>
      </c>
      <c r="D909" t="s">
        <v>58</v>
      </c>
      <c r="E909" t="s">
        <v>33</v>
      </c>
      <c r="F909" t="s">
        <v>75</v>
      </c>
      <c r="G909" t="s">
        <v>35</v>
      </c>
      <c r="H909" t="s">
        <v>27</v>
      </c>
      <c r="I909" t="s">
        <v>37</v>
      </c>
      <c r="J909" t="s">
        <v>29</v>
      </c>
      <c r="K909">
        <v>4451</v>
      </c>
      <c r="L909">
        <v>64</v>
      </c>
      <c r="M909">
        <v>64.849999999999994</v>
      </c>
      <c r="N909">
        <v>1</v>
      </c>
      <c r="O909">
        <v>35.840000000000003</v>
      </c>
      <c r="P909">
        <f t="shared" si="56"/>
        <v>1.4378791282857784E-2</v>
      </c>
      <c r="Q909">
        <f t="shared" si="56"/>
        <v>1.0132812499999999</v>
      </c>
      <c r="R909">
        <f t="shared" si="57"/>
        <v>64.849999999999994</v>
      </c>
      <c r="S909">
        <f t="shared" si="58"/>
        <v>0.55265998457979959</v>
      </c>
      <c r="T909">
        <f t="shared" si="59"/>
        <v>1.5625E-2</v>
      </c>
      <c r="U909" t="str">
        <f>YEAR('Campaign Data'!$A909)&amp;"-"&amp;TEXT(MONTH('Campaign Data'!$A909),"00")</f>
        <v>2026-02</v>
      </c>
    </row>
    <row r="910" spans="1:21" x14ac:dyDescent="0.25">
      <c r="A910">
        <v>46073</v>
      </c>
      <c r="B910" t="s">
        <v>138</v>
      </c>
      <c r="C910" t="s">
        <v>139</v>
      </c>
      <c r="D910" t="s">
        <v>58</v>
      </c>
      <c r="E910" t="s">
        <v>74</v>
      </c>
      <c r="F910" t="s">
        <v>34</v>
      </c>
      <c r="G910" t="s">
        <v>9</v>
      </c>
      <c r="H910" t="s">
        <v>36</v>
      </c>
      <c r="I910" t="s">
        <v>28</v>
      </c>
      <c r="J910" t="s">
        <v>62</v>
      </c>
      <c r="K910">
        <v>15736</v>
      </c>
      <c r="L910">
        <v>439</v>
      </c>
      <c r="M910">
        <v>529.21</v>
      </c>
      <c r="N910">
        <v>27</v>
      </c>
      <c r="O910">
        <v>3403.26</v>
      </c>
      <c r="P910">
        <f t="shared" si="56"/>
        <v>2.7897813929842398E-2</v>
      </c>
      <c r="Q910">
        <f t="shared" si="56"/>
        <v>1.2054897494305239</v>
      </c>
      <c r="R910">
        <f t="shared" si="57"/>
        <v>19.600370370370371</v>
      </c>
      <c r="S910">
        <f t="shared" si="58"/>
        <v>6.4308308610948393</v>
      </c>
      <c r="T910">
        <f t="shared" si="59"/>
        <v>6.1503416856492028E-2</v>
      </c>
      <c r="U910" t="str">
        <f>YEAR('Campaign Data'!$A910)&amp;"-"&amp;TEXT(MONTH('Campaign Data'!$A910),"00")</f>
        <v>2026-02</v>
      </c>
    </row>
    <row r="911" spans="1:21" x14ac:dyDescent="0.25">
      <c r="A911">
        <v>46073</v>
      </c>
      <c r="B911" t="s">
        <v>30</v>
      </c>
      <c r="C911" t="s">
        <v>31</v>
      </c>
      <c r="D911" t="s">
        <v>32</v>
      </c>
      <c r="E911" t="s">
        <v>33</v>
      </c>
      <c r="F911" t="s">
        <v>34</v>
      </c>
      <c r="G911" t="s">
        <v>35</v>
      </c>
      <c r="H911" t="s">
        <v>55</v>
      </c>
      <c r="I911" t="s">
        <v>37</v>
      </c>
      <c r="J911" t="s">
        <v>62</v>
      </c>
      <c r="K911">
        <v>4307</v>
      </c>
      <c r="L911">
        <v>42</v>
      </c>
      <c r="M911">
        <v>18.32</v>
      </c>
      <c r="N911">
        <v>1</v>
      </c>
      <c r="O911">
        <v>129.52000000000001</v>
      </c>
      <c r="P911">
        <f t="shared" si="56"/>
        <v>9.7515672161597403E-3</v>
      </c>
      <c r="Q911">
        <f t="shared" si="56"/>
        <v>0.43619047619047618</v>
      </c>
      <c r="R911">
        <f t="shared" si="57"/>
        <v>18.32</v>
      </c>
      <c r="S911">
        <f t="shared" si="58"/>
        <v>7.0698689956331879</v>
      </c>
      <c r="T911">
        <f t="shared" si="59"/>
        <v>2.3809523809523808E-2</v>
      </c>
      <c r="U911" t="str">
        <f>YEAR('Campaign Data'!$A911)&amp;"-"&amp;TEXT(MONTH('Campaign Data'!$A911),"00")</f>
        <v>2026-02</v>
      </c>
    </row>
    <row r="912" spans="1:21" x14ac:dyDescent="0.25">
      <c r="A912">
        <v>46073</v>
      </c>
      <c r="B912" t="s">
        <v>98</v>
      </c>
      <c r="C912" t="s">
        <v>99</v>
      </c>
      <c r="D912" t="s">
        <v>69</v>
      </c>
      <c r="E912" t="s">
        <v>24</v>
      </c>
      <c r="F912" t="s">
        <v>75</v>
      </c>
      <c r="G912" t="s">
        <v>66</v>
      </c>
      <c r="H912" t="s">
        <v>71</v>
      </c>
      <c r="I912" t="s">
        <v>61</v>
      </c>
      <c r="J912" t="s">
        <v>29</v>
      </c>
      <c r="K912">
        <v>3032</v>
      </c>
      <c r="L912">
        <v>24</v>
      </c>
      <c r="M912">
        <v>23.66</v>
      </c>
      <c r="N912">
        <v>0</v>
      </c>
      <c r="O912">
        <v>0</v>
      </c>
      <c r="P912">
        <f t="shared" si="56"/>
        <v>7.9155672823219003E-3</v>
      </c>
      <c r="Q912">
        <f t="shared" si="56"/>
        <v>0.98583333333333334</v>
      </c>
      <c r="R912">
        <f t="shared" si="57"/>
        <v>0</v>
      </c>
      <c r="S912">
        <f t="shared" si="58"/>
        <v>0</v>
      </c>
      <c r="T912">
        <f t="shared" si="59"/>
        <v>0</v>
      </c>
      <c r="U912" t="str">
        <f>YEAR('Campaign Data'!$A912)&amp;"-"&amp;TEXT(MONTH('Campaign Data'!$A912),"00")</f>
        <v>2026-02</v>
      </c>
    </row>
    <row r="913" spans="1:21" x14ac:dyDescent="0.25">
      <c r="A913">
        <v>46073</v>
      </c>
      <c r="B913" t="s">
        <v>103</v>
      </c>
      <c r="C913" t="s">
        <v>104</v>
      </c>
      <c r="D913" t="s">
        <v>65</v>
      </c>
      <c r="E913" t="s">
        <v>33</v>
      </c>
      <c r="F913" t="s">
        <v>43</v>
      </c>
      <c r="G913" t="s">
        <v>102</v>
      </c>
      <c r="H913" t="s">
        <v>51</v>
      </c>
      <c r="I913" t="s">
        <v>37</v>
      </c>
      <c r="J913" t="s">
        <v>38</v>
      </c>
      <c r="K913">
        <v>22128</v>
      </c>
      <c r="L913">
        <v>287</v>
      </c>
      <c r="M913">
        <v>168.37</v>
      </c>
      <c r="N913">
        <v>4</v>
      </c>
      <c r="O913">
        <v>45.39</v>
      </c>
      <c r="P913">
        <f t="shared" si="56"/>
        <v>1.296999276934201E-2</v>
      </c>
      <c r="Q913">
        <f t="shared" si="56"/>
        <v>0.58665505226480841</v>
      </c>
      <c r="R913">
        <f t="shared" si="57"/>
        <v>42.092500000000001</v>
      </c>
      <c r="S913">
        <f t="shared" si="58"/>
        <v>0.26958484290550572</v>
      </c>
      <c r="T913">
        <f t="shared" si="59"/>
        <v>1.3937282229965157E-2</v>
      </c>
      <c r="U913" t="str">
        <f>YEAR('Campaign Data'!$A913)&amp;"-"&amp;TEXT(MONTH('Campaign Data'!$A913),"00")</f>
        <v>2026-02</v>
      </c>
    </row>
    <row r="914" spans="1:21" x14ac:dyDescent="0.25">
      <c r="A914">
        <v>46073</v>
      </c>
      <c r="B914" t="s">
        <v>177</v>
      </c>
      <c r="C914" t="s">
        <v>178</v>
      </c>
      <c r="D914" t="s">
        <v>41</v>
      </c>
      <c r="E914" t="s">
        <v>49</v>
      </c>
      <c r="F914" t="s">
        <v>34</v>
      </c>
      <c r="G914" t="s">
        <v>107</v>
      </c>
      <c r="H914" t="s">
        <v>90</v>
      </c>
      <c r="I914" t="s">
        <v>37</v>
      </c>
      <c r="J914" t="s">
        <v>87</v>
      </c>
      <c r="K914">
        <v>3625</v>
      </c>
      <c r="L914">
        <v>164</v>
      </c>
      <c r="M914">
        <v>64.5</v>
      </c>
      <c r="N914">
        <v>5</v>
      </c>
      <c r="O914">
        <v>199.11</v>
      </c>
      <c r="P914">
        <f t="shared" si="56"/>
        <v>4.5241379310344824E-2</v>
      </c>
      <c r="Q914">
        <f t="shared" si="56"/>
        <v>0.39329268292682928</v>
      </c>
      <c r="R914">
        <f t="shared" si="57"/>
        <v>12.9</v>
      </c>
      <c r="S914">
        <f t="shared" si="58"/>
        <v>3.0869767441860465</v>
      </c>
      <c r="T914">
        <f t="shared" si="59"/>
        <v>3.048780487804878E-2</v>
      </c>
      <c r="U914" t="str">
        <f>YEAR('Campaign Data'!$A914)&amp;"-"&amp;TEXT(MONTH('Campaign Data'!$A914),"00")</f>
        <v>2026-02</v>
      </c>
    </row>
    <row r="915" spans="1:21" x14ac:dyDescent="0.25">
      <c r="A915">
        <v>46073</v>
      </c>
      <c r="B915" t="s">
        <v>153</v>
      </c>
      <c r="C915" t="s">
        <v>154</v>
      </c>
      <c r="D915" t="s">
        <v>48</v>
      </c>
      <c r="E915" t="s">
        <v>33</v>
      </c>
      <c r="F915" t="s">
        <v>43</v>
      </c>
      <c r="G915" t="s">
        <v>59</v>
      </c>
      <c r="H915" t="s">
        <v>90</v>
      </c>
      <c r="I915" t="s">
        <v>37</v>
      </c>
      <c r="J915" t="s">
        <v>45</v>
      </c>
      <c r="K915">
        <v>9548</v>
      </c>
      <c r="L915">
        <v>69</v>
      </c>
      <c r="M915">
        <v>8.16</v>
      </c>
      <c r="N915">
        <v>2</v>
      </c>
      <c r="O915">
        <v>10</v>
      </c>
      <c r="P915">
        <f t="shared" si="56"/>
        <v>7.2266443234185167E-3</v>
      </c>
      <c r="Q915">
        <f t="shared" si="56"/>
        <v>0.11826086956521739</v>
      </c>
      <c r="R915">
        <f t="shared" si="57"/>
        <v>4.08</v>
      </c>
      <c r="S915">
        <f t="shared" si="58"/>
        <v>1.2254901960784315</v>
      </c>
      <c r="T915">
        <f t="shared" si="59"/>
        <v>2.8985507246376812E-2</v>
      </c>
      <c r="U915" t="str">
        <f>YEAR('Campaign Data'!$A915)&amp;"-"&amp;TEXT(MONTH('Campaign Data'!$A915),"00")</f>
        <v>2026-02</v>
      </c>
    </row>
    <row r="916" spans="1:21" x14ac:dyDescent="0.25">
      <c r="A916">
        <v>46073</v>
      </c>
      <c r="B916" t="s">
        <v>140</v>
      </c>
      <c r="C916" t="s">
        <v>40</v>
      </c>
      <c r="D916" t="s">
        <v>41</v>
      </c>
      <c r="E916" t="s">
        <v>42</v>
      </c>
      <c r="F916" t="s">
        <v>43</v>
      </c>
      <c r="G916" t="s">
        <v>44</v>
      </c>
      <c r="H916" t="s">
        <v>60</v>
      </c>
      <c r="I916" t="s">
        <v>28</v>
      </c>
      <c r="J916" t="s">
        <v>29</v>
      </c>
      <c r="K916">
        <v>11846</v>
      </c>
      <c r="L916">
        <v>66</v>
      </c>
      <c r="M916">
        <v>350.02</v>
      </c>
      <c r="N916">
        <v>3</v>
      </c>
      <c r="O916">
        <v>86.44</v>
      </c>
      <c r="P916">
        <f t="shared" si="56"/>
        <v>5.5715009285834879E-3</v>
      </c>
      <c r="Q916">
        <f t="shared" si="56"/>
        <v>5.3033333333333328</v>
      </c>
      <c r="R916">
        <f t="shared" si="57"/>
        <v>116.67333333333333</v>
      </c>
      <c r="S916">
        <f t="shared" si="58"/>
        <v>0.2469573167247586</v>
      </c>
      <c r="T916">
        <f t="shared" si="59"/>
        <v>4.5454545454545456E-2</v>
      </c>
      <c r="U916" t="str">
        <f>YEAR('Campaign Data'!$A916)&amp;"-"&amp;TEXT(MONTH('Campaign Data'!$A916),"00")</f>
        <v>2026-02</v>
      </c>
    </row>
    <row r="917" spans="1:21" x14ac:dyDescent="0.25">
      <c r="A917">
        <v>46073</v>
      </c>
      <c r="B917" t="s">
        <v>155</v>
      </c>
      <c r="C917" t="s">
        <v>156</v>
      </c>
      <c r="D917" t="s">
        <v>32</v>
      </c>
      <c r="E917" t="s">
        <v>24</v>
      </c>
      <c r="F917" t="s">
        <v>34</v>
      </c>
      <c r="G917" t="s">
        <v>129</v>
      </c>
      <c r="H917" t="s">
        <v>55</v>
      </c>
      <c r="I917" t="s">
        <v>37</v>
      </c>
      <c r="J917" t="s">
        <v>87</v>
      </c>
      <c r="K917">
        <v>3279</v>
      </c>
      <c r="L917">
        <v>22</v>
      </c>
      <c r="M917">
        <v>17.059999999999999</v>
      </c>
      <c r="N917">
        <v>1</v>
      </c>
      <c r="O917">
        <v>134.88999999999999</v>
      </c>
      <c r="P917">
        <f t="shared" si="56"/>
        <v>6.7093626105519978E-3</v>
      </c>
      <c r="Q917">
        <f t="shared" si="56"/>
        <v>0.7754545454545454</v>
      </c>
      <c r="R917">
        <f t="shared" si="57"/>
        <v>17.059999999999999</v>
      </c>
      <c r="S917">
        <f t="shared" si="58"/>
        <v>7.9067995310668229</v>
      </c>
      <c r="T917">
        <f t="shared" si="59"/>
        <v>4.5454545454545456E-2</v>
      </c>
      <c r="U917" t="str">
        <f>YEAR('Campaign Data'!$A917)&amp;"-"&amp;TEXT(MONTH('Campaign Data'!$A917),"00")</f>
        <v>2026-02</v>
      </c>
    </row>
    <row r="918" spans="1:21" x14ac:dyDescent="0.25">
      <c r="A918">
        <v>46073</v>
      </c>
      <c r="B918" t="s">
        <v>161</v>
      </c>
      <c r="C918" t="s">
        <v>162</v>
      </c>
      <c r="D918" t="s">
        <v>48</v>
      </c>
      <c r="E918" t="s">
        <v>74</v>
      </c>
      <c r="F918" t="s">
        <v>34</v>
      </c>
      <c r="G918" t="s">
        <v>107</v>
      </c>
      <c r="H918" t="s">
        <v>71</v>
      </c>
      <c r="I918" t="s">
        <v>28</v>
      </c>
      <c r="J918" t="s">
        <v>29</v>
      </c>
      <c r="K918">
        <v>9063</v>
      </c>
      <c r="L918">
        <v>382</v>
      </c>
      <c r="M918">
        <v>419.05</v>
      </c>
      <c r="N918">
        <v>10</v>
      </c>
      <c r="O918">
        <v>1046.81</v>
      </c>
      <c r="P918">
        <f t="shared" si="56"/>
        <v>4.2149398653867375E-2</v>
      </c>
      <c r="Q918">
        <f t="shared" si="56"/>
        <v>1.0969895287958116</v>
      </c>
      <c r="R918">
        <f t="shared" si="57"/>
        <v>41.905000000000001</v>
      </c>
      <c r="S918">
        <f t="shared" si="58"/>
        <v>2.4980551246867915</v>
      </c>
      <c r="T918">
        <f t="shared" si="59"/>
        <v>2.6178010471204188E-2</v>
      </c>
      <c r="U918" t="str">
        <f>YEAR('Campaign Data'!$A918)&amp;"-"&amp;TEXT(MONTH('Campaign Data'!$A918),"00")</f>
        <v>2026-02</v>
      </c>
    </row>
    <row r="919" spans="1:21" x14ac:dyDescent="0.25">
      <c r="A919">
        <v>46073</v>
      </c>
      <c r="B919" t="s">
        <v>161</v>
      </c>
      <c r="C919" t="s">
        <v>162</v>
      </c>
      <c r="D919" t="s">
        <v>48</v>
      </c>
      <c r="E919" t="s">
        <v>74</v>
      </c>
      <c r="F919" t="s">
        <v>34</v>
      </c>
      <c r="G919" t="s">
        <v>107</v>
      </c>
      <c r="H919" t="s">
        <v>71</v>
      </c>
      <c r="I919" t="s">
        <v>28</v>
      </c>
      <c r="J919" t="s">
        <v>38</v>
      </c>
      <c r="K919">
        <v>5852</v>
      </c>
      <c r="L919">
        <v>160</v>
      </c>
      <c r="M919">
        <v>155.13999999999999</v>
      </c>
      <c r="N919">
        <v>3</v>
      </c>
      <c r="O919">
        <v>237.22</v>
      </c>
      <c r="P919">
        <f t="shared" si="56"/>
        <v>2.7341079972658919E-2</v>
      </c>
      <c r="Q919">
        <f t="shared" si="56"/>
        <v>0.96962499999999996</v>
      </c>
      <c r="R919">
        <f t="shared" si="57"/>
        <v>51.713333333333331</v>
      </c>
      <c r="S919">
        <f t="shared" si="58"/>
        <v>1.5290705169524301</v>
      </c>
      <c r="T919">
        <f t="shared" si="59"/>
        <v>1.8749999999999999E-2</v>
      </c>
      <c r="U919" t="str">
        <f>YEAR('Campaign Data'!$A919)&amp;"-"&amp;TEXT(MONTH('Campaign Data'!$A919),"00")</f>
        <v>2026-02</v>
      </c>
    </row>
    <row r="920" spans="1:21" x14ac:dyDescent="0.25">
      <c r="A920">
        <v>46073</v>
      </c>
      <c r="B920" t="s">
        <v>114</v>
      </c>
      <c r="C920" t="s">
        <v>115</v>
      </c>
      <c r="D920" t="s">
        <v>69</v>
      </c>
      <c r="E920" t="s">
        <v>49</v>
      </c>
      <c r="F920" t="s">
        <v>25</v>
      </c>
      <c r="G920" t="s">
        <v>107</v>
      </c>
      <c r="H920" t="s">
        <v>36</v>
      </c>
      <c r="I920" t="s">
        <v>28</v>
      </c>
      <c r="J920" t="s">
        <v>29</v>
      </c>
      <c r="K920">
        <v>3276</v>
      </c>
      <c r="L920">
        <v>131</v>
      </c>
      <c r="M920">
        <v>241.71</v>
      </c>
      <c r="N920">
        <v>11</v>
      </c>
      <c r="O920">
        <v>1021.47</v>
      </c>
      <c r="P920">
        <f t="shared" si="56"/>
        <v>3.9987789987789985E-2</v>
      </c>
      <c r="Q920">
        <f t="shared" si="56"/>
        <v>1.845114503816794</v>
      </c>
      <c r="R920">
        <f t="shared" si="57"/>
        <v>21.973636363636363</v>
      </c>
      <c r="S920">
        <f t="shared" si="58"/>
        <v>4.2260146456497454</v>
      </c>
      <c r="T920">
        <f t="shared" si="59"/>
        <v>8.3969465648854963E-2</v>
      </c>
      <c r="U920" t="str">
        <f>YEAR('Campaign Data'!$A920)&amp;"-"&amp;TEXT(MONTH('Campaign Data'!$A920),"00")</f>
        <v>2026-02</v>
      </c>
    </row>
    <row r="921" spans="1:21" x14ac:dyDescent="0.25">
      <c r="A921">
        <v>46073</v>
      </c>
      <c r="B921" t="s">
        <v>63</v>
      </c>
      <c r="C921" t="s">
        <v>64</v>
      </c>
      <c r="D921" t="s">
        <v>65</v>
      </c>
      <c r="E921" t="s">
        <v>24</v>
      </c>
      <c r="F921" t="s">
        <v>43</v>
      </c>
      <c r="G921" t="s">
        <v>66</v>
      </c>
      <c r="H921" t="s">
        <v>51</v>
      </c>
      <c r="I921" t="s">
        <v>37</v>
      </c>
      <c r="J921" t="s">
        <v>87</v>
      </c>
      <c r="K921">
        <v>14548</v>
      </c>
      <c r="L921">
        <v>126</v>
      </c>
      <c r="M921">
        <v>102.62</v>
      </c>
      <c r="N921">
        <v>2</v>
      </c>
      <c r="O921">
        <v>29.43</v>
      </c>
      <c r="P921">
        <f t="shared" si="56"/>
        <v>8.6609843277426456E-3</v>
      </c>
      <c r="Q921">
        <f t="shared" si="56"/>
        <v>0.81444444444444453</v>
      </c>
      <c r="R921">
        <f t="shared" si="57"/>
        <v>51.31</v>
      </c>
      <c r="S921">
        <f t="shared" si="58"/>
        <v>0.28678620152017148</v>
      </c>
      <c r="T921">
        <f t="shared" si="59"/>
        <v>1.5873015873015872E-2</v>
      </c>
      <c r="U921" t="str">
        <f>YEAR('Campaign Data'!$A921)&amp;"-"&amp;TEXT(MONTH('Campaign Data'!$A921),"00")</f>
        <v>2026-02</v>
      </c>
    </row>
    <row r="922" spans="1:21" x14ac:dyDescent="0.25">
      <c r="A922">
        <v>46073</v>
      </c>
      <c r="B922" t="s">
        <v>72</v>
      </c>
      <c r="C922" t="s">
        <v>73</v>
      </c>
      <c r="D922" t="s">
        <v>69</v>
      </c>
      <c r="E922" t="s">
        <v>74</v>
      </c>
      <c r="F922" t="s">
        <v>75</v>
      </c>
      <c r="G922" t="s">
        <v>9</v>
      </c>
      <c r="H922" t="s">
        <v>90</v>
      </c>
      <c r="I922" t="s">
        <v>37</v>
      </c>
      <c r="J922" t="s">
        <v>62</v>
      </c>
      <c r="K922">
        <v>19820</v>
      </c>
      <c r="L922">
        <v>680</v>
      </c>
      <c r="M922">
        <v>347.28</v>
      </c>
      <c r="N922">
        <v>32</v>
      </c>
      <c r="O922">
        <v>291.45</v>
      </c>
      <c r="P922">
        <f t="shared" si="56"/>
        <v>3.4308779011099896E-2</v>
      </c>
      <c r="Q922">
        <f t="shared" si="56"/>
        <v>0.51070588235294112</v>
      </c>
      <c r="R922">
        <f t="shared" si="57"/>
        <v>10.852499999999999</v>
      </c>
      <c r="S922">
        <f t="shared" si="58"/>
        <v>0.83923635107118177</v>
      </c>
      <c r="T922">
        <f t="shared" si="59"/>
        <v>4.7058823529411764E-2</v>
      </c>
      <c r="U922" t="str">
        <f>YEAR('Campaign Data'!$A922)&amp;"-"&amp;TEXT(MONTH('Campaign Data'!$A922),"00")</f>
        <v>2026-02</v>
      </c>
    </row>
    <row r="923" spans="1:21" x14ac:dyDescent="0.25">
      <c r="A923">
        <v>46073</v>
      </c>
      <c r="B923" t="s">
        <v>116</v>
      </c>
      <c r="C923" t="s">
        <v>117</v>
      </c>
      <c r="D923" t="s">
        <v>48</v>
      </c>
      <c r="E923" t="s">
        <v>24</v>
      </c>
      <c r="F923" t="s">
        <v>43</v>
      </c>
      <c r="G923" t="s">
        <v>26</v>
      </c>
      <c r="H923" t="s">
        <v>90</v>
      </c>
      <c r="I923" t="s">
        <v>37</v>
      </c>
      <c r="J923" t="s">
        <v>87</v>
      </c>
      <c r="K923">
        <v>2802</v>
      </c>
      <c r="L923">
        <v>35</v>
      </c>
      <c r="M923">
        <v>8.3000000000000007</v>
      </c>
      <c r="N923">
        <v>5</v>
      </c>
      <c r="O923">
        <v>51.21</v>
      </c>
      <c r="P923">
        <f t="shared" si="56"/>
        <v>1.2491077801570306E-2</v>
      </c>
      <c r="Q923">
        <f t="shared" si="56"/>
        <v>0.23714285714285716</v>
      </c>
      <c r="R923">
        <f t="shared" si="57"/>
        <v>1.6600000000000001</v>
      </c>
      <c r="S923">
        <f t="shared" si="58"/>
        <v>6.169879518072289</v>
      </c>
      <c r="T923">
        <f t="shared" si="59"/>
        <v>0.14285714285714285</v>
      </c>
      <c r="U923" t="str">
        <f>YEAR('Campaign Data'!$A923)&amp;"-"&amp;TEXT(MONTH('Campaign Data'!$A923),"00")</f>
        <v>2026-02</v>
      </c>
    </row>
    <row r="924" spans="1:21" x14ac:dyDescent="0.25">
      <c r="A924">
        <v>46074</v>
      </c>
      <c r="B924" t="s">
        <v>21</v>
      </c>
      <c r="C924" t="s">
        <v>124</v>
      </c>
      <c r="D924" t="s">
        <v>23</v>
      </c>
      <c r="E924" t="s">
        <v>24</v>
      </c>
      <c r="F924" t="s">
        <v>25</v>
      </c>
      <c r="G924" t="s">
        <v>26</v>
      </c>
      <c r="H924" t="s">
        <v>60</v>
      </c>
      <c r="I924" t="s">
        <v>37</v>
      </c>
      <c r="J924" t="s">
        <v>29</v>
      </c>
      <c r="K924">
        <v>3444</v>
      </c>
      <c r="L924">
        <v>46</v>
      </c>
      <c r="M924">
        <v>44.18</v>
      </c>
      <c r="N924">
        <v>2</v>
      </c>
      <c r="O924">
        <v>115.95</v>
      </c>
      <c r="P924">
        <f t="shared" si="56"/>
        <v>1.3356562137049941E-2</v>
      </c>
      <c r="Q924">
        <f t="shared" si="56"/>
        <v>0.96043478260869564</v>
      </c>
      <c r="R924">
        <f t="shared" si="57"/>
        <v>22.09</v>
      </c>
      <c r="S924">
        <f t="shared" si="58"/>
        <v>2.624490719782707</v>
      </c>
      <c r="T924">
        <f t="shared" si="59"/>
        <v>4.3478260869565216E-2</v>
      </c>
      <c r="U924" t="str">
        <f>YEAR('Campaign Data'!$A924)&amp;"-"&amp;TEXT(MONTH('Campaign Data'!$A924),"00")</f>
        <v>2026-02</v>
      </c>
    </row>
    <row r="925" spans="1:21" x14ac:dyDescent="0.25">
      <c r="A925">
        <v>46074</v>
      </c>
      <c r="B925" t="s">
        <v>125</v>
      </c>
      <c r="C925" t="s">
        <v>126</v>
      </c>
      <c r="D925" t="s">
        <v>41</v>
      </c>
      <c r="E925" t="s">
        <v>42</v>
      </c>
      <c r="F925" t="s">
        <v>81</v>
      </c>
      <c r="G925" t="s">
        <v>44</v>
      </c>
      <c r="H925" t="s">
        <v>51</v>
      </c>
      <c r="I925" t="s">
        <v>28</v>
      </c>
      <c r="J925" t="s">
        <v>62</v>
      </c>
      <c r="K925">
        <v>7229</v>
      </c>
      <c r="L925">
        <v>51</v>
      </c>
      <c r="M925">
        <v>305.55</v>
      </c>
      <c r="N925">
        <v>1</v>
      </c>
      <c r="O925">
        <v>14.94</v>
      </c>
      <c r="P925">
        <f t="shared" si="56"/>
        <v>7.0549176926269193E-3</v>
      </c>
      <c r="Q925">
        <f t="shared" si="56"/>
        <v>5.9911764705882353</v>
      </c>
      <c r="R925">
        <f t="shared" si="57"/>
        <v>305.55</v>
      </c>
      <c r="S925">
        <f t="shared" si="58"/>
        <v>4.8895434462444771E-2</v>
      </c>
      <c r="T925">
        <f t="shared" si="59"/>
        <v>1.9607843137254902E-2</v>
      </c>
      <c r="U925" t="str">
        <f>YEAR('Campaign Data'!$A925)&amp;"-"&amp;TEXT(MONTH('Campaign Data'!$A925),"00")</f>
        <v>2026-02</v>
      </c>
    </row>
    <row r="926" spans="1:21" x14ac:dyDescent="0.25">
      <c r="A926">
        <v>46074</v>
      </c>
      <c r="B926" t="s">
        <v>138</v>
      </c>
      <c r="C926" t="s">
        <v>139</v>
      </c>
      <c r="D926" t="s">
        <v>58</v>
      </c>
      <c r="E926" t="s">
        <v>74</v>
      </c>
      <c r="F926" t="s">
        <v>34</v>
      </c>
      <c r="G926" t="s">
        <v>9</v>
      </c>
      <c r="H926" t="s">
        <v>90</v>
      </c>
      <c r="I926" t="s">
        <v>61</v>
      </c>
      <c r="J926" t="s">
        <v>29</v>
      </c>
      <c r="K926">
        <v>4332</v>
      </c>
      <c r="L926">
        <v>142</v>
      </c>
      <c r="M926">
        <v>31.46</v>
      </c>
      <c r="N926">
        <v>4</v>
      </c>
      <c r="O926">
        <v>149.25</v>
      </c>
      <c r="P926">
        <f t="shared" si="56"/>
        <v>3.2779316712834718E-2</v>
      </c>
      <c r="Q926">
        <f t="shared" si="56"/>
        <v>0.22154929577464788</v>
      </c>
      <c r="R926">
        <f t="shared" si="57"/>
        <v>7.8650000000000002</v>
      </c>
      <c r="S926">
        <f t="shared" si="58"/>
        <v>4.7441195168467898</v>
      </c>
      <c r="T926">
        <f t="shared" si="59"/>
        <v>2.8169014084507043E-2</v>
      </c>
      <c r="U926" t="str">
        <f>YEAR('Campaign Data'!$A926)&amp;"-"&amp;TEXT(MONTH('Campaign Data'!$A926),"00")</f>
        <v>2026-02</v>
      </c>
    </row>
    <row r="927" spans="1:21" x14ac:dyDescent="0.25">
      <c r="A927">
        <v>46074</v>
      </c>
      <c r="B927" t="s">
        <v>138</v>
      </c>
      <c r="C927" t="s">
        <v>139</v>
      </c>
      <c r="D927" t="s">
        <v>58</v>
      </c>
      <c r="E927" t="s">
        <v>74</v>
      </c>
      <c r="F927" t="s">
        <v>34</v>
      </c>
      <c r="G927" t="s">
        <v>9</v>
      </c>
      <c r="H927" t="s">
        <v>60</v>
      </c>
      <c r="I927" t="s">
        <v>37</v>
      </c>
      <c r="J927" t="s">
        <v>38</v>
      </c>
      <c r="K927">
        <v>10647</v>
      </c>
      <c r="L927">
        <v>380</v>
      </c>
      <c r="M927">
        <v>353.23</v>
      </c>
      <c r="N927">
        <v>20</v>
      </c>
      <c r="O927">
        <v>3292.19</v>
      </c>
      <c r="P927">
        <f t="shared" si="56"/>
        <v>3.569080492157415E-2</v>
      </c>
      <c r="Q927">
        <f t="shared" si="56"/>
        <v>0.92955263157894741</v>
      </c>
      <c r="R927">
        <f t="shared" si="57"/>
        <v>17.6615</v>
      </c>
      <c r="S927">
        <f t="shared" si="58"/>
        <v>9.3202445998358012</v>
      </c>
      <c r="T927">
        <f t="shared" si="59"/>
        <v>5.2631578947368418E-2</v>
      </c>
      <c r="U927" t="str">
        <f>YEAR('Campaign Data'!$A927)&amp;"-"&amp;TEXT(MONTH('Campaign Data'!$A927),"00")</f>
        <v>2026-02</v>
      </c>
    </row>
    <row r="928" spans="1:21" x14ac:dyDescent="0.25">
      <c r="A928">
        <v>46074</v>
      </c>
      <c r="B928" t="s">
        <v>149</v>
      </c>
      <c r="C928" t="s">
        <v>150</v>
      </c>
      <c r="D928" t="s">
        <v>65</v>
      </c>
      <c r="E928" t="s">
        <v>33</v>
      </c>
      <c r="F928" t="s">
        <v>43</v>
      </c>
      <c r="G928" t="s">
        <v>59</v>
      </c>
      <c r="H928" t="s">
        <v>51</v>
      </c>
      <c r="I928" t="s">
        <v>37</v>
      </c>
      <c r="J928" t="s">
        <v>38</v>
      </c>
      <c r="K928">
        <v>3356</v>
      </c>
      <c r="L928">
        <v>31</v>
      </c>
      <c r="M928">
        <v>16.36</v>
      </c>
      <c r="N928">
        <v>2</v>
      </c>
      <c r="O928">
        <v>30.83</v>
      </c>
      <c r="P928">
        <f t="shared" si="56"/>
        <v>9.2371871275327769E-3</v>
      </c>
      <c r="Q928">
        <f t="shared" si="56"/>
        <v>0.52774193548387094</v>
      </c>
      <c r="R928">
        <f t="shared" si="57"/>
        <v>8.18</v>
      </c>
      <c r="S928">
        <f t="shared" si="58"/>
        <v>1.8844743276283618</v>
      </c>
      <c r="T928">
        <f t="shared" si="59"/>
        <v>6.4516129032258063E-2</v>
      </c>
      <c r="U928" t="str">
        <f>YEAR('Campaign Data'!$A928)&amp;"-"&amp;TEXT(MONTH('Campaign Data'!$A928),"00")</f>
        <v>2026-02</v>
      </c>
    </row>
    <row r="929" spans="1:21" x14ac:dyDescent="0.25">
      <c r="A929">
        <v>46074</v>
      </c>
      <c r="B929" t="s">
        <v>149</v>
      </c>
      <c r="C929" t="s">
        <v>150</v>
      </c>
      <c r="D929" t="s">
        <v>65</v>
      </c>
      <c r="E929" t="s">
        <v>33</v>
      </c>
      <c r="F929" t="s">
        <v>43</v>
      </c>
      <c r="G929" t="s">
        <v>59</v>
      </c>
      <c r="H929" t="s">
        <v>90</v>
      </c>
      <c r="I929" t="s">
        <v>28</v>
      </c>
      <c r="J929" t="s">
        <v>62</v>
      </c>
      <c r="K929">
        <v>5068</v>
      </c>
      <c r="L929">
        <v>56</v>
      </c>
      <c r="M929">
        <v>13.23</v>
      </c>
      <c r="N929">
        <v>2</v>
      </c>
      <c r="O929">
        <v>11.4</v>
      </c>
      <c r="P929">
        <f t="shared" si="56"/>
        <v>1.1049723756906077E-2</v>
      </c>
      <c r="Q929">
        <f t="shared" si="56"/>
        <v>0.23625000000000002</v>
      </c>
      <c r="R929">
        <f t="shared" si="57"/>
        <v>6.6150000000000002</v>
      </c>
      <c r="S929">
        <f t="shared" si="58"/>
        <v>0.86167800453514742</v>
      </c>
      <c r="T929">
        <f t="shared" si="59"/>
        <v>3.5714285714285712E-2</v>
      </c>
      <c r="U929" t="str">
        <f>YEAR('Campaign Data'!$A929)&amp;"-"&amp;TEXT(MONTH('Campaign Data'!$A929),"00")</f>
        <v>2026-02</v>
      </c>
    </row>
    <row r="930" spans="1:21" x14ac:dyDescent="0.25">
      <c r="A930">
        <v>46074</v>
      </c>
      <c r="B930" t="s">
        <v>91</v>
      </c>
      <c r="C930" t="s">
        <v>92</v>
      </c>
      <c r="D930" t="s">
        <v>41</v>
      </c>
      <c r="E930" t="s">
        <v>74</v>
      </c>
      <c r="F930" t="s">
        <v>75</v>
      </c>
      <c r="G930" t="s">
        <v>9</v>
      </c>
      <c r="H930" t="s">
        <v>51</v>
      </c>
      <c r="I930" t="s">
        <v>37</v>
      </c>
      <c r="J930" t="s">
        <v>87</v>
      </c>
      <c r="K930">
        <v>13537</v>
      </c>
      <c r="L930">
        <v>324</v>
      </c>
      <c r="M930">
        <v>508.05</v>
      </c>
      <c r="N930">
        <v>12</v>
      </c>
      <c r="O930">
        <v>432.01</v>
      </c>
      <c r="P930">
        <f t="shared" si="56"/>
        <v>2.3934402009307822E-2</v>
      </c>
      <c r="Q930">
        <f t="shared" si="56"/>
        <v>1.5680555555555555</v>
      </c>
      <c r="R930">
        <f t="shared" si="57"/>
        <v>42.337499999999999</v>
      </c>
      <c r="S930">
        <f t="shared" si="58"/>
        <v>0.85032969195945274</v>
      </c>
      <c r="T930">
        <f t="shared" si="59"/>
        <v>3.7037037037037035E-2</v>
      </c>
      <c r="U930" t="str">
        <f>YEAR('Campaign Data'!$A930)&amp;"-"&amp;TEXT(MONTH('Campaign Data'!$A930),"00")</f>
        <v>2026-02</v>
      </c>
    </row>
    <row r="931" spans="1:21" x14ac:dyDescent="0.25">
      <c r="A931">
        <v>46074</v>
      </c>
      <c r="B931" t="s">
        <v>151</v>
      </c>
      <c r="C931" t="s">
        <v>152</v>
      </c>
      <c r="D931" t="s">
        <v>48</v>
      </c>
      <c r="E931" t="s">
        <v>24</v>
      </c>
      <c r="F931" t="s">
        <v>81</v>
      </c>
      <c r="G931" t="s">
        <v>129</v>
      </c>
      <c r="H931" t="s">
        <v>90</v>
      </c>
      <c r="I931" t="s">
        <v>37</v>
      </c>
      <c r="J931" t="s">
        <v>29</v>
      </c>
      <c r="K931">
        <v>10232</v>
      </c>
      <c r="L931">
        <v>88</v>
      </c>
      <c r="M931">
        <v>27.98</v>
      </c>
      <c r="N931">
        <v>2</v>
      </c>
      <c r="O931">
        <v>12</v>
      </c>
      <c r="P931">
        <f t="shared" si="56"/>
        <v>8.6004691164972627E-3</v>
      </c>
      <c r="Q931">
        <f t="shared" si="56"/>
        <v>0.31795454545454543</v>
      </c>
      <c r="R931">
        <f t="shared" si="57"/>
        <v>13.99</v>
      </c>
      <c r="S931">
        <f t="shared" si="58"/>
        <v>0.42887776983559683</v>
      </c>
      <c r="T931">
        <f t="shared" si="59"/>
        <v>2.2727272727272728E-2</v>
      </c>
      <c r="U931" t="str">
        <f>YEAR('Campaign Data'!$A931)&amp;"-"&amp;TEXT(MONTH('Campaign Data'!$A931),"00")</f>
        <v>2026-02</v>
      </c>
    </row>
    <row r="932" spans="1:21" x14ac:dyDescent="0.25">
      <c r="A932">
        <v>46074</v>
      </c>
      <c r="B932" t="s">
        <v>103</v>
      </c>
      <c r="C932" t="s">
        <v>104</v>
      </c>
      <c r="D932" t="s">
        <v>65</v>
      </c>
      <c r="E932" t="s">
        <v>33</v>
      </c>
      <c r="F932" t="s">
        <v>43</v>
      </c>
      <c r="G932" t="s">
        <v>102</v>
      </c>
      <c r="H932" t="s">
        <v>36</v>
      </c>
      <c r="I932" t="s">
        <v>28</v>
      </c>
      <c r="J932" t="s">
        <v>62</v>
      </c>
      <c r="K932">
        <v>2769</v>
      </c>
      <c r="L932">
        <v>32</v>
      </c>
      <c r="M932">
        <v>20.89</v>
      </c>
      <c r="N932">
        <v>0</v>
      </c>
      <c r="O932">
        <v>0</v>
      </c>
      <c r="P932">
        <f t="shared" si="56"/>
        <v>1.155651859877212E-2</v>
      </c>
      <c r="Q932">
        <f t="shared" si="56"/>
        <v>0.65281250000000002</v>
      </c>
      <c r="R932">
        <f t="shared" si="57"/>
        <v>0</v>
      </c>
      <c r="S932">
        <f t="shared" si="58"/>
        <v>0</v>
      </c>
      <c r="T932">
        <f t="shared" si="59"/>
        <v>0</v>
      </c>
      <c r="U932" t="str">
        <f>YEAR('Campaign Data'!$A932)&amp;"-"&amp;TEXT(MONTH('Campaign Data'!$A932),"00")</f>
        <v>2026-02</v>
      </c>
    </row>
    <row r="933" spans="1:21" x14ac:dyDescent="0.25">
      <c r="A933">
        <v>46074</v>
      </c>
      <c r="B933" t="s">
        <v>103</v>
      </c>
      <c r="C933" t="s">
        <v>104</v>
      </c>
      <c r="D933" t="s">
        <v>65</v>
      </c>
      <c r="E933" t="s">
        <v>33</v>
      </c>
      <c r="F933" t="s">
        <v>43</v>
      </c>
      <c r="G933" t="s">
        <v>102</v>
      </c>
      <c r="H933" t="s">
        <v>71</v>
      </c>
      <c r="I933" t="s">
        <v>61</v>
      </c>
      <c r="J933" t="s">
        <v>62</v>
      </c>
      <c r="K933">
        <v>7091</v>
      </c>
      <c r="L933">
        <v>91</v>
      </c>
      <c r="M933">
        <v>47.83</v>
      </c>
      <c r="N933">
        <v>2</v>
      </c>
      <c r="O933">
        <v>44.5</v>
      </c>
      <c r="P933">
        <f t="shared" si="56"/>
        <v>1.2833168805528134E-2</v>
      </c>
      <c r="Q933">
        <f t="shared" si="56"/>
        <v>0.52560439560439554</v>
      </c>
      <c r="R933">
        <f t="shared" si="57"/>
        <v>23.914999999999999</v>
      </c>
      <c r="S933">
        <f t="shared" si="58"/>
        <v>0.93037842358352507</v>
      </c>
      <c r="T933">
        <f t="shared" si="59"/>
        <v>2.197802197802198E-2</v>
      </c>
      <c r="U933" t="str">
        <f>YEAR('Campaign Data'!$A933)&amp;"-"&amp;TEXT(MONTH('Campaign Data'!$A933),"00")</f>
        <v>2026-02</v>
      </c>
    </row>
    <row r="934" spans="1:21" x14ac:dyDescent="0.25">
      <c r="A934">
        <v>46074</v>
      </c>
      <c r="B934" t="s">
        <v>130</v>
      </c>
      <c r="C934" t="s">
        <v>131</v>
      </c>
      <c r="D934" t="s">
        <v>48</v>
      </c>
      <c r="E934" t="s">
        <v>33</v>
      </c>
      <c r="F934" t="s">
        <v>34</v>
      </c>
      <c r="G934" t="s">
        <v>35</v>
      </c>
      <c r="H934" t="s">
        <v>36</v>
      </c>
      <c r="I934" t="s">
        <v>28</v>
      </c>
      <c r="J934" t="s">
        <v>29</v>
      </c>
      <c r="K934">
        <v>4674</v>
      </c>
      <c r="L934">
        <v>28</v>
      </c>
      <c r="M934">
        <v>18.73</v>
      </c>
      <c r="N934">
        <v>0</v>
      </c>
      <c r="O934">
        <v>0</v>
      </c>
      <c r="P934">
        <f t="shared" si="56"/>
        <v>5.9905862216516901E-3</v>
      </c>
      <c r="Q934">
        <f t="shared" si="56"/>
        <v>0.66892857142857143</v>
      </c>
      <c r="R934">
        <f t="shared" si="57"/>
        <v>0</v>
      </c>
      <c r="S934">
        <f t="shared" si="58"/>
        <v>0</v>
      </c>
      <c r="T934">
        <f t="shared" si="59"/>
        <v>0</v>
      </c>
      <c r="U934" t="str">
        <f>YEAR('Campaign Data'!$A934)&amp;"-"&amp;TEXT(MONTH('Campaign Data'!$A934),"00")</f>
        <v>2026-02</v>
      </c>
    </row>
    <row r="935" spans="1:21" x14ac:dyDescent="0.25">
      <c r="A935">
        <v>46074</v>
      </c>
      <c r="B935" t="s">
        <v>177</v>
      </c>
      <c r="C935" t="s">
        <v>178</v>
      </c>
      <c r="D935" t="s">
        <v>41</v>
      </c>
      <c r="E935" t="s">
        <v>49</v>
      </c>
      <c r="F935" t="s">
        <v>34</v>
      </c>
      <c r="G935" t="s">
        <v>107</v>
      </c>
      <c r="H935" t="s">
        <v>90</v>
      </c>
      <c r="I935" t="s">
        <v>37</v>
      </c>
      <c r="J935" t="s">
        <v>29</v>
      </c>
      <c r="K935">
        <v>6551</v>
      </c>
      <c r="L935">
        <v>377</v>
      </c>
      <c r="M935">
        <v>140.52000000000001</v>
      </c>
      <c r="N935">
        <v>11</v>
      </c>
      <c r="O935">
        <v>432.31</v>
      </c>
      <c r="P935">
        <f t="shared" si="56"/>
        <v>5.754846588307129E-2</v>
      </c>
      <c r="Q935">
        <f t="shared" si="56"/>
        <v>0.37273209549071623</v>
      </c>
      <c r="R935">
        <f t="shared" si="57"/>
        <v>12.774545454545455</v>
      </c>
      <c r="S935">
        <f t="shared" si="58"/>
        <v>3.0765015656134356</v>
      </c>
      <c r="T935">
        <f t="shared" si="59"/>
        <v>2.9177718832891247E-2</v>
      </c>
      <c r="U935" t="str">
        <f>YEAR('Campaign Data'!$A935)&amp;"-"&amp;TEXT(MONTH('Campaign Data'!$A935),"00")</f>
        <v>2026-02</v>
      </c>
    </row>
    <row r="936" spans="1:21" x14ac:dyDescent="0.25">
      <c r="A936">
        <v>46074</v>
      </c>
      <c r="B936" t="s">
        <v>153</v>
      </c>
      <c r="C936" t="s">
        <v>154</v>
      </c>
      <c r="D936" t="s">
        <v>48</v>
      </c>
      <c r="E936" t="s">
        <v>33</v>
      </c>
      <c r="F936" t="s">
        <v>43</v>
      </c>
      <c r="G936" t="s">
        <v>59</v>
      </c>
      <c r="H936" t="s">
        <v>90</v>
      </c>
      <c r="I936" t="s">
        <v>37</v>
      </c>
      <c r="J936" t="s">
        <v>62</v>
      </c>
      <c r="K936">
        <v>6840</v>
      </c>
      <c r="L936">
        <v>70</v>
      </c>
      <c r="M936">
        <v>8.14</v>
      </c>
      <c r="N936">
        <v>1</v>
      </c>
      <c r="O936">
        <v>8.59</v>
      </c>
      <c r="P936">
        <f t="shared" si="56"/>
        <v>1.023391812865497E-2</v>
      </c>
      <c r="Q936">
        <f t="shared" si="56"/>
        <v>0.1162857142857143</v>
      </c>
      <c r="R936">
        <f t="shared" si="57"/>
        <v>8.14</v>
      </c>
      <c r="S936">
        <f t="shared" si="58"/>
        <v>1.0552825552825551</v>
      </c>
      <c r="T936">
        <f t="shared" si="59"/>
        <v>1.4285714285714285E-2</v>
      </c>
      <c r="U936" t="str">
        <f>YEAR('Campaign Data'!$A936)&amp;"-"&amp;TEXT(MONTH('Campaign Data'!$A936),"00")</f>
        <v>2026-02</v>
      </c>
    </row>
    <row r="937" spans="1:21" x14ac:dyDescent="0.25">
      <c r="A937">
        <v>46074</v>
      </c>
      <c r="B937" t="s">
        <v>155</v>
      </c>
      <c r="C937" t="s">
        <v>156</v>
      </c>
      <c r="D937" t="s">
        <v>32</v>
      </c>
      <c r="E937" t="s">
        <v>24</v>
      </c>
      <c r="F937" t="s">
        <v>34</v>
      </c>
      <c r="G937" t="s">
        <v>129</v>
      </c>
      <c r="H937" t="s">
        <v>60</v>
      </c>
      <c r="I937" t="s">
        <v>37</v>
      </c>
      <c r="J937" t="s">
        <v>62</v>
      </c>
      <c r="K937">
        <v>3173</v>
      </c>
      <c r="L937">
        <v>58</v>
      </c>
      <c r="M937">
        <v>74.209999999999994</v>
      </c>
      <c r="N937">
        <v>0</v>
      </c>
      <c r="O937">
        <v>0</v>
      </c>
      <c r="P937">
        <f t="shared" si="56"/>
        <v>1.8279231011660887E-2</v>
      </c>
      <c r="Q937">
        <f t="shared" si="56"/>
        <v>1.2794827586206896</v>
      </c>
      <c r="R937">
        <f t="shared" si="57"/>
        <v>0</v>
      </c>
      <c r="S937">
        <f t="shared" si="58"/>
        <v>0</v>
      </c>
      <c r="T937">
        <f t="shared" si="59"/>
        <v>0</v>
      </c>
      <c r="U937" t="str">
        <f>YEAR('Campaign Data'!$A937)&amp;"-"&amp;TEXT(MONTH('Campaign Data'!$A937),"00")</f>
        <v>2026-02</v>
      </c>
    </row>
    <row r="938" spans="1:21" x14ac:dyDescent="0.25">
      <c r="A938">
        <v>46074</v>
      </c>
      <c r="B938" t="s">
        <v>155</v>
      </c>
      <c r="C938" t="s">
        <v>156</v>
      </c>
      <c r="D938" t="s">
        <v>32</v>
      </c>
      <c r="E938" t="s">
        <v>24</v>
      </c>
      <c r="F938" t="s">
        <v>34</v>
      </c>
      <c r="G938" t="s">
        <v>129</v>
      </c>
      <c r="H938" t="s">
        <v>27</v>
      </c>
      <c r="I938" t="s">
        <v>28</v>
      </c>
      <c r="J938" t="s">
        <v>45</v>
      </c>
      <c r="K938">
        <v>6436</v>
      </c>
      <c r="L938">
        <v>82</v>
      </c>
      <c r="M938">
        <v>66.39</v>
      </c>
      <c r="N938">
        <v>2</v>
      </c>
      <c r="O938">
        <v>218.5</v>
      </c>
      <c r="P938">
        <f t="shared" si="56"/>
        <v>1.27408328154133E-2</v>
      </c>
      <c r="Q938">
        <f t="shared" si="56"/>
        <v>0.80963414634146347</v>
      </c>
      <c r="R938">
        <f t="shared" si="57"/>
        <v>33.195</v>
      </c>
      <c r="S938">
        <f t="shared" si="58"/>
        <v>3.2911583069739416</v>
      </c>
      <c r="T938">
        <f t="shared" si="59"/>
        <v>2.4390243902439025E-2</v>
      </c>
      <c r="U938" t="str">
        <f>YEAR('Campaign Data'!$A938)&amp;"-"&amp;TEXT(MONTH('Campaign Data'!$A938),"00")</f>
        <v>2026-02</v>
      </c>
    </row>
    <row r="939" spans="1:21" x14ac:dyDescent="0.25">
      <c r="A939">
        <v>46074</v>
      </c>
      <c r="B939" t="s">
        <v>159</v>
      </c>
      <c r="C939" t="s">
        <v>160</v>
      </c>
      <c r="D939" t="s">
        <v>65</v>
      </c>
      <c r="E939" t="s">
        <v>42</v>
      </c>
      <c r="F939" t="s">
        <v>75</v>
      </c>
      <c r="G939" t="s">
        <v>54</v>
      </c>
      <c r="H939" t="s">
        <v>27</v>
      </c>
      <c r="I939" t="s">
        <v>37</v>
      </c>
      <c r="J939" t="s">
        <v>45</v>
      </c>
      <c r="K939">
        <v>3663</v>
      </c>
      <c r="L939">
        <v>31</v>
      </c>
      <c r="M939">
        <v>238.9</v>
      </c>
      <c r="N939">
        <v>2</v>
      </c>
      <c r="O939">
        <v>90.3</v>
      </c>
      <c r="P939">
        <f t="shared" si="56"/>
        <v>8.4630084630084625E-3</v>
      </c>
      <c r="Q939">
        <f t="shared" si="56"/>
        <v>7.7064516129032263</v>
      </c>
      <c r="R939">
        <f t="shared" si="57"/>
        <v>119.45</v>
      </c>
      <c r="S939">
        <f t="shared" si="58"/>
        <v>0.37798241942235244</v>
      </c>
      <c r="T939">
        <f t="shared" si="59"/>
        <v>6.4516129032258063E-2</v>
      </c>
      <c r="U939" t="str">
        <f>YEAR('Campaign Data'!$A939)&amp;"-"&amp;TEXT(MONTH('Campaign Data'!$A939),"00")</f>
        <v>2026-02</v>
      </c>
    </row>
    <row r="940" spans="1:21" x14ac:dyDescent="0.25">
      <c r="A940">
        <v>46074</v>
      </c>
      <c r="B940" t="s">
        <v>114</v>
      </c>
      <c r="C940" t="s">
        <v>115</v>
      </c>
      <c r="D940" t="s">
        <v>69</v>
      </c>
      <c r="E940" t="s">
        <v>49</v>
      </c>
      <c r="F940" t="s">
        <v>25</v>
      </c>
      <c r="G940" t="s">
        <v>107</v>
      </c>
      <c r="H940" t="s">
        <v>36</v>
      </c>
      <c r="I940" t="s">
        <v>28</v>
      </c>
      <c r="J940" t="s">
        <v>45</v>
      </c>
      <c r="K940">
        <v>3223</v>
      </c>
      <c r="L940">
        <v>144</v>
      </c>
      <c r="M940">
        <v>259.94</v>
      </c>
      <c r="N940">
        <v>13</v>
      </c>
      <c r="O940">
        <v>2288.84</v>
      </c>
      <c r="P940">
        <f t="shared" si="56"/>
        <v>4.4678870617437173E-2</v>
      </c>
      <c r="Q940">
        <f t="shared" si="56"/>
        <v>1.8051388888888888</v>
      </c>
      <c r="R940">
        <f t="shared" si="57"/>
        <v>19.995384615384616</v>
      </c>
      <c r="S940">
        <f t="shared" si="58"/>
        <v>8.805262752942987</v>
      </c>
      <c r="T940">
        <f t="shared" si="59"/>
        <v>9.0277777777777776E-2</v>
      </c>
      <c r="U940" t="str">
        <f>YEAR('Campaign Data'!$A940)&amp;"-"&amp;TEXT(MONTH('Campaign Data'!$A940),"00")</f>
        <v>2026-02</v>
      </c>
    </row>
    <row r="941" spans="1:21" x14ac:dyDescent="0.25">
      <c r="A941">
        <v>46074</v>
      </c>
      <c r="B941" t="s">
        <v>63</v>
      </c>
      <c r="C941" t="s">
        <v>64</v>
      </c>
      <c r="D941" t="s">
        <v>65</v>
      </c>
      <c r="E941" t="s">
        <v>24</v>
      </c>
      <c r="F941" t="s">
        <v>43</v>
      </c>
      <c r="G941" t="s">
        <v>66</v>
      </c>
      <c r="H941" t="s">
        <v>51</v>
      </c>
      <c r="I941" t="s">
        <v>37</v>
      </c>
      <c r="J941" t="s">
        <v>87</v>
      </c>
      <c r="K941">
        <v>6273</v>
      </c>
      <c r="L941">
        <v>60</v>
      </c>
      <c r="M941">
        <v>57.98</v>
      </c>
      <c r="N941">
        <v>1</v>
      </c>
      <c r="O941">
        <v>30.46</v>
      </c>
      <c r="P941">
        <f t="shared" si="56"/>
        <v>9.5648015303682454E-3</v>
      </c>
      <c r="Q941">
        <f t="shared" si="56"/>
        <v>0.96633333333333327</v>
      </c>
      <c r="R941">
        <f t="shared" si="57"/>
        <v>57.98</v>
      </c>
      <c r="S941">
        <f t="shared" si="58"/>
        <v>0.52535357019661955</v>
      </c>
      <c r="T941">
        <f t="shared" si="59"/>
        <v>1.6666666666666666E-2</v>
      </c>
      <c r="U941" t="str">
        <f>YEAR('Campaign Data'!$A941)&amp;"-"&amp;TEXT(MONTH('Campaign Data'!$A941),"00")</f>
        <v>2026-02</v>
      </c>
    </row>
    <row r="942" spans="1:21" x14ac:dyDescent="0.25">
      <c r="A942">
        <v>46074</v>
      </c>
      <c r="B942" t="s">
        <v>72</v>
      </c>
      <c r="C942" t="s">
        <v>73</v>
      </c>
      <c r="D942" t="s">
        <v>69</v>
      </c>
      <c r="E942" t="s">
        <v>74</v>
      </c>
      <c r="F942" t="s">
        <v>75</v>
      </c>
      <c r="G942" t="s">
        <v>9</v>
      </c>
      <c r="H942" t="s">
        <v>71</v>
      </c>
      <c r="I942" t="s">
        <v>37</v>
      </c>
      <c r="J942" t="s">
        <v>45</v>
      </c>
      <c r="K942">
        <v>10985</v>
      </c>
      <c r="L942">
        <v>298</v>
      </c>
      <c r="M942">
        <v>358.31</v>
      </c>
      <c r="N942">
        <v>6</v>
      </c>
      <c r="O942">
        <v>115.31</v>
      </c>
      <c r="P942">
        <f t="shared" si="56"/>
        <v>2.7127901684114702E-2</v>
      </c>
      <c r="Q942">
        <f t="shared" si="56"/>
        <v>1.2023825503355705</v>
      </c>
      <c r="R942">
        <f t="shared" si="57"/>
        <v>59.718333333333334</v>
      </c>
      <c r="S942">
        <f t="shared" si="58"/>
        <v>0.32181630431749042</v>
      </c>
      <c r="T942">
        <f t="shared" si="59"/>
        <v>2.0134228187919462E-2</v>
      </c>
      <c r="U942" t="str">
        <f>YEAR('Campaign Data'!$A942)&amp;"-"&amp;TEXT(MONTH('Campaign Data'!$A942),"00")</f>
        <v>2026-02</v>
      </c>
    </row>
    <row r="943" spans="1:21" x14ac:dyDescent="0.25">
      <c r="A943">
        <v>46074</v>
      </c>
      <c r="B943" t="s">
        <v>118</v>
      </c>
      <c r="C943" t="s">
        <v>119</v>
      </c>
      <c r="D943" t="s">
        <v>69</v>
      </c>
      <c r="E943" t="s">
        <v>33</v>
      </c>
      <c r="F943" t="s">
        <v>34</v>
      </c>
      <c r="G943" t="s">
        <v>35</v>
      </c>
      <c r="H943" t="s">
        <v>60</v>
      </c>
      <c r="I943" t="s">
        <v>28</v>
      </c>
      <c r="J943" t="s">
        <v>62</v>
      </c>
      <c r="K943">
        <v>9126</v>
      </c>
      <c r="L943">
        <v>109</v>
      </c>
      <c r="M943">
        <v>81.33</v>
      </c>
      <c r="N943">
        <v>3</v>
      </c>
      <c r="O943">
        <v>541.51</v>
      </c>
      <c r="P943">
        <f t="shared" si="56"/>
        <v>1.1943896559281174E-2</v>
      </c>
      <c r="Q943">
        <f t="shared" si="56"/>
        <v>0.74614678899082565</v>
      </c>
      <c r="R943">
        <f t="shared" si="57"/>
        <v>27.11</v>
      </c>
      <c r="S943">
        <f t="shared" si="58"/>
        <v>6.658182712406246</v>
      </c>
      <c r="T943">
        <f t="shared" si="59"/>
        <v>2.7522935779816515E-2</v>
      </c>
      <c r="U943" t="str">
        <f>YEAR('Campaign Data'!$A943)&amp;"-"&amp;TEXT(MONTH('Campaign Data'!$A943),"00")</f>
        <v>2026-02</v>
      </c>
    </row>
    <row r="944" spans="1:21" x14ac:dyDescent="0.25">
      <c r="A944">
        <v>46074</v>
      </c>
      <c r="B944" t="s">
        <v>78</v>
      </c>
      <c r="C944" t="s">
        <v>79</v>
      </c>
      <c r="D944" t="s">
        <v>80</v>
      </c>
      <c r="E944" t="s">
        <v>24</v>
      </c>
      <c r="F944" t="s">
        <v>81</v>
      </c>
      <c r="G944" t="s">
        <v>66</v>
      </c>
      <c r="H944" t="s">
        <v>27</v>
      </c>
      <c r="I944" t="s">
        <v>37</v>
      </c>
      <c r="J944" t="s">
        <v>38</v>
      </c>
      <c r="K944">
        <v>5826</v>
      </c>
      <c r="L944">
        <v>60</v>
      </c>
      <c r="M944">
        <v>55.65</v>
      </c>
      <c r="N944">
        <v>4</v>
      </c>
      <c r="O944">
        <v>135.72999999999999</v>
      </c>
      <c r="P944">
        <f t="shared" si="56"/>
        <v>1.0298661174047374E-2</v>
      </c>
      <c r="Q944">
        <f t="shared" si="56"/>
        <v>0.92749999999999999</v>
      </c>
      <c r="R944">
        <f t="shared" si="57"/>
        <v>13.9125</v>
      </c>
      <c r="S944">
        <f t="shared" si="58"/>
        <v>2.4389937106918236</v>
      </c>
      <c r="T944">
        <f t="shared" si="59"/>
        <v>6.6666666666666666E-2</v>
      </c>
      <c r="U944" t="str">
        <f>YEAR('Campaign Data'!$A944)&amp;"-"&amp;TEXT(MONTH('Campaign Data'!$A944),"00")</f>
        <v>2026-02</v>
      </c>
    </row>
    <row r="945" spans="1:21" x14ac:dyDescent="0.25">
      <c r="A945">
        <v>46074</v>
      </c>
      <c r="B945" t="s">
        <v>122</v>
      </c>
      <c r="C945" t="s">
        <v>123</v>
      </c>
      <c r="D945" t="s">
        <v>41</v>
      </c>
      <c r="E945" t="s">
        <v>33</v>
      </c>
      <c r="F945" t="s">
        <v>75</v>
      </c>
      <c r="G945" t="s">
        <v>35</v>
      </c>
      <c r="H945" t="s">
        <v>27</v>
      </c>
      <c r="I945" t="s">
        <v>28</v>
      </c>
      <c r="J945" t="s">
        <v>62</v>
      </c>
      <c r="K945">
        <v>4923</v>
      </c>
      <c r="L945">
        <v>38</v>
      </c>
      <c r="M945">
        <v>36.92</v>
      </c>
      <c r="N945">
        <v>0</v>
      </c>
      <c r="O945">
        <v>0</v>
      </c>
      <c r="P945">
        <f t="shared" si="56"/>
        <v>7.7188706073532398E-3</v>
      </c>
      <c r="Q945">
        <f t="shared" si="56"/>
        <v>0.9715789473684211</v>
      </c>
      <c r="R945">
        <f t="shared" si="57"/>
        <v>0</v>
      </c>
      <c r="S945">
        <f t="shared" si="58"/>
        <v>0</v>
      </c>
      <c r="T945">
        <f t="shared" si="59"/>
        <v>0</v>
      </c>
      <c r="U945" t="str">
        <f>YEAR('Campaign Data'!$A945)&amp;"-"&amp;TEXT(MONTH('Campaign Data'!$A945),"00")</f>
        <v>2026-02</v>
      </c>
    </row>
    <row r="946" spans="1:21" x14ac:dyDescent="0.25">
      <c r="A946">
        <v>46075</v>
      </c>
      <c r="B946" t="s">
        <v>167</v>
      </c>
      <c r="C946" t="s">
        <v>168</v>
      </c>
      <c r="D946" t="s">
        <v>58</v>
      </c>
      <c r="E946" t="s">
        <v>33</v>
      </c>
      <c r="F946" t="s">
        <v>75</v>
      </c>
      <c r="G946" t="s">
        <v>35</v>
      </c>
      <c r="H946" t="s">
        <v>60</v>
      </c>
      <c r="I946" t="s">
        <v>28</v>
      </c>
      <c r="J946" t="s">
        <v>62</v>
      </c>
      <c r="K946">
        <v>19490</v>
      </c>
      <c r="L946">
        <v>207</v>
      </c>
      <c r="M946">
        <v>115.62</v>
      </c>
      <c r="N946">
        <v>2</v>
      </c>
      <c r="O946">
        <v>51.71</v>
      </c>
      <c r="P946">
        <f t="shared" si="56"/>
        <v>1.0620831195484863E-2</v>
      </c>
      <c r="Q946">
        <f t="shared" si="56"/>
        <v>0.55855072463768118</v>
      </c>
      <c r="R946">
        <f t="shared" si="57"/>
        <v>57.81</v>
      </c>
      <c r="S946">
        <f t="shared" si="58"/>
        <v>0.44724096177131983</v>
      </c>
      <c r="T946">
        <f t="shared" si="59"/>
        <v>9.6618357487922701E-3</v>
      </c>
      <c r="U946" t="str">
        <f>YEAR('Campaign Data'!$A946)&amp;"-"&amp;TEXT(MONTH('Campaign Data'!$A946),"00")</f>
        <v>2026-02</v>
      </c>
    </row>
    <row r="947" spans="1:21" x14ac:dyDescent="0.25">
      <c r="A947">
        <v>46075</v>
      </c>
      <c r="B947" t="s">
        <v>147</v>
      </c>
      <c r="C947" t="s">
        <v>148</v>
      </c>
      <c r="D947" t="s">
        <v>23</v>
      </c>
      <c r="E947" t="s">
        <v>42</v>
      </c>
      <c r="F947" t="s">
        <v>75</v>
      </c>
      <c r="G947" t="s">
        <v>44</v>
      </c>
      <c r="H947" t="s">
        <v>90</v>
      </c>
      <c r="I947" t="s">
        <v>28</v>
      </c>
      <c r="J947" t="s">
        <v>62</v>
      </c>
      <c r="K947">
        <v>4605</v>
      </c>
      <c r="L947">
        <v>32</v>
      </c>
      <c r="M947">
        <v>65.8</v>
      </c>
      <c r="N947">
        <v>0</v>
      </c>
      <c r="O947">
        <v>0</v>
      </c>
      <c r="P947">
        <f t="shared" si="56"/>
        <v>6.9489685124864281E-3</v>
      </c>
      <c r="Q947">
        <f t="shared" si="56"/>
        <v>2.0562499999999999</v>
      </c>
      <c r="R947">
        <f t="shared" si="57"/>
        <v>0</v>
      </c>
      <c r="S947">
        <f t="shared" si="58"/>
        <v>0</v>
      </c>
      <c r="T947">
        <f t="shared" si="59"/>
        <v>0</v>
      </c>
      <c r="U947" t="str">
        <f>YEAR('Campaign Data'!$A947)&amp;"-"&amp;TEXT(MONTH('Campaign Data'!$A947),"00")</f>
        <v>2026-02</v>
      </c>
    </row>
    <row r="948" spans="1:21" x14ac:dyDescent="0.25">
      <c r="A948">
        <v>46075</v>
      </c>
      <c r="B948" t="s">
        <v>93</v>
      </c>
      <c r="C948" t="s">
        <v>94</v>
      </c>
      <c r="D948" t="s">
        <v>69</v>
      </c>
      <c r="E948" t="s">
        <v>42</v>
      </c>
      <c r="F948" t="s">
        <v>75</v>
      </c>
      <c r="G948" t="s">
        <v>44</v>
      </c>
      <c r="H948" t="s">
        <v>60</v>
      </c>
      <c r="I948" t="s">
        <v>37</v>
      </c>
      <c r="J948" t="s">
        <v>87</v>
      </c>
      <c r="K948">
        <v>7758</v>
      </c>
      <c r="L948">
        <v>55</v>
      </c>
      <c r="M948">
        <v>295.36</v>
      </c>
      <c r="N948">
        <v>3</v>
      </c>
      <c r="O948">
        <v>61.52</v>
      </c>
      <c r="P948">
        <f t="shared" si="56"/>
        <v>7.0894560453725183E-3</v>
      </c>
      <c r="Q948">
        <f t="shared" si="56"/>
        <v>5.3701818181818188</v>
      </c>
      <c r="R948">
        <f t="shared" si="57"/>
        <v>98.453333333333333</v>
      </c>
      <c r="S948">
        <f t="shared" si="58"/>
        <v>0.20828819068255688</v>
      </c>
      <c r="T948">
        <f t="shared" si="59"/>
        <v>5.4545454545454543E-2</v>
      </c>
      <c r="U948" t="str">
        <f>YEAR('Campaign Data'!$A948)&amp;"-"&amp;TEXT(MONTH('Campaign Data'!$A948),"00")</f>
        <v>2026-02</v>
      </c>
    </row>
    <row r="949" spans="1:21" x14ac:dyDescent="0.25">
      <c r="A949">
        <v>46075</v>
      </c>
      <c r="B949" t="s">
        <v>93</v>
      </c>
      <c r="C949" t="s">
        <v>94</v>
      </c>
      <c r="D949" t="s">
        <v>69</v>
      </c>
      <c r="E949" t="s">
        <v>42</v>
      </c>
      <c r="F949" t="s">
        <v>75</v>
      </c>
      <c r="G949" t="s">
        <v>44</v>
      </c>
      <c r="H949" t="s">
        <v>36</v>
      </c>
      <c r="I949" t="s">
        <v>37</v>
      </c>
      <c r="J949" t="s">
        <v>87</v>
      </c>
      <c r="K949">
        <v>2927</v>
      </c>
      <c r="L949">
        <v>17</v>
      </c>
      <c r="M949">
        <v>74.209999999999994</v>
      </c>
      <c r="N949">
        <v>0</v>
      </c>
      <c r="O949">
        <v>0</v>
      </c>
      <c r="P949">
        <f t="shared" si="56"/>
        <v>5.8079945336522035E-3</v>
      </c>
      <c r="Q949">
        <f t="shared" si="56"/>
        <v>4.3652941176470588</v>
      </c>
      <c r="R949">
        <f t="shared" si="57"/>
        <v>0</v>
      </c>
      <c r="S949">
        <f t="shared" si="58"/>
        <v>0</v>
      </c>
      <c r="T949">
        <f t="shared" si="59"/>
        <v>0</v>
      </c>
      <c r="U949" t="str">
        <f>YEAR('Campaign Data'!$A949)&amp;"-"&amp;TEXT(MONTH('Campaign Data'!$A949),"00")</f>
        <v>2026-02</v>
      </c>
    </row>
    <row r="950" spans="1:21" x14ac:dyDescent="0.25">
      <c r="A950">
        <v>46075</v>
      </c>
      <c r="B950" t="s">
        <v>95</v>
      </c>
      <c r="C950" t="s">
        <v>96</v>
      </c>
      <c r="D950" t="s">
        <v>23</v>
      </c>
      <c r="E950" t="s">
        <v>49</v>
      </c>
      <c r="F950" t="s">
        <v>43</v>
      </c>
      <c r="G950" t="s">
        <v>97</v>
      </c>
      <c r="H950" t="s">
        <v>27</v>
      </c>
      <c r="I950" t="s">
        <v>37</v>
      </c>
      <c r="J950" t="s">
        <v>87</v>
      </c>
      <c r="K950">
        <v>10274</v>
      </c>
      <c r="L950">
        <v>523</v>
      </c>
      <c r="M950">
        <v>849.38</v>
      </c>
      <c r="N950">
        <v>17</v>
      </c>
      <c r="O950">
        <v>560.07000000000005</v>
      </c>
      <c r="P950">
        <f t="shared" si="56"/>
        <v>5.0905197586139768E-2</v>
      </c>
      <c r="Q950">
        <f t="shared" si="56"/>
        <v>1.6240535372848948</v>
      </c>
      <c r="R950">
        <f t="shared" si="57"/>
        <v>49.963529411764704</v>
      </c>
      <c r="S950">
        <f t="shared" si="58"/>
        <v>0.65938684687654525</v>
      </c>
      <c r="T950">
        <f t="shared" si="59"/>
        <v>3.2504780114722756E-2</v>
      </c>
      <c r="U950" t="str">
        <f>YEAR('Campaign Data'!$A950)&amp;"-"&amp;TEXT(MONTH('Campaign Data'!$A950),"00")</f>
        <v>2026-02</v>
      </c>
    </row>
    <row r="951" spans="1:21" x14ac:dyDescent="0.25">
      <c r="A951">
        <v>46075</v>
      </c>
      <c r="B951" t="s">
        <v>52</v>
      </c>
      <c r="C951" t="s">
        <v>53</v>
      </c>
      <c r="D951" t="s">
        <v>32</v>
      </c>
      <c r="E951" t="s">
        <v>42</v>
      </c>
      <c r="F951" t="s">
        <v>25</v>
      </c>
      <c r="G951" t="s">
        <v>54</v>
      </c>
      <c r="H951" t="s">
        <v>27</v>
      </c>
      <c r="I951" t="s">
        <v>37</v>
      </c>
      <c r="J951" t="s">
        <v>45</v>
      </c>
      <c r="K951">
        <v>8213</v>
      </c>
      <c r="L951">
        <v>67</v>
      </c>
      <c r="M951">
        <v>592.87</v>
      </c>
      <c r="N951">
        <v>0</v>
      </c>
      <c r="O951">
        <v>0</v>
      </c>
      <c r="P951">
        <f t="shared" si="56"/>
        <v>8.1577986119566546E-3</v>
      </c>
      <c r="Q951">
        <f t="shared" si="56"/>
        <v>8.8488059701492539</v>
      </c>
      <c r="R951">
        <f t="shared" si="57"/>
        <v>0</v>
      </c>
      <c r="S951">
        <f t="shared" si="58"/>
        <v>0</v>
      </c>
      <c r="T951">
        <f t="shared" si="59"/>
        <v>0</v>
      </c>
      <c r="U951" t="str">
        <f>YEAR('Campaign Data'!$A951)&amp;"-"&amp;TEXT(MONTH('Campaign Data'!$A951),"00")</f>
        <v>2026-02</v>
      </c>
    </row>
    <row r="952" spans="1:21" x14ac:dyDescent="0.25">
      <c r="A952">
        <v>46075</v>
      </c>
      <c r="B952" t="s">
        <v>100</v>
      </c>
      <c r="C952" t="s">
        <v>101</v>
      </c>
      <c r="D952" t="s">
        <v>80</v>
      </c>
      <c r="E952" t="s">
        <v>33</v>
      </c>
      <c r="F952" t="s">
        <v>25</v>
      </c>
      <c r="G952" t="s">
        <v>102</v>
      </c>
      <c r="H952" t="s">
        <v>36</v>
      </c>
      <c r="I952" t="s">
        <v>28</v>
      </c>
      <c r="J952" t="s">
        <v>62</v>
      </c>
      <c r="K952">
        <v>7531</v>
      </c>
      <c r="L952">
        <v>76</v>
      </c>
      <c r="M952">
        <v>53.47</v>
      </c>
      <c r="N952">
        <v>1</v>
      </c>
      <c r="O952">
        <v>176.71</v>
      </c>
      <c r="P952">
        <f t="shared" si="56"/>
        <v>1.0091621298632321E-2</v>
      </c>
      <c r="Q952">
        <f t="shared" si="56"/>
        <v>0.70355263157894732</v>
      </c>
      <c r="R952">
        <f t="shared" si="57"/>
        <v>53.47</v>
      </c>
      <c r="S952">
        <f t="shared" si="58"/>
        <v>3.304843837665981</v>
      </c>
      <c r="T952">
        <f t="shared" si="59"/>
        <v>1.3157894736842105E-2</v>
      </c>
      <c r="U952" t="str">
        <f>YEAR('Campaign Data'!$A952)&amp;"-"&amp;TEXT(MONTH('Campaign Data'!$A952),"00")</f>
        <v>2026-02</v>
      </c>
    </row>
    <row r="953" spans="1:21" x14ac:dyDescent="0.25">
      <c r="A953">
        <v>46075</v>
      </c>
      <c r="B953" t="s">
        <v>155</v>
      </c>
      <c r="C953" t="s">
        <v>156</v>
      </c>
      <c r="D953" t="s">
        <v>32</v>
      </c>
      <c r="E953" t="s">
        <v>24</v>
      </c>
      <c r="F953" t="s">
        <v>34</v>
      </c>
      <c r="G953" t="s">
        <v>129</v>
      </c>
      <c r="H953" t="s">
        <v>90</v>
      </c>
      <c r="I953" t="s">
        <v>37</v>
      </c>
      <c r="J953" t="s">
        <v>29</v>
      </c>
      <c r="K953">
        <v>4250</v>
      </c>
      <c r="L953">
        <v>55</v>
      </c>
      <c r="M953">
        <v>7.75</v>
      </c>
      <c r="N953">
        <v>2</v>
      </c>
      <c r="O953">
        <v>79.58</v>
      </c>
      <c r="P953">
        <f t="shared" si="56"/>
        <v>1.2941176470588235E-2</v>
      </c>
      <c r="Q953">
        <f t="shared" si="56"/>
        <v>0.1409090909090909</v>
      </c>
      <c r="R953">
        <f t="shared" si="57"/>
        <v>3.875</v>
      </c>
      <c r="S953">
        <f t="shared" si="58"/>
        <v>10.268387096774193</v>
      </c>
      <c r="T953">
        <f t="shared" si="59"/>
        <v>3.6363636363636362E-2</v>
      </c>
      <c r="U953" t="str">
        <f>YEAR('Campaign Data'!$A953)&amp;"-"&amp;TEXT(MONTH('Campaign Data'!$A953),"00")</f>
        <v>2026-02</v>
      </c>
    </row>
    <row r="954" spans="1:21" x14ac:dyDescent="0.25">
      <c r="A954">
        <v>46075</v>
      </c>
      <c r="B954" t="s">
        <v>161</v>
      </c>
      <c r="C954" t="s">
        <v>162</v>
      </c>
      <c r="D954" t="s">
        <v>48</v>
      </c>
      <c r="E954" t="s">
        <v>74</v>
      </c>
      <c r="F954" t="s">
        <v>34</v>
      </c>
      <c r="G954" t="s">
        <v>107</v>
      </c>
      <c r="H954" t="s">
        <v>27</v>
      </c>
      <c r="I954" t="s">
        <v>37</v>
      </c>
      <c r="J954" t="s">
        <v>62</v>
      </c>
      <c r="K954">
        <v>11502</v>
      </c>
      <c r="L954">
        <v>562</v>
      </c>
      <c r="M954">
        <v>1010.13</v>
      </c>
      <c r="N954">
        <v>22</v>
      </c>
      <c r="O954">
        <v>2362.87</v>
      </c>
      <c r="P954">
        <f t="shared" si="56"/>
        <v>4.8861067640410365E-2</v>
      </c>
      <c r="Q954">
        <f t="shared" si="56"/>
        <v>1.7973843416370108</v>
      </c>
      <c r="R954">
        <f t="shared" si="57"/>
        <v>45.914999999999999</v>
      </c>
      <c r="S954">
        <f t="shared" si="58"/>
        <v>2.3391741657014444</v>
      </c>
      <c r="T954">
        <f t="shared" si="59"/>
        <v>3.9145907473309607E-2</v>
      </c>
      <c r="U954" t="str">
        <f>YEAR('Campaign Data'!$A954)&amp;"-"&amp;TEXT(MONTH('Campaign Data'!$A954),"00")</f>
        <v>2026-02</v>
      </c>
    </row>
    <row r="955" spans="1:21" x14ac:dyDescent="0.25">
      <c r="A955">
        <v>46075</v>
      </c>
      <c r="B955" t="s">
        <v>161</v>
      </c>
      <c r="C955" t="s">
        <v>162</v>
      </c>
      <c r="D955" t="s">
        <v>48</v>
      </c>
      <c r="E955" t="s">
        <v>74</v>
      </c>
      <c r="F955" t="s">
        <v>34</v>
      </c>
      <c r="G955" t="s">
        <v>107</v>
      </c>
      <c r="H955" t="s">
        <v>90</v>
      </c>
      <c r="I955" t="s">
        <v>37</v>
      </c>
      <c r="J955" t="s">
        <v>45</v>
      </c>
      <c r="K955">
        <v>15074</v>
      </c>
      <c r="L955">
        <v>490</v>
      </c>
      <c r="M955">
        <v>147.58000000000001</v>
      </c>
      <c r="N955">
        <v>26</v>
      </c>
      <c r="O955">
        <v>801.26</v>
      </c>
      <c r="P955">
        <f t="shared" si="56"/>
        <v>3.2506302242271461E-2</v>
      </c>
      <c r="Q955">
        <f t="shared" si="56"/>
        <v>0.30118367346938779</v>
      </c>
      <c r="R955">
        <f t="shared" si="57"/>
        <v>5.6761538461538468</v>
      </c>
      <c r="S955">
        <f t="shared" si="58"/>
        <v>5.4293264670009478</v>
      </c>
      <c r="T955">
        <f t="shared" si="59"/>
        <v>5.3061224489795916E-2</v>
      </c>
      <c r="U955" t="str">
        <f>YEAR('Campaign Data'!$A955)&amp;"-"&amp;TEXT(MONTH('Campaign Data'!$A955),"00")</f>
        <v>2026-02</v>
      </c>
    </row>
    <row r="956" spans="1:21" x14ac:dyDescent="0.25">
      <c r="A956">
        <v>46075</v>
      </c>
      <c r="B956" t="s">
        <v>114</v>
      </c>
      <c r="C956" t="s">
        <v>115</v>
      </c>
      <c r="D956" t="s">
        <v>69</v>
      </c>
      <c r="E956" t="s">
        <v>49</v>
      </c>
      <c r="F956" t="s">
        <v>25</v>
      </c>
      <c r="G956" t="s">
        <v>107</v>
      </c>
      <c r="H956" t="s">
        <v>90</v>
      </c>
      <c r="I956" t="s">
        <v>37</v>
      </c>
      <c r="J956" t="s">
        <v>62</v>
      </c>
      <c r="K956">
        <v>20661</v>
      </c>
      <c r="L956">
        <v>1369</v>
      </c>
      <c r="M956">
        <v>662.1</v>
      </c>
      <c r="N956">
        <v>110</v>
      </c>
      <c r="O956">
        <v>3333.47</v>
      </c>
      <c r="P956">
        <f t="shared" si="56"/>
        <v>6.6260103576787188E-2</v>
      </c>
      <c r="Q956">
        <f t="shared" si="56"/>
        <v>0.48363769174579985</v>
      </c>
      <c r="R956">
        <f t="shared" si="57"/>
        <v>6.0190909090909095</v>
      </c>
      <c r="S956">
        <f t="shared" si="58"/>
        <v>5.0346926446156166</v>
      </c>
      <c r="T956">
        <f t="shared" si="59"/>
        <v>8.0350620891161434E-2</v>
      </c>
      <c r="U956" t="str">
        <f>YEAR('Campaign Data'!$A956)&amp;"-"&amp;TEXT(MONTH('Campaign Data'!$A956),"00")</f>
        <v>2026-02</v>
      </c>
    </row>
    <row r="957" spans="1:21" x14ac:dyDescent="0.25">
      <c r="A957">
        <v>46075</v>
      </c>
      <c r="B957" t="s">
        <v>143</v>
      </c>
      <c r="C957" t="s">
        <v>144</v>
      </c>
      <c r="D957" t="s">
        <v>48</v>
      </c>
      <c r="E957" t="s">
        <v>42</v>
      </c>
      <c r="F957" t="s">
        <v>25</v>
      </c>
      <c r="G957" t="s">
        <v>84</v>
      </c>
      <c r="H957" t="s">
        <v>27</v>
      </c>
      <c r="I957" t="s">
        <v>28</v>
      </c>
      <c r="J957" t="s">
        <v>45</v>
      </c>
      <c r="K957">
        <v>10867</v>
      </c>
      <c r="L957">
        <v>43</v>
      </c>
      <c r="M957">
        <v>297.77</v>
      </c>
      <c r="N957">
        <v>0</v>
      </c>
      <c r="O957">
        <v>0</v>
      </c>
      <c r="P957">
        <f t="shared" si="56"/>
        <v>3.9569338363853873E-3</v>
      </c>
      <c r="Q957">
        <f t="shared" si="56"/>
        <v>6.9248837209302323</v>
      </c>
      <c r="R957">
        <f t="shared" si="57"/>
        <v>0</v>
      </c>
      <c r="S957">
        <f t="shared" si="58"/>
        <v>0</v>
      </c>
      <c r="T957">
        <f t="shared" si="59"/>
        <v>0</v>
      </c>
      <c r="U957" t="str">
        <f>YEAR('Campaign Data'!$A957)&amp;"-"&amp;TEXT(MONTH('Campaign Data'!$A957),"00")</f>
        <v>2026-02</v>
      </c>
    </row>
    <row r="958" spans="1:21" x14ac:dyDescent="0.25">
      <c r="A958">
        <v>46075</v>
      </c>
      <c r="B958" t="s">
        <v>72</v>
      </c>
      <c r="C958" t="s">
        <v>73</v>
      </c>
      <c r="D958" t="s">
        <v>69</v>
      </c>
      <c r="E958" t="s">
        <v>74</v>
      </c>
      <c r="F958" t="s">
        <v>75</v>
      </c>
      <c r="G958" t="s">
        <v>9</v>
      </c>
      <c r="H958" t="s">
        <v>51</v>
      </c>
      <c r="I958" t="s">
        <v>37</v>
      </c>
      <c r="J958" t="s">
        <v>87</v>
      </c>
      <c r="K958">
        <v>3708</v>
      </c>
      <c r="L958">
        <v>147</v>
      </c>
      <c r="M958">
        <v>202.41</v>
      </c>
      <c r="N958">
        <v>9</v>
      </c>
      <c r="O958">
        <v>349.18</v>
      </c>
      <c r="P958">
        <f t="shared" si="56"/>
        <v>3.964401294498382E-2</v>
      </c>
      <c r="Q958">
        <f t="shared" si="56"/>
        <v>1.376938775510204</v>
      </c>
      <c r="R958">
        <f t="shared" si="57"/>
        <v>22.49</v>
      </c>
      <c r="S958">
        <f t="shared" si="58"/>
        <v>1.7251123956326269</v>
      </c>
      <c r="T958">
        <f t="shared" si="59"/>
        <v>6.1224489795918366E-2</v>
      </c>
      <c r="U958" t="str">
        <f>YEAR('Campaign Data'!$A958)&amp;"-"&amp;TEXT(MONTH('Campaign Data'!$A958),"00")</f>
        <v>2026-02</v>
      </c>
    </row>
    <row r="959" spans="1:21" x14ac:dyDescent="0.25">
      <c r="A959">
        <v>46075</v>
      </c>
      <c r="B959" t="s">
        <v>145</v>
      </c>
      <c r="C959" t="s">
        <v>146</v>
      </c>
      <c r="D959" t="s">
        <v>41</v>
      </c>
      <c r="E959" t="s">
        <v>49</v>
      </c>
      <c r="F959" t="s">
        <v>75</v>
      </c>
      <c r="G959" t="s">
        <v>70</v>
      </c>
      <c r="H959" t="s">
        <v>36</v>
      </c>
      <c r="I959" t="s">
        <v>28</v>
      </c>
      <c r="J959" t="s">
        <v>45</v>
      </c>
      <c r="K959">
        <v>8060</v>
      </c>
      <c r="L959">
        <v>516</v>
      </c>
      <c r="M959">
        <v>986.94</v>
      </c>
      <c r="N959">
        <v>22</v>
      </c>
      <c r="O959">
        <v>599.33000000000004</v>
      </c>
      <c r="P959">
        <f t="shared" si="56"/>
        <v>6.4019851116625309E-2</v>
      </c>
      <c r="Q959">
        <f t="shared" si="56"/>
        <v>1.9126744186046514</v>
      </c>
      <c r="R959">
        <f t="shared" si="57"/>
        <v>44.860909090909097</v>
      </c>
      <c r="S959">
        <f t="shared" si="58"/>
        <v>0.60726082639268852</v>
      </c>
      <c r="T959">
        <f t="shared" si="59"/>
        <v>4.2635658914728682E-2</v>
      </c>
      <c r="U959" t="str">
        <f>YEAR('Campaign Data'!$A959)&amp;"-"&amp;TEXT(MONTH('Campaign Data'!$A959),"00")</f>
        <v>2026-02</v>
      </c>
    </row>
    <row r="960" spans="1:21" x14ac:dyDescent="0.25">
      <c r="A960">
        <v>46075</v>
      </c>
      <c r="B960" t="s">
        <v>122</v>
      </c>
      <c r="C960" t="s">
        <v>123</v>
      </c>
      <c r="D960" t="s">
        <v>41</v>
      </c>
      <c r="E960" t="s">
        <v>33</v>
      </c>
      <c r="F960" t="s">
        <v>75</v>
      </c>
      <c r="G960" t="s">
        <v>35</v>
      </c>
      <c r="H960" t="s">
        <v>27</v>
      </c>
      <c r="I960" t="s">
        <v>28</v>
      </c>
      <c r="J960" t="s">
        <v>45</v>
      </c>
      <c r="K960">
        <v>12870</v>
      </c>
      <c r="L960">
        <v>107</v>
      </c>
      <c r="M960">
        <v>90.13</v>
      </c>
      <c r="N960">
        <v>1</v>
      </c>
      <c r="O960">
        <v>47.8</v>
      </c>
      <c r="P960">
        <f t="shared" si="56"/>
        <v>8.3139083139083143E-3</v>
      </c>
      <c r="Q960">
        <f t="shared" si="56"/>
        <v>0.84233644859813084</v>
      </c>
      <c r="R960">
        <f t="shared" si="57"/>
        <v>90.13</v>
      </c>
      <c r="S960">
        <f t="shared" si="58"/>
        <v>0.53034505713968716</v>
      </c>
      <c r="T960">
        <f t="shared" si="59"/>
        <v>9.3457943925233638E-3</v>
      </c>
      <c r="U960" t="str">
        <f>YEAR('Campaign Data'!$A960)&amp;"-"&amp;TEXT(MONTH('Campaign Data'!$A960),"00")</f>
        <v>2026-02</v>
      </c>
    </row>
    <row r="961" spans="1:21" x14ac:dyDescent="0.25">
      <c r="A961">
        <v>46076</v>
      </c>
      <c r="B961" t="s">
        <v>165</v>
      </c>
      <c r="C961" t="s">
        <v>166</v>
      </c>
      <c r="D961" t="s">
        <v>41</v>
      </c>
      <c r="E961" t="s">
        <v>33</v>
      </c>
      <c r="F961" t="s">
        <v>43</v>
      </c>
      <c r="G961" t="s">
        <v>59</v>
      </c>
      <c r="H961" t="s">
        <v>71</v>
      </c>
      <c r="I961" t="s">
        <v>61</v>
      </c>
      <c r="J961" t="s">
        <v>38</v>
      </c>
      <c r="K961">
        <v>7712</v>
      </c>
      <c r="L961">
        <v>61</v>
      </c>
      <c r="M961">
        <v>28.18</v>
      </c>
      <c r="N961">
        <v>0</v>
      </c>
      <c r="O961">
        <v>0</v>
      </c>
      <c r="P961">
        <f t="shared" si="56"/>
        <v>7.909751037344398E-3</v>
      </c>
      <c r="Q961">
        <f t="shared" si="56"/>
        <v>0.46196721311475408</v>
      </c>
      <c r="R961">
        <f t="shared" si="57"/>
        <v>0</v>
      </c>
      <c r="S961">
        <f t="shared" si="58"/>
        <v>0</v>
      </c>
      <c r="T961">
        <f t="shared" si="59"/>
        <v>0</v>
      </c>
      <c r="U961" t="str">
        <f>YEAR('Campaign Data'!$A961)&amp;"-"&amp;TEXT(MONTH('Campaign Data'!$A961),"00")</f>
        <v>2026-02</v>
      </c>
    </row>
    <row r="962" spans="1:21" x14ac:dyDescent="0.25">
      <c r="A962">
        <v>46076</v>
      </c>
      <c r="B962" t="s">
        <v>175</v>
      </c>
      <c r="C962" t="s">
        <v>176</v>
      </c>
      <c r="D962" t="s">
        <v>65</v>
      </c>
      <c r="E962" t="s">
        <v>49</v>
      </c>
      <c r="F962" t="s">
        <v>75</v>
      </c>
      <c r="G962" t="s">
        <v>70</v>
      </c>
      <c r="H962" t="s">
        <v>90</v>
      </c>
      <c r="I962" t="s">
        <v>28</v>
      </c>
      <c r="J962" t="s">
        <v>29</v>
      </c>
      <c r="K962">
        <v>5080</v>
      </c>
      <c r="L962">
        <v>197</v>
      </c>
      <c r="M962">
        <v>85.24</v>
      </c>
      <c r="N962">
        <v>4</v>
      </c>
      <c r="O962">
        <v>36.380000000000003</v>
      </c>
      <c r="P962">
        <f t="shared" ref="P962:Q1025" si="60">IF(K962=0,0,L962/K962)</f>
        <v>3.8779527559055116E-2</v>
      </c>
      <c r="Q962">
        <f t="shared" si="60"/>
        <v>0.43269035532994921</v>
      </c>
      <c r="R962">
        <f t="shared" ref="R962:R1025" si="61">IF(N962=0,0,M962/N962)</f>
        <v>21.31</v>
      </c>
      <c r="S962">
        <f t="shared" ref="S962:S1025" si="62">IF(M962=0,0,O962/M962)</f>
        <v>0.42679493195682783</v>
      </c>
      <c r="T962">
        <f t="shared" ref="T962:T1025" si="63">IF(L962=0,0,N962/L962)</f>
        <v>2.030456852791878E-2</v>
      </c>
      <c r="U962" t="str">
        <f>YEAR('Campaign Data'!$A962)&amp;"-"&amp;TEXT(MONTH('Campaign Data'!$A962),"00")</f>
        <v>2026-02</v>
      </c>
    </row>
    <row r="963" spans="1:21" x14ac:dyDescent="0.25">
      <c r="A963">
        <v>46076</v>
      </c>
      <c r="B963" t="s">
        <v>88</v>
      </c>
      <c r="C963" t="s">
        <v>89</v>
      </c>
      <c r="D963" t="s">
        <v>23</v>
      </c>
      <c r="E963" t="s">
        <v>49</v>
      </c>
      <c r="F963" t="s">
        <v>81</v>
      </c>
      <c r="G963" t="s">
        <v>50</v>
      </c>
      <c r="H963" t="s">
        <v>90</v>
      </c>
      <c r="I963" t="s">
        <v>28</v>
      </c>
      <c r="J963" t="s">
        <v>45</v>
      </c>
      <c r="K963">
        <v>10603</v>
      </c>
      <c r="L963">
        <v>357</v>
      </c>
      <c r="M963">
        <v>146.32</v>
      </c>
      <c r="N963">
        <v>16</v>
      </c>
      <c r="O963">
        <v>80</v>
      </c>
      <c r="P963">
        <f t="shared" si="60"/>
        <v>3.3669716118079791E-2</v>
      </c>
      <c r="Q963">
        <f t="shared" si="60"/>
        <v>0.40985994397759101</v>
      </c>
      <c r="R963">
        <f t="shared" si="61"/>
        <v>9.1449999999999996</v>
      </c>
      <c r="S963">
        <f t="shared" si="62"/>
        <v>0.54674685620557684</v>
      </c>
      <c r="T963">
        <f t="shared" si="63"/>
        <v>4.4817927170868348E-2</v>
      </c>
      <c r="U963" t="str">
        <f>YEAR('Campaign Data'!$A963)&amp;"-"&amp;TEXT(MONTH('Campaign Data'!$A963),"00")</f>
        <v>2026-02</v>
      </c>
    </row>
    <row r="964" spans="1:21" x14ac:dyDescent="0.25">
      <c r="A964">
        <v>46076</v>
      </c>
      <c r="B964" t="s">
        <v>167</v>
      </c>
      <c r="C964" t="s">
        <v>168</v>
      </c>
      <c r="D964" t="s">
        <v>58</v>
      </c>
      <c r="E964" t="s">
        <v>33</v>
      </c>
      <c r="F964" t="s">
        <v>75</v>
      </c>
      <c r="G964" t="s">
        <v>35</v>
      </c>
      <c r="H964" t="s">
        <v>90</v>
      </c>
      <c r="I964" t="s">
        <v>28</v>
      </c>
      <c r="J964" t="s">
        <v>87</v>
      </c>
      <c r="K964">
        <v>22458</v>
      </c>
      <c r="L964">
        <v>193</v>
      </c>
      <c r="M964">
        <v>35.479999999999997</v>
      </c>
      <c r="N964">
        <v>4</v>
      </c>
      <c r="O964">
        <v>27.53</v>
      </c>
      <c r="P964">
        <f t="shared" si="60"/>
        <v>8.5938195743165014E-3</v>
      </c>
      <c r="Q964">
        <f t="shared" si="60"/>
        <v>0.18383419689119168</v>
      </c>
      <c r="R964">
        <f t="shared" si="61"/>
        <v>8.8699999999999992</v>
      </c>
      <c r="S964">
        <f t="shared" si="62"/>
        <v>0.77593010146561459</v>
      </c>
      <c r="T964">
        <f t="shared" si="63"/>
        <v>2.072538860103627E-2</v>
      </c>
      <c r="U964" t="str">
        <f>YEAR('Campaign Data'!$A964)&amp;"-"&amp;TEXT(MONTH('Campaign Data'!$A964),"00")</f>
        <v>2026-02</v>
      </c>
    </row>
    <row r="965" spans="1:21" x14ac:dyDescent="0.25">
      <c r="A965">
        <v>46076</v>
      </c>
      <c r="B965" t="s">
        <v>138</v>
      </c>
      <c r="C965" t="s">
        <v>139</v>
      </c>
      <c r="D965" t="s">
        <v>58</v>
      </c>
      <c r="E965" t="s">
        <v>74</v>
      </c>
      <c r="F965" t="s">
        <v>34</v>
      </c>
      <c r="G965" t="s">
        <v>9</v>
      </c>
      <c r="H965" t="s">
        <v>27</v>
      </c>
      <c r="I965" t="s">
        <v>37</v>
      </c>
      <c r="J965" t="s">
        <v>29</v>
      </c>
      <c r="K965">
        <v>1188</v>
      </c>
      <c r="L965">
        <v>42</v>
      </c>
      <c r="M965">
        <v>49.38</v>
      </c>
      <c r="N965">
        <v>0</v>
      </c>
      <c r="O965">
        <v>0</v>
      </c>
      <c r="P965">
        <f t="shared" si="60"/>
        <v>3.5353535353535352E-2</v>
      </c>
      <c r="Q965">
        <f t="shared" si="60"/>
        <v>1.1757142857142857</v>
      </c>
      <c r="R965">
        <f t="shared" si="61"/>
        <v>0</v>
      </c>
      <c r="S965">
        <f t="shared" si="62"/>
        <v>0</v>
      </c>
      <c r="T965">
        <f t="shared" si="63"/>
        <v>0</v>
      </c>
      <c r="U965" t="str">
        <f>YEAR('Campaign Data'!$A965)&amp;"-"&amp;TEXT(MONTH('Campaign Data'!$A965),"00")</f>
        <v>2026-02</v>
      </c>
    </row>
    <row r="966" spans="1:21" x14ac:dyDescent="0.25">
      <c r="A966">
        <v>46076</v>
      </c>
      <c r="B966" t="s">
        <v>30</v>
      </c>
      <c r="C966" t="s">
        <v>31</v>
      </c>
      <c r="D966" t="s">
        <v>32</v>
      </c>
      <c r="E966" t="s">
        <v>33</v>
      </c>
      <c r="F966" t="s">
        <v>34</v>
      </c>
      <c r="G966" t="s">
        <v>35</v>
      </c>
      <c r="H966" t="s">
        <v>90</v>
      </c>
      <c r="I966" t="s">
        <v>28</v>
      </c>
      <c r="J966" t="s">
        <v>62</v>
      </c>
      <c r="K966">
        <v>14790</v>
      </c>
      <c r="L966">
        <v>183</v>
      </c>
      <c r="M966">
        <v>36.01</v>
      </c>
      <c r="N966">
        <v>2</v>
      </c>
      <c r="O966">
        <v>49.8</v>
      </c>
      <c r="P966">
        <f t="shared" si="60"/>
        <v>1.2373225152129817E-2</v>
      </c>
      <c r="Q966">
        <f t="shared" si="60"/>
        <v>0.19677595628415298</v>
      </c>
      <c r="R966">
        <f t="shared" si="61"/>
        <v>18.004999999999999</v>
      </c>
      <c r="S966">
        <f t="shared" si="62"/>
        <v>1.3829491807831158</v>
      </c>
      <c r="T966">
        <f t="shared" si="63"/>
        <v>1.092896174863388E-2</v>
      </c>
      <c r="U966" t="str">
        <f>YEAR('Campaign Data'!$A966)&amp;"-"&amp;TEXT(MONTH('Campaign Data'!$A966),"00")</f>
        <v>2026-02</v>
      </c>
    </row>
    <row r="967" spans="1:21" x14ac:dyDescent="0.25">
      <c r="A967">
        <v>46076</v>
      </c>
      <c r="B967" t="s">
        <v>108</v>
      </c>
      <c r="C967" t="s">
        <v>109</v>
      </c>
      <c r="D967" t="s">
        <v>58</v>
      </c>
      <c r="E967" t="s">
        <v>33</v>
      </c>
      <c r="F967" t="s">
        <v>43</v>
      </c>
      <c r="G967" t="s">
        <v>59</v>
      </c>
      <c r="H967" t="s">
        <v>60</v>
      </c>
      <c r="I967" t="s">
        <v>28</v>
      </c>
      <c r="J967" t="s">
        <v>62</v>
      </c>
      <c r="K967">
        <v>7416</v>
      </c>
      <c r="L967">
        <v>23</v>
      </c>
      <c r="M967">
        <v>11.3</v>
      </c>
      <c r="N967">
        <v>2</v>
      </c>
      <c r="O967">
        <v>49.67</v>
      </c>
      <c r="P967">
        <f t="shared" si="60"/>
        <v>3.1014023732470336E-3</v>
      </c>
      <c r="Q967">
        <f t="shared" si="60"/>
        <v>0.49130434782608701</v>
      </c>
      <c r="R967">
        <f t="shared" si="61"/>
        <v>5.65</v>
      </c>
      <c r="S967">
        <f t="shared" si="62"/>
        <v>4.3955752212389383</v>
      </c>
      <c r="T967">
        <f t="shared" si="63"/>
        <v>8.6956521739130432E-2</v>
      </c>
      <c r="U967" t="str">
        <f>YEAR('Campaign Data'!$A967)&amp;"-"&amp;TEXT(MONTH('Campaign Data'!$A967),"00")</f>
        <v>2026-02</v>
      </c>
    </row>
    <row r="968" spans="1:21" x14ac:dyDescent="0.25">
      <c r="A968">
        <v>46076</v>
      </c>
      <c r="B968" t="s">
        <v>153</v>
      </c>
      <c r="C968" t="s">
        <v>154</v>
      </c>
      <c r="D968" t="s">
        <v>48</v>
      </c>
      <c r="E968" t="s">
        <v>33</v>
      </c>
      <c r="F968" t="s">
        <v>43</v>
      </c>
      <c r="G968" t="s">
        <v>59</v>
      </c>
      <c r="H968" t="s">
        <v>27</v>
      </c>
      <c r="I968" t="s">
        <v>28</v>
      </c>
      <c r="J968" t="s">
        <v>87</v>
      </c>
      <c r="K968">
        <v>3197</v>
      </c>
      <c r="L968">
        <v>20</v>
      </c>
      <c r="M968">
        <v>18.64</v>
      </c>
      <c r="N968">
        <v>0</v>
      </c>
      <c r="O968">
        <v>0</v>
      </c>
      <c r="P968">
        <f t="shared" si="60"/>
        <v>6.2558648733187366E-3</v>
      </c>
      <c r="Q968">
        <f t="shared" si="60"/>
        <v>0.93200000000000005</v>
      </c>
      <c r="R968">
        <f t="shared" si="61"/>
        <v>0</v>
      </c>
      <c r="S968">
        <f t="shared" si="62"/>
        <v>0</v>
      </c>
      <c r="T968">
        <f t="shared" si="63"/>
        <v>0</v>
      </c>
      <c r="U968" t="str">
        <f>YEAR('Campaign Data'!$A968)&amp;"-"&amp;TEXT(MONTH('Campaign Data'!$A968),"00")</f>
        <v>2026-02</v>
      </c>
    </row>
    <row r="969" spans="1:21" x14ac:dyDescent="0.25">
      <c r="A969">
        <v>46076</v>
      </c>
      <c r="B969" t="s">
        <v>153</v>
      </c>
      <c r="C969" t="s">
        <v>154</v>
      </c>
      <c r="D969" t="s">
        <v>48</v>
      </c>
      <c r="E969" t="s">
        <v>33</v>
      </c>
      <c r="F969" t="s">
        <v>43</v>
      </c>
      <c r="G969" t="s">
        <v>59</v>
      </c>
      <c r="H969" t="s">
        <v>55</v>
      </c>
      <c r="I969" t="s">
        <v>37</v>
      </c>
      <c r="J969" t="s">
        <v>62</v>
      </c>
      <c r="K969">
        <v>13271</v>
      </c>
      <c r="L969">
        <v>132</v>
      </c>
      <c r="M969">
        <v>58.86</v>
      </c>
      <c r="N969">
        <v>0</v>
      </c>
      <c r="O969">
        <v>0</v>
      </c>
      <c r="P969">
        <f t="shared" si="60"/>
        <v>9.9464998869715927E-3</v>
      </c>
      <c r="Q969">
        <f t="shared" si="60"/>
        <v>0.44590909090909092</v>
      </c>
      <c r="R969">
        <f t="shared" si="61"/>
        <v>0</v>
      </c>
      <c r="S969">
        <f t="shared" si="62"/>
        <v>0</v>
      </c>
      <c r="T969">
        <f t="shared" si="63"/>
        <v>0</v>
      </c>
      <c r="U969" t="str">
        <f>YEAR('Campaign Data'!$A969)&amp;"-"&amp;TEXT(MONTH('Campaign Data'!$A969),"00")</f>
        <v>2026-02</v>
      </c>
    </row>
    <row r="970" spans="1:21" x14ac:dyDescent="0.25">
      <c r="A970">
        <v>46076</v>
      </c>
      <c r="B970" t="s">
        <v>171</v>
      </c>
      <c r="C970" t="s">
        <v>172</v>
      </c>
      <c r="D970" t="s">
        <v>23</v>
      </c>
      <c r="E970" t="s">
        <v>33</v>
      </c>
      <c r="F970" t="s">
        <v>75</v>
      </c>
      <c r="G970" t="s">
        <v>59</v>
      </c>
      <c r="H970" t="s">
        <v>71</v>
      </c>
      <c r="I970" t="s">
        <v>28</v>
      </c>
      <c r="J970" t="s">
        <v>38</v>
      </c>
      <c r="K970">
        <v>7346</v>
      </c>
      <c r="L970">
        <v>76</v>
      </c>
      <c r="M970">
        <v>44.67</v>
      </c>
      <c r="N970">
        <v>2</v>
      </c>
      <c r="O970">
        <v>70.75</v>
      </c>
      <c r="P970">
        <f t="shared" si="60"/>
        <v>1.0345766403484889E-2</v>
      </c>
      <c r="Q970">
        <f t="shared" si="60"/>
        <v>0.58776315789473688</v>
      </c>
      <c r="R970">
        <f t="shared" si="61"/>
        <v>22.335000000000001</v>
      </c>
      <c r="S970">
        <f t="shared" si="62"/>
        <v>1.5838370270875308</v>
      </c>
      <c r="T970">
        <f t="shared" si="63"/>
        <v>2.6315789473684209E-2</v>
      </c>
      <c r="U970" t="str">
        <f>YEAR('Campaign Data'!$A970)&amp;"-"&amp;TEXT(MONTH('Campaign Data'!$A970),"00")</f>
        <v>2026-02</v>
      </c>
    </row>
    <row r="971" spans="1:21" x14ac:dyDescent="0.25">
      <c r="A971">
        <v>46076</v>
      </c>
      <c r="B971" t="s">
        <v>155</v>
      </c>
      <c r="C971" t="s">
        <v>156</v>
      </c>
      <c r="D971" t="s">
        <v>32</v>
      </c>
      <c r="E971" t="s">
        <v>24</v>
      </c>
      <c r="F971" t="s">
        <v>34</v>
      </c>
      <c r="G971" t="s">
        <v>129</v>
      </c>
      <c r="H971" t="s">
        <v>71</v>
      </c>
      <c r="I971" t="s">
        <v>28</v>
      </c>
      <c r="J971" t="s">
        <v>38</v>
      </c>
      <c r="K971">
        <v>4039</v>
      </c>
      <c r="L971">
        <v>49</v>
      </c>
      <c r="M971">
        <v>33.549999999999997</v>
      </c>
      <c r="N971">
        <v>0</v>
      </c>
      <c r="O971">
        <v>0</v>
      </c>
      <c r="P971">
        <f t="shared" si="60"/>
        <v>1.2131715771230503E-2</v>
      </c>
      <c r="Q971">
        <f t="shared" si="60"/>
        <v>0.6846938775510204</v>
      </c>
      <c r="R971">
        <f t="shared" si="61"/>
        <v>0</v>
      </c>
      <c r="S971">
        <f t="shared" si="62"/>
        <v>0</v>
      </c>
      <c r="T971">
        <f t="shared" si="63"/>
        <v>0</v>
      </c>
      <c r="U971" t="str">
        <f>YEAR('Campaign Data'!$A971)&amp;"-"&amp;TEXT(MONTH('Campaign Data'!$A971),"00")</f>
        <v>2026-02</v>
      </c>
    </row>
    <row r="972" spans="1:21" x14ac:dyDescent="0.25">
      <c r="A972">
        <v>46076</v>
      </c>
      <c r="B972" t="s">
        <v>67</v>
      </c>
      <c r="C972" t="s">
        <v>68</v>
      </c>
      <c r="D972" t="s">
        <v>69</v>
      </c>
      <c r="E972" t="s">
        <v>49</v>
      </c>
      <c r="F972" t="s">
        <v>34</v>
      </c>
      <c r="G972" t="s">
        <v>70</v>
      </c>
      <c r="H972" t="s">
        <v>55</v>
      </c>
      <c r="I972" t="s">
        <v>28</v>
      </c>
      <c r="J972" t="s">
        <v>38</v>
      </c>
      <c r="K972">
        <v>17393</v>
      </c>
      <c r="L972">
        <v>995</v>
      </c>
      <c r="M972">
        <v>1873.35</v>
      </c>
      <c r="N972">
        <v>61</v>
      </c>
      <c r="O972">
        <v>7252.69</v>
      </c>
      <c r="P972">
        <f t="shared" si="60"/>
        <v>5.7206922325073302E-2</v>
      </c>
      <c r="Q972">
        <f t="shared" si="60"/>
        <v>1.8827638190954772</v>
      </c>
      <c r="R972">
        <f t="shared" si="61"/>
        <v>30.710655737704915</v>
      </c>
      <c r="S972">
        <f t="shared" si="62"/>
        <v>3.8715082606026638</v>
      </c>
      <c r="T972">
        <f t="shared" si="63"/>
        <v>6.1306532663316586E-2</v>
      </c>
      <c r="U972" t="str">
        <f>YEAR('Campaign Data'!$A972)&amp;"-"&amp;TEXT(MONTH('Campaign Data'!$A972),"00")</f>
        <v>2026-02</v>
      </c>
    </row>
    <row r="973" spans="1:21" x14ac:dyDescent="0.25">
      <c r="A973">
        <v>46076</v>
      </c>
      <c r="B973" t="s">
        <v>163</v>
      </c>
      <c r="C973" t="s">
        <v>164</v>
      </c>
      <c r="D973" t="s">
        <v>58</v>
      </c>
      <c r="E973" t="s">
        <v>42</v>
      </c>
      <c r="F973" t="s">
        <v>43</v>
      </c>
      <c r="G973" t="s">
        <v>44</v>
      </c>
      <c r="H973" t="s">
        <v>36</v>
      </c>
      <c r="I973" t="s">
        <v>37</v>
      </c>
      <c r="J973" t="s">
        <v>29</v>
      </c>
      <c r="K973">
        <v>10508</v>
      </c>
      <c r="L973">
        <v>61</v>
      </c>
      <c r="M973">
        <v>409.91</v>
      </c>
      <c r="N973">
        <v>1</v>
      </c>
      <c r="O973">
        <v>13.88</v>
      </c>
      <c r="P973">
        <f t="shared" si="60"/>
        <v>5.8051008755234104E-3</v>
      </c>
      <c r="Q973">
        <f t="shared" si="60"/>
        <v>6.7198360655737712</v>
      </c>
      <c r="R973">
        <f t="shared" si="61"/>
        <v>409.91</v>
      </c>
      <c r="S973">
        <f t="shared" si="62"/>
        <v>3.3861091459100781E-2</v>
      </c>
      <c r="T973">
        <f t="shared" si="63"/>
        <v>1.6393442622950821E-2</v>
      </c>
      <c r="U973" t="str">
        <f>YEAR('Campaign Data'!$A973)&amp;"-"&amp;TEXT(MONTH('Campaign Data'!$A973),"00")</f>
        <v>2026-02</v>
      </c>
    </row>
    <row r="974" spans="1:21" x14ac:dyDescent="0.25">
      <c r="A974">
        <v>46076</v>
      </c>
      <c r="B974" t="s">
        <v>163</v>
      </c>
      <c r="C974" t="s">
        <v>164</v>
      </c>
      <c r="D974" t="s">
        <v>58</v>
      </c>
      <c r="E974" t="s">
        <v>42</v>
      </c>
      <c r="F974" t="s">
        <v>43</v>
      </c>
      <c r="G974" t="s">
        <v>44</v>
      </c>
      <c r="H974" t="s">
        <v>55</v>
      </c>
      <c r="I974" t="s">
        <v>37</v>
      </c>
      <c r="J974" t="s">
        <v>45</v>
      </c>
      <c r="K974">
        <v>9289</v>
      </c>
      <c r="L974">
        <v>64</v>
      </c>
      <c r="M974">
        <v>243.28</v>
      </c>
      <c r="N974">
        <v>3</v>
      </c>
      <c r="O974">
        <v>93.96</v>
      </c>
      <c r="P974">
        <f t="shared" si="60"/>
        <v>6.8898697384002583E-3</v>
      </c>
      <c r="Q974">
        <f t="shared" si="60"/>
        <v>3.80125</v>
      </c>
      <c r="R974">
        <f t="shared" si="61"/>
        <v>81.093333333333334</v>
      </c>
      <c r="S974">
        <f t="shared" si="62"/>
        <v>0.38622163761920419</v>
      </c>
      <c r="T974">
        <f t="shared" si="63"/>
        <v>4.6875E-2</v>
      </c>
      <c r="U974" t="str">
        <f>YEAR('Campaign Data'!$A974)&amp;"-"&amp;TEXT(MONTH('Campaign Data'!$A974),"00")</f>
        <v>2026-02</v>
      </c>
    </row>
    <row r="975" spans="1:21" x14ac:dyDescent="0.25">
      <c r="A975">
        <v>46076</v>
      </c>
      <c r="B975" t="s">
        <v>76</v>
      </c>
      <c r="C975" t="s">
        <v>77</v>
      </c>
      <c r="D975" t="s">
        <v>65</v>
      </c>
      <c r="E975" t="s">
        <v>42</v>
      </c>
      <c r="F975" t="s">
        <v>43</v>
      </c>
      <c r="G975" t="s">
        <v>44</v>
      </c>
      <c r="H975" t="s">
        <v>55</v>
      </c>
      <c r="I975" t="s">
        <v>37</v>
      </c>
      <c r="J975" t="s">
        <v>87</v>
      </c>
      <c r="K975">
        <v>11192</v>
      </c>
      <c r="L975">
        <v>19</v>
      </c>
      <c r="M975">
        <v>38.58</v>
      </c>
      <c r="N975">
        <v>0</v>
      </c>
      <c r="O975">
        <v>0</v>
      </c>
      <c r="P975">
        <f t="shared" si="60"/>
        <v>1.6976411722659042E-3</v>
      </c>
      <c r="Q975">
        <f t="shared" si="60"/>
        <v>2.0305263157894737</v>
      </c>
      <c r="R975">
        <f t="shared" si="61"/>
        <v>0</v>
      </c>
      <c r="S975">
        <f t="shared" si="62"/>
        <v>0</v>
      </c>
      <c r="T975">
        <f t="shared" si="63"/>
        <v>0</v>
      </c>
      <c r="U975" t="str">
        <f>YEAR('Campaign Data'!$A975)&amp;"-"&amp;TEXT(MONTH('Campaign Data'!$A975),"00")</f>
        <v>2026-02</v>
      </c>
    </row>
    <row r="976" spans="1:21" x14ac:dyDescent="0.25">
      <c r="A976">
        <v>46076</v>
      </c>
      <c r="B976" t="s">
        <v>82</v>
      </c>
      <c r="C976" t="s">
        <v>83</v>
      </c>
      <c r="D976" t="s">
        <v>80</v>
      </c>
      <c r="E976" t="s">
        <v>42</v>
      </c>
      <c r="F976" t="s">
        <v>34</v>
      </c>
      <c r="G976" t="s">
        <v>84</v>
      </c>
      <c r="H976" t="s">
        <v>90</v>
      </c>
      <c r="I976" t="s">
        <v>28</v>
      </c>
      <c r="J976" t="s">
        <v>38</v>
      </c>
      <c r="K976">
        <v>8837</v>
      </c>
      <c r="L976">
        <v>45</v>
      </c>
      <c r="M976">
        <v>63.12</v>
      </c>
      <c r="N976">
        <v>1</v>
      </c>
      <c r="O976">
        <v>38.94</v>
      </c>
      <c r="P976">
        <f t="shared" si="60"/>
        <v>5.0922258685074124E-3</v>
      </c>
      <c r="Q976">
        <f t="shared" si="60"/>
        <v>1.4026666666666665</v>
      </c>
      <c r="R976">
        <f t="shared" si="61"/>
        <v>63.12</v>
      </c>
      <c r="S976">
        <f t="shared" si="62"/>
        <v>0.61692015209125473</v>
      </c>
      <c r="T976">
        <f t="shared" si="63"/>
        <v>2.2222222222222223E-2</v>
      </c>
      <c r="U976" t="str">
        <f>YEAR('Campaign Data'!$A976)&amp;"-"&amp;TEXT(MONTH('Campaign Data'!$A976),"00")</f>
        <v>2026-02</v>
      </c>
    </row>
    <row r="977" spans="1:21" x14ac:dyDescent="0.25">
      <c r="A977">
        <v>46077</v>
      </c>
      <c r="B977" t="s">
        <v>167</v>
      </c>
      <c r="C977" t="s">
        <v>168</v>
      </c>
      <c r="D977" t="s">
        <v>58</v>
      </c>
      <c r="E977" t="s">
        <v>33</v>
      </c>
      <c r="F977" t="s">
        <v>75</v>
      </c>
      <c r="G977" t="s">
        <v>35</v>
      </c>
      <c r="H977" t="s">
        <v>36</v>
      </c>
      <c r="I977" t="s">
        <v>37</v>
      </c>
      <c r="J977" t="s">
        <v>45</v>
      </c>
      <c r="K977">
        <v>14583</v>
      </c>
      <c r="L977">
        <v>106</v>
      </c>
      <c r="M977">
        <v>93.96</v>
      </c>
      <c r="N977">
        <v>0</v>
      </c>
      <c r="O977">
        <v>0</v>
      </c>
      <c r="P977">
        <f t="shared" si="60"/>
        <v>7.2687375711444832E-3</v>
      </c>
      <c r="Q977">
        <f t="shared" si="60"/>
        <v>0.88641509433962262</v>
      </c>
      <c r="R977">
        <f t="shared" si="61"/>
        <v>0</v>
      </c>
      <c r="S977">
        <f t="shared" si="62"/>
        <v>0</v>
      </c>
      <c r="T977">
        <f t="shared" si="63"/>
        <v>0</v>
      </c>
      <c r="U977" t="str">
        <f>YEAR('Campaign Data'!$A977)&amp;"-"&amp;TEXT(MONTH('Campaign Data'!$A977),"00")</f>
        <v>2026-02</v>
      </c>
    </row>
    <row r="978" spans="1:21" x14ac:dyDescent="0.25">
      <c r="A978">
        <v>46077</v>
      </c>
      <c r="B978" t="s">
        <v>147</v>
      </c>
      <c r="C978" t="s">
        <v>148</v>
      </c>
      <c r="D978" t="s">
        <v>23</v>
      </c>
      <c r="E978" t="s">
        <v>42</v>
      </c>
      <c r="F978" t="s">
        <v>75</v>
      </c>
      <c r="G978" t="s">
        <v>44</v>
      </c>
      <c r="H978" t="s">
        <v>60</v>
      </c>
      <c r="I978" t="s">
        <v>28</v>
      </c>
      <c r="J978" t="s">
        <v>62</v>
      </c>
      <c r="K978">
        <v>5080</v>
      </c>
      <c r="L978">
        <v>44</v>
      </c>
      <c r="M978">
        <v>272.27999999999997</v>
      </c>
      <c r="N978">
        <v>3</v>
      </c>
      <c r="O978">
        <v>43.88</v>
      </c>
      <c r="P978">
        <f t="shared" si="60"/>
        <v>8.6614173228346455E-3</v>
      </c>
      <c r="Q978">
        <f t="shared" si="60"/>
        <v>6.1881818181818176</v>
      </c>
      <c r="R978">
        <f t="shared" si="61"/>
        <v>90.759999999999991</v>
      </c>
      <c r="S978">
        <f t="shared" si="62"/>
        <v>0.16115763184956663</v>
      </c>
      <c r="T978">
        <f t="shared" si="63"/>
        <v>6.8181818181818177E-2</v>
      </c>
      <c r="U978" t="str">
        <f>YEAR('Campaign Data'!$A978)&amp;"-"&amp;TEXT(MONTH('Campaign Data'!$A978),"00")</f>
        <v>2026-02</v>
      </c>
    </row>
    <row r="979" spans="1:21" x14ac:dyDescent="0.25">
      <c r="A979">
        <v>46077</v>
      </c>
      <c r="B979" t="s">
        <v>125</v>
      </c>
      <c r="C979" t="s">
        <v>126</v>
      </c>
      <c r="D979" t="s">
        <v>41</v>
      </c>
      <c r="E979" t="s">
        <v>42</v>
      </c>
      <c r="F979" t="s">
        <v>81</v>
      </c>
      <c r="G979" t="s">
        <v>44</v>
      </c>
      <c r="H979" t="s">
        <v>36</v>
      </c>
      <c r="I979" t="s">
        <v>37</v>
      </c>
      <c r="J979" t="s">
        <v>62</v>
      </c>
      <c r="K979">
        <v>4004</v>
      </c>
      <c r="L979">
        <v>22</v>
      </c>
      <c r="M979">
        <v>122.9</v>
      </c>
      <c r="N979">
        <v>0</v>
      </c>
      <c r="O979">
        <v>0</v>
      </c>
      <c r="P979">
        <f t="shared" si="60"/>
        <v>5.4945054945054949E-3</v>
      </c>
      <c r="Q979">
        <f t="shared" si="60"/>
        <v>5.5863636363636369</v>
      </c>
      <c r="R979">
        <f t="shared" si="61"/>
        <v>0</v>
      </c>
      <c r="S979">
        <f t="shared" si="62"/>
        <v>0</v>
      </c>
      <c r="T979">
        <f t="shared" si="63"/>
        <v>0</v>
      </c>
      <c r="U979" t="str">
        <f>YEAR('Campaign Data'!$A979)&amp;"-"&amp;TEXT(MONTH('Campaign Data'!$A979),"00")</f>
        <v>2026-02</v>
      </c>
    </row>
    <row r="980" spans="1:21" x14ac:dyDescent="0.25">
      <c r="A980">
        <v>46077</v>
      </c>
      <c r="B980" t="s">
        <v>138</v>
      </c>
      <c r="C980" t="s">
        <v>139</v>
      </c>
      <c r="D980" t="s">
        <v>58</v>
      </c>
      <c r="E980" t="s">
        <v>74</v>
      </c>
      <c r="F980" t="s">
        <v>34</v>
      </c>
      <c r="G980" t="s">
        <v>9</v>
      </c>
      <c r="H980" t="s">
        <v>90</v>
      </c>
      <c r="I980" t="s">
        <v>37</v>
      </c>
      <c r="J980" t="s">
        <v>62</v>
      </c>
      <c r="K980">
        <v>5869</v>
      </c>
      <c r="L980">
        <v>264</v>
      </c>
      <c r="M980">
        <v>91.98</v>
      </c>
      <c r="N980">
        <v>11</v>
      </c>
      <c r="O980">
        <v>476.12</v>
      </c>
      <c r="P980">
        <f t="shared" si="60"/>
        <v>4.4982109388311466E-2</v>
      </c>
      <c r="Q980">
        <f t="shared" si="60"/>
        <v>0.34840909090909095</v>
      </c>
      <c r="R980">
        <f t="shared" si="61"/>
        <v>8.3618181818181814</v>
      </c>
      <c r="S980">
        <f t="shared" si="62"/>
        <v>5.1763426831919981</v>
      </c>
      <c r="T980">
        <f t="shared" si="63"/>
        <v>4.1666666666666664E-2</v>
      </c>
      <c r="U980" t="str">
        <f>YEAR('Campaign Data'!$A980)&amp;"-"&amp;TEXT(MONTH('Campaign Data'!$A980),"00")</f>
        <v>2026-02</v>
      </c>
    </row>
    <row r="981" spans="1:21" x14ac:dyDescent="0.25">
      <c r="A981">
        <v>46077</v>
      </c>
      <c r="B981" t="s">
        <v>91</v>
      </c>
      <c r="C981" t="s">
        <v>92</v>
      </c>
      <c r="D981" t="s">
        <v>41</v>
      </c>
      <c r="E981" t="s">
        <v>74</v>
      </c>
      <c r="F981" t="s">
        <v>75</v>
      </c>
      <c r="G981" t="s">
        <v>9</v>
      </c>
      <c r="H981" t="s">
        <v>60</v>
      </c>
      <c r="I981" t="s">
        <v>28</v>
      </c>
      <c r="J981" t="s">
        <v>38</v>
      </c>
      <c r="K981">
        <v>4689</v>
      </c>
      <c r="L981">
        <v>164</v>
      </c>
      <c r="M981">
        <v>191.16</v>
      </c>
      <c r="N981">
        <v>3</v>
      </c>
      <c r="O981">
        <v>75.97</v>
      </c>
      <c r="P981">
        <f t="shared" si="60"/>
        <v>3.4975474514821921E-2</v>
      </c>
      <c r="Q981">
        <f t="shared" si="60"/>
        <v>1.1656097560975609</v>
      </c>
      <c r="R981">
        <f t="shared" si="61"/>
        <v>63.72</v>
      </c>
      <c r="S981">
        <f t="shared" si="62"/>
        <v>0.39741577735928019</v>
      </c>
      <c r="T981">
        <f t="shared" si="63"/>
        <v>1.8292682926829267E-2</v>
      </c>
      <c r="U981" t="str">
        <f>YEAR('Campaign Data'!$A981)&amp;"-"&amp;TEXT(MONTH('Campaign Data'!$A981),"00")</f>
        <v>2026-02</v>
      </c>
    </row>
    <row r="982" spans="1:21" x14ac:dyDescent="0.25">
      <c r="A982">
        <v>46077</v>
      </c>
      <c r="B982" t="s">
        <v>186</v>
      </c>
      <c r="C982" t="s">
        <v>187</v>
      </c>
      <c r="D982" t="s">
        <v>80</v>
      </c>
      <c r="E982" t="s">
        <v>33</v>
      </c>
      <c r="F982" t="s">
        <v>43</v>
      </c>
      <c r="G982" t="s">
        <v>102</v>
      </c>
      <c r="H982" t="s">
        <v>71</v>
      </c>
      <c r="I982" t="s">
        <v>37</v>
      </c>
      <c r="J982" t="s">
        <v>87</v>
      </c>
      <c r="K982">
        <v>11388</v>
      </c>
      <c r="L982">
        <v>105</v>
      </c>
      <c r="M982">
        <v>58.14</v>
      </c>
      <c r="N982">
        <v>1</v>
      </c>
      <c r="O982">
        <v>23.16</v>
      </c>
      <c r="P982">
        <f t="shared" si="60"/>
        <v>9.2202318229715492E-3</v>
      </c>
      <c r="Q982">
        <f t="shared" si="60"/>
        <v>0.55371428571428571</v>
      </c>
      <c r="R982">
        <f t="shared" si="61"/>
        <v>58.14</v>
      </c>
      <c r="S982">
        <f t="shared" si="62"/>
        <v>0.39834881320949433</v>
      </c>
      <c r="T982">
        <f t="shared" si="63"/>
        <v>9.5238095238095247E-3</v>
      </c>
      <c r="U982" t="str">
        <f>YEAR('Campaign Data'!$A982)&amp;"-"&amp;TEXT(MONTH('Campaign Data'!$A982),"00")</f>
        <v>2026-02</v>
      </c>
    </row>
    <row r="983" spans="1:21" x14ac:dyDescent="0.25">
      <c r="A983">
        <v>46077</v>
      </c>
      <c r="B983" t="s">
        <v>105</v>
      </c>
      <c r="C983" t="s">
        <v>106</v>
      </c>
      <c r="D983" t="s">
        <v>58</v>
      </c>
      <c r="E983" t="s">
        <v>49</v>
      </c>
      <c r="F983" t="s">
        <v>81</v>
      </c>
      <c r="G983" t="s">
        <v>107</v>
      </c>
      <c r="H983" t="s">
        <v>27</v>
      </c>
      <c r="I983" t="s">
        <v>37</v>
      </c>
      <c r="J983" t="s">
        <v>45</v>
      </c>
      <c r="K983">
        <v>8896</v>
      </c>
      <c r="L983">
        <v>341</v>
      </c>
      <c r="M983">
        <v>882.04</v>
      </c>
      <c r="N983">
        <v>21</v>
      </c>
      <c r="O983">
        <v>305.2</v>
      </c>
      <c r="P983">
        <f t="shared" si="60"/>
        <v>3.8331834532374098E-2</v>
      </c>
      <c r="Q983">
        <f t="shared" si="60"/>
        <v>2.5866275659824045</v>
      </c>
      <c r="R983">
        <f t="shared" si="61"/>
        <v>42.001904761904761</v>
      </c>
      <c r="S983">
        <f t="shared" si="62"/>
        <v>0.34601605369371002</v>
      </c>
      <c r="T983">
        <f t="shared" si="63"/>
        <v>6.1583577712609971E-2</v>
      </c>
      <c r="U983" t="str">
        <f>YEAR('Campaign Data'!$A983)&amp;"-"&amp;TEXT(MONTH('Campaign Data'!$A983),"00")</f>
        <v>2026-02</v>
      </c>
    </row>
    <row r="984" spans="1:21" x14ac:dyDescent="0.25">
      <c r="A984">
        <v>46077</v>
      </c>
      <c r="B984" t="s">
        <v>130</v>
      </c>
      <c r="C984" t="s">
        <v>131</v>
      </c>
      <c r="D984" t="s">
        <v>48</v>
      </c>
      <c r="E984" t="s">
        <v>33</v>
      </c>
      <c r="F984" t="s">
        <v>34</v>
      </c>
      <c r="G984" t="s">
        <v>35</v>
      </c>
      <c r="H984" t="s">
        <v>60</v>
      </c>
      <c r="I984" t="s">
        <v>37</v>
      </c>
      <c r="J984" t="s">
        <v>29</v>
      </c>
      <c r="K984">
        <v>4444</v>
      </c>
      <c r="L984">
        <v>32</v>
      </c>
      <c r="M984">
        <v>27.76</v>
      </c>
      <c r="N984">
        <v>0</v>
      </c>
      <c r="O984">
        <v>0</v>
      </c>
      <c r="P984">
        <f t="shared" si="60"/>
        <v>7.2007200720072004E-3</v>
      </c>
      <c r="Q984">
        <f t="shared" si="60"/>
        <v>0.86750000000000005</v>
      </c>
      <c r="R984">
        <f t="shared" si="61"/>
        <v>0</v>
      </c>
      <c r="S984">
        <f t="shared" si="62"/>
        <v>0</v>
      </c>
      <c r="T984">
        <f t="shared" si="63"/>
        <v>0</v>
      </c>
      <c r="U984" t="str">
        <f>YEAR('Campaign Data'!$A984)&amp;"-"&amp;TEXT(MONTH('Campaign Data'!$A984),"00")</f>
        <v>2026-02</v>
      </c>
    </row>
    <row r="985" spans="1:21" x14ac:dyDescent="0.25">
      <c r="A985">
        <v>46077</v>
      </c>
      <c r="B985" t="s">
        <v>140</v>
      </c>
      <c r="C985" t="s">
        <v>40</v>
      </c>
      <c r="D985" t="s">
        <v>41</v>
      </c>
      <c r="E985" t="s">
        <v>42</v>
      </c>
      <c r="F985" t="s">
        <v>43</v>
      </c>
      <c r="G985" t="s">
        <v>44</v>
      </c>
      <c r="H985" t="s">
        <v>90</v>
      </c>
      <c r="I985" t="s">
        <v>37</v>
      </c>
      <c r="J985" t="s">
        <v>38</v>
      </c>
      <c r="K985">
        <v>5404</v>
      </c>
      <c r="L985">
        <v>29</v>
      </c>
      <c r="M985">
        <v>51.44</v>
      </c>
      <c r="N985">
        <v>1</v>
      </c>
      <c r="O985">
        <v>5</v>
      </c>
      <c r="P985">
        <f t="shared" si="60"/>
        <v>5.3663952627683196E-3</v>
      </c>
      <c r="Q985">
        <f t="shared" si="60"/>
        <v>1.7737931034482757</v>
      </c>
      <c r="R985">
        <f t="shared" si="61"/>
        <v>51.44</v>
      </c>
      <c r="S985">
        <f t="shared" si="62"/>
        <v>9.7200622083981336E-2</v>
      </c>
      <c r="T985">
        <f t="shared" si="63"/>
        <v>3.4482758620689655E-2</v>
      </c>
      <c r="U985" t="str">
        <f>YEAR('Campaign Data'!$A985)&amp;"-"&amp;TEXT(MONTH('Campaign Data'!$A985),"00")</f>
        <v>2026-02</v>
      </c>
    </row>
    <row r="986" spans="1:21" x14ac:dyDescent="0.25">
      <c r="A986">
        <v>46077</v>
      </c>
      <c r="B986" t="s">
        <v>110</v>
      </c>
      <c r="C986" t="s">
        <v>111</v>
      </c>
      <c r="D986" t="s">
        <v>23</v>
      </c>
      <c r="E986" t="s">
        <v>49</v>
      </c>
      <c r="F986" t="s">
        <v>34</v>
      </c>
      <c r="G986" t="s">
        <v>50</v>
      </c>
      <c r="H986" t="s">
        <v>27</v>
      </c>
      <c r="I986" t="s">
        <v>37</v>
      </c>
      <c r="J986" t="s">
        <v>29</v>
      </c>
      <c r="K986">
        <v>7565</v>
      </c>
      <c r="L986">
        <v>229</v>
      </c>
      <c r="M986">
        <v>412.9</v>
      </c>
      <c r="N986">
        <v>5</v>
      </c>
      <c r="O986">
        <v>25</v>
      </c>
      <c r="P986">
        <f t="shared" si="60"/>
        <v>3.0270984798413749E-2</v>
      </c>
      <c r="Q986">
        <f t="shared" si="60"/>
        <v>1.8030567685589518</v>
      </c>
      <c r="R986">
        <f t="shared" si="61"/>
        <v>82.58</v>
      </c>
      <c r="S986">
        <f t="shared" si="62"/>
        <v>6.054734802615646E-2</v>
      </c>
      <c r="T986">
        <f t="shared" si="63"/>
        <v>2.1834061135371178E-2</v>
      </c>
      <c r="U986" t="str">
        <f>YEAR('Campaign Data'!$A986)&amp;"-"&amp;TEXT(MONTH('Campaign Data'!$A986),"00")</f>
        <v>2026-02</v>
      </c>
    </row>
    <row r="987" spans="1:21" x14ac:dyDescent="0.25">
      <c r="A987">
        <v>46077</v>
      </c>
      <c r="B987" t="s">
        <v>155</v>
      </c>
      <c r="C987" t="s">
        <v>156</v>
      </c>
      <c r="D987" t="s">
        <v>32</v>
      </c>
      <c r="E987" t="s">
        <v>24</v>
      </c>
      <c r="F987" t="s">
        <v>34</v>
      </c>
      <c r="G987" t="s">
        <v>129</v>
      </c>
      <c r="H987" t="s">
        <v>27</v>
      </c>
      <c r="I987" t="s">
        <v>37</v>
      </c>
      <c r="J987" t="s">
        <v>45</v>
      </c>
      <c r="K987">
        <v>14698</v>
      </c>
      <c r="L987">
        <v>199</v>
      </c>
      <c r="M987">
        <v>157.61000000000001</v>
      </c>
      <c r="N987">
        <v>4</v>
      </c>
      <c r="O987">
        <v>585.57000000000005</v>
      </c>
      <c r="P987">
        <f t="shared" si="60"/>
        <v>1.353925704177439E-2</v>
      </c>
      <c r="Q987">
        <f t="shared" si="60"/>
        <v>0.79201005025125637</v>
      </c>
      <c r="R987">
        <f t="shared" si="61"/>
        <v>39.402500000000003</v>
      </c>
      <c r="S987">
        <f t="shared" si="62"/>
        <v>3.7153099422625466</v>
      </c>
      <c r="T987">
        <f t="shared" si="63"/>
        <v>2.0100502512562814E-2</v>
      </c>
      <c r="U987" t="str">
        <f>YEAR('Campaign Data'!$A987)&amp;"-"&amp;TEXT(MONTH('Campaign Data'!$A987),"00")</f>
        <v>2026-02</v>
      </c>
    </row>
    <row r="988" spans="1:21" x14ac:dyDescent="0.25">
      <c r="A988">
        <v>46077</v>
      </c>
      <c r="B988" t="s">
        <v>134</v>
      </c>
      <c r="C988" t="s">
        <v>135</v>
      </c>
      <c r="D988" t="s">
        <v>32</v>
      </c>
      <c r="E988" t="s">
        <v>74</v>
      </c>
      <c r="F988" t="s">
        <v>25</v>
      </c>
      <c r="G988" t="s">
        <v>107</v>
      </c>
      <c r="H988" t="s">
        <v>36</v>
      </c>
      <c r="I988" t="s">
        <v>37</v>
      </c>
      <c r="J988" t="s">
        <v>38</v>
      </c>
      <c r="K988">
        <v>9215</v>
      </c>
      <c r="L988">
        <v>418</v>
      </c>
      <c r="M988">
        <v>615.67999999999995</v>
      </c>
      <c r="N988">
        <v>12</v>
      </c>
      <c r="O988">
        <v>1429.3</v>
      </c>
      <c r="P988">
        <f t="shared" si="60"/>
        <v>4.536082474226804E-2</v>
      </c>
      <c r="Q988">
        <f t="shared" si="60"/>
        <v>1.4729186602870812</v>
      </c>
      <c r="R988">
        <f t="shared" si="61"/>
        <v>51.306666666666665</v>
      </c>
      <c r="S988">
        <f t="shared" si="62"/>
        <v>2.3214981808731809</v>
      </c>
      <c r="T988">
        <f t="shared" si="63"/>
        <v>2.8708133971291867E-2</v>
      </c>
      <c r="U988" t="str">
        <f>YEAR('Campaign Data'!$A988)&amp;"-"&amp;TEXT(MONTH('Campaign Data'!$A988),"00")</f>
        <v>2026-02</v>
      </c>
    </row>
    <row r="989" spans="1:21" x14ac:dyDescent="0.25">
      <c r="A989">
        <v>46077</v>
      </c>
      <c r="B989" t="s">
        <v>157</v>
      </c>
      <c r="C989" t="s">
        <v>158</v>
      </c>
      <c r="D989" t="s">
        <v>58</v>
      </c>
      <c r="E989" t="s">
        <v>49</v>
      </c>
      <c r="F989" t="s">
        <v>81</v>
      </c>
      <c r="G989" t="s">
        <v>50</v>
      </c>
      <c r="H989" t="s">
        <v>90</v>
      </c>
      <c r="I989" t="s">
        <v>37</v>
      </c>
      <c r="J989" t="s">
        <v>62</v>
      </c>
      <c r="K989">
        <v>3815</v>
      </c>
      <c r="L989">
        <v>158</v>
      </c>
      <c r="M989">
        <v>63.76</v>
      </c>
      <c r="N989">
        <v>13</v>
      </c>
      <c r="O989">
        <v>65</v>
      </c>
      <c r="P989">
        <f t="shared" si="60"/>
        <v>4.1415465268676281E-2</v>
      </c>
      <c r="Q989">
        <f t="shared" si="60"/>
        <v>0.40354430379746836</v>
      </c>
      <c r="R989">
        <f t="shared" si="61"/>
        <v>4.9046153846153846</v>
      </c>
      <c r="S989">
        <f t="shared" si="62"/>
        <v>1.019447929736512</v>
      </c>
      <c r="T989">
        <f t="shared" si="63"/>
        <v>8.2278481012658222E-2</v>
      </c>
      <c r="U989" t="str">
        <f>YEAR('Campaign Data'!$A989)&amp;"-"&amp;TEXT(MONTH('Campaign Data'!$A989),"00")</f>
        <v>2026-02</v>
      </c>
    </row>
    <row r="990" spans="1:21" x14ac:dyDescent="0.25">
      <c r="A990">
        <v>46077</v>
      </c>
      <c r="B990" t="s">
        <v>114</v>
      </c>
      <c r="C990" t="s">
        <v>115</v>
      </c>
      <c r="D990" t="s">
        <v>69</v>
      </c>
      <c r="E990" t="s">
        <v>49</v>
      </c>
      <c r="F990" t="s">
        <v>25</v>
      </c>
      <c r="G990" t="s">
        <v>107</v>
      </c>
      <c r="H990" t="s">
        <v>27</v>
      </c>
      <c r="I990" t="s">
        <v>28</v>
      </c>
      <c r="J990" t="s">
        <v>38</v>
      </c>
      <c r="K990">
        <v>17727</v>
      </c>
      <c r="L990">
        <v>617</v>
      </c>
      <c r="M990">
        <v>1331.15</v>
      </c>
      <c r="N990">
        <v>36</v>
      </c>
      <c r="O990">
        <v>4535.47</v>
      </c>
      <c r="P990">
        <f t="shared" si="60"/>
        <v>3.4805663676877083E-2</v>
      </c>
      <c r="Q990">
        <f t="shared" si="60"/>
        <v>2.1574554294975692</v>
      </c>
      <c r="R990">
        <f t="shared" si="61"/>
        <v>36.976388888888891</v>
      </c>
      <c r="S990">
        <f t="shared" si="62"/>
        <v>3.4071817601322163</v>
      </c>
      <c r="T990">
        <f t="shared" si="63"/>
        <v>5.834683954619125E-2</v>
      </c>
      <c r="U990" t="str">
        <f>YEAR('Campaign Data'!$A990)&amp;"-"&amp;TEXT(MONTH('Campaign Data'!$A990),"00")</f>
        <v>2026-02</v>
      </c>
    </row>
    <row r="991" spans="1:21" x14ac:dyDescent="0.25">
      <c r="A991">
        <v>46077</v>
      </c>
      <c r="B991" t="s">
        <v>56</v>
      </c>
      <c r="C991" t="s">
        <v>57</v>
      </c>
      <c r="D991" t="s">
        <v>58</v>
      </c>
      <c r="E991" t="s">
        <v>33</v>
      </c>
      <c r="F991" t="s">
        <v>43</v>
      </c>
      <c r="G991" t="s">
        <v>59</v>
      </c>
      <c r="H991" t="s">
        <v>55</v>
      </c>
      <c r="I991" t="s">
        <v>37</v>
      </c>
      <c r="J991" t="s">
        <v>87</v>
      </c>
      <c r="K991">
        <v>4176</v>
      </c>
      <c r="L991">
        <v>26</v>
      </c>
      <c r="M991">
        <v>17.12</v>
      </c>
      <c r="N991">
        <v>0</v>
      </c>
      <c r="O991">
        <v>0</v>
      </c>
      <c r="P991">
        <f t="shared" si="60"/>
        <v>6.2260536398467429E-3</v>
      </c>
      <c r="Q991">
        <f t="shared" si="60"/>
        <v>0.65846153846153854</v>
      </c>
      <c r="R991">
        <f t="shared" si="61"/>
        <v>0</v>
      </c>
      <c r="S991">
        <f t="shared" si="62"/>
        <v>0</v>
      </c>
      <c r="T991">
        <f t="shared" si="63"/>
        <v>0</v>
      </c>
      <c r="U991" t="str">
        <f>YEAR('Campaign Data'!$A991)&amp;"-"&amp;TEXT(MONTH('Campaign Data'!$A991),"00")</f>
        <v>2026-02</v>
      </c>
    </row>
    <row r="992" spans="1:21" x14ac:dyDescent="0.25">
      <c r="A992">
        <v>46078</v>
      </c>
      <c r="B992" t="s">
        <v>21</v>
      </c>
      <c r="C992" t="s">
        <v>124</v>
      </c>
      <c r="D992" t="s">
        <v>23</v>
      </c>
      <c r="E992" t="s">
        <v>24</v>
      </c>
      <c r="F992" t="s">
        <v>25</v>
      </c>
      <c r="G992" t="s">
        <v>26</v>
      </c>
      <c r="H992" t="s">
        <v>90</v>
      </c>
      <c r="I992" t="s">
        <v>28</v>
      </c>
      <c r="J992" t="s">
        <v>38</v>
      </c>
      <c r="K992">
        <v>19454</v>
      </c>
      <c r="L992">
        <v>195</v>
      </c>
      <c r="M992">
        <v>61.58</v>
      </c>
      <c r="N992">
        <v>8</v>
      </c>
      <c r="O992">
        <v>257.25</v>
      </c>
      <c r="P992">
        <f t="shared" si="60"/>
        <v>1.0023645522771666E-2</v>
      </c>
      <c r="Q992">
        <f t="shared" si="60"/>
        <v>0.31579487179487181</v>
      </c>
      <c r="R992">
        <f t="shared" si="61"/>
        <v>7.6974999999999998</v>
      </c>
      <c r="S992">
        <f t="shared" si="62"/>
        <v>4.1774926924326081</v>
      </c>
      <c r="T992">
        <f t="shared" si="63"/>
        <v>4.1025641025641026E-2</v>
      </c>
      <c r="U992" t="str">
        <f>YEAR('Campaign Data'!$A992)&amp;"-"&amp;TEXT(MONTH('Campaign Data'!$A992),"00")</f>
        <v>2026-02</v>
      </c>
    </row>
    <row r="993" spans="1:21" x14ac:dyDescent="0.25">
      <c r="A993">
        <v>46078</v>
      </c>
      <c r="B993" t="s">
        <v>167</v>
      </c>
      <c r="C993" t="s">
        <v>168</v>
      </c>
      <c r="D993" t="s">
        <v>58</v>
      </c>
      <c r="E993" t="s">
        <v>33</v>
      </c>
      <c r="F993" t="s">
        <v>75</v>
      </c>
      <c r="G993" t="s">
        <v>35</v>
      </c>
      <c r="H993" t="s">
        <v>27</v>
      </c>
      <c r="I993" t="s">
        <v>37</v>
      </c>
      <c r="J993" t="s">
        <v>29</v>
      </c>
      <c r="K993">
        <v>15249</v>
      </c>
      <c r="L993">
        <v>161</v>
      </c>
      <c r="M993">
        <v>138.16</v>
      </c>
      <c r="N993">
        <v>4</v>
      </c>
      <c r="O993">
        <v>136.96</v>
      </c>
      <c r="P993">
        <f t="shared" si="60"/>
        <v>1.0558069381598794E-2</v>
      </c>
      <c r="Q993">
        <f t="shared" si="60"/>
        <v>0.85813664596273287</v>
      </c>
      <c r="R993">
        <f t="shared" si="61"/>
        <v>34.54</v>
      </c>
      <c r="S993">
        <f t="shared" si="62"/>
        <v>0.99131441806601051</v>
      </c>
      <c r="T993">
        <f t="shared" si="63"/>
        <v>2.4844720496894408E-2</v>
      </c>
      <c r="U993" t="str">
        <f>YEAR('Campaign Data'!$A993)&amp;"-"&amp;TEXT(MONTH('Campaign Data'!$A993),"00")</f>
        <v>2026-02</v>
      </c>
    </row>
    <row r="994" spans="1:21" x14ac:dyDescent="0.25">
      <c r="A994">
        <v>46078</v>
      </c>
      <c r="B994" t="s">
        <v>125</v>
      </c>
      <c r="C994" t="s">
        <v>126</v>
      </c>
      <c r="D994" t="s">
        <v>41</v>
      </c>
      <c r="E994" t="s">
        <v>42</v>
      </c>
      <c r="F994" t="s">
        <v>81</v>
      </c>
      <c r="G994" t="s">
        <v>44</v>
      </c>
      <c r="H994" t="s">
        <v>60</v>
      </c>
      <c r="I994" t="s">
        <v>28</v>
      </c>
      <c r="J994" t="s">
        <v>87</v>
      </c>
      <c r="K994">
        <v>4339</v>
      </c>
      <c r="L994">
        <v>19</v>
      </c>
      <c r="M994">
        <v>121.59</v>
      </c>
      <c r="N994">
        <v>0</v>
      </c>
      <c r="O994">
        <v>0</v>
      </c>
      <c r="P994">
        <f t="shared" si="60"/>
        <v>4.3788891449642771E-3</v>
      </c>
      <c r="Q994">
        <f t="shared" si="60"/>
        <v>6.3994736842105269</v>
      </c>
      <c r="R994">
        <f t="shared" si="61"/>
        <v>0</v>
      </c>
      <c r="S994">
        <f t="shared" si="62"/>
        <v>0</v>
      </c>
      <c r="T994">
        <f t="shared" si="63"/>
        <v>0</v>
      </c>
      <c r="U994" t="str">
        <f>YEAR('Campaign Data'!$A994)&amp;"-"&amp;TEXT(MONTH('Campaign Data'!$A994),"00")</f>
        <v>2026-02</v>
      </c>
    </row>
    <row r="995" spans="1:21" x14ac:dyDescent="0.25">
      <c r="A995">
        <v>46078</v>
      </c>
      <c r="B995" t="s">
        <v>138</v>
      </c>
      <c r="C995" t="s">
        <v>139</v>
      </c>
      <c r="D995" t="s">
        <v>58</v>
      </c>
      <c r="E995" t="s">
        <v>74</v>
      </c>
      <c r="F995" t="s">
        <v>34</v>
      </c>
      <c r="G995" t="s">
        <v>9</v>
      </c>
      <c r="H995" t="s">
        <v>51</v>
      </c>
      <c r="I995" t="s">
        <v>37</v>
      </c>
      <c r="J995" t="s">
        <v>62</v>
      </c>
      <c r="K995">
        <v>8746</v>
      </c>
      <c r="L995">
        <v>222</v>
      </c>
      <c r="M995">
        <v>328.63</v>
      </c>
      <c r="N995">
        <v>13</v>
      </c>
      <c r="O995">
        <v>1912.74</v>
      </c>
      <c r="P995">
        <f t="shared" si="60"/>
        <v>2.5383032243311229E-2</v>
      </c>
      <c r="Q995">
        <f t="shared" si="60"/>
        <v>1.4803153153153152</v>
      </c>
      <c r="R995">
        <f t="shared" si="61"/>
        <v>25.279230769230768</v>
      </c>
      <c r="S995">
        <f t="shared" si="62"/>
        <v>5.8203450689224967</v>
      </c>
      <c r="T995">
        <f t="shared" si="63"/>
        <v>5.8558558558558557E-2</v>
      </c>
      <c r="U995" t="str">
        <f>YEAR('Campaign Data'!$A995)&amp;"-"&amp;TEXT(MONTH('Campaign Data'!$A995),"00")</f>
        <v>2026-02</v>
      </c>
    </row>
    <row r="996" spans="1:21" x14ac:dyDescent="0.25">
      <c r="A996">
        <v>46078</v>
      </c>
      <c r="B996" t="s">
        <v>30</v>
      </c>
      <c r="C996" t="s">
        <v>31</v>
      </c>
      <c r="D996" t="s">
        <v>32</v>
      </c>
      <c r="E996" t="s">
        <v>33</v>
      </c>
      <c r="F996" t="s">
        <v>34</v>
      </c>
      <c r="G996" t="s">
        <v>35</v>
      </c>
      <c r="H996" t="s">
        <v>36</v>
      </c>
      <c r="I996" t="s">
        <v>28</v>
      </c>
      <c r="J996" t="s">
        <v>87</v>
      </c>
      <c r="K996">
        <v>25362</v>
      </c>
      <c r="L996">
        <v>168</v>
      </c>
      <c r="M996">
        <v>131.01</v>
      </c>
      <c r="N996">
        <v>1</v>
      </c>
      <c r="O996">
        <v>89.03</v>
      </c>
      <c r="P996">
        <f t="shared" si="60"/>
        <v>6.6240832741897328E-3</v>
      </c>
      <c r="Q996">
        <f t="shared" si="60"/>
        <v>0.77982142857142855</v>
      </c>
      <c r="R996">
        <f t="shared" si="61"/>
        <v>131.01</v>
      </c>
      <c r="S996">
        <f t="shared" si="62"/>
        <v>0.67956644530951837</v>
      </c>
      <c r="T996">
        <f t="shared" si="63"/>
        <v>5.9523809523809521E-3</v>
      </c>
      <c r="U996" t="str">
        <f>YEAR('Campaign Data'!$A996)&amp;"-"&amp;TEXT(MONTH('Campaign Data'!$A996),"00")</f>
        <v>2026-02</v>
      </c>
    </row>
    <row r="997" spans="1:21" x14ac:dyDescent="0.25">
      <c r="A997">
        <v>46078</v>
      </c>
      <c r="B997" t="s">
        <v>100</v>
      </c>
      <c r="C997" t="s">
        <v>101</v>
      </c>
      <c r="D997" t="s">
        <v>80</v>
      </c>
      <c r="E997" t="s">
        <v>33</v>
      </c>
      <c r="F997" t="s">
        <v>25</v>
      </c>
      <c r="G997" t="s">
        <v>102</v>
      </c>
      <c r="H997" t="s">
        <v>90</v>
      </c>
      <c r="I997" t="s">
        <v>61</v>
      </c>
      <c r="J997" t="s">
        <v>29</v>
      </c>
      <c r="K997">
        <v>21250</v>
      </c>
      <c r="L997">
        <v>201</v>
      </c>
      <c r="M997">
        <v>21.87</v>
      </c>
      <c r="N997">
        <v>3</v>
      </c>
      <c r="O997">
        <v>71.569999999999993</v>
      </c>
      <c r="P997">
        <f t="shared" si="60"/>
        <v>9.4588235294117643E-3</v>
      </c>
      <c r="Q997">
        <f t="shared" si="60"/>
        <v>0.10880597014925374</v>
      </c>
      <c r="R997">
        <f t="shared" si="61"/>
        <v>7.29</v>
      </c>
      <c r="S997">
        <f t="shared" si="62"/>
        <v>3.2725194330132599</v>
      </c>
      <c r="T997">
        <f t="shared" si="63"/>
        <v>1.4925373134328358E-2</v>
      </c>
      <c r="U997" t="str">
        <f>YEAR('Campaign Data'!$A997)&amp;"-"&amp;TEXT(MONTH('Campaign Data'!$A997),"00")</f>
        <v>2026-02</v>
      </c>
    </row>
    <row r="998" spans="1:21" x14ac:dyDescent="0.25">
      <c r="A998">
        <v>46078</v>
      </c>
      <c r="B998" t="s">
        <v>127</v>
      </c>
      <c r="C998" t="s">
        <v>128</v>
      </c>
      <c r="D998" t="s">
        <v>58</v>
      </c>
      <c r="E998" t="s">
        <v>24</v>
      </c>
      <c r="F998" t="s">
        <v>81</v>
      </c>
      <c r="G998" t="s">
        <v>129</v>
      </c>
      <c r="H998" t="s">
        <v>27</v>
      </c>
      <c r="I998" t="s">
        <v>61</v>
      </c>
      <c r="J998" t="s">
        <v>87</v>
      </c>
      <c r="K998">
        <v>6280</v>
      </c>
      <c r="L998">
        <v>88</v>
      </c>
      <c r="M998">
        <v>104.26</v>
      </c>
      <c r="N998">
        <v>1</v>
      </c>
      <c r="O998">
        <v>15.45</v>
      </c>
      <c r="P998">
        <f t="shared" si="60"/>
        <v>1.4012738853503185E-2</v>
      </c>
      <c r="Q998">
        <f t="shared" si="60"/>
        <v>1.1847727272727273</v>
      </c>
      <c r="R998">
        <f t="shared" si="61"/>
        <v>104.26</v>
      </c>
      <c r="S998">
        <f t="shared" si="62"/>
        <v>0.14818722424707462</v>
      </c>
      <c r="T998">
        <f t="shared" si="63"/>
        <v>1.1363636363636364E-2</v>
      </c>
      <c r="U998" t="str">
        <f>YEAR('Campaign Data'!$A998)&amp;"-"&amp;TEXT(MONTH('Campaign Data'!$A998),"00")</f>
        <v>2026-02</v>
      </c>
    </row>
    <row r="999" spans="1:21" x14ac:dyDescent="0.25">
      <c r="A999">
        <v>46078</v>
      </c>
      <c r="B999" t="s">
        <v>103</v>
      </c>
      <c r="C999" t="s">
        <v>104</v>
      </c>
      <c r="D999" t="s">
        <v>65</v>
      </c>
      <c r="E999" t="s">
        <v>33</v>
      </c>
      <c r="F999" t="s">
        <v>43</v>
      </c>
      <c r="G999" t="s">
        <v>102</v>
      </c>
      <c r="H999" t="s">
        <v>90</v>
      </c>
      <c r="I999" t="s">
        <v>37</v>
      </c>
      <c r="J999" t="s">
        <v>45</v>
      </c>
      <c r="K999">
        <v>7352</v>
      </c>
      <c r="L999">
        <v>46</v>
      </c>
      <c r="M999">
        <v>8.2899999999999991</v>
      </c>
      <c r="N999">
        <v>2</v>
      </c>
      <c r="O999">
        <v>24.38</v>
      </c>
      <c r="P999">
        <f t="shared" si="60"/>
        <v>6.2568008705114258E-3</v>
      </c>
      <c r="Q999">
        <f t="shared" si="60"/>
        <v>0.1802173913043478</v>
      </c>
      <c r="R999">
        <f t="shared" si="61"/>
        <v>4.1449999999999996</v>
      </c>
      <c r="S999">
        <f t="shared" si="62"/>
        <v>2.9408926417370327</v>
      </c>
      <c r="T999">
        <f t="shared" si="63"/>
        <v>4.3478260869565216E-2</v>
      </c>
      <c r="U999" t="str">
        <f>YEAR('Campaign Data'!$A999)&amp;"-"&amp;TEXT(MONTH('Campaign Data'!$A999),"00")</f>
        <v>2026-02</v>
      </c>
    </row>
    <row r="1000" spans="1:21" x14ac:dyDescent="0.25">
      <c r="A1000">
        <v>46078</v>
      </c>
      <c r="B1000" t="s">
        <v>130</v>
      </c>
      <c r="C1000" t="s">
        <v>131</v>
      </c>
      <c r="D1000" t="s">
        <v>48</v>
      </c>
      <c r="E1000" t="s">
        <v>33</v>
      </c>
      <c r="F1000" t="s">
        <v>34</v>
      </c>
      <c r="G1000" t="s">
        <v>35</v>
      </c>
      <c r="H1000" t="s">
        <v>90</v>
      </c>
      <c r="I1000" t="s">
        <v>37</v>
      </c>
      <c r="J1000" t="s">
        <v>62</v>
      </c>
      <c r="K1000">
        <v>7601</v>
      </c>
      <c r="L1000">
        <v>72</v>
      </c>
      <c r="M1000">
        <v>15.02</v>
      </c>
      <c r="N1000">
        <v>2</v>
      </c>
      <c r="O1000">
        <v>96.18</v>
      </c>
      <c r="P1000">
        <f t="shared" si="60"/>
        <v>9.4724378371266946E-3</v>
      </c>
      <c r="Q1000">
        <f t="shared" si="60"/>
        <v>0.20861111111111111</v>
      </c>
      <c r="R1000">
        <f t="shared" si="61"/>
        <v>7.51</v>
      </c>
      <c r="S1000">
        <f t="shared" si="62"/>
        <v>6.4034620505992015</v>
      </c>
      <c r="T1000">
        <f t="shared" si="63"/>
        <v>2.7777777777777776E-2</v>
      </c>
      <c r="U1000" t="str">
        <f>YEAR('Campaign Data'!$A1000)&amp;"-"&amp;TEXT(MONTH('Campaign Data'!$A1000),"00")</f>
        <v>2026-02</v>
      </c>
    </row>
    <row r="1001" spans="1:21" x14ac:dyDescent="0.25">
      <c r="A1001">
        <v>46078</v>
      </c>
      <c r="B1001" t="s">
        <v>132</v>
      </c>
      <c r="C1001" t="s">
        <v>133</v>
      </c>
      <c r="D1001" t="s">
        <v>23</v>
      </c>
      <c r="E1001" t="s">
        <v>42</v>
      </c>
      <c r="F1001" t="s">
        <v>75</v>
      </c>
      <c r="G1001" t="s">
        <v>84</v>
      </c>
      <c r="H1001" t="s">
        <v>71</v>
      </c>
      <c r="I1001" t="s">
        <v>28</v>
      </c>
      <c r="J1001" t="s">
        <v>29</v>
      </c>
      <c r="K1001">
        <v>12730</v>
      </c>
      <c r="L1001">
        <v>27</v>
      </c>
      <c r="M1001">
        <v>130.05000000000001</v>
      </c>
      <c r="N1001">
        <v>1</v>
      </c>
      <c r="O1001">
        <v>30.49</v>
      </c>
      <c r="P1001">
        <f t="shared" si="60"/>
        <v>2.1209740769835036E-3</v>
      </c>
      <c r="Q1001">
        <f t="shared" si="60"/>
        <v>4.8166666666666673</v>
      </c>
      <c r="R1001">
        <f t="shared" si="61"/>
        <v>130.05000000000001</v>
      </c>
      <c r="S1001">
        <f t="shared" si="62"/>
        <v>0.23444828911956936</v>
      </c>
      <c r="T1001">
        <f t="shared" si="63"/>
        <v>3.7037037037037035E-2</v>
      </c>
      <c r="U1001" t="str">
        <f>YEAR('Campaign Data'!$A1001)&amp;"-"&amp;TEXT(MONTH('Campaign Data'!$A1001),"00")</f>
        <v>2026-02</v>
      </c>
    </row>
    <row r="1002" spans="1:21" x14ac:dyDescent="0.25">
      <c r="A1002">
        <v>46078</v>
      </c>
      <c r="B1002" t="s">
        <v>132</v>
      </c>
      <c r="C1002" t="s">
        <v>133</v>
      </c>
      <c r="D1002" t="s">
        <v>23</v>
      </c>
      <c r="E1002" t="s">
        <v>42</v>
      </c>
      <c r="F1002" t="s">
        <v>75</v>
      </c>
      <c r="G1002" t="s">
        <v>84</v>
      </c>
      <c r="H1002" t="s">
        <v>36</v>
      </c>
      <c r="I1002" t="s">
        <v>28</v>
      </c>
      <c r="J1002" t="s">
        <v>45</v>
      </c>
      <c r="K1002">
        <v>2956</v>
      </c>
      <c r="L1002">
        <v>19</v>
      </c>
      <c r="M1002">
        <v>154.34</v>
      </c>
      <c r="N1002">
        <v>1</v>
      </c>
      <c r="O1002">
        <v>31.89</v>
      </c>
      <c r="P1002">
        <f t="shared" si="60"/>
        <v>6.4276048714479025E-3</v>
      </c>
      <c r="Q1002">
        <f t="shared" si="60"/>
        <v>8.1231578947368419</v>
      </c>
      <c r="R1002">
        <f t="shared" si="61"/>
        <v>154.34</v>
      </c>
      <c r="S1002">
        <f t="shared" si="62"/>
        <v>0.20662174420111443</v>
      </c>
      <c r="T1002">
        <f t="shared" si="63"/>
        <v>5.2631578947368418E-2</v>
      </c>
      <c r="U1002" t="str">
        <f>YEAR('Campaign Data'!$A1002)&amp;"-"&amp;TEXT(MONTH('Campaign Data'!$A1002),"00")</f>
        <v>2026-02</v>
      </c>
    </row>
    <row r="1003" spans="1:21" x14ac:dyDescent="0.25">
      <c r="A1003">
        <v>46078</v>
      </c>
      <c r="B1003" t="s">
        <v>177</v>
      </c>
      <c r="C1003" t="s">
        <v>178</v>
      </c>
      <c r="D1003" t="s">
        <v>41</v>
      </c>
      <c r="E1003" t="s">
        <v>49</v>
      </c>
      <c r="F1003" t="s">
        <v>34</v>
      </c>
      <c r="G1003" t="s">
        <v>107</v>
      </c>
      <c r="H1003" t="s">
        <v>90</v>
      </c>
      <c r="I1003" t="s">
        <v>28</v>
      </c>
      <c r="J1003" t="s">
        <v>87</v>
      </c>
      <c r="K1003">
        <v>9832</v>
      </c>
      <c r="L1003">
        <v>615</v>
      </c>
      <c r="M1003">
        <v>312.93</v>
      </c>
      <c r="N1003">
        <v>31</v>
      </c>
      <c r="O1003">
        <v>725.49</v>
      </c>
      <c r="P1003">
        <f t="shared" si="60"/>
        <v>6.2550854353132623E-2</v>
      </c>
      <c r="Q1003">
        <f t="shared" si="60"/>
        <v>0.50882926829268293</v>
      </c>
      <c r="R1003">
        <f t="shared" si="61"/>
        <v>10.094516129032259</v>
      </c>
      <c r="S1003">
        <f t="shared" si="62"/>
        <v>2.3183779119930974</v>
      </c>
      <c r="T1003">
        <f t="shared" si="63"/>
        <v>5.0406504065040651E-2</v>
      </c>
      <c r="U1003" t="str">
        <f>YEAR('Campaign Data'!$A1003)&amp;"-"&amp;TEXT(MONTH('Campaign Data'!$A1003),"00")</f>
        <v>2026-02</v>
      </c>
    </row>
    <row r="1004" spans="1:21" x14ac:dyDescent="0.25">
      <c r="A1004">
        <v>46078</v>
      </c>
      <c r="B1004" t="s">
        <v>177</v>
      </c>
      <c r="C1004" t="s">
        <v>178</v>
      </c>
      <c r="D1004" t="s">
        <v>41</v>
      </c>
      <c r="E1004" t="s">
        <v>49</v>
      </c>
      <c r="F1004" t="s">
        <v>34</v>
      </c>
      <c r="G1004" t="s">
        <v>107</v>
      </c>
      <c r="H1004" t="s">
        <v>27</v>
      </c>
      <c r="I1004" t="s">
        <v>37</v>
      </c>
      <c r="J1004" t="s">
        <v>87</v>
      </c>
      <c r="K1004">
        <v>19676</v>
      </c>
      <c r="L1004">
        <v>970</v>
      </c>
      <c r="M1004">
        <v>1806.88</v>
      </c>
      <c r="N1004">
        <v>32</v>
      </c>
      <c r="O1004">
        <v>4412.26</v>
      </c>
      <c r="P1004">
        <f t="shared" si="60"/>
        <v>4.9298637934539542E-2</v>
      </c>
      <c r="Q1004">
        <f t="shared" si="60"/>
        <v>1.8627628865979382</v>
      </c>
      <c r="R1004">
        <f t="shared" si="61"/>
        <v>56.465000000000003</v>
      </c>
      <c r="S1004">
        <f t="shared" si="62"/>
        <v>2.4419219870716371</v>
      </c>
      <c r="T1004">
        <f t="shared" si="63"/>
        <v>3.2989690721649485E-2</v>
      </c>
      <c r="U1004" t="str">
        <f>YEAR('Campaign Data'!$A1004)&amp;"-"&amp;TEXT(MONTH('Campaign Data'!$A1004),"00")</f>
        <v>2026-02</v>
      </c>
    </row>
    <row r="1005" spans="1:21" x14ac:dyDescent="0.25">
      <c r="A1005">
        <v>46078</v>
      </c>
      <c r="B1005" t="s">
        <v>171</v>
      </c>
      <c r="C1005" t="s">
        <v>172</v>
      </c>
      <c r="D1005" t="s">
        <v>23</v>
      </c>
      <c r="E1005" t="s">
        <v>33</v>
      </c>
      <c r="F1005" t="s">
        <v>75</v>
      </c>
      <c r="G1005" t="s">
        <v>59</v>
      </c>
      <c r="H1005" t="s">
        <v>60</v>
      </c>
      <c r="I1005" t="s">
        <v>37</v>
      </c>
      <c r="J1005" t="s">
        <v>45</v>
      </c>
      <c r="K1005">
        <v>3129</v>
      </c>
      <c r="L1005">
        <v>42</v>
      </c>
      <c r="M1005">
        <v>25.09</v>
      </c>
      <c r="N1005">
        <v>1</v>
      </c>
      <c r="O1005">
        <v>34.29</v>
      </c>
      <c r="P1005">
        <f t="shared" si="60"/>
        <v>1.3422818791946308E-2</v>
      </c>
      <c r="Q1005">
        <f t="shared" si="60"/>
        <v>0.59738095238095235</v>
      </c>
      <c r="R1005">
        <f t="shared" si="61"/>
        <v>25.09</v>
      </c>
      <c r="S1005">
        <f t="shared" si="62"/>
        <v>1.3666799521721802</v>
      </c>
      <c r="T1005">
        <f t="shared" si="63"/>
        <v>2.3809523809523808E-2</v>
      </c>
      <c r="U1005" t="str">
        <f>YEAR('Campaign Data'!$A1005)&amp;"-"&amp;TEXT(MONTH('Campaign Data'!$A1005),"00")</f>
        <v>2026-02</v>
      </c>
    </row>
    <row r="1006" spans="1:21" x14ac:dyDescent="0.25">
      <c r="A1006">
        <v>46078</v>
      </c>
      <c r="B1006" t="s">
        <v>157</v>
      </c>
      <c r="C1006" t="s">
        <v>158</v>
      </c>
      <c r="D1006" t="s">
        <v>58</v>
      </c>
      <c r="E1006" t="s">
        <v>49</v>
      </c>
      <c r="F1006" t="s">
        <v>81</v>
      </c>
      <c r="G1006" t="s">
        <v>50</v>
      </c>
      <c r="H1006" t="s">
        <v>90</v>
      </c>
      <c r="I1006" t="s">
        <v>37</v>
      </c>
      <c r="J1006" t="s">
        <v>45</v>
      </c>
      <c r="K1006">
        <v>5714</v>
      </c>
      <c r="L1006">
        <v>243</v>
      </c>
      <c r="M1006">
        <v>83.67</v>
      </c>
      <c r="N1006">
        <v>1</v>
      </c>
      <c r="O1006">
        <v>6.27</v>
      </c>
      <c r="P1006">
        <f t="shared" si="60"/>
        <v>4.2527126356317814E-2</v>
      </c>
      <c r="Q1006">
        <f t="shared" si="60"/>
        <v>0.34432098765432101</v>
      </c>
      <c r="R1006">
        <f t="shared" si="61"/>
        <v>83.67</v>
      </c>
      <c r="S1006">
        <f t="shared" si="62"/>
        <v>7.4937253495876655E-2</v>
      </c>
      <c r="T1006">
        <f t="shared" si="63"/>
        <v>4.11522633744856E-3</v>
      </c>
      <c r="U1006" t="str">
        <f>YEAR('Campaign Data'!$A1006)&amp;"-"&amp;TEXT(MONTH('Campaign Data'!$A1006),"00")</f>
        <v>2026-02</v>
      </c>
    </row>
    <row r="1007" spans="1:21" x14ac:dyDescent="0.25">
      <c r="A1007">
        <v>46078</v>
      </c>
      <c r="B1007" t="s">
        <v>157</v>
      </c>
      <c r="C1007" t="s">
        <v>158</v>
      </c>
      <c r="D1007" t="s">
        <v>58</v>
      </c>
      <c r="E1007" t="s">
        <v>49</v>
      </c>
      <c r="F1007" t="s">
        <v>81</v>
      </c>
      <c r="G1007" t="s">
        <v>50</v>
      </c>
      <c r="H1007" t="s">
        <v>71</v>
      </c>
      <c r="I1007" t="s">
        <v>28</v>
      </c>
      <c r="J1007" t="s">
        <v>29</v>
      </c>
      <c r="K1007">
        <v>12171</v>
      </c>
      <c r="L1007">
        <v>537</v>
      </c>
      <c r="M1007">
        <v>1097.81</v>
      </c>
      <c r="N1007">
        <v>42</v>
      </c>
      <c r="O1007">
        <v>825.22</v>
      </c>
      <c r="P1007">
        <f t="shared" si="60"/>
        <v>4.4121271875770272E-2</v>
      </c>
      <c r="Q1007">
        <f t="shared" si="60"/>
        <v>2.044338919925512</v>
      </c>
      <c r="R1007">
        <f t="shared" si="61"/>
        <v>26.138333333333332</v>
      </c>
      <c r="S1007">
        <f t="shared" si="62"/>
        <v>0.75169655951394143</v>
      </c>
      <c r="T1007">
        <f t="shared" si="63"/>
        <v>7.8212290502793297E-2</v>
      </c>
      <c r="U1007" t="str">
        <f>YEAR('Campaign Data'!$A1007)&amp;"-"&amp;TEXT(MONTH('Campaign Data'!$A1007),"00")</f>
        <v>2026-02</v>
      </c>
    </row>
    <row r="1008" spans="1:21" x14ac:dyDescent="0.25">
      <c r="A1008">
        <v>46078</v>
      </c>
      <c r="B1008" t="s">
        <v>159</v>
      </c>
      <c r="C1008" t="s">
        <v>160</v>
      </c>
      <c r="D1008" t="s">
        <v>65</v>
      </c>
      <c r="E1008" t="s">
        <v>42</v>
      </c>
      <c r="F1008" t="s">
        <v>75</v>
      </c>
      <c r="G1008" t="s">
        <v>54</v>
      </c>
      <c r="H1008" t="s">
        <v>55</v>
      </c>
      <c r="I1008" t="s">
        <v>28</v>
      </c>
      <c r="J1008" t="s">
        <v>38</v>
      </c>
      <c r="K1008">
        <v>3989</v>
      </c>
      <c r="L1008">
        <v>20</v>
      </c>
      <c r="M1008">
        <v>113.51</v>
      </c>
      <c r="N1008">
        <v>0</v>
      </c>
      <c r="O1008">
        <v>0</v>
      </c>
      <c r="P1008">
        <f t="shared" si="60"/>
        <v>5.0137879167711204E-3</v>
      </c>
      <c r="Q1008">
        <f t="shared" si="60"/>
        <v>5.6755000000000004</v>
      </c>
      <c r="R1008">
        <f t="shared" si="61"/>
        <v>0</v>
      </c>
      <c r="S1008">
        <f t="shared" si="62"/>
        <v>0</v>
      </c>
      <c r="T1008">
        <f t="shared" si="63"/>
        <v>0</v>
      </c>
      <c r="U1008" t="str">
        <f>YEAR('Campaign Data'!$A1008)&amp;"-"&amp;TEXT(MONTH('Campaign Data'!$A1008),"00")</f>
        <v>2026-02</v>
      </c>
    </row>
    <row r="1009" spans="1:21" x14ac:dyDescent="0.25">
      <c r="A1009">
        <v>46078</v>
      </c>
      <c r="B1009" t="s">
        <v>181</v>
      </c>
      <c r="C1009" t="s">
        <v>182</v>
      </c>
      <c r="D1009" t="s">
        <v>32</v>
      </c>
      <c r="E1009" t="s">
        <v>33</v>
      </c>
      <c r="F1009" t="s">
        <v>75</v>
      </c>
      <c r="G1009" t="s">
        <v>59</v>
      </c>
      <c r="H1009" t="s">
        <v>60</v>
      </c>
      <c r="I1009" t="s">
        <v>37</v>
      </c>
      <c r="J1009" t="s">
        <v>45</v>
      </c>
      <c r="K1009">
        <v>10740</v>
      </c>
      <c r="L1009">
        <v>75</v>
      </c>
      <c r="M1009">
        <v>55.81</v>
      </c>
      <c r="N1009">
        <v>0</v>
      </c>
      <c r="O1009">
        <v>0</v>
      </c>
      <c r="P1009">
        <f t="shared" si="60"/>
        <v>6.9832402234636867E-3</v>
      </c>
      <c r="Q1009">
        <f t="shared" si="60"/>
        <v>0.74413333333333331</v>
      </c>
      <c r="R1009">
        <f t="shared" si="61"/>
        <v>0</v>
      </c>
      <c r="S1009">
        <f t="shared" si="62"/>
        <v>0</v>
      </c>
      <c r="T1009">
        <f t="shared" si="63"/>
        <v>0</v>
      </c>
      <c r="U1009" t="str">
        <f>YEAR('Campaign Data'!$A1009)&amp;"-"&amp;TEXT(MONTH('Campaign Data'!$A1009),"00")</f>
        <v>2026-02</v>
      </c>
    </row>
    <row r="1010" spans="1:21" x14ac:dyDescent="0.25">
      <c r="A1010">
        <v>46078</v>
      </c>
      <c r="B1010" t="s">
        <v>181</v>
      </c>
      <c r="C1010" t="s">
        <v>182</v>
      </c>
      <c r="D1010" t="s">
        <v>32</v>
      </c>
      <c r="E1010" t="s">
        <v>33</v>
      </c>
      <c r="F1010" t="s">
        <v>75</v>
      </c>
      <c r="G1010" t="s">
        <v>59</v>
      </c>
      <c r="H1010" t="s">
        <v>27</v>
      </c>
      <c r="I1010" t="s">
        <v>28</v>
      </c>
      <c r="J1010" t="s">
        <v>45</v>
      </c>
      <c r="K1010">
        <v>13102</v>
      </c>
      <c r="L1010">
        <v>144</v>
      </c>
      <c r="M1010">
        <v>149.78</v>
      </c>
      <c r="N1010">
        <v>0</v>
      </c>
      <c r="O1010">
        <v>0</v>
      </c>
      <c r="P1010">
        <f t="shared" si="60"/>
        <v>1.0990688444512288E-2</v>
      </c>
      <c r="Q1010">
        <f t="shared" si="60"/>
        <v>1.0401388888888889</v>
      </c>
      <c r="R1010">
        <f t="shared" si="61"/>
        <v>0</v>
      </c>
      <c r="S1010">
        <f t="shared" si="62"/>
        <v>0</v>
      </c>
      <c r="T1010">
        <f t="shared" si="63"/>
        <v>0</v>
      </c>
      <c r="U1010" t="str">
        <f>YEAR('Campaign Data'!$A1010)&amp;"-"&amp;TEXT(MONTH('Campaign Data'!$A1010),"00")</f>
        <v>2026-02</v>
      </c>
    </row>
    <row r="1011" spans="1:21" x14ac:dyDescent="0.25">
      <c r="A1011">
        <v>46078</v>
      </c>
      <c r="B1011" t="s">
        <v>145</v>
      </c>
      <c r="C1011" t="s">
        <v>146</v>
      </c>
      <c r="D1011" t="s">
        <v>41</v>
      </c>
      <c r="E1011" t="s">
        <v>49</v>
      </c>
      <c r="F1011" t="s">
        <v>75</v>
      </c>
      <c r="G1011" t="s">
        <v>70</v>
      </c>
      <c r="H1011" t="s">
        <v>90</v>
      </c>
      <c r="I1011" t="s">
        <v>37</v>
      </c>
      <c r="J1011" t="s">
        <v>87</v>
      </c>
      <c r="K1011">
        <v>3324</v>
      </c>
      <c r="L1011">
        <v>156</v>
      </c>
      <c r="M1011">
        <v>59.29</v>
      </c>
      <c r="N1011">
        <v>6</v>
      </c>
      <c r="O1011">
        <v>69.709999999999994</v>
      </c>
      <c r="P1011">
        <f t="shared" si="60"/>
        <v>4.6931407942238268E-2</v>
      </c>
      <c r="Q1011">
        <f t="shared" si="60"/>
        <v>0.38006410256410256</v>
      </c>
      <c r="R1011">
        <f t="shared" si="61"/>
        <v>9.8816666666666659</v>
      </c>
      <c r="S1011">
        <f t="shared" si="62"/>
        <v>1.1757463315904872</v>
      </c>
      <c r="T1011">
        <f t="shared" si="63"/>
        <v>3.8461538461538464E-2</v>
      </c>
      <c r="U1011" t="str">
        <f>YEAR('Campaign Data'!$A1011)&amp;"-"&amp;TEXT(MONTH('Campaign Data'!$A1011),"00")</f>
        <v>2026-02</v>
      </c>
    </row>
    <row r="1012" spans="1:21" x14ac:dyDescent="0.25">
      <c r="A1012">
        <v>46079</v>
      </c>
      <c r="B1012" t="s">
        <v>165</v>
      </c>
      <c r="C1012" t="s">
        <v>166</v>
      </c>
      <c r="D1012" t="s">
        <v>41</v>
      </c>
      <c r="E1012" t="s">
        <v>33</v>
      </c>
      <c r="F1012" t="s">
        <v>43</v>
      </c>
      <c r="G1012" t="s">
        <v>59</v>
      </c>
      <c r="H1012" t="s">
        <v>90</v>
      </c>
      <c r="I1012" t="s">
        <v>37</v>
      </c>
      <c r="J1012" t="s">
        <v>87</v>
      </c>
      <c r="K1012">
        <v>8241</v>
      </c>
      <c r="L1012">
        <v>15</v>
      </c>
      <c r="M1012">
        <v>2.81</v>
      </c>
      <c r="N1012">
        <v>0</v>
      </c>
      <c r="O1012">
        <v>0</v>
      </c>
      <c r="P1012">
        <f t="shared" si="60"/>
        <v>1.8201674554058974E-3</v>
      </c>
      <c r="Q1012">
        <f t="shared" si="60"/>
        <v>0.18733333333333332</v>
      </c>
      <c r="R1012">
        <f t="shared" si="61"/>
        <v>0</v>
      </c>
      <c r="S1012">
        <f t="shared" si="62"/>
        <v>0</v>
      </c>
      <c r="T1012">
        <f t="shared" si="63"/>
        <v>0</v>
      </c>
      <c r="U1012" t="str">
        <f>YEAR('Campaign Data'!$A1012)&amp;"-"&amp;TEXT(MONTH('Campaign Data'!$A1012),"00")</f>
        <v>2026-02</v>
      </c>
    </row>
    <row r="1013" spans="1:21" x14ac:dyDescent="0.25">
      <c r="A1013">
        <v>46079</v>
      </c>
      <c r="B1013" t="s">
        <v>21</v>
      </c>
      <c r="C1013" t="s">
        <v>124</v>
      </c>
      <c r="D1013" t="s">
        <v>23</v>
      </c>
      <c r="E1013" t="s">
        <v>24</v>
      </c>
      <c r="F1013" t="s">
        <v>25</v>
      </c>
      <c r="G1013" t="s">
        <v>26</v>
      </c>
      <c r="H1013" t="s">
        <v>71</v>
      </c>
      <c r="I1013" t="s">
        <v>37</v>
      </c>
      <c r="J1013" t="s">
        <v>87</v>
      </c>
      <c r="K1013">
        <v>3453</v>
      </c>
      <c r="L1013">
        <v>56</v>
      </c>
      <c r="M1013">
        <v>44.6</v>
      </c>
      <c r="N1013">
        <v>1</v>
      </c>
      <c r="O1013">
        <v>122.83</v>
      </c>
      <c r="P1013">
        <f t="shared" si="60"/>
        <v>1.6217781639154358E-2</v>
      </c>
      <c r="Q1013">
        <f t="shared" si="60"/>
        <v>0.79642857142857149</v>
      </c>
      <c r="R1013">
        <f t="shared" si="61"/>
        <v>44.6</v>
      </c>
      <c r="S1013">
        <f t="shared" si="62"/>
        <v>2.7540358744394617</v>
      </c>
      <c r="T1013">
        <f t="shared" si="63"/>
        <v>1.7857142857142856E-2</v>
      </c>
      <c r="U1013" t="str">
        <f>YEAR('Campaign Data'!$A1013)&amp;"-"&amp;TEXT(MONTH('Campaign Data'!$A1013),"00")</f>
        <v>2026-02</v>
      </c>
    </row>
    <row r="1014" spans="1:21" x14ac:dyDescent="0.25">
      <c r="A1014">
        <v>46079</v>
      </c>
      <c r="B1014" t="s">
        <v>138</v>
      </c>
      <c r="C1014" t="s">
        <v>139</v>
      </c>
      <c r="D1014" t="s">
        <v>58</v>
      </c>
      <c r="E1014" t="s">
        <v>74</v>
      </c>
      <c r="F1014" t="s">
        <v>34</v>
      </c>
      <c r="G1014" t="s">
        <v>9</v>
      </c>
      <c r="H1014" t="s">
        <v>27</v>
      </c>
      <c r="I1014" t="s">
        <v>28</v>
      </c>
      <c r="J1014" t="s">
        <v>62</v>
      </c>
      <c r="K1014">
        <v>6596</v>
      </c>
      <c r="L1014">
        <v>116</v>
      </c>
      <c r="M1014">
        <v>251.05</v>
      </c>
      <c r="N1014">
        <v>6</v>
      </c>
      <c r="O1014">
        <v>1091.96</v>
      </c>
      <c r="P1014">
        <f t="shared" si="60"/>
        <v>1.758641600970285E-2</v>
      </c>
      <c r="Q1014">
        <f t="shared" si="60"/>
        <v>2.1642241379310345</v>
      </c>
      <c r="R1014">
        <f t="shared" si="61"/>
        <v>41.841666666666669</v>
      </c>
      <c r="S1014">
        <f t="shared" si="62"/>
        <v>4.349571798446525</v>
      </c>
      <c r="T1014">
        <f t="shared" si="63"/>
        <v>5.1724137931034482E-2</v>
      </c>
      <c r="U1014" t="str">
        <f>YEAR('Campaign Data'!$A1014)&amp;"-"&amp;TEXT(MONTH('Campaign Data'!$A1014),"00")</f>
        <v>2026-02</v>
      </c>
    </row>
    <row r="1015" spans="1:21" x14ac:dyDescent="0.25">
      <c r="A1015">
        <v>46079</v>
      </c>
      <c r="B1015" t="s">
        <v>149</v>
      </c>
      <c r="C1015" t="s">
        <v>150</v>
      </c>
      <c r="D1015" t="s">
        <v>65</v>
      </c>
      <c r="E1015" t="s">
        <v>33</v>
      </c>
      <c r="F1015" t="s">
        <v>43</v>
      </c>
      <c r="G1015" t="s">
        <v>59</v>
      </c>
      <c r="H1015" t="s">
        <v>90</v>
      </c>
      <c r="I1015" t="s">
        <v>37</v>
      </c>
      <c r="J1015" t="s">
        <v>87</v>
      </c>
      <c r="K1015">
        <v>18822</v>
      </c>
      <c r="L1015">
        <v>100</v>
      </c>
      <c r="M1015">
        <v>16.29</v>
      </c>
      <c r="N1015">
        <v>3</v>
      </c>
      <c r="O1015">
        <v>25.47</v>
      </c>
      <c r="P1015">
        <f t="shared" si="60"/>
        <v>5.3129316756986506E-3</v>
      </c>
      <c r="Q1015">
        <f t="shared" si="60"/>
        <v>0.16289999999999999</v>
      </c>
      <c r="R1015">
        <f t="shared" si="61"/>
        <v>5.43</v>
      </c>
      <c r="S1015">
        <f t="shared" si="62"/>
        <v>1.5635359116022101</v>
      </c>
      <c r="T1015">
        <f t="shared" si="63"/>
        <v>0.03</v>
      </c>
      <c r="U1015" t="str">
        <f>YEAR('Campaign Data'!$A1015)&amp;"-"&amp;TEXT(MONTH('Campaign Data'!$A1015),"00")</f>
        <v>2026-02</v>
      </c>
    </row>
    <row r="1016" spans="1:21" x14ac:dyDescent="0.25">
      <c r="A1016">
        <v>46079</v>
      </c>
      <c r="B1016" t="s">
        <v>153</v>
      </c>
      <c r="C1016" t="s">
        <v>154</v>
      </c>
      <c r="D1016" t="s">
        <v>48</v>
      </c>
      <c r="E1016" t="s">
        <v>33</v>
      </c>
      <c r="F1016" t="s">
        <v>43</v>
      </c>
      <c r="G1016" t="s">
        <v>59</v>
      </c>
      <c r="H1016" t="s">
        <v>90</v>
      </c>
      <c r="I1016" t="s">
        <v>37</v>
      </c>
      <c r="J1016" t="s">
        <v>87</v>
      </c>
      <c r="K1016">
        <v>1051</v>
      </c>
      <c r="L1016">
        <v>11</v>
      </c>
      <c r="M1016">
        <v>1.51</v>
      </c>
      <c r="N1016">
        <v>0</v>
      </c>
      <c r="O1016">
        <v>0</v>
      </c>
      <c r="P1016">
        <f t="shared" si="60"/>
        <v>1.0466222645099905E-2</v>
      </c>
      <c r="Q1016">
        <f t="shared" si="60"/>
        <v>0.13727272727272727</v>
      </c>
      <c r="R1016">
        <f t="shared" si="61"/>
        <v>0</v>
      </c>
      <c r="S1016">
        <f t="shared" si="62"/>
        <v>0</v>
      </c>
      <c r="T1016">
        <f t="shared" si="63"/>
        <v>0</v>
      </c>
      <c r="U1016" t="str">
        <f>YEAR('Campaign Data'!$A1016)&amp;"-"&amp;TEXT(MONTH('Campaign Data'!$A1016),"00")</f>
        <v>2026-02</v>
      </c>
    </row>
    <row r="1017" spans="1:21" x14ac:dyDescent="0.25">
      <c r="A1017">
        <v>46079</v>
      </c>
      <c r="B1017" t="s">
        <v>159</v>
      </c>
      <c r="C1017" t="s">
        <v>160</v>
      </c>
      <c r="D1017" t="s">
        <v>65</v>
      </c>
      <c r="E1017" t="s">
        <v>42</v>
      </c>
      <c r="F1017" t="s">
        <v>75</v>
      </c>
      <c r="G1017" t="s">
        <v>54</v>
      </c>
      <c r="H1017" t="s">
        <v>90</v>
      </c>
      <c r="I1017" t="s">
        <v>37</v>
      </c>
      <c r="J1017" t="s">
        <v>62</v>
      </c>
      <c r="K1017">
        <v>12358</v>
      </c>
      <c r="L1017">
        <v>148</v>
      </c>
      <c r="M1017">
        <v>255.17</v>
      </c>
      <c r="N1017">
        <v>7</v>
      </c>
      <c r="O1017">
        <v>70.53</v>
      </c>
      <c r="P1017">
        <f t="shared" si="60"/>
        <v>1.1976047904191617E-2</v>
      </c>
      <c r="Q1017">
        <f t="shared" si="60"/>
        <v>1.7241216216216215</v>
      </c>
      <c r="R1017">
        <f t="shared" si="61"/>
        <v>36.452857142857141</v>
      </c>
      <c r="S1017">
        <f t="shared" si="62"/>
        <v>0.27640396598346201</v>
      </c>
      <c r="T1017">
        <f t="shared" si="63"/>
        <v>4.72972972972973E-2</v>
      </c>
      <c r="U1017" t="str">
        <f>YEAR('Campaign Data'!$A1017)&amp;"-"&amp;TEXT(MONTH('Campaign Data'!$A1017),"00")</f>
        <v>2026-02</v>
      </c>
    </row>
    <row r="1018" spans="1:21" x14ac:dyDescent="0.25">
      <c r="A1018">
        <v>46079</v>
      </c>
      <c r="B1018" t="s">
        <v>181</v>
      </c>
      <c r="C1018" t="s">
        <v>182</v>
      </c>
      <c r="D1018" t="s">
        <v>32</v>
      </c>
      <c r="E1018" t="s">
        <v>33</v>
      </c>
      <c r="F1018" t="s">
        <v>75</v>
      </c>
      <c r="G1018" t="s">
        <v>59</v>
      </c>
      <c r="H1018" t="s">
        <v>71</v>
      </c>
      <c r="I1018" t="s">
        <v>37</v>
      </c>
      <c r="J1018" t="s">
        <v>62</v>
      </c>
      <c r="K1018">
        <v>8721</v>
      </c>
      <c r="L1018">
        <v>59</v>
      </c>
      <c r="M1018">
        <v>29.45</v>
      </c>
      <c r="N1018">
        <v>1</v>
      </c>
      <c r="O1018">
        <v>37.47</v>
      </c>
      <c r="P1018">
        <f t="shared" si="60"/>
        <v>6.7652792110996446E-3</v>
      </c>
      <c r="Q1018">
        <f t="shared" si="60"/>
        <v>0.49915254237288137</v>
      </c>
      <c r="R1018">
        <f t="shared" si="61"/>
        <v>29.45</v>
      </c>
      <c r="S1018">
        <f t="shared" si="62"/>
        <v>1.2723259762308998</v>
      </c>
      <c r="T1018">
        <f t="shared" si="63"/>
        <v>1.6949152542372881E-2</v>
      </c>
      <c r="U1018" t="str">
        <f>YEAR('Campaign Data'!$A1018)&amp;"-"&amp;TEXT(MONTH('Campaign Data'!$A1018),"00")</f>
        <v>2026-02</v>
      </c>
    </row>
    <row r="1019" spans="1:21" x14ac:dyDescent="0.25">
      <c r="A1019">
        <v>46079</v>
      </c>
      <c r="B1019" t="s">
        <v>161</v>
      </c>
      <c r="C1019" t="s">
        <v>162</v>
      </c>
      <c r="D1019" t="s">
        <v>48</v>
      </c>
      <c r="E1019" t="s">
        <v>74</v>
      </c>
      <c r="F1019" t="s">
        <v>34</v>
      </c>
      <c r="G1019" t="s">
        <v>107</v>
      </c>
      <c r="H1019" t="s">
        <v>51</v>
      </c>
      <c r="I1019" t="s">
        <v>37</v>
      </c>
      <c r="J1019" t="s">
        <v>38</v>
      </c>
      <c r="K1019">
        <v>7384</v>
      </c>
      <c r="L1019">
        <v>180</v>
      </c>
      <c r="M1019">
        <v>163.98</v>
      </c>
      <c r="N1019">
        <v>8</v>
      </c>
      <c r="O1019">
        <v>1672.84</v>
      </c>
      <c r="P1019">
        <f t="shared" si="60"/>
        <v>2.437703141928494E-2</v>
      </c>
      <c r="Q1019">
        <f t="shared" si="60"/>
        <v>0.91099999999999992</v>
      </c>
      <c r="R1019">
        <f t="shared" si="61"/>
        <v>20.497499999999999</v>
      </c>
      <c r="S1019">
        <f t="shared" si="62"/>
        <v>10.201487986339798</v>
      </c>
      <c r="T1019">
        <f t="shared" si="63"/>
        <v>4.4444444444444446E-2</v>
      </c>
      <c r="U1019" t="str">
        <f>YEAR('Campaign Data'!$A1019)&amp;"-"&amp;TEXT(MONTH('Campaign Data'!$A1019),"00")</f>
        <v>2026-02</v>
      </c>
    </row>
    <row r="1020" spans="1:21" x14ac:dyDescent="0.25">
      <c r="A1020">
        <v>46079</v>
      </c>
      <c r="B1020" t="s">
        <v>56</v>
      </c>
      <c r="C1020" t="s">
        <v>57</v>
      </c>
      <c r="D1020" t="s">
        <v>58</v>
      </c>
      <c r="E1020" t="s">
        <v>33</v>
      </c>
      <c r="F1020" t="s">
        <v>43</v>
      </c>
      <c r="G1020" t="s">
        <v>59</v>
      </c>
      <c r="H1020" t="s">
        <v>51</v>
      </c>
      <c r="I1020" t="s">
        <v>37</v>
      </c>
      <c r="J1020" t="s">
        <v>29</v>
      </c>
      <c r="K1020">
        <v>6312</v>
      </c>
      <c r="L1020">
        <v>66</v>
      </c>
      <c r="M1020">
        <v>31.15</v>
      </c>
      <c r="N1020">
        <v>0</v>
      </c>
      <c r="O1020">
        <v>0</v>
      </c>
      <c r="P1020">
        <f t="shared" si="60"/>
        <v>1.0456273764258554E-2</v>
      </c>
      <c r="Q1020">
        <f t="shared" si="60"/>
        <v>0.47196969696969693</v>
      </c>
      <c r="R1020">
        <f t="shared" si="61"/>
        <v>0</v>
      </c>
      <c r="S1020">
        <f t="shared" si="62"/>
        <v>0</v>
      </c>
      <c r="T1020">
        <f t="shared" si="63"/>
        <v>0</v>
      </c>
      <c r="U1020" t="str">
        <f>YEAR('Campaign Data'!$A1020)&amp;"-"&amp;TEXT(MONTH('Campaign Data'!$A1020),"00")</f>
        <v>2026-02</v>
      </c>
    </row>
    <row r="1021" spans="1:21" x14ac:dyDescent="0.25">
      <c r="A1021">
        <v>46079</v>
      </c>
      <c r="B1021" t="s">
        <v>72</v>
      </c>
      <c r="C1021" t="s">
        <v>73</v>
      </c>
      <c r="D1021" t="s">
        <v>69</v>
      </c>
      <c r="E1021" t="s">
        <v>74</v>
      </c>
      <c r="F1021" t="s">
        <v>75</v>
      </c>
      <c r="G1021" t="s">
        <v>9</v>
      </c>
      <c r="H1021" t="s">
        <v>27</v>
      </c>
      <c r="I1021" t="s">
        <v>37</v>
      </c>
      <c r="J1021" t="s">
        <v>38</v>
      </c>
      <c r="K1021">
        <v>4609</v>
      </c>
      <c r="L1021">
        <v>161</v>
      </c>
      <c r="M1021">
        <v>314.57</v>
      </c>
      <c r="N1021">
        <v>3</v>
      </c>
      <c r="O1021">
        <v>164.1</v>
      </c>
      <c r="P1021">
        <f t="shared" si="60"/>
        <v>3.4931655456715123E-2</v>
      </c>
      <c r="Q1021">
        <f t="shared" si="60"/>
        <v>1.9538509316770185</v>
      </c>
      <c r="R1021">
        <f t="shared" si="61"/>
        <v>104.85666666666667</v>
      </c>
      <c r="S1021">
        <f t="shared" si="62"/>
        <v>0.52166449438916618</v>
      </c>
      <c r="T1021">
        <f t="shared" si="63"/>
        <v>1.8633540372670808E-2</v>
      </c>
      <c r="U1021" t="str">
        <f>YEAR('Campaign Data'!$A1021)&amp;"-"&amp;TEXT(MONTH('Campaign Data'!$A1021),"00")</f>
        <v>2026-02</v>
      </c>
    </row>
    <row r="1022" spans="1:21" x14ac:dyDescent="0.25">
      <c r="A1022">
        <v>46079</v>
      </c>
      <c r="B1022" t="s">
        <v>76</v>
      </c>
      <c r="C1022" t="s">
        <v>77</v>
      </c>
      <c r="D1022" t="s">
        <v>65</v>
      </c>
      <c r="E1022" t="s">
        <v>42</v>
      </c>
      <c r="F1022" t="s">
        <v>43</v>
      </c>
      <c r="G1022" t="s">
        <v>44</v>
      </c>
      <c r="H1022" t="s">
        <v>60</v>
      </c>
      <c r="I1022" t="s">
        <v>37</v>
      </c>
      <c r="J1022" t="s">
        <v>29</v>
      </c>
      <c r="K1022">
        <v>1696</v>
      </c>
      <c r="L1022">
        <v>16</v>
      </c>
      <c r="M1022">
        <v>95.3</v>
      </c>
      <c r="N1022">
        <v>0</v>
      </c>
      <c r="O1022">
        <v>0</v>
      </c>
      <c r="P1022">
        <f t="shared" si="60"/>
        <v>9.433962264150943E-3</v>
      </c>
      <c r="Q1022">
        <f t="shared" si="60"/>
        <v>5.9562499999999998</v>
      </c>
      <c r="R1022">
        <f t="shared" si="61"/>
        <v>0</v>
      </c>
      <c r="S1022">
        <f t="shared" si="62"/>
        <v>0</v>
      </c>
      <c r="T1022">
        <f t="shared" si="63"/>
        <v>0</v>
      </c>
      <c r="U1022" t="str">
        <f>YEAR('Campaign Data'!$A1022)&amp;"-"&amp;TEXT(MONTH('Campaign Data'!$A1022),"00")</f>
        <v>2026-02</v>
      </c>
    </row>
    <row r="1023" spans="1:21" x14ac:dyDescent="0.25">
      <c r="A1023">
        <v>46079</v>
      </c>
      <c r="B1023" t="s">
        <v>120</v>
      </c>
      <c r="C1023" t="s">
        <v>121</v>
      </c>
      <c r="D1023" t="s">
        <v>23</v>
      </c>
      <c r="E1023" t="s">
        <v>49</v>
      </c>
      <c r="F1023" t="s">
        <v>75</v>
      </c>
      <c r="G1023" t="s">
        <v>70</v>
      </c>
      <c r="H1023" t="s">
        <v>36</v>
      </c>
      <c r="I1023" t="s">
        <v>28</v>
      </c>
      <c r="J1023" t="s">
        <v>87</v>
      </c>
      <c r="K1023">
        <v>4698</v>
      </c>
      <c r="L1023">
        <v>220</v>
      </c>
      <c r="M1023">
        <v>326.67</v>
      </c>
      <c r="N1023">
        <v>24</v>
      </c>
      <c r="O1023">
        <v>1319.56</v>
      </c>
      <c r="P1023">
        <f t="shared" si="60"/>
        <v>4.6828437633035333E-2</v>
      </c>
      <c r="Q1023">
        <f t="shared" si="60"/>
        <v>1.4848636363636365</v>
      </c>
      <c r="R1023">
        <f t="shared" si="61"/>
        <v>13.61125</v>
      </c>
      <c r="S1023">
        <f t="shared" si="62"/>
        <v>4.0394281691003151</v>
      </c>
      <c r="T1023">
        <f t="shared" si="63"/>
        <v>0.10909090909090909</v>
      </c>
      <c r="U1023" t="str">
        <f>YEAR('Campaign Data'!$A1023)&amp;"-"&amp;TEXT(MONTH('Campaign Data'!$A1023),"00")</f>
        <v>2026-02</v>
      </c>
    </row>
    <row r="1024" spans="1:21" x14ac:dyDescent="0.25">
      <c r="A1024">
        <v>46080</v>
      </c>
      <c r="B1024" t="s">
        <v>165</v>
      </c>
      <c r="C1024" t="s">
        <v>166</v>
      </c>
      <c r="D1024" t="s">
        <v>41</v>
      </c>
      <c r="E1024" t="s">
        <v>33</v>
      </c>
      <c r="F1024" t="s">
        <v>43</v>
      </c>
      <c r="G1024" t="s">
        <v>59</v>
      </c>
      <c r="H1024" t="s">
        <v>51</v>
      </c>
      <c r="I1024" t="s">
        <v>28</v>
      </c>
      <c r="J1024" t="s">
        <v>45</v>
      </c>
      <c r="K1024">
        <v>6939</v>
      </c>
      <c r="L1024">
        <v>77</v>
      </c>
      <c r="M1024">
        <v>53.57</v>
      </c>
      <c r="N1024">
        <v>2</v>
      </c>
      <c r="O1024">
        <v>30.57</v>
      </c>
      <c r="P1024">
        <f t="shared" si="60"/>
        <v>1.109669981265312E-2</v>
      </c>
      <c r="Q1024">
        <f t="shared" si="60"/>
        <v>0.69571428571428573</v>
      </c>
      <c r="R1024">
        <f t="shared" si="61"/>
        <v>26.785</v>
      </c>
      <c r="S1024">
        <f t="shared" si="62"/>
        <v>0.57065521747246595</v>
      </c>
      <c r="T1024">
        <f t="shared" si="63"/>
        <v>2.5974025974025976E-2</v>
      </c>
      <c r="U1024" t="str">
        <f>YEAR('Campaign Data'!$A1024)&amp;"-"&amp;TEXT(MONTH('Campaign Data'!$A1024),"00")</f>
        <v>2026-02</v>
      </c>
    </row>
    <row r="1025" spans="1:21" x14ac:dyDescent="0.25">
      <c r="A1025">
        <v>46080</v>
      </c>
      <c r="B1025" t="s">
        <v>173</v>
      </c>
      <c r="C1025" t="s">
        <v>174</v>
      </c>
      <c r="D1025" t="s">
        <v>48</v>
      </c>
      <c r="E1025" t="s">
        <v>74</v>
      </c>
      <c r="F1025" t="s">
        <v>25</v>
      </c>
      <c r="G1025" t="s">
        <v>9</v>
      </c>
      <c r="H1025" t="s">
        <v>90</v>
      </c>
      <c r="I1025" t="s">
        <v>37</v>
      </c>
      <c r="J1025" t="s">
        <v>87</v>
      </c>
      <c r="K1025">
        <v>8578</v>
      </c>
      <c r="L1025">
        <v>281</v>
      </c>
      <c r="M1025">
        <v>85.78</v>
      </c>
      <c r="N1025">
        <v>10</v>
      </c>
      <c r="O1025">
        <v>381.01</v>
      </c>
      <c r="P1025">
        <f t="shared" si="60"/>
        <v>3.2758218698997435E-2</v>
      </c>
      <c r="Q1025">
        <f t="shared" si="60"/>
        <v>0.30526690391459077</v>
      </c>
      <c r="R1025">
        <f t="shared" si="61"/>
        <v>8.5779999999999994</v>
      </c>
      <c r="S1025">
        <f t="shared" si="62"/>
        <v>4.4417113546281186</v>
      </c>
      <c r="T1025">
        <f t="shared" si="63"/>
        <v>3.5587188612099648E-2</v>
      </c>
      <c r="U1025" t="str">
        <f>YEAR('Campaign Data'!$A1025)&amp;"-"&amp;TEXT(MONTH('Campaign Data'!$A1025),"00")</f>
        <v>2026-02</v>
      </c>
    </row>
    <row r="1026" spans="1:21" x14ac:dyDescent="0.25">
      <c r="A1026">
        <v>46080</v>
      </c>
      <c r="B1026" t="s">
        <v>167</v>
      </c>
      <c r="C1026" t="s">
        <v>168</v>
      </c>
      <c r="D1026" t="s">
        <v>58</v>
      </c>
      <c r="E1026" t="s">
        <v>33</v>
      </c>
      <c r="F1026" t="s">
        <v>75</v>
      </c>
      <c r="G1026" t="s">
        <v>35</v>
      </c>
      <c r="H1026" t="s">
        <v>90</v>
      </c>
      <c r="I1026" t="s">
        <v>37</v>
      </c>
      <c r="J1026" t="s">
        <v>87</v>
      </c>
      <c r="K1026">
        <v>14261</v>
      </c>
      <c r="L1026">
        <v>94</v>
      </c>
      <c r="M1026">
        <v>12.95</v>
      </c>
      <c r="N1026">
        <v>0</v>
      </c>
      <c r="O1026">
        <v>0</v>
      </c>
      <c r="P1026">
        <f t="shared" ref="P1026:Q1089" si="64">IF(K1026=0,0,L1026/K1026)</f>
        <v>6.5914031274104199E-3</v>
      </c>
      <c r="Q1026">
        <f t="shared" si="64"/>
        <v>0.1377659574468085</v>
      </c>
      <c r="R1026">
        <f t="shared" ref="R1026:R1089" si="65">IF(N1026=0,0,M1026/N1026)</f>
        <v>0</v>
      </c>
      <c r="S1026">
        <f t="shared" ref="S1026:S1089" si="66">IF(M1026=0,0,O1026/M1026)</f>
        <v>0</v>
      </c>
      <c r="T1026">
        <f t="shared" ref="T1026:T1089" si="67">IF(L1026=0,0,N1026/L1026)</f>
        <v>0</v>
      </c>
      <c r="U1026" t="str">
        <f>YEAR('Campaign Data'!$A1026)&amp;"-"&amp;TEXT(MONTH('Campaign Data'!$A1026),"00")</f>
        <v>2026-02</v>
      </c>
    </row>
    <row r="1027" spans="1:21" x14ac:dyDescent="0.25">
      <c r="A1027">
        <v>46080</v>
      </c>
      <c r="B1027" t="s">
        <v>167</v>
      </c>
      <c r="C1027" t="s">
        <v>168</v>
      </c>
      <c r="D1027" t="s">
        <v>58</v>
      </c>
      <c r="E1027" t="s">
        <v>33</v>
      </c>
      <c r="F1027" t="s">
        <v>75</v>
      </c>
      <c r="G1027" t="s">
        <v>35</v>
      </c>
      <c r="H1027" t="s">
        <v>36</v>
      </c>
      <c r="I1027" t="s">
        <v>37</v>
      </c>
      <c r="J1027" t="s">
        <v>87</v>
      </c>
      <c r="K1027">
        <v>28599</v>
      </c>
      <c r="L1027">
        <v>394</v>
      </c>
      <c r="M1027">
        <v>275.95</v>
      </c>
      <c r="N1027">
        <v>4</v>
      </c>
      <c r="O1027">
        <v>189.01</v>
      </c>
      <c r="P1027">
        <f t="shared" si="64"/>
        <v>1.377670547921256E-2</v>
      </c>
      <c r="Q1027">
        <f t="shared" si="64"/>
        <v>0.70038071065989849</v>
      </c>
      <c r="R1027">
        <f t="shared" si="65"/>
        <v>68.987499999999997</v>
      </c>
      <c r="S1027">
        <f t="shared" si="66"/>
        <v>0.68494292444283389</v>
      </c>
      <c r="T1027">
        <f t="shared" si="67"/>
        <v>1.015228426395939E-2</v>
      </c>
      <c r="U1027" t="str">
        <f>YEAR('Campaign Data'!$A1027)&amp;"-"&amp;TEXT(MONTH('Campaign Data'!$A1027),"00")</f>
        <v>2026-02</v>
      </c>
    </row>
    <row r="1028" spans="1:21" x14ac:dyDescent="0.25">
      <c r="A1028">
        <v>46080</v>
      </c>
      <c r="B1028" t="s">
        <v>149</v>
      </c>
      <c r="C1028" t="s">
        <v>150</v>
      </c>
      <c r="D1028" t="s">
        <v>65</v>
      </c>
      <c r="E1028" t="s">
        <v>33</v>
      </c>
      <c r="F1028" t="s">
        <v>43</v>
      </c>
      <c r="G1028" t="s">
        <v>59</v>
      </c>
      <c r="H1028" t="s">
        <v>36</v>
      </c>
      <c r="I1028" t="s">
        <v>37</v>
      </c>
      <c r="J1028" t="s">
        <v>87</v>
      </c>
      <c r="K1028">
        <v>106449</v>
      </c>
      <c r="L1028">
        <v>984</v>
      </c>
      <c r="M1028">
        <v>391</v>
      </c>
      <c r="N1028">
        <v>17</v>
      </c>
      <c r="O1028">
        <v>191.23</v>
      </c>
      <c r="P1028">
        <f t="shared" si="64"/>
        <v>9.2438632584617986E-3</v>
      </c>
      <c r="Q1028">
        <f t="shared" si="64"/>
        <v>0.39735772357723576</v>
      </c>
      <c r="R1028">
        <f t="shared" si="65"/>
        <v>23</v>
      </c>
      <c r="S1028">
        <f t="shared" si="66"/>
        <v>0.48907928388746802</v>
      </c>
      <c r="T1028">
        <f t="shared" si="67"/>
        <v>1.7276422764227643E-2</v>
      </c>
      <c r="U1028" t="str">
        <f>YEAR('Campaign Data'!$A1028)&amp;"-"&amp;TEXT(MONTH('Campaign Data'!$A1028),"00")</f>
        <v>2026-02</v>
      </c>
    </row>
    <row r="1029" spans="1:21" x14ac:dyDescent="0.25">
      <c r="A1029">
        <v>46080</v>
      </c>
      <c r="B1029" t="s">
        <v>91</v>
      </c>
      <c r="C1029" t="s">
        <v>92</v>
      </c>
      <c r="D1029" t="s">
        <v>41</v>
      </c>
      <c r="E1029" t="s">
        <v>74</v>
      </c>
      <c r="F1029" t="s">
        <v>75</v>
      </c>
      <c r="G1029" t="s">
        <v>9</v>
      </c>
      <c r="H1029" t="s">
        <v>90</v>
      </c>
      <c r="I1029" t="s">
        <v>61</v>
      </c>
      <c r="J1029" t="s">
        <v>62</v>
      </c>
      <c r="K1029">
        <v>4254</v>
      </c>
      <c r="L1029">
        <v>195</v>
      </c>
      <c r="M1029">
        <v>65.86</v>
      </c>
      <c r="N1029">
        <v>10</v>
      </c>
      <c r="O1029">
        <v>96.05</v>
      </c>
      <c r="P1029">
        <f t="shared" si="64"/>
        <v>4.5839210155148094E-2</v>
      </c>
      <c r="Q1029">
        <f t="shared" si="64"/>
        <v>0.33774358974358976</v>
      </c>
      <c r="R1029">
        <f t="shared" si="65"/>
        <v>6.5860000000000003</v>
      </c>
      <c r="S1029">
        <f t="shared" si="66"/>
        <v>1.458396598846037</v>
      </c>
      <c r="T1029">
        <f t="shared" si="67"/>
        <v>5.128205128205128E-2</v>
      </c>
      <c r="U1029" t="str">
        <f>YEAR('Campaign Data'!$A1029)&amp;"-"&amp;TEXT(MONTH('Campaign Data'!$A1029),"00")</f>
        <v>2026-02</v>
      </c>
    </row>
    <row r="1030" spans="1:21" x14ac:dyDescent="0.25">
      <c r="A1030">
        <v>46080</v>
      </c>
      <c r="B1030" t="s">
        <v>95</v>
      </c>
      <c r="C1030" t="s">
        <v>96</v>
      </c>
      <c r="D1030" t="s">
        <v>23</v>
      </c>
      <c r="E1030" t="s">
        <v>49</v>
      </c>
      <c r="F1030" t="s">
        <v>43</v>
      </c>
      <c r="G1030" t="s">
        <v>97</v>
      </c>
      <c r="H1030" t="s">
        <v>90</v>
      </c>
      <c r="I1030" t="s">
        <v>37</v>
      </c>
      <c r="J1030" t="s">
        <v>62</v>
      </c>
      <c r="K1030">
        <v>14405</v>
      </c>
      <c r="L1030">
        <v>989</v>
      </c>
      <c r="M1030">
        <v>444.21</v>
      </c>
      <c r="N1030">
        <v>50</v>
      </c>
      <c r="O1030">
        <v>306.77</v>
      </c>
      <c r="P1030">
        <f t="shared" si="64"/>
        <v>6.8656716417910449E-2</v>
      </c>
      <c r="Q1030">
        <f t="shared" si="64"/>
        <v>0.44915065722952474</v>
      </c>
      <c r="R1030">
        <f t="shared" si="65"/>
        <v>8.8841999999999999</v>
      </c>
      <c r="S1030">
        <f t="shared" si="66"/>
        <v>0.69059678980662298</v>
      </c>
      <c r="T1030">
        <f t="shared" si="67"/>
        <v>5.0556117290192111E-2</v>
      </c>
      <c r="U1030" t="str">
        <f>YEAR('Campaign Data'!$A1030)&amp;"-"&amp;TEXT(MONTH('Campaign Data'!$A1030),"00")</f>
        <v>2026-02</v>
      </c>
    </row>
    <row r="1031" spans="1:21" x14ac:dyDescent="0.25">
      <c r="A1031">
        <v>46080</v>
      </c>
      <c r="B1031" t="s">
        <v>103</v>
      </c>
      <c r="C1031" t="s">
        <v>104</v>
      </c>
      <c r="D1031" t="s">
        <v>65</v>
      </c>
      <c r="E1031" t="s">
        <v>33</v>
      </c>
      <c r="F1031" t="s">
        <v>43</v>
      </c>
      <c r="G1031" t="s">
        <v>102</v>
      </c>
      <c r="H1031" t="s">
        <v>71</v>
      </c>
      <c r="I1031" t="s">
        <v>37</v>
      </c>
      <c r="J1031" t="s">
        <v>87</v>
      </c>
      <c r="K1031">
        <v>8457</v>
      </c>
      <c r="L1031">
        <v>110</v>
      </c>
      <c r="M1031">
        <v>77.7</v>
      </c>
      <c r="N1031">
        <v>2</v>
      </c>
      <c r="O1031">
        <v>14.57</v>
      </c>
      <c r="P1031">
        <f t="shared" si="64"/>
        <v>1.3006976469197115E-2</v>
      </c>
      <c r="Q1031">
        <f t="shared" si="64"/>
        <v>0.70636363636363642</v>
      </c>
      <c r="R1031">
        <f t="shared" si="65"/>
        <v>38.85</v>
      </c>
      <c r="S1031">
        <f t="shared" si="66"/>
        <v>0.1875160875160875</v>
      </c>
      <c r="T1031">
        <f t="shared" si="67"/>
        <v>1.8181818181818181E-2</v>
      </c>
      <c r="U1031" t="str">
        <f>YEAR('Campaign Data'!$A1031)&amp;"-"&amp;TEXT(MONTH('Campaign Data'!$A1031),"00")</f>
        <v>2026-02</v>
      </c>
    </row>
    <row r="1032" spans="1:21" x14ac:dyDescent="0.25">
      <c r="A1032">
        <v>46080</v>
      </c>
      <c r="B1032" t="s">
        <v>105</v>
      </c>
      <c r="C1032" t="s">
        <v>106</v>
      </c>
      <c r="D1032" t="s">
        <v>58</v>
      </c>
      <c r="E1032" t="s">
        <v>49</v>
      </c>
      <c r="F1032" t="s">
        <v>81</v>
      </c>
      <c r="G1032" t="s">
        <v>107</v>
      </c>
      <c r="H1032" t="s">
        <v>90</v>
      </c>
      <c r="I1032" t="s">
        <v>37</v>
      </c>
      <c r="J1032" t="s">
        <v>87</v>
      </c>
      <c r="K1032">
        <v>3269</v>
      </c>
      <c r="L1032">
        <v>159</v>
      </c>
      <c r="M1032">
        <v>65.239999999999995</v>
      </c>
      <c r="N1032">
        <v>9</v>
      </c>
      <c r="O1032">
        <v>45</v>
      </c>
      <c r="P1032">
        <f t="shared" si="64"/>
        <v>4.8638727439583973E-2</v>
      </c>
      <c r="Q1032">
        <f t="shared" si="64"/>
        <v>0.41031446540880501</v>
      </c>
      <c r="R1032">
        <f t="shared" si="65"/>
        <v>7.2488888888888887</v>
      </c>
      <c r="S1032">
        <f t="shared" si="66"/>
        <v>0.68976088289393012</v>
      </c>
      <c r="T1032">
        <f t="shared" si="67"/>
        <v>5.6603773584905662E-2</v>
      </c>
      <c r="U1032" t="str">
        <f>YEAR('Campaign Data'!$A1032)&amp;"-"&amp;TEXT(MONTH('Campaign Data'!$A1032),"00")</f>
        <v>2026-02</v>
      </c>
    </row>
    <row r="1033" spans="1:21" x14ac:dyDescent="0.25">
      <c r="A1033">
        <v>46080</v>
      </c>
      <c r="B1033" t="s">
        <v>153</v>
      </c>
      <c r="C1033" t="s">
        <v>154</v>
      </c>
      <c r="D1033" t="s">
        <v>48</v>
      </c>
      <c r="E1033" t="s">
        <v>33</v>
      </c>
      <c r="F1033" t="s">
        <v>43</v>
      </c>
      <c r="G1033" t="s">
        <v>59</v>
      </c>
      <c r="H1033" t="s">
        <v>55</v>
      </c>
      <c r="I1033" t="s">
        <v>28</v>
      </c>
      <c r="J1033" t="s">
        <v>87</v>
      </c>
      <c r="K1033">
        <v>10593</v>
      </c>
      <c r="L1033">
        <v>88</v>
      </c>
      <c r="M1033">
        <v>33.770000000000003</v>
      </c>
      <c r="N1033">
        <v>0</v>
      </c>
      <c r="O1033">
        <v>0</v>
      </c>
      <c r="P1033">
        <f t="shared" si="64"/>
        <v>8.3073727933541015E-3</v>
      </c>
      <c r="Q1033">
        <f t="shared" si="64"/>
        <v>0.38375000000000004</v>
      </c>
      <c r="R1033">
        <f t="shared" si="65"/>
        <v>0</v>
      </c>
      <c r="S1033">
        <f t="shared" si="66"/>
        <v>0</v>
      </c>
      <c r="T1033">
        <f t="shared" si="67"/>
        <v>0</v>
      </c>
      <c r="U1033" t="str">
        <f>YEAR('Campaign Data'!$A1033)&amp;"-"&amp;TEXT(MONTH('Campaign Data'!$A1033),"00")</f>
        <v>2026-02</v>
      </c>
    </row>
    <row r="1034" spans="1:21" x14ac:dyDescent="0.25">
      <c r="A1034">
        <v>46080</v>
      </c>
      <c r="B1034" t="s">
        <v>140</v>
      </c>
      <c r="C1034" t="s">
        <v>40</v>
      </c>
      <c r="D1034" t="s">
        <v>41</v>
      </c>
      <c r="E1034" t="s">
        <v>42</v>
      </c>
      <c r="F1034" t="s">
        <v>43</v>
      </c>
      <c r="G1034" t="s">
        <v>44</v>
      </c>
      <c r="H1034" t="s">
        <v>71</v>
      </c>
      <c r="I1034" t="s">
        <v>37</v>
      </c>
      <c r="J1034" t="s">
        <v>38</v>
      </c>
      <c r="K1034">
        <v>12509</v>
      </c>
      <c r="L1034">
        <v>59</v>
      </c>
      <c r="M1034">
        <v>358.36</v>
      </c>
      <c r="N1034">
        <v>4</v>
      </c>
      <c r="O1034">
        <v>57.58</v>
      </c>
      <c r="P1034">
        <f t="shared" si="64"/>
        <v>4.7166040450875371E-3</v>
      </c>
      <c r="Q1034">
        <f t="shared" si="64"/>
        <v>6.0738983050847457</v>
      </c>
      <c r="R1034">
        <f t="shared" si="65"/>
        <v>89.59</v>
      </c>
      <c r="S1034">
        <f t="shared" si="66"/>
        <v>0.16067641477843508</v>
      </c>
      <c r="T1034">
        <f t="shared" si="67"/>
        <v>6.7796610169491525E-2</v>
      </c>
      <c r="U1034" t="str">
        <f>YEAR('Campaign Data'!$A1034)&amp;"-"&amp;TEXT(MONTH('Campaign Data'!$A1034),"00")</f>
        <v>2026-02</v>
      </c>
    </row>
    <row r="1035" spans="1:21" x14ac:dyDescent="0.25">
      <c r="A1035">
        <v>46080</v>
      </c>
      <c r="B1035" t="s">
        <v>155</v>
      </c>
      <c r="C1035" t="s">
        <v>156</v>
      </c>
      <c r="D1035" t="s">
        <v>32</v>
      </c>
      <c r="E1035" t="s">
        <v>24</v>
      </c>
      <c r="F1035" t="s">
        <v>34</v>
      </c>
      <c r="G1035" t="s">
        <v>129</v>
      </c>
      <c r="H1035" t="s">
        <v>90</v>
      </c>
      <c r="I1035" t="s">
        <v>28</v>
      </c>
      <c r="J1035" t="s">
        <v>62</v>
      </c>
      <c r="K1035">
        <v>13288</v>
      </c>
      <c r="L1035">
        <v>174</v>
      </c>
      <c r="M1035">
        <v>32.270000000000003</v>
      </c>
      <c r="N1035">
        <v>3</v>
      </c>
      <c r="O1035">
        <v>119.13</v>
      </c>
      <c r="P1035">
        <f t="shared" si="64"/>
        <v>1.3094521372667069E-2</v>
      </c>
      <c r="Q1035">
        <f t="shared" si="64"/>
        <v>0.18545977011494255</v>
      </c>
      <c r="R1035">
        <f t="shared" si="65"/>
        <v>10.756666666666668</v>
      </c>
      <c r="S1035">
        <f t="shared" si="66"/>
        <v>3.6916640842888127</v>
      </c>
      <c r="T1035">
        <f t="shared" si="67"/>
        <v>1.7241379310344827E-2</v>
      </c>
      <c r="U1035" t="str">
        <f>YEAR('Campaign Data'!$A1035)&amp;"-"&amp;TEXT(MONTH('Campaign Data'!$A1035),"00")</f>
        <v>2026-02</v>
      </c>
    </row>
    <row r="1036" spans="1:21" x14ac:dyDescent="0.25">
      <c r="A1036">
        <v>46080</v>
      </c>
      <c r="B1036" t="s">
        <v>112</v>
      </c>
      <c r="C1036" t="s">
        <v>113</v>
      </c>
      <c r="D1036" t="s">
        <v>32</v>
      </c>
      <c r="E1036" t="s">
        <v>24</v>
      </c>
      <c r="F1036" t="s">
        <v>75</v>
      </c>
      <c r="G1036" t="s">
        <v>66</v>
      </c>
      <c r="H1036" t="s">
        <v>36</v>
      </c>
      <c r="I1036" t="s">
        <v>37</v>
      </c>
      <c r="J1036" t="s">
        <v>29</v>
      </c>
      <c r="K1036">
        <v>13645</v>
      </c>
      <c r="L1036">
        <v>200</v>
      </c>
      <c r="M1036">
        <v>275.17</v>
      </c>
      <c r="N1036">
        <v>7</v>
      </c>
      <c r="O1036">
        <v>311.20999999999998</v>
      </c>
      <c r="P1036">
        <f t="shared" si="64"/>
        <v>1.4657383657017223E-2</v>
      </c>
      <c r="Q1036">
        <f t="shared" si="64"/>
        <v>1.37585</v>
      </c>
      <c r="R1036">
        <f t="shared" si="65"/>
        <v>39.31</v>
      </c>
      <c r="S1036">
        <f t="shared" si="66"/>
        <v>1.1309735799687464</v>
      </c>
      <c r="T1036">
        <f t="shared" si="67"/>
        <v>3.5000000000000003E-2</v>
      </c>
      <c r="U1036" t="str">
        <f>YEAR('Campaign Data'!$A1036)&amp;"-"&amp;TEXT(MONTH('Campaign Data'!$A1036),"00")</f>
        <v>2026-02</v>
      </c>
    </row>
    <row r="1037" spans="1:21" x14ac:dyDescent="0.25">
      <c r="A1037">
        <v>46080</v>
      </c>
      <c r="B1037" t="s">
        <v>114</v>
      </c>
      <c r="C1037" t="s">
        <v>115</v>
      </c>
      <c r="D1037" t="s">
        <v>69</v>
      </c>
      <c r="E1037" t="s">
        <v>49</v>
      </c>
      <c r="F1037" t="s">
        <v>25</v>
      </c>
      <c r="G1037" t="s">
        <v>107</v>
      </c>
      <c r="H1037" t="s">
        <v>55</v>
      </c>
      <c r="I1037" t="s">
        <v>37</v>
      </c>
      <c r="J1037" t="s">
        <v>38</v>
      </c>
      <c r="K1037">
        <v>1798</v>
      </c>
      <c r="L1037">
        <v>107</v>
      </c>
      <c r="M1037">
        <v>182.41</v>
      </c>
      <c r="N1037">
        <v>2</v>
      </c>
      <c r="O1037">
        <v>414.43</v>
      </c>
      <c r="P1037">
        <f t="shared" si="64"/>
        <v>5.9510567296996664E-2</v>
      </c>
      <c r="Q1037">
        <f t="shared" si="64"/>
        <v>1.7047663551401868</v>
      </c>
      <c r="R1037">
        <f t="shared" si="65"/>
        <v>91.204999999999998</v>
      </c>
      <c r="S1037">
        <f t="shared" si="66"/>
        <v>2.2719697385011788</v>
      </c>
      <c r="T1037">
        <f t="shared" si="67"/>
        <v>1.8691588785046728E-2</v>
      </c>
      <c r="U1037" t="str">
        <f>YEAR('Campaign Data'!$A1037)&amp;"-"&amp;TEXT(MONTH('Campaign Data'!$A1037),"00")</f>
        <v>2026-02</v>
      </c>
    </row>
    <row r="1038" spans="1:21" x14ac:dyDescent="0.25">
      <c r="A1038">
        <v>46080</v>
      </c>
      <c r="B1038" t="s">
        <v>63</v>
      </c>
      <c r="C1038" t="s">
        <v>64</v>
      </c>
      <c r="D1038" t="s">
        <v>65</v>
      </c>
      <c r="E1038" t="s">
        <v>24</v>
      </c>
      <c r="F1038" t="s">
        <v>43</v>
      </c>
      <c r="G1038" t="s">
        <v>66</v>
      </c>
      <c r="H1038" t="s">
        <v>90</v>
      </c>
      <c r="I1038" t="s">
        <v>37</v>
      </c>
      <c r="J1038" t="s">
        <v>29</v>
      </c>
      <c r="K1038">
        <v>12529</v>
      </c>
      <c r="L1038">
        <v>190</v>
      </c>
      <c r="M1038">
        <v>31.09</v>
      </c>
      <c r="N1038">
        <v>2</v>
      </c>
      <c r="O1038">
        <v>10.32</v>
      </c>
      <c r="P1038">
        <f t="shared" si="64"/>
        <v>1.5164817623114375E-2</v>
      </c>
      <c r="Q1038">
        <f t="shared" si="64"/>
        <v>0.16363157894736843</v>
      </c>
      <c r="R1038">
        <f t="shared" si="65"/>
        <v>15.545</v>
      </c>
      <c r="S1038">
        <f t="shared" si="66"/>
        <v>0.33193953039562563</v>
      </c>
      <c r="T1038">
        <f t="shared" si="67"/>
        <v>1.0526315789473684E-2</v>
      </c>
      <c r="U1038" t="str">
        <f>YEAR('Campaign Data'!$A1038)&amp;"-"&amp;TEXT(MONTH('Campaign Data'!$A1038),"00")</f>
        <v>2026-02</v>
      </c>
    </row>
    <row r="1039" spans="1:21" x14ac:dyDescent="0.25">
      <c r="A1039">
        <v>46080</v>
      </c>
      <c r="B1039" t="s">
        <v>183</v>
      </c>
      <c r="C1039" t="s">
        <v>184</v>
      </c>
      <c r="D1039" t="s">
        <v>23</v>
      </c>
      <c r="E1039" t="s">
        <v>24</v>
      </c>
      <c r="F1039" t="s">
        <v>81</v>
      </c>
      <c r="G1039" t="s">
        <v>185</v>
      </c>
      <c r="H1039" t="s">
        <v>27</v>
      </c>
      <c r="I1039" t="s">
        <v>37</v>
      </c>
      <c r="J1039" t="s">
        <v>62</v>
      </c>
      <c r="K1039">
        <v>12521</v>
      </c>
      <c r="L1039">
        <v>180</v>
      </c>
      <c r="M1039">
        <v>196.94</v>
      </c>
      <c r="N1039">
        <v>4</v>
      </c>
      <c r="O1039">
        <v>124.88</v>
      </c>
      <c r="P1039">
        <f t="shared" si="64"/>
        <v>1.4375848574395016E-2</v>
      </c>
      <c r="Q1039">
        <f t="shared" si="64"/>
        <v>1.094111111111111</v>
      </c>
      <c r="R1039">
        <f t="shared" si="65"/>
        <v>49.234999999999999</v>
      </c>
      <c r="S1039">
        <f t="shared" si="66"/>
        <v>0.63410175688026804</v>
      </c>
      <c r="T1039">
        <f t="shared" si="67"/>
        <v>2.2222222222222223E-2</v>
      </c>
      <c r="U1039" t="str">
        <f>YEAR('Campaign Data'!$A1039)&amp;"-"&amp;TEXT(MONTH('Campaign Data'!$A1039),"00")</f>
        <v>2026-02</v>
      </c>
    </row>
    <row r="1040" spans="1:21" x14ac:dyDescent="0.25">
      <c r="A1040">
        <v>46080</v>
      </c>
      <c r="B1040" t="s">
        <v>118</v>
      </c>
      <c r="C1040" t="s">
        <v>119</v>
      </c>
      <c r="D1040" t="s">
        <v>69</v>
      </c>
      <c r="E1040" t="s">
        <v>33</v>
      </c>
      <c r="F1040" t="s">
        <v>34</v>
      </c>
      <c r="G1040" t="s">
        <v>35</v>
      </c>
      <c r="H1040" t="s">
        <v>71</v>
      </c>
      <c r="I1040" t="s">
        <v>37</v>
      </c>
      <c r="J1040" t="s">
        <v>62</v>
      </c>
      <c r="K1040">
        <v>7339</v>
      </c>
      <c r="L1040">
        <v>90</v>
      </c>
      <c r="M1040">
        <v>55.35</v>
      </c>
      <c r="N1040">
        <v>4</v>
      </c>
      <c r="O1040">
        <v>571.65</v>
      </c>
      <c r="P1040">
        <f t="shared" si="64"/>
        <v>1.2263251124131354E-2</v>
      </c>
      <c r="Q1040">
        <f t="shared" si="64"/>
        <v>0.61499999999999999</v>
      </c>
      <c r="R1040">
        <f t="shared" si="65"/>
        <v>13.8375</v>
      </c>
      <c r="S1040">
        <f t="shared" si="66"/>
        <v>10.32791327913279</v>
      </c>
      <c r="T1040">
        <f t="shared" si="67"/>
        <v>4.4444444444444446E-2</v>
      </c>
      <c r="U1040" t="str">
        <f>YEAR('Campaign Data'!$A1040)&amp;"-"&amp;TEXT(MONTH('Campaign Data'!$A1040),"00")</f>
        <v>2026-02</v>
      </c>
    </row>
    <row r="1041" spans="1:21" x14ac:dyDescent="0.25">
      <c r="A1041">
        <v>46080</v>
      </c>
      <c r="B1041" t="s">
        <v>118</v>
      </c>
      <c r="C1041" t="s">
        <v>119</v>
      </c>
      <c r="D1041" t="s">
        <v>69</v>
      </c>
      <c r="E1041" t="s">
        <v>33</v>
      </c>
      <c r="F1041" t="s">
        <v>34</v>
      </c>
      <c r="G1041" t="s">
        <v>35</v>
      </c>
      <c r="H1041" t="s">
        <v>90</v>
      </c>
      <c r="I1041" t="s">
        <v>37</v>
      </c>
      <c r="J1041" t="s">
        <v>38</v>
      </c>
      <c r="K1041">
        <v>7660</v>
      </c>
      <c r="L1041">
        <v>60</v>
      </c>
      <c r="M1041">
        <v>8.8800000000000008</v>
      </c>
      <c r="N1041">
        <v>3</v>
      </c>
      <c r="O1041">
        <v>119.79</v>
      </c>
      <c r="P1041">
        <f t="shared" si="64"/>
        <v>7.832898172323759E-3</v>
      </c>
      <c r="Q1041">
        <f t="shared" si="64"/>
        <v>0.14800000000000002</v>
      </c>
      <c r="R1041">
        <f t="shared" si="65"/>
        <v>2.9600000000000004</v>
      </c>
      <c r="S1041">
        <f t="shared" si="66"/>
        <v>13.489864864864865</v>
      </c>
      <c r="T1041">
        <f t="shared" si="67"/>
        <v>0.05</v>
      </c>
      <c r="U1041" t="str">
        <f>YEAR('Campaign Data'!$A1041)&amp;"-"&amp;TEXT(MONTH('Campaign Data'!$A1041),"00")</f>
        <v>2026-02</v>
      </c>
    </row>
    <row r="1042" spans="1:21" x14ac:dyDescent="0.25">
      <c r="A1042">
        <v>46080</v>
      </c>
      <c r="B1042" t="s">
        <v>82</v>
      </c>
      <c r="C1042" t="s">
        <v>83</v>
      </c>
      <c r="D1042" t="s">
        <v>80</v>
      </c>
      <c r="E1042" t="s">
        <v>42</v>
      </c>
      <c r="F1042" t="s">
        <v>34</v>
      </c>
      <c r="G1042" t="s">
        <v>84</v>
      </c>
      <c r="H1042" t="s">
        <v>90</v>
      </c>
      <c r="I1042" t="s">
        <v>37</v>
      </c>
      <c r="J1042" t="s">
        <v>45</v>
      </c>
      <c r="K1042">
        <v>5003</v>
      </c>
      <c r="L1042">
        <v>33</v>
      </c>
      <c r="M1042">
        <v>68.72</v>
      </c>
      <c r="N1042">
        <v>0</v>
      </c>
      <c r="O1042">
        <v>0</v>
      </c>
      <c r="P1042">
        <f t="shared" si="64"/>
        <v>6.5960423745752552E-3</v>
      </c>
      <c r="Q1042">
        <f t="shared" si="64"/>
        <v>2.0824242424242425</v>
      </c>
      <c r="R1042">
        <f t="shared" si="65"/>
        <v>0</v>
      </c>
      <c r="S1042">
        <f t="shared" si="66"/>
        <v>0</v>
      </c>
      <c r="T1042">
        <f t="shared" si="67"/>
        <v>0</v>
      </c>
      <c r="U1042" t="str">
        <f>YEAR('Campaign Data'!$A1042)&amp;"-"&amp;TEXT(MONTH('Campaign Data'!$A1042),"00")</f>
        <v>2026-02</v>
      </c>
    </row>
    <row r="1043" spans="1:21" x14ac:dyDescent="0.25">
      <c r="A1043">
        <v>46081</v>
      </c>
      <c r="B1043" t="s">
        <v>175</v>
      </c>
      <c r="C1043" t="s">
        <v>176</v>
      </c>
      <c r="D1043" t="s">
        <v>65</v>
      </c>
      <c r="E1043" t="s">
        <v>49</v>
      </c>
      <c r="F1043" t="s">
        <v>75</v>
      </c>
      <c r="G1043" t="s">
        <v>70</v>
      </c>
      <c r="H1043" t="s">
        <v>90</v>
      </c>
      <c r="I1043" t="s">
        <v>28</v>
      </c>
      <c r="J1043" t="s">
        <v>29</v>
      </c>
      <c r="K1043">
        <v>4745</v>
      </c>
      <c r="L1043">
        <v>258</v>
      </c>
      <c r="M1043">
        <v>155.91999999999999</v>
      </c>
      <c r="N1043">
        <v>26</v>
      </c>
      <c r="O1043">
        <v>291.16000000000003</v>
      </c>
      <c r="P1043">
        <f t="shared" si="64"/>
        <v>5.4373024236037931E-2</v>
      </c>
      <c r="Q1043">
        <f t="shared" si="64"/>
        <v>0.6043410852713178</v>
      </c>
      <c r="R1043">
        <f t="shared" si="65"/>
        <v>5.9969230769230766</v>
      </c>
      <c r="S1043">
        <f t="shared" si="66"/>
        <v>1.8673678809645975</v>
      </c>
      <c r="T1043">
        <f t="shared" si="67"/>
        <v>0.10077519379844961</v>
      </c>
      <c r="U1043" t="str">
        <f>YEAR('Campaign Data'!$A1043)&amp;"-"&amp;TEXT(MONTH('Campaign Data'!$A1043),"00")</f>
        <v>2026-02</v>
      </c>
    </row>
    <row r="1044" spans="1:21" x14ac:dyDescent="0.25">
      <c r="A1044">
        <v>46081</v>
      </c>
      <c r="B1044" t="s">
        <v>39</v>
      </c>
      <c r="C1044" t="s">
        <v>40</v>
      </c>
      <c r="D1044" t="s">
        <v>41</v>
      </c>
      <c r="E1044" t="s">
        <v>42</v>
      </c>
      <c r="F1044" t="s">
        <v>43</v>
      </c>
      <c r="G1044" t="s">
        <v>44</v>
      </c>
      <c r="H1044" t="s">
        <v>36</v>
      </c>
      <c r="I1044" t="s">
        <v>37</v>
      </c>
      <c r="J1044" t="s">
        <v>38</v>
      </c>
      <c r="K1044">
        <v>9871</v>
      </c>
      <c r="L1044">
        <v>71</v>
      </c>
      <c r="M1044">
        <v>433.37</v>
      </c>
      <c r="N1044">
        <v>0</v>
      </c>
      <c r="O1044">
        <v>0</v>
      </c>
      <c r="P1044">
        <f t="shared" si="64"/>
        <v>7.1927869516766286E-3</v>
      </c>
      <c r="Q1044">
        <f t="shared" si="64"/>
        <v>6.1038028169014087</v>
      </c>
      <c r="R1044">
        <f t="shared" si="65"/>
        <v>0</v>
      </c>
      <c r="S1044">
        <f t="shared" si="66"/>
        <v>0</v>
      </c>
      <c r="T1044">
        <f t="shared" si="67"/>
        <v>0</v>
      </c>
      <c r="U1044" t="str">
        <f>YEAR('Campaign Data'!$A1044)&amp;"-"&amp;TEXT(MONTH('Campaign Data'!$A1044),"00")</f>
        <v>2026-02</v>
      </c>
    </row>
    <row r="1045" spans="1:21" x14ac:dyDescent="0.25">
      <c r="A1045">
        <v>46081</v>
      </c>
      <c r="B1045" t="s">
        <v>39</v>
      </c>
      <c r="C1045" t="s">
        <v>40</v>
      </c>
      <c r="D1045" t="s">
        <v>41</v>
      </c>
      <c r="E1045" t="s">
        <v>42</v>
      </c>
      <c r="F1045" t="s">
        <v>43</v>
      </c>
      <c r="G1045" t="s">
        <v>44</v>
      </c>
      <c r="H1045" t="s">
        <v>36</v>
      </c>
      <c r="I1045" t="s">
        <v>37</v>
      </c>
      <c r="J1045" t="s">
        <v>38</v>
      </c>
      <c r="K1045">
        <v>5687</v>
      </c>
      <c r="L1045">
        <v>24</v>
      </c>
      <c r="M1045">
        <v>123.99</v>
      </c>
      <c r="N1045">
        <v>1</v>
      </c>
      <c r="O1045">
        <v>31.62</v>
      </c>
      <c r="P1045">
        <f t="shared" si="64"/>
        <v>4.2201512220854578E-3</v>
      </c>
      <c r="Q1045">
        <f t="shared" si="64"/>
        <v>5.1662499999999998</v>
      </c>
      <c r="R1045">
        <f t="shared" si="65"/>
        <v>123.99</v>
      </c>
      <c r="S1045">
        <f t="shared" si="66"/>
        <v>0.25502056617469154</v>
      </c>
      <c r="T1045">
        <f t="shared" si="67"/>
        <v>4.1666666666666664E-2</v>
      </c>
      <c r="U1045" t="str">
        <f>YEAR('Campaign Data'!$A1045)&amp;"-"&amp;TEXT(MONTH('Campaign Data'!$A1045),"00")</f>
        <v>2026-02</v>
      </c>
    </row>
    <row r="1046" spans="1:21" x14ac:dyDescent="0.25">
      <c r="A1046">
        <v>46081</v>
      </c>
      <c r="B1046" t="s">
        <v>98</v>
      </c>
      <c r="C1046" t="s">
        <v>99</v>
      </c>
      <c r="D1046" t="s">
        <v>69</v>
      </c>
      <c r="E1046" t="s">
        <v>24</v>
      </c>
      <c r="F1046" t="s">
        <v>75</v>
      </c>
      <c r="G1046" t="s">
        <v>66</v>
      </c>
      <c r="H1046" t="s">
        <v>71</v>
      </c>
      <c r="I1046" t="s">
        <v>37</v>
      </c>
      <c r="J1046" t="s">
        <v>29</v>
      </c>
      <c r="K1046">
        <v>5086</v>
      </c>
      <c r="L1046">
        <v>96</v>
      </c>
      <c r="M1046">
        <v>77.47</v>
      </c>
      <c r="N1046">
        <v>3</v>
      </c>
      <c r="O1046">
        <v>120.25</v>
      </c>
      <c r="P1046">
        <f t="shared" si="64"/>
        <v>1.8875344081793158E-2</v>
      </c>
      <c r="Q1046">
        <f t="shared" si="64"/>
        <v>0.80697916666666669</v>
      </c>
      <c r="R1046">
        <f t="shared" si="65"/>
        <v>25.823333333333334</v>
      </c>
      <c r="S1046">
        <f t="shared" si="66"/>
        <v>1.5522137601652253</v>
      </c>
      <c r="T1046">
        <f t="shared" si="67"/>
        <v>3.125E-2</v>
      </c>
      <c r="U1046" t="str">
        <f>YEAR('Campaign Data'!$A1046)&amp;"-"&amp;TEXT(MONTH('Campaign Data'!$A1046),"00")</f>
        <v>2026-02</v>
      </c>
    </row>
    <row r="1047" spans="1:21" x14ac:dyDescent="0.25">
      <c r="A1047">
        <v>46081</v>
      </c>
      <c r="B1047" t="s">
        <v>52</v>
      </c>
      <c r="C1047" t="s">
        <v>53</v>
      </c>
      <c r="D1047" t="s">
        <v>32</v>
      </c>
      <c r="E1047" t="s">
        <v>42</v>
      </c>
      <c r="F1047" t="s">
        <v>25</v>
      </c>
      <c r="G1047" t="s">
        <v>54</v>
      </c>
      <c r="H1047" t="s">
        <v>36</v>
      </c>
      <c r="I1047" t="s">
        <v>37</v>
      </c>
      <c r="J1047" t="s">
        <v>45</v>
      </c>
      <c r="K1047">
        <v>6420</v>
      </c>
      <c r="L1047">
        <v>44</v>
      </c>
      <c r="M1047">
        <v>262.24</v>
      </c>
      <c r="N1047">
        <v>0</v>
      </c>
      <c r="O1047">
        <v>0</v>
      </c>
      <c r="P1047">
        <f t="shared" si="64"/>
        <v>6.853582554517134E-3</v>
      </c>
      <c r="Q1047">
        <f t="shared" si="64"/>
        <v>5.96</v>
      </c>
      <c r="R1047">
        <f t="shared" si="65"/>
        <v>0</v>
      </c>
      <c r="S1047">
        <f t="shared" si="66"/>
        <v>0</v>
      </c>
      <c r="T1047">
        <f t="shared" si="67"/>
        <v>0</v>
      </c>
      <c r="U1047" t="str">
        <f>YEAR('Campaign Data'!$A1047)&amp;"-"&amp;TEXT(MONTH('Campaign Data'!$A1047),"00")</f>
        <v>2026-02</v>
      </c>
    </row>
    <row r="1048" spans="1:21" x14ac:dyDescent="0.25">
      <c r="A1048">
        <v>46081</v>
      </c>
      <c r="B1048" t="s">
        <v>169</v>
      </c>
      <c r="C1048" t="s">
        <v>170</v>
      </c>
      <c r="D1048" t="s">
        <v>58</v>
      </c>
      <c r="E1048" t="s">
        <v>74</v>
      </c>
      <c r="F1048" t="s">
        <v>75</v>
      </c>
      <c r="G1048" t="s">
        <v>9</v>
      </c>
      <c r="H1048" t="s">
        <v>51</v>
      </c>
      <c r="I1048" t="s">
        <v>61</v>
      </c>
      <c r="J1048" t="s">
        <v>45</v>
      </c>
      <c r="K1048">
        <v>2420</v>
      </c>
      <c r="L1048">
        <v>59</v>
      </c>
      <c r="M1048">
        <v>67.09</v>
      </c>
      <c r="N1048">
        <v>1</v>
      </c>
      <c r="O1048">
        <v>48.81</v>
      </c>
      <c r="P1048">
        <f t="shared" si="64"/>
        <v>2.4380165289256198E-2</v>
      </c>
      <c r="Q1048">
        <f t="shared" si="64"/>
        <v>1.1371186440677967</v>
      </c>
      <c r="R1048">
        <f t="shared" si="65"/>
        <v>67.09</v>
      </c>
      <c r="S1048">
        <f t="shared" si="66"/>
        <v>0.72753018333581754</v>
      </c>
      <c r="T1048">
        <f t="shared" si="67"/>
        <v>1.6949152542372881E-2</v>
      </c>
      <c r="U1048" t="str">
        <f>YEAR('Campaign Data'!$A1048)&amp;"-"&amp;TEXT(MONTH('Campaign Data'!$A1048),"00")</f>
        <v>2026-02</v>
      </c>
    </row>
    <row r="1049" spans="1:21" x14ac:dyDescent="0.25">
      <c r="A1049">
        <v>46081</v>
      </c>
      <c r="B1049" t="s">
        <v>153</v>
      </c>
      <c r="C1049" t="s">
        <v>154</v>
      </c>
      <c r="D1049" t="s">
        <v>48</v>
      </c>
      <c r="E1049" t="s">
        <v>33</v>
      </c>
      <c r="F1049" t="s">
        <v>43</v>
      </c>
      <c r="G1049" t="s">
        <v>59</v>
      </c>
      <c r="H1049" t="s">
        <v>36</v>
      </c>
      <c r="I1049" t="s">
        <v>37</v>
      </c>
      <c r="J1049" t="s">
        <v>62</v>
      </c>
      <c r="K1049">
        <v>9310</v>
      </c>
      <c r="L1049">
        <v>92</v>
      </c>
      <c r="M1049">
        <v>59.11</v>
      </c>
      <c r="N1049">
        <v>1</v>
      </c>
      <c r="O1049">
        <v>22.93</v>
      </c>
      <c r="P1049">
        <f t="shared" si="64"/>
        <v>9.8818474758324386E-3</v>
      </c>
      <c r="Q1049">
        <f t="shared" si="64"/>
        <v>0.64249999999999996</v>
      </c>
      <c r="R1049">
        <f t="shared" si="65"/>
        <v>59.11</v>
      </c>
      <c r="S1049">
        <f t="shared" si="66"/>
        <v>0.3879208255794282</v>
      </c>
      <c r="T1049">
        <f t="shared" si="67"/>
        <v>1.0869565217391304E-2</v>
      </c>
      <c r="U1049" t="str">
        <f>YEAR('Campaign Data'!$A1049)&amp;"-"&amp;TEXT(MONTH('Campaign Data'!$A1049),"00")</f>
        <v>2026-02</v>
      </c>
    </row>
    <row r="1050" spans="1:21" x14ac:dyDescent="0.25">
      <c r="A1050">
        <v>46081</v>
      </c>
      <c r="B1050" t="s">
        <v>134</v>
      </c>
      <c r="C1050" t="s">
        <v>135</v>
      </c>
      <c r="D1050" t="s">
        <v>32</v>
      </c>
      <c r="E1050" t="s">
        <v>74</v>
      </c>
      <c r="F1050" t="s">
        <v>25</v>
      </c>
      <c r="G1050" t="s">
        <v>107</v>
      </c>
      <c r="H1050" t="s">
        <v>27</v>
      </c>
      <c r="I1050" t="s">
        <v>28</v>
      </c>
      <c r="J1050" t="s">
        <v>38</v>
      </c>
      <c r="K1050">
        <v>9212</v>
      </c>
      <c r="L1050">
        <v>245</v>
      </c>
      <c r="M1050">
        <v>351.1</v>
      </c>
      <c r="N1050">
        <v>8</v>
      </c>
      <c r="O1050">
        <v>1707.67</v>
      </c>
      <c r="P1050">
        <f t="shared" si="64"/>
        <v>2.6595744680851064E-2</v>
      </c>
      <c r="Q1050">
        <f t="shared" si="64"/>
        <v>1.433061224489796</v>
      </c>
      <c r="R1050">
        <f t="shared" si="65"/>
        <v>43.887500000000003</v>
      </c>
      <c r="S1050">
        <f t="shared" si="66"/>
        <v>4.8637710054115635</v>
      </c>
      <c r="T1050">
        <f t="shared" si="67"/>
        <v>3.2653061224489799E-2</v>
      </c>
      <c r="U1050" t="str">
        <f>YEAR('Campaign Data'!$A1050)&amp;"-"&amp;TEXT(MONTH('Campaign Data'!$A1050),"00")</f>
        <v>2026-02</v>
      </c>
    </row>
    <row r="1051" spans="1:21" x14ac:dyDescent="0.25">
      <c r="A1051">
        <v>46081</v>
      </c>
      <c r="B1051" t="s">
        <v>181</v>
      </c>
      <c r="C1051" t="s">
        <v>182</v>
      </c>
      <c r="D1051" t="s">
        <v>32</v>
      </c>
      <c r="E1051" t="s">
        <v>33</v>
      </c>
      <c r="F1051" t="s">
        <v>75</v>
      </c>
      <c r="G1051" t="s">
        <v>59</v>
      </c>
      <c r="H1051" t="s">
        <v>27</v>
      </c>
      <c r="I1051" t="s">
        <v>37</v>
      </c>
      <c r="J1051" t="s">
        <v>45</v>
      </c>
      <c r="K1051">
        <v>8450</v>
      </c>
      <c r="L1051">
        <v>82</v>
      </c>
      <c r="M1051">
        <v>66.260000000000005</v>
      </c>
      <c r="N1051">
        <v>1</v>
      </c>
      <c r="O1051">
        <v>63.71</v>
      </c>
      <c r="P1051">
        <f t="shared" si="64"/>
        <v>9.7041420118343189E-3</v>
      </c>
      <c r="Q1051">
        <f t="shared" si="64"/>
        <v>0.80804878048780493</v>
      </c>
      <c r="R1051">
        <f t="shared" si="65"/>
        <v>66.260000000000005</v>
      </c>
      <c r="S1051">
        <f t="shared" si="66"/>
        <v>0.96151524298219126</v>
      </c>
      <c r="T1051">
        <f t="shared" si="67"/>
        <v>1.2195121951219513E-2</v>
      </c>
      <c r="U1051" t="str">
        <f>YEAR('Campaign Data'!$A1051)&amp;"-"&amp;TEXT(MONTH('Campaign Data'!$A1051),"00")</f>
        <v>2026-02</v>
      </c>
    </row>
    <row r="1052" spans="1:21" x14ac:dyDescent="0.25">
      <c r="A1052">
        <v>46081</v>
      </c>
      <c r="B1052" t="s">
        <v>161</v>
      </c>
      <c r="C1052" t="s">
        <v>162</v>
      </c>
      <c r="D1052" t="s">
        <v>48</v>
      </c>
      <c r="E1052" t="s">
        <v>74</v>
      </c>
      <c r="F1052" t="s">
        <v>34</v>
      </c>
      <c r="G1052" t="s">
        <v>107</v>
      </c>
      <c r="H1052" t="s">
        <v>71</v>
      </c>
      <c r="I1052" t="s">
        <v>37</v>
      </c>
      <c r="J1052" t="s">
        <v>38</v>
      </c>
      <c r="K1052">
        <v>4807</v>
      </c>
      <c r="L1052">
        <v>159</v>
      </c>
      <c r="M1052">
        <v>135.85</v>
      </c>
      <c r="N1052">
        <v>8</v>
      </c>
      <c r="O1052">
        <v>888.3</v>
      </c>
      <c r="P1052">
        <f t="shared" si="64"/>
        <v>3.3076763053879757E-2</v>
      </c>
      <c r="Q1052">
        <f t="shared" si="64"/>
        <v>0.85440251572327042</v>
      </c>
      <c r="R1052">
        <f t="shared" si="65"/>
        <v>16.981249999999999</v>
      </c>
      <c r="S1052">
        <f t="shared" si="66"/>
        <v>6.5388295914611705</v>
      </c>
      <c r="T1052">
        <f t="shared" si="67"/>
        <v>5.0314465408805034E-2</v>
      </c>
      <c r="U1052" t="str">
        <f>YEAR('Campaign Data'!$A1052)&amp;"-"&amp;TEXT(MONTH('Campaign Data'!$A1052),"00")</f>
        <v>2026-02</v>
      </c>
    </row>
    <row r="1053" spans="1:21" x14ac:dyDescent="0.25">
      <c r="A1053">
        <v>46081</v>
      </c>
      <c r="B1053" t="s">
        <v>143</v>
      </c>
      <c r="C1053" t="s">
        <v>144</v>
      </c>
      <c r="D1053" t="s">
        <v>48</v>
      </c>
      <c r="E1053" t="s">
        <v>42</v>
      </c>
      <c r="F1053" t="s">
        <v>25</v>
      </c>
      <c r="G1053" t="s">
        <v>84</v>
      </c>
      <c r="H1053" t="s">
        <v>90</v>
      </c>
      <c r="I1053" t="s">
        <v>28</v>
      </c>
      <c r="J1053" t="s">
        <v>87</v>
      </c>
      <c r="K1053">
        <v>3822</v>
      </c>
      <c r="L1053">
        <v>15</v>
      </c>
      <c r="M1053">
        <v>18.7</v>
      </c>
      <c r="N1053">
        <v>0</v>
      </c>
      <c r="O1053">
        <v>0</v>
      </c>
      <c r="P1053">
        <f t="shared" si="64"/>
        <v>3.9246467817896386E-3</v>
      </c>
      <c r="Q1053">
        <f t="shared" si="64"/>
        <v>1.2466666666666666</v>
      </c>
      <c r="R1053">
        <f t="shared" si="65"/>
        <v>0</v>
      </c>
      <c r="S1053">
        <f t="shared" si="66"/>
        <v>0</v>
      </c>
      <c r="T1053">
        <f t="shared" si="67"/>
        <v>0</v>
      </c>
      <c r="U1053" t="str">
        <f>YEAR('Campaign Data'!$A1053)&amp;"-"&amp;TEXT(MONTH('Campaign Data'!$A1053),"00")</f>
        <v>2026-02</v>
      </c>
    </row>
    <row r="1054" spans="1:21" x14ac:dyDescent="0.25">
      <c r="A1054">
        <v>46081</v>
      </c>
      <c r="B1054" t="s">
        <v>63</v>
      </c>
      <c r="C1054" t="s">
        <v>64</v>
      </c>
      <c r="D1054" t="s">
        <v>65</v>
      </c>
      <c r="E1054" t="s">
        <v>24</v>
      </c>
      <c r="F1054" t="s">
        <v>43</v>
      </c>
      <c r="G1054" t="s">
        <v>66</v>
      </c>
      <c r="H1054" t="s">
        <v>71</v>
      </c>
      <c r="I1054" t="s">
        <v>37</v>
      </c>
      <c r="J1054" t="s">
        <v>87</v>
      </c>
      <c r="K1054">
        <v>5320</v>
      </c>
      <c r="L1054">
        <v>70</v>
      </c>
      <c r="M1054">
        <v>65.73</v>
      </c>
      <c r="N1054">
        <v>0</v>
      </c>
      <c r="O1054">
        <v>0</v>
      </c>
      <c r="P1054">
        <f t="shared" si="64"/>
        <v>1.3157894736842105E-2</v>
      </c>
      <c r="Q1054">
        <f t="shared" si="64"/>
        <v>0.93900000000000006</v>
      </c>
      <c r="R1054">
        <f t="shared" si="65"/>
        <v>0</v>
      </c>
      <c r="S1054">
        <f t="shared" si="66"/>
        <v>0</v>
      </c>
      <c r="T1054">
        <f t="shared" si="67"/>
        <v>0</v>
      </c>
      <c r="U1054" t="str">
        <f>YEAR('Campaign Data'!$A1054)&amp;"-"&amp;TEXT(MONTH('Campaign Data'!$A1054),"00")</f>
        <v>2026-02</v>
      </c>
    </row>
    <row r="1055" spans="1:21" x14ac:dyDescent="0.25">
      <c r="A1055">
        <v>46081</v>
      </c>
      <c r="B1055" t="s">
        <v>67</v>
      </c>
      <c r="C1055" t="s">
        <v>68</v>
      </c>
      <c r="D1055" t="s">
        <v>69</v>
      </c>
      <c r="E1055" t="s">
        <v>49</v>
      </c>
      <c r="F1055" t="s">
        <v>34</v>
      </c>
      <c r="G1055" t="s">
        <v>70</v>
      </c>
      <c r="H1055" t="s">
        <v>71</v>
      </c>
      <c r="I1055" t="s">
        <v>37</v>
      </c>
      <c r="J1055" t="s">
        <v>87</v>
      </c>
      <c r="K1055">
        <v>4838</v>
      </c>
      <c r="L1055">
        <v>213</v>
      </c>
      <c r="M1055">
        <v>425.92</v>
      </c>
      <c r="N1055">
        <v>9</v>
      </c>
      <c r="O1055">
        <v>789.8</v>
      </c>
      <c r="P1055">
        <f t="shared" si="64"/>
        <v>4.4026457213724682E-2</v>
      </c>
      <c r="Q1055">
        <f t="shared" si="64"/>
        <v>1.9996244131455401</v>
      </c>
      <c r="R1055">
        <f t="shared" si="65"/>
        <v>47.324444444444445</v>
      </c>
      <c r="S1055">
        <f t="shared" si="66"/>
        <v>1.8543388429752063</v>
      </c>
      <c r="T1055">
        <f t="shared" si="67"/>
        <v>4.2253521126760563E-2</v>
      </c>
      <c r="U1055" t="str">
        <f>YEAR('Campaign Data'!$A1055)&amp;"-"&amp;TEXT(MONTH('Campaign Data'!$A1055),"00")</f>
        <v>2026-02</v>
      </c>
    </row>
    <row r="1056" spans="1:21" x14ac:dyDescent="0.25">
      <c r="A1056">
        <v>46081</v>
      </c>
      <c r="B1056" t="s">
        <v>72</v>
      </c>
      <c r="C1056" t="s">
        <v>73</v>
      </c>
      <c r="D1056" t="s">
        <v>69</v>
      </c>
      <c r="E1056" t="s">
        <v>74</v>
      </c>
      <c r="F1056" t="s">
        <v>75</v>
      </c>
      <c r="G1056" t="s">
        <v>9</v>
      </c>
      <c r="H1056" t="s">
        <v>90</v>
      </c>
      <c r="I1056" t="s">
        <v>37</v>
      </c>
      <c r="J1056" t="s">
        <v>38</v>
      </c>
      <c r="K1056">
        <v>4021</v>
      </c>
      <c r="L1056">
        <v>112</v>
      </c>
      <c r="M1056">
        <v>46.84</v>
      </c>
      <c r="N1056">
        <v>7</v>
      </c>
      <c r="O1056">
        <v>72.209999999999994</v>
      </c>
      <c r="P1056">
        <f t="shared" si="64"/>
        <v>2.7853767719472768E-2</v>
      </c>
      <c r="Q1056">
        <f t="shared" si="64"/>
        <v>0.41821428571428576</v>
      </c>
      <c r="R1056">
        <f t="shared" si="65"/>
        <v>6.6914285714285722</v>
      </c>
      <c r="S1056">
        <f t="shared" si="66"/>
        <v>1.5416310845431254</v>
      </c>
      <c r="T1056">
        <f t="shared" si="67"/>
        <v>6.25E-2</v>
      </c>
      <c r="U1056" t="str">
        <f>YEAR('Campaign Data'!$A1056)&amp;"-"&amp;TEXT(MONTH('Campaign Data'!$A1056),"00")</f>
        <v>2026-02</v>
      </c>
    </row>
    <row r="1057" spans="1:21" x14ac:dyDescent="0.25">
      <c r="A1057">
        <v>46081</v>
      </c>
      <c r="B1057" t="s">
        <v>72</v>
      </c>
      <c r="C1057" t="s">
        <v>73</v>
      </c>
      <c r="D1057" t="s">
        <v>69</v>
      </c>
      <c r="E1057" t="s">
        <v>74</v>
      </c>
      <c r="F1057" t="s">
        <v>75</v>
      </c>
      <c r="G1057" t="s">
        <v>9</v>
      </c>
      <c r="H1057" t="s">
        <v>90</v>
      </c>
      <c r="I1057" t="s">
        <v>37</v>
      </c>
      <c r="J1057" t="s">
        <v>45</v>
      </c>
      <c r="K1057">
        <v>1719</v>
      </c>
      <c r="L1057">
        <v>62</v>
      </c>
      <c r="M1057">
        <v>21.56</v>
      </c>
      <c r="N1057">
        <v>1</v>
      </c>
      <c r="O1057">
        <v>5</v>
      </c>
      <c r="P1057">
        <f t="shared" si="64"/>
        <v>3.6067481093659107E-2</v>
      </c>
      <c r="Q1057">
        <f t="shared" si="64"/>
        <v>0.34774193548387095</v>
      </c>
      <c r="R1057">
        <f t="shared" si="65"/>
        <v>21.56</v>
      </c>
      <c r="S1057">
        <f t="shared" si="66"/>
        <v>0.2319109461966605</v>
      </c>
      <c r="T1057">
        <f t="shared" si="67"/>
        <v>1.6129032258064516E-2</v>
      </c>
      <c r="U1057" t="str">
        <f>YEAR('Campaign Data'!$A1057)&amp;"-"&amp;TEXT(MONTH('Campaign Data'!$A1057),"00")</f>
        <v>2026-02</v>
      </c>
    </row>
    <row r="1058" spans="1:21" x14ac:dyDescent="0.25">
      <c r="A1058">
        <v>46081</v>
      </c>
      <c r="B1058" t="s">
        <v>72</v>
      </c>
      <c r="C1058" t="s">
        <v>73</v>
      </c>
      <c r="D1058" t="s">
        <v>69</v>
      </c>
      <c r="E1058" t="s">
        <v>74</v>
      </c>
      <c r="F1058" t="s">
        <v>75</v>
      </c>
      <c r="G1058" t="s">
        <v>9</v>
      </c>
      <c r="H1058" t="s">
        <v>90</v>
      </c>
      <c r="I1058" t="s">
        <v>28</v>
      </c>
      <c r="J1058" t="s">
        <v>62</v>
      </c>
      <c r="K1058">
        <v>7800</v>
      </c>
      <c r="L1058">
        <v>97</v>
      </c>
      <c r="M1058">
        <v>41.07</v>
      </c>
      <c r="N1058">
        <v>2</v>
      </c>
      <c r="O1058">
        <v>13.02</v>
      </c>
      <c r="P1058">
        <f t="shared" si="64"/>
        <v>1.2435897435897436E-2</v>
      </c>
      <c r="Q1058">
        <f t="shared" si="64"/>
        <v>0.42340206185567009</v>
      </c>
      <c r="R1058">
        <f t="shared" si="65"/>
        <v>20.535</v>
      </c>
      <c r="S1058">
        <f t="shared" si="66"/>
        <v>0.31701972242512783</v>
      </c>
      <c r="T1058">
        <f t="shared" si="67"/>
        <v>2.0618556701030927E-2</v>
      </c>
      <c r="U1058" t="str">
        <f>YEAR('Campaign Data'!$A1058)&amp;"-"&amp;TEXT(MONTH('Campaign Data'!$A1058),"00")</f>
        <v>2026-02</v>
      </c>
    </row>
    <row r="1059" spans="1:21" x14ac:dyDescent="0.25">
      <c r="A1059">
        <v>46081</v>
      </c>
      <c r="B1059" t="s">
        <v>163</v>
      </c>
      <c r="C1059" t="s">
        <v>164</v>
      </c>
      <c r="D1059" t="s">
        <v>58</v>
      </c>
      <c r="E1059" t="s">
        <v>42</v>
      </c>
      <c r="F1059" t="s">
        <v>43</v>
      </c>
      <c r="G1059" t="s">
        <v>44</v>
      </c>
      <c r="H1059" t="s">
        <v>36</v>
      </c>
      <c r="I1059" t="s">
        <v>37</v>
      </c>
      <c r="J1059" t="s">
        <v>38</v>
      </c>
      <c r="K1059">
        <v>17048</v>
      </c>
      <c r="L1059">
        <v>98</v>
      </c>
      <c r="M1059">
        <v>379.95</v>
      </c>
      <c r="N1059">
        <v>3</v>
      </c>
      <c r="O1059">
        <v>41.1</v>
      </c>
      <c r="P1059">
        <f t="shared" si="64"/>
        <v>5.7484748944157671E-3</v>
      </c>
      <c r="Q1059">
        <f t="shared" si="64"/>
        <v>3.8770408163265304</v>
      </c>
      <c r="R1059">
        <f t="shared" si="65"/>
        <v>126.64999999999999</v>
      </c>
      <c r="S1059">
        <f t="shared" si="66"/>
        <v>0.10817212791156731</v>
      </c>
      <c r="T1059">
        <f t="shared" si="67"/>
        <v>3.0612244897959183E-2</v>
      </c>
      <c r="U1059" t="str">
        <f>YEAR('Campaign Data'!$A1059)&amp;"-"&amp;TEXT(MONTH('Campaign Data'!$A1059),"00")</f>
        <v>2026-02</v>
      </c>
    </row>
    <row r="1060" spans="1:21" x14ac:dyDescent="0.25">
      <c r="A1060">
        <v>46081</v>
      </c>
      <c r="B1060" t="s">
        <v>163</v>
      </c>
      <c r="C1060" t="s">
        <v>164</v>
      </c>
      <c r="D1060" t="s">
        <v>58</v>
      </c>
      <c r="E1060" t="s">
        <v>42</v>
      </c>
      <c r="F1060" t="s">
        <v>43</v>
      </c>
      <c r="G1060" t="s">
        <v>44</v>
      </c>
      <c r="H1060" t="s">
        <v>55</v>
      </c>
      <c r="I1060" t="s">
        <v>37</v>
      </c>
      <c r="J1060" t="s">
        <v>87</v>
      </c>
      <c r="K1060">
        <v>7744</v>
      </c>
      <c r="L1060">
        <v>52</v>
      </c>
      <c r="M1060">
        <v>296.64999999999998</v>
      </c>
      <c r="N1060">
        <v>2</v>
      </c>
      <c r="O1060">
        <v>42.5</v>
      </c>
      <c r="P1060">
        <f t="shared" si="64"/>
        <v>6.7148760330578514E-3</v>
      </c>
      <c r="Q1060">
        <f t="shared" si="64"/>
        <v>5.7048076923076918</v>
      </c>
      <c r="R1060">
        <f t="shared" si="65"/>
        <v>148.32499999999999</v>
      </c>
      <c r="S1060">
        <f t="shared" si="66"/>
        <v>0.14326647564469916</v>
      </c>
      <c r="T1060">
        <f t="shared" si="67"/>
        <v>3.8461538461538464E-2</v>
      </c>
      <c r="U1060" t="str">
        <f>YEAR('Campaign Data'!$A1060)&amp;"-"&amp;TEXT(MONTH('Campaign Data'!$A1060),"00")</f>
        <v>2026-02</v>
      </c>
    </row>
    <row r="1061" spans="1:21" x14ac:dyDescent="0.25">
      <c r="A1061">
        <v>46081</v>
      </c>
      <c r="B1061" t="s">
        <v>76</v>
      </c>
      <c r="C1061" t="s">
        <v>77</v>
      </c>
      <c r="D1061" t="s">
        <v>65</v>
      </c>
      <c r="E1061" t="s">
        <v>42</v>
      </c>
      <c r="F1061" t="s">
        <v>43</v>
      </c>
      <c r="G1061" t="s">
        <v>44</v>
      </c>
      <c r="H1061" t="s">
        <v>71</v>
      </c>
      <c r="I1061" t="s">
        <v>37</v>
      </c>
      <c r="J1061" t="s">
        <v>87</v>
      </c>
      <c r="K1061">
        <v>5964</v>
      </c>
      <c r="L1061">
        <v>41</v>
      </c>
      <c r="M1061">
        <v>263.83999999999997</v>
      </c>
      <c r="N1061">
        <v>5</v>
      </c>
      <c r="O1061">
        <v>71.62</v>
      </c>
      <c r="P1061">
        <f t="shared" si="64"/>
        <v>6.8745808182427903E-3</v>
      </c>
      <c r="Q1061">
        <f t="shared" si="64"/>
        <v>6.4351219512195117</v>
      </c>
      <c r="R1061">
        <f t="shared" si="65"/>
        <v>52.767999999999994</v>
      </c>
      <c r="S1061">
        <f t="shared" si="66"/>
        <v>0.27145239539114618</v>
      </c>
      <c r="T1061">
        <f t="shared" si="67"/>
        <v>0.12195121951219512</v>
      </c>
      <c r="U1061" t="str">
        <f>YEAR('Campaign Data'!$A1061)&amp;"-"&amp;TEXT(MONTH('Campaign Data'!$A1061),"00")</f>
        <v>2026-02</v>
      </c>
    </row>
    <row r="1062" spans="1:21" x14ac:dyDescent="0.25">
      <c r="A1062">
        <v>46081</v>
      </c>
      <c r="B1062" t="s">
        <v>76</v>
      </c>
      <c r="C1062" t="s">
        <v>77</v>
      </c>
      <c r="D1062" t="s">
        <v>65</v>
      </c>
      <c r="E1062" t="s">
        <v>42</v>
      </c>
      <c r="F1062" t="s">
        <v>43</v>
      </c>
      <c r="G1062" t="s">
        <v>44</v>
      </c>
      <c r="H1062" t="s">
        <v>27</v>
      </c>
      <c r="I1062" t="s">
        <v>37</v>
      </c>
      <c r="J1062" t="s">
        <v>62</v>
      </c>
      <c r="K1062">
        <v>8941</v>
      </c>
      <c r="L1062">
        <v>48</v>
      </c>
      <c r="M1062">
        <v>402.89</v>
      </c>
      <c r="N1062">
        <v>3</v>
      </c>
      <c r="O1062">
        <v>109.7</v>
      </c>
      <c r="P1062">
        <f t="shared" si="64"/>
        <v>5.3685270104015213E-3</v>
      </c>
      <c r="Q1062">
        <f t="shared" si="64"/>
        <v>8.3935416666666658</v>
      </c>
      <c r="R1062">
        <f t="shared" si="65"/>
        <v>134.29666666666665</v>
      </c>
      <c r="S1062">
        <f t="shared" si="66"/>
        <v>0.2722827570800963</v>
      </c>
      <c r="T1062">
        <f t="shared" si="67"/>
        <v>6.25E-2</v>
      </c>
      <c r="U1062" t="str">
        <f>YEAR('Campaign Data'!$A1062)&amp;"-"&amp;TEXT(MONTH('Campaign Data'!$A1062),"00")</f>
        <v>2026-02</v>
      </c>
    </row>
    <row r="1063" spans="1:21" x14ac:dyDescent="0.25">
      <c r="A1063">
        <v>46082</v>
      </c>
      <c r="B1063" t="s">
        <v>167</v>
      </c>
      <c r="C1063" t="s">
        <v>168</v>
      </c>
      <c r="D1063" t="s">
        <v>58</v>
      </c>
      <c r="E1063" t="s">
        <v>33</v>
      </c>
      <c r="F1063" t="s">
        <v>75</v>
      </c>
      <c r="G1063" t="s">
        <v>35</v>
      </c>
      <c r="H1063" t="s">
        <v>71</v>
      </c>
      <c r="I1063" t="s">
        <v>37</v>
      </c>
      <c r="J1063" t="s">
        <v>29</v>
      </c>
      <c r="K1063">
        <v>1914</v>
      </c>
      <c r="L1063">
        <v>17</v>
      </c>
      <c r="M1063">
        <v>10.29</v>
      </c>
      <c r="N1063">
        <v>1</v>
      </c>
      <c r="O1063">
        <v>32.36</v>
      </c>
      <c r="P1063">
        <f t="shared" si="64"/>
        <v>8.881922675026124E-3</v>
      </c>
      <c r="Q1063">
        <f t="shared" si="64"/>
        <v>0.60529411764705876</v>
      </c>
      <c r="R1063">
        <f t="shared" si="65"/>
        <v>10.29</v>
      </c>
      <c r="S1063">
        <f t="shared" si="66"/>
        <v>3.1448007774538387</v>
      </c>
      <c r="T1063">
        <f t="shared" si="67"/>
        <v>5.8823529411764705E-2</v>
      </c>
      <c r="U1063" t="str">
        <f>YEAR('Campaign Data'!$A1063)&amp;"-"&amp;TEXT(MONTH('Campaign Data'!$A1063),"00")</f>
        <v>2026-03</v>
      </c>
    </row>
    <row r="1064" spans="1:21" x14ac:dyDescent="0.25">
      <c r="A1064">
        <v>46082</v>
      </c>
      <c r="B1064" t="s">
        <v>138</v>
      </c>
      <c r="C1064" t="s">
        <v>139</v>
      </c>
      <c r="D1064" t="s">
        <v>58</v>
      </c>
      <c r="E1064" t="s">
        <v>74</v>
      </c>
      <c r="F1064" t="s">
        <v>34</v>
      </c>
      <c r="G1064" t="s">
        <v>9</v>
      </c>
      <c r="H1064" t="s">
        <v>27</v>
      </c>
      <c r="I1064" t="s">
        <v>37</v>
      </c>
      <c r="J1064" t="s">
        <v>38</v>
      </c>
      <c r="K1064">
        <v>16472</v>
      </c>
      <c r="L1064">
        <v>446</v>
      </c>
      <c r="M1064">
        <v>623.70000000000005</v>
      </c>
      <c r="N1064">
        <v>31</v>
      </c>
      <c r="O1064">
        <v>5655.43</v>
      </c>
      <c r="P1064">
        <f t="shared" si="64"/>
        <v>2.7076250607090822E-2</v>
      </c>
      <c r="Q1064">
        <f t="shared" si="64"/>
        <v>1.3984304932735427</v>
      </c>
      <c r="R1064">
        <f t="shared" si="65"/>
        <v>20.119354838709679</v>
      </c>
      <c r="S1064">
        <f t="shared" si="66"/>
        <v>9.0675485008818342</v>
      </c>
      <c r="T1064">
        <f t="shared" si="67"/>
        <v>6.9506726457399109E-2</v>
      </c>
      <c r="U1064" t="str">
        <f>YEAR('Campaign Data'!$A1064)&amp;"-"&amp;TEXT(MONTH('Campaign Data'!$A1064),"00")</f>
        <v>2026-03</v>
      </c>
    </row>
    <row r="1065" spans="1:21" x14ac:dyDescent="0.25">
      <c r="A1065">
        <v>46082</v>
      </c>
      <c r="B1065" t="s">
        <v>138</v>
      </c>
      <c r="C1065" t="s">
        <v>139</v>
      </c>
      <c r="D1065" t="s">
        <v>58</v>
      </c>
      <c r="E1065" t="s">
        <v>74</v>
      </c>
      <c r="F1065" t="s">
        <v>34</v>
      </c>
      <c r="G1065" t="s">
        <v>9</v>
      </c>
      <c r="H1065" t="s">
        <v>55</v>
      </c>
      <c r="I1065" t="s">
        <v>37</v>
      </c>
      <c r="J1065" t="s">
        <v>62</v>
      </c>
      <c r="K1065">
        <v>6018</v>
      </c>
      <c r="L1065">
        <v>158</v>
      </c>
      <c r="M1065">
        <v>207.11</v>
      </c>
      <c r="N1065">
        <v>10</v>
      </c>
      <c r="O1065">
        <v>1062.22</v>
      </c>
      <c r="P1065">
        <f t="shared" si="64"/>
        <v>2.6254569624459954E-2</v>
      </c>
      <c r="Q1065">
        <f t="shared" si="64"/>
        <v>1.3108227848101266</v>
      </c>
      <c r="R1065">
        <f t="shared" si="65"/>
        <v>20.711000000000002</v>
      </c>
      <c r="S1065">
        <f t="shared" si="66"/>
        <v>5.1287721500651822</v>
      </c>
      <c r="T1065">
        <f t="shared" si="67"/>
        <v>6.3291139240506333E-2</v>
      </c>
      <c r="U1065" t="str">
        <f>YEAR('Campaign Data'!$A1065)&amp;"-"&amp;TEXT(MONTH('Campaign Data'!$A1065),"00")</f>
        <v>2026-03</v>
      </c>
    </row>
    <row r="1066" spans="1:21" x14ac:dyDescent="0.25">
      <c r="A1066">
        <v>46082</v>
      </c>
      <c r="B1066" t="s">
        <v>149</v>
      </c>
      <c r="C1066" t="s">
        <v>150</v>
      </c>
      <c r="D1066" t="s">
        <v>65</v>
      </c>
      <c r="E1066" t="s">
        <v>33</v>
      </c>
      <c r="F1066" t="s">
        <v>43</v>
      </c>
      <c r="G1066" t="s">
        <v>59</v>
      </c>
      <c r="H1066" t="s">
        <v>55</v>
      </c>
      <c r="I1066" t="s">
        <v>37</v>
      </c>
      <c r="J1066" t="s">
        <v>62</v>
      </c>
      <c r="K1066">
        <v>3795</v>
      </c>
      <c r="L1066">
        <v>73</v>
      </c>
      <c r="M1066">
        <v>47.82</v>
      </c>
      <c r="N1066">
        <v>1</v>
      </c>
      <c r="O1066">
        <v>22.33</v>
      </c>
      <c r="P1066">
        <f t="shared" si="64"/>
        <v>1.9235836627140974E-2</v>
      </c>
      <c r="Q1066">
        <f t="shared" si="64"/>
        <v>0.65506849315068494</v>
      </c>
      <c r="R1066">
        <f t="shared" si="65"/>
        <v>47.82</v>
      </c>
      <c r="S1066">
        <f t="shared" si="66"/>
        <v>0.46695943120033456</v>
      </c>
      <c r="T1066">
        <f t="shared" si="67"/>
        <v>1.3698630136986301E-2</v>
      </c>
      <c r="U1066" t="str">
        <f>YEAR('Campaign Data'!$A1066)&amp;"-"&amp;TEXT(MONTH('Campaign Data'!$A1066),"00")</f>
        <v>2026-03</v>
      </c>
    </row>
    <row r="1067" spans="1:21" x14ac:dyDescent="0.25">
      <c r="A1067">
        <v>46082</v>
      </c>
      <c r="B1067" t="s">
        <v>95</v>
      </c>
      <c r="C1067" t="s">
        <v>96</v>
      </c>
      <c r="D1067" t="s">
        <v>23</v>
      </c>
      <c r="E1067" t="s">
        <v>49</v>
      </c>
      <c r="F1067" t="s">
        <v>43</v>
      </c>
      <c r="G1067" t="s">
        <v>97</v>
      </c>
      <c r="H1067" t="s">
        <v>27</v>
      </c>
      <c r="I1067" t="s">
        <v>37</v>
      </c>
      <c r="J1067" t="s">
        <v>62</v>
      </c>
      <c r="K1067">
        <v>4694</v>
      </c>
      <c r="L1067">
        <v>178</v>
      </c>
      <c r="M1067">
        <v>391.84</v>
      </c>
      <c r="N1067">
        <v>16</v>
      </c>
      <c r="O1067">
        <v>442.07</v>
      </c>
      <c r="P1067">
        <f t="shared" si="64"/>
        <v>3.7920749893481043E-2</v>
      </c>
      <c r="Q1067">
        <f t="shared" si="64"/>
        <v>2.2013483146067414</v>
      </c>
      <c r="R1067">
        <f t="shared" si="65"/>
        <v>24.49</v>
      </c>
      <c r="S1067">
        <f t="shared" si="66"/>
        <v>1.128190077582687</v>
      </c>
      <c r="T1067">
        <f t="shared" si="67"/>
        <v>8.98876404494382E-2</v>
      </c>
      <c r="U1067" t="str">
        <f>YEAR('Campaign Data'!$A1067)&amp;"-"&amp;TEXT(MONTH('Campaign Data'!$A1067),"00")</f>
        <v>2026-03</v>
      </c>
    </row>
    <row r="1068" spans="1:21" x14ac:dyDescent="0.25">
      <c r="A1068">
        <v>46082</v>
      </c>
      <c r="B1068" t="s">
        <v>30</v>
      </c>
      <c r="C1068" t="s">
        <v>31</v>
      </c>
      <c r="D1068" t="s">
        <v>32</v>
      </c>
      <c r="E1068" t="s">
        <v>33</v>
      </c>
      <c r="F1068" t="s">
        <v>34</v>
      </c>
      <c r="G1068" t="s">
        <v>35</v>
      </c>
      <c r="H1068" t="s">
        <v>90</v>
      </c>
      <c r="I1068" t="s">
        <v>37</v>
      </c>
      <c r="J1068" t="s">
        <v>62</v>
      </c>
      <c r="K1068">
        <v>4359</v>
      </c>
      <c r="L1068">
        <v>17</v>
      </c>
      <c r="M1068">
        <v>2.92</v>
      </c>
      <c r="N1068">
        <v>0</v>
      </c>
      <c r="O1068">
        <v>0</v>
      </c>
      <c r="P1068">
        <f t="shared" si="64"/>
        <v>3.8999770589584768E-3</v>
      </c>
      <c r="Q1068">
        <f t="shared" si="64"/>
        <v>0.17176470588235293</v>
      </c>
      <c r="R1068">
        <f t="shared" si="65"/>
        <v>0</v>
      </c>
      <c r="S1068">
        <f t="shared" si="66"/>
        <v>0</v>
      </c>
      <c r="T1068">
        <f t="shared" si="67"/>
        <v>0</v>
      </c>
      <c r="U1068" t="str">
        <f>YEAR('Campaign Data'!$A1068)&amp;"-"&amp;TEXT(MONTH('Campaign Data'!$A1068),"00")</f>
        <v>2026-03</v>
      </c>
    </row>
    <row r="1069" spans="1:21" x14ac:dyDescent="0.25">
      <c r="A1069">
        <v>46082</v>
      </c>
      <c r="B1069" t="s">
        <v>39</v>
      </c>
      <c r="C1069" t="s">
        <v>40</v>
      </c>
      <c r="D1069" t="s">
        <v>41</v>
      </c>
      <c r="E1069" t="s">
        <v>42</v>
      </c>
      <c r="F1069" t="s">
        <v>43</v>
      </c>
      <c r="G1069" t="s">
        <v>44</v>
      </c>
      <c r="H1069" t="s">
        <v>60</v>
      </c>
      <c r="I1069" t="s">
        <v>28</v>
      </c>
      <c r="J1069" t="s">
        <v>29</v>
      </c>
      <c r="K1069">
        <v>5804</v>
      </c>
      <c r="L1069">
        <v>30</v>
      </c>
      <c r="M1069">
        <v>221.2</v>
      </c>
      <c r="N1069">
        <v>1</v>
      </c>
      <c r="O1069">
        <v>16.11</v>
      </c>
      <c r="P1069">
        <f t="shared" si="64"/>
        <v>5.1688490696071678E-3</v>
      </c>
      <c r="Q1069">
        <f t="shared" si="64"/>
        <v>7.3733333333333331</v>
      </c>
      <c r="R1069">
        <f t="shared" si="65"/>
        <v>221.2</v>
      </c>
      <c r="S1069">
        <f t="shared" si="66"/>
        <v>7.2830018083182638E-2</v>
      </c>
      <c r="T1069">
        <f t="shared" si="67"/>
        <v>3.3333333333333333E-2</v>
      </c>
      <c r="U1069" t="str">
        <f>YEAR('Campaign Data'!$A1069)&amp;"-"&amp;TEXT(MONTH('Campaign Data'!$A1069),"00")</f>
        <v>2026-03</v>
      </c>
    </row>
    <row r="1070" spans="1:21" x14ac:dyDescent="0.25">
      <c r="A1070">
        <v>46082</v>
      </c>
      <c r="B1070" t="s">
        <v>52</v>
      </c>
      <c r="C1070" t="s">
        <v>53</v>
      </c>
      <c r="D1070" t="s">
        <v>32</v>
      </c>
      <c r="E1070" t="s">
        <v>42</v>
      </c>
      <c r="F1070" t="s">
        <v>25</v>
      </c>
      <c r="G1070" t="s">
        <v>54</v>
      </c>
      <c r="H1070" t="s">
        <v>27</v>
      </c>
      <c r="I1070" t="s">
        <v>37</v>
      </c>
      <c r="J1070" t="s">
        <v>45</v>
      </c>
      <c r="K1070">
        <v>5774</v>
      </c>
      <c r="L1070">
        <v>22</v>
      </c>
      <c r="M1070">
        <v>194.47</v>
      </c>
      <c r="N1070">
        <v>1</v>
      </c>
      <c r="O1070">
        <v>161.35</v>
      </c>
      <c r="P1070">
        <f t="shared" si="64"/>
        <v>3.8101835815725666E-3</v>
      </c>
      <c r="Q1070">
        <f t="shared" si="64"/>
        <v>8.8395454545454548</v>
      </c>
      <c r="R1070">
        <f t="shared" si="65"/>
        <v>194.47</v>
      </c>
      <c r="S1070">
        <f t="shared" si="66"/>
        <v>0.82969095490306988</v>
      </c>
      <c r="T1070">
        <f t="shared" si="67"/>
        <v>4.5454545454545456E-2</v>
      </c>
      <c r="U1070" t="str">
        <f>YEAR('Campaign Data'!$A1070)&amp;"-"&amp;TEXT(MONTH('Campaign Data'!$A1070),"00")</f>
        <v>2026-03</v>
      </c>
    </row>
    <row r="1071" spans="1:21" x14ac:dyDescent="0.25">
      <c r="A1071">
        <v>46082</v>
      </c>
      <c r="B1071" t="s">
        <v>52</v>
      </c>
      <c r="C1071" t="s">
        <v>53</v>
      </c>
      <c r="D1071" t="s">
        <v>32</v>
      </c>
      <c r="E1071" t="s">
        <v>42</v>
      </c>
      <c r="F1071" t="s">
        <v>25</v>
      </c>
      <c r="G1071" t="s">
        <v>54</v>
      </c>
      <c r="H1071" t="s">
        <v>90</v>
      </c>
      <c r="I1071" t="s">
        <v>37</v>
      </c>
      <c r="J1071" t="s">
        <v>29</v>
      </c>
      <c r="K1071">
        <v>10725</v>
      </c>
      <c r="L1071">
        <v>66</v>
      </c>
      <c r="M1071">
        <v>75.599999999999994</v>
      </c>
      <c r="N1071">
        <v>0</v>
      </c>
      <c r="O1071">
        <v>0</v>
      </c>
      <c r="P1071">
        <f t="shared" si="64"/>
        <v>6.1538461538461538E-3</v>
      </c>
      <c r="Q1071">
        <f t="shared" si="64"/>
        <v>1.1454545454545453</v>
      </c>
      <c r="R1071">
        <f t="shared" si="65"/>
        <v>0</v>
      </c>
      <c r="S1071">
        <f t="shared" si="66"/>
        <v>0</v>
      </c>
      <c r="T1071">
        <f t="shared" si="67"/>
        <v>0</v>
      </c>
      <c r="U1071" t="str">
        <f>YEAR('Campaign Data'!$A1071)&amp;"-"&amp;TEXT(MONTH('Campaign Data'!$A1071),"00")</f>
        <v>2026-03</v>
      </c>
    </row>
    <row r="1072" spans="1:21" x14ac:dyDescent="0.25">
      <c r="A1072">
        <v>46082</v>
      </c>
      <c r="B1072" t="s">
        <v>103</v>
      </c>
      <c r="C1072" t="s">
        <v>104</v>
      </c>
      <c r="D1072" t="s">
        <v>65</v>
      </c>
      <c r="E1072" t="s">
        <v>33</v>
      </c>
      <c r="F1072" t="s">
        <v>43</v>
      </c>
      <c r="G1072" t="s">
        <v>102</v>
      </c>
      <c r="H1072" t="s">
        <v>27</v>
      </c>
      <c r="I1072" t="s">
        <v>28</v>
      </c>
      <c r="J1072" t="s">
        <v>38</v>
      </c>
      <c r="K1072">
        <v>9994</v>
      </c>
      <c r="L1072">
        <v>70</v>
      </c>
      <c r="M1072">
        <v>51.41</v>
      </c>
      <c r="N1072">
        <v>1</v>
      </c>
      <c r="O1072">
        <v>22.26</v>
      </c>
      <c r="P1072">
        <f t="shared" si="64"/>
        <v>7.0042025215129077E-3</v>
      </c>
      <c r="Q1072">
        <f t="shared" si="64"/>
        <v>0.73442857142857143</v>
      </c>
      <c r="R1072">
        <f t="shared" si="65"/>
        <v>51.41</v>
      </c>
      <c r="S1072">
        <f t="shared" si="66"/>
        <v>0.43298969072164956</v>
      </c>
      <c r="T1072">
        <f t="shared" si="67"/>
        <v>1.4285714285714285E-2</v>
      </c>
      <c r="U1072" t="str">
        <f>YEAR('Campaign Data'!$A1072)&amp;"-"&amp;TEXT(MONTH('Campaign Data'!$A1072),"00")</f>
        <v>2026-03</v>
      </c>
    </row>
    <row r="1073" spans="1:21" x14ac:dyDescent="0.25">
      <c r="A1073">
        <v>46082</v>
      </c>
      <c r="B1073" t="s">
        <v>134</v>
      </c>
      <c r="C1073" t="s">
        <v>135</v>
      </c>
      <c r="D1073" t="s">
        <v>32</v>
      </c>
      <c r="E1073" t="s">
        <v>74</v>
      </c>
      <c r="F1073" t="s">
        <v>25</v>
      </c>
      <c r="G1073" t="s">
        <v>107</v>
      </c>
      <c r="H1073" t="s">
        <v>27</v>
      </c>
      <c r="I1073" t="s">
        <v>37</v>
      </c>
      <c r="J1073" t="s">
        <v>38</v>
      </c>
      <c r="K1073">
        <v>3207</v>
      </c>
      <c r="L1073">
        <v>118</v>
      </c>
      <c r="M1073">
        <v>239.94</v>
      </c>
      <c r="N1073">
        <v>7</v>
      </c>
      <c r="O1073">
        <v>1969.53</v>
      </c>
      <c r="P1073">
        <f t="shared" si="64"/>
        <v>3.6794512004989087E-2</v>
      </c>
      <c r="Q1073">
        <f t="shared" si="64"/>
        <v>2.0333898305084745</v>
      </c>
      <c r="R1073">
        <f t="shared" si="65"/>
        <v>34.277142857142856</v>
      </c>
      <c r="S1073">
        <f t="shared" si="66"/>
        <v>8.2084271067766945</v>
      </c>
      <c r="T1073">
        <f t="shared" si="67"/>
        <v>5.9322033898305086E-2</v>
      </c>
      <c r="U1073" t="str">
        <f>YEAR('Campaign Data'!$A1073)&amp;"-"&amp;TEXT(MONTH('Campaign Data'!$A1073),"00")</f>
        <v>2026-03</v>
      </c>
    </row>
    <row r="1074" spans="1:21" x14ac:dyDescent="0.25">
      <c r="A1074">
        <v>46082</v>
      </c>
      <c r="B1074" t="s">
        <v>157</v>
      </c>
      <c r="C1074" t="s">
        <v>158</v>
      </c>
      <c r="D1074" t="s">
        <v>58</v>
      </c>
      <c r="E1074" t="s">
        <v>49</v>
      </c>
      <c r="F1074" t="s">
        <v>81</v>
      </c>
      <c r="G1074" t="s">
        <v>50</v>
      </c>
      <c r="H1074" t="s">
        <v>90</v>
      </c>
      <c r="I1074" t="s">
        <v>28</v>
      </c>
      <c r="J1074" t="s">
        <v>38</v>
      </c>
      <c r="K1074">
        <v>3172</v>
      </c>
      <c r="L1074">
        <v>183</v>
      </c>
      <c r="M1074">
        <v>85.62</v>
      </c>
      <c r="N1074">
        <v>13</v>
      </c>
      <c r="O1074">
        <v>65</v>
      </c>
      <c r="P1074">
        <f t="shared" si="64"/>
        <v>5.7692307692307696E-2</v>
      </c>
      <c r="Q1074">
        <f t="shared" si="64"/>
        <v>0.46786885245901644</v>
      </c>
      <c r="R1074">
        <f t="shared" si="65"/>
        <v>6.5861538461538469</v>
      </c>
      <c r="S1074">
        <f t="shared" si="66"/>
        <v>0.75916841859378648</v>
      </c>
      <c r="T1074">
        <f t="shared" si="67"/>
        <v>7.1038251366120214E-2</v>
      </c>
      <c r="U1074" t="str">
        <f>YEAR('Campaign Data'!$A1074)&amp;"-"&amp;TEXT(MONTH('Campaign Data'!$A1074),"00")</f>
        <v>2026-03</v>
      </c>
    </row>
    <row r="1075" spans="1:21" x14ac:dyDescent="0.25">
      <c r="A1075">
        <v>46082</v>
      </c>
      <c r="B1075" t="s">
        <v>161</v>
      </c>
      <c r="C1075" t="s">
        <v>162</v>
      </c>
      <c r="D1075" t="s">
        <v>48</v>
      </c>
      <c r="E1075" t="s">
        <v>74</v>
      </c>
      <c r="F1075" t="s">
        <v>34</v>
      </c>
      <c r="G1075" t="s">
        <v>107</v>
      </c>
      <c r="H1075" t="s">
        <v>90</v>
      </c>
      <c r="I1075" t="s">
        <v>37</v>
      </c>
      <c r="J1075" t="s">
        <v>29</v>
      </c>
      <c r="K1075">
        <v>5101</v>
      </c>
      <c r="L1075">
        <v>255</v>
      </c>
      <c r="M1075">
        <v>50.64</v>
      </c>
      <c r="N1075">
        <v>6</v>
      </c>
      <c r="O1075">
        <v>136</v>
      </c>
      <c r="P1075">
        <f t="shared" si="64"/>
        <v>4.9990198000392082E-2</v>
      </c>
      <c r="Q1075">
        <f t="shared" si="64"/>
        <v>0.19858823529411765</v>
      </c>
      <c r="R1075">
        <f t="shared" si="65"/>
        <v>8.44</v>
      </c>
      <c r="S1075">
        <f t="shared" si="66"/>
        <v>2.6856240126382307</v>
      </c>
      <c r="T1075">
        <f t="shared" si="67"/>
        <v>2.3529411764705882E-2</v>
      </c>
      <c r="U1075" t="str">
        <f>YEAR('Campaign Data'!$A1075)&amp;"-"&amp;TEXT(MONTH('Campaign Data'!$A1075),"00")</f>
        <v>2026-03</v>
      </c>
    </row>
    <row r="1076" spans="1:21" x14ac:dyDescent="0.25">
      <c r="A1076">
        <v>46082</v>
      </c>
      <c r="B1076" t="s">
        <v>114</v>
      </c>
      <c r="C1076" t="s">
        <v>115</v>
      </c>
      <c r="D1076" t="s">
        <v>69</v>
      </c>
      <c r="E1076" t="s">
        <v>49</v>
      </c>
      <c r="F1076" t="s">
        <v>25</v>
      </c>
      <c r="G1076" t="s">
        <v>107</v>
      </c>
      <c r="H1076" t="s">
        <v>27</v>
      </c>
      <c r="I1076" t="s">
        <v>28</v>
      </c>
      <c r="J1076" t="s">
        <v>87</v>
      </c>
      <c r="K1076">
        <v>10983</v>
      </c>
      <c r="L1076">
        <v>394</v>
      </c>
      <c r="M1076">
        <v>776.88</v>
      </c>
      <c r="N1076">
        <v>23</v>
      </c>
      <c r="O1076">
        <v>4294.76</v>
      </c>
      <c r="P1076">
        <f t="shared" si="64"/>
        <v>3.5873622871710822E-2</v>
      </c>
      <c r="Q1076">
        <f t="shared" si="64"/>
        <v>1.9717766497461928</v>
      </c>
      <c r="R1076">
        <f t="shared" si="65"/>
        <v>33.777391304347823</v>
      </c>
      <c r="S1076">
        <f t="shared" si="66"/>
        <v>5.5282154258057874</v>
      </c>
      <c r="T1076">
        <f t="shared" si="67"/>
        <v>5.8375634517766499E-2</v>
      </c>
      <c r="U1076" t="str">
        <f>YEAR('Campaign Data'!$A1076)&amp;"-"&amp;TEXT(MONTH('Campaign Data'!$A1076),"00")</f>
        <v>2026-03</v>
      </c>
    </row>
    <row r="1077" spans="1:21" x14ac:dyDescent="0.25">
      <c r="A1077">
        <v>46082</v>
      </c>
      <c r="B1077" t="s">
        <v>114</v>
      </c>
      <c r="C1077" t="s">
        <v>115</v>
      </c>
      <c r="D1077" t="s">
        <v>69</v>
      </c>
      <c r="E1077" t="s">
        <v>49</v>
      </c>
      <c r="F1077" t="s">
        <v>25</v>
      </c>
      <c r="G1077" t="s">
        <v>107</v>
      </c>
      <c r="H1077" t="s">
        <v>27</v>
      </c>
      <c r="I1077" t="s">
        <v>37</v>
      </c>
      <c r="J1077" t="s">
        <v>38</v>
      </c>
      <c r="K1077">
        <v>4631</v>
      </c>
      <c r="L1077">
        <v>191</v>
      </c>
      <c r="M1077">
        <v>430.09</v>
      </c>
      <c r="N1077">
        <v>9</v>
      </c>
      <c r="O1077">
        <v>1540.43</v>
      </c>
      <c r="P1077">
        <f t="shared" si="64"/>
        <v>4.1243791837616069E-2</v>
      </c>
      <c r="Q1077">
        <f t="shared" si="64"/>
        <v>2.2517801047120418</v>
      </c>
      <c r="R1077">
        <f t="shared" si="65"/>
        <v>47.787777777777777</v>
      </c>
      <c r="S1077">
        <f t="shared" si="66"/>
        <v>3.5816457020623593</v>
      </c>
      <c r="T1077">
        <f t="shared" si="67"/>
        <v>4.712041884816754E-2</v>
      </c>
      <c r="U1077" t="str">
        <f>YEAR('Campaign Data'!$A1077)&amp;"-"&amp;TEXT(MONTH('Campaign Data'!$A1077),"00")</f>
        <v>2026-03</v>
      </c>
    </row>
    <row r="1078" spans="1:21" x14ac:dyDescent="0.25">
      <c r="A1078">
        <v>46082</v>
      </c>
      <c r="B1078" t="s">
        <v>114</v>
      </c>
      <c r="C1078" t="s">
        <v>115</v>
      </c>
      <c r="D1078" t="s">
        <v>69</v>
      </c>
      <c r="E1078" t="s">
        <v>49</v>
      </c>
      <c r="F1078" t="s">
        <v>25</v>
      </c>
      <c r="G1078" t="s">
        <v>107</v>
      </c>
      <c r="H1078" t="s">
        <v>71</v>
      </c>
      <c r="I1078" t="s">
        <v>37</v>
      </c>
      <c r="J1078" t="s">
        <v>45</v>
      </c>
      <c r="K1078">
        <v>18053</v>
      </c>
      <c r="L1078">
        <v>233</v>
      </c>
      <c r="M1078">
        <v>273.68</v>
      </c>
      <c r="N1078">
        <v>8</v>
      </c>
      <c r="O1078">
        <v>1464.7</v>
      </c>
      <c r="P1078">
        <f t="shared" si="64"/>
        <v>1.2906442142580181E-2</v>
      </c>
      <c r="Q1078">
        <f t="shared" si="64"/>
        <v>1.1745922746781117</v>
      </c>
      <c r="R1078">
        <f t="shared" si="65"/>
        <v>34.21</v>
      </c>
      <c r="S1078">
        <f t="shared" si="66"/>
        <v>5.3518707980122775</v>
      </c>
      <c r="T1078">
        <f t="shared" si="67"/>
        <v>3.4334763948497854E-2</v>
      </c>
      <c r="U1078" t="str">
        <f>YEAR('Campaign Data'!$A1078)&amp;"-"&amp;TEXT(MONTH('Campaign Data'!$A1078),"00")</f>
        <v>2026-03</v>
      </c>
    </row>
    <row r="1079" spans="1:21" x14ac:dyDescent="0.25">
      <c r="A1079">
        <v>46082</v>
      </c>
      <c r="B1079" t="s">
        <v>141</v>
      </c>
      <c r="C1079" t="s">
        <v>142</v>
      </c>
      <c r="D1079" t="s">
        <v>80</v>
      </c>
      <c r="E1079" t="s">
        <v>49</v>
      </c>
      <c r="F1079" t="s">
        <v>81</v>
      </c>
      <c r="G1079" t="s">
        <v>97</v>
      </c>
      <c r="H1079" t="s">
        <v>27</v>
      </c>
      <c r="I1079" t="s">
        <v>37</v>
      </c>
      <c r="J1079" t="s">
        <v>87</v>
      </c>
      <c r="K1079">
        <v>11191</v>
      </c>
      <c r="L1079">
        <v>542</v>
      </c>
      <c r="M1079">
        <v>1293.42</v>
      </c>
      <c r="N1079">
        <v>47</v>
      </c>
      <c r="O1079">
        <v>819.71</v>
      </c>
      <c r="P1079">
        <f t="shared" si="64"/>
        <v>4.8431775533911176E-2</v>
      </c>
      <c r="Q1079">
        <f t="shared" si="64"/>
        <v>2.3863837638376384</v>
      </c>
      <c r="R1079">
        <f t="shared" si="65"/>
        <v>27.519574468085107</v>
      </c>
      <c r="S1079">
        <f t="shared" si="66"/>
        <v>0.63375392370614336</v>
      </c>
      <c r="T1079">
        <f t="shared" si="67"/>
        <v>8.6715867158671592E-2</v>
      </c>
      <c r="U1079" t="str">
        <f>YEAR('Campaign Data'!$A1079)&amp;"-"&amp;TEXT(MONTH('Campaign Data'!$A1079),"00")</f>
        <v>2026-03</v>
      </c>
    </row>
    <row r="1080" spans="1:21" x14ac:dyDescent="0.25">
      <c r="A1080">
        <v>46082</v>
      </c>
      <c r="B1080" t="s">
        <v>143</v>
      </c>
      <c r="C1080" t="s">
        <v>144</v>
      </c>
      <c r="D1080" t="s">
        <v>48</v>
      </c>
      <c r="E1080" t="s">
        <v>42</v>
      </c>
      <c r="F1080" t="s">
        <v>25</v>
      </c>
      <c r="G1080" t="s">
        <v>84</v>
      </c>
      <c r="H1080" t="s">
        <v>36</v>
      </c>
      <c r="I1080" t="s">
        <v>28</v>
      </c>
      <c r="J1080" t="s">
        <v>38</v>
      </c>
      <c r="K1080">
        <v>4115</v>
      </c>
      <c r="L1080">
        <v>24</v>
      </c>
      <c r="M1080">
        <v>145.27000000000001</v>
      </c>
      <c r="N1080">
        <v>0</v>
      </c>
      <c r="O1080">
        <v>0</v>
      </c>
      <c r="P1080">
        <f t="shared" si="64"/>
        <v>5.8323207776427707E-3</v>
      </c>
      <c r="Q1080">
        <f t="shared" si="64"/>
        <v>6.0529166666666674</v>
      </c>
      <c r="R1080">
        <f t="shared" si="65"/>
        <v>0</v>
      </c>
      <c r="S1080">
        <f t="shared" si="66"/>
        <v>0</v>
      </c>
      <c r="T1080">
        <f t="shared" si="67"/>
        <v>0</v>
      </c>
      <c r="U1080" t="str">
        <f>YEAR('Campaign Data'!$A1080)&amp;"-"&amp;TEXT(MONTH('Campaign Data'!$A1080),"00")</f>
        <v>2026-03</v>
      </c>
    </row>
    <row r="1081" spans="1:21" x14ac:dyDescent="0.25">
      <c r="A1081">
        <v>46082</v>
      </c>
      <c r="B1081" t="s">
        <v>63</v>
      </c>
      <c r="C1081" t="s">
        <v>64</v>
      </c>
      <c r="D1081" t="s">
        <v>65</v>
      </c>
      <c r="E1081" t="s">
        <v>24</v>
      </c>
      <c r="F1081" t="s">
        <v>43</v>
      </c>
      <c r="G1081" t="s">
        <v>66</v>
      </c>
      <c r="H1081" t="s">
        <v>27</v>
      </c>
      <c r="I1081" t="s">
        <v>37</v>
      </c>
      <c r="J1081" t="s">
        <v>62</v>
      </c>
      <c r="K1081">
        <v>7105</v>
      </c>
      <c r="L1081">
        <v>113</v>
      </c>
      <c r="M1081">
        <v>142.06</v>
      </c>
      <c r="N1081">
        <v>2</v>
      </c>
      <c r="O1081">
        <v>71.260000000000005</v>
      </c>
      <c r="P1081">
        <f t="shared" si="64"/>
        <v>1.5904292751583393E-2</v>
      </c>
      <c r="Q1081">
        <f t="shared" si="64"/>
        <v>1.2571681415929203</v>
      </c>
      <c r="R1081">
        <f t="shared" si="65"/>
        <v>71.03</v>
      </c>
      <c r="S1081">
        <f t="shared" si="66"/>
        <v>0.50161903421089682</v>
      </c>
      <c r="T1081">
        <f t="shared" si="67"/>
        <v>1.7699115044247787E-2</v>
      </c>
      <c r="U1081" t="str">
        <f>YEAR('Campaign Data'!$A1081)&amp;"-"&amp;TEXT(MONTH('Campaign Data'!$A1081),"00")</f>
        <v>2026-03</v>
      </c>
    </row>
    <row r="1082" spans="1:21" x14ac:dyDescent="0.25">
      <c r="A1082">
        <v>46082</v>
      </c>
      <c r="B1082" t="s">
        <v>116</v>
      </c>
      <c r="C1082" t="s">
        <v>117</v>
      </c>
      <c r="D1082" t="s">
        <v>48</v>
      </c>
      <c r="E1082" t="s">
        <v>24</v>
      </c>
      <c r="F1082" t="s">
        <v>43</v>
      </c>
      <c r="G1082" t="s">
        <v>26</v>
      </c>
      <c r="H1082" t="s">
        <v>90</v>
      </c>
      <c r="I1082" t="s">
        <v>37</v>
      </c>
      <c r="J1082" t="s">
        <v>38</v>
      </c>
      <c r="K1082">
        <v>8797</v>
      </c>
      <c r="L1082">
        <v>97</v>
      </c>
      <c r="M1082">
        <v>21.7</v>
      </c>
      <c r="N1082">
        <v>1</v>
      </c>
      <c r="O1082">
        <v>5</v>
      </c>
      <c r="P1082">
        <f t="shared" si="64"/>
        <v>1.1026486302148459E-2</v>
      </c>
      <c r="Q1082">
        <f t="shared" si="64"/>
        <v>0.22371134020618555</v>
      </c>
      <c r="R1082">
        <f t="shared" si="65"/>
        <v>21.7</v>
      </c>
      <c r="S1082">
        <f t="shared" si="66"/>
        <v>0.2304147465437788</v>
      </c>
      <c r="T1082">
        <f t="shared" si="67"/>
        <v>1.0309278350515464E-2</v>
      </c>
      <c r="U1082" t="str">
        <f>YEAR('Campaign Data'!$A1082)&amp;"-"&amp;TEXT(MONTH('Campaign Data'!$A1082),"00")</f>
        <v>2026-03</v>
      </c>
    </row>
    <row r="1083" spans="1:21" x14ac:dyDescent="0.25">
      <c r="A1083">
        <v>46082</v>
      </c>
      <c r="B1083" t="s">
        <v>116</v>
      </c>
      <c r="C1083" t="s">
        <v>117</v>
      </c>
      <c r="D1083" t="s">
        <v>48</v>
      </c>
      <c r="E1083" t="s">
        <v>24</v>
      </c>
      <c r="F1083" t="s">
        <v>43</v>
      </c>
      <c r="G1083" t="s">
        <v>26</v>
      </c>
      <c r="H1083" t="s">
        <v>51</v>
      </c>
      <c r="I1083" t="s">
        <v>37</v>
      </c>
      <c r="J1083" t="s">
        <v>45</v>
      </c>
      <c r="K1083">
        <v>4565</v>
      </c>
      <c r="L1083">
        <v>74</v>
      </c>
      <c r="M1083">
        <v>73.430000000000007</v>
      </c>
      <c r="N1083">
        <v>0</v>
      </c>
      <c r="O1083">
        <v>0</v>
      </c>
      <c r="P1083">
        <f t="shared" si="64"/>
        <v>1.6210295728368018E-2</v>
      </c>
      <c r="Q1083">
        <f t="shared" si="64"/>
        <v>0.99229729729729743</v>
      </c>
      <c r="R1083">
        <f t="shared" si="65"/>
        <v>0</v>
      </c>
      <c r="S1083">
        <f t="shared" si="66"/>
        <v>0</v>
      </c>
      <c r="T1083">
        <f t="shared" si="67"/>
        <v>0</v>
      </c>
      <c r="U1083" t="str">
        <f>YEAR('Campaign Data'!$A1083)&amp;"-"&amp;TEXT(MONTH('Campaign Data'!$A1083),"00")</f>
        <v>2026-03</v>
      </c>
    </row>
    <row r="1084" spans="1:21" x14ac:dyDescent="0.25">
      <c r="A1084">
        <v>46082</v>
      </c>
      <c r="B1084" t="s">
        <v>145</v>
      </c>
      <c r="C1084" t="s">
        <v>146</v>
      </c>
      <c r="D1084" t="s">
        <v>41</v>
      </c>
      <c r="E1084" t="s">
        <v>49</v>
      </c>
      <c r="F1084" t="s">
        <v>75</v>
      </c>
      <c r="G1084" t="s">
        <v>70</v>
      </c>
      <c r="H1084" t="s">
        <v>60</v>
      </c>
      <c r="I1084" t="s">
        <v>28</v>
      </c>
      <c r="J1084" t="s">
        <v>45</v>
      </c>
      <c r="K1084">
        <v>1472</v>
      </c>
      <c r="L1084">
        <v>55</v>
      </c>
      <c r="M1084">
        <v>93.28</v>
      </c>
      <c r="N1084">
        <v>5</v>
      </c>
      <c r="O1084">
        <v>151.91</v>
      </c>
      <c r="P1084">
        <f t="shared" si="64"/>
        <v>3.7364130434782608E-2</v>
      </c>
      <c r="Q1084">
        <f t="shared" si="64"/>
        <v>1.696</v>
      </c>
      <c r="R1084">
        <f t="shared" si="65"/>
        <v>18.655999999999999</v>
      </c>
      <c r="S1084">
        <f t="shared" si="66"/>
        <v>1.6285377358490565</v>
      </c>
      <c r="T1084">
        <f t="shared" si="67"/>
        <v>9.0909090909090912E-2</v>
      </c>
      <c r="U1084" t="str">
        <f>YEAR('Campaign Data'!$A1084)&amp;"-"&amp;TEXT(MONTH('Campaign Data'!$A1084),"00")</f>
        <v>2026-03</v>
      </c>
    </row>
    <row r="1085" spans="1:21" x14ac:dyDescent="0.25">
      <c r="A1085">
        <v>46082</v>
      </c>
      <c r="B1085" t="s">
        <v>122</v>
      </c>
      <c r="C1085" t="s">
        <v>123</v>
      </c>
      <c r="D1085" t="s">
        <v>41</v>
      </c>
      <c r="E1085" t="s">
        <v>33</v>
      </c>
      <c r="F1085" t="s">
        <v>75</v>
      </c>
      <c r="G1085" t="s">
        <v>35</v>
      </c>
      <c r="H1085" t="s">
        <v>27</v>
      </c>
      <c r="I1085" t="s">
        <v>37</v>
      </c>
      <c r="J1085" t="s">
        <v>45</v>
      </c>
      <c r="K1085">
        <v>6925</v>
      </c>
      <c r="L1085">
        <v>33</v>
      </c>
      <c r="M1085">
        <v>19.03</v>
      </c>
      <c r="N1085">
        <v>1</v>
      </c>
      <c r="O1085">
        <v>39.68</v>
      </c>
      <c r="P1085">
        <f t="shared" si="64"/>
        <v>4.7653429602888091E-3</v>
      </c>
      <c r="Q1085">
        <f t="shared" si="64"/>
        <v>0.57666666666666666</v>
      </c>
      <c r="R1085">
        <f t="shared" si="65"/>
        <v>19.03</v>
      </c>
      <c r="S1085">
        <f t="shared" si="66"/>
        <v>2.0851287440882813</v>
      </c>
      <c r="T1085">
        <f t="shared" si="67"/>
        <v>3.0303030303030304E-2</v>
      </c>
      <c r="U1085" t="str">
        <f>YEAR('Campaign Data'!$A1085)&amp;"-"&amp;TEXT(MONTH('Campaign Data'!$A1085),"00")</f>
        <v>2026-03</v>
      </c>
    </row>
    <row r="1086" spans="1:21" x14ac:dyDescent="0.25">
      <c r="A1086">
        <v>46082</v>
      </c>
      <c r="B1086" t="s">
        <v>82</v>
      </c>
      <c r="C1086" t="s">
        <v>83</v>
      </c>
      <c r="D1086" t="s">
        <v>80</v>
      </c>
      <c r="E1086" t="s">
        <v>42</v>
      </c>
      <c r="F1086" t="s">
        <v>34</v>
      </c>
      <c r="G1086" t="s">
        <v>84</v>
      </c>
      <c r="H1086" t="s">
        <v>60</v>
      </c>
      <c r="I1086" t="s">
        <v>28</v>
      </c>
      <c r="J1086" t="s">
        <v>62</v>
      </c>
      <c r="K1086">
        <v>1820</v>
      </c>
      <c r="L1086">
        <v>12</v>
      </c>
      <c r="M1086">
        <v>85.93</v>
      </c>
      <c r="N1086">
        <v>0</v>
      </c>
      <c r="O1086">
        <v>0</v>
      </c>
      <c r="P1086">
        <f t="shared" si="64"/>
        <v>6.5934065934065934E-3</v>
      </c>
      <c r="Q1086">
        <f t="shared" si="64"/>
        <v>7.1608333333333336</v>
      </c>
      <c r="R1086">
        <f t="shared" si="65"/>
        <v>0</v>
      </c>
      <c r="S1086">
        <f t="shared" si="66"/>
        <v>0</v>
      </c>
      <c r="T1086">
        <f t="shared" si="67"/>
        <v>0</v>
      </c>
      <c r="U1086" t="str">
        <f>YEAR('Campaign Data'!$A1086)&amp;"-"&amp;TEXT(MONTH('Campaign Data'!$A1086),"00")</f>
        <v>2026-03</v>
      </c>
    </row>
    <row r="1087" spans="1:21" x14ac:dyDescent="0.25">
      <c r="A1087">
        <v>46083</v>
      </c>
      <c r="B1087" t="s">
        <v>88</v>
      </c>
      <c r="C1087" t="s">
        <v>89</v>
      </c>
      <c r="D1087" t="s">
        <v>23</v>
      </c>
      <c r="E1087" t="s">
        <v>49</v>
      </c>
      <c r="F1087" t="s">
        <v>81</v>
      </c>
      <c r="G1087" t="s">
        <v>50</v>
      </c>
      <c r="H1087" t="s">
        <v>90</v>
      </c>
      <c r="I1087" t="s">
        <v>28</v>
      </c>
      <c r="J1087" t="s">
        <v>87</v>
      </c>
      <c r="K1087">
        <v>6245</v>
      </c>
      <c r="L1087">
        <v>392</v>
      </c>
      <c r="M1087">
        <v>229.7</v>
      </c>
      <c r="N1087">
        <v>27</v>
      </c>
      <c r="O1087">
        <v>162.54</v>
      </c>
      <c r="P1087">
        <f t="shared" si="64"/>
        <v>6.2770216172938348E-2</v>
      </c>
      <c r="Q1087">
        <f t="shared" si="64"/>
        <v>0.58596938775510199</v>
      </c>
      <c r="R1087">
        <f t="shared" si="65"/>
        <v>8.5074074074074062</v>
      </c>
      <c r="S1087">
        <f t="shared" si="66"/>
        <v>0.70761863299956462</v>
      </c>
      <c r="T1087">
        <f t="shared" si="67"/>
        <v>6.8877551020408156E-2</v>
      </c>
      <c r="U1087" t="str">
        <f>YEAR('Campaign Data'!$A1087)&amp;"-"&amp;TEXT(MONTH('Campaign Data'!$A1087),"00")</f>
        <v>2026-03</v>
      </c>
    </row>
    <row r="1088" spans="1:21" x14ac:dyDescent="0.25">
      <c r="A1088">
        <v>46083</v>
      </c>
      <c r="B1088" t="s">
        <v>167</v>
      </c>
      <c r="C1088" t="s">
        <v>168</v>
      </c>
      <c r="D1088" t="s">
        <v>58</v>
      </c>
      <c r="E1088" t="s">
        <v>33</v>
      </c>
      <c r="F1088" t="s">
        <v>75</v>
      </c>
      <c r="G1088" t="s">
        <v>35</v>
      </c>
      <c r="H1088" t="s">
        <v>27</v>
      </c>
      <c r="I1088" t="s">
        <v>37</v>
      </c>
      <c r="J1088" t="s">
        <v>87</v>
      </c>
      <c r="K1088">
        <v>27828</v>
      </c>
      <c r="L1088">
        <v>247</v>
      </c>
      <c r="M1088">
        <v>235.47</v>
      </c>
      <c r="N1088">
        <v>3</v>
      </c>
      <c r="O1088">
        <v>137.66999999999999</v>
      </c>
      <c r="P1088">
        <f t="shared" si="64"/>
        <v>8.8759522782808683E-3</v>
      </c>
      <c r="Q1088">
        <f t="shared" si="64"/>
        <v>0.95331983805668019</v>
      </c>
      <c r="R1088">
        <f t="shared" si="65"/>
        <v>78.489999999999995</v>
      </c>
      <c r="S1088">
        <f t="shared" si="66"/>
        <v>0.58466046630143964</v>
      </c>
      <c r="T1088">
        <f t="shared" si="67"/>
        <v>1.2145748987854251E-2</v>
      </c>
      <c r="U1088" t="str">
        <f>YEAR('Campaign Data'!$A1088)&amp;"-"&amp;TEXT(MONTH('Campaign Data'!$A1088),"00")</f>
        <v>2026-03</v>
      </c>
    </row>
    <row r="1089" spans="1:21" x14ac:dyDescent="0.25">
      <c r="A1089">
        <v>46083</v>
      </c>
      <c r="B1089" t="s">
        <v>147</v>
      </c>
      <c r="C1089" t="s">
        <v>148</v>
      </c>
      <c r="D1089" t="s">
        <v>23</v>
      </c>
      <c r="E1089" t="s">
        <v>42</v>
      </c>
      <c r="F1089" t="s">
        <v>75</v>
      </c>
      <c r="G1089" t="s">
        <v>44</v>
      </c>
      <c r="H1089" t="s">
        <v>60</v>
      </c>
      <c r="I1089" t="s">
        <v>37</v>
      </c>
      <c r="J1089" t="s">
        <v>38</v>
      </c>
      <c r="K1089">
        <v>9618</v>
      </c>
      <c r="L1089">
        <v>51</v>
      </c>
      <c r="M1089">
        <v>200.24</v>
      </c>
      <c r="N1089">
        <v>1</v>
      </c>
      <c r="O1089">
        <v>33.520000000000003</v>
      </c>
      <c r="P1089">
        <f t="shared" si="64"/>
        <v>5.3025577043044293E-3</v>
      </c>
      <c r="Q1089">
        <f t="shared" si="64"/>
        <v>3.9262745098039216</v>
      </c>
      <c r="R1089">
        <f t="shared" si="65"/>
        <v>200.24</v>
      </c>
      <c r="S1089">
        <f t="shared" si="66"/>
        <v>0.16739912105473434</v>
      </c>
      <c r="T1089">
        <f t="shared" si="67"/>
        <v>1.9607843137254902E-2</v>
      </c>
      <c r="U1089" t="str">
        <f>YEAR('Campaign Data'!$A1089)&amp;"-"&amp;TEXT(MONTH('Campaign Data'!$A1089),"00")</f>
        <v>2026-03</v>
      </c>
    </row>
    <row r="1090" spans="1:21" x14ac:dyDescent="0.25">
      <c r="A1090">
        <v>46083</v>
      </c>
      <c r="B1090" t="s">
        <v>138</v>
      </c>
      <c r="C1090" t="s">
        <v>139</v>
      </c>
      <c r="D1090" t="s">
        <v>58</v>
      </c>
      <c r="E1090" t="s">
        <v>74</v>
      </c>
      <c r="F1090" t="s">
        <v>34</v>
      </c>
      <c r="G1090" t="s">
        <v>9</v>
      </c>
      <c r="H1090" t="s">
        <v>90</v>
      </c>
      <c r="I1090" t="s">
        <v>37</v>
      </c>
      <c r="J1090" t="s">
        <v>29</v>
      </c>
      <c r="K1090">
        <v>17586</v>
      </c>
      <c r="L1090">
        <v>511</v>
      </c>
      <c r="M1090">
        <v>197.21</v>
      </c>
      <c r="N1090">
        <v>26</v>
      </c>
      <c r="O1090">
        <v>487.84</v>
      </c>
      <c r="P1090">
        <f t="shared" ref="P1090:Q1153" si="68">IF(K1090=0,0,L1090/K1090)</f>
        <v>2.9057204594563856E-2</v>
      </c>
      <c r="Q1090">
        <f t="shared" si="68"/>
        <v>0.38592954990215267</v>
      </c>
      <c r="R1090">
        <f t="shared" ref="R1090:R1153" si="69">IF(N1090=0,0,M1090/N1090)</f>
        <v>7.585</v>
      </c>
      <c r="S1090">
        <f t="shared" ref="S1090:S1153" si="70">IF(M1090=0,0,O1090/M1090)</f>
        <v>2.4737082298057906</v>
      </c>
      <c r="T1090">
        <f t="shared" ref="T1090:T1153" si="71">IF(L1090=0,0,N1090/L1090)</f>
        <v>5.0880626223091974E-2</v>
      </c>
      <c r="U1090" t="str">
        <f>YEAR('Campaign Data'!$A1090)&amp;"-"&amp;TEXT(MONTH('Campaign Data'!$A1090),"00")</f>
        <v>2026-03</v>
      </c>
    </row>
    <row r="1091" spans="1:21" x14ac:dyDescent="0.25">
      <c r="A1091">
        <v>46083</v>
      </c>
      <c r="B1091" t="s">
        <v>149</v>
      </c>
      <c r="C1091" t="s">
        <v>150</v>
      </c>
      <c r="D1091" t="s">
        <v>65</v>
      </c>
      <c r="E1091" t="s">
        <v>33</v>
      </c>
      <c r="F1091" t="s">
        <v>43</v>
      </c>
      <c r="G1091" t="s">
        <v>59</v>
      </c>
      <c r="H1091" t="s">
        <v>60</v>
      </c>
      <c r="I1091" t="s">
        <v>61</v>
      </c>
      <c r="J1091" t="s">
        <v>29</v>
      </c>
      <c r="K1091">
        <v>10915</v>
      </c>
      <c r="L1091">
        <v>84</v>
      </c>
      <c r="M1091">
        <v>46.18</v>
      </c>
      <c r="N1091">
        <v>2</v>
      </c>
      <c r="O1091">
        <v>69.739999999999995</v>
      </c>
      <c r="P1091">
        <f t="shared" si="68"/>
        <v>7.6958314246449843E-3</v>
      </c>
      <c r="Q1091">
        <f t="shared" si="68"/>
        <v>0.54976190476190478</v>
      </c>
      <c r="R1091">
        <f t="shared" si="69"/>
        <v>23.09</v>
      </c>
      <c r="S1091">
        <f t="shared" si="70"/>
        <v>1.5101775660459071</v>
      </c>
      <c r="T1091">
        <f t="shared" si="71"/>
        <v>2.3809523809523808E-2</v>
      </c>
      <c r="U1091" t="str">
        <f>YEAR('Campaign Data'!$A1091)&amp;"-"&amp;TEXT(MONTH('Campaign Data'!$A1091),"00")</f>
        <v>2026-03</v>
      </c>
    </row>
    <row r="1092" spans="1:21" x14ac:dyDescent="0.25">
      <c r="A1092">
        <v>46083</v>
      </c>
      <c r="B1092" t="s">
        <v>186</v>
      </c>
      <c r="C1092" t="s">
        <v>187</v>
      </c>
      <c r="D1092" t="s">
        <v>80</v>
      </c>
      <c r="E1092" t="s">
        <v>33</v>
      </c>
      <c r="F1092" t="s">
        <v>43</v>
      </c>
      <c r="G1092" t="s">
        <v>102</v>
      </c>
      <c r="H1092" t="s">
        <v>27</v>
      </c>
      <c r="I1092" t="s">
        <v>37</v>
      </c>
      <c r="J1092" t="s">
        <v>38</v>
      </c>
      <c r="K1092">
        <v>12302</v>
      </c>
      <c r="L1092">
        <v>91</v>
      </c>
      <c r="M1092">
        <v>56.04</v>
      </c>
      <c r="N1092">
        <v>2</v>
      </c>
      <c r="O1092">
        <v>93.47</v>
      </c>
      <c r="P1092">
        <f t="shared" si="68"/>
        <v>7.3971711916761499E-3</v>
      </c>
      <c r="Q1092">
        <f t="shared" si="68"/>
        <v>0.61582417582417581</v>
      </c>
      <c r="R1092">
        <f t="shared" si="69"/>
        <v>28.02</v>
      </c>
      <c r="S1092">
        <f t="shared" si="70"/>
        <v>1.6679157744468236</v>
      </c>
      <c r="T1092">
        <f t="shared" si="71"/>
        <v>2.197802197802198E-2</v>
      </c>
      <c r="U1092" t="str">
        <f>YEAR('Campaign Data'!$A1092)&amp;"-"&amp;TEXT(MONTH('Campaign Data'!$A1092),"00")</f>
        <v>2026-03</v>
      </c>
    </row>
    <row r="1093" spans="1:21" x14ac:dyDescent="0.25">
      <c r="A1093">
        <v>46083</v>
      </c>
      <c r="B1093" t="s">
        <v>30</v>
      </c>
      <c r="C1093" t="s">
        <v>31</v>
      </c>
      <c r="D1093" t="s">
        <v>32</v>
      </c>
      <c r="E1093" t="s">
        <v>33</v>
      </c>
      <c r="F1093" t="s">
        <v>34</v>
      </c>
      <c r="G1093" t="s">
        <v>35</v>
      </c>
      <c r="H1093" t="s">
        <v>55</v>
      </c>
      <c r="I1093" t="s">
        <v>28</v>
      </c>
      <c r="J1093" t="s">
        <v>38</v>
      </c>
      <c r="K1093">
        <v>8889</v>
      </c>
      <c r="L1093">
        <v>54</v>
      </c>
      <c r="M1093">
        <v>20.68</v>
      </c>
      <c r="N1093">
        <v>0</v>
      </c>
      <c r="O1093">
        <v>0</v>
      </c>
      <c r="P1093">
        <f t="shared" si="68"/>
        <v>6.0749240634492066E-3</v>
      </c>
      <c r="Q1093">
        <f t="shared" si="68"/>
        <v>0.38296296296296295</v>
      </c>
      <c r="R1093">
        <f t="shared" si="69"/>
        <v>0</v>
      </c>
      <c r="S1093">
        <f t="shared" si="70"/>
        <v>0</v>
      </c>
      <c r="T1093">
        <f t="shared" si="71"/>
        <v>0</v>
      </c>
      <c r="U1093" t="str">
        <f>YEAR('Campaign Data'!$A1093)&amp;"-"&amp;TEXT(MONTH('Campaign Data'!$A1093),"00")</f>
        <v>2026-03</v>
      </c>
    </row>
    <row r="1094" spans="1:21" x14ac:dyDescent="0.25">
      <c r="A1094">
        <v>46083</v>
      </c>
      <c r="B1094" t="s">
        <v>39</v>
      </c>
      <c r="C1094" t="s">
        <v>40</v>
      </c>
      <c r="D1094" t="s">
        <v>41</v>
      </c>
      <c r="E1094" t="s">
        <v>42</v>
      </c>
      <c r="F1094" t="s">
        <v>43</v>
      </c>
      <c r="G1094" t="s">
        <v>44</v>
      </c>
      <c r="H1094" t="s">
        <v>27</v>
      </c>
      <c r="I1094" t="s">
        <v>37</v>
      </c>
      <c r="J1094" t="s">
        <v>87</v>
      </c>
      <c r="K1094">
        <v>18973</v>
      </c>
      <c r="L1094">
        <v>107</v>
      </c>
      <c r="M1094">
        <v>849.14</v>
      </c>
      <c r="N1094">
        <v>2</v>
      </c>
      <c r="O1094">
        <v>56.67</v>
      </c>
      <c r="P1094">
        <f t="shared" si="68"/>
        <v>5.6395931059927268E-3</v>
      </c>
      <c r="Q1094">
        <f t="shared" si="68"/>
        <v>7.9358878504672896</v>
      </c>
      <c r="R1094">
        <f t="shared" si="69"/>
        <v>424.57</v>
      </c>
      <c r="S1094">
        <f t="shared" si="70"/>
        <v>6.6738111501048122E-2</v>
      </c>
      <c r="T1094">
        <f t="shared" si="71"/>
        <v>1.8691588785046728E-2</v>
      </c>
      <c r="U1094" t="str">
        <f>YEAR('Campaign Data'!$A1094)&amp;"-"&amp;TEXT(MONTH('Campaign Data'!$A1094),"00")</f>
        <v>2026-03</v>
      </c>
    </row>
    <row r="1095" spans="1:21" x14ac:dyDescent="0.25">
      <c r="A1095">
        <v>46083</v>
      </c>
      <c r="B1095" t="s">
        <v>100</v>
      </c>
      <c r="C1095" t="s">
        <v>101</v>
      </c>
      <c r="D1095" t="s">
        <v>80</v>
      </c>
      <c r="E1095" t="s">
        <v>33</v>
      </c>
      <c r="F1095" t="s">
        <v>25</v>
      </c>
      <c r="G1095" t="s">
        <v>102</v>
      </c>
      <c r="H1095" t="s">
        <v>27</v>
      </c>
      <c r="I1095" t="s">
        <v>37</v>
      </c>
      <c r="J1095" t="s">
        <v>38</v>
      </c>
      <c r="K1095">
        <v>2026</v>
      </c>
      <c r="L1095">
        <v>15</v>
      </c>
      <c r="M1095">
        <v>13.14</v>
      </c>
      <c r="N1095">
        <v>0</v>
      </c>
      <c r="O1095">
        <v>0</v>
      </c>
      <c r="P1095">
        <f t="shared" si="68"/>
        <v>7.4037512339585393E-3</v>
      </c>
      <c r="Q1095">
        <f t="shared" si="68"/>
        <v>0.876</v>
      </c>
      <c r="R1095">
        <f t="shared" si="69"/>
        <v>0</v>
      </c>
      <c r="S1095">
        <f t="shared" si="70"/>
        <v>0</v>
      </c>
      <c r="T1095">
        <f t="shared" si="71"/>
        <v>0</v>
      </c>
      <c r="U1095" t="str">
        <f>YEAR('Campaign Data'!$A1095)&amp;"-"&amp;TEXT(MONTH('Campaign Data'!$A1095),"00")</f>
        <v>2026-03</v>
      </c>
    </row>
    <row r="1096" spans="1:21" x14ac:dyDescent="0.25">
      <c r="A1096">
        <v>46083</v>
      </c>
      <c r="B1096" t="s">
        <v>169</v>
      </c>
      <c r="C1096" t="s">
        <v>170</v>
      </c>
      <c r="D1096" t="s">
        <v>58</v>
      </c>
      <c r="E1096" t="s">
        <v>74</v>
      </c>
      <c r="F1096" t="s">
        <v>75</v>
      </c>
      <c r="G1096" t="s">
        <v>9</v>
      </c>
      <c r="H1096" t="s">
        <v>90</v>
      </c>
      <c r="I1096" t="s">
        <v>28</v>
      </c>
      <c r="J1096" t="s">
        <v>62</v>
      </c>
      <c r="K1096">
        <v>15431</v>
      </c>
      <c r="L1096">
        <v>729</v>
      </c>
      <c r="M1096">
        <v>286.66000000000003</v>
      </c>
      <c r="N1096">
        <v>17</v>
      </c>
      <c r="O1096">
        <v>131.30000000000001</v>
      </c>
      <c r="P1096">
        <f t="shared" si="68"/>
        <v>4.7242563670533345E-2</v>
      </c>
      <c r="Q1096">
        <f t="shared" si="68"/>
        <v>0.39322359396433476</v>
      </c>
      <c r="R1096">
        <f t="shared" si="69"/>
        <v>16.862352941176471</v>
      </c>
      <c r="S1096">
        <f t="shared" si="70"/>
        <v>0.45803390776529684</v>
      </c>
      <c r="T1096">
        <f t="shared" si="71"/>
        <v>2.3319615912208505E-2</v>
      </c>
      <c r="U1096" t="str">
        <f>YEAR('Campaign Data'!$A1096)&amp;"-"&amp;TEXT(MONTH('Campaign Data'!$A1096),"00")</f>
        <v>2026-03</v>
      </c>
    </row>
    <row r="1097" spans="1:21" x14ac:dyDescent="0.25">
      <c r="A1097">
        <v>46083</v>
      </c>
      <c r="B1097" t="s">
        <v>108</v>
      </c>
      <c r="C1097" t="s">
        <v>109</v>
      </c>
      <c r="D1097" t="s">
        <v>58</v>
      </c>
      <c r="E1097" t="s">
        <v>33</v>
      </c>
      <c r="F1097" t="s">
        <v>43</v>
      </c>
      <c r="G1097" t="s">
        <v>59</v>
      </c>
      <c r="H1097" t="s">
        <v>90</v>
      </c>
      <c r="I1097" t="s">
        <v>37</v>
      </c>
      <c r="J1097" t="s">
        <v>45</v>
      </c>
      <c r="K1097">
        <v>19255</v>
      </c>
      <c r="L1097">
        <v>249</v>
      </c>
      <c r="M1097">
        <v>15.59</v>
      </c>
      <c r="N1097">
        <v>2</v>
      </c>
      <c r="O1097">
        <v>17.95</v>
      </c>
      <c r="P1097">
        <f t="shared" si="68"/>
        <v>1.2931706050376525E-2</v>
      </c>
      <c r="Q1097">
        <f t="shared" si="68"/>
        <v>6.2610441767068273E-2</v>
      </c>
      <c r="R1097">
        <f t="shared" si="69"/>
        <v>7.7949999999999999</v>
      </c>
      <c r="S1097">
        <f t="shared" si="70"/>
        <v>1.1513790891597178</v>
      </c>
      <c r="T1097">
        <f t="shared" si="71"/>
        <v>8.0321285140562242E-3</v>
      </c>
      <c r="U1097" t="str">
        <f>YEAR('Campaign Data'!$A1097)&amp;"-"&amp;TEXT(MONTH('Campaign Data'!$A1097),"00")</f>
        <v>2026-03</v>
      </c>
    </row>
    <row r="1098" spans="1:21" x14ac:dyDescent="0.25">
      <c r="A1098">
        <v>46083</v>
      </c>
      <c r="B1098" t="s">
        <v>171</v>
      </c>
      <c r="C1098" t="s">
        <v>172</v>
      </c>
      <c r="D1098" t="s">
        <v>23</v>
      </c>
      <c r="E1098" t="s">
        <v>33</v>
      </c>
      <c r="F1098" t="s">
        <v>75</v>
      </c>
      <c r="G1098" t="s">
        <v>59</v>
      </c>
      <c r="H1098" t="s">
        <v>27</v>
      </c>
      <c r="I1098" t="s">
        <v>37</v>
      </c>
      <c r="J1098" t="s">
        <v>29</v>
      </c>
      <c r="K1098">
        <v>5125</v>
      </c>
      <c r="L1098">
        <v>49</v>
      </c>
      <c r="M1098">
        <v>48.85</v>
      </c>
      <c r="N1098">
        <v>1</v>
      </c>
      <c r="O1098">
        <v>44.7</v>
      </c>
      <c r="P1098">
        <f t="shared" si="68"/>
        <v>9.5609756097560974E-3</v>
      </c>
      <c r="Q1098">
        <f t="shared" si="68"/>
        <v>0.99693877551020416</v>
      </c>
      <c r="R1098">
        <f t="shared" si="69"/>
        <v>48.85</v>
      </c>
      <c r="S1098">
        <f t="shared" si="70"/>
        <v>0.91504605936540429</v>
      </c>
      <c r="T1098">
        <f t="shared" si="71"/>
        <v>2.0408163265306121E-2</v>
      </c>
      <c r="U1098" t="str">
        <f>YEAR('Campaign Data'!$A1098)&amp;"-"&amp;TEXT(MONTH('Campaign Data'!$A1098),"00")</f>
        <v>2026-03</v>
      </c>
    </row>
    <row r="1099" spans="1:21" x14ac:dyDescent="0.25">
      <c r="A1099">
        <v>46083</v>
      </c>
      <c r="B1099" t="s">
        <v>181</v>
      </c>
      <c r="C1099" t="s">
        <v>182</v>
      </c>
      <c r="D1099" t="s">
        <v>32</v>
      </c>
      <c r="E1099" t="s">
        <v>33</v>
      </c>
      <c r="F1099" t="s">
        <v>75</v>
      </c>
      <c r="G1099" t="s">
        <v>59</v>
      </c>
      <c r="H1099" t="s">
        <v>36</v>
      </c>
      <c r="I1099" t="s">
        <v>61</v>
      </c>
      <c r="J1099" t="s">
        <v>45</v>
      </c>
      <c r="K1099">
        <v>2498</v>
      </c>
      <c r="L1099">
        <v>19</v>
      </c>
      <c r="M1099">
        <v>11.41</v>
      </c>
      <c r="N1099">
        <v>0</v>
      </c>
      <c r="O1099">
        <v>0</v>
      </c>
      <c r="P1099">
        <f t="shared" si="68"/>
        <v>7.6060848678943154E-3</v>
      </c>
      <c r="Q1099">
        <f t="shared" si="68"/>
        <v>0.60052631578947369</v>
      </c>
      <c r="R1099">
        <f t="shared" si="69"/>
        <v>0</v>
      </c>
      <c r="S1099">
        <f t="shared" si="70"/>
        <v>0</v>
      </c>
      <c r="T1099">
        <f t="shared" si="71"/>
        <v>0</v>
      </c>
      <c r="U1099" t="str">
        <f>YEAR('Campaign Data'!$A1099)&amp;"-"&amp;TEXT(MONTH('Campaign Data'!$A1099),"00")</f>
        <v>2026-03</v>
      </c>
    </row>
    <row r="1100" spans="1:21" x14ac:dyDescent="0.25">
      <c r="A1100">
        <v>46083</v>
      </c>
      <c r="B1100" t="s">
        <v>141</v>
      </c>
      <c r="C1100" t="s">
        <v>142</v>
      </c>
      <c r="D1100" t="s">
        <v>80</v>
      </c>
      <c r="E1100" t="s">
        <v>49</v>
      </c>
      <c r="F1100" t="s">
        <v>81</v>
      </c>
      <c r="G1100" t="s">
        <v>97</v>
      </c>
      <c r="H1100" t="s">
        <v>27</v>
      </c>
      <c r="I1100" t="s">
        <v>37</v>
      </c>
      <c r="J1100" t="s">
        <v>38</v>
      </c>
      <c r="K1100">
        <v>15588</v>
      </c>
      <c r="L1100">
        <v>571</v>
      </c>
      <c r="M1100">
        <v>1137.3699999999999</v>
      </c>
      <c r="N1100">
        <v>25</v>
      </c>
      <c r="O1100">
        <v>610.84</v>
      </c>
      <c r="P1100">
        <f t="shared" si="68"/>
        <v>3.6630741596099567E-2</v>
      </c>
      <c r="Q1100">
        <f t="shared" si="68"/>
        <v>1.9918914185639227</v>
      </c>
      <c r="R1100">
        <f t="shared" si="69"/>
        <v>45.494799999999998</v>
      </c>
      <c r="S1100">
        <f t="shared" si="70"/>
        <v>0.53706357649665459</v>
      </c>
      <c r="T1100">
        <f t="shared" si="71"/>
        <v>4.3782837127845885E-2</v>
      </c>
      <c r="U1100" t="str">
        <f>YEAR('Campaign Data'!$A1100)&amp;"-"&amp;TEXT(MONTH('Campaign Data'!$A1100),"00")</f>
        <v>2026-03</v>
      </c>
    </row>
    <row r="1101" spans="1:21" x14ac:dyDescent="0.25">
      <c r="A1101">
        <v>46083</v>
      </c>
      <c r="B1101" t="s">
        <v>136</v>
      </c>
      <c r="C1101" t="s">
        <v>137</v>
      </c>
      <c r="D1101" t="s">
        <v>32</v>
      </c>
      <c r="E1101" t="s">
        <v>49</v>
      </c>
      <c r="F1101" t="s">
        <v>75</v>
      </c>
      <c r="G1101" t="s">
        <v>97</v>
      </c>
      <c r="H1101" t="s">
        <v>27</v>
      </c>
      <c r="I1101" t="s">
        <v>37</v>
      </c>
      <c r="J1101" t="s">
        <v>87</v>
      </c>
      <c r="K1101">
        <v>46562</v>
      </c>
      <c r="L1101">
        <v>1725</v>
      </c>
      <c r="M1101">
        <v>3849.98</v>
      </c>
      <c r="N1101">
        <v>76</v>
      </c>
      <c r="O1101">
        <v>4328.46</v>
      </c>
      <c r="P1101">
        <f t="shared" si="68"/>
        <v>3.7047377689961775E-2</v>
      </c>
      <c r="Q1101">
        <f t="shared" si="68"/>
        <v>2.231872463768116</v>
      </c>
      <c r="R1101">
        <f t="shared" si="69"/>
        <v>50.657631578947367</v>
      </c>
      <c r="S1101">
        <f t="shared" si="70"/>
        <v>1.1242811650969615</v>
      </c>
      <c r="T1101">
        <f t="shared" si="71"/>
        <v>4.4057971014492756E-2</v>
      </c>
      <c r="U1101" t="str">
        <f>YEAR('Campaign Data'!$A1101)&amp;"-"&amp;TEXT(MONTH('Campaign Data'!$A1101),"00")</f>
        <v>2026-03</v>
      </c>
    </row>
    <row r="1102" spans="1:21" x14ac:dyDescent="0.25">
      <c r="A1102">
        <v>46083</v>
      </c>
      <c r="B1102" t="s">
        <v>67</v>
      </c>
      <c r="C1102" t="s">
        <v>68</v>
      </c>
      <c r="D1102" t="s">
        <v>69</v>
      </c>
      <c r="E1102" t="s">
        <v>49</v>
      </c>
      <c r="F1102" t="s">
        <v>34</v>
      </c>
      <c r="G1102" t="s">
        <v>70</v>
      </c>
      <c r="H1102" t="s">
        <v>60</v>
      </c>
      <c r="I1102" t="s">
        <v>61</v>
      </c>
      <c r="J1102" t="s">
        <v>45</v>
      </c>
      <c r="K1102">
        <v>10150</v>
      </c>
      <c r="L1102">
        <v>525</v>
      </c>
      <c r="M1102">
        <v>1368.87</v>
      </c>
      <c r="N1102">
        <v>32</v>
      </c>
      <c r="O1102">
        <v>6512.35</v>
      </c>
      <c r="P1102">
        <f t="shared" si="68"/>
        <v>5.1724137931034482E-2</v>
      </c>
      <c r="Q1102">
        <f t="shared" si="68"/>
        <v>2.6073714285714282</v>
      </c>
      <c r="R1102">
        <f t="shared" si="69"/>
        <v>42.777187499999997</v>
      </c>
      <c r="S1102">
        <f t="shared" si="70"/>
        <v>4.7574641857882787</v>
      </c>
      <c r="T1102">
        <f t="shared" si="71"/>
        <v>6.0952380952380952E-2</v>
      </c>
      <c r="U1102" t="str">
        <f>YEAR('Campaign Data'!$A1102)&amp;"-"&amp;TEXT(MONTH('Campaign Data'!$A1102),"00")</f>
        <v>2026-03</v>
      </c>
    </row>
    <row r="1103" spans="1:21" x14ac:dyDescent="0.25">
      <c r="A1103">
        <v>46083</v>
      </c>
      <c r="B1103" t="s">
        <v>72</v>
      </c>
      <c r="C1103" t="s">
        <v>73</v>
      </c>
      <c r="D1103" t="s">
        <v>69</v>
      </c>
      <c r="E1103" t="s">
        <v>74</v>
      </c>
      <c r="F1103" t="s">
        <v>75</v>
      </c>
      <c r="G1103" t="s">
        <v>9</v>
      </c>
      <c r="H1103" t="s">
        <v>90</v>
      </c>
      <c r="I1103" t="s">
        <v>28</v>
      </c>
      <c r="J1103" t="s">
        <v>45</v>
      </c>
      <c r="K1103">
        <v>3258</v>
      </c>
      <c r="L1103">
        <v>73</v>
      </c>
      <c r="M1103">
        <v>19.28</v>
      </c>
      <c r="N1103">
        <v>0</v>
      </c>
      <c r="O1103">
        <v>0</v>
      </c>
      <c r="P1103">
        <f t="shared" si="68"/>
        <v>2.2406384284837322E-2</v>
      </c>
      <c r="Q1103">
        <f t="shared" si="68"/>
        <v>0.26410958904109588</v>
      </c>
      <c r="R1103">
        <f t="shared" si="69"/>
        <v>0</v>
      </c>
      <c r="S1103">
        <f t="shared" si="70"/>
        <v>0</v>
      </c>
      <c r="T1103">
        <f t="shared" si="71"/>
        <v>0</v>
      </c>
      <c r="U1103" t="str">
        <f>YEAR('Campaign Data'!$A1103)&amp;"-"&amp;TEXT(MONTH('Campaign Data'!$A1103),"00")</f>
        <v>2026-03</v>
      </c>
    </row>
    <row r="1104" spans="1:21" x14ac:dyDescent="0.25">
      <c r="A1104">
        <v>46083</v>
      </c>
      <c r="B1104" t="s">
        <v>163</v>
      </c>
      <c r="C1104" t="s">
        <v>164</v>
      </c>
      <c r="D1104" t="s">
        <v>58</v>
      </c>
      <c r="E1104" t="s">
        <v>42</v>
      </c>
      <c r="F1104" t="s">
        <v>43</v>
      </c>
      <c r="G1104" t="s">
        <v>44</v>
      </c>
      <c r="H1104" t="s">
        <v>55</v>
      </c>
      <c r="I1104" t="s">
        <v>61</v>
      </c>
      <c r="J1104" t="s">
        <v>45</v>
      </c>
      <c r="K1104">
        <v>1318</v>
      </c>
      <c r="L1104">
        <v>11</v>
      </c>
      <c r="M1104">
        <v>49.11</v>
      </c>
      <c r="N1104">
        <v>0</v>
      </c>
      <c r="O1104">
        <v>0</v>
      </c>
      <c r="P1104">
        <f t="shared" si="68"/>
        <v>8.3459787556904395E-3</v>
      </c>
      <c r="Q1104">
        <f t="shared" si="68"/>
        <v>4.4645454545454548</v>
      </c>
      <c r="R1104">
        <f t="shared" si="69"/>
        <v>0</v>
      </c>
      <c r="S1104">
        <f t="shared" si="70"/>
        <v>0</v>
      </c>
      <c r="T1104">
        <f t="shared" si="71"/>
        <v>0</v>
      </c>
      <c r="U1104" t="str">
        <f>YEAR('Campaign Data'!$A1104)&amp;"-"&amp;TEXT(MONTH('Campaign Data'!$A1104),"00")</f>
        <v>2026-03</v>
      </c>
    </row>
    <row r="1105" spans="1:21" x14ac:dyDescent="0.25">
      <c r="A1105">
        <v>46083</v>
      </c>
      <c r="B1105" t="s">
        <v>145</v>
      </c>
      <c r="C1105" t="s">
        <v>146</v>
      </c>
      <c r="D1105" t="s">
        <v>41</v>
      </c>
      <c r="E1105" t="s">
        <v>49</v>
      </c>
      <c r="F1105" t="s">
        <v>75</v>
      </c>
      <c r="G1105" t="s">
        <v>70</v>
      </c>
      <c r="H1105" t="s">
        <v>27</v>
      </c>
      <c r="I1105" t="s">
        <v>28</v>
      </c>
      <c r="J1105" t="s">
        <v>45</v>
      </c>
      <c r="K1105">
        <v>5224</v>
      </c>
      <c r="L1105">
        <v>267</v>
      </c>
      <c r="M1105">
        <v>679.14</v>
      </c>
      <c r="N1105">
        <v>20</v>
      </c>
      <c r="O1105">
        <v>640.78</v>
      </c>
      <c r="P1105">
        <f t="shared" si="68"/>
        <v>5.1110260336906584E-2</v>
      </c>
      <c r="Q1105">
        <f t="shared" si="68"/>
        <v>2.5435955056179775</v>
      </c>
      <c r="R1105">
        <f t="shared" si="69"/>
        <v>33.957000000000001</v>
      </c>
      <c r="S1105">
        <f t="shared" si="70"/>
        <v>0.94351680065965782</v>
      </c>
      <c r="T1105">
        <f t="shared" si="71"/>
        <v>7.4906367041198504E-2</v>
      </c>
      <c r="U1105" t="str">
        <f>YEAR('Campaign Data'!$A1105)&amp;"-"&amp;TEXT(MONTH('Campaign Data'!$A1105),"00")</f>
        <v>2026-03</v>
      </c>
    </row>
    <row r="1106" spans="1:21" x14ac:dyDescent="0.25">
      <c r="A1106">
        <v>46083</v>
      </c>
      <c r="B1106" t="s">
        <v>76</v>
      </c>
      <c r="C1106" t="s">
        <v>77</v>
      </c>
      <c r="D1106" t="s">
        <v>65</v>
      </c>
      <c r="E1106" t="s">
        <v>42</v>
      </c>
      <c r="F1106" t="s">
        <v>43</v>
      </c>
      <c r="G1106" t="s">
        <v>44</v>
      </c>
      <c r="H1106" t="s">
        <v>51</v>
      </c>
      <c r="I1106" t="s">
        <v>28</v>
      </c>
      <c r="J1106" t="s">
        <v>29</v>
      </c>
      <c r="K1106">
        <v>2392</v>
      </c>
      <c r="L1106">
        <v>20</v>
      </c>
      <c r="M1106">
        <v>144</v>
      </c>
      <c r="N1106">
        <v>0</v>
      </c>
      <c r="O1106">
        <v>0</v>
      </c>
      <c r="P1106">
        <f t="shared" si="68"/>
        <v>8.3612040133779261E-3</v>
      </c>
      <c r="Q1106">
        <f t="shared" si="68"/>
        <v>7.2</v>
      </c>
      <c r="R1106">
        <f t="shared" si="69"/>
        <v>0</v>
      </c>
      <c r="S1106">
        <f t="shared" si="70"/>
        <v>0</v>
      </c>
      <c r="T1106">
        <f t="shared" si="71"/>
        <v>0</v>
      </c>
      <c r="U1106" t="str">
        <f>YEAR('Campaign Data'!$A1106)&amp;"-"&amp;TEXT(MONTH('Campaign Data'!$A1106),"00")</f>
        <v>2026-03</v>
      </c>
    </row>
    <row r="1107" spans="1:21" x14ac:dyDescent="0.25">
      <c r="A1107">
        <v>46083</v>
      </c>
      <c r="B1107" t="s">
        <v>120</v>
      </c>
      <c r="C1107" t="s">
        <v>121</v>
      </c>
      <c r="D1107" t="s">
        <v>23</v>
      </c>
      <c r="E1107" t="s">
        <v>49</v>
      </c>
      <c r="F1107" t="s">
        <v>75</v>
      </c>
      <c r="G1107" t="s">
        <v>70</v>
      </c>
      <c r="H1107" t="s">
        <v>60</v>
      </c>
      <c r="I1107" t="s">
        <v>37</v>
      </c>
      <c r="J1107" t="s">
        <v>87</v>
      </c>
      <c r="K1107">
        <v>8726</v>
      </c>
      <c r="L1107">
        <v>501</v>
      </c>
      <c r="M1107">
        <v>1059.6600000000001</v>
      </c>
      <c r="N1107">
        <v>25</v>
      </c>
      <c r="O1107">
        <v>1095.42</v>
      </c>
      <c r="P1107">
        <f t="shared" si="68"/>
        <v>5.7414622965849184E-2</v>
      </c>
      <c r="Q1107">
        <f t="shared" si="68"/>
        <v>2.1150898203592816</v>
      </c>
      <c r="R1107">
        <f t="shared" si="69"/>
        <v>42.386400000000002</v>
      </c>
      <c r="S1107">
        <f t="shared" si="70"/>
        <v>1.033746673461299</v>
      </c>
      <c r="T1107">
        <f t="shared" si="71"/>
        <v>4.9900199600798403E-2</v>
      </c>
      <c r="U1107" t="str">
        <f>YEAR('Campaign Data'!$A1107)&amp;"-"&amp;TEXT(MONTH('Campaign Data'!$A1107),"00")</f>
        <v>2026-03</v>
      </c>
    </row>
    <row r="1108" spans="1:21" x14ac:dyDescent="0.25">
      <c r="A1108">
        <v>46083</v>
      </c>
      <c r="B1108" t="s">
        <v>82</v>
      </c>
      <c r="C1108" t="s">
        <v>83</v>
      </c>
      <c r="D1108" t="s">
        <v>80</v>
      </c>
      <c r="E1108" t="s">
        <v>42</v>
      </c>
      <c r="F1108" t="s">
        <v>34</v>
      </c>
      <c r="G1108" t="s">
        <v>84</v>
      </c>
      <c r="H1108" t="s">
        <v>71</v>
      </c>
      <c r="I1108" t="s">
        <v>28</v>
      </c>
      <c r="J1108" t="s">
        <v>87</v>
      </c>
      <c r="K1108">
        <v>9206</v>
      </c>
      <c r="L1108">
        <v>47</v>
      </c>
      <c r="M1108">
        <v>328.86</v>
      </c>
      <c r="N1108">
        <v>2</v>
      </c>
      <c r="O1108">
        <v>243.45</v>
      </c>
      <c r="P1108">
        <f t="shared" si="68"/>
        <v>5.1053660656093852E-3</v>
      </c>
      <c r="Q1108">
        <f t="shared" si="68"/>
        <v>6.9970212765957447</v>
      </c>
      <c r="R1108">
        <f t="shared" si="69"/>
        <v>164.43</v>
      </c>
      <c r="S1108">
        <f t="shared" si="70"/>
        <v>0.74028461959496439</v>
      </c>
      <c r="T1108">
        <f t="shared" si="71"/>
        <v>4.2553191489361701E-2</v>
      </c>
      <c r="U1108" t="str">
        <f>YEAR('Campaign Data'!$A1108)&amp;"-"&amp;TEXT(MONTH('Campaign Data'!$A1108),"00")</f>
        <v>2026-03</v>
      </c>
    </row>
    <row r="1109" spans="1:21" x14ac:dyDescent="0.25">
      <c r="A1109">
        <v>46084</v>
      </c>
      <c r="B1109" t="s">
        <v>165</v>
      </c>
      <c r="C1109" t="s">
        <v>166</v>
      </c>
      <c r="D1109" t="s">
        <v>41</v>
      </c>
      <c r="E1109" t="s">
        <v>33</v>
      </c>
      <c r="F1109" t="s">
        <v>43</v>
      </c>
      <c r="G1109" t="s">
        <v>59</v>
      </c>
      <c r="H1109" t="s">
        <v>27</v>
      </c>
      <c r="I1109" t="s">
        <v>37</v>
      </c>
      <c r="J1109" t="s">
        <v>45</v>
      </c>
      <c r="K1109">
        <v>3381</v>
      </c>
      <c r="L1109">
        <v>35</v>
      </c>
      <c r="M1109">
        <v>22.79</v>
      </c>
      <c r="N1109">
        <v>0</v>
      </c>
      <c r="O1109">
        <v>0</v>
      </c>
      <c r="P1109">
        <f t="shared" si="68"/>
        <v>1.0351966873706004E-2</v>
      </c>
      <c r="Q1109">
        <f t="shared" si="68"/>
        <v>0.65114285714285713</v>
      </c>
      <c r="R1109">
        <f t="shared" si="69"/>
        <v>0</v>
      </c>
      <c r="S1109">
        <f t="shared" si="70"/>
        <v>0</v>
      </c>
      <c r="T1109">
        <f t="shared" si="71"/>
        <v>0</v>
      </c>
      <c r="U1109" t="str">
        <f>YEAR('Campaign Data'!$A1109)&amp;"-"&amp;TEXT(MONTH('Campaign Data'!$A1109),"00")</f>
        <v>2026-03</v>
      </c>
    </row>
    <row r="1110" spans="1:21" x14ac:dyDescent="0.25">
      <c r="A1110">
        <v>46084</v>
      </c>
      <c r="B1110" t="s">
        <v>165</v>
      </c>
      <c r="C1110" t="s">
        <v>166</v>
      </c>
      <c r="D1110" t="s">
        <v>41</v>
      </c>
      <c r="E1110" t="s">
        <v>33</v>
      </c>
      <c r="F1110" t="s">
        <v>43</v>
      </c>
      <c r="G1110" t="s">
        <v>59</v>
      </c>
      <c r="H1110" t="s">
        <v>27</v>
      </c>
      <c r="I1110" t="s">
        <v>37</v>
      </c>
      <c r="J1110" t="s">
        <v>38</v>
      </c>
      <c r="K1110">
        <v>13619</v>
      </c>
      <c r="L1110">
        <v>69</v>
      </c>
      <c r="M1110">
        <v>74.53</v>
      </c>
      <c r="N1110">
        <v>2</v>
      </c>
      <c r="O1110">
        <v>86.72</v>
      </c>
      <c r="P1110">
        <f t="shared" si="68"/>
        <v>5.0664512812981866E-3</v>
      </c>
      <c r="Q1110">
        <f t="shared" si="68"/>
        <v>1.0801449275362318</v>
      </c>
      <c r="R1110">
        <f t="shared" si="69"/>
        <v>37.265000000000001</v>
      </c>
      <c r="S1110">
        <f t="shared" si="70"/>
        <v>1.1635582986716757</v>
      </c>
      <c r="T1110">
        <f t="shared" si="71"/>
        <v>2.8985507246376812E-2</v>
      </c>
      <c r="U1110" t="str">
        <f>YEAR('Campaign Data'!$A1110)&amp;"-"&amp;TEXT(MONTH('Campaign Data'!$A1110),"00")</f>
        <v>2026-03</v>
      </c>
    </row>
    <row r="1111" spans="1:21" x14ac:dyDescent="0.25">
      <c r="A1111">
        <v>46084</v>
      </c>
      <c r="B1111" t="s">
        <v>173</v>
      </c>
      <c r="C1111" t="s">
        <v>174</v>
      </c>
      <c r="D1111" t="s">
        <v>48</v>
      </c>
      <c r="E1111" t="s">
        <v>74</v>
      </c>
      <c r="F1111" t="s">
        <v>25</v>
      </c>
      <c r="G1111" t="s">
        <v>9</v>
      </c>
      <c r="H1111" t="s">
        <v>36</v>
      </c>
      <c r="I1111" t="s">
        <v>37</v>
      </c>
      <c r="J1111" t="s">
        <v>62</v>
      </c>
      <c r="K1111">
        <v>19451</v>
      </c>
      <c r="L1111">
        <v>881</v>
      </c>
      <c r="M1111">
        <v>1062.1600000000001</v>
      </c>
      <c r="N1111">
        <v>43</v>
      </c>
      <c r="O1111">
        <v>4592.97</v>
      </c>
      <c r="P1111">
        <f t="shared" si="68"/>
        <v>4.5293301115623873E-2</v>
      </c>
      <c r="Q1111">
        <f t="shared" si="68"/>
        <v>1.2056299659477867</v>
      </c>
      <c r="R1111">
        <f t="shared" si="69"/>
        <v>24.70139534883721</v>
      </c>
      <c r="S1111">
        <f t="shared" si="70"/>
        <v>4.3241790314076978</v>
      </c>
      <c r="T1111">
        <f t="shared" si="71"/>
        <v>4.8808172531214528E-2</v>
      </c>
      <c r="U1111" t="str">
        <f>YEAR('Campaign Data'!$A1111)&amp;"-"&amp;TEXT(MONTH('Campaign Data'!$A1111),"00")</f>
        <v>2026-03</v>
      </c>
    </row>
    <row r="1112" spans="1:21" x14ac:dyDescent="0.25">
      <c r="A1112">
        <v>46084</v>
      </c>
      <c r="B1112" t="s">
        <v>138</v>
      </c>
      <c r="C1112" t="s">
        <v>139</v>
      </c>
      <c r="D1112" t="s">
        <v>58</v>
      </c>
      <c r="E1112" t="s">
        <v>74</v>
      </c>
      <c r="F1112" t="s">
        <v>34</v>
      </c>
      <c r="G1112" t="s">
        <v>9</v>
      </c>
      <c r="H1112" t="s">
        <v>90</v>
      </c>
      <c r="I1112" t="s">
        <v>28</v>
      </c>
      <c r="J1112" t="s">
        <v>29</v>
      </c>
      <c r="K1112">
        <v>15325</v>
      </c>
      <c r="L1112">
        <v>497</v>
      </c>
      <c r="M1112">
        <v>216.91</v>
      </c>
      <c r="N1112">
        <v>18</v>
      </c>
      <c r="O1112">
        <v>709.64</v>
      </c>
      <c r="P1112">
        <f t="shared" si="68"/>
        <v>3.243066884176183E-2</v>
      </c>
      <c r="Q1112">
        <f t="shared" si="68"/>
        <v>0.43643863179074444</v>
      </c>
      <c r="R1112">
        <f t="shared" si="69"/>
        <v>12.050555555555555</v>
      </c>
      <c r="S1112">
        <f t="shared" si="70"/>
        <v>3.2715872942695126</v>
      </c>
      <c r="T1112">
        <f t="shared" si="71"/>
        <v>3.6217303822937627E-2</v>
      </c>
      <c r="U1112" t="str">
        <f>YEAR('Campaign Data'!$A1112)&amp;"-"&amp;TEXT(MONTH('Campaign Data'!$A1112),"00")</f>
        <v>2026-03</v>
      </c>
    </row>
    <row r="1113" spans="1:21" x14ac:dyDescent="0.25">
      <c r="A1113">
        <v>46084</v>
      </c>
      <c r="B1113" t="s">
        <v>93</v>
      </c>
      <c r="C1113" t="s">
        <v>94</v>
      </c>
      <c r="D1113" t="s">
        <v>69</v>
      </c>
      <c r="E1113" t="s">
        <v>42</v>
      </c>
      <c r="F1113" t="s">
        <v>75</v>
      </c>
      <c r="G1113" t="s">
        <v>44</v>
      </c>
      <c r="H1113" t="s">
        <v>36</v>
      </c>
      <c r="I1113" t="s">
        <v>28</v>
      </c>
      <c r="J1113" t="s">
        <v>62</v>
      </c>
      <c r="K1113">
        <v>5646</v>
      </c>
      <c r="L1113">
        <v>28</v>
      </c>
      <c r="M1113">
        <v>182.27</v>
      </c>
      <c r="N1113">
        <v>1</v>
      </c>
      <c r="O1113">
        <v>39.96</v>
      </c>
      <c r="P1113">
        <f t="shared" si="68"/>
        <v>4.9592631951824303E-3</v>
      </c>
      <c r="Q1113">
        <f t="shared" si="68"/>
        <v>6.5096428571428575</v>
      </c>
      <c r="R1113">
        <f t="shared" si="69"/>
        <v>182.27</v>
      </c>
      <c r="S1113">
        <f t="shared" si="70"/>
        <v>0.21923520052669115</v>
      </c>
      <c r="T1113">
        <f t="shared" si="71"/>
        <v>3.5714285714285712E-2</v>
      </c>
      <c r="U1113" t="str">
        <f>YEAR('Campaign Data'!$A1113)&amp;"-"&amp;TEXT(MONTH('Campaign Data'!$A1113),"00")</f>
        <v>2026-03</v>
      </c>
    </row>
    <row r="1114" spans="1:21" x14ac:dyDescent="0.25">
      <c r="A1114">
        <v>46084</v>
      </c>
      <c r="B1114" t="s">
        <v>93</v>
      </c>
      <c r="C1114" t="s">
        <v>94</v>
      </c>
      <c r="D1114" t="s">
        <v>69</v>
      </c>
      <c r="E1114" t="s">
        <v>42</v>
      </c>
      <c r="F1114" t="s">
        <v>75</v>
      </c>
      <c r="G1114" t="s">
        <v>44</v>
      </c>
      <c r="H1114" t="s">
        <v>27</v>
      </c>
      <c r="I1114" t="s">
        <v>28</v>
      </c>
      <c r="J1114" t="s">
        <v>45</v>
      </c>
      <c r="K1114">
        <v>7747</v>
      </c>
      <c r="L1114">
        <v>77</v>
      </c>
      <c r="M1114">
        <v>511.34</v>
      </c>
      <c r="N1114">
        <v>2</v>
      </c>
      <c r="O1114">
        <v>76.849999999999994</v>
      </c>
      <c r="P1114">
        <f t="shared" si="68"/>
        <v>9.9393313540725448E-3</v>
      </c>
      <c r="Q1114">
        <f t="shared" si="68"/>
        <v>6.6407792207792209</v>
      </c>
      <c r="R1114">
        <f t="shared" si="69"/>
        <v>255.67</v>
      </c>
      <c r="S1114">
        <f t="shared" si="70"/>
        <v>0.15029139124652874</v>
      </c>
      <c r="T1114">
        <f t="shared" si="71"/>
        <v>2.5974025974025976E-2</v>
      </c>
      <c r="U1114" t="str">
        <f>YEAR('Campaign Data'!$A1114)&amp;"-"&amp;TEXT(MONTH('Campaign Data'!$A1114),"00")</f>
        <v>2026-03</v>
      </c>
    </row>
    <row r="1115" spans="1:21" x14ac:dyDescent="0.25">
      <c r="A1115">
        <v>46084</v>
      </c>
      <c r="B1115" t="s">
        <v>95</v>
      </c>
      <c r="C1115" t="s">
        <v>96</v>
      </c>
      <c r="D1115" t="s">
        <v>23</v>
      </c>
      <c r="E1115" t="s">
        <v>49</v>
      </c>
      <c r="F1115" t="s">
        <v>43</v>
      </c>
      <c r="G1115" t="s">
        <v>97</v>
      </c>
      <c r="H1115" t="s">
        <v>55</v>
      </c>
      <c r="I1115" t="s">
        <v>37</v>
      </c>
      <c r="J1115" t="s">
        <v>29</v>
      </c>
      <c r="K1115">
        <v>19218</v>
      </c>
      <c r="L1115">
        <v>913</v>
      </c>
      <c r="M1115">
        <v>2115.6799999999998</v>
      </c>
      <c r="N1115">
        <v>42</v>
      </c>
      <c r="O1115">
        <v>947.66</v>
      </c>
      <c r="P1115">
        <f t="shared" si="68"/>
        <v>4.7507545009886562E-2</v>
      </c>
      <c r="Q1115">
        <f t="shared" si="68"/>
        <v>2.3172836801752461</v>
      </c>
      <c r="R1115">
        <f t="shared" si="69"/>
        <v>50.373333333333328</v>
      </c>
      <c r="S1115">
        <f t="shared" si="70"/>
        <v>0.44792218104817366</v>
      </c>
      <c r="T1115">
        <f t="shared" si="71"/>
        <v>4.6002190580503831E-2</v>
      </c>
      <c r="U1115" t="str">
        <f>YEAR('Campaign Data'!$A1115)&amp;"-"&amp;TEXT(MONTH('Campaign Data'!$A1115),"00")</f>
        <v>2026-03</v>
      </c>
    </row>
    <row r="1116" spans="1:21" x14ac:dyDescent="0.25">
      <c r="A1116">
        <v>46084</v>
      </c>
      <c r="B1116" t="s">
        <v>30</v>
      </c>
      <c r="C1116" t="s">
        <v>31</v>
      </c>
      <c r="D1116" t="s">
        <v>32</v>
      </c>
      <c r="E1116" t="s">
        <v>33</v>
      </c>
      <c r="F1116" t="s">
        <v>34</v>
      </c>
      <c r="G1116" t="s">
        <v>35</v>
      </c>
      <c r="H1116" t="s">
        <v>90</v>
      </c>
      <c r="I1116" t="s">
        <v>61</v>
      </c>
      <c r="J1116" t="s">
        <v>87</v>
      </c>
      <c r="K1116">
        <v>17240</v>
      </c>
      <c r="L1116">
        <v>88</v>
      </c>
      <c r="M1116">
        <v>15.74</v>
      </c>
      <c r="N1116">
        <v>1</v>
      </c>
      <c r="O1116">
        <v>25.68</v>
      </c>
      <c r="P1116">
        <f t="shared" si="68"/>
        <v>5.1044083526682136E-3</v>
      </c>
      <c r="Q1116">
        <f t="shared" si="68"/>
        <v>0.17886363636363636</v>
      </c>
      <c r="R1116">
        <f t="shared" si="69"/>
        <v>15.74</v>
      </c>
      <c r="S1116">
        <f t="shared" si="70"/>
        <v>1.6315120711562896</v>
      </c>
      <c r="T1116">
        <f t="shared" si="71"/>
        <v>1.1363636363636364E-2</v>
      </c>
      <c r="U1116" t="str">
        <f>YEAR('Campaign Data'!$A1116)&amp;"-"&amp;TEXT(MONTH('Campaign Data'!$A1116),"00")</f>
        <v>2026-03</v>
      </c>
    </row>
    <row r="1117" spans="1:21" x14ac:dyDescent="0.25">
      <c r="A1117">
        <v>46084</v>
      </c>
      <c r="B1117" t="s">
        <v>30</v>
      </c>
      <c r="C1117" t="s">
        <v>31</v>
      </c>
      <c r="D1117" t="s">
        <v>32</v>
      </c>
      <c r="E1117" t="s">
        <v>33</v>
      </c>
      <c r="F1117" t="s">
        <v>34</v>
      </c>
      <c r="G1117" t="s">
        <v>35</v>
      </c>
      <c r="H1117" t="s">
        <v>60</v>
      </c>
      <c r="I1117" t="s">
        <v>61</v>
      </c>
      <c r="J1117" t="s">
        <v>87</v>
      </c>
      <c r="K1117">
        <v>8065</v>
      </c>
      <c r="L1117">
        <v>79</v>
      </c>
      <c r="M1117">
        <v>58.73</v>
      </c>
      <c r="N1117">
        <v>2</v>
      </c>
      <c r="O1117">
        <v>257.49</v>
      </c>
      <c r="P1117">
        <f t="shared" si="68"/>
        <v>9.7954122752634838E-3</v>
      </c>
      <c r="Q1117">
        <f t="shared" si="68"/>
        <v>0.74341772151898733</v>
      </c>
      <c r="R1117">
        <f t="shared" si="69"/>
        <v>29.364999999999998</v>
      </c>
      <c r="S1117">
        <f t="shared" si="70"/>
        <v>4.384301038651456</v>
      </c>
      <c r="T1117">
        <f t="shared" si="71"/>
        <v>2.5316455696202531E-2</v>
      </c>
      <c r="U1117" t="str">
        <f>YEAR('Campaign Data'!$A1117)&amp;"-"&amp;TEXT(MONTH('Campaign Data'!$A1117),"00")</f>
        <v>2026-03</v>
      </c>
    </row>
    <row r="1118" spans="1:21" x14ac:dyDescent="0.25">
      <c r="A1118">
        <v>46084</v>
      </c>
      <c r="B1118" t="s">
        <v>151</v>
      </c>
      <c r="C1118" t="s">
        <v>152</v>
      </c>
      <c r="D1118" t="s">
        <v>48</v>
      </c>
      <c r="E1118" t="s">
        <v>24</v>
      </c>
      <c r="F1118" t="s">
        <v>81</v>
      </c>
      <c r="G1118" t="s">
        <v>129</v>
      </c>
      <c r="H1118" t="s">
        <v>27</v>
      </c>
      <c r="I1118" t="s">
        <v>37</v>
      </c>
      <c r="J1118" t="s">
        <v>29</v>
      </c>
      <c r="K1118">
        <v>22665</v>
      </c>
      <c r="L1118">
        <v>305</v>
      </c>
      <c r="M1118">
        <v>377.88</v>
      </c>
      <c r="N1118">
        <v>4</v>
      </c>
      <c r="O1118">
        <v>128.43</v>
      </c>
      <c r="P1118">
        <f t="shared" si="68"/>
        <v>1.3456871828810942E-2</v>
      </c>
      <c r="Q1118">
        <f t="shared" si="68"/>
        <v>1.2389508196721311</v>
      </c>
      <c r="R1118">
        <f t="shared" si="69"/>
        <v>94.47</v>
      </c>
      <c r="S1118">
        <f t="shared" si="70"/>
        <v>0.3398697999364878</v>
      </c>
      <c r="T1118">
        <f t="shared" si="71"/>
        <v>1.3114754098360656E-2</v>
      </c>
      <c r="U1118" t="str">
        <f>YEAR('Campaign Data'!$A1118)&amp;"-"&amp;TEXT(MONTH('Campaign Data'!$A1118),"00")</f>
        <v>2026-03</v>
      </c>
    </row>
    <row r="1119" spans="1:21" x14ac:dyDescent="0.25">
      <c r="A1119">
        <v>46084</v>
      </c>
      <c r="B1119" t="s">
        <v>151</v>
      </c>
      <c r="C1119" t="s">
        <v>152</v>
      </c>
      <c r="D1119" t="s">
        <v>48</v>
      </c>
      <c r="E1119" t="s">
        <v>24</v>
      </c>
      <c r="F1119" t="s">
        <v>81</v>
      </c>
      <c r="G1119" t="s">
        <v>129</v>
      </c>
      <c r="H1119" t="s">
        <v>27</v>
      </c>
      <c r="I1119" t="s">
        <v>37</v>
      </c>
      <c r="J1119" t="s">
        <v>38</v>
      </c>
      <c r="K1119">
        <v>11834</v>
      </c>
      <c r="L1119">
        <v>175</v>
      </c>
      <c r="M1119">
        <v>246.34</v>
      </c>
      <c r="N1119">
        <v>6</v>
      </c>
      <c r="O1119">
        <v>155.55000000000001</v>
      </c>
      <c r="P1119">
        <f t="shared" si="68"/>
        <v>1.4787899273280379E-2</v>
      </c>
      <c r="Q1119">
        <f t="shared" si="68"/>
        <v>1.4076571428571429</v>
      </c>
      <c r="R1119">
        <f t="shared" si="69"/>
        <v>41.056666666666665</v>
      </c>
      <c r="S1119">
        <f t="shared" si="70"/>
        <v>0.631444345213932</v>
      </c>
      <c r="T1119">
        <f t="shared" si="71"/>
        <v>3.4285714285714287E-2</v>
      </c>
      <c r="U1119" t="str">
        <f>YEAR('Campaign Data'!$A1119)&amp;"-"&amp;TEXT(MONTH('Campaign Data'!$A1119),"00")</f>
        <v>2026-03</v>
      </c>
    </row>
    <row r="1120" spans="1:21" x14ac:dyDescent="0.25">
      <c r="A1120">
        <v>46084</v>
      </c>
      <c r="B1120" t="s">
        <v>39</v>
      </c>
      <c r="C1120" t="s">
        <v>40</v>
      </c>
      <c r="D1120" t="s">
        <v>41</v>
      </c>
      <c r="E1120" t="s">
        <v>42</v>
      </c>
      <c r="F1120" t="s">
        <v>43</v>
      </c>
      <c r="G1120" t="s">
        <v>44</v>
      </c>
      <c r="H1120" t="s">
        <v>51</v>
      </c>
      <c r="I1120" t="s">
        <v>37</v>
      </c>
      <c r="J1120" t="s">
        <v>45</v>
      </c>
      <c r="K1120">
        <v>8045</v>
      </c>
      <c r="L1120">
        <v>51</v>
      </c>
      <c r="M1120">
        <v>317.14</v>
      </c>
      <c r="N1120">
        <v>1</v>
      </c>
      <c r="O1120">
        <v>22.22</v>
      </c>
      <c r="P1120">
        <f t="shared" si="68"/>
        <v>6.3393412057178369E-3</v>
      </c>
      <c r="Q1120">
        <f t="shared" si="68"/>
        <v>6.218431372549019</v>
      </c>
      <c r="R1120">
        <f t="shared" si="69"/>
        <v>317.14</v>
      </c>
      <c r="S1120">
        <f t="shared" si="70"/>
        <v>7.0063694267515922E-2</v>
      </c>
      <c r="T1120">
        <f t="shared" si="71"/>
        <v>1.9607843137254902E-2</v>
      </c>
      <c r="U1120" t="str">
        <f>YEAR('Campaign Data'!$A1120)&amp;"-"&amp;TEXT(MONTH('Campaign Data'!$A1120),"00")</f>
        <v>2026-03</v>
      </c>
    </row>
    <row r="1121" spans="1:21" x14ac:dyDescent="0.25">
      <c r="A1121">
        <v>46084</v>
      </c>
      <c r="B1121" t="s">
        <v>52</v>
      </c>
      <c r="C1121" t="s">
        <v>53</v>
      </c>
      <c r="D1121" t="s">
        <v>32</v>
      </c>
      <c r="E1121" t="s">
        <v>42</v>
      </c>
      <c r="F1121" t="s">
        <v>25</v>
      </c>
      <c r="G1121" t="s">
        <v>54</v>
      </c>
      <c r="H1121" t="s">
        <v>36</v>
      </c>
      <c r="I1121" t="s">
        <v>28</v>
      </c>
      <c r="J1121" t="s">
        <v>38</v>
      </c>
      <c r="K1121">
        <v>7010</v>
      </c>
      <c r="L1121">
        <v>39</v>
      </c>
      <c r="M1121">
        <v>213.94</v>
      </c>
      <c r="N1121">
        <v>4</v>
      </c>
      <c r="O1121">
        <v>879.9</v>
      </c>
      <c r="P1121">
        <f t="shared" si="68"/>
        <v>5.5634807417974325E-3</v>
      </c>
      <c r="Q1121">
        <f t="shared" si="68"/>
        <v>5.4856410256410255</v>
      </c>
      <c r="R1121">
        <f t="shared" si="69"/>
        <v>53.484999999999999</v>
      </c>
      <c r="S1121">
        <f t="shared" si="70"/>
        <v>4.112835374404038</v>
      </c>
      <c r="T1121">
        <f t="shared" si="71"/>
        <v>0.10256410256410256</v>
      </c>
      <c r="U1121" t="str">
        <f>YEAR('Campaign Data'!$A1121)&amp;"-"&amp;TEXT(MONTH('Campaign Data'!$A1121),"00")</f>
        <v>2026-03</v>
      </c>
    </row>
    <row r="1122" spans="1:21" x14ac:dyDescent="0.25">
      <c r="A1122">
        <v>46084</v>
      </c>
      <c r="B1122" t="s">
        <v>169</v>
      </c>
      <c r="C1122" t="s">
        <v>170</v>
      </c>
      <c r="D1122" t="s">
        <v>58</v>
      </c>
      <c r="E1122" t="s">
        <v>74</v>
      </c>
      <c r="F1122" t="s">
        <v>75</v>
      </c>
      <c r="G1122" t="s">
        <v>9</v>
      </c>
      <c r="H1122" t="s">
        <v>60</v>
      </c>
      <c r="I1122" t="s">
        <v>37</v>
      </c>
      <c r="J1122" t="s">
        <v>62</v>
      </c>
      <c r="K1122">
        <v>6503</v>
      </c>
      <c r="L1122">
        <v>181</v>
      </c>
      <c r="M1122">
        <v>191.94</v>
      </c>
      <c r="N1122">
        <v>6</v>
      </c>
      <c r="O1122">
        <v>209.32</v>
      </c>
      <c r="P1122">
        <f t="shared" si="68"/>
        <v>2.7833307704136553E-2</v>
      </c>
      <c r="Q1122">
        <f t="shared" si="68"/>
        <v>1.0604419889502763</v>
      </c>
      <c r="R1122">
        <f t="shared" si="69"/>
        <v>31.99</v>
      </c>
      <c r="S1122">
        <f t="shared" si="70"/>
        <v>1.0905491299364385</v>
      </c>
      <c r="T1122">
        <f t="shared" si="71"/>
        <v>3.3149171270718231E-2</v>
      </c>
      <c r="U1122" t="str">
        <f>YEAR('Campaign Data'!$A1122)&amp;"-"&amp;TEXT(MONTH('Campaign Data'!$A1122),"00")</f>
        <v>2026-03</v>
      </c>
    </row>
    <row r="1123" spans="1:21" x14ac:dyDescent="0.25">
      <c r="A1123">
        <v>46084</v>
      </c>
      <c r="B1123" t="s">
        <v>153</v>
      </c>
      <c r="C1123" t="s">
        <v>154</v>
      </c>
      <c r="D1123" t="s">
        <v>48</v>
      </c>
      <c r="E1123" t="s">
        <v>33</v>
      </c>
      <c r="F1123" t="s">
        <v>43</v>
      </c>
      <c r="G1123" t="s">
        <v>59</v>
      </c>
      <c r="H1123" t="s">
        <v>60</v>
      </c>
      <c r="I1123" t="s">
        <v>37</v>
      </c>
      <c r="J1123" t="s">
        <v>87</v>
      </c>
      <c r="K1123">
        <v>12072</v>
      </c>
      <c r="L1123">
        <v>80</v>
      </c>
      <c r="M1123">
        <v>55.52</v>
      </c>
      <c r="N1123">
        <v>0</v>
      </c>
      <c r="O1123">
        <v>0</v>
      </c>
      <c r="P1123">
        <f t="shared" si="68"/>
        <v>6.6269052352551355E-3</v>
      </c>
      <c r="Q1123">
        <f t="shared" si="68"/>
        <v>0.69400000000000006</v>
      </c>
      <c r="R1123">
        <f t="shared" si="69"/>
        <v>0</v>
      </c>
      <c r="S1123">
        <f t="shared" si="70"/>
        <v>0</v>
      </c>
      <c r="T1123">
        <f t="shared" si="71"/>
        <v>0</v>
      </c>
      <c r="U1123" t="str">
        <f>YEAR('Campaign Data'!$A1123)&amp;"-"&amp;TEXT(MONTH('Campaign Data'!$A1123),"00")</f>
        <v>2026-03</v>
      </c>
    </row>
    <row r="1124" spans="1:21" x14ac:dyDescent="0.25">
      <c r="A1124">
        <v>46084</v>
      </c>
      <c r="B1124" t="s">
        <v>179</v>
      </c>
      <c r="C1124" t="s">
        <v>180</v>
      </c>
      <c r="D1124" t="s">
        <v>58</v>
      </c>
      <c r="E1124" t="s">
        <v>42</v>
      </c>
      <c r="F1124" t="s">
        <v>25</v>
      </c>
      <c r="G1124" t="s">
        <v>54</v>
      </c>
      <c r="H1124" t="s">
        <v>55</v>
      </c>
      <c r="I1124" t="s">
        <v>37</v>
      </c>
      <c r="J1124" t="s">
        <v>87</v>
      </c>
      <c r="K1124">
        <v>12215</v>
      </c>
      <c r="L1124">
        <v>110</v>
      </c>
      <c r="M1124">
        <v>620.94000000000005</v>
      </c>
      <c r="N1124">
        <v>4</v>
      </c>
      <c r="O1124">
        <v>364.47</v>
      </c>
      <c r="P1124">
        <f t="shared" si="68"/>
        <v>9.005321326238231E-3</v>
      </c>
      <c r="Q1124">
        <f t="shared" si="68"/>
        <v>5.6449090909090911</v>
      </c>
      <c r="R1124">
        <f t="shared" si="69"/>
        <v>155.23500000000001</v>
      </c>
      <c r="S1124">
        <f t="shared" si="70"/>
        <v>0.58696492414726065</v>
      </c>
      <c r="T1124">
        <f t="shared" si="71"/>
        <v>3.6363636363636362E-2</v>
      </c>
      <c r="U1124" t="str">
        <f>YEAR('Campaign Data'!$A1124)&amp;"-"&amp;TEXT(MONTH('Campaign Data'!$A1124),"00")</f>
        <v>2026-03</v>
      </c>
    </row>
    <row r="1125" spans="1:21" x14ac:dyDescent="0.25">
      <c r="A1125">
        <v>46084</v>
      </c>
      <c r="B1125" t="s">
        <v>140</v>
      </c>
      <c r="C1125" t="s">
        <v>40</v>
      </c>
      <c r="D1125" t="s">
        <v>41</v>
      </c>
      <c r="E1125" t="s">
        <v>42</v>
      </c>
      <c r="F1125" t="s">
        <v>43</v>
      </c>
      <c r="G1125" t="s">
        <v>44</v>
      </c>
      <c r="H1125" t="s">
        <v>36</v>
      </c>
      <c r="I1125" t="s">
        <v>61</v>
      </c>
      <c r="J1125" t="s">
        <v>87</v>
      </c>
      <c r="K1125">
        <v>7636</v>
      </c>
      <c r="L1125">
        <v>37</v>
      </c>
      <c r="M1125">
        <v>151.82</v>
      </c>
      <c r="N1125">
        <v>2</v>
      </c>
      <c r="O1125">
        <v>51.48</v>
      </c>
      <c r="P1125">
        <f t="shared" si="68"/>
        <v>4.8454688318491359E-3</v>
      </c>
      <c r="Q1125">
        <f t="shared" si="68"/>
        <v>4.1032432432432433</v>
      </c>
      <c r="R1125">
        <f t="shared" si="69"/>
        <v>75.91</v>
      </c>
      <c r="S1125">
        <f t="shared" si="70"/>
        <v>0.3390857594519826</v>
      </c>
      <c r="T1125">
        <f t="shared" si="71"/>
        <v>5.4054054054054057E-2</v>
      </c>
      <c r="U1125" t="str">
        <f>YEAR('Campaign Data'!$A1125)&amp;"-"&amp;TEXT(MONTH('Campaign Data'!$A1125),"00")</f>
        <v>2026-03</v>
      </c>
    </row>
    <row r="1126" spans="1:21" x14ac:dyDescent="0.25">
      <c r="A1126">
        <v>46084</v>
      </c>
      <c r="B1126" t="s">
        <v>110</v>
      </c>
      <c r="C1126" t="s">
        <v>111</v>
      </c>
      <c r="D1126" t="s">
        <v>23</v>
      </c>
      <c r="E1126" t="s">
        <v>49</v>
      </c>
      <c r="F1126" t="s">
        <v>34</v>
      </c>
      <c r="G1126" t="s">
        <v>50</v>
      </c>
      <c r="H1126" t="s">
        <v>27</v>
      </c>
      <c r="I1126" t="s">
        <v>37</v>
      </c>
      <c r="J1126" t="s">
        <v>45</v>
      </c>
      <c r="K1126">
        <v>5471</v>
      </c>
      <c r="L1126">
        <v>172</v>
      </c>
      <c r="M1126">
        <v>292.49</v>
      </c>
      <c r="N1126">
        <v>10</v>
      </c>
      <c r="O1126">
        <v>2028.72</v>
      </c>
      <c r="P1126">
        <f t="shared" si="68"/>
        <v>3.1438493876804974E-2</v>
      </c>
      <c r="Q1126">
        <f t="shared" si="68"/>
        <v>1.7005232558139536</v>
      </c>
      <c r="R1126">
        <f t="shared" si="69"/>
        <v>29.249000000000002</v>
      </c>
      <c r="S1126">
        <f t="shared" si="70"/>
        <v>6.9360320010940546</v>
      </c>
      <c r="T1126">
        <f t="shared" si="71"/>
        <v>5.8139534883720929E-2</v>
      </c>
      <c r="U1126" t="str">
        <f>YEAR('Campaign Data'!$A1126)&amp;"-"&amp;TEXT(MONTH('Campaign Data'!$A1126),"00")</f>
        <v>2026-03</v>
      </c>
    </row>
    <row r="1127" spans="1:21" x14ac:dyDescent="0.25">
      <c r="A1127">
        <v>46084</v>
      </c>
      <c r="B1127" t="s">
        <v>134</v>
      </c>
      <c r="C1127" t="s">
        <v>135</v>
      </c>
      <c r="D1127" t="s">
        <v>32</v>
      </c>
      <c r="E1127" t="s">
        <v>74</v>
      </c>
      <c r="F1127" t="s">
        <v>25</v>
      </c>
      <c r="G1127" t="s">
        <v>107</v>
      </c>
      <c r="H1127" t="s">
        <v>51</v>
      </c>
      <c r="I1127" t="s">
        <v>37</v>
      </c>
      <c r="J1127" t="s">
        <v>38</v>
      </c>
      <c r="K1127">
        <v>6892</v>
      </c>
      <c r="L1127">
        <v>196</v>
      </c>
      <c r="M1127">
        <v>129.87</v>
      </c>
      <c r="N1127">
        <v>4</v>
      </c>
      <c r="O1127">
        <v>649.30999999999995</v>
      </c>
      <c r="P1127">
        <f t="shared" si="68"/>
        <v>2.8438769587928032E-2</v>
      </c>
      <c r="Q1127">
        <f t="shared" si="68"/>
        <v>0.66260204081632657</v>
      </c>
      <c r="R1127">
        <f t="shared" si="69"/>
        <v>32.467500000000001</v>
      </c>
      <c r="S1127">
        <f t="shared" si="70"/>
        <v>4.9996919996919988</v>
      </c>
      <c r="T1127">
        <f t="shared" si="71"/>
        <v>2.0408163265306121E-2</v>
      </c>
      <c r="U1127" t="str">
        <f>YEAR('Campaign Data'!$A1127)&amp;"-"&amp;TEXT(MONTH('Campaign Data'!$A1127),"00")</f>
        <v>2026-03</v>
      </c>
    </row>
    <row r="1128" spans="1:21" x14ac:dyDescent="0.25">
      <c r="A1128">
        <v>46084</v>
      </c>
      <c r="B1128" t="s">
        <v>145</v>
      </c>
      <c r="C1128" t="s">
        <v>146</v>
      </c>
      <c r="D1128" t="s">
        <v>41</v>
      </c>
      <c r="E1128" t="s">
        <v>49</v>
      </c>
      <c r="F1128" t="s">
        <v>75</v>
      </c>
      <c r="G1128" t="s">
        <v>70</v>
      </c>
      <c r="H1128" t="s">
        <v>27</v>
      </c>
      <c r="I1128" t="s">
        <v>37</v>
      </c>
      <c r="J1128" t="s">
        <v>29</v>
      </c>
      <c r="K1128">
        <v>3341</v>
      </c>
      <c r="L1128">
        <v>227</v>
      </c>
      <c r="M1128">
        <v>428.24</v>
      </c>
      <c r="N1128">
        <v>8</v>
      </c>
      <c r="O1128">
        <v>429.99</v>
      </c>
      <c r="P1128">
        <f t="shared" si="68"/>
        <v>6.7943729422328639E-2</v>
      </c>
      <c r="Q1128">
        <f t="shared" si="68"/>
        <v>1.8865198237885463</v>
      </c>
      <c r="R1128">
        <f t="shared" si="69"/>
        <v>53.53</v>
      </c>
      <c r="S1128">
        <f t="shared" si="70"/>
        <v>1.0040864935550158</v>
      </c>
      <c r="T1128">
        <f t="shared" si="71"/>
        <v>3.5242290748898682E-2</v>
      </c>
      <c r="U1128" t="str">
        <f>YEAR('Campaign Data'!$A1128)&amp;"-"&amp;TEXT(MONTH('Campaign Data'!$A1128),"00")</f>
        <v>2026-03</v>
      </c>
    </row>
    <row r="1129" spans="1:21" x14ac:dyDescent="0.25">
      <c r="A1129">
        <v>46084</v>
      </c>
      <c r="B1129" t="s">
        <v>78</v>
      </c>
      <c r="C1129" t="s">
        <v>79</v>
      </c>
      <c r="D1129" t="s">
        <v>80</v>
      </c>
      <c r="E1129" t="s">
        <v>24</v>
      </c>
      <c r="F1129" t="s">
        <v>81</v>
      </c>
      <c r="G1129" t="s">
        <v>66</v>
      </c>
      <c r="H1129" t="s">
        <v>90</v>
      </c>
      <c r="I1129" t="s">
        <v>37</v>
      </c>
      <c r="J1129" t="s">
        <v>45</v>
      </c>
      <c r="K1129">
        <v>7728</v>
      </c>
      <c r="L1129">
        <v>100</v>
      </c>
      <c r="M1129">
        <v>29.47</v>
      </c>
      <c r="N1129">
        <v>1</v>
      </c>
      <c r="O1129">
        <v>5</v>
      </c>
      <c r="P1129">
        <f t="shared" si="68"/>
        <v>1.2939958592132506E-2</v>
      </c>
      <c r="Q1129">
        <f t="shared" si="68"/>
        <v>0.29469999999999996</v>
      </c>
      <c r="R1129">
        <f t="shared" si="69"/>
        <v>29.47</v>
      </c>
      <c r="S1129">
        <f t="shared" si="70"/>
        <v>0.16966406515100102</v>
      </c>
      <c r="T1129">
        <f t="shared" si="71"/>
        <v>0.01</v>
      </c>
      <c r="U1129" t="str">
        <f>YEAR('Campaign Data'!$A1129)&amp;"-"&amp;TEXT(MONTH('Campaign Data'!$A1129),"00")</f>
        <v>2026-03</v>
      </c>
    </row>
    <row r="1130" spans="1:21" x14ac:dyDescent="0.25">
      <c r="A1130">
        <v>46084</v>
      </c>
      <c r="B1130" t="s">
        <v>120</v>
      </c>
      <c r="C1130" t="s">
        <v>121</v>
      </c>
      <c r="D1130" t="s">
        <v>23</v>
      </c>
      <c r="E1130" t="s">
        <v>49</v>
      </c>
      <c r="F1130" t="s">
        <v>75</v>
      </c>
      <c r="G1130" t="s">
        <v>70</v>
      </c>
      <c r="H1130" t="s">
        <v>90</v>
      </c>
      <c r="I1130" t="s">
        <v>28</v>
      </c>
      <c r="J1130" t="s">
        <v>62</v>
      </c>
      <c r="K1130">
        <v>18500</v>
      </c>
      <c r="L1130">
        <v>1194</v>
      </c>
      <c r="M1130">
        <v>683.91</v>
      </c>
      <c r="N1130">
        <v>101</v>
      </c>
      <c r="O1130">
        <v>983.86</v>
      </c>
      <c r="P1130">
        <f t="shared" si="68"/>
        <v>6.4540540540540536E-2</v>
      </c>
      <c r="Q1130">
        <f t="shared" si="68"/>
        <v>0.57278894472361808</v>
      </c>
      <c r="R1130">
        <f t="shared" si="69"/>
        <v>6.7713861386138614</v>
      </c>
      <c r="S1130">
        <f t="shared" si="70"/>
        <v>1.4385810998523199</v>
      </c>
      <c r="T1130">
        <f t="shared" si="71"/>
        <v>8.458961474036851E-2</v>
      </c>
      <c r="U1130" t="str">
        <f>YEAR('Campaign Data'!$A1130)&amp;"-"&amp;TEXT(MONTH('Campaign Data'!$A1130),"00")</f>
        <v>2026-03</v>
      </c>
    </row>
    <row r="1131" spans="1:21" x14ac:dyDescent="0.25">
      <c r="A1131">
        <v>46084</v>
      </c>
      <c r="B1131" t="s">
        <v>122</v>
      </c>
      <c r="C1131" t="s">
        <v>123</v>
      </c>
      <c r="D1131" t="s">
        <v>41</v>
      </c>
      <c r="E1131" t="s">
        <v>33</v>
      </c>
      <c r="F1131" t="s">
        <v>75</v>
      </c>
      <c r="G1131" t="s">
        <v>35</v>
      </c>
      <c r="H1131" t="s">
        <v>90</v>
      </c>
      <c r="I1131" t="s">
        <v>61</v>
      </c>
      <c r="J1131" t="s">
        <v>38</v>
      </c>
      <c r="K1131">
        <v>5193</v>
      </c>
      <c r="L1131">
        <v>64</v>
      </c>
      <c r="M1131">
        <v>7.07</v>
      </c>
      <c r="N1131">
        <v>0</v>
      </c>
      <c r="O1131">
        <v>0</v>
      </c>
      <c r="P1131">
        <f t="shared" si="68"/>
        <v>1.2324282688234161E-2</v>
      </c>
      <c r="Q1131">
        <f t="shared" si="68"/>
        <v>0.11046875</v>
      </c>
      <c r="R1131">
        <f t="shared" si="69"/>
        <v>0</v>
      </c>
      <c r="S1131">
        <f t="shared" si="70"/>
        <v>0</v>
      </c>
      <c r="T1131">
        <f t="shared" si="71"/>
        <v>0</v>
      </c>
      <c r="U1131" t="str">
        <f>YEAR('Campaign Data'!$A1131)&amp;"-"&amp;TEXT(MONTH('Campaign Data'!$A1131),"00")</f>
        <v>2026-03</v>
      </c>
    </row>
    <row r="1132" spans="1:21" x14ac:dyDescent="0.25">
      <c r="A1132">
        <v>46085</v>
      </c>
      <c r="B1132" t="s">
        <v>85</v>
      </c>
      <c r="C1132" t="s">
        <v>86</v>
      </c>
      <c r="D1132" t="s">
        <v>80</v>
      </c>
      <c r="E1132" t="s">
        <v>33</v>
      </c>
      <c r="F1132" t="s">
        <v>43</v>
      </c>
      <c r="G1132" t="s">
        <v>35</v>
      </c>
      <c r="H1132" t="s">
        <v>27</v>
      </c>
      <c r="I1132" t="s">
        <v>37</v>
      </c>
      <c r="J1132" t="s">
        <v>45</v>
      </c>
      <c r="K1132">
        <v>9871</v>
      </c>
      <c r="L1132">
        <v>100</v>
      </c>
      <c r="M1132">
        <v>83.36</v>
      </c>
      <c r="N1132">
        <v>1</v>
      </c>
      <c r="O1132">
        <v>33.770000000000003</v>
      </c>
      <c r="P1132">
        <f t="shared" si="68"/>
        <v>1.0130685847431872E-2</v>
      </c>
      <c r="Q1132">
        <f t="shared" si="68"/>
        <v>0.83360000000000001</v>
      </c>
      <c r="R1132">
        <f t="shared" si="69"/>
        <v>83.36</v>
      </c>
      <c r="S1132">
        <f t="shared" si="70"/>
        <v>0.40511036468330136</v>
      </c>
      <c r="T1132">
        <f t="shared" si="71"/>
        <v>0.01</v>
      </c>
      <c r="U1132" t="str">
        <f>YEAR('Campaign Data'!$A1132)&amp;"-"&amp;TEXT(MONTH('Campaign Data'!$A1132),"00")</f>
        <v>2026-03</v>
      </c>
    </row>
    <row r="1133" spans="1:21" x14ac:dyDescent="0.25">
      <c r="A1133">
        <v>46085</v>
      </c>
      <c r="B1133" t="s">
        <v>88</v>
      </c>
      <c r="C1133" t="s">
        <v>89</v>
      </c>
      <c r="D1133" t="s">
        <v>23</v>
      </c>
      <c r="E1133" t="s">
        <v>49</v>
      </c>
      <c r="F1133" t="s">
        <v>81</v>
      </c>
      <c r="G1133" t="s">
        <v>50</v>
      </c>
      <c r="H1133" t="s">
        <v>36</v>
      </c>
      <c r="I1133" t="s">
        <v>37</v>
      </c>
      <c r="J1133" t="s">
        <v>87</v>
      </c>
      <c r="K1133">
        <v>6831</v>
      </c>
      <c r="L1133">
        <v>175</v>
      </c>
      <c r="M1133">
        <v>380.21</v>
      </c>
      <c r="N1133">
        <v>4</v>
      </c>
      <c r="O1133">
        <v>77.03</v>
      </c>
      <c r="P1133">
        <f t="shared" si="68"/>
        <v>2.5618503879373443E-2</v>
      </c>
      <c r="Q1133">
        <f t="shared" si="68"/>
        <v>2.1726285714285711</v>
      </c>
      <c r="R1133">
        <f t="shared" si="69"/>
        <v>95.052499999999995</v>
      </c>
      <c r="S1133">
        <f t="shared" si="70"/>
        <v>0.2025985639515005</v>
      </c>
      <c r="T1133">
        <f t="shared" si="71"/>
        <v>2.2857142857142857E-2</v>
      </c>
      <c r="U1133" t="str">
        <f>YEAR('Campaign Data'!$A1133)&amp;"-"&amp;TEXT(MONTH('Campaign Data'!$A1133),"00")</f>
        <v>2026-03</v>
      </c>
    </row>
    <row r="1134" spans="1:21" x14ac:dyDescent="0.25">
      <c r="A1134">
        <v>46085</v>
      </c>
      <c r="B1134" t="s">
        <v>125</v>
      </c>
      <c r="C1134" t="s">
        <v>126</v>
      </c>
      <c r="D1134" t="s">
        <v>41</v>
      </c>
      <c r="E1134" t="s">
        <v>42</v>
      </c>
      <c r="F1134" t="s">
        <v>81</v>
      </c>
      <c r="G1134" t="s">
        <v>44</v>
      </c>
      <c r="H1134" t="s">
        <v>36</v>
      </c>
      <c r="I1134" t="s">
        <v>37</v>
      </c>
      <c r="J1134" t="s">
        <v>38</v>
      </c>
      <c r="K1134">
        <v>15049</v>
      </c>
      <c r="L1134">
        <v>110</v>
      </c>
      <c r="M1134">
        <v>682.35</v>
      </c>
      <c r="N1134">
        <v>10</v>
      </c>
      <c r="O1134">
        <v>151.24</v>
      </c>
      <c r="P1134">
        <f t="shared" si="68"/>
        <v>7.3094557777925442E-3</v>
      </c>
      <c r="Q1134">
        <f t="shared" si="68"/>
        <v>6.2031818181818181</v>
      </c>
      <c r="R1134">
        <f t="shared" si="69"/>
        <v>68.234999999999999</v>
      </c>
      <c r="S1134">
        <f t="shared" si="70"/>
        <v>0.22164578295596102</v>
      </c>
      <c r="T1134">
        <f t="shared" si="71"/>
        <v>9.0909090909090912E-2</v>
      </c>
      <c r="U1134" t="str">
        <f>YEAR('Campaign Data'!$A1134)&amp;"-"&amp;TEXT(MONTH('Campaign Data'!$A1134),"00")</f>
        <v>2026-03</v>
      </c>
    </row>
    <row r="1135" spans="1:21" x14ac:dyDescent="0.25">
      <c r="A1135">
        <v>46085</v>
      </c>
      <c r="B1135" t="s">
        <v>138</v>
      </c>
      <c r="C1135" t="s">
        <v>139</v>
      </c>
      <c r="D1135" t="s">
        <v>58</v>
      </c>
      <c r="E1135" t="s">
        <v>74</v>
      </c>
      <c r="F1135" t="s">
        <v>34</v>
      </c>
      <c r="G1135" t="s">
        <v>9</v>
      </c>
      <c r="H1135" t="s">
        <v>51</v>
      </c>
      <c r="I1135" t="s">
        <v>37</v>
      </c>
      <c r="J1135" t="s">
        <v>38</v>
      </c>
      <c r="K1135">
        <v>15121</v>
      </c>
      <c r="L1135">
        <v>234</v>
      </c>
      <c r="M1135">
        <v>308.44</v>
      </c>
      <c r="N1135">
        <v>10</v>
      </c>
      <c r="O1135">
        <v>1596.28</v>
      </c>
      <c r="P1135">
        <f t="shared" si="68"/>
        <v>1.5475166986310429E-2</v>
      </c>
      <c r="Q1135">
        <f t="shared" si="68"/>
        <v>1.3181196581196581</v>
      </c>
      <c r="R1135">
        <f t="shared" si="69"/>
        <v>30.844000000000001</v>
      </c>
      <c r="S1135">
        <f t="shared" si="70"/>
        <v>5.1753339385293735</v>
      </c>
      <c r="T1135">
        <f t="shared" si="71"/>
        <v>4.2735042735042736E-2</v>
      </c>
      <c r="U1135" t="str">
        <f>YEAR('Campaign Data'!$A1135)&amp;"-"&amp;TEXT(MONTH('Campaign Data'!$A1135),"00")</f>
        <v>2026-03</v>
      </c>
    </row>
    <row r="1136" spans="1:21" x14ac:dyDescent="0.25">
      <c r="A1136">
        <v>46085</v>
      </c>
      <c r="B1136" t="s">
        <v>149</v>
      </c>
      <c r="C1136" t="s">
        <v>150</v>
      </c>
      <c r="D1136" t="s">
        <v>65</v>
      </c>
      <c r="E1136" t="s">
        <v>33</v>
      </c>
      <c r="F1136" t="s">
        <v>43</v>
      </c>
      <c r="G1136" t="s">
        <v>59</v>
      </c>
      <c r="H1136" t="s">
        <v>90</v>
      </c>
      <c r="I1136" t="s">
        <v>37</v>
      </c>
      <c r="J1136" t="s">
        <v>38</v>
      </c>
      <c r="K1136">
        <v>14715</v>
      </c>
      <c r="L1136">
        <v>131</v>
      </c>
      <c r="M1136">
        <v>22.9</v>
      </c>
      <c r="N1136">
        <v>1</v>
      </c>
      <c r="O1136">
        <v>7.57</v>
      </c>
      <c r="P1136">
        <f t="shared" si="68"/>
        <v>8.9024804621134889E-3</v>
      </c>
      <c r="Q1136">
        <f t="shared" si="68"/>
        <v>0.17480916030534349</v>
      </c>
      <c r="R1136">
        <f t="shared" si="69"/>
        <v>22.9</v>
      </c>
      <c r="S1136">
        <f t="shared" si="70"/>
        <v>0.33056768558951971</v>
      </c>
      <c r="T1136">
        <f t="shared" si="71"/>
        <v>7.6335877862595417E-3</v>
      </c>
      <c r="U1136" t="str">
        <f>YEAR('Campaign Data'!$A1136)&amp;"-"&amp;TEXT(MONTH('Campaign Data'!$A1136),"00")</f>
        <v>2026-03</v>
      </c>
    </row>
    <row r="1137" spans="1:21" x14ac:dyDescent="0.25">
      <c r="A1137">
        <v>46085</v>
      </c>
      <c r="B1137" t="s">
        <v>39</v>
      </c>
      <c r="C1137" t="s">
        <v>40</v>
      </c>
      <c r="D1137" t="s">
        <v>41</v>
      </c>
      <c r="E1137" t="s">
        <v>42</v>
      </c>
      <c r="F1137" t="s">
        <v>43</v>
      </c>
      <c r="G1137" t="s">
        <v>44</v>
      </c>
      <c r="H1137" t="s">
        <v>51</v>
      </c>
      <c r="I1137" t="s">
        <v>61</v>
      </c>
      <c r="J1137" t="s">
        <v>62</v>
      </c>
      <c r="K1137">
        <v>6184</v>
      </c>
      <c r="L1137">
        <v>59</v>
      </c>
      <c r="M1137">
        <v>396.17</v>
      </c>
      <c r="N1137">
        <v>2</v>
      </c>
      <c r="O1137">
        <v>36.28</v>
      </c>
      <c r="P1137">
        <f t="shared" si="68"/>
        <v>9.5407503234152657E-3</v>
      </c>
      <c r="Q1137">
        <f t="shared" si="68"/>
        <v>6.714745762711865</v>
      </c>
      <c r="R1137">
        <f t="shared" si="69"/>
        <v>198.08500000000001</v>
      </c>
      <c r="S1137">
        <f t="shared" si="70"/>
        <v>9.1576848322689752E-2</v>
      </c>
      <c r="T1137">
        <f t="shared" si="71"/>
        <v>3.3898305084745763E-2</v>
      </c>
      <c r="U1137" t="str">
        <f>YEAR('Campaign Data'!$A1137)&amp;"-"&amp;TEXT(MONTH('Campaign Data'!$A1137),"00")</f>
        <v>2026-03</v>
      </c>
    </row>
    <row r="1138" spans="1:21" x14ac:dyDescent="0.25">
      <c r="A1138">
        <v>46085</v>
      </c>
      <c r="B1138" t="s">
        <v>52</v>
      </c>
      <c r="C1138" t="s">
        <v>53</v>
      </c>
      <c r="D1138" t="s">
        <v>32</v>
      </c>
      <c r="E1138" t="s">
        <v>42</v>
      </c>
      <c r="F1138" t="s">
        <v>25</v>
      </c>
      <c r="G1138" t="s">
        <v>54</v>
      </c>
      <c r="H1138" t="s">
        <v>36</v>
      </c>
      <c r="I1138" t="s">
        <v>28</v>
      </c>
      <c r="J1138" t="s">
        <v>87</v>
      </c>
      <c r="K1138">
        <v>9703</v>
      </c>
      <c r="L1138">
        <v>62</v>
      </c>
      <c r="M1138">
        <v>398.73</v>
      </c>
      <c r="N1138">
        <v>1</v>
      </c>
      <c r="O1138">
        <v>136.19</v>
      </c>
      <c r="P1138">
        <f t="shared" si="68"/>
        <v>6.3897763578274758E-3</v>
      </c>
      <c r="Q1138">
        <f t="shared" si="68"/>
        <v>6.431129032258065</v>
      </c>
      <c r="R1138">
        <f t="shared" si="69"/>
        <v>398.73</v>
      </c>
      <c r="S1138">
        <f t="shared" si="70"/>
        <v>0.34155945125774334</v>
      </c>
      <c r="T1138">
        <f t="shared" si="71"/>
        <v>1.6129032258064516E-2</v>
      </c>
      <c r="U1138" t="str">
        <f>YEAR('Campaign Data'!$A1138)&amp;"-"&amp;TEXT(MONTH('Campaign Data'!$A1138),"00")</f>
        <v>2026-03</v>
      </c>
    </row>
    <row r="1139" spans="1:21" x14ac:dyDescent="0.25">
      <c r="A1139">
        <v>46085</v>
      </c>
      <c r="B1139" t="s">
        <v>52</v>
      </c>
      <c r="C1139" t="s">
        <v>53</v>
      </c>
      <c r="D1139" t="s">
        <v>32</v>
      </c>
      <c r="E1139" t="s">
        <v>42</v>
      </c>
      <c r="F1139" t="s">
        <v>25</v>
      </c>
      <c r="G1139" t="s">
        <v>54</v>
      </c>
      <c r="H1139" t="s">
        <v>90</v>
      </c>
      <c r="I1139" t="s">
        <v>28</v>
      </c>
      <c r="J1139" t="s">
        <v>62</v>
      </c>
      <c r="K1139">
        <v>15338</v>
      </c>
      <c r="L1139">
        <v>134</v>
      </c>
      <c r="M1139">
        <v>158.91</v>
      </c>
      <c r="N1139">
        <v>8</v>
      </c>
      <c r="O1139">
        <v>338.13</v>
      </c>
      <c r="P1139">
        <f t="shared" si="68"/>
        <v>8.7364715086712744E-3</v>
      </c>
      <c r="Q1139">
        <f t="shared" si="68"/>
        <v>1.1858955223880596</v>
      </c>
      <c r="R1139">
        <f t="shared" si="69"/>
        <v>19.86375</v>
      </c>
      <c r="S1139">
        <f t="shared" si="70"/>
        <v>2.1278081933169717</v>
      </c>
      <c r="T1139">
        <f t="shared" si="71"/>
        <v>5.9701492537313432E-2</v>
      </c>
      <c r="U1139" t="str">
        <f>YEAR('Campaign Data'!$A1139)&amp;"-"&amp;TEXT(MONTH('Campaign Data'!$A1139),"00")</f>
        <v>2026-03</v>
      </c>
    </row>
    <row r="1140" spans="1:21" x14ac:dyDescent="0.25">
      <c r="A1140">
        <v>46085</v>
      </c>
      <c r="B1140" t="s">
        <v>100</v>
      </c>
      <c r="C1140" t="s">
        <v>101</v>
      </c>
      <c r="D1140" t="s">
        <v>80</v>
      </c>
      <c r="E1140" t="s">
        <v>33</v>
      </c>
      <c r="F1140" t="s">
        <v>25</v>
      </c>
      <c r="G1140" t="s">
        <v>102</v>
      </c>
      <c r="H1140" t="s">
        <v>51</v>
      </c>
      <c r="I1140" t="s">
        <v>28</v>
      </c>
      <c r="J1140" t="s">
        <v>87</v>
      </c>
      <c r="K1140">
        <v>3385</v>
      </c>
      <c r="L1140">
        <v>22</v>
      </c>
      <c r="M1140">
        <v>15.21</v>
      </c>
      <c r="N1140">
        <v>0</v>
      </c>
      <c r="O1140">
        <v>0</v>
      </c>
      <c r="P1140">
        <f t="shared" si="68"/>
        <v>6.4992614475627769E-3</v>
      </c>
      <c r="Q1140">
        <f t="shared" si="68"/>
        <v>0.6913636363636364</v>
      </c>
      <c r="R1140">
        <f t="shared" si="69"/>
        <v>0</v>
      </c>
      <c r="S1140">
        <f t="shared" si="70"/>
        <v>0</v>
      </c>
      <c r="T1140">
        <f t="shared" si="71"/>
        <v>0</v>
      </c>
      <c r="U1140" t="str">
        <f>YEAR('Campaign Data'!$A1140)&amp;"-"&amp;TEXT(MONTH('Campaign Data'!$A1140),"00")</f>
        <v>2026-03</v>
      </c>
    </row>
    <row r="1141" spans="1:21" x14ac:dyDescent="0.25">
      <c r="A1141">
        <v>46085</v>
      </c>
      <c r="B1141" t="s">
        <v>169</v>
      </c>
      <c r="C1141" t="s">
        <v>170</v>
      </c>
      <c r="D1141" t="s">
        <v>58</v>
      </c>
      <c r="E1141" t="s">
        <v>74</v>
      </c>
      <c r="F1141" t="s">
        <v>75</v>
      </c>
      <c r="G1141" t="s">
        <v>9</v>
      </c>
      <c r="H1141" t="s">
        <v>27</v>
      </c>
      <c r="I1141" t="s">
        <v>61</v>
      </c>
      <c r="J1141" t="s">
        <v>62</v>
      </c>
      <c r="K1141">
        <v>6069</v>
      </c>
      <c r="L1141">
        <v>152</v>
      </c>
      <c r="M1141">
        <v>333.82</v>
      </c>
      <c r="N1141">
        <v>7</v>
      </c>
      <c r="O1141">
        <v>311.01</v>
      </c>
      <c r="P1141">
        <f t="shared" si="68"/>
        <v>2.5045312242544075E-2</v>
      </c>
      <c r="Q1141">
        <f t="shared" si="68"/>
        <v>2.1961842105263156</v>
      </c>
      <c r="R1141">
        <f t="shared" si="69"/>
        <v>47.688571428571429</v>
      </c>
      <c r="S1141">
        <f t="shared" si="70"/>
        <v>0.93166976214726493</v>
      </c>
      <c r="T1141">
        <f t="shared" si="71"/>
        <v>4.6052631578947366E-2</v>
      </c>
      <c r="U1141" t="str">
        <f>YEAR('Campaign Data'!$A1141)&amp;"-"&amp;TEXT(MONTH('Campaign Data'!$A1141),"00")</f>
        <v>2026-03</v>
      </c>
    </row>
    <row r="1142" spans="1:21" x14ac:dyDescent="0.25">
      <c r="A1142">
        <v>46085</v>
      </c>
      <c r="B1142" t="s">
        <v>103</v>
      </c>
      <c r="C1142" t="s">
        <v>104</v>
      </c>
      <c r="D1142" t="s">
        <v>65</v>
      </c>
      <c r="E1142" t="s">
        <v>33</v>
      </c>
      <c r="F1142" t="s">
        <v>43</v>
      </c>
      <c r="G1142" t="s">
        <v>102</v>
      </c>
      <c r="H1142" t="s">
        <v>36</v>
      </c>
      <c r="I1142" t="s">
        <v>37</v>
      </c>
      <c r="J1142" t="s">
        <v>45</v>
      </c>
      <c r="K1142">
        <v>2218</v>
      </c>
      <c r="L1142">
        <v>24</v>
      </c>
      <c r="M1142">
        <v>18.07</v>
      </c>
      <c r="N1142">
        <v>0</v>
      </c>
      <c r="O1142">
        <v>0</v>
      </c>
      <c r="P1142">
        <f t="shared" si="68"/>
        <v>1.0820559062218215E-2</v>
      </c>
      <c r="Q1142">
        <f t="shared" si="68"/>
        <v>0.75291666666666668</v>
      </c>
      <c r="R1142">
        <f t="shared" si="69"/>
        <v>0</v>
      </c>
      <c r="S1142">
        <f t="shared" si="70"/>
        <v>0</v>
      </c>
      <c r="T1142">
        <f t="shared" si="71"/>
        <v>0</v>
      </c>
      <c r="U1142" t="str">
        <f>YEAR('Campaign Data'!$A1142)&amp;"-"&amp;TEXT(MONTH('Campaign Data'!$A1142),"00")</f>
        <v>2026-03</v>
      </c>
    </row>
    <row r="1143" spans="1:21" x14ac:dyDescent="0.25">
      <c r="A1143">
        <v>46085</v>
      </c>
      <c r="B1143" t="s">
        <v>130</v>
      </c>
      <c r="C1143" t="s">
        <v>131</v>
      </c>
      <c r="D1143" t="s">
        <v>48</v>
      </c>
      <c r="E1143" t="s">
        <v>33</v>
      </c>
      <c r="F1143" t="s">
        <v>34</v>
      </c>
      <c r="G1143" t="s">
        <v>35</v>
      </c>
      <c r="H1143" t="s">
        <v>27</v>
      </c>
      <c r="I1143" t="s">
        <v>37</v>
      </c>
      <c r="J1143" t="s">
        <v>38</v>
      </c>
      <c r="K1143">
        <v>5195</v>
      </c>
      <c r="L1143">
        <v>39</v>
      </c>
      <c r="M1143">
        <v>22.47</v>
      </c>
      <c r="N1143">
        <v>0</v>
      </c>
      <c r="O1143">
        <v>0</v>
      </c>
      <c r="P1143">
        <f t="shared" si="68"/>
        <v>7.5072184793070259E-3</v>
      </c>
      <c r="Q1143">
        <f t="shared" si="68"/>
        <v>0.57615384615384613</v>
      </c>
      <c r="R1143">
        <f t="shared" si="69"/>
        <v>0</v>
      </c>
      <c r="S1143">
        <f t="shared" si="70"/>
        <v>0</v>
      </c>
      <c r="T1143">
        <f t="shared" si="71"/>
        <v>0</v>
      </c>
      <c r="U1143" t="str">
        <f>YEAR('Campaign Data'!$A1143)&amp;"-"&amp;TEXT(MONTH('Campaign Data'!$A1143),"00")</f>
        <v>2026-03</v>
      </c>
    </row>
    <row r="1144" spans="1:21" x14ac:dyDescent="0.25">
      <c r="A1144">
        <v>46085</v>
      </c>
      <c r="B1144" t="s">
        <v>155</v>
      </c>
      <c r="C1144" t="s">
        <v>156</v>
      </c>
      <c r="D1144" t="s">
        <v>32</v>
      </c>
      <c r="E1144" t="s">
        <v>24</v>
      </c>
      <c r="F1144" t="s">
        <v>34</v>
      </c>
      <c r="G1144" t="s">
        <v>129</v>
      </c>
      <c r="H1144" t="s">
        <v>90</v>
      </c>
      <c r="I1144" t="s">
        <v>37</v>
      </c>
      <c r="J1144" t="s">
        <v>87</v>
      </c>
      <c r="K1144">
        <v>7994</v>
      </c>
      <c r="L1144">
        <v>75</v>
      </c>
      <c r="M1144">
        <v>19.100000000000001</v>
      </c>
      <c r="N1144">
        <v>2</v>
      </c>
      <c r="O1144">
        <v>63.53</v>
      </c>
      <c r="P1144">
        <f t="shared" si="68"/>
        <v>9.3820365273955472E-3</v>
      </c>
      <c r="Q1144">
        <f t="shared" si="68"/>
        <v>0.25466666666666671</v>
      </c>
      <c r="R1144">
        <f t="shared" si="69"/>
        <v>9.5500000000000007</v>
      </c>
      <c r="S1144">
        <f t="shared" si="70"/>
        <v>3.326178010471204</v>
      </c>
      <c r="T1144">
        <f t="shared" si="71"/>
        <v>2.6666666666666668E-2</v>
      </c>
      <c r="U1144" t="str">
        <f>YEAR('Campaign Data'!$A1144)&amp;"-"&amp;TEXT(MONTH('Campaign Data'!$A1144),"00")</f>
        <v>2026-03</v>
      </c>
    </row>
    <row r="1145" spans="1:21" x14ac:dyDescent="0.25">
      <c r="A1145">
        <v>46085</v>
      </c>
      <c r="B1145" t="s">
        <v>134</v>
      </c>
      <c r="C1145" t="s">
        <v>135</v>
      </c>
      <c r="D1145" t="s">
        <v>32</v>
      </c>
      <c r="E1145" t="s">
        <v>74</v>
      </c>
      <c r="F1145" t="s">
        <v>25</v>
      </c>
      <c r="G1145" t="s">
        <v>107</v>
      </c>
      <c r="H1145" t="s">
        <v>36</v>
      </c>
      <c r="I1145" t="s">
        <v>37</v>
      </c>
      <c r="J1145" t="s">
        <v>62</v>
      </c>
      <c r="K1145">
        <v>6580</v>
      </c>
      <c r="L1145">
        <v>328</v>
      </c>
      <c r="M1145">
        <v>319.08999999999997</v>
      </c>
      <c r="N1145">
        <v>10</v>
      </c>
      <c r="O1145">
        <v>2351.0300000000002</v>
      </c>
      <c r="P1145">
        <f t="shared" si="68"/>
        <v>4.9848024316109421E-2</v>
      </c>
      <c r="Q1145">
        <f t="shared" si="68"/>
        <v>0.97283536585365848</v>
      </c>
      <c r="R1145">
        <f t="shared" si="69"/>
        <v>31.908999999999999</v>
      </c>
      <c r="S1145">
        <f t="shared" si="70"/>
        <v>7.3679212761289934</v>
      </c>
      <c r="T1145">
        <f t="shared" si="71"/>
        <v>3.048780487804878E-2</v>
      </c>
      <c r="U1145" t="str">
        <f>YEAR('Campaign Data'!$A1145)&amp;"-"&amp;TEXT(MONTH('Campaign Data'!$A1145),"00")</f>
        <v>2026-03</v>
      </c>
    </row>
    <row r="1146" spans="1:21" x14ac:dyDescent="0.25">
      <c r="A1146">
        <v>46085</v>
      </c>
      <c r="B1146" t="s">
        <v>157</v>
      </c>
      <c r="C1146" t="s">
        <v>158</v>
      </c>
      <c r="D1146" t="s">
        <v>58</v>
      </c>
      <c r="E1146" t="s">
        <v>49</v>
      </c>
      <c r="F1146" t="s">
        <v>81</v>
      </c>
      <c r="G1146" t="s">
        <v>50</v>
      </c>
      <c r="H1146" t="s">
        <v>27</v>
      </c>
      <c r="I1146" t="s">
        <v>28</v>
      </c>
      <c r="J1146" t="s">
        <v>87</v>
      </c>
      <c r="K1146">
        <v>9170</v>
      </c>
      <c r="L1146">
        <v>467</v>
      </c>
      <c r="M1146">
        <v>984.68</v>
      </c>
      <c r="N1146">
        <v>28</v>
      </c>
      <c r="O1146">
        <v>497.89</v>
      </c>
      <c r="P1146">
        <f t="shared" si="68"/>
        <v>5.0926935659760086E-2</v>
      </c>
      <c r="Q1146">
        <f t="shared" si="68"/>
        <v>2.1085224839400429</v>
      </c>
      <c r="R1146">
        <f t="shared" si="69"/>
        <v>35.167142857142856</v>
      </c>
      <c r="S1146">
        <f t="shared" si="70"/>
        <v>0.50563634886460573</v>
      </c>
      <c r="T1146">
        <f t="shared" si="71"/>
        <v>5.9957173447537475E-2</v>
      </c>
      <c r="U1146" t="str">
        <f>YEAR('Campaign Data'!$A1146)&amp;"-"&amp;TEXT(MONTH('Campaign Data'!$A1146),"00")</f>
        <v>2026-03</v>
      </c>
    </row>
    <row r="1147" spans="1:21" x14ac:dyDescent="0.25">
      <c r="A1147">
        <v>46085</v>
      </c>
      <c r="B1147" t="s">
        <v>141</v>
      </c>
      <c r="C1147" t="s">
        <v>142</v>
      </c>
      <c r="D1147" t="s">
        <v>80</v>
      </c>
      <c r="E1147" t="s">
        <v>49</v>
      </c>
      <c r="F1147" t="s">
        <v>81</v>
      </c>
      <c r="G1147" t="s">
        <v>97</v>
      </c>
      <c r="H1147" t="s">
        <v>27</v>
      </c>
      <c r="I1147" t="s">
        <v>28</v>
      </c>
      <c r="J1147" t="s">
        <v>62</v>
      </c>
      <c r="K1147">
        <v>5209</v>
      </c>
      <c r="L1147">
        <v>216</v>
      </c>
      <c r="M1147">
        <v>366.6</v>
      </c>
      <c r="N1147">
        <v>15</v>
      </c>
      <c r="O1147">
        <v>104.41</v>
      </c>
      <c r="P1147">
        <f t="shared" si="68"/>
        <v>4.1466692263390288E-2</v>
      </c>
      <c r="Q1147">
        <f t="shared" si="68"/>
        <v>1.6972222222222224</v>
      </c>
      <c r="R1147">
        <f t="shared" si="69"/>
        <v>24.44</v>
      </c>
      <c r="S1147">
        <f t="shared" si="70"/>
        <v>0.28480632842334969</v>
      </c>
      <c r="T1147">
        <f t="shared" si="71"/>
        <v>6.9444444444444448E-2</v>
      </c>
      <c r="U1147" t="str">
        <f>YEAR('Campaign Data'!$A1147)&amp;"-"&amp;TEXT(MONTH('Campaign Data'!$A1147),"00")</f>
        <v>2026-03</v>
      </c>
    </row>
    <row r="1148" spans="1:21" x14ac:dyDescent="0.25">
      <c r="A1148">
        <v>46085</v>
      </c>
      <c r="B1148" t="s">
        <v>143</v>
      </c>
      <c r="C1148" t="s">
        <v>144</v>
      </c>
      <c r="D1148" t="s">
        <v>48</v>
      </c>
      <c r="E1148" t="s">
        <v>42</v>
      </c>
      <c r="F1148" t="s">
        <v>25</v>
      </c>
      <c r="G1148" t="s">
        <v>84</v>
      </c>
      <c r="H1148" t="s">
        <v>36</v>
      </c>
      <c r="I1148" t="s">
        <v>37</v>
      </c>
      <c r="J1148" t="s">
        <v>87</v>
      </c>
      <c r="K1148">
        <v>20187</v>
      </c>
      <c r="L1148">
        <v>158</v>
      </c>
      <c r="M1148">
        <v>847.22</v>
      </c>
      <c r="N1148">
        <v>4</v>
      </c>
      <c r="O1148">
        <v>809.4</v>
      </c>
      <c r="P1148">
        <f t="shared" si="68"/>
        <v>7.8268192401050179E-3</v>
      </c>
      <c r="Q1148">
        <f t="shared" si="68"/>
        <v>5.3621518987341776</v>
      </c>
      <c r="R1148">
        <f t="shared" si="69"/>
        <v>211.80500000000001</v>
      </c>
      <c r="S1148">
        <f t="shared" si="70"/>
        <v>0.95535988291116825</v>
      </c>
      <c r="T1148">
        <f t="shared" si="71"/>
        <v>2.5316455696202531E-2</v>
      </c>
      <c r="U1148" t="str">
        <f>YEAR('Campaign Data'!$A1148)&amp;"-"&amp;TEXT(MONTH('Campaign Data'!$A1148),"00")</f>
        <v>2026-03</v>
      </c>
    </row>
    <row r="1149" spans="1:21" x14ac:dyDescent="0.25">
      <c r="A1149">
        <v>46085</v>
      </c>
      <c r="B1149" t="s">
        <v>183</v>
      </c>
      <c r="C1149" t="s">
        <v>184</v>
      </c>
      <c r="D1149" t="s">
        <v>23</v>
      </c>
      <c r="E1149" t="s">
        <v>24</v>
      </c>
      <c r="F1149" t="s">
        <v>81</v>
      </c>
      <c r="G1149" t="s">
        <v>185</v>
      </c>
      <c r="H1149" t="s">
        <v>60</v>
      </c>
      <c r="I1149" t="s">
        <v>37</v>
      </c>
      <c r="J1149" t="s">
        <v>29</v>
      </c>
      <c r="K1149">
        <v>12149</v>
      </c>
      <c r="L1149">
        <v>170</v>
      </c>
      <c r="M1149">
        <v>183.78</v>
      </c>
      <c r="N1149">
        <v>10</v>
      </c>
      <c r="O1149">
        <v>145.87</v>
      </c>
      <c r="P1149">
        <f t="shared" si="68"/>
        <v>1.3992921228084616E-2</v>
      </c>
      <c r="Q1149">
        <f t="shared" si="68"/>
        <v>1.0810588235294118</v>
      </c>
      <c r="R1149">
        <f t="shared" si="69"/>
        <v>18.378</v>
      </c>
      <c r="S1149">
        <f t="shared" si="70"/>
        <v>0.79372075307432799</v>
      </c>
      <c r="T1149">
        <f t="shared" si="71"/>
        <v>5.8823529411764705E-2</v>
      </c>
      <c r="U1149" t="str">
        <f>YEAR('Campaign Data'!$A1149)&amp;"-"&amp;TEXT(MONTH('Campaign Data'!$A1149),"00")</f>
        <v>2026-03</v>
      </c>
    </row>
    <row r="1150" spans="1:21" x14ac:dyDescent="0.25">
      <c r="A1150">
        <v>46085</v>
      </c>
      <c r="B1150" t="s">
        <v>116</v>
      </c>
      <c r="C1150" t="s">
        <v>117</v>
      </c>
      <c r="D1150" t="s">
        <v>48</v>
      </c>
      <c r="E1150" t="s">
        <v>24</v>
      </c>
      <c r="F1150" t="s">
        <v>43</v>
      </c>
      <c r="G1150" t="s">
        <v>26</v>
      </c>
      <c r="H1150" t="s">
        <v>51</v>
      </c>
      <c r="I1150" t="s">
        <v>28</v>
      </c>
      <c r="J1150" t="s">
        <v>29</v>
      </c>
      <c r="K1150">
        <v>2431</v>
      </c>
      <c r="L1150">
        <v>45</v>
      </c>
      <c r="M1150">
        <v>44.43</v>
      </c>
      <c r="N1150">
        <v>2</v>
      </c>
      <c r="O1150">
        <v>36.049999999999997</v>
      </c>
      <c r="P1150">
        <f t="shared" si="68"/>
        <v>1.851090086384204E-2</v>
      </c>
      <c r="Q1150">
        <f t="shared" si="68"/>
        <v>0.98733333333333329</v>
      </c>
      <c r="R1150">
        <f t="shared" si="69"/>
        <v>22.215</v>
      </c>
      <c r="S1150">
        <f t="shared" si="70"/>
        <v>0.81138870132793151</v>
      </c>
      <c r="T1150">
        <f t="shared" si="71"/>
        <v>4.4444444444444446E-2</v>
      </c>
      <c r="U1150" t="str">
        <f>YEAR('Campaign Data'!$A1150)&amp;"-"&amp;TEXT(MONTH('Campaign Data'!$A1150),"00")</f>
        <v>2026-03</v>
      </c>
    </row>
    <row r="1151" spans="1:21" x14ac:dyDescent="0.25">
      <c r="A1151">
        <v>46085</v>
      </c>
      <c r="B1151" t="s">
        <v>145</v>
      </c>
      <c r="C1151" t="s">
        <v>146</v>
      </c>
      <c r="D1151" t="s">
        <v>41</v>
      </c>
      <c r="E1151" t="s">
        <v>49</v>
      </c>
      <c r="F1151" t="s">
        <v>75</v>
      </c>
      <c r="G1151" t="s">
        <v>70</v>
      </c>
      <c r="H1151" t="s">
        <v>55</v>
      </c>
      <c r="I1151" t="s">
        <v>28</v>
      </c>
      <c r="J1151" t="s">
        <v>45</v>
      </c>
      <c r="K1151">
        <v>16600</v>
      </c>
      <c r="L1151">
        <v>957</v>
      </c>
      <c r="M1151">
        <v>1505.34</v>
      </c>
      <c r="N1151">
        <v>32</v>
      </c>
      <c r="O1151">
        <v>990.11</v>
      </c>
      <c r="P1151">
        <f t="shared" si="68"/>
        <v>5.7650602409638554E-2</v>
      </c>
      <c r="Q1151">
        <f t="shared" si="68"/>
        <v>1.5729780564263323</v>
      </c>
      <c r="R1151">
        <f t="shared" si="69"/>
        <v>47.041874999999997</v>
      </c>
      <c r="S1151">
        <f t="shared" si="70"/>
        <v>0.65773180809650977</v>
      </c>
      <c r="T1151">
        <f t="shared" si="71"/>
        <v>3.343782654127482E-2</v>
      </c>
      <c r="U1151" t="str">
        <f>YEAR('Campaign Data'!$A1151)&amp;"-"&amp;TEXT(MONTH('Campaign Data'!$A1151),"00")</f>
        <v>2026-03</v>
      </c>
    </row>
    <row r="1152" spans="1:21" x14ac:dyDescent="0.25">
      <c r="A1152">
        <v>46086</v>
      </c>
      <c r="B1152" t="s">
        <v>165</v>
      </c>
      <c r="C1152" t="s">
        <v>166</v>
      </c>
      <c r="D1152" t="s">
        <v>41</v>
      </c>
      <c r="E1152" t="s">
        <v>33</v>
      </c>
      <c r="F1152" t="s">
        <v>43</v>
      </c>
      <c r="G1152" t="s">
        <v>59</v>
      </c>
      <c r="H1152" t="s">
        <v>51</v>
      </c>
      <c r="I1152" t="s">
        <v>28</v>
      </c>
      <c r="J1152" t="s">
        <v>38</v>
      </c>
      <c r="K1152">
        <v>17953</v>
      </c>
      <c r="L1152">
        <v>295</v>
      </c>
      <c r="M1152">
        <v>180.96</v>
      </c>
      <c r="N1152">
        <v>4</v>
      </c>
      <c r="O1152">
        <v>101.15</v>
      </c>
      <c r="P1152">
        <f t="shared" si="68"/>
        <v>1.6431794129114913E-2</v>
      </c>
      <c r="Q1152">
        <f t="shared" si="68"/>
        <v>0.61342372881355933</v>
      </c>
      <c r="R1152">
        <f t="shared" si="69"/>
        <v>45.24</v>
      </c>
      <c r="S1152">
        <f t="shared" si="70"/>
        <v>0.55896330680813444</v>
      </c>
      <c r="T1152">
        <f t="shared" si="71"/>
        <v>1.3559322033898305E-2</v>
      </c>
      <c r="U1152" t="str">
        <f>YEAR('Campaign Data'!$A1152)&amp;"-"&amp;TEXT(MONTH('Campaign Data'!$A1152),"00")</f>
        <v>2026-03</v>
      </c>
    </row>
    <row r="1153" spans="1:21" x14ac:dyDescent="0.25">
      <c r="A1153">
        <v>46086</v>
      </c>
      <c r="B1153" t="s">
        <v>85</v>
      </c>
      <c r="C1153" t="s">
        <v>86</v>
      </c>
      <c r="D1153" t="s">
        <v>80</v>
      </c>
      <c r="E1153" t="s">
        <v>33</v>
      </c>
      <c r="F1153" t="s">
        <v>43</v>
      </c>
      <c r="G1153" t="s">
        <v>35</v>
      </c>
      <c r="H1153" t="s">
        <v>27</v>
      </c>
      <c r="I1153" t="s">
        <v>37</v>
      </c>
      <c r="J1153" t="s">
        <v>38</v>
      </c>
      <c r="K1153">
        <v>10327</v>
      </c>
      <c r="L1153">
        <v>97</v>
      </c>
      <c r="M1153">
        <v>70.23</v>
      </c>
      <c r="N1153">
        <v>1</v>
      </c>
      <c r="O1153">
        <v>41.32</v>
      </c>
      <c r="P1153">
        <f t="shared" si="68"/>
        <v>9.3928536845163165E-3</v>
      </c>
      <c r="Q1153">
        <f t="shared" si="68"/>
        <v>0.72402061855670108</v>
      </c>
      <c r="R1153">
        <f t="shared" si="69"/>
        <v>70.23</v>
      </c>
      <c r="S1153">
        <f t="shared" si="70"/>
        <v>0.58835255588779722</v>
      </c>
      <c r="T1153">
        <f t="shared" si="71"/>
        <v>1.0309278350515464E-2</v>
      </c>
      <c r="U1153" t="str">
        <f>YEAR('Campaign Data'!$A1153)&amp;"-"&amp;TEXT(MONTH('Campaign Data'!$A1153),"00")</f>
        <v>2026-03</v>
      </c>
    </row>
    <row r="1154" spans="1:21" x14ac:dyDescent="0.25">
      <c r="A1154">
        <v>46086</v>
      </c>
      <c r="B1154" t="s">
        <v>167</v>
      </c>
      <c r="C1154" t="s">
        <v>168</v>
      </c>
      <c r="D1154" t="s">
        <v>58</v>
      </c>
      <c r="E1154" t="s">
        <v>33</v>
      </c>
      <c r="F1154" t="s">
        <v>75</v>
      </c>
      <c r="G1154" t="s">
        <v>35</v>
      </c>
      <c r="H1154" t="s">
        <v>60</v>
      </c>
      <c r="I1154" t="s">
        <v>37</v>
      </c>
      <c r="J1154" t="s">
        <v>29</v>
      </c>
      <c r="K1154">
        <v>9161</v>
      </c>
      <c r="L1154">
        <v>37</v>
      </c>
      <c r="M1154">
        <v>24.79</v>
      </c>
      <c r="N1154">
        <v>0</v>
      </c>
      <c r="O1154">
        <v>0</v>
      </c>
      <c r="P1154">
        <f t="shared" ref="P1154:Q1217" si="72">IF(K1154=0,0,L1154/K1154)</f>
        <v>4.0388603864206967E-3</v>
      </c>
      <c r="Q1154">
        <f t="shared" si="72"/>
        <v>0.66999999999999993</v>
      </c>
      <c r="R1154">
        <f t="shared" ref="R1154:R1217" si="73">IF(N1154=0,0,M1154/N1154)</f>
        <v>0</v>
      </c>
      <c r="S1154">
        <f t="shared" ref="S1154:S1217" si="74">IF(M1154=0,0,O1154/M1154)</f>
        <v>0</v>
      </c>
      <c r="T1154">
        <f t="shared" ref="T1154:T1217" si="75">IF(L1154=0,0,N1154/L1154)</f>
        <v>0</v>
      </c>
      <c r="U1154" t="str">
        <f>YEAR('Campaign Data'!$A1154)&amp;"-"&amp;TEXT(MONTH('Campaign Data'!$A1154),"00")</f>
        <v>2026-03</v>
      </c>
    </row>
    <row r="1155" spans="1:21" x14ac:dyDescent="0.25">
      <c r="A1155">
        <v>46086</v>
      </c>
      <c r="B1155" t="s">
        <v>149</v>
      </c>
      <c r="C1155" t="s">
        <v>150</v>
      </c>
      <c r="D1155" t="s">
        <v>65</v>
      </c>
      <c r="E1155" t="s">
        <v>33</v>
      </c>
      <c r="F1155" t="s">
        <v>43</v>
      </c>
      <c r="G1155" t="s">
        <v>59</v>
      </c>
      <c r="H1155" t="s">
        <v>36</v>
      </c>
      <c r="I1155" t="s">
        <v>37</v>
      </c>
      <c r="J1155" t="s">
        <v>38</v>
      </c>
      <c r="K1155">
        <v>14618</v>
      </c>
      <c r="L1155">
        <v>163</v>
      </c>
      <c r="M1155">
        <v>106.14</v>
      </c>
      <c r="N1155">
        <v>1</v>
      </c>
      <c r="O1155">
        <v>27.83</v>
      </c>
      <c r="P1155">
        <f t="shared" si="72"/>
        <v>1.115063620194281E-2</v>
      </c>
      <c r="Q1155">
        <f t="shared" si="72"/>
        <v>0.65116564417177913</v>
      </c>
      <c r="R1155">
        <f t="shared" si="73"/>
        <v>106.14</v>
      </c>
      <c r="S1155">
        <f t="shared" si="74"/>
        <v>0.26220086677972487</v>
      </c>
      <c r="T1155">
        <f t="shared" si="75"/>
        <v>6.1349693251533744E-3</v>
      </c>
      <c r="U1155" t="str">
        <f>YEAR('Campaign Data'!$A1155)&amp;"-"&amp;TEXT(MONTH('Campaign Data'!$A1155),"00")</f>
        <v>2026-03</v>
      </c>
    </row>
    <row r="1156" spans="1:21" x14ac:dyDescent="0.25">
      <c r="A1156">
        <v>46086</v>
      </c>
      <c r="B1156" t="s">
        <v>186</v>
      </c>
      <c r="C1156" t="s">
        <v>187</v>
      </c>
      <c r="D1156" t="s">
        <v>80</v>
      </c>
      <c r="E1156" t="s">
        <v>33</v>
      </c>
      <c r="F1156" t="s">
        <v>43</v>
      </c>
      <c r="G1156" t="s">
        <v>102</v>
      </c>
      <c r="H1156" t="s">
        <v>60</v>
      </c>
      <c r="I1156" t="s">
        <v>28</v>
      </c>
      <c r="J1156" t="s">
        <v>29</v>
      </c>
      <c r="K1156">
        <v>11257</v>
      </c>
      <c r="L1156">
        <v>91</v>
      </c>
      <c r="M1156">
        <v>44.58</v>
      </c>
      <c r="N1156">
        <v>2</v>
      </c>
      <c r="O1156">
        <v>57.91</v>
      </c>
      <c r="P1156">
        <f t="shared" si="72"/>
        <v>8.0838589322199516E-3</v>
      </c>
      <c r="Q1156">
        <f t="shared" si="72"/>
        <v>0.48989010989010989</v>
      </c>
      <c r="R1156">
        <f t="shared" si="73"/>
        <v>22.29</v>
      </c>
      <c r="S1156">
        <f t="shared" si="74"/>
        <v>1.2990130103185284</v>
      </c>
      <c r="T1156">
        <f t="shared" si="75"/>
        <v>2.197802197802198E-2</v>
      </c>
      <c r="U1156" t="str">
        <f>YEAR('Campaign Data'!$A1156)&amp;"-"&amp;TEXT(MONTH('Campaign Data'!$A1156),"00")</f>
        <v>2026-03</v>
      </c>
    </row>
    <row r="1157" spans="1:21" x14ac:dyDescent="0.25">
      <c r="A1157">
        <v>46086</v>
      </c>
      <c r="B1157" t="s">
        <v>186</v>
      </c>
      <c r="C1157" t="s">
        <v>187</v>
      </c>
      <c r="D1157" t="s">
        <v>80</v>
      </c>
      <c r="E1157" t="s">
        <v>33</v>
      </c>
      <c r="F1157" t="s">
        <v>43</v>
      </c>
      <c r="G1157" t="s">
        <v>102</v>
      </c>
      <c r="H1157" t="s">
        <v>27</v>
      </c>
      <c r="I1157" t="s">
        <v>37</v>
      </c>
      <c r="J1157" t="s">
        <v>29</v>
      </c>
      <c r="K1157">
        <v>11155</v>
      </c>
      <c r="L1157">
        <v>53</v>
      </c>
      <c r="M1157">
        <v>45.42</v>
      </c>
      <c r="N1157">
        <v>0</v>
      </c>
      <c r="O1157">
        <v>0</v>
      </c>
      <c r="P1157">
        <f t="shared" si="72"/>
        <v>4.7512326311071268E-3</v>
      </c>
      <c r="Q1157">
        <f t="shared" si="72"/>
        <v>0.85698113207547177</v>
      </c>
      <c r="R1157">
        <f t="shared" si="73"/>
        <v>0</v>
      </c>
      <c r="S1157">
        <f t="shared" si="74"/>
        <v>0</v>
      </c>
      <c r="T1157">
        <f t="shared" si="75"/>
        <v>0</v>
      </c>
      <c r="U1157" t="str">
        <f>YEAR('Campaign Data'!$A1157)&amp;"-"&amp;TEXT(MONTH('Campaign Data'!$A1157),"00")</f>
        <v>2026-03</v>
      </c>
    </row>
    <row r="1158" spans="1:21" x14ac:dyDescent="0.25">
      <c r="A1158">
        <v>46086</v>
      </c>
      <c r="B1158" t="s">
        <v>30</v>
      </c>
      <c r="C1158" t="s">
        <v>31</v>
      </c>
      <c r="D1158" t="s">
        <v>32</v>
      </c>
      <c r="E1158" t="s">
        <v>33</v>
      </c>
      <c r="F1158" t="s">
        <v>34</v>
      </c>
      <c r="G1158" t="s">
        <v>35</v>
      </c>
      <c r="H1158" t="s">
        <v>60</v>
      </c>
      <c r="I1158" t="s">
        <v>28</v>
      </c>
      <c r="J1158" t="s">
        <v>62</v>
      </c>
      <c r="K1158">
        <v>3497</v>
      </c>
      <c r="L1158">
        <v>15</v>
      </c>
      <c r="M1158">
        <v>12.02</v>
      </c>
      <c r="N1158">
        <v>0</v>
      </c>
      <c r="O1158">
        <v>0</v>
      </c>
      <c r="P1158">
        <f t="shared" si="72"/>
        <v>4.2893909064912784E-3</v>
      </c>
      <c r="Q1158">
        <f t="shared" si="72"/>
        <v>0.80133333333333334</v>
      </c>
      <c r="R1158">
        <f t="shared" si="73"/>
        <v>0</v>
      </c>
      <c r="S1158">
        <f t="shared" si="74"/>
        <v>0</v>
      </c>
      <c r="T1158">
        <f t="shared" si="75"/>
        <v>0</v>
      </c>
      <c r="U1158" t="str">
        <f>YEAR('Campaign Data'!$A1158)&amp;"-"&amp;TEXT(MONTH('Campaign Data'!$A1158),"00")</f>
        <v>2026-03</v>
      </c>
    </row>
    <row r="1159" spans="1:21" x14ac:dyDescent="0.25">
      <c r="A1159">
        <v>46086</v>
      </c>
      <c r="B1159" t="s">
        <v>127</v>
      </c>
      <c r="C1159" t="s">
        <v>128</v>
      </c>
      <c r="D1159" t="s">
        <v>58</v>
      </c>
      <c r="E1159" t="s">
        <v>24</v>
      </c>
      <c r="F1159" t="s">
        <v>81</v>
      </c>
      <c r="G1159" t="s">
        <v>129</v>
      </c>
      <c r="H1159" t="s">
        <v>36</v>
      </c>
      <c r="I1159" t="s">
        <v>37</v>
      </c>
      <c r="J1159" t="s">
        <v>38</v>
      </c>
      <c r="K1159">
        <v>4492</v>
      </c>
      <c r="L1159">
        <v>55</v>
      </c>
      <c r="M1159">
        <v>40.68</v>
      </c>
      <c r="N1159">
        <v>2</v>
      </c>
      <c r="O1159">
        <v>46.74</v>
      </c>
      <c r="P1159">
        <f t="shared" si="72"/>
        <v>1.2243989314336599E-2</v>
      </c>
      <c r="Q1159">
        <f t="shared" si="72"/>
        <v>0.73963636363636365</v>
      </c>
      <c r="R1159">
        <f t="shared" si="73"/>
        <v>20.34</v>
      </c>
      <c r="S1159">
        <f t="shared" si="74"/>
        <v>1.1489675516224189</v>
      </c>
      <c r="T1159">
        <f t="shared" si="75"/>
        <v>3.6363636363636362E-2</v>
      </c>
      <c r="U1159" t="str">
        <f>YEAR('Campaign Data'!$A1159)&amp;"-"&amp;TEXT(MONTH('Campaign Data'!$A1159),"00")</f>
        <v>2026-03</v>
      </c>
    </row>
    <row r="1160" spans="1:21" x14ac:dyDescent="0.25">
      <c r="A1160">
        <v>46086</v>
      </c>
      <c r="B1160" t="s">
        <v>108</v>
      </c>
      <c r="C1160" t="s">
        <v>109</v>
      </c>
      <c r="D1160" t="s">
        <v>58</v>
      </c>
      <c r="E1160" t="s">
        <v>33</v>
      </c>
      <c r="F1160" t="s">
        <v>43</v>
      </c>
      <c r="G1160" t="s">
        <v>59</v>
      </c>
      <c r="H1160" t="s">
        <v>27</v>
      </c>
      <c r="I1160" t="s">
        <v>37</v>
      </c>
      <c r="J1160" t="s">
        <v>29</v>
      </c>
      <c r="K1160">
        <v>12107</v>
      </c>
      <c r="L1160">
        <v>161</v>
      </c>
      <c r="M1160">
        <v>91.14</v>
      </c>
      <c r="N1160">
        <v>1</v>
      </c>
      <c r="O1160">
        <v>17.440000000000001</v>
      </c>
      <c r="P1160">
        <f t="shared" si="72"/>
        <v>1.3298092012885107E-2</v>
      </c>
      <c r="Q1160">
        <f t="shared" si="72"/>
        <v>0.56608695652173913</v>
      </c>
      <c r="R1160">
        <f t="shared" si="73"/>
        <v>91.14</v>
      </c>
      <c r="S1160">
        <f t="shared" si="74"/>
        <v>0.19135396093921442</v>
      </c>
      <c r="T1160">
        <f t="shared" si="75"/>
        <v>6.2111801242236021E-3</v>
      </c>
      <c r="U1160" t="str">
        <f>YEAR('Campaign Data'!$A1160)&amp;"-"&amp;TEXT(MONTH('Campaign Data'!$A1160),"00")</f>
        <v>2026-03</v>
      </c>
    </row>
    <row r="1161" spans="1:21" x14ac:dyDescent="0.25">
      <c r="A1161">
        <v>46086</v>
      </c>
      <c r="B1161" t="s">
        <v>177</v>
      </c>
      <c r="C1161" t="s">
        <v>178</v>
      </c>
      <c r="D1161" t="s">
        <v>41</v>
      </c>
      <c r="E1161" t="s">
        <v>49</v>
      </c>
      <c r="F1161" t="s">
        <v>34</v>
      </c>
      <c r="G1161" t="s">
        <v>107</v>
      </c>
      <c r="H1161" t="s">
        <v>90</v>
      </c>
      <c r="I1161" t="s">
        <v>37</v>
      </c>
      <c r="J1161" t="s">
        <v>38</v>
      </c>
      <c r="K1161">
        <v>5542</v>
      </c>
      <c r="L1161">
        <v>192</v>
      </c>
      <c r="M1161">
        <v>81.91</v>
      </c>
      <c r="N1161">
        <v>6</v>
      </c>
      <c r="O1161">
        <v>289.82</v>
      </c>
      <c r="P1161">
        <f t="shared" si="72"/>
        <v>3.4644532659689642E-2</v>
      </c>
      <c r="Q1161">
        <f t="shared" si="72"/>
        <v>0.4266145833333333</v>
      </c>
      <c r="R1161">
        <f t="shared" si="73"/>
        <v>13.651666666666666</v>
      </c>
      <c r="S1161">
        <f t="shared" si="74"/>
        <v>3.5382737150531072</v>
      </c>
      <c r="T1161">
        <f t="shared" si="75"/>
        <v>3.125E-2</v>
      </c>
      <c r="U1161" t="str">
        <f>YEAR('Campaign Data'!$A1161)&amp;"-"&amp;TEXT(MONTH('Campaign Data'!$A1161),"00")</f>
        <v>2026-03</v>
      </c>
    </row>
    <row r="1162" spans="1:21" x14ac:dyDescent="0.25">
      <c r="A1162">
        <v>46086</v>
      </c>
      <c r="B1162" t="s">
        <v>141</v>
      </c>
      <c r="C1162" t="s">
        <v>142</v>
      </c>
      <c r="D1162" t="s">
        <v>80</v>
      </c>
      <c r="E1162" t="s">
        <v>49</v>
      </c>
      <c r="F1162" t="s">
        <v>81</v>
      </c>
      <c r="G1162" t="s">
        <v>97</v>
      </c>
      <c r="H1162" t="s">
        <v>90</v>
      </c>
      <c r="I1162" t="s">
        <v>37</v>
      </c>
      <c r="J1162" t="s">
        <v>38</v>
      </c>
      <c r="K1162">
        <v>4544</v>
      </c>
      <c r="L1162">
        <v>122</v>
      </c>
      <c r="M1162">
        <v>62.42</v>
      </c>
      <c r="N1162">
        <v>4</v>
      </c>
      <c r="O1162">
        <v>22.18</v>
      </c>
      <c r="P1162">
        <f t="shared" si="72"/>
        <v>2.6848591549295774E-2</v>
      </c>
      <c r="Q1162">
        <f t="shared" si="72"/>
        <v>0.51163934426229507</v>
      </c>
      <c r="R1162">
        <f t="shared" si="73"/>
        <v>15.605</v>
      </c>
      <c r="S1162">
        <f t="shared" si="74"/>
        <v>0.35533482858058313</v>
      </c>
      <c r="T1162">
        <f t="shared" si="75"/>
        <v>3.2786885245901641E-2</v>
      </c>
      <c r="U1162" t="str">
        <f>YEAR('Campaign Data'!$A1162)&amp;"-"&amp;TEXT(MONTH('Campaign Data'!$A1162),"00")</f>
        <v>2026-03</v>
      </c>
    </row>
    <row r="1163" spans="1:21" x14ac:dyDescent="0.25">
      <c r="A1163">
        <v>46086</v>
      </c>
      <c r="B1163" t="s">
        <v>163</v>
      </c>
      <c r="C1163" t="s">
        <v>164</v>
      </c>
      <c r="D1163" t="s">
        <v>58</v>
      </c>
      <c r="E1163" t="s">
        <v>42</v>
      </c>
      <c r="F1163" t="s">
        <v>43</v>
      </c>
      <c r="G1163" t="s">
        <v>44</v>
      </c>
      <c r="H1163" t="s">
        <v>71</v>
      </c>
      <c r="I1163" t="s">
        <v>37</v>
      </c>
      <c r="J1163" t="s">
        <v>87</v>
      </c>
      <c r="K1163">
        <v>17310</v>
      </c>
      <c r="L1163">
        <v>142</v>
      </c>
      <c r="M1163">
        <v>918.98</v>
      </c>
      <c r="N1163">
        <v>4</v>
      </c>
      <c r="O1163">
        <v>51.36</v>
      </c>
      <c r="P1163">
        <f t="shared" si="72"/>
        <v>8.2033506643558636E-3</v>
      </c>
      <c r="Q1163">
        <f t="shared" si="72"/>
        <v>6.4716901408450704</v>
      </c>
      <c r="R1163">
        <f t="shared" si="73"/>
        <v>229.745</v>
      </c>
      <c r="S1163">
        <f t="shared" si="74"/>
        <v>5.5888049794337195E-2</v>
      </c>
      <c r="T1163">
        <f t="shared" si="75"/>
        <v>2.8169014084507043E-2</v>
      </c>
      <c r="U1163" t="str">
        <f>YEAR('Campaign Data'!$A1163)&amp;"-"&amp;TEXT(MONTH('Campaign Data'!$A1163),"00")</f>
        <v>2026-03</v>
      </c>
    </row>
    <row r="1164" spans="1:21" x14ac:dyDescent="0.25">
      <c r="A1164">
        <v>46086</v>
      </c>
      <c r="B1164" t="s">
        <v>120</v>
      </c>
      <c r="C1164" t="s">
        <v>121</v>
      </c>
      <c r="D1164" t="s">
        <v>23</v>
      </c>
      <c r="E1164" t="s">
        <v>49</v>
      </c>
      <c r="F1164" t="s">
        <v>75</v>
      </c>
      <c r="G1164" t="s">
        <v>70</v>
      </c>
      <c r="H1164" t="s">
        <v>90</v>
      </c>
      <c r="I1164" t="s">
        <v>37</v>
      </c>
      <c r="J1164" t="s">
        <v>45</v>
      </c>
      <c r="K1164">
        <v>4626</v>
      </c>
      <c r="L1164">
        <v>159</v>
      </c>
      <c r="M1164">
        <v>61.09</v>
      </c>
      <c r="N1164">
        <v>4</v>
      </c>
      <c r="O1164">
        <v>20</v>
      </c>
      <c r="P1164">
        <f t="shared" si="72"/>
        <v>3.4370946822308693E-2</v>
      </c>
      <c r="Q1164">
        <f t="shared" si="72"/>
        <v>0.38421383647798746</v>
      </c>
      <c r="R1164">
        <f t="shared" si="73"/>
        <v>15.272500000000001</v>
      </c>
      <c r="S1164">
        <f t="shared" si="74"/>
        <v>0.3273858241938124</v>
      </c>
      <c r="T1164">
        <f t="shared" si="75"/>
        <v>2.5157232704402517E-2</v>
      </c>
      <c r="U1164" t="str">
        <f>YEAR('Campaign Data'!$A1164)&amp;"-"&amp;TEXT(MONTH('Campaign Data'!$A1164),"00")</f>
        <v>2026-03</v>
      </c>
    </row>
    <row r="1165" spans="1:21" x14ac:dyDescent="0.25">
      <c r="A1165">
        <v>46086</v>
      </c>
      <c r="B1165" t="s">
        <v>82</v>
      </c>
      <c r="C1165" t="s">
        <v>83</v>
      </c>
      <c r="D1165" t="s">
        <v>80</v>
      </c>
      <c r="E1165" t="s">
        <v>42</v>
      </c>
      <c r="F1165" t="s">
        <v>34</v>
      </c>
      <c r="G1165" t="s">
        <v>84</v>
      </c>
      <c r="H1165" t="s">
        <v>27</v>
      </c>
      <c r="I1165" t="s">
        <v>28</v>
      </c>
      <c r="J1165" t="s">
        <v>62</v>
      </c>
      <c r="K1165">
        <v>2121</v>
      </c>
      <c r="L1165">
        <v>19</v>
      </c>
      <c r="M1165">
        <v>185.66</v>
      </c>
      <c r="N1165">
        <v>0</v>
      </c>
      <c r="O1165">
        <v>0</v>
      </c>
      <c r="P1165">
        <f t="shared" si="72"/>
        <v>8.9580386610089574E-3</v>
      </c>
      <c r="Q1165">
        <f t="shared" si="72"/>
        <v>9.77157894736842</v>
      </c>
      <c r="R1165">
        <f t="shared" si="73"/>
        <v>0</v>
      </c>
      <c r="S1165">
        <f t="shared" si="74"/>
        <v>0</v>
      </c>
      <c r="T1165">
        <f t="shared" si="75"/>
        <v>0</v>
      </c>
      <c r="U1165" t="str">
        <f>YEAR('Campaign Data'!$A1165)&amp;"-"&amp;TEXT(MONTH('Campaign Data'!$A1165),"00")</f>
        <v>2026-03</v>
      </c>
    </row>
    <row r="1166" spans="1:21" x14ac:dyDescent="0.25">
      <c r="A1166">
        <v>46086</v>
      </c>
      <c r="B1166" t="s">
        <v>82</v>
      </c>
      <c r="C1166" t="s">
        <v>83</v>
      </c>
      <c r="D1166" t="s">
        <v>80</v>
      </c>
      <c r="E1166" t="s">
        <v>42</v>
      </c>
      <c r="F1166" t="s">
        <v>34</v>
      </c>
      <c r="G1166" t="s">
        <v>84</v>
      </c>
      <c r="H1166" t="s">
        <v>51</v>
      </c>
      <c r="I1166" t="s">
        <v>37</v>
      </c>
      <c r="J1166" t="s">
        <v>38</v>
      </c>
      <c r="K1166">
        <v>16980</v>
      </c>
      <c r="L1166">
        <v>62</v>
      </c>
      <c r="M1166">
        <v>506.71</v>
      </c>
      <c r="N1166">
        <v>5</v>
      </c>
      <c r="O1166">
        <v>549.34</v>
      </c>
      <c r="P1166">
        <f t="shared" si="72"/>
        <v>3.6513545347467611E-3</v>
      </c>
      <c r="Q1166">
        <f t="shared" si="72"/>
        <v>8.1727419354838702</v>
      </c>
      <c r="R1166">
        <f t="shared" si="73"/>
        <v>101.342</v>
      </c>
      <c r="S1166">
        <f t="shared" si="74"/>
        <v>1.0841309624834718</v>
      </c>
      <c r="T1166">
        <f t="shared" si="75"/>
        <v>8.0645161290322578E-2</v>
      </c>
      <c r="U1166" t="str">
        <f>YEAR('Campaign Data'!$A1166)&amp;"-"&amp;TEXT(MONTH('Campaign Data'!$A1166),"00")</f>
        <v>2026-03</v>
      </c>
    </row>
    <row r="1167" spans="1:21" x14ac:dyDescent="0.25">
      <c r="A1167">
        <v>46087</v>
      </c>
      <c r="B1167" t="s">
        <v>165</v>
      </c>
      <c r="C1167" t="s">
        <v>166</v>
      </c>
      <c r="D1167" t="s">
        <v>41</v>
      </c>
      <c r="E1167" t="s">
        <v>33</v>
      </c>
      <c r="F1167" t="s">
        <v>43</v>
      </c>
      <c r="G1167" t="s">
        <v>59</v>
      </c>
      <c r="H1167" t="s">
        <v>55</v>
      </c>
      <c r="I1167" t="s">
        <v>37</v>
      </c>
      <c r="J1167" t="s">
        <v>62</v>
      </c>
      <c r="K1167">
        <v>4804</v>
      </c>
      <c r="L1167">
        <v>59</v>
      </c>
      <c r="M1167">
        <v>24.25</v>
      </c>
      <c r="N1167">
        <v>3</v>
      </c>
      <c r="O1167">
        <v>55.7</v>
      </c>
      <c r="P1167">
        <f t="shared" si="72"/>
        <v>1.2281432139883431E-2</v>
      </c>
      <c r="Q1167">
        <f t="shared" si="72"/>
        <v>0.41101694915254239</v>
      </c>
      <c r="R1167">
        <f t="shared" si="73"/>
        <v>8.0833333333333339</v>
      </c>
      <c r="S1167">
        <f t="shared" si="74"/>
        <v>2.2969072164948456</v>
      </c>
      <c r="T1167">
        <f t="shared" si="75"/>
        <v>5.0847457627118647E-2</v>
      </c>
      <c r="U1167" t="str">
        <f>YEAR('Campaign Data'!$A1167)&amp;"-"&amp;TEXT(MONTH('Campaign Data'!$A1167),"00")</f>
        <v>2026-03</v>
      </c>
    </row>
    <row r="1168" spans="1:21" x14ac:dyDescent="0.25">
      <c r="A1168">
        <v>46087</v>
      </c>
      <c r="B1168" t="s">
        <v>85</v>
      </c>
      <c r="C1168" t="s">
        <v>86</v>
      </c>
      <c r="D1168" t="s">
        <v>80</v>
      </c>
      <c r="E1168" t="s">
        <v>33</v>
      </c>
      <c r="F1168" t="s">
        <v>43</v>
      </c>
      <c r="G1168" t="s">
        <v>35</v>
      </c>
      <c r="H1168" t="s">
        <v>27</v>
      </c>
      <c r="I1168" t="s">
        <v>28</v>
      </c>
      <c r="J1168" t="s">
        <v>38</v>
      </c>
      <c r="K1168">
        <v>4792</v>
      </c>
      <c r="L1168">
        <v>62</v>
      </c>
      <c r="M1168">
        <v>44.92</v>
      </c>
      <c r="N1168">
        <v>1</v>
      </c>
      <c r="O1168">
        <v>30.06</v>
      </c>
      <c r="P1168">
        <f t="shared" si="72"/>
        <v>1.2938230383973289E-2</v>
      </c>
      <c r="Q1168">
        <f t="shared" si="72"/>
        <v>0.72451612903225804</v>
      </c>
      <c r="R1168">
        <f t="shared" si="73"/>
        <v>44.92</v>
      </c>
      <c r="S1168">
        <f t="shared" si="74"/>
        <v>0.66918967052537837</v>
      </c>
      <c r="T1168">
        <f t="shared" si="75"/>
        <v>1.6129032258064516E-2</v>
      </c>
      <c r="U1168" t="str">
        <f>YEAR('Campaign Data'!$A1168)&amp;"-"&amp;TEXT(MONTH('Campaign Data'!$A1168),"00")</f>
        <v>2026-03</v>
      </c>
    </row>
    <row r="1169" spans="1:21" x14ac:dyDescent="0.25">
      <c r="A1169">
        <v>46087</v>
      </c>
      <c r="B1169" t="s">
        <v>21</v>
      </c>
      <c r="C1169" t="s">
        <v>124</v>
      </c>
      <c r="D1169" t="s">
        <v>23</v>
      </c>
      <c r="E1169" t="s">
        <v>24</v>
      </c>
      <c r="F1169" t="s">
        <v>25</v>
      </c>
      <c r="G1169" t="s">
        <v>26</v>
      </c>
      <c r="H1169" t="s">
        <v>55</v>
      </c>
      <c r="I1169" t="s">
        <v>37</v>
      </c>
      <c r="J1169" t="s">
        <v>29</v>
      </c>
      <c r="K1169">
        <v>2558</v>
      </c>
      <c r="L1169">
        <v>41</v>
      </c>
      <c r="M1169">
        <v>38.630000000000003</v>
      </c>
      <c r="N1169">
        <v>1</v>
      </c>
      <c r="O1169">
        <v>126.16</v>
      </c>
      <c r="P1169">
        <f t="shared" si="72"/>
        <v>1.6028146989835811E-2</v>
      </c>
      <c r="Q1169">
        <f t="shared" si="72"/>
        <v>0.94219512195121957</v>
      </c>
      <c r="R1169">
        <f t="shared" si="73"/>
        <v>38.630000000000003</v>
      </c>
      <c r="S1169">
        <f t="shared" si="74"/>
        <v>3.2658555526792643</v>
      </c>
      <c r="T1169">
        <f t="shared" si="75"/>
        <v>2.4390243902439025E-2</v>
      </c>
      <c r="U1169" t="str">
        <f>YEAR('Campaign Data'!$A1169)&amp;"-"&amp;TEXT(MONTH('Campaign Data'!$A1169),"00")</f>
        <v>2026-03</v>
      </c>
    </row>
    <row r="1170" spans="1:21" x14ac:dyDescent="0.25">
      <c r="A1170">
        <v>46087</v>
      </c>
      <c r="B1170" t="s">
        <v>147</v>
      </c>
      <c r="C1170" t="s">
        <v>148</v>
      </c>
      <c r="D1170" t="s">
        <v>23</v>
      </c>
      <c r="E1170" t="s">
        <v>42</v>
      </c>
      <c r="F1170" t="s">
        <v>75</v>
      </c>
      <c r="G1170" t="s">
        <v>44</v>
      </c>
      <c r="H1170" t="s">
        <v>36</v>
      </c>
      <c r="I1170" t="s">
        <v>61</v>
      </c>
      <c r="J1170" t="s">
        <v>38</v>
      </c>
      <c r="K1170">
        <v>21026</v>
      </c>
      <c r="L1170">
        <v>106</v>
      </c>
      <c r="M1170">
        <v>674.34</v>
      </c>
      <c r="N1170">
        <v>5</v>
      </c>
      <c r="O1170">
        <v>100.92</v>
      </c>
      <c r="P1170">
        <f t="shared" si="72"/>
        <v>5.0413773423380577E-3</v>
      </c>
      <c r="Q1170">
        <f t="shared" si="72"/>
        <v>6.3616981132075479</v>
      </c>
      <c r="R1170">
        <f t="shared" si="73"/>
        <v>134.86799999999999</v>
      </c>
      <c r="S1170">
        <f t="shared" si="74"/>
        <v>0.14965744283299226</v>
      </c>
      <c r="T1170">
        <f t="shared" si="75"/>
        <v>4.716981132075472E-2</v>
      </c>
      <c r="U1170" t="str">
        <f>YEAR('Campaign Data'!$A1170)&amp;"-"&amp;TEXT(MONTH('Campaign Data'!$A1170),"00")</f>
        <v>2026-03</v>
      </c>
    </row>
    <row r="1171" spans="1:21" x14ac:dyDescent="0.25">
      <c r="A1171">
        <v>46087</v>
      </c>
      <c r="B1171" t="s">
        <v>125</v>
      </c>
      <c r="C1171" t="s">
        <v>126</v>
      </c>
      <c r="D1171" t="s">
        <v>41</v>
      </c>
      <c r="E1171" t="s">
        <v>42</v>
      </c>
      <c r="F1171" t="s">
        <v>81</v>
      </c>
      <c r="G1171" t="s">
        <v>44</v>
      </c>
      <c r="H1171" t="s">
        <v>27</v>
      </c>
      <c r="I1171" t="s">
        <v>37</v>
      </c>
      <c r="J1171" t="s">
        <v>29</v>
      </c>
      <c r="K1171">
        <v>9678</v>
      </c>
      <c r="L1171">
        <v>54</v>
      </c>
      <c r="M1171">
        <v>284.66000000000003</v>
      </c>
      <c r="N1171">
        <v>2</v>
      </c>
      <c r="O1171">
        <v>79.94</v>
      </c>
      <c r="P1171">
        <f t="shared" si="72"/>
        <v>5.5796652200867944E-3</v>
      </c>
      <c r="Q1171">
        <f t="shared" si="72"/>
        <v>5.2714814814814819</v>
      </c>
      <c r="R1171">
        <f t="shared" si="73"/>
        <v>142.33000000000001</v>
      </c>
      <c r="S1171">
        <f t="shared" si="74"/>
        <v>0.28082624885828705</v>
      </c>
      <c r="T1171">
        <f t="shared" si="75"/>
        <v>3.7037037037037035E-2</v>
      </c>
      <c r="U1171" t="str">
        <f>YEAR('Campaign Data'!$A1171)&amp;"-"&amp;TEXT(MONTH('Campaign Data'!$A1171),"00")</f>
        <v>2026-03</v>
      </c>
    </row>
    <row r="1172" spans="1:21" x14ac:dyDescent="0.25">
      <c r="A1172">
        <v>46087</v>
      </c>
      <c r="B1172" t="s">
        <v>125</v>
      </c>
      <c r="C1172" t="s">
        <v>126</v>
      </c>
      <c r="D1172" t="s">
        <v>41</v>
      </c>
      <c r="E1172" t="s">
        <v>42</v>
      </c>
      <c r="F1172" t="s">
        <v>81</v>
      </c>
      <c r="G1172" t="s">
        <v>44</v>
      </c>
      <c r="H1172" t="s">
        <v>90</v>
      </c>
      <c r="I1172" t="s">
        <v>37</v>
      </c>
      <c r="J1172" t="s">
        <v>87</v>
      </c>
      <c r="K1172">
        <v>5083</v>
      </c>
      <c r="L1172">
        <v>31</v>
      </c>
      <c r="M1172">
        <v>50.06</v>
      </c>
      <c r="N1172">
        <v>2</v>
      </c>
      <c r="O1172">
        <v>10</v>
      </c>
      <c r="P1172">
        <f t="shared" si="72"/>
        <v>6.0987605744638991E-3</v>
      </c>
      <c r="Q1172">
        <f t="shared" si="72"/>
        <v>1.6148387096774195</v>
      </c>
      <c r="R1172">
        <f t="shared" si="73"/>
        <v>25.03</v>
      </c>
      <c r="S1172">
        <f t="shared" si="74"/>
        <v>0.19976028765481421</v>
      </c>
      <c r="T1172">
        <f t="shared" si="75"/>
        <v>6.4516129032258063E-2</v>
      </c>
      <c r="U1172" t="str">
        <f>YEAR('Campaign Data'!$A1172)&amp;"-"&amp;TEXT(MONTH('Campaign Data'!$A1172),"00")</f>
        <v>2026-03</v>
      </c>
    </row>
    <row r="1173" spans="1:21" x14ac:dyDescent="0.25">
      <c r="A1173">
        <v>46087</v>
      </c>
      <c r="B1173" t="s">
        <v>95</v>
      </c>
      <c r="C1173" t="s">
        <v>96</v>
      </c>
      <c r="D1173" t="s">
        <v>23</v>
      </c>
      <c r="E1173" t="s">
        <v>49</v>
      </c>
      <c r="F1173" t="s">
        <v>43</v>
      </c>
      <c r="G1173" t="s">
        <v>97</v>
      </c>
      <c r="H1173" t="s">
        <v>36</v>
      </c>
      <c r="I1173" t="s">
        <v>28</v>
      </c>
      <c r="J1173" t="s">
        <v>62</v>
      </c>
      <c r="K1173">
        <v>32411</v>
      </c>
      <c r="L1173">
        <v>1695</v>
      </c>
      <c r="M1173">
        <v>1107.67</v>
      </c>
      <c r="N1173">
        <v>92</v>
      </c>
      <c r="O1173">
        <v>2102.06</v>
      </c>
      <c r="P1173">
        <f t="shared" si="72"/>
        <v>5.2297059640245593E-2</v>
      </c>
      <c r="Q1173">
        <f t="shared" si="72"/>
        <v>0.65349262536873165</v>
      </c>
      <c r="R1173">
        <f t="shared" si="73"/>
        <v>12.039891304347828</v>
      </c>
      <c r="S1173">
        <f t="shared" si="74"/>
        <v>1.8977312737548184</v>
      </c>
      <c r="T1173">
        <f t="shared" si="75"/>
        <v>5.4277286135693215E-2</v>
      </c>
      <c r="U1173" t="str">
        <f>YEAR('Campaign Data'!$A1173)&amp;"-"&amp;TEXT(MONTH('Campaign Data'!$A1173),"00")</f>
        <v>2026-03</v>
      </c>
    </row>
    <row r="1174" spans="1:21" x14ac:dyDescent="0.25">
      <c r="A1174">
        <v>46087</v>
      </c>
      <c r="B1174" t="s">
        <v>39</v>
      </c>
      <c r="C1174" t="s">
        <v>40</v>
      </c>
      <c r="D1174" t="s">
        <v>41</v>
      </c>
      <c r="E1174" t="s">
        <v>42</v>
      </c>
      <c r="F1174" t="s">
        <v>43</v>
      </c>
      <c r="G1174" t="s">
        <v>44</v>
      </c>
      <c r="H1174" t="s">
        <v>90</v>
      </c>
      <c r="I1174" t="s">
        <v>28</v>
      </c>
      <c r="J1174" t="s">
        <v>45</v>
      </c>
      <c r="K1174">
        <v>7521</v>
      </c>
      <c r="L1174">
        <v>21</v>
      </c>
      <c r="M1174">
        <v>35.79</v>
      </c>
      <c r="N1174">
        <v>1</v>
      </c>
      <c r="O1174">
        <v>7.91</v>
      </c>
      <c r="P1174">
        <f t="shared" si="72"/>
        <v>2.7921818907060232E-3</v>
      </c>
      <c r="Q1174">
        <f t="shared" si="72"/>
        <v>1.7042857142857142</v>
      </c>
      <c r="R1174">
        <f t="shared" si="73"/>
        <v>35.79</v>
      </c>
      <c r="S1174">
        <f t="shared" si="74"/>
        <v>0.22101145571388656</v>
      </c>
      <c r="T1174">
        <f t="shared" si="75"/>
        <v>4.7619047619047616E-2</v>
      </c>
      <c r="U1174" t="str">
        <f>YEAR('Campaign Data'!$A1174)&amp;"-"&amp;TEXT(MONTH('Campaign Data'!$A1174),"00")</f>
        <v>2026-03</v>
      </c>
    </row>
    <row r="1175" spans="1:21" x14ac:dyDescent="0.25">
      <c r="A1175">
        <v>46087</v>
      </c>
      <c r="B1175" t="s">
        <v>39</v>
      </c>
      <c r="C1175" t="s">
        <v>40</v>
      </c>
      <c r="D1175" t="s">
        <v>41</v>
      </c>
      <c r="E1175" t="s">
        <v>42</v>
      </c>
      <c r="F1175" t="s">
        <v>43</v>
      </c>
      <c r="G1175" t="s">
        <v>44</v>
      </c>
      <c r="H1175" t="s">
        <v>36</v>
      </c>
      <c r="I1175" t="s">
        <v>37</v>
      </c>
      <c r="J1175" t="s">
        <v>29</v>
      </c>
      <c r="K1175">
        <v>9870</v>
      </c>
      <c r="L1175">
        <v>45</v>
      </c>
      <c r="M1175">
        <v>204.46</v>
      </c>
      <c r="N1175">
        <v>0</v>
      </c>
      <c r="O1175">
        <v>0</v>
      </c>
      <c r="P1175">
        <f t="shared" si="72"/>
        <v>4.559270516717325E-3</v>
      </c>
      <c r="Q1175">
        <f t="shared" si="72"/>
        <v>4.5435555555555558</v>
      </c>
      <c r="R1175">
        <f t="shared" si="73"/>
        <v>0</v>
      </c>
      <c r="S1175">
        <f t="shared" si="74"/>
        <v>0</v>
      </c>
      <c r="T1175">
        <f t="shared" si="75"/>
        <v>0</v>
      </c>
      <c r="U1175" t="str">
        <f>YEAR('Campaign Data'!$A1175)&amp;"-"&amp;TEXT(MONTH('Campaign Data'!$A1175),"00")</f>
        <v>2026-03</v>
      </c>
    </row>
    <row r="1176" spans="1:21" x14ac:dyDescent="0.25">
      <c r="A1176">
        <v>46087</v>
      </c>
      <c r="B1176" t="s">
        <v>98</v>
      </c>
      <c r="C1176" t="s">
        <v>99</v>
      </c>
      <c r="D1176" t="s">
        <v>69</v>
      </c>
      <c r="E1176" t="s">
        <v>24</v>
      </c>
      <c r="F1176" t="s">
        <v>75</v>
      </c>
      <c r="G1176" t="s">
        <v>66</v>
      </c>
      <c r="H1176" t="s">
        <v>71</v>
      </c>
      <c r="I1176" t="s">
        <v>37</v>
      </c>
      <c r="J1176" t="s">
        <v>38</v>
      </c>
      <c r="K1176">
        <v>1897</v>
      </c>
      <c r="L1176">
        <v>15</v>
      </c>
      <c r="M1176">
        <v>13.6</v>
      </c>
      <c r="N1176">
        <v>0</v>
      </c>
      <c r="O1176">
        <v>0</v>
      </c>
      <c r="P1176">
        <f t="shared" si="72"/>
        <v>7.9072219293621505E-3</v>
      </c>
      <c r="Q1176">
        <f t="shared" si="72"/>
        <v>0.90666666666666662</v>
      </c>
      <c r="R1176">
        <f t="shared" si="73"/>
        <v>0</v>
      </c>
      <c r="S1176">
        <f t="shared" si="74"/>
        <v>0</v>
      </c>
      <c r="T1176">
        <f t="shared" si="75"/>
        <v>0</v>
      </c>
      <c r="U1176" t="str">
        <f>YEAR('Campaign Data'!$A1176)&amp;"-"&amp;TEXT(MONTH('Campaign Data'!$A1176),"00")</f>
        <v>2026-03</v>
      </c>
    </row>
    <row r="1177" spans="1:21" x14ac:dyDescent="0.25">
      <c r="A1177">
        <v>46087</v>
      </c>
      <c r="B1177" t="s">
        <v>52</v>
      </c>
      <c r="C1177" t="s">
        <v>53</v>
      </c>
      <c r="D1177" t="s">
        <v>32</v>
      </c>
      <c r="E1177" t="s">
        <v>42</v>
      </c>
      <c r="F1177" t="s">
        <v>25</v>
      </c>
      <c r="G1177" t="s">
        <v>54</v>
      </c>
      <c r="H1177" t="s">
        <v>55</v>
      </c>
      <c r="I1177" t="s">
        <v>37</v>
      </c>
      <c r="J1177" t="s">
        <v>29</v>
      </c>
      <c r="K1177">
        <v>6753</v>
      </c>
      <c r="L1177">
        <v>40</v>
      </c>
      <c r="M1177">
        <v>231.79</v>
      </c>
      <c r="N1177">
        <v>2</v>
      </c>
      <c r="O1177">
        <v>244.81</v>
      </c>
      <c r="P1177">
        <f t="shared" si="72"/>
        <v>5.923293351103213E-3</v>
      </c>
      <c r="Q1177">
        <f t="shared" si="72"/>
        <v>5.7947499999999996</v>
      </c>
      <c r="R1177">
        <f t="shared" si="73"/>
        <v>115.895</v>
      </c>
      <c r="S1177">
        <f t="shared" si="74"/>
        <v>1.0561715345787135</v>
      </c>
      <c r="T1177">
        <f t="shared" si="75"/>
        <v>0.05</v>
      </c>
      <c r="U1177" t="str">
        <f>YEAR('Campaign Data'!$A1177)&amp;"-"&amp;TEXT(MONTH('Campaign Data'!$A1177),"00")</f>
        <v>2026-03</v>
      </c>
    </row>
    <row r="1178" spans="1:21" x14ac:dyDescent="0.25">
      <c r="A1178">
        <v>46087</v>
      </c>
      <c r="B1178" t="s">
        <v>127</v>
      </c>
      <c r="C1178" t="s">
        <v>128</v>
      </c>
      <c r="D1178" t="s">
        <v>58</v>
      </c>
      <c r="E1178" t="s">
        <v>24</v>
      </c>
      <c r="F1178" t="s">
        <v>81</v>
      </c>
      <c r="G1178" t="s">
        <v>129</v>
      </c>
      <c r="H1178" t="s">
        <v>60</v>
      </c>
      <c r="I1178" t="s">
        <v>28</v>
      </c>
      <c r="J1178" t="s">
        <v>62</v>
      </c>
      <c r="K1178">
        <v>4801</v>
      </c>
      <c r="L1178">
        <v>65</v>
      </c>
      <c r="M1178">
        <v>57.36</v>
      </c>
      <c r="N1178">
        <v>2</v>
      </c>
      <c r="O1178">
        <v>22.98</v>
      </c>
      <c r="P1178">
        <f t="shared" si="72"/>
        <v>1.3538846073734638E-2</v>
      </c>
      <c r="Q1178">
        <f t="shared" si="72"/>
        <v>0.88246153846153841</v>
      </c>
      <c r="R1178">
        <f t="shared" si="73"/>
        <v>28.68</v>
      </c>
      <c r="S1178">
        <f t="shared" si="74"/>
        <v>0.40062761506276151</v>
      </c>
      <c r="T1178">
        <f t="shared" si="75"/>
        <v>3.0769230769230771E-2</v>
      </c>
      <c r="U1178" t="str">
        <f>YEAR('Campaign Data'!$A1178)&amp;"-"&amp;TEXT(MONTH('Campaign Data'!$A1178),"00")</f>
        <v>2026-03</v>
      </c>
    </row>
    <row r="1179" spans="1:21" x14ac:dyDescent="0.25">
      <c r="A1179">
        <v>46087</v>
      </c>
      <c r="B1179" t="s">
        <v>105</v>
      </c>
      <c r="C1179" t="s">
        <v>106</v>
      </c>
      <c r="D1179" t="s">
        <v>58</v>
      </c>
      <c r="E1179" t="s">
        <v>49</v>
      </c>
      <c r="F1179" t="s">
        <v>81</v>
      </c>
      <c r="G1179" t="s">
        <v>107</v>
      </c>
      <c r="H1179" t="s">
        <v>27</v>
      </c>
      <c r="I1179" t="s">
        <v>37</v>
      </c>
      <c r="J1179" t="s">
        <v>62</v>
      </c>
      <c r="K1179">
        <v>6383</v>
      </c>
      <c r="L1179">
        <v>300</v>
      </c>
      <c r="M1179">
        <v>577.91999999999996</v>
      </c>
      <c r="N1179">
        <v>14</v>
      </c>
      <c r="O1179">
        <v>237.36</v>
      </c>
      <c r="P1179">
        <f t="shared" si="72"/>
        <v>4.6999843333855554E-2</v>
      </c>
      <c r="Q1179">
        <f t="shared" si="72"/>
        <v>1.9263999999999999</v>
      </c>
      <c r="R1179">
        <f t="shared" si="73"/>
        <v>41.279999999999994</v>
      </c>
      <c r="S1179">
        <f t="shared" si="74"/>
        <v>0.41071428571428575</v>
      </c>
      <c r="T1179">
        <f t="shared" si="75"/>
        <v>4.6666666666666669E-2</v>
      </c>
      <c r="U1179" t="str">
        <f>YEAR('Campaign Data'!$A1179)&amp;"-"&amp;TEXT(MONTH('Campaign Data'!$A1179),"00")</f>
        <v>2026-03</v>
      </c>
    </row>
    <row r="1180" spans="1:21" x14ac:dyDescent="0.25">
      <c r="A1180">
        <v>46087</v>
      </c>
      <c r="B1180" t="s">
        <v>153</v>
      </c>
      <c r="C1180" t="s">
        <v>154</v>
      </c>
      <c r="D1180" t="s">
        <v>48</v>
      </c>
      <c r="E1180" t="s">
        <v>33</v>
      </c>
      <c r="F1180" t="s">
        <v>43</v>
      </c>
      <c r="G1180" t="s">
        <v>59</v>
      </c>
      <c r="H1180" t="s">
        <v>27</v>
      </c>
      <c r="I1180" t="s">
        <v>37</v>
      </c>
      <c r="J1180" t="s">
        <v>45</v>
      </c>
      <c r="K1180">
        <v>6716</v>
      </c>
      <c r="L1180">
        <v>66</v>
      </c>
      <c r="M1180">
        <v>48.89</v>
      </c>
      <c r="N1180">
        <v>1</v>
      </c>
      <c r="O1180">
        <v>45.57</v>
      </c>
      <c r="P1180">
        <f t="shared" si="72"/>
        <v>9.8272781417510415E-3</v>
      </c>
      <c r="Q1180">
        <f t="shared" si="72"/>
        <v>0.74075757575757573</v>
      </c>
      <c r="R1180">
        <f t="shared" si="73"/>
        <v>48.89</v>
      </c>
      <c r="S1180">
        <f t="shared" si="74"/>
        <v>0.93209245244426264</v>
      </c>
      <c r="T1180">
        <f t="shared" si="75"/>
        <v>1.5151515151515152E-2</v>
      </c>
      <c r="U1180" t="str">
        <f>YEAR('Campaign Data'!$A1180)&amp;"-"&amp;TEXT(MONTH('Campaign Data'!$A1180),"00")</f>
        <v>2026-03</v>
      </c>
    </row>
    <row r="1181" spans="1:21" x14ac:dyDescent="0.25">
      <c r="A1181">
        <v>46087</v>
      </c>
      <c r="B1181" t="s">
        <v>171</v>
      </c>
      <c r="C1181" t="s">
        <v>172</v>
      </c>
      <c r="D1181" t="s">
        <v>23</v>
      </c>
      <c r="E1181" t="s">
        <v>33</v>
      </c>
      <c r="F1181" t="s">
        <v>75</v>
      </c>
      <c r="G1181" t="s">
        <v>59</v>
      </c>
      <c r="H1181" t="s">
        <v>60</v>
      </c>
      <c r="I1181" t="s">
        <v>37</v>
      </c>
      <c r="J1181" t="s">
        <v>45</v>
      </c>
      <c r="K1181">
        <v>6331</v>
      </c>
      <c r="L1181">
        <v>84</v>
      </c>
      <c r="M1181">
        <v>49.13</v>
      </c>
      <c r="N1181">
        <v>2</v>
      </c>
      <c r="O1181">
        <v>129.27000000000001</v>
      </c>
      <c r="P1181">
        <f t="shared" si="72"/>
        <v>1.3268046122255567E-2</v>
      </c>
      <c r="Q1181">
        <f t="shared" si="72"/>
        <v>0.58488095238095239</v>
      </c>
      <c r="R1181">
        <f t="shared" si="73"/>
        <v>24.565000000000001</v>
      </c>
      <c r="S1181">
        <f t="shared" si="74"/>
        <v>2.6311825768369634</v>
      </c>
      <c r="T1181">
        <f t="shared" si="75"/>
        <v>2.3809523809523808E-2</v>
      </c>
      <c r="U1181" t="str">
        <f>YEAR('Campaign Data'!$A1181)&amp;"-"&amp;TEXT(MONTH('Campaign Data'!$A1181),"00")</f>
        <v>2026-03</v>
      </c>
    </row>
    <row r="1182" spans="1:21" x14ac:dyDescent="0.25">
      <c r="A1182">
        <v>46087</v>
      </c>
      <c r="B1182" t="s">
        <v>110</v>
      </c>
      <c r="C1182" t="s">
        <v>111</v>
      </c>
      <c r="D1182" t="s">
        <v>23</v>
      </c>
      <c r="E1182" t="s">
        <v>49</v>
      </c>
      <c r="F1182" t="s">
        <v>34</v>
      </c>
      <c r="G1182" t="s">
        <v>50</v>
      </c>
      <c r="H1182" t="s">
        <v>36</v>
      </c>
      <c r="I1182" t="s">
        <v>37</v>
      </c>
      <c r="J1182" t="s">
        <v>38</v>
      </c>
      <c r="K1182">
        <v>3321</v>
      </c>
      <c r="L1182">
        <v>170</v>
      </c>
      <c r="M1182">
        <v>287.70999999999998</v>
      </c>
      <c r="N1182">
        <v>4</v>
      </c>
      <c r="O1182">
        <v>495.6</v>
      </c>
      <c r="P1182">
        <f t="shared" si="72"/>
        <v>5.1189400782896716E-2</v>
      </c>
      <c r="Q1182">
        <f t="shared" si="72"/>
        <v>1.6924117647058823</v>
      </c>
      <c r="R1182">
        <f t="shared" si="73"/>
        <v>71.927499999999995</v>
      </c>
      <c r="S1182">
        <f t="shared" si="74"/>
        <v>1.7225678634736368</v>
      </c>
      <c r="T1182">
        <f t="shared" si="75"/>
        <v>2.3529411764705882E-2</v>
      </c>
      <c r="U1182" t="str">
        <f>YEAR('Campaign Data'!$A1182)&amp;"-"&amp;TEXT(MONTH('Campaign Data'!$A1182),"00")</f>
        <v>2026-03</v>
      </c>
    </row>
    <row r="1183" spans="1:21" x14ac:dyDescent="0.25">
      <c r="A1183">
        <v>46087</v>
      </c>
      <c r="B1183" t="s">
        <v>110</v>
      </c>
      <c r="C1183" t="s">
        <v>111</v>
      </c>
      <c r="D1183" t="s">
        <v>23</v>
      </c>
      <c r="E1183" t="s">
        <v>49</v>
      </c>
      <c r="F1183" t="s">
        <v>34</v>
      </c>
      <c r="G1183" t="s">
        <v>50</v>
      </c>
      <c r="H1183" t="s">
        <v>51</v>
      </c>
      <c r="I1183" t="s">
        <v>28</v>
      </c>
      <c r="J1183" t="s">
        <v>62</v>
      </c>
      <c r="K1183">
        <v>4247</v>
      </c>
      <c r="L1183">
        <v>278</v>
      </c>
      <c r="M1183">
        <v>311.01</v>
      </c>
      <c r="N1183">
        <v>18</v>
      </c>
      <c r="O1183">
        <v>2479.29</v>
      </c>
      <c r="P1183">
        <f t="shared" si="72"/>
        <v>6.5457970331999057E-2</v>
      </c>
      <c r="Q1183">
        <f t="shared" si="72"/>
        <v>1.1187410071942445</v>
      </c>
      <c r="R1183">
        <f t="shared" si="73"/>
        <v>17.278333333333332</v>
      </c>
      <c r="S1183">
        <f t="shared" si="74"/>
        <v>7.9717372431754603</v>
      </c>
      <c r="T1183">
        <f t="shared" si="75"/>
        <v>6.4748201438848921E-2</v>
      </c>
      <c r="U1183" t="str">
        <f>YEAR('Campaign Data'!$A1183)&amp;"-"&amp;TEXT(MONTH('Campaign Data'!$A1183),"00")</f>
        <v>2026-03</v>
      </c>
    </row>
    <row r="1184" spans="1:21" x14ac:dyDescent="0.25">
      <c r="A1184">
        <v>46087</v>
      </c>
      <c r="B1184" t="s">
        <v>157</v>
      </c>
      <c r="C1184" t="s">
        <v>158</v>
      </c>
      <c r="D1184" t="s">
        <v>58</v>
      </c>
      <c r="E1184" t="s">
        <v>49</v>
      </c>
      <c r="F1184" t="s">
        <v>81</v>
      </c>
      <c r="G1184" t="s">
        <v>50</v>
      </c>
      <c r="H1184" t="s">
        <v>55</v>
      </c>
      <c r="I1184" t="s">
        <v>37</v>
      </c>
      <c r="J1184" t="s">
        <v>87</v>
      </c>
      <c r="K1184">
        <v>4629</v>
      </c>
      <c r="L1184">
        <v>102</v>
      </c>
      <c r="M1184">
        <v>176.37</v>
      </c>
      <c r="N1184">
        <v>5</v>
      </c>
      <c r="O1184">
        <v>47.45</v>
      </c>
      <c r="P1184">
        <f t="shared" si="72"/>
        <v>2.2034996759559299E-2</v>
      </c>
      <c r="Q1184">
        <f t="shared" si="72"/>
        <v>1.7291176470588236</v>
      </c>
      <c r="R1184">
        <f t="shared" si="73"/>
        <v>35.274000000000001</v>
      </c>
      <c r="S1184">
        <f t="shared" si="74"/>
        <v>0.26903668424335203</v>
      </c>
      <c r="T1184">
        <f t="shared" si="75"/>
        <v>4.9019607843137254E-2</v>
      </c>
      <c r="U1184" t="str">
        <f>YEAR('Campaign Data'!$A1184)&amp;"-"&amp;TEXT(MONTH('Campaign Data'!$A1184),"00")</f>
        <v>2026-03</v>
      </c>
    </row>
    <row r="1185" spans="1:21" x14ac:dyDescent="0.25">
      <c r="A1185">
        <v>46087</v>
      </c>
      <c r="B1185" t="s">
        <v>157</v>
      </c>
      <c r="C1185" t="s">
        <v>158</v>
      </c>
      <c r="D1185" t="s">
        <v>58</v>
      </c>
      <c r="E1185" t="s">
        <v>49</v>
      </c>
      <c r="F1185" t="s">
        <v>81</v>
      </c>
      <c r="G1185" t="s">
        <v>50</v>
      </c>
      <c r="H1185" t="s">
        <v>90</v>
      </c>
      <c r="I1185" t="s">
        <v>37</v>
      </c>
      <c r="J1185" t="s">
        <v>87</v>
      </c>
      <c r="K1185">
        <v>4543</v>
      </c>
      <c r="L1185">
        <v>118</v>
      </c>
      <c r="M1185">
        <v>51.88</v>
      </c>
      <c r="N1185">
        <v>12</v>
      </c>
      <c r="O1185">
        <v>60</v>
      </c>
      <c r="P1185">
        <f t="shared" si="72"/>
        <v>2.5974025974025976E-2</v>
      </c>
      <c r="Q1185">
        <f t="shared" si="72"/>
        <v>0.43966101694915255</v>
      </c>
      <c r="R1185">
        <f t="shared" si="73"/>
        <v>4.3233333333333333</v>
      </c>
      <c r="S1185">
        <f t="shared" si="74"/>
        <v>1.1565150346954509</v>
      </c>
      <c r="T1185">
        <f t="shared" si="75"/>
        <v>0.10169491525423729</v>
      </c>
      <c r="U1185" t="str">
        <f>YEAR('Campaign Data'!$A1185)&amp;"-"&amp;TEXT(MONTH('Campaign Data'!$A1185),"00")</f>
        <v>2026-03</v>
      </c>
    </row>
    <row r="1186" spans="1:21" x14ac:dyDescent="0.25">
      <c r="A1186">
        <v>46087</v>
      </c>
      <c r="B1186" t="s">
        <v>112</v>
      </c>
      <c r="C1186" t="s">
        <v>113</v>
      </c>
      <c r="D1186" t="s">
        <v>32</v>
      </c>
      <c r="E1186" t="s">
        <v>24</v>
      </c>
      <c r="F1186" t="s">
        <v>75</v>
      </c>
      <c r="G1186" t="s">
        <v>66</v>
      </c>
      <c r="H1186" t="s">
        <v>90</v>
      </c>
      <c r="I1186" t="s">
        <v>37</v>
      </c>
      <c r="J1186" t="s">
        <v>38</v>
      </c>
      <c r="K1186">
        <v>2127</v>
      </c>
      <c r="L1186">
        <v>29</v>
      </c>
      <c r="M1186">
        <v>7.73</v>
      </c>
      <c r="N1186">
        <v>0</v>
      </c>
      <c r="O1186">
        <v>0</v>
      </c>
      <c r="P1186">
        <f t="shared" si="72"/>
        <v>1.3634226610249177E-2</v>
      </c>
      <c r="Q1186">
        <f t="shared" si="72"/>
        <v>0.26655172413793105</v>
      </c>
      <c r="R1186">
        <f t="shared" si="73"/>
        <v>0</v>
      </c>
      <c r="S1186">
        <f t="shared" si="74"/>
        <v>0</v>
      </c>
      <c r="T1186">
        <f t="shared" si="75"/>
        <v>0</v>
      </c>
      <c r="U1186" t="str">
        <f>YEAR('Campaign Data'!$A1186)&amp;"-"&amp;TEXT(MONTH('Campaign Data'!$A1186),"00")</f>
        <v>2026-03</v>
      </c>
    </row>
    <row r="1187" spans="1:21" x14ac:dyDescent="0.25">
      <c r="A1187">
        <v>46087</v>
      </c>
      <c r="B1187" t="s">
        <v>159</v>
      </c>
      <c r="C1187" t="s">
        <v>160</v>
      </c>
      <c r="D1187" t="s">
        <v>65</v>
      </c>
      <c r="E1187" t="s">
        <v>42</v>
      </c>
      <c r="F1187" t="s">
        <v>75</v>
      </c>
      <c r="G1187" t="s">
        <v>54</v>
      </c>
      <c r="H1187" t="s">
        <v>90</v>
      </c>
      <c r="I1187" t="s">
        <v>37</v>
      </c>
      <c r="J1187" t="s">
        <v>87</v>
      </c>
      <c r="K1187">
        <v>8397</v>
      </c>
      <c r="L1187">
        <v>52</v>
      </c>
      <c r="M1187">
        <v>65.75</v>
      </c>
      <c r="N1187">
        <v>1</v>
      </c>
      <c r="O1187">
        <v>9.7100000000000009</v>
      </c>
      <c r="P1187">
        <f t="shared" si="72"/>
        <v>6.1926878647135886E-3</v>
      </c>
      <c r="Q1187">
        <f t="shared" si="72"/>
        <v>1.2644230769230769</v>
      </c>
      <c r="R1187">
        <f t="shared" si="73"/>
        <v>65.75</v>
      </c>
      <c r="S1187">
        <f t="shared" si="74"/>
        <v>0.14768060836501903</v>
      </c>
      <c r="T1187">
        <f t="shared" si="75"/>
        <v>1.9230769230769232E-2</v>
      </c>
      <c r="U1187" t="str">
        <f>YEAR('Campaign Data'!$A1187)&amp;"-"&amp;TEXT(MONTH('Campaign Data'!$A1187),"00")</f>
        <v>2026-03</v>
      </c>
    </row>
    <row r="1188" spans="1:21" x14ac:dyDescent="0.25">
      <c r="A1188">
        <v>46087</v>
      </c>
      <c r="B1188" t="s">
        <v>143</v>
      </c>
      <c r="C1188" t="s">
        <v>144</v>
      </c>
      <c r="D1188" t="s">
        <v>48</v>
      </c>
      <c r="E1188" t="s">
        <v>42</v>
      </c>
      <c r="F1188" t="s">
        <v>25</v>
      </c>
      <c r="G1188" t="s">
        <v>84</v>
      </c>
      <c r="H1188" t="s">
        <v>71</v>
      </c>
      <c r="I1188" t="s">
        <v>37</v>
      </c>
      <c r="J1188" t="s">
        <v>38</v>
      </c>
      <c r="K1188">
        <v>6287</v>
      </c>
      <c r="L1188">
        <v>44</v>
      </c>
      <c r="M1188">
        <v>183.35</v>
      </c>
      <c r="N1188">
        <v>1</v>
      </c>
      <c r="O1188">
        <v>157.18</v>
      </c>
      <c r="P1188">
        <f t="shared" si="72"/>
        <v>6.9985684746301895E-3</v>
      </c>
      <c r="Q1188">
        <f t="shared" si="72"/>
        <v>4.1670454545454545</v>
      </c>
      <c r="R1188">
        <f t="shared" si="73"/>
        <v>183.35</v>
      </c>
      <c r="S1188">
        <f t="shared" si="74"/>
        <v>0.85726752113444238</v>
      </c>
      <c r="T1188">
        <f t="shared" si="75"/>
        <v>2.2727272727272728E-2</v>
      </c>
      <c r="U1188" t="str">
        <f>YEAR('Campaign Data'!$A1188)&amp;"-"&amp;TEXT(MONTH('Campaign Data'!$A1188),"00")</f>
        <v>2026-03</v>
      </c>
    </row>
    <row r="1189" spans="1:21" x14ac:dyDescent="0.25">
      <c r="A1189">
        <v>46087</v>
      </c>
      <c r="B1189" t="s">
        <v>183</v>
      </c>
      <c r="C1189" t="s">
        <v>184</v>
      </c>
      <c r="D1189" t="s">
        <v>23</v>
      </c>
      <c r="E1189" t="s">
        <v>24</v>
      </c>
      <c r="F1189" t="s">
        <v>81</v>
      </c>
      <c r="G1189" t="s">
        <v>185</v>
      </c>
      <c r="H1189" t="s">
        <v>90</v>
      </c>
      <c r="I1189" t="s">
        <v>28</v>
      </c>
      <c r="J1189" t="s">
        <v>38</v>
      </c>
      <c r="K1189">
        <v>11056</v>
      </c>
      <c r="L1189">
        <v>174</v>
      </c>
      <c r="M1189">
        <v>37.35</v>
      </c>
      <c r="N1189">
        <v>4</v>
      </c>
      <c r="O1189">
        <v>28.64</v>
      </c>
      <c r="P1189">
        <f t="shared" si="72"/>
        <v>1.5738060781476122E-2</v>
      </c>
      <c r="Q1189">
        <f t="shared" si="72"/>
        <v>0.21465517241379312</v>
      </c>
      <c r="R1189">
        <f t="shared" si="73"/>
        <v>9.3375000000000004</v>
      </c>
      <c r="S1189">
        <f t="shared" si="74"/>
        <v>0.7668005354752343</v>
      </c>
      <c r="T1189">
        <f t="shared" si="75"/>
        <v>2.2988505747126436E-2</v>
      </c>
      <c r="U1189" t="str">
        <f>YEAR('Campaign Data'!$A1189)&amp;"-"&amp;TEXT(MONTH('Campaign Data'!$A1189),"00")</f>
        <v>2026-03</v>
      </c>
    </row>
    <row r="1190" spans="1:21" x14ac:dyDescent="0.25">
      <c r="A1190">
        <v>46087</v>
      </c>
      <c r="B1190" t="s">
        <v>67</v>
      </c>
      <c r="C1190" t="s">
        <v>68</v>
      </c>
      <c r="D1190" t="s">
        <v>69</v>
      </c>
      <c r="E1190" t="s">
        <v>49</v>
      </c>
      <c r="F1190" t="s">
        <v>34</v>
      </c>
      <c r="G1190" t="s">
        <v>70</v>
      </c>
      <c r="H1190" t="s">
        <v>27</v>
      </c>
      <c r="I1190" t="s">
        <v>37</v>
      </c>
      <c r="J1190" t="s">
        <v>62</v>
      </c>
      <c r="K1190">
        <v>3102</v>
      </c>
      <c r="L1190">
        <v>150</v>
      </c>
      <c r="M1190">
        <v>306.58</v>
      </c>
      <c r="N1190">
        <v>6</v>
      </c>
      <c r="O1190">
        <v>782.53</v>
      </c>
      <c r="P1190">
        <f t="shared" si="72"/>
        <v>4.8355899419729204E-2</v>
      </c>
      <c r="Q1190">
        <f t="shared" si="72"/>
        <v>2.0438666666666667</v>
      </c>
      <c r="R1190">
        <f t="shared" si="73"/>
        <v>51.096666666666664</v>
      </c>
      <c r="S1190">
        <f t="shared" si="74"/>
        <v>2.5524496053232437</v>
      </c>
      <c r="T1190">
        <f t="shared" si="75"/>
        <v>0.04</v>
      </c>
      <c r="U1190" t="str">
        <f>YEAR('Campaign Data'!$A1190)&amp;"-"&amp;TEXT(MONTH('Campaign Data'!$A1190),"00")</f>
        <v>2026-03</v>
      </c>
    </row>
    <row r="1191" spans="1:21" x14ac:dyDescent="0.25">
      <c r="A1191">
        <v>46088</v>
      </c>
      <c r="B1191" t="s">
        <v>173</v>
      </c>
      <c r="C1191" t="s">
        <v>174</v>
      </c>
      <c r="D1191" t="s">
        <v>48</v>
      </c>
      <c r="E1191" t="s">
        <v>74</v>
      </c>
      <c r="F1191" t="s">
        <v>25</v>
      </c>
      <c r="G1191" t="s">
        <v>9</v>
      </c>
      <c r="H1191" t="s">
        <v>71</v>
      </c>
      <c r="I1191" t="s">
        <v>28</v>
      </c>
      <c r="J1191" t="s">
        <v>45</v>
      </c>
      <c r="K1191">
        <v>9108</v>
      </c>
      <c r="L1191">
        <v>341</v>
      </c>
      <c r="M1191">
        <v>466.32</v>
      </c>
      <c r="N1191">
        <v>18</v>
      </c>
      <c r="O1191">
        <v>2822.69</v>
      </c>
      <c r="P1191">
        <f t="shared" si="72"/>
        <v>3.7439613526570048E-2</v>
      </c>
      <c r="Q1191">
        <f t="shared" si="72"/>
        <v>1.3675073313782991</v>
      </c>
      <c r="R1191">
        <f t="shared" si="73"/>
        <v>25.906666666666666</v>
      </c>
      <c r="S1191">
        <f t="shared" si="74"/>
        <v>6.0531180305369707</v>
      </c>
      <c r="T1191">
        <f t="shared" si="75"/>
        <v>5.2785923753665691E-2</v>
      </c>
      <c r="U1191" t="str">
        <f>YEAR('Campaign Data'!$A1191)&amp;"-"&amp;TEXT(MONTH('Campaign Data'!$A1191),"00")</f>
        <v>2026-03</v>
      </c>
    </row>
    <row r="1192" spans="1:21" x14ac:dyDescent="0.25">
      <c r="A1192">
        <v>46088</v>
      </c>
      <c r="B1192" t="s">
        <v>173</v>
      </c>
      <c r="C1192" t="s">
        <v>174</v>
      </c>
      <c r="D1192" t="s">
        <v>48</v>
      </c>
      <c r="E1192" t="s">
        <v>74</v>
      </c>
      <c r="F1192" t="s">
        <v>25</v>
      </c>
      <c r="G1192" t="s">
        <v>9</v>
      </c>
      <c r="H1192" t="s">
        <v>71</v>
      </c>
      <c r="I1192" t="s">
        <v>28</v>
      </c>
      <c r="J1192" t="s">
        <v>87</v>
      </c>
      <c r="K1192">
        <v>9259</v>
      </c>
      <c r="L1192">
        <v>263</v>
      </c>
      <c r="M1192">
        <v>283.94</v>
      </c>
      <c r="N1192">
        <v>2</v>
      </c>
      <c r="O1192">
        <v>166.55</v>
      </c>
      <c r="P1192">
        <f t="shared" si="72"/>
        <v>2.8404795334269359E-2</v>
      </c>
      <c r="Q1192">
        <f t="shared" si="72"/>
        <v>1.079619771863118</v>
      </c>
      <c r="R1192">
        <f t="shared" si="73"/>
        <v>141.97</v>
      </c>
      <c r="S1192">
        <f t="shared" si="74"/>
        <v>0.58656758470099324</v>
      </c>
      <c r="T1192">
        <f t="shared" si="75"/>
        <v>7.6045627376425855E-3</v>
      </c>
      <c r="U1192" t="str">
        <f>YEAR('Campaign Data'!$A1192)&amp;"-"&amp;TEXT(MONTH('Campaign Data'!$A1192),"00")</f>
        <v>2026-03</v>
      </c>
    </row>
    <row r="1193" spans="1:21" x14ac:dyDescent="0.25">
      <c r="A1193">
        <v>46088</v>
      </c>
      <c r="B1193" t="s">
        <v>21</v>
      </c>
      <c r="C1193" t="s">
        <v>124</v>
      </c>
      <c r="D1193" t="s">
        <v>23</v>
      </c>
      <c r="E1193" t="s">
        <v>24</v>
      </c>
      <c r="F1193" t="s">
        <v>25</v>
      </c>
      <c r="G1193" t="s">
        <v>26</v>
      </c>
      <c r="H1193" t="s">
        <v>71</v>
      </c>
      <c r="I1193" t="s">
        <v>37</v>
      </c>
      <c r="J1193" t="s">
        <v>62</v>
      </c>
      <c r="K1193">
        <v>16652</v>
      </c>
      <c r="L1193">
        <v>230</v>
      </c>
      <c r="M1193">
        <v>201.55</v>
      </c>
      <c r="N1193">
        <v>4</v>
      </c>
      <c r="O1193">
        <v>395.01</v>
      </c>
      <c r="P1193">
        <f t="shared" si="72"/>
        <v>1.3812154696132596E-2</v>
      </c>
      <c r="Q1193">
        <f t="shared" si="72"/>
        <v>0.87630434782608702</v>
      </c>
      <c r="R1193">
        <f t="shared" si="73"/>
        <v>50.387500000000003</v>
      </c>
      <c r="S1193">
        <f t="shared" si="74"/>
        <v>1.9598610766559166</v>
      </c>
      <c r="T1193">
        <f t="shared" si="75"/>
        <v>1.7391304347826087E-2</v>
      </c>
      <c r="U1193" t="str">
        <f>YEAR('Campaign Data'!$A1193)&amp;"-"&amp;TEXT(MONTH('Campaign Data'!$A1193),"00")</f>
        <v>2026-03</v>
      </c>
    </row>
    <row r="1194" spans="1:21" x14ac:dyDescent="0.25">
      <c r="A1194">
        <v>46088</v>
      </c>
      <c r="B1194" t="s">
        <v>21</v>
      </c>
      <c r="C1194" t="s">
        <v>124</v>
      </c>
      <c r="D1194" t="s">
        <v>23</v>
      </c>
      <c r="E1194" t="s">
        <v>24</v>
      </c>
      <c r="F1194" t="s">
        <v>25</v>
      </c>
      <c r="G1194" t="s">
        <v>26</v>
      </c>
      <c r="H1194" t="s">
        <v>71</v>
      </c>
      <c r="I1194" t="s">
        <v>37</v>
      </c>
      <c r="J1194" t="s">
        <v>29</v>
      </c>
      <c r="K1194">
        <v>1522</v>
      </c>
      <c r="L1194">
        <v>13</v>
      </c>
      <c r="M1194">
        <v>15.02</v>
      </c>
      <c r="N1194">
        <v>0</v>
      </c>
      <c r="O1194">
        <v>0</v>
      </c>
      <c r="P1194">
        <f t="shared" si="72"/>
        <v>8.5413929040735869E-3</v>
      </c>
      <c r="Q1194">
        <f t="shared" si="72"/>
        <v>1.1553846153846155</v>
      </c>
      <c r="R1194">
        <f t="shared" si="73"/>
        <v>0</v>
      </c>
      <c r="S1194">
        <f t="shared" si="74"/>
        <v>0</v>
      </c>
      <c r="T1194">
        <f t="shared" si="75"/>
        <v>0</v>
      </c>
      <c r="U1194" t="str">
        <f>YEAR('Campaign Data'!$A1194)&amp;"-"&amp;TEXT(MONTH('Campaign Data'!$A1194),"00")</f>
        <v>2026-03</v>
      </c>
    </row>
    <row r="1195" spans="1:21" x14ac:dyDescent="0.25">
      <c r="A1195">
        <v>46088</v>
      </c>
      <c r="B1195" t="s">
        <v>147</v>
      </c>
      <c r="C1195" t="s">
        <v>148</v>
      </c>
      <c r="D1195" t="s">
        <v>23</v>
      </c>
      <c r="E1195" t="s">
        <v>42</v>
      </c>
      <c r="F1195" t="s">
        <v>75</v>
      </c>
      <c r="G1195" t="s">
        <v>44</v>
      </c>
      <c r="H1195" t="s">
        <v>27</v>
      </c>
      <c r="I1195" t="s">
        <v>37</v>
      </c>
      <c r="J1195" t="s">
        <v>87</v>
      </c>
      <c r="K1195">
        <v>5715</v>
      </c>
      <c r="L1195">
        <v>41</v>
      </c>
      <c r="M1195">
        <v>287.58999999999997</v>
      </c>
      <c r="N1195">
        <v>2</v>
      </c>
      <c r="O1195">
        <v>63.85</v>
      </c>
      <c r="P1195">
        <f t="shared" si="72"/>
        <v>7.1741032370953627E-3</v>
      </c>
      <c r="Q1195">
        <f t="shared" si="72"/>
        <v>7.0143902439024384</v>
      </c>
      <c r="R1195">
        <f t="shared" si="73"/>
        <v>143.79499999999999</v>
      </c>
      <c r="S1195">
        <f t="shared" si="74"/>
        <v>0.22201745540526446</v>
      </c>
      <c r="T1195">
        <f t="shared" si="75"/>
        <v>4.878048780487805E-2</v>
      </c>
      <c r="U1195" t="str">
        <f>YEAR('Campaign Data'!$A1195)&amp;"-"&amp;TEXT(MONTH('Campaign Data'!$A1195),"00")</f>
        <v>2026-03</v>
      </c>
    </row>
    <row r="1196" spans="1:21" x14ac:dyDescent="0.25">
      <c r="A1196">
        <v>46088</v>
      </c>
      <c r="B1196" t="s">
        <v>186</v>
      </c>
      <c r="C1196" t="s">
        <v>187</v>
      </c>
      <c r="D1196" t="s">
        <v>80</v>
      </c>
      <c r="E1196" t="s">
        <v>33</v>
      </c>
      <c r="F1196" t="s">
        <v>43</v>
      </c>
      <c r="G1196" t="s">
        <v>102</v>
      </c>
      <c r="H1196" t="s">
        <v>51</v>
      </c>
      <c r="I1196" t="s">
        <v>37</v>
      </c>
      <c r="J1196" t="s">
        <v>87</v>
      </c>
      <c r="K1196">
        <v>7572</v>
      </c>
      <c r="L1196">
        <v>92</v>
      </c>
      <c r="M1196">
        <v>75.88</v>
      </c>
      <c r="N1196">
        <v>0</v>
      </c>
      <c r="O1196">
        <v>0</v>
      </c>
      <c r="P1196">
        <f t="shared" si="72"/>
        <v>1.2150026413100899E-2</v>
      </c>
      <c r="Q1196">
        <f t="shared" si="72"/>
        <v>0.82478260869565212</v>
      </c>
      <c r="R1196">
        <f t="shared" si="73"/>
        <v>0</v>
      </c>
      <c r="S1196">
        <f t="shared" si="74"/>
        <v>0</v>
      </c>
      <c r="T1196">
        <f t="shared" si="75"/>
        <v>0</v>
      </c>
      <c r="U1196" t="str">
        <f>YEAR('Campaign Data'!$A1196)&amp;"-"&amp;TEXT(MONTH('Campaign Data'!$A1196),"00")</f>
        <v>2026-03</v>
      </c>
    </row>
    <row r="1197" spans="1:21" x14ac:dyDescent="0.25">
      <c r="A1197">
        <v>46088</v>
      </c>
      <c r="B1197" t="s">
        <v>95</v>
      </c>
      <c r="C1197" t="s">
        <v>96</v>
      </c>
      <c r="D1197" t="s">
        <v>23</v>
      </c>
      <c r="E1197" t="s">
        <v>49</v>
      </c>
      <c r="F1197" t="s">
        <v>43</v>
      </c>
      <c r="G1197" t="s">
        <v>97</v>
      </c>
      <c r="H1197" t="s">
        <v>90</v>
      </c>
      <c r="I1197" t="s">
        <v>28</v>
      </c>
      <c r="J1197" t="s">
        <v>29</v>
      </c>
      <c r="K1197">
        <v>4739</v>
      </c>
      <c r="L1197">
        <v>256</v>
      </c>
      <c r="M1197">
        <v>148.66</v>
      </c>
      <c r="N1197">
        <v>22</v>
      </c>
      <c r="O1197">
        <v>110</v>
      </c>
      <c r="P1197">
        <f t="shared" si="72"/>
        <v>5.4019835408313989E-2</v>
      </c>
      <c r="Q1197">
        <f t="shared" si="72"/>
        <v>0.58070312499999999</v>
      </c>
      <c r="R1197">
        <f t="shared" si="73"/>
        <v>6.7572727272727269</v>
      </c>
      <c r="S1197">
        <f t="shared" si="74"/>
        <v>0.73994349522400105</v>
      </c>
      <c r="T1197">
        <f t="shared" si="75"/>
        <v>8.59375E-2</v>
      </c>
      <c r="U1197" t="str">
        <f>YEAR('Campaign Data'!$A1197)&amp;"-"&amp;TEXT(MONTH('Campaign Data'!$A1197),"00")</f>
        <v>2026-03</v>
      </c>
    </row>
    <row r="1198" spans="1:21" x14ac:dyDescent="0.25">
      <c r="A1198">
        <v>46088</v>
      </c>
      <c r="B1198" t="s">
        <v>98</v>
      </c>
      <c r="C1198" t="s">
        <v>99</v>
      </c>
      <c r="D1198" t="s">
        <v>69</v>
      </c>
      <c r="E1198" t="s">
        <v>24</v>
      </c>
      <c r="F1198" t="s">
        <v>75</v>
      </c>
      <c r="G1198" t="s">
        <v>66</v>
      </c>
      <c r="H1198" t="s">
        <v>90</v>
      </c>
      <c r="I1198" t="s">
        <v>37</v>
      </c>
      <c r="J1198" t="s">
        <v>29</v>
      </c>
      <c r="K1198">
        <v>9420</v>
      </c>
      <c r="L1198">
        <v>99</v>
      </c>
      <c r="M1198">
        <v>14.82</v>
      </c>
      <c r="N1198">
        <v>4</v>
      </c>
      <c r="O1198">
        <v>36.14</v>
      </c>
      <c r="P1198">
        <f t="shared" si="72"/>
        <v>1.0509554140127388E-2</v>
      </c>
      <c r="Q1198">
        <f t="shared" si="72"/>
        <v>0.14969696969696969</v>
      </c>
      <c r="R1198">
        <f t="shared" si="73"/>
        <v>3.7050000000000001</v>
      </c>
      <c r="S1198">
        <f t="shared" si="74"/>
        <v>2.4385964912280702</v>
      </c>
      <c r="T1198">
        <f t="shared" si="75"/>
        <v>4.0404040404040407E-2</v>
      </c>
      <c r="U1198" t="str">
        <f>YEAR('Campaign Data'!$A1198)&amp;"-"&amp;TEXT(MONTH('Campaign Data'!$A1198),"00")</f>
        <v>2026-03</v>
      </c>
    </row>
    <row r="1199" spans="1:21" x14ac:dyDescent="0.25">
      <c r="A1199">
        <v>46088</v>
      </c>
      <c r="B1199" t="s">
        <v>98</v>
      </c>
      <c r="C1199" t="s">
        <v>99</v>
      </c>
      <c r="D1199" t="s">
        <v>69</v>
      </c>
      <c r="E1199" t="s">
        <v>24</v>
      </c>
      <c r="F1199" t="s">
        <v>75</v>
      </c>
      <c r="G1199" t="s">
        <v>66</v>
      </c>
      <c r="H1199" t="s">
        <v>60</v>
      </c>
      <c r="I1199" t="s">
        <v>37</v>
      </c>
      <c r="J1199" t="s">
        <v>38</v>
      </c>
      <c r="K1199">
        <v>25750</v>
      </c>
      <c r="L1199">
        <v>260</v>
      </c>
      <c r="M1199">
        <v>302.98</v>
      </c>
      <c r="N1199">
        <v>7</v>
      </c>
      <c r="O1199">
        <v>181.14</v>
      </c>
      <c r="P1199">
        <f t="shared" si="72"/>
        <v>1.0097087378640776E-2</v>
      </c>
      <c r="Q1199">
        <f t="shared" si="72"/>
        <v>1.1653076923076924</v>
      </c>
      <c r="R1199">
        <f t="shared" si="73"/>
        <v>43.282857142857146</v>
      </c>
      <c r="S1199">
        <f t="shared" si="74"/>
        <v>0.59786124496666437</v>
      </c>
      <c r="T1199">
        <f t="shared" si="75"/>
        <v>2.6923076923076925E-2</v>
      </c>
      <c r="U1199" t="str">
        <f>YEAR('Campaign Data'!$A1199)&amp;"-"&amp;TEXT(MONTH('Campaign Data'!$A1199),"00")</f>
        <v>2026-03</v>
      </c>
    </row>
    <row r="1200" spans="1:21" x14ac:dyDescent="0.25">
      <c r="A1200">
        <v>46088</v>
      </c>
      <c r="B1200" t="s">
        <v>169</v>
      </c>
      <c r="C1200" t="s">
        <v>170</v>
      </c>
      <c r="D1200" t="s">
        <v>58</v>
      </c>
      <c r="E1200" t="s">
        <v>74</v>
      </c>
      <c r="F1200" t="s">
        <v>75</v>
      </c>
      <c r="G1200" t="s">
        <v>9</v>
      </c>
      <c r="H1200" t="s">
        <v>55</v>
      </c>
      <c r="I1200" t="s">
        <v>28</v>
      </c>
      <c r="J1200" t="s">
        <v>29</v>
      </c>
      <c r="K1200">
        <v>2513</v>
      </c>
      <c r="L1200">
        <v>56</v>
      </c>
      <c r="M1200">
        <v>82.87</v>
      </c>
      <c r="N1200">
        <v>3</v>
      </c>
      <c r="O1200">
        <v>119.32</v>
      </c>
      <c r="P1200">
        <f t="shared" si="72"/>
        <v>2.2284122562674095E-2</v>
      </c>
      <c r="Q1200">
        <f t="shared" si="72"/>
        <v>1.4798214285714286</v>
      </c>
      <c r="R1200">
        <f t="shared" si="73"/>
        <v>27.623333333333335</v>
      </c>
      <c r="S1200">
        <f t="shared" si="74"/>
        <v>1.4398455412091227</v>
      </c>
      <c r="T1200">
        <f t="shared" si="75"/>
        <v>5.3571428571428568E-2</v>
      </c>
      <c r="U1200" t="str">
        <f>YEAR('Campaign Data'!$A1200)&amp;"-"&amp;TEXT(MONTH('Campaign Data'!$A1200),"00")</f>
        <v>2026-03</v>
      </c>
    </row>
    <row r="1201" spans="1:21" x14ac:dyDescent="0.25">
      <c r="A1201">
        <v>46088</v>
      </c>
      <c r="B1201" t="s">
        <v>103</v>
      </c>
      <c r="C1201" t="s">
        <v>104</v>
      </c>
      <c r="D1201" t="s">
        <v>65</v>
      </c>
      <c r="E1201" t="s">
        <v>33</v>
      </c>
      <c r="F1201" t="s">
        <v>43</v>
      </c>
      <c r="G1201" t="s">
        <v>102</v>
      </c>
      <c r="H1201" t="s">
        <v>90</v>
      </c>
      <c r="I1201" t="s">
        <v>37</v>
      </c>
      <c r="J1201" t="s">
        <v>87</v>
      </c>
      <c r="K1201">
        <v>4451</v>
      </c>
      <c r="L1201">
        <v>47</v>
      </c>
      <c r="M1201">
        <v>5.66</v>
      </c>
      <c r="N1201">
        <v>0</v>
      </c>
      <c r="O1201">
        <v>0</v>
      </c>
      <c r="P1201">
        <f t="shared" si="72"/>
        <v>1.0559424848348686E-2</v>
      </c>
      <c r="Q1201">
        <f t="shared" si="72"/>
        <v>0.12042553191489362</v>
      </c>
      <c r="R1201">
        <f t="shared" si="73"/>
        <v>0</v>
      </c>
      <c r="S1201">
        <f t="shared" si="74"/>
        <v>0</v>
      </c>
      <c r="T1201">
        <f t="shared" si="75"/>
        <v>0</v>
      </c>
      <c r="U1201" t="str">
        <f>YEAR('Campaign Data'!$A1201)&amp;"-"&amp;TEXT(MONTH('Campaign Data'!$A1201),"00")</f>
        <v>2026-03</v>
      </c>
    </row>
    <row r="1202" spans="1:21" x14ac:dyDescent="0.25">
      <c r="A1202">
        <v>46088</v>
      </c>
      <c r="B1202" t="s">
        <v>103</v>
      </c>
      <c r="C1202" t="s">
        <v>104</v>
      </c>
      <c r="D1202" t="s">
        <v>65</v>
      </c>
      <c r="E1202" t="s">
        <v>33</v>
      </c>
      <c r="F1202" t="s">
        <v>43</v>
      </c>
      <c r="G1202" t="s">
        <v>102</v>
      </c>
      <c r="H1202" t="s">
        <v>51</v>
      </c>
      <c r="I1202" t="s">
        <v>28</v>
      </c>
      <c r="J1202" t="s">
        <v>38</v>
      </c>
      <c r="K1202">
        <v>11915</v>
      </c>
      <c r="L1202">
        <v>96</v>
      </c>
      <c r="M1202">
        <v>58.22</v>
      </c>
      <c r="N1202">
        <v>3</v>
      </c>
      <c r="O1202">
        <v>49.93</v>
      </c>
      <c r="P1202">
        <f t="shared" si="72"/>
        <v>8.0570709190096509E-3</v>
      </c>
      <c r="Q1202">
        <f t="shared" si="72"/>
        <v>0.60645833333333332</v>
      </c>
      <c r="R1202">
        <f t="shared" si="73"/>
        <v>19.406666666666666</v>
      </c>
      <c r="S1202">
        <f t="shared" si="74"/>
        <v>0.85760906904843692</v>
      </c>
      <c r="T1202">
        <f t="shared" si="75"/>
        <v>3.125E-2</v>
      </c>
      <c r="U1202" t="str">
        <f>YEAR('Campaign Data'!$A1202)&amp;"-"&amp;TEXT(MONTH('Campaign Data'!$A1202),"00")</f>
        <v>2026-03</v>
      </c>
    </row>
    <row r="1203" spans="1:21" x14ac:dyDescent="0.25">
      <c r="A1203">
        <v>46088</v>
      </c>
      <c r="B1203" t="s">
        <v>105</v>
      </c>
      <c r="C1203" t="s">
        <v>106</v>
      </c>
      <c r="D1203" t="s">
        <v>58</v>
      </c>
      <c r="E1203" t="s">
        <v>49</v>
      </c>
      <c r="F1203" t="s">
        <v>81</v>
      </c>
      <c r="G1203" t="s">
        <v>107</v>
      </c>
      <c r="H1203" t="s">
        <v>36</v>
      </c>
      <c r="I1203" t="s">
        <v>37</v>
      </c>
      <c r="J1203" t="s">
        <v>38</v>
      </c>
      <c r="K1203">
        <v>9749</v>
      </c>
      <c r="L1203">
        <v>312</v>
      </c>
      <c r="M1203">
        <v>548.15</v>
      </c>
      <c r="N1203">
        <v>21</v>
      </c>
      <c r="O1203">
        <v>306.17</v>
      </c>
      <c r="P1203">
        <f t="shared" si="72"/>
        <v>3.2003282387937225E-2</v>
      </c>
      <c r="Q1203">
        <f t="shared" si="72"/>
        <v>1.7568910256410255</v>
      </c>
      <c r="R1203">
        <f t="shared" si="73"/>
        <v>26.102380952380951</v>
      </c>
      <c r="S1203">
        <f t="shared" si="74"/>
        <v>0.55855149138009674</v>
      </c>
      <c r="T1203">
        <f t="shared" si="75"/>
        <v>6.7307692307692304E-2</v>
      </c>
      <c r="U1203" t="str">
        <f>YEAR('Campaign Data'!$A1203)&amp;"-"&amp;TEXT(MONTH('Campaign Data'!$A1203),"00")</f>
        <v>2026-03</v>
      </c>
    </row>
    <row r="1204" spans="1:21" x14ac:dyDescent="0.25">
      <c r="A1204">
        <v>46088</v>
      </c>
      <c r="B1204" t="s">
        <v>130</v>
      </c>
      <c r="C1204" t="s">
        <v>131</v>
      </c>
      <c r="D1204" t="s">
        <v>48</v>
      </c>
      <c r="E1204" t="s">
        <v>33</v>
      </c>
      <c r="F1204" t="s">
        <v>34</v>
      </c>
      <c r="G1204" t="s">
        <v>35</v>
      </c>
      <c r="H1204" t="s">
        <v>90</v>
      </c>
      <c r="I1204" t="s">
        <v>37</v>
      </c>
      <c r="J1204" t="s">
        <v>62</v>
      </c>
      <c r="K1204">
        <v>30758</v>
      </c>
      <c r="L1204">
        <v>478</v>
      </c>
      <c r="M1204">
        <v>98.92</v>
      </c>
      <c r="N1204">
        <v>8</v>
      </c>
      <c r="O1204">
        <v>320.22000000000003</v>
      </c>
      <c r="P1204">
        <f t="shared" si="72"/>
        <v>1.5540672345406074E-2</v>
      </c>
      <c r="Q1204">
        <f t="shared" si="72"/>
        <v>0.20694560669456066</v>
      </c>
      <c r="R1204">
        <f t="shared" si="73"/>
        <v>12.365</v>
      </c>
      <c r="S1204">
        <f t="shared" si="74"/>
        <v>3.2371613424989891</v>
      </c>
      <c r="T1204">
        <f t="shared" si="75"/>
        <v>1.6736401673640166E-2</v>
      </c>
      <c r="U1204" t="str">
        <f>YEAR('Campaign Data'!$A1204)&amp;"-"&amp;TEXT(MONTH('Campaign Data'!$A1204),"00")</f>
        <v>2026-03</v>
      </c>
    </row>
    <row r="1205" spans="1:21" x14ac:dyDescent="0.25">
      <c r="A1205">
        <v>46088</v>
      </c>
      <c r="B1205" t="s">
        <v>132</v>
      </c>
      <c r="C1205" t="s">
        <v>133</v>
      </c>
      <c r="D1205" t="s">
        <v>23</v>
      </c>
      <c r="E1205" t="s">
        <v>42</v>
      </c>
      <c r="F1205" t="s">
        <v>75</v>
      </c>
      <c r="G1205" t="s">
        <v>84</v>
      </c>
      <c r="H1205" t="s">
        <v>27</v>
      </c>
      <c r="I1205" t="s">
        <v>37</v>
      </c>
      <c r="J1205" t="s">
        <v>62</v>
      </c>
      <c r="K1205">
        <v>2527</v>
      </c>
      <c r="L1205">
        <v>12</v>
      </c>
      <c r="M1205">
        <v>96.68</v>
      </c>
      <c r="N1205">
        <v>1</v>
      </c>
      <c r="O1205">
        <v>57.34</v>
      </c>
      <c r="P1205">
        <f t="shared" si="72"/>
        <v>4.7487138899881282E-3</v>
      </c>
      <c r="Q1205">
        <f t="shared" si="72"/>
        <v>8.0566666666666666</v>
      </c>
      <c r="R1205">
        <f t="shared" si="73"/>
        <v>96.68</v>
      </c>
      <c r="S1205">
        <f t="shared" si="74"/>
        <v>0.59309060819197357</v>
      </c>
      <c r="T1205">
        <f t="shared" si="75"/>
        <v>8.3333333333333329E-2</v>
      </c>
      <c r="U1205" t="str">
        <f>YEAR('Campaign Data'!$A1205)&amp;"-"&amp;TEXT(MONTH('Campaign Data'!$A1205),"00")</f>
        <v>2026-03</v>
      </c>
    </row>
    <row r="1206" spans="1:21" x14ac:dyDescent="0.25">
      <c r="A1206">
        <v>46088</v>
      </c>
      <c r="B1206" t="s">
        <v>177</v>
      </c>
      <c r="C1206" t="s">
        <v>178</v>
      </c>
      <c r="D1206" t="s">
        <v>41</v>
      </c>
      <c r="E1206" t="s">
        <v>49</v>
      </c>
      <c r="F1206" t="s">
        <v>34</v>
      </c>
      <c r="G1206" t="s">
        <v>107</v>
      </c>
      <c r="H1206" t="s">
        <v>36</v>
      </c>
      <c r="I1206" t="s">
        <v>37</v>
      </c>
      <c r="J1206" t="s">
        <v>87</v>
      </c>
      <c r="K1206">
        <v>3008</v>
      </c>
      <c r="L1206">
        <v>134</v>
      </c>
      <c r="M1206">
        <v>258.68</v>
      </c>
      <c r="N1206">
        <v>3</v>
      </c>
      <c r="O1206">
        <v>369.03</v>
      </c>
      <c r="P1206">
        <f t="shared" si="72"/>
        <v>4.454787234042553E-2</v>
      </c>
      <c r="Q1206">
        <f t="shared" si="72"/>
        <v>1.9304477611940298</v>
      </c>
      <c r="R1206">
        <f t="shared" si="73"/>
        <v>86.226666666666674</v>
      </c>
      <c r="S1206">
        <f t="shared" si="74"/>
        <v>1.4265888356270293</v>
      </c>
      <c r="T1206">
        <f t="shared" si="75"/>
        <v>2.2388059701492536E-2</v>
      </c>
      <c r="U1206" t="str">
        <f>YEAR('Campaign Data'!$A1206)&amp;"-"&amp;TEXT(MONTH('Campaign Data'!$A1206),"00")</f>
        <v>2026-03</v>
      </c>
    </row>
    <row r="1207" spans="1:21" x14ac:dyDescent="0.25">
      <c r="A1207">
        <v>46088</v>
      </c>
      <c r="B1207" t="s">
        <v>110</v>
      </c>
      <c r="C1207" t="s">
        <v>111</v>
      </c>
      <c r="D1207" t="s">
        <v>23</v>
      </c>
      <c r="E1207" t="s">
        <v>49</v>
      </c>
      <c r="F1207" t="s">
        <v>34</v>
      </c>
      <c r="G1207" t="s">
        <v>50</v>
      </c>
      <c r="H1207" t="s">
        <v>27</v>
      </c>
      <c r="I1207" t="s">
        <v>61</v>
      </c>
      <c r="J1207" t="s">
        <v>45</v>
      </c>
      <c r="K1207">
        <v>7923</v>
      </c>
      <c r="L1207">
        <v>446</v>
      </c>
      <c r="M1207">
        <v>810.52</v>
      </c>
      <c r="N1207">
        <v>23</v>
      </c>
      <c r="O1207">
        <v>4008.19</v>
      </c>
      <c r="P1207">
        <f t="shared" si="72"/>
        <v>5.6291808658336488E-2</v>
      </c>
      <c r="Q1207">
        <f t="shared" si="72"/>
        <v>1.8173094170403588</v>
      </c>
      <c r="R1207">
        <f t="shared" si="73"/>
        <v>35.24</v>
      </c>
      <c r="S1207">
        <f t="shared" si="74"/>
        <v>4.945208014607906</v>
      </c>
      <c r="T1207">
        <f t="shared" si="75"/>
        <v>5.1569506726457402E-2</v>
      </c>
      <c r="U1207" t="str">
        <f>YEAR('Campaign Data'!$A1207)&amp;"-"&amp;TEXT(MONTH('Campaign Data'!$A1207),"00")</f>
        <v>2026-03</v>
      </c>
    </row>
    <row r="1208" spans="1:21" x14ac:dyDescent="0.25">
      <c r="A1208">
        <v>46088</v>
      </c>
      <c r="B1208" t="s">
        <v>112</v>
      </c>
      <c r="C1208" t="s">
        <v>113</v>
      </c>
      <c r="D1208" t="s">
        <v>32</v>
      </c>
      <c r="E1208" t="s">
        <v>24</v>
      </c>
      <c r="F1208" t="s">
        <v>75</v>
      </c>
      <c r="G1208" t="s">
        <v>66</v>
      </c>
      <c r="H1208" t="s">
        <v>27</v>
      </c>
      <c r="I1208" t="s">
        <v>37</v>
      </c>
      <c r="J1208" t="s">
        <v>62</v>
      </c>
      <c r="K1208">
        <v>7767</v>
      </c>
      <c r="L1208">
        <v>88</v>
      </c>
      <c r="M1208">
        <v>126.15</v>
      </c>
      <c r="N1208">
        <v>6</v>
      </c>
      <c r="O1208">
        <v>341.8</v>
      </c>
      <c r="P1208">
        <f t="shared" si="72"/>
        <v>1.1329985837517704E-2</v>
      </c>
      <c r="Q1208">
        <f t="shared" si="72"/>
        <v>1.4335227272727273</v>
      </c>
      <c r="R1208">
        <f t="shared" si="73"/>
        <v>21.025000000000002</v>
      </c>
      <c r="S1208">
        <f t="shared" si="74"/>
        <v>2.7094728497820055</v>
      </c>
      <c r="T1208">
        <f t="shared" si="75"/>
        <v>6.8181818181818177E-2</v>
      </c>
      <c r="U1208" t="str">
        <f>YEAR('Campaign Data'!$A1208)&amp;"-"&amp;TEXT(MONTH('Campaign Data'!$A1208),"00")</f>
        <v>2026-03</v>
      </c>
    </row>
    <row r="1209" spans="1:21" x14ac:dyDescent="0.25">
      <c r="A1209">
        <v>46088</v>
      </c>
      <c r="B1209" t="s">
        <v>181</v>
      </c>
      <c r="C1209" t="s">
        <v>182</v>
      </c>
      <c r="D1209" t="s">
        <v>32</v>
      </c>
      <c r="E1209" t="s">
        <v>33</v>
      </c>
      <c r="F1209" t="s">
        <v>75</v>
      </c>
      <c r="G1209" t="s">
        <v>59</v>
      </c>
      <c r="H1209" t="s">
        <v>27</v>
      </c>
      <c r="I1209" t="s">
        <v>28</v>
      </c>
      <c r="J1209" t="s">
        <v>87</v>
      </c>
      <c r="K1209">
        <v>10929</v>
      </c>
      <c r="L1209">
        <v>99</v>
      </c>
      <c r="M1209">
        <v>93.96</v>
      </c>
      <c r="N1209">
        <v>1</v>
      </c>
      <c r="O1209">
        <v>29.35</v>
      </c>
      <c r="P1209">
        <f t="shared" si="72"/>
        <v>9.0584682953609667E-3</v>
      </c>
      <c r="Q1209">
        <f t="shared" si="72"/>
        <v>0.94909090909090899</v>
      </c>
      <c r="R1209">
        <f t="shared" si="73"/>
        <v>93.96</v>
      </c>
      <c r="S1209">
        <f t="shared" si="74"/>
        <v>0.31236696466581526</v>
      </c>
      <c r="T1209">
        <f t="shared" si="75"/>
        <v>1.0101010101010102E-2</v>
      </c>
      <c r="U1209" t="str">
        <f>YEAR('Campaign Data'!$A1209)&amp;"-"&amp;TEXT(MONTH('Campaign Data'!$A1209),"00")</f>
        <v>2026-03</v>
      </c>
    </row>
    <row r="1210" spans="1:21" x14ac:dyDescent="0.25">
      <c r="A1210">
        <v>46088</v>
      </c>
      <c r="B1210" t="s">
        <v>181</v>
      </c>
      <c r="C1210" t="s">
        <v>182</v>
      </c>
      <c r="D1210" t="s">
        <v>32</v>
      </c>
      <c r="E1210" t="s">
        <v>33</v>
      </c>
      <c r="F1210" t="s">
        <v>75</v>
      </c>
      <c r="G1210" t="s">
        <v>59</v>
      </c>
      <c r="H1210" t="s">
        <v>71</v>
      </c>
      <c r="I1210" t="s">
        <v>28</v>
      </c>
      <c r="J1210" t="s">
        <v>62</v>
      </c>
      <c r="K1210">
        <v>3376</v>
      </c>
      <c r="L1210">
        <v>32</v>
      </c>
      <c r="M1210">
        <v>17.38</v>
      </c>
      <c r="N1210">
        <v>0</v>
      </c>
      <c r="O1210">
        <v>0</v>
      </c>
      <c r="P1210">
        <f t="shared" si="72"/>
        <v>9.4786729857819912E-3</v>
      </c>
      <c r="Q1210">
        <f t="shared" si="72"/>
        <v>0.54312499999999997</v>
      </c>
      <c r="R1210">
        <f t="shared" si="73"/>
        <v>0</v>
      </c>
      <c r="S1210">
        <f t="shared" si="74"/>
        <v>0</v>
      </c>
      <c r="T1210">
        <f t="shared" si="75"/>
        <v>0</v>
      </c>
      <c r="U1210" t="str">
        <f>YEAR('Campaign Data'!$A1210)&amp;"-"&amp;TEXT(MONTH('Campaign Data'!$A1210),"00")</f>
        <v>2026-03</v>
      </c>
    </row>
    <row r="1211" spans="1:21" x14ac:dyDescent="0.25">
      <c r="A1211">
        <v>46088</v>
      </c>
      <c r="B1211" t="s">
        <v>114</v>
      </c>
      <c r="C1211" t="s">
        <v>115</v>
      </c>
      <c r="D1211" t="s">
        <v>69</v>
      </c>
      <c r="E1211" t="s">
        <v>49</v>
      </c>
      <c r="F1211" t="s">
        <v>25</v>
      </c>
      <c r="G1211" t="s">
        <v>107</v>
      </c>
      <c r="H1211" t="s">
        <v>27</v>
      </c>
      <c r="I1211" t="s">
        <v>28</v>
      </c>
      <c r="J1211" t="s">
        <v>87</v>
      </c>
      <c r="K1211">
        <v>2315</v>
      </c>
      <c r="L1211">
        <v>59</v>
      </c>
      <c r="M1211">
        <v>116.24</v>
      </c>
      <c r="N1211">
        <v>1</v>
      </c>
      <c r="O1211">
        <v>216.56</v>
      </c>
      <c r="P1211">
        <f t="shared" si="72"/>
        <v>2.5485961123110152E-2</v>
      </c>
      <c r="Q1211">
        <f t="shared" si="72"/>
        <v>1.9701694915254235</v>
      </c>
      <c r="R1211">
        <f t="shared" si="73"/>
        <v>116.24</v>
      </c>
      <c r="S1211">
        <f t="shared" si="74"/>
        <v>1.8630419821059878</v>
      </c>
      <c r="T1211">
        <f t="shared" si="75"/>
        <v>1.6949152542372881E-2</v>
      </c>
      <c r="U1211" t="str">
        <f>YEAR('Campaign Data'!$A1211)&amp;"-"&amp;TEXT(MONTH('Campaign Data'!$A1211),"00")</f>
        <v>2026-03</v>
      </c>
    </row>
    <row r="1212" spans="1:21" x14ac:dyDescent="0.25">
      <c r="A1212">
        <v>46088</v>
      </c>
      <c r="B1212" t="s">
        <v>136</v>
      </c>
      <c r="C1212" t="s">
        <v>137</v>
      </c>
      <c r="D1212" t="s">
        <v>32</v>
      </c>
      <c r="E1212" t="s">
        <v>49</v>
      </c>
      <c r="F1212" t="s">
        <v>75</v>
      </c>
      <c r="G1212" t="s">
        <v>97</v>
      </c>
      <c r="H1212" t="s">
        <v>60</v>
      </c>
      <c r="I1212" t="s">
        <v>37</v>
      </c>
      <c r="J1212" t="s">
        <v>45</v>
      </c>
      <c r="K1212">
        <v>13894</v>
      </c>
      <c r="L1212">
        <v>477</v>
      </c>
      <c r="M1212">
        <v>874.81</v>
      </c>
      <c r="N1212">
        <v>12</v>
      </c>
      <c r="O1212">
        <v>463.35</v>
      </c>
      <c r="P1212">
        <f t="shared" si="72"/>
        <v>3.4331366057290917E-2</v>
      </c>
      <c r="Q1212">
        <f t="shared" si="72"/>
        <v>1.8339832285115303</v>
      </c>
      <c r="R1212">
        <f t="shared" si="73"/>
        <v>72.900833333333324</v>
      </c>
      <c r="S1212">
        <f t="shared" si="74"/>
        <v>0.52965786856574582</v>
      </c>
      <c r="T1212">
        <f t="shared" si="75"/>
        <v>2.5157232704402517E-2</v>
      </c>
      <c r="U1212" t="str">
        <f>YEAR('Campaign Data'!$A1212)&amp;"-"&amp;TEXT(MONTH('Campaign Data'!$A1212),"00")</f>
        <v>2026-03</v>
      </c>
    </row>
    <row r="1213" spans="1:21" x14ac:dyDescent="0.25">
      <c r="A1213">
        <v>46088</v>
      </c>
      <c r="B1213" t="s">
        <v>136</v>
      </c>
      <c r="C1213" t="s">
        <v>137</v>
      </c>
      <c r="D1213" t="s">
        <v>32</v>
      </c>
      <c r="E1213" t="s">
        <v>49</v>
      </c>
      <c r="F1213" t="s">
        <v>75</v>
      </c>
      <c r="G1213" t="s">
        <v>97</v>
      </c>
      <c r="H1213" t="s">
        <v>55</v>
      </c>
      <c r="I1213" t="s">
        <v>28</v>
      </c>
      <c r="J1213" t="s">
        <v>62</v>
      </c>
      <c r="K1213">
        <v>3657</v>
      </c>
      <c r="L1213">
        <v>217</v>
      </c>
      <c r="M1213">
        <v>383.61</v>
      </c>
      <c r="N1213">
        <v>12</v>
      </c>
      <c r="O1213">
        <v>257.83999999999997</v>
      </c>
      <c r="P1213">
        <f t="shared" si="72"/>
        <v>5.9338255400601586E-2</v>
      </c>
      <c r="Q1213">
        <f t="shared" si="72"/>
        <v>1.7677880184331798</v>
      </c>
      <c r="R1213">
        <f t="shared" si="73"/>
        <v>31.967500000000001</v>
      </c>
      <c r="S1213">
        <f t="shared" si="74"/>
        <v>0.67214097651260385</v>
      </c>
      <c r="T1213">
        <f t="shared" si="75"/>
        <v>5.5299539170506916E-2</v>
      </c>
      <c r="U1213" t="str">
        <f>YEAR('Campaign Data'!$A1213)&amp;"-"&amp;TEXT(MONTH('Campaign Data'!$A1213),"00")</f>
        <v>2026-03</v>
      </c>
    </row>
    <row r="1214" spans="1:21" x14ac:dyDescent="0.25">
      <c r="A1214">
        <v>46088</v>
      </c>
      <c r="B1214" t="s">
        <v>163</v>
      </c>
      <c r="C1214" t="s">
        <v>164</v>
      </c>
      <c r="D1214" t="s">
        <v>58</v>
      </c>
      <c r="E1214" t="s">
        <v>42</v>
      </c>
      <c r="F1214" t="s">
        <v>43</v>
      </c>
      <c r="G1214" t="s">
        <v>44</v>
      </c>
      <c r="H1214" t="s">
        <v>27</v>
      </c>
      <c r="I1214" t="s">
        <v>28</v>
      </c>
      <c r="J1214" t="s">
        <v>45</v>
      </c>
      <c r="K1214">
        <v>4743</v>
      </c>
      <c r="L1214">
        <v>19</v>
      </c>
      <c r="M1214">
        <v>151.85</v>
      </c>
      <c r="N1214">
        <v>1</v>
      </c>
      <c r="O1214">
        <v>34.53</v>
      </c>
      <c r="P1214">
        <f t="shared" si="72"/>
        <v>4.0059034366434747E-3</v>
      </c>
      <c r="Q1214">
        <f t="shared" si="72"/>
        <v>7.9921052631578942</v>
      </c>
      <c r="R1214">
        <f t="shared" si="73"/>
        <v>151.85</v>
      </c>
      <c r="S1214">
        <f t="shared" si="74"/>
        <v>0.22739545604214687</v>
      </c>
      <c r="T1214">
        <f t="shared" si="75"/>
        <v>5.2631578947368418E-2</v>
      </c>
      <c r="U1214" t="str">
        <f>YEAR('Campaign Data'!$A1214)&amp;"-"&amp;TEXT(MONTH('Campaign Data'!$A1214),"00")</f>
        <v>2026-03</v>
      </c>
    </row>
    <row r="1215" spans="1:21" x14ac:dyDescent="0.25">
      <c r="A1215">
        <v>46088</v>
      </c>
      <c r="B1215" t="s">
        <v>145</v>
      </c>
      <c r="C1215" t="s">
        <v>146</v>
      </c>
      <c r="D1215" t="s">
        <v>41</v>
      </c>
      <c r="E1215" t="s">
        <v>49</v>
      </c>
      <c r="F1215" t="s">
        <v>75</v>
      </c>
      <c r="G1215" t="s">
        <v>70</v>
      </c>
      <c r="H1215" t="s">
        <v>27</v>
      </c>
      <c r="I1215" t="s">
        <v>28</v>
      </c>
      <c r="J1215" t="s">
        <v>38</v>
      </c>
      <c r="K1215">
        <v>8123</v>
      </c>
      <c r="L1215">
        <v>331</v>
      </c>
      <c r="M1215">
        <v>702.46</v>
      </c>
      <c r="N1215">
        <v>15</v>
      </c>
      <c r="O1215">
        <v>885.45</v>
      </c>
      <c r="P1215">
        <f t="shared" si="72"/>
        <v>4.0748491936476672E-2</v>
      </c>
      <c r="Q1215">
        <f t="shared" si="72"/>
        <v>2.1222356495468278</v>
      </c>
      <c r="R1215">
        <f t="shared" si="73"/>
        <v>46.830666666666666</v>
      </c>
      <c r="S1215">
        <f t="shared" si="74"/>
        <v>1.2604988184380606</v>
      </c>
      <c r="T1215">
        <f t="shared" si="75"/>
        <v>4.5317220543806644E-2</v>
      </c>
      <c r="U1215" t="str">
        <f>YEAR('Campaign Data'!$A1215)&amp;"-"&amp;TEXT(MONTH('Campaign Data'!$A1215),"00")</f>
        <v>2026-03</v>
      </c>
    </row>
    <row r="1216" spans="1:21" x14ac:dyDescent="0.25">
      <c r="A1216">
        <v>46088</v>
      </c>
      <c r="B1216" t="s">
        <v>76</v>
      </c>
      <c r="C1216" t="s">
        <v>77</v>
      </c>
      <c r="D1216" t="s">
        <v>65</v>
      </c>
      <c r="E1216" t="s">
        <v>42</v>
      </c>
      <c r="F1216" t="s">
        <v>43</v>
      </c>
      <c r="G1216" t="s">
        <v>44</v>
      </c>
      <c r="H1216" t="s">
        <v>60</v>
      </c>
      <c r="I1216" t="s">
        <v>37</v>
      </c>
      <c r="J1216" t="s">
        <v>62</v>
      </c>
      <c r="K1216">
        <v>5005</v>
      </c>
      <c r="L1216">
        <v>43</v>
      </c>
      <c r="M1216">
        <v>247.19</v>
      </c>
      <c r="N1216">
        <v>1</v>
      </c>
      <c r="O1216">
        <v>21.24</v>
      </c>
      <c r="P1216">
        <f t="shared" si="72"/>
        <v>8.5914085914085923E-3</v>
      </c>
      <c r="Q1216">
        <f t="shared" si="72"/>
        <v>5.7486046511627906</v>
      </c>
      <c r="R1216">
        <f t="shared" si="73"/>
        <v>247.19</v>
      </c>
      <c r="S1216">
        <f t="shared" si="74"/>
        <v>8.5925806060115698E-2</v>
      </c>
      <c r="T1216">
        <f t="shared" si="75"/>
        <v>2.3255813953488372E-2</v>
      </c>
      <c r="U1216" t="str">
        <f>YEAR('Campaign Data'!$A1216)&amp;"-"&amp;TEXT(MONTH('Campaign Data'!$A1216),"00")</f>
        <v>2026-03</v>
      </c>
    </row>
    <row r="1217" spans="1:21" x14ac:dyDescent="0.25">
      <c r="A1217">
        <v>46088</v>
      </c>
      <c r="B1217" t="s">
        <v>78</v>
      </c>
      <c r="C1217" t="s">
        <v>79</v>
      </c>
      <c r="D1217" t="s">
        <v>80</v>
      </c>
      <c r="E1217" t="s">
        <v>24</v>
      </c>
      <c r="F1217" t="s">
        <v>81</v>
      </c>
      <c r="G1217" t="s">
        <v>66</v>
      </c>
      <c r="H1217" t="s">
        <v>27</v>
      </c>
      <c r="I1217" t="s">
        <v>28</v>
      </c>
      <c r="J1217" t="s">
        <v>45</v>
      </c>
      <c r="K1217">
        <v>2919</v>
      </c>
      <c r="L1217">
        <v>55</v>
      </c>
      <c r="M1217">
        <v>48.33</v>
      </c>
      <c r="N1217">
        <v>0</v>
      </c>
      <c r="O1217">
        <v>0</v>
      </c>
      <c r="P1217">
        <f t="shared" si="72"/>
        <v>1.8842069201781431E-2</v>
      </c>
      <c r="Q1217">
        <f t="shared" si="72"/>
        <v>0.87872727272727269</v>
      </c>
      <c r="R1217">
        <f t="shared" si="73"/>
        <v>0</v>
      </c>
      <c r="S1217">
        <f t="shared" si="74"/>
        <v>0</v>
      </c>
      <c r="T1217">
        <f t="shared" si="75"/>
        <v>0</v>
      </c>
      <c r="U1217" t="str">
        <f>YEAR('Campaign Data'!$A1217)&amp;"-"&amp;TEXT(MONTH('Campaign Data'!$A1217),"00")</f>
        <v>2026-03</v>
      </c>
    </row>
    <row r="1218" spans="1:21" x14ac:dyDescent="0.25">
      <c r="A1218">
        <v>46089</v>
      </c>
      <c r="B1218" t="s">
        <v>173</v>
      </c>
      <c r="C1218" t="s">
        <v>174</v>
      </c>
      <c r="D1218" t="s">
        <v>48</v>
      </c>
      <c r="E1218" t="s">
        <v>74</v>
      </c>
      <c r="F1218" t="s">
        <v>25</v>
      </c>
      <c r="G1218" t="s">
        <v>9</v>
      </c>
      <c r="H1218" t="s">
        <v>60</v>
      </c>
      <c r="I1218" t="s">
        <v>28</v>
      </c>
      <c r="J1218" t="s">
        <v>29</v>
      </c>
      <c r="K1218">
        <v>4838</v>
      </c>
      <c r="L1218">
        <v>162</v>
      </c>
      <c r="M1218">
        <v>218.09</v>
      </c>
      <c r="N1218">
        <v>4</v>
      </c>
      <c r="O1218">
        <v>565.16</v>
      </c>
      <c r="P1218">
        <f t="shared" ref="P1218:Q1281" si="76">IF(K1218=0,0,L1218/K1218)</f>
        <v>3.3484911120297646E-2</v>
      </c>
      <c r="Q1218">
        <f t="shared" si="76"/>
        <v>1.3462345679012346</v>
      </c>
      <c r="R1218">
        <f t="shared" ref="R1218:R1281" si="77">IF(N1218=0,0,M1218/N1218)</f>
        <v>54.522500000000001</v>
      </c>
      <c r="S1218">
        <f t="shared" ref="S1218:S1281" si="78">IF(M1218=0,0,O1218/M1218)</f>
        <v>2.5914072172039067</v>
      </c>
      <c r="T1218">
        <f t="shared" ref="T1218:T1281" si="79">IF(L1218=0,0,N1218/L1218)</f>
        <v>2.4691358024691357E-2</v>
      </c>
      <c r="U1218" t="str">
        <f>YEAR('Campaign Data'!$A1218)&amp;"-"&amp;TEXT(MONTH('Campaign Data'!$A1218),"00")</f>
        <v>2026-03</v>
      </c>
    </row>
    <row r="1219" spans="1:21" x14ac:dyDescent="0.25">
      <c r="A1219">
        <v>46089</v>
      </c>
      <c r="B1219" t="s">
        <v>88</v>
      </c>
      <c r="C1219" t="s">
        <v>89</v>
      </c>
      <c r="D1219" t="s">
        <v>23</v>
      </c>
      <c r="E1219" t="s">
        <v>49</v>
      </c>
      <c r="F1219" t="s">
        <v>81</v>
      </c>
      <c r="G1219" t="s">
        <v>50</v>
      </c>
      <c r="H1219" t="s">
        <v>27</v>
      </c>
      <c r="I1219" t="s">
        <v>28</v>
      </c>
      <c r="J1219" t="s">
        <v>38</v>
      </c>
      <c r="K1219">
        <v>2693</v>
      </c>
      <c r="L1219">
        <v>111</v>
      </c>
      <c r="M1219">
        <v>312.29000000000002</v>
      </c>
      <c r="N1219">
        <v>6</v>
      </c>
      <c r="O1219">
        <v>139.06</v>
      </c>
      <c r="P1219">
        <f t="shared" si="76"/>
        <v>4.1217972521351655E-2</v>
      </c>
      <c r="Q1219">
        <f t="shared" si="76"/>
        <v>2.8134234234234237</v>
      </c>
      <c r="R1219">
        <f t="shared" si="77"/>
        <v>52.048333333333339</v>
      </c>
      <c r="S1219">
        <f t="shared" si="78"/>
        <v>0.44529123571039736</v>
      </c>
      <c r="T1219">
        <f t="shared" si="79"/>
        <v>5.4054054054054057E-2</v>
      </c>
      <c r="U1219" t="str">
        <f>YEAR('Campaign Data'!$A1219)&amp;"-"&amp;TEXT(MONTH('Campaign Data'!$A1219),"00")</f>
        <v>2026-03</v>
      </c>
    </row>
    <row r="1220" spans="1:21" x14ac:dyDescent="0.25">
      <c r="A1220">
        <v>46089</v>
      </c>
      <c r="B1220" t="s">
        <v>167</v>
      </c>
      <c r="C1220" t="s">
        <v>168</v>
      </c>
      <c r="D1220" t="s">
        <v>58</v>
      </c>
      <c r="E1220" t="s">
        <v>33</v>
      </c>
      <c r="F1220" t="s">
        <v>75</v>
      </c>
      <c r="G1220" t="s">
        <v>35</v>
      </c>
      <c r="H1220" t="s">
        <v>60</v>
      </c>
      <c r="I1220" t="s">
        <v>28</v>
      </c>
      <c r="J1220" t="s">
        <v>45</v>
      </c>
      <c r="K1220">
        <v>6917</v>
      </c>
      <c r="L1220">
        <v>93</v>
      </c>
      <c r="M1220">
        <v>48.99</v>
      </c>
      <c r="N1220">
        <v>1</v>
      </c>
      <c r="O1220">
        <v>39.130000000000003</v>
      </c>
      <c r="P1220">
        <f t="shared" si="76"/>
        <v>1.3445135174208473E-2</v>
      </c>
      <c r="Q1220">
        <f t="shared" si="76"/>
        <v>0.52677419354838717</v>
      </c>
      <c r="R1220">
        <f t="shared" si="77"/>
        <v>48.99</v>
      </c>
      <c r="S1220">
        <f t="shared" si="78"/>
        <v>0.79873443559910184</v>
      </c>
      <c r="T1220">
        <f t="shared" si="79"/>
        <v>1.0752688172043012E-2</v>
      </c>
      <c r="U1220" t="str">
        <f>YEAR('Campaign Data'!$A1220)&amp;"-"&amp;TEXT(MONTH('Campaign Data'!$A1220),"00")</f>
        <v>2026-03</v>
      </c>
    </row>
    <row r="1221" spans="1:21" x14ac:dyDescent="0.25">
      <c r="A1221">
        <v>46089</v>
      </c>
      <c r="B1221" t="s">
        <v>95</v>
      </c>
      <c r="C1221" t="s">
        <v>96</v>
      </c>
      <c r="D1221" t="s">
        <v>23</v>
      </c>
      <c r="E1221" t="s">
        <v>49</v>
      </c>
      <c r="F1221" t="s">
        <v>43</v>
      </c>
      <c r="G1221" t="s">
        <v>97</v>
      </c>
      <c r="H1221" t="s">
        <v>27</v>
      </c>
      <c r="I1221" t="s">
        <v>37</v>
      </c>
      <c r="J1221" t="s">
        <v>45</v>
      </c>
      <c r="K1221">
        <v>2444</v>
      </c>
      <c r="L1221">
        <v>152</v>
      </c>
      <c r="M1221">
        <v>278.58</v>
      </c>
      <c r="N1221">
        <v>6</v>
      </c>
      <c r="O1221">
        <v>185.05</v>
      </c>
      <c r="P1221">
        <f t="shared" si="76"/>
        <v>6.2193126022913256E-2</v>
      </c>
      <c r="Q1221">
        <f t="shared" si="76"/>
        <v>1.8327631578947368</v>
      </c>
      <c r="R1221">
        <f t="shared" si="77"/>
        <v>46.43</v>
      </c>
      <c r="S1221">
        <f t="shared" si="78"/>
        <v>0.66426161246320636</v>
      </c>
      <c r="T1221">
        <f t="shared" si="79"/>
        <v>3.9473684210526314E-2</v>
      </c>
      <c r="U1221" t="str">
        <f>YEAR('Campaign Data'!$A1221)&amp;"-"&amp;TEXT(MONTH('Campaign Data'!$A1221),"00")</f>
        <v>2026-03</v>
      </c>
    </row>
    <row r="1222" spans="1:21" x14ac:dyDescent="0.25">
      <c r="A1222">
        <v>46089</v>
      </c>
      <c r="B1222" t="s">
        <v>46</v>
      </c>
      <c r="C1222" t="s">
        <v>47</v>
      </c>
      <c r="D1222" t="s">
        <v>48</v>
      </c>
      <c r="E1222" t="s">
        <v>49</v>
      </c>
      <c r="F1222" t="s">
        <v>43</v>
      </c>
      <c r="G1222" t="s">
        <v>50</v>
      </c>
      <c r="H1222" t="s">
        <v>90</v>
      </c>
      <c r="I1222" t="s">
        <v>37</v>
      </c>
      <c r="J1222" t="s">
        <v>29</v>
      </c>
      <c r="K1222">
        <v>6447</v>
      </c>
      <c r="L1222">
        <v>211</v>
      </c>
      <c r="M1222">
        <v>114.61</v>
      </c>
      <c r="N1222">
        <v>10</v>
      </c>
      <c r="O1222">
        <v>79.73</v>
      </c>
      <c r="P1222">
        <f t="shared" si="76"/>
        <v>3.2728400806576699E-2</v>
      </c>
      <c r="Q1222">
        <f t="shared" si="76"/>
        <v>0.54317535545023699</v>
      </c>
      <c r="R1222">
        <f t="shared" si="77"/>
        <v>11.461</v>
      </c>
      <c r="S1222">
        <f t="shared" si="78"/>
        <v>0.69566355466364194</v>
      </c>
      <c r="T1222">
        <f t="shared" si="79"/>
        <v>4.7393364928909949E-2</v>
      </c>
      <c r="U1222" t="str">
        <f>YEAR('Campaign Data'!$A1222)&amp;"-"&amp;TEXT(MONTH('Campaign Data'!$A1222),"00")</f>
        <v>2026-03</v>
      </c>
    </row>
    <row r="1223" spans="1:21" x14ac:dyDescent="0.25">
      <c r="A1223">
        <v>46089</v>
      </c>
      <c r="B1223" t="s">
        <v>169</v>
      </c>
      <c r="C1223" t="s">
        <v>170</v>
      </c>
      <c r="D1223" t="s">
        <v>58</v>
      </c>
      <c r="E1223" t="s">
        <v>74</v>
      </c>
      <c r="F1223" t="s">
        <v>75</v>
      </c>
      <c r="G1223" t="s">
        <v>9</v>
      </c>
      <c r="H1223" t="s">
        <v>90</v>
      </c>
      <c r="I1223" t="s">
        <v>28</v>
      </c>
      <c r="J1223" t="s">
        <v>62</v>
      </c>
      <c r="K1223">
        <v>24847</v>
      </c>
      <c r="L1223">
        <v>545</v>
      </c>
      <c r="M1223">
        <v>173.91</v>
      </c>
      <c r="N1223">
        <v>34</v>
      </c>
      <c r="O1223">
        <v>300.27</v>
      </c>
      <c r="P1223">
        <f t="shared" si="76"/>
        <v>2.1934237533706283E-2</v>
      </c>
      <c r="Q1223">
        <f t="shared" si="76"/>
        <v>0.31910091743119268</v>
      </c>
      <c r="R1223">
        <f t="shared" si="77"/>
        <v>5.1150000000000002</v>
      </c>
      <c r="S1223">
        <f t="shared" si="78"/>
        <v>1.7265827151975159</v>
      </c>
      <c r="T1223">
        <f t="shared" si="79"/>
        <v>6.2385321100917435E-2</v>
      </c>
      <c r="U1223" t="str">
        <f>YEAR('Campaign Data'!$A1223)&amp;"-"&amp;TEXT(MONTH('Campaign Data'!$A1223),"00")</f>
        <v>2026-03</v>
      </c>
    </row>
    <row r="1224" spans="1:21" x14ac:dyDescent="0.25">
      <c r="A1224">
        <v>46089</v>
      </c>
      <c r="B1224" t="s">
        <v>108</v>
      </c>
      <c r="C1224" t="s">
        <v>109</v>
      </c>
      <c r="D1224" t="s">
        <v>58</v>
      </c>
      <c r="E1224" t="s">
        <v>33</v>
      </c>
      <c r="F1224" t="s">
        <v>43</v>
      </c>
      <c r="G1224" t="s">
        <v>59</v>
      </c>
      <c r="H1224" t="s">
        <v>60</v>
      </c>
      <c r="I1224" t="s">
        <v>28</v>
      </c>
      <c r="J1224" t="s">
        <v>62</v>
      </c>
      <c r="K1224">
        <v>20905</v>
      </c>
      <c r="L1224">
        <v>261</v>
      </c>
      <c r="M1224">
        <v>176.12</v>
      </c>
      <c r="N1224">
        <v>6</v>
      </c>
      <c r="O1224">
        <v>126.58</v>
      </c>
      <c r="P1224">
        <f t="shared" si="76"/>
        <v>1.2485051423104521E-2</v>
      </c>
      <c r="Q1224">
        <f t="shared" si="76"/>
        <v>0.67478927203065131</v>
      </c>
      <c r="R1224">
        <f t="shared" si="77"/>
        <v>29.353333333333335</v>
      </c>
      <c r="S1224">
        <f t="shared" si="78"/>
        <v>0.71871451283215981</v>
      </c>
      <c r="T1224">
        <f t="shared" si="79"/>
        <v>2.2988505747126436E-2</v>
      </c>
      <c r="U1224" t="str">
        <f>YEAR('Campaign Data'!$A1224)&amp;"-"&amp;TEXT(MONTH('Campaign Data'!$A1224),"00")</f>
        <v>2026-03</v>
      </c>
    </row>
    <row r="1225" spans="1:21" x14ac:dyDescent="0.25">
      <c r="A1225">
        <v>46089</v>
      </c>
      <c r="B1225" t="s">
        <v>108</v>
      </c>
      <c r="C1225" t="s">
        <v>109</v>
      </c>
      <c r="D1225" t="s">
        <v>58</v>
      </c>
      <c r="E1225" t="s">
        <v>33</v>
      </c>
      <c r="F1225" t="s">
        <v>43</v>
      </c>
      <c r="G1225" t="s">
        <v>59</v>
      </c>
      <c r="H1225" t="s">
        <v>51</v>
      </c>
      <c r="I1225" t="s">
        <v>37</v>
      </c>
      <c r="J1225" t="s">
        <v>29</v>
      </c>
      <c r="K1225">
        <v>3443</v>
      </c>
      <c r="L1225">
        <v>28</v>
      </c>
      <c r="M1225">
        <v>15.2</v>
      </c>
      <c r="N1225">
        <v>0</v>
      </c>
      <c r="O1225">
        <v>0</v>
      </c>
      <c r="P1225">
        <f t="shared" si="76"/>
        <v>8.1324426372349698E-3</v>
      </c>
      <c r="Q1225">
        <f t="shared" si="76"/>
        <v>0.54285714285714282</v>
      </c>
      <c r="R1225">
        <f t="shared" si="77"/>
        <v>0</v>
      </c>
      <c r="S1225">
        <f t="shared" si="78"/>
        <v>0</v>
      </c>
      <c r="T1225">
        <f t="shared" si="79"/>
        <v>0</v>
      </c>
      <c r="U1225" t="str">
        <f>YEAR('Campaign Data'!$A1225)&amp;"-"&amp;TEXT(MONTH('Campaign Data'!$A1225),"00")</f>
        <v>2026-03</v>
      </c>
    </row>
    <row r="1226" spans="1:21" x14ac:dyDescent="0.25">
      <c r="A1226">
        <v>46089</v>
      </c>
      <c r="B1226" t="s">
        <v>177</v>
      </c>
      <c r="C1226" t="s">
        <v>178</v>
      </c>
      <c r="D1226" t="s">
        <v>41</v>
      </c>
      <c r="E1226" t="s">
        <v>49</v>
      </c>
      <c r="F1226" t="s">
        <v>34</v>
      </c>
      <c r="G1226" t="s">
        <v>107</v>
      </c>
      <c r="H1226" t="s">
        <v>60</v>
      </c>
      <c r="I1226" t="s">
        <v>37</v>
      </c>
      <c r="J1226" t="s">
        <v>62</v>
      </c>
      <c r="K1226">
        <v>12458</v>
      </c>
      <c r="L1226">
        <v>631</v>
      </c>
      <c r="M1226">
        <v>1635.74</v>
      </c>
      <c r="N1226">
        <v>22</v>
      </c>
      <c r="O1226">
        <v>3331.67</v>
      </c>
      <c r="P1226">
        <f t="shared" si="76"/>
        <v>5.0650184620324293E-2</v>
      </c>
      <c r="Q1226">
        <f t="shared" si="76"/>
        <v>2.5922979397781298</v>
      </c>
      <c r="R1226">
        <f t="shared" si="77"/>
        <v>74.351818181818189</v>
      </c>
      <c r="S1226">
        <f t="shared" si="78"/>
        <v>2.0367968014476627</v>
      </c>
      <c r="T1226">
        <f t="shared" si="79"/>
        <v>3.486529318541997E-2</v>
      </c>
      <c r="U1226" t="str">
        <f>YEAR('Campaign Data'!$A1226)&amp;"-"&amp;TEXT(MONTH('Campaign Data'!$A1226),"00")</f>
        <v>2026-03</v>
      </c>
    </row>
    <row r="1227" spans="1:21" x14ac:dyDescent="0.25">
      <c r="A1227">
        <v>46089</v>
      </c>
      <c r="B1227" t="s">
        <v>171</v>
      </c>
      <c r="C1227" t="s">
        <v>172</v>
      </c>
      <c r="D1227" t="s">
        <v>23</v>
      </c>
      <c r="E1227" t="s">
        <v>33</v>
      </c>
      <c r="F1227" t="s">
        <v>75</v>
      </c>
      <c r="G1227" t="s">
        <v>59</v>
      </c>
      <c r="H1227" t="s">
        <v>51</v>
      </c>
      <c r="I1227" t="s">
        <v>61</v>
      </c>
      <c r="J1227" t="s">
        <v>38</v>
      </c>
      <c r="K1227">
        <v>9758</v>
      </c>
      <c r="L1227">
        <v>77</v>
      </c>
      <c r="M1227">
        <v>48.27</v>
      </c>
      <c r="N1227">
        <v>2</v>
      </c>
      <c r="O1227">
        <v>48.45</v>
      </c>
      <c r="P1227">
        <f t="shared" si="76"/>
        <v>7.8909612625538018E-3</v>
      </c>
      <c r="Q1227">
        <f t="shared" si="76"/>
        <v>0.62688311688311693</v>
      </c>
      <c r="R1227">
        <f t="shared" si="77"/>
        <v>24.135000000000002</v>
      </c>
      <c r="S1227">
        <f t="shared" si="78"/>
        <v>1.0037290242386576</v>
      </c>
      <c r="T1227">
        <f t="shared" si="79"/>
        <v>2.5974025974025976E-2</v>
      </c>
      <c r="U1227" t="str">
        <f>YEAR('Campaign Data'!$A1227)&amp;"-"&amp;TEXT(MONTH('Campaign Data'!$A1227),"00")</f>
        <v>2026-03</v>
      </c>
    </row>
    <row r="1228" spans="1:21" x14ac:dyDescent="0.25">
      <c r="A1228">
        <v>46089</v>
      </c>
      <c r="B1228" t="s">
        <v>140</v>
      </c>
      <c r="C1228" t="s">
        <v>40</v>
      </c>
      <c r="D1228" t="s">
        <v>41</v>
      </c>
      <c r="E1228" t="s">
        <v>42</v>
      </c>
      <c r="F1228" t="s">
        <v>43</v>
      </c>
      <c r="G1228" t="s">
        <v>44</v>
      </c>
      <c r="H1228" t="s">
        <v>71</v>
      </c>
      <c r="I1228" t="s">
        <v>37</v>
      </c>
      <c r="J1228" t="s">
        <v>87</v>
      </c>
      <c r="K1228">
        <v>9924</v>
      </c>
      <c r="L1228">
        <v>88</v>
      </c>
      <c r="M1228">
        <v>542.9</v>
      </c>
      <c r="N1228">
        <v>4</v>
      </c>
      <c r="O1228">
        <v>101.02</v>
      </c>
      <c r="P1228">
        <f t="shared" si="76"/>
        <v>8.8673921805723505E-3</v>
      </c>
      <c r="Q1228">
        <f t="shared" si="76"/>
        <v>6.1693181818181815</v>
      </c>
      <c r="R1228">
        <f t="shared" si="77"/>
        <v>135.72499999999999</v>
      </c>
      <c r="S1228">
        <f t="shared" si="78"/>
        <v>0.18607478356971818</v>
      </c>
      <c r="T1228">
        <f t="shared" si="79"/>
        <v>4.5454545454545456E-2</v>
      </c>
      <c r="U1228" t="str">
        <f>YEAR('Campaign Data'!$A1228)&amp;"-"&amp;TEXT(MONTH('Campaign Data'!$A1228),"00")</f>
        <v>2026-03</v>
      </c>
    </row>
    <row r="1229" spans="1:21" x14ac:dyDescent="0.25">
      <c r="A1229">
        <v>46089</v>
      </c>
      <c r="B1229" t="s">
        <v>157</v>
      </c>
      <c r="C1229" t="s">
        <v>158</v>
      </c>
      <c r="D1229" t="s">
        <v>58</v>
      </c>
      <c r="E1229" t="s">
        <v>49</v>
      </c>
      <c r="F1229" t="s">
        <v>81</v>
      </c>
      <c r="G1229" t="s">
        <v>50</v>
      </c>
      <c r="H1229" t="s">
        <v>90</v>
      </c>
      <c r="I1229" t="s">
        <v>37</v>
      </c>
      <c r="J1229" t="s">
        <v>45</v>
      </c>
      <c r="K1229">
        <v>5217</v>
      </c>
      <c r="L1229">
        <v>140</v>
      </c>
      <c r="M1229">
        <v>48.61</v>
      </c>
      <c r="N1229">
        <v>3</v>
      </c>
      <c r="O1229">
        <v>19.059999999999999</v>
      </c>
      <c r="P1229">
        <f t="shared" si="76"/>
        <v>2.6835345984282156E-2</v>
      </c>
      <c r="Q1229">
        <f t="shared" si="76"/>
        <v>0.3472142857142857</v>
      </c>
      <c r="R1229">
        <f t="shared" si="77"/>
        <v>16.203333333333333</v>
      </c>
      <c r="S1229">
        <f t="shared" si="78"/>
        <v>0.3921003908660769</v>
      </c>
      <c r="T1229">
        <f t="shared" si="79"/>
        <v>2.1428571428571429E-2</v>
      </c>
      <c r="U1229" t="str">
        <f>YEAR('Campaign Data'!$A1229)&amp;"-"&amp;TEXT(MONTH('Campaign Data'!$A1229),"00")</f>
        <v>2026-03</v>
      </c>
    </row>
    <row r="1230" spans="1:21" x14ac:dyDescent="0.25">
      <c r="A1230">
        <v>46089</v>
      </c>
      <c r="B1230" t="s">
        <v>157</v>
      </c>
      <c r="C1230" t="s">
        <v>158</v>
      </c>
      <c r="D1230" t="s">
        <v>58</v>
      </c>
      <c r="E1230" t="s">
        <v>49</v>
      </c>
      <c r="F1230" t="s">
        <v>81</v>
      </c>
      <c r="G1230" t="s">
        <v>50</v>
      </c>
      <c r="H1230" t="s">
        <v>60</v>
      </c>
      <c r="I1230" t="s">
        <v>37</v>
      </c>
      <c r="J1230" t="s">
        <v>29</v>
      </c>
      <c r="K1230">
        <v>2648</v>
      </c>
      <c r="L1230">
        <v>87</v>
      </c>
      <c r="M1230">
        <v>160.9</v>
      </c>
      <c r="N1230">
        <v>7</v>
      </c>
      <c r="O1230">
        <v>216.36</v>
      </c>
      <c r="P1230">
        <f t="shared" si="76"/>
        <v>3.2854984894259816E-2</v>
      </c>
      <c r="Q1230">
        <f t="shared" si="76"/>
        <v>1.8494252873563219</v>
      </c>
      <c r="R1230">
        <f t="shared" si="77"/>
        <v>22.985714285714288</v>
      </c>
      <c r="S1230">
        <f t="shared" si="78"/>
        <v>1.3446861404599131</v>
      </c>
      <c r="T1230">
        <f t="shared" si="79"/>
        <v>8.0459770114942528E-2</v>
      </c>
      <c r="U1230" t="str">
        <f>YEAR('Campaign Data'!$A1230)&amp;"-"&amp;TEXT(MONTH('Campaign Data'!$A1230),"00")</f>
        <v>2026-03</v>
      </c>
    </row>
    <row r="1231" spans="1:21" x14ac:dyDescent="0.25">
      <c r="A1231">
        <v>46089</v>
      </c>
      <c r="B1231" t="s">
        <v>112</v>
      </c>
      <c r="C1231" t="s">
        <v>113</v>
      </c>
      <c r="D1231" t="s">
        <v>32</v>
      </c>
      <c r="E1231" t="s">
        <v>24</v>
      </c>
      <c r="F1231" t="s">
        <v>75</v>
      </c>
      <c r="G1231" t="s">
        <v>66</v>
      </c>
      <c r="H1231" t="s">
        <v>71</v>
      </c>
      <c r="I1231" t="s">
        <v>37</v>
      </c>
      <c r="J1231" t="s">
        <v>45</v>
      </c>
      <c r="K1231">
        <v>17459</v>
      </c>
      <c r="L1231">
        <v>124</v>
      </c>
      <c r="M1231">
        <v>121.99</v>
      </c>
      <c r="N1231">
        <v>3</v>
      </c>
      <c r="O1231">
        <v>140.32</v>
      </c>
      <c r="P1231">
        <f t="shared" si="76"/>
        <v>7.1023540867174526E-3</v>
      </c>
      <c r="Q1231">
        <f t="shared" si="76"/>
        <v>0.98379032258064514</v>
      </c>
      <c r="R1231">
        <f t="shared" si="77"/>
        <v>40.663333333333334</v>
      </c>
      <c r="S1231">
        <f t="shared" si="78"/>
        <v>1.150258217886712</v>
      </c>
      <c r="T1231">
        <f t="shared" si="79"/>
        <v>2.4193548387096774E-2</v>
      </c>
      <c r="U1231" t="str">
        <f>YEAR('Campaign Data'!$A1231)&amp;"-"&amp;TEXT(MONTH('Campaign Data'!$A1231),"00")</f>
        <v>2026-03</v>
      </c>
    </row>
    <row r="1232" spans="1:21" x14ac:dyDescent="0.25">
      <c r="A1232">
        <v>46089</v>
      </c>
      <c r="B1232" t="s">
        <v>112</v>
      </c>
      <c r="C1232" t="s">
        <v>113</v>
      </c>
      <c r="D1232" t="s">
        <v>32</v>
      </c>
      <c r="E1232" t="s">
        <v>24</v>
      </c>
      <c r="F1232" t="s">
        <v>75</v>
      </c>
      <c r="G1232" t="s">
        <v>66</v>
      </c>
      <c r="H1232" t="s">
        <v>60</v>
      </c>
      <c r="I1232" t="s">
        <v>37</v>
      </c>
      <c r="J1232" t="s">
        <v>87</v>
      </c>
      <c r="K1232">
        <v>3104</v>
      </c>
      <c r="L1232">
        <v>20</v>
      </c>
      <c r="M1232">
        <v>25.35</v>
      </c>
      <c r="N1232">
        <v>0</v>
      </c>
      <c r="O1232">
        <v>0</v>
      </c>
      <c r="P1232">
        <f t="shared" si="76"/>
        <v>6.4432989690721646E-3</v>
      </c>
      <c r="Q1232">
        <f t="shared" si="76"/>
        <v>1.2675000000000001</v>
      </c>
      <c r="R1232">
        <f t="shared" si="77"/>
        <v>0</v>
      </c>
      <c r="S1232">
        <f t="shared" si="78"/>
        <v>0</v>
      </c>
      <c r="T1232">
        <f t="shared" si="79"/>
        <v>0</v>
      </c>
      <c r="U1232" t="str">
        <f>YEAR('Campaign Data'!$A1232)&amp;"-"&amp;TEXT(MONTH('Campaign Data'!$A1232),"00")</f>
        <v>2026-03</v>
      </c>
    </row>
    <row r="1233" spans="1:21" x14ac:dyDescent="0.25">
      <c r="A1233">
        <v>46089</v>
      </c>
      <c r="B1233" t="s">
        <v>143</v>
      </c>
      <c r="C1233" t="s">
        <v>144</v>
      </c>
      <c r="D1233" t="s">
        <v>48</v>
      </c>
      <c r="E1233" t="s">
        <v>42</v>
      </c>
      <c r="F1233" t="s">
        <v>25</v>
      </c>
      <c r="G1233" t="s">
        <v>84</v>
      </c>
      <c r="H1233" t="s">
        <v>90</v>
      </c>
      <c r="I1233" t="s">
        <v>37</v>
      </c>
      <c r="J1233" t="s">
        <v>62</v>
      </c>
      <c r="K1233">
        <v>6794</v>
      </c>
      <c r="L1233">
        <v>52</v>
      </c>
      <c r="M1233">
        <v>63.69</v>
      </c>
      <c r="N1233">
        <v>5</v>
      </c>
      <c r="O1233">
        <v>234.01</v>
      </c>
      <c r="P1233">
        <f t="shared" si="76"/>
        <v>7.6538121872240213E-3</v>
      </c>
      <c r="Q1233">
        <f t="shared" si="76"/>
        <v>1.2248076923076923</v>
      </c>
      <c r="R1233">
        <f t="shared" si="77"/>
        <v>12.738</v>
      </c>
      <c r="S1233">
        <f t="shared" si="78"/>
        <v>3.6742031716124979</v>
      </c>
      <c r="T1233">
        <f t="shared" si="79"/>
        <v>9.6153846153846159E-2</v>
      </c>
      <c r="U1233" t="str">
        <f>YEAR('Campaign Data'!$A1233)&amp;"-"&amp;TEXT(MONTH('Campaign Data'!$A1233),"00")</f>
        <v>2026-03</v>
      </c>
    </row>
    <row r="1234" spans="1:21" x14ac:dyDescent="0.25">
      <c r="A1234">
        <v>46089</v>
      </c>
      <c r="B1234" t="s">
        <v>63</v>
      </c>
      <c r="C1234" t="s">
        <v>64</v>
      </c>
      <c r="D1234" t="s">
        <v>65</v>
      </c>
      <c r="E1234" t="s">
        <v>24</v>
      </c>
      <c r="F1234" t="s">
        <v>43</v>
      </c>
      <c r="G1234" t="s">
        <v>66</v>
      </c>
      <c r="H1234" t="s">
        <v>90</v>
      </c>
      <c r="I1234" t="s">
        <v>28</v>
      </c>
      <c r="J1234" t="s">
        <v>87</v>
      </c>
      <c r="K1234">
        <v>2972</v>
      </c>
      <c r="L1234">
        <v>39</v>
      </c>
      <c r="M1234">
        <v>13.95</v>
      </c>
      <c r="N1234">
        <v>0</v>
      </c>
      <c r="O1234">
        <v>0</v>
      </c>
      <c r="P1234">
        <f t="shared" si="76"/>
        <v>1.3122476446837146E-2</v>
      </c>
      <c r="Q1234">
        <f t="shared" si="76"/>
        <v>0.3576923076923077</v>
      </c>
      <c r="R1234">
        <f t="shared" si="77"/>
        <v>0</v>
      </c>
      <c r="S1234">
        <f t="shared" si="78"/>
        <v>0</v>
      </c>
      <c r="T1234">
        <f t="shared" si="79"/>
        <v>0</v>
      </c>
      <c r="U1234" t="str">
        <f>YEAR('Campaign Data'!$A1234)&amp;"-"&amp;TEXT(MONTH('Campaign Data'!$A1234),"00")</f>
        <v>2026-03</v>
      </c>
    </row>
    <row r="1235" spans="1:21" x14ac:dyDescent="0.25">
      <c r="A1235">
        <v>46089</v>
      </c>
      <c r="B1235" t="s">
        <v>72</v>
      </c>
      <c r="C1235" t="s">
        <v>73</v>
      </c>
      <c r="D1235" t="s">
        <v>69</v>
      </c>
      <c r="E1235" t="s">
        <v>74</v>
      </c>
      <c r="F1235" t="s">
        <v>75</v>
      </c>
      <c r="G1235" t="s">
        <v>9</v>
      </c>
      <c r="H1235" t="s">
        <v>27</v>
      </c>
      <c r="I1235" t="s">
        <v>28</v>
      </c>
      <c r="J1235" t="s">
        <v>62</v>
      </c>
      <c r="K1235">
        <v>3635</v>
      </c>
      <c r="L1235">
        <v>168</v>
      </c>
      <c r="M1235">
        <v>194.83</v>
      </c>
      <c r="N1235">
        <v>7</v>
      </c>
      <c r="O1235">
        <v>462.68</v>
      </c>
      <c r="P1235">
        <f t="shared" si="76"/>
        <v>4.6217331499312245E-2</v>
      </c>
      <c r="Q1235">
        <f t="shared" si="76"/>
        <v>1.159702380952381</v>
      </c>
      <c r="R1235">
        <f t="shared" si="77"/>
        <v>27.832857142857144</v>
      </c>
      <c r="S1235">
        <f t="shared" si="78"/>
        <v>2.3747882769594004</v>
      </c>
      <c r="T1235">
        <f t="shared" si="79"/>
        <v>4.1666666666666664E-2</v>
      </c>
      <c r="U1235" t="str">
        <f>YEAR('Campaign Data'!$A1235)&amp;"-"&amp;TEXT(MONTH('Campaign Data'!$A1235),"00")</f>
        <v>2026-03</v>
      </c>
    </row>
    <row r="1236" spans="1:21" x14ac:dyDescent="0.25">
      <c r="A1236">
        <v>46089</v>
      </c>
      <c r="B1236" t="s">
        <v>116</v>
      </c>
      <c r="C1236" t="s">
        <v>117</v>
      </c>
      <c r="D1236" t="s">
        <v>48</v>
      </c>
      <c r="E1236" t="s">
        <v>24</v>
      </c>
      <c r="F1236" t="s">
        <v>43</v>
      </c>
      <c r="G1236" t="s">
        <v>26</v>
      </c>
      <c r="H1236" t="s">
        <v>27</v>
      </c>
      <c r="I1236" t="s">
        <v>37</v>
      </c>
      <c r="J1236" t="s">
        <v>45</v>
      </c>
      <c r="K1236">
        <v>17991</v>
      </c>
      <c r="L1236">
        <v>252</v>
      </c>
      <c r="M1236">
        <v>402.96</v>
      </c>
      <c r="N1236">
        <v>6</v>
      </c>
      <c r="O1236">
        <v>134.26</v>
      </c>
      <c r="P1236">
        <f t="shared" si="76"/>
        <v>1.4007003501750876E-2</v>
      </c>
      <c r="Q1236">
        <f t="shared" si="76"/>
        <v>1.5990476190476191</v>
      </c>
      <c r="R1236">
        <f t="shared" si="77"/>
        <v>67.16</v>
      </c>
      <c r="S1236">
        <f t="shared" si="78"/>
        <v>0.33318443517967045</v>
      </c>
      <c r="T1236">
        <f t="shared" si="79"/>
        <v>2.3809523809523808E-2</v>
      </c>
      <c r="U1236" t="str">
        <f>YEAR('Campaign Data'!$A1236)&amp;"-"&amp;TEXT(MONTH('Campaign Data'!$A1236),"00")</f>
        <v>2026-03</v>
      </c>
    </row>
    <row r="1237" spans="1:21" x14ac:dyDescent="0.25">
      <c r="A1237">
        <v>46090</v>
      </c>
      <c r="B1237" t="s">
        <v>173</v>
      </c>
      <c r="C1237" t="s">
        <v>174</v>
      </c>
      <c r="D1237" t="s">
        <v>48</v>
      </c>
      <c r="E1237" t="s">
        <v>74</v>
      </c>
      <c r="F1237" t="s">
        <v>25</v>
      </c>
      <c r="G1237" t="s">
        <v>9</v>
      </c>
      <c r="H1237" t="s">
        <v>90</v>
      </c>
      <c r="I1237" t="s">
        <v>37</v>
      </c>
      <c r="J1237" t="s">
        <v>62</v>
      </c>
      <c r="K1237">
        <v>20930</v>
      </c>
      <c r="L1237">
        <v>550</v>
      </c>
      <c r="M1237">
        <v>177.8</v>
      </c>
      <c r="N1237">
        <v>37</v>
      </c>
      <c r="O1237">
        <v>710.81</v>
      </c>
      <c r="P1237">
        <f t="shared" si="76"/>
        <v>2.6278069756330624E-2</v>
      </c>
      <c r="Q1237">
        <f t="shared" si="76"/>
        <v>0.32327272727272727</v>
      </c>
      <c r="R1237">
        <f t="shared" si="77"/>
        <v>4.8054054054054056</v>
      </c>
      <c r="S1237">
        <f t="shared" si="78"/>
        <v>3.9978065241844765</v>
      </c>
      <c r="T1237">
        <f t="shared" si="79"/>
        <v>6.7272727272727276E-2</v>
      </c>
      <c r="U1237" t="str">
        <f>YEAR('Campaign Data'!$A1237)&amp;"-"&amp;TEXT(MONTH('Campaign Data'!$A1237),"00")</f>
        <v>2026-03</v>
      </c>
    </row>
    <row r="1238" spans="1:21" x14ac:dyDescent="0.25">
      <c r="A1238">
        <v>46090</v>
      </c>
      <c r="B1238" t="s">
        <v>98</v>
      </c>
      <c r="C1238" t="s">
        <v>99</v>
      </c>
      <c r="D1238" t="s">
        <v>69</v>
      </c>
      <c r="E1238" t="s">
        <v>24</v>
      </c>
      <c r="F1238" t="s">
        <v>75</v>
      </c>
      <c r="G1238" t="s">
        <v>66</v>
      </c>
      <c r="H1238" t="s">
        <v>55</v>
      </c>
      <c r="I1238" t="s">
        <v>28</v>
      </c>
      <c r="J1238" t="s">
        <v>38</v>
      </c>
      <c r="K1238">
        <v>6193</v>
      </c>
      <c r="L1238">
        <v>58</v>
      </c>
      <c r="M1238">
        <v>44.67</v>
      </c>
      <c r="N1238">
        <v>2</v>
      </c>
      <c r="O1238">
        <v>62.96</v>
      </c>
      <c r="P1238">
        <f t="shared" si="76"/>
        <v>9.3654125625706446E-3</v>
      </c>
      <c r="Q1238">
        <f t="shared" si="76"/>
        <v>0.77017241379310353</v>
      </c>
      <c r="R1238">
        <f t="shared" si="77"/>
        <v>22.335000000000001</v>
      </c>
      <c r="S1238">
        <f t="shared" si="78"/>
        <v>1.4094470561898365</v>
      </c>
      <c r="T1238">
        <f t="shared" si="79"/>
        <v>3.4482758620689655E-2</v>
      </c>
      <c r="U1238" t="str">
        <f>YEAR('Campaign Data'!$A1238)&amp;"-"&amp;TEXT(MONTH('Campaign Data'!$A1238),"00")</f>
        <v>2026-03</v>
      </c>
    </row>
    <row r="1239" spans="1:21" x14ac:dyDescent="0.25">
      <c r="A1239">
        <v>46090</v>
      </c>
      <c r="B1239" t="s">
        <v>100</v>
      </c>
      <c r="C1239" t="s">
        <v>101</v>
      </c>
      <c r="D1239" t="s">
        <v>80</v>
      </c>
      <c r="E1239" t="s">
        <v>33</v>
      </c>
      <c r="F1239" t="s">
        <v>25</v>
      </c>
      <c r="G1239" t="s">
        <v>102</v>
      </c>
      <c r="H1239" t="s">
        <v>60</v>
      </c>
      <c r="I1239" t="s">
        <v>28</v>
      </c>
      <c r="J1239" t="s">
        <v>45</v>
      </c>
      <c r="K1239">
        <v>11359</v>
      </c>
      <c r="L1239">
        <v>119</v>
      </c>
      <c r="M1239">
        <v>40.950000000000003</v>
      </c>
      <c r="N1239">
        <v>1</v>
      </c>
      <c r="O1239">
        <v>77.64</v>
      </c>
      <c r="P1239">
        <f t="shared" si="76"/>
        <v>1.0476274319922528E-2</v>
      </c>
      <c r="Q1239">
        <f t="shared" si="76"/>
        <v>0.34411764705882353</v>
      </c>
      <c r="R1239">
        <f t="shared" si="77"/>
        <v>40.950000000000003</v>
      </c>
      <c r="S1239">
        <f t="shared" si="78"/>
        <v>1.8959706959706959</v>
      </c>
      <c r="T1239">
        <f t="shared" si="79"/>
        <v>8.4033613445378148E-3</v>
      </c>
      <c r="U1239" t="str">
        <f>YEAR('Campaign Data'!$A1239)&amp;"-"&amp;TEXT(MONTH('Campaign Data'!$A1239),"00")</f>
        <v>2026-03</v>
      </c>
    </row>
    <row r="1240" spans="1:21" x14ac:dyDescent="0.25">
      <c r="A1240">
        <v>46090</v>
      </c>
      <c r="B1240" t="s">
        <v>134</v>
      </c>
      <c r="C1240" t="s">
        <v>135</v>
      </c>
      <c r="D1240" t="s">
        <v>32</v>
      </c>
      <c r="E1240" t="s">
        <v>74</v>
      </c>
      <c r="F1240" t="s">
        <v>25</v>
      </c>
      <c r="G1240" t="s">
        <v>107</v>
      </c>
      <c r="H1240" t="s">
        <v>90</v>
      </c>
      <c r="I1240" t="s">
        <v>37</v>
      </c>
      <c r="J1240" t="s">
        <v>29</v>
      </c>
      <c r="K1240">
        <v>7808</v>
      </c>
      <c r="L1240">
        <v>359</v>
      </c>
      <c r="M1240">
        <v>131.04</v>
      </c>
      <c r="N1240">
        <v>19</v>
      </c>
      <c r="O1240">
        <v>378.35</v>
      </c>
      <c r="P1240">
        <f t="shared" si="76"/>
        <v>4.5978483606557374E-2</v>
      </c>
      <c r="Q1240">
        <f t="shared" si="76"/>
        <v>0.36501392757660167</v>
      </c>
      <c r="R1240">
        <f t="shared" si="77"/>
        <v>6.8968421052631577</v>
      </c>
      <c r="S1240">
        <f t="shared" si="78"/>
        <v>2.887286324786325</v>
      </c>
      <c r="T1240">
        <f t="shared" si="79"/>
        <v>5.2924791086350974E-2</v>
      </c>
      <c r="U1240" t="str">
        <f>YEAR('Campaign Data'!$A1240)&amp;"-"&amp;TEXT(MONTH('Campaign Data'!$A1240),"00")</f>
        <v>2026-03</v>
      </c>
    </row>
    <row r="1241" spans="1:21" x14ac:dyDescent="0.25">
      <c r="A1241">
        <v>46090</v>
      </c>
      <c r="B1241" t="s">
        <v>112</v>
      </c>
      <c r="C1241" t="s">
        <v>113</v>
      </c>
      <c r="D1241" t="s">
        <v>32</v>
      </c>
      <c r="E1241" t="s">
        <v>24</v>
      </c>
      <c r="F1241" t="s">
        <v>75</v>
      </c>
      <c r="G1241" t="s">
        <v>66</v>
      </c>
      <c r="H1241" t="s">
        <v>55</v>
      </c>
      <c r="I1241" t="s">
        <v>37</v>
      </c>
      <c r="J1241" t="s">
        <v>38</v>
      </c>
      <c r="K1241">
        <v>22207</v>
      </c>
      <c r="L1241">
        <v>393</v>
      </c>
      <c r="M1241">
        <v>357.44</v>
      </c>
      <c r="N1241">
        <v>2</v>
      </c>
      <c r="O1241">
        <v>78.31</v>
      </c>
      <c r="P1241">
        <f t="shared" si="76"/>
        <v>1.7697122528932317E-2</v>
      </c>
      <c r="Q1241">
        <f t="shared" si="76"/>
        <v>0.90951653944020361</v>
      </c>
      <c r="R1241">
        <f t="shared" si="77"/>
        <v>178.72</v>
      </c>
      <c r="S1241">
        <f t="shared" si="78"/>
        <v>0.21908572068039392</v>
      </c>
      <c r="T1241">
        <f t="shared" si="79"/>
        <v>5.0890585241730284E-3</v>
      </c>
      <c r="U1241" t="str">
        <f>YEAR('Campaign Data'!$A1241)&amp;"-"&amp;TEXT(MONTH('Campaign Data'!$A1241),"00")</f>
        <v>2026-03</v>
      </c>
    </row>
    <row r="1242" spans="1:21" x14ac:dyDescent="0.25">
      <c r="A1242">
        <v>46090</v>
      </c>
      <c r="B1242" t="s">
        <v>181</v>
      </c>
      <c r="C1242" t="s">
        <v>182</v>
      </c>
      <c r="D1242" t="s">
        <v>32</v>
      </c>
      <c r="E1242" t="s">
        <v>33</v>
      </c>
      <c r="F1242" t="s">
        <v>75</v>
      </c>
      <c r="G1242" t="s">
        <v>59</v>
      </c>
      <c r="H1242" t="s">
        <v>71</v>
      </c>
      <c r="I1242" t="s">
        <v>28</v>
      </c>
      <c r="J1242" t="s">
        <v>45</v>
      </c>
      <c r="K1242">
        <v>9180</v>
      </c>
      <c r="L1242">
        <v>94</v>
      </c>
      <c r="M1242">
        <v>56.99</v>
      </c>
      <c r="N1242">
        <v>4</v>
      </c>
      <c r="O1242">
        <v>96.87</v>
      </c>
      <c r="P1242">
        <f t="shared" si="76"/>
        <v>1.0239651416122004E-2</v>
      </c>
      <c r="Q1242">
        <f t="shared" si="76"/>
        <v>0.60627659574468085</v>
      </c>
      <c r="R1242">
        <f t="shared" si="77"/>
        <v>14.2475</v>
      </c>
      <c r="S1242">
        <f t="shared" si="78"/>
        <v>1.699771889805229</v>
      </c>
      <c r="T1242">
        <f t="shared" si="79"/>
        <v>4.2553191489361701E-2</v>
      </c>
      <c r="U1242" t="str">
        <f>YEAR('Campaign Data'!$A1242)&amp;"-"&amp;TEXT(MONTH('Campaign Data'!$A1242),"00")</f>
        <v>2026-03</v>
      </c>
    </row>
    <row r="1243" spans="1:21" x14ac:dyDescent="0.25">
      <c r="A1243">
        <v>46090</v>
      </c>
      <c r="B1243" t="s">
        <v>161</v>
      </c>
      <c r="C1243" t="s">
        <v>162</v>
      </c>
      <c r="D1243" t="s">
        <v>48</v>
      </c>
      <c r="E1243" t="s">
        <v>74</v>
      </c>
      <c r="F1243" t="s">
        <v>34</v>
      </c>
      <c r="G1243" t="s">
        <v>107</v>
      </c>
      <c r="H1243" t="s">
        <v>71</v>
      </c>
      <c r="I1243" t="s">
        <v>61</v>
      </c>
      <c r="J1243" t="s">
        <v>62</v>
      </c>
      <c r="K1243">
        <v>7447</v>
      </c>
      <c r="L1243">
        <v>287</v>
      </c>
      <c r="M1243">
        <v>255.4</v>
      </c>
      <c r="N1243">
        <v>15</v>
      </c>
      <c r="O1243">
        <v>2116.2199999999998</v>
      </c>
      <c r="P1243">
        <f t="shared" si="76"/>
        <v>3.8539008996911511E-2</v>
      </c>
      <c r="Q1243">
        <f t="shared" si="76"/>
        <v>0.88989547038327532</v>
      </c>
      <c r="R1243">
        <f t="shared" si="77"/>
        <v>17.026666666666667</v>
      </c>
      <c r="S1243">
        <f t="shared" si="78"/>
        <v>8.2859044635865295</v>
      </c>
      <c r="T1243">
        <f t="shared" si="79"/>
        <v>5.2264808362369339E-2</v>
      </c>
      <c r="U1243" t="str">
        <f>YEAR('Campaign Data'!$A1243)&amp;"-"&amp;TEXT(MONTH('Campaign Data'!$A1243),"00")</f>
        <v>2026-03</v>
      </c>
    </row>
    <row r="1244" spans="1:21" x14ac:dyDescent="0.25">
      <c r="A1244">
        <v>46090</v>
      </c>
      <c r="B1244" t="s">
        <v>63</v>
      </c>
      <c r="C1244" t="s">
        <v>64</v>
      </c>
      <c r="D1244" t="s">
        <v>65</v>
      </c>
      <c r="E1244" t="s">
        <v>24</v>
      </c>
      <c r="F1244" t="s">
        <v>43</v>
      </c>
      <c r="G1244" t="s">
        <v>66</v>
      </c>
      <c r="H1244" t="s">
        <v>51</v>
      </c>
      <c r="I1244" t="s">
        <v>28</v>
      </c>
      <c r="J1244" t="s">
        <v>45</v>
      </c>
      <c r="K1244">
        <v>10149</v>
      </c>
      <c r="L1244">
        <v>121</v>
      </c>
      <c r="M1244">
        <v>134.59</v>
      </c>
      <c r="N1244">
        <v>4</v>
      </c>
      <c r="O1244">
        <v>75.819999999999993</v>
      </c>
      <c r="P1244">
        <f t="shared" si="76"/>
        <v>1.1922356882451473E-2</v>
      </c>
      <c r="Q1244">
        <f t="shared" si="76"/>
        <v>1.1123140495867769</v>
      </c>
      <c r="R1244">
        <f t="shared" si="77"/>
        <v>33.647500000000001</v>
      </c>
      <c r="S1244">
        <f t="shared" si="78"/>
        <v>0.56334051564009202</v>
      </c>
      <c r="T1244">
        <f t="shared" si="79"/>
        <v>3.3057851239669422E-2</v>
      </c>
      <c r="U1244" t="str">
        <f>YEAR('Campaign Data'!$A1244)&amp;"-"&amp;TEXT(MONTH('Campaign Data'!$A1244),"00")</f>
        <v>2026-03</v>
      </c>
    </row>
    <row r="1245" spans="1:21" x14ac:dyDescent="0.25">
      <c r="A1245">
        <v>46090</v>
      </c>
      <c r="B1245" t="s">
        <v>163</v>
      </c>
      <c r="C1245" t="s">
        <v>164</v>
      </c>
      <c r="D1245" t="s">
        <v>58</v>
      </c>
      <c r="E1245" t="s">
        <v>42</v>
      </c>
      <c r="F1245" t="s">
        <v>43</v>
      </c>
      <c r="G1245" t="s">
        <v>44</v>
      </c>
      <c r="H1245" t="s">
        <v>51</v>
      </c>
      <c r="I1245" t="s">
        <v>61</v>
      </c>
      <c r="J1245" t="s">
        <v>62</v>
      </c>
      <c r="K1245">
        <v>7529</v>
      </c>
      <c r="L1245">
        <v>61</v>
      </c>
      <c r="M1245">
        <v>429.84</v>
      </c>
      <c r="N1245">
        <v>3</v>
      </c>
      <c r="O1245">
        <v>72.3</v>
      </c>
      <c r="P1245">
        <f t="shared" si="76"/>
        <v>8.1020055784300701E-3</v>
      </c>
      <c r="Q1245">
        <f t="shared" si="76"/>
        <v>7.0465573770491803</v>
      </c>
      <c r="R1245">
        <f t="shared" si="77"/>
        <v>143.28</v>
      </c>
      <c r="S1245">
        <f t="shared" si="78"/>
        <v>0.16820212171970966</v>
      </c>
      <c r="T1245">
        <f t="shared" si="79"/>
        <v>4.9180327868852458E-2</v>
      </c>
      <c r="U1245" t="str">
        <f>YEAR('Campaign Data'!$A1245)&amp;"-"&amp;TEXT(MONTH('Campaign Data'!$A1245),"00")</f>
        <v>2026-03</v>
      </c>
    </row>
    <row r="1246" spans="1:21" x14ac:dyDescent="0.25">
      <c r="A1246">
        <v>46090</v>
      </c>
      <c r="B1246" t="s">
        <v>76</v>
      </c>
      <c r="C1246" t="s">
        <v>77</v>
      </c>
      <c r="D1246" t="s">
        <v>65</v>
      </c>
      <c r="E1246" t="s">
        <v>42</v>
      </c>
      <c r="F1246" t="s">
        <v>43</v>
      </c>
      <c r="G1246" t="s">
        <v>44</v>
      </c>
      <c r="H1246" t="s">
        <v>60</v>
      </c>
      <c r="I1246" t="s">
        <v>37</v>
      </c>
      <c r="J1246" t="s">
        <v>29</v>
      </c>
      <c r="K1246">
        <v>18914</v>
      </c>
      <c r="L1246">
        <v>128</v>
      </c>
      <c r="M1246">
        <v>659.56</v>
      </c>
      <c r="N1246">
        <v>2</v>
      </c>
      <c r="O1246">
        <v>43.33</v>
      </c>
      <c r="P1246">
        <f t="shared" si="76"/>
        <v>6.7674738289098023E-3</v>
      </c>
      <c r="Q1246">
        <f t="shared" si="76"/>
        <v>5.1528124999999996</v>
      </c>
      <c r="R1246">
        <f t="shared" si="77"/>
        <v>329.78</v>
      </c>
      <c r="S1246">
        <f t="shared" si="78"/>
        <v>6.5695312026199285E-2</v>
      </c>
      <c r="T1246">
        <f t="shared" si="79"/>
        <v>1.5625E-2</v>
      </c>
      <c r="U1246" t="str">
        <f>YEAR('Campaign Data'!$A1246)&amp;"-"&amp;TEXT(MONTH('Campaign Data'!$A1246),"00")</f>
        <v>2026-03</v>
      </c>
    </row>
    <row r="1247" spans="1:21" x14ac:dyDescent="0.25">
      <c r="A1247">
        <v>46091</v>
      </c>
      <c r="B1247" t="s">
        <v>88</v>
      </c>
      <c r="C1247" t="s">
        <v>89</v>
      </c>
      <c r="D1247" t="s">
        <v>23</v>
      </c>
      <c r="E1247" t="s">
        <v>49</v>
      </c>
      <c r="F1247" t="s">
        <v>81</v>
      </c>
      <c r="G1247" t="s">
        <v>50</v>
      </c>
      <c r="H1247" t="s">
        <v>71</v>
      </c>
      <c r="I1247" t="s">
        <v>28</v>
      </c>
      <c r="J1247" t="s">
        <v>45</v>
      </c>
      <c r="K1247">
        <v>22054</v>
      </c>
      <c r="L1247">
        <v>1042</v>
      </c>
      <c r="M1247">
        <v>1560.7</v>
      </c>
      <c r="N1247">
        <v>55</v>
      </c>
      <c r="O1247">
        <v>1439.22</v>
      </c>
      <c r="P1247">
        <f t="shared" si="76"/>
        <v>4.7247664822707897E-2</v>
      </c>
      <c r="Q1247">
        <f t="shared" si="76"/>
        <v>1.4977927063339731</v>
      </c>
      <c r="R1247">
        <f t="shared" si="77"/>
        <v>28.376363636363639</v>
      </c>
      <c r="S1247">
        <f t="shared" si="78"/>
        <v>0.92216313192798105</v>
      </c>
      <c r="T1247">
        <f t="shared" si="79"/>
        <v>5.2783109404990404E-2</v>
      </c>
      <c r="U1247" t="str">
        <f>YEAR('Campaign Data'!$A1247)&amp;"-"&amp;TEXT(MONTH('Campaign Data'!$A1247),"00")</f>
        <v>2026-03</v>
      </c>
    </row>
    <row r="1248" spans="1:21" x14ac:dyDescent="0.25">
      <c r="A1248">
        <v>46091</v>
      </c>
      <c r="B1248" t="s">
        <v>88</v>
      </c>
      <c r="C1248" t="s">
        <v>89</v>
      </c>
      <c r="D1248" t="s">
        <v>23</v>
      </c>
      <c r="E1248" t="s">
        <v>49</v>
      </c>
      <c r="F1248" t="s">
        <v>81</v>
      </c>
      <c r="G1248" t="s">
        <v>50</v>
      </c>
      <c r="H1248" t="s">
        <v>51</v>
      </c>
      <c r="I1248" t="s">
        <v>37</v>
      </c>
      <c r="J1248" t="s">
        <v>62</v>
      </c>
      <c r="K1248">
        <v>9441</v>
      </c>
      <c r="L1248">
        <v>251</v>
      </c>
      <c r="M1248">
        <v>604.04</v>
      </c>
      <c r="N1248">
        <v>25</v>
      </c>
      <c r="O1248">
        <v>681.26</v>
      </c>
      <c r="P1248">
        <f t="shared" si="76"/>
        <v>2.6586166719627158E-2</v>
      </c>
      <c r="Q1248">
        <f t="shared" si="76"/>
        <v>2.4065338645418324</v>
      </c>
      <c r="R1248">
        <f t="shared" si="77"/>
        <v>24.1616</v>
      </c>
      <c r="S1248">
        <f t="shared" si="78"/>
        <v>1.1278392159459638</v>
      </c>
      <c r="T1248">
        <f t="shared" si="79"/>
        <v>9.9601593625498003E-2</v>
      </c>
      <c r="U1248" t="str">
        <f>YEAR('Campaign Data'!$A1248)&amp;"-"&amp;TEXT(MONTH('Campaign Data'!$A1248),"00")</f>
        <v>2026-03</v>
      </c>
    </row>
    <row r="1249" spans="1:21" x14ac:dyDescent="0.25">
      <c r="A1249">
        <v>46091</v>
      </c>
      <c r="B1249" t="s">
        <v>125</v>
      </c>
      <c r="C1249" t="s">
        <v>126</v>
      </c>
      <c r="D1249" t="s">
        <v>41</v>
      </c>
      <c r="E1249" t="s">
        <v>42</v>
      </c>
      <c r="F1249" t="s">
        <v>81</v>
      </c>
      <c r="G1249" t="s">
        <v>44</v>
      </c>
      <c r="H1249" t="s">
        <v>51</v>
      </c>
      <c r="I1249" t="s">
        <v>37</v>
      </c>
      <c r="J1249" t="s">
        <v>62</v>
      </c>
      <c r="K1249">
        <v>16025</v>
      </c>
      <c r="L1249">
        <v>85</v>
      </c>
      <c r="M1249">
        <v>394.6</v>
      </c>
      <c r="N1249">
        <v>5</v>
      </c>
      <c r="O1249">
        <v>79.41</v>
      </c>
      <c r="P1249">
        <f t="shared" si="76"/>
        <v>5.3042121684867393E-3</v>
      </c>
      <c r="Q1249">
        <f t="shared" si="76"/>
        <v>4.6423529411764708</v>
      </c>
      <c r="R1249">
        <f t="shared" si="77"/>
        <v>78.92</v>
      </c>
      <c r="S1249">
        <f t="shared" si="78"/>
        <v>0.20124176381145462</v>
      </c>
      <c r="T1249">
        <f t="shared" si="79"/>
        <v>5.8823529411764705E-2</v>
      </c>
      <c r="U1249" t="str">
        <f>YEAR('Campaign Data'!$A1249)&amp;"-"&amp;TEXT(MONTH('Campaign Data'!$A1249),"00")</f>
        <v>2026-03</v>
      </c>
    </row>
    <row r="1250" spans="1:21" x14ac:dyDescent="0.25">
      <c r="A1250">
        <v>46091</v>
      </c>
      <c r="B1250" t="s">
        <v>149</v>
      </c>
      <c r="C1250" t="s">
        <v>150</v>
      </c>
      <c r="D1250" t="s">
        <v>65</v>
      </c>
      <c r="E1250" t="s">
        <v>33</v>
      </c>
      <c r="F1250" t="s">
        <v>43</v>
      </c>
      <c r="G1250" t="s">
        <v>59</v>
      </c>
      <c r="H1250" t="s">
        <v>90</v>
      </c>
      <c r="I1250" t="s">
        <v>28</v>
      </c>
      <c r="J1250" t="s">
        <v>29</v>
      </c>
      <c r="K1250">
        <v>4556</v>
      </c>
      <c r="L1250">
        <v>46</v>
      </c>
      <c r="M1250">
        <v>8.35</v>
      </c>
      <c r="N1250">
        <v>0</v>
      </c>
      <c r="O1250">
        <v>0</v>
      </c>
      <c r="P1250">
        <f t="shared" si="76"/>
        <v>1.009657594381036E-2</v>
      </c>
      <c r="Q1250">
        <f t="shared" si="76"/>
        <v>0.18152173913043476</v>
      </c>
      <c r="R1250">
        <f t="shared" si="77"/>
        <v>0</v>
      </c>
      <c r="S1250">
        <f t="shared" si="78"/>
        <v>0</v>
      </c>
      <c r="T1250">
        <f t="shared" si="79"/>
        <v>0</v>
      </c>
      <c r="U1250" t="str">
        <f>YEAR('Campaign Data'!$A1250)&amp;"-"&amp;TEXT(MONTH('Campaign Data'!$A1250),"00")</f>
        <v>2026-03</v>
      </c>
    </row>
    <row r="1251" spans="1:21" x14ac:dyDescent="0.25">
      <c r="A1251">
        <v>46091</v>
      </c>
      <c r="B1251" t="s">
        <v>39</v>
      </c>
      <c r="C1251" t="s">
        <v>40</v>
      </c>
      <c r="D1251" t="s">
        <v>41</v>
      </c>
      <c r="E1251" t="s">
        <v>42</v>
      </c>
      <c r="F1251" t="s">
        <v>43</v>
      </c>
      <c r="G1251" t="s">
        <v>44</v>
      </c>
      <c r="H1251" t="s">
        <v>55</v>
      </c>
      <c r="I1251" t="s">
        <v>28</v>
      </c>
      <c r="J1251" t="s">
        <v>38</v>
      </c>
      <c r="K1251">
        <v>8998</v>
      </c>
      <c r="L1251">
        <v>49</v>
      </c>
      <c r="M1251">
        <v>299.37</v>
      </c>
      <c r="N1251">
        <v>1</v>
      </c>
      <c r="O1251">
        <v>21.66</v>
      </c>
      <c r="P1251">
        <f t="shared" si="76"/>
        <v>5.4456545899088686E-3</v>
      </c>
      <c r="Q1251">
        <f t="shared" si="76"/>
        <v>6.109591836734694</v>
      </c>
      <c r="R1251">
        <f t="shared" si="77"/>
        <v>299.37</v>
      </c>
      <c r="S1251">
        <f t="shared" si="78"/>
        <v>7.2351939072051313E-2</v>
      </c>
      <c r="T1251">
        <f t="shared" si="79"/>
        <v>2.0408163265306121E-2</v>
      </c>
      <c r="U1251" t="str">
        <f>YEAR('Campaign Data'!$A1251)&amp;"-"&amp;TEXT(MONTH('Campaign Data'!$A1251),"00")</f>
        <v>2026-03</v>
      </c>
    </row>
    <row r="1252" spans="1:21" x14ac:dyDescent="0.25">
      <c r="A1252">
        <v>46091</v>
      </c>
      <c r="B1252" t="s">
        <v>39</v>
      </c>
      <c r="C1252" t="s">
        <v>40</v>
      </c>
      <c r="D1252" t="s">
        <v>41</v>
      </c>
      <c r="E1252" t="s">
        <v>42</v>
      </c>
      <c r="F1252" t="s">
        <v>43</v>
      </c>
      <c r="G1252" t="s">
        <v>44</v>
      </c>
      <c r="H1252" t="s">
        <v>60</v>
      </c>
      <c r="I1252" t="s">
        <v>28</v>
      </c>
      <c r="J1252" t="s">
        <v>38</v>
      </c>
      <c r="K1252">
        <v>8517</v>
      </c>
      <c r="L1252">
        <v>33</v>
      </c>
      <c r="M1252">
        <v>215.21</v>
      </c>
      <c r="N1252">
        <v>1</v>
      </c>
      <c r="O1252">
        <v>19.25</v>
      </c>
      <c r="P1252">
        <f t="shared" si="76"/>
        <v>3.8746037337090526E-3</v>
      </c>
      <c r="Q1252">
        <f t="shared" si="76"/>
        <v>6.5215151515151515</v>
      </c>
      <c r="R1252">
        <f t="shared" si="77"/>
        <v>215.21</v>
      </c>
      <c r="S1252">
        <f t="shared" si="78"/>
        <v>8.9447516379350403E-2</v>
      </c>
      <c r="T1252">
        <f t="shared" si="79"/>
        <v>3.0303030303030304E-2</v>
      </c>
      <c r="U1252" t="str">
        <f>YEAR('Campaign Data'!$A1252)&amp;"-"&amp;TEXT(MONTH('Campaign Data'!$A1252),"00")</f>
        <v>2026-03</v>
      </c>
    </row>
    <row r="1253" spans="1:21" x14ac:dyDescent="0.25">
      <c r="A1253">
        <v>46091</v>
      </c>
      <c r="B1253" t="s">
        <v>39</v>
      </c>
      <c r="C1253" t="s">
        <v>40</v>
      </c>
      <c r="D1253" t="s">
        <v>41</v>
      </c>
      <c r="E1253" t="s">
        <v>42</v>
      </c>
      <c r="F1253" t="s">
        <v>43</v>
      </c>
      <c r="G1253" t="s">
        <v>44</v>
      </c>
      <c r="H1253" t="s">
        <v>36</v>
      </c>
      <c r="I1253" t="s">
        <v>28</v>
      </c>
      <c r="J1253" t="s">
        <v>62</v>
      </c>
      <c r="K1253">
        <v>26130</v>
      </c>
      <c r="L1253">
        <v>221</v>
      </c>
      <c r="M1253">
        <v>1139.6199999999999</v>
      </c>
      <c r="N1253">
        <v>20</v>
      </c>
      <c r="O1253">
        <v>388.92</v>
      </c>
      <c r="P1253">
        <f t="shared" si="76"/>
        <v>8.4577114427860697E-3</v>
      </c>
      <c r="Q1253">
        <f t="shared" si="76"/>
        <v>5.1566515837104063</v>
      </c>
      <c r="R1253">
        <f t="shared" si="77"/>
        <v>56.980999999999995</v>
      </c>
      <c r="S1253">
        <f t="shared" si="78"/>
        <v>0.3412716519541602</v>
      </c>
      <c r="T1253">
        <f t="shared" si="79"/>
        <v>9.0497737556561084E-2</v>
      </c>
      <c r="U1253" t="str">
        <f>YEAR('Campaign Data'!$A1253)&amp;"-"&amp;TEXT(MONTH('Campaign Data'!$A1253),"00")</f>
        <v>2026-03</v>
      </c>
    </row>
    <row r="1254" spans="1:21" x14ac:dyDescent="0.25">
      <c r="A1254">
        <v>46091</v>
      </c>
      <c r="B1254" t="s">
        <v>100</v>
      </c>
      <c r="C1254" t="s">
        <v>101</v>
      </c>
      <c r="D1254" t="s">
        <v>80</v>
      </c>
      <c r="E1254" t="s">
        <v>33</v>
      </c>
      <c r="F1254" t="s">
        <v>25</v>
      </c>
      <c r="G1254" t="s">
        <v>102</v>
      </c>
      <c r="H1254" t="s">
        <v>55</v>
      </c>
      <c r="I1254" t="s">
        <v>37</v>
      </c>
      <c r="J1254" t="s">
        <v>45</v>
      </c>
      <c r="K1254">
        <v>5312</v>
      </c>
      <c r="L1254">
        <v>47</v>
      </c>
      <c r="M1254">
        <v>28.6</v>
      </c>
      <c r="N1254">
        <v>0</v>
      </c>
      <c r="O1254">
        <v>0</v>
      </c>
      <c r="P1254">
        <f t="shared" si="76"/>
        <v>8.847891566265061E-3</v>
      </c>
      <c r="Q1254">
        <f t="shared" si="76"/>
        <v>0.60851063829787233</v>
      </c>
      <c r="R1254">
        <f t="shared" si="77"/>
        <v>0</v>
      </c>
      <c r="S1254">
        <f t="shared" si="78"/>
        <v>0</v>
      </c>
      <c r="T1254">
        <f t="shared" si="79"/>
        <v>0</v>
      </c>
      <c r="U1254" t="str">
        <f>YEAR('Campaign Data'!$A1254)&amp;"-"&amp;TEXT(MONTH('Campaign Data'!$A1254),"00")</f>
        <v>2026-03</v>
      </c>
    </row>
    <row r="1255" spans="1:21" x14ac:dyDescent="0.25">
      <c r="A1255">
        <v>46091</v>
      </c>
      <c r="B1255" t="s">
        <v>100</v>
      </c>
      <c r="C1255" t="s">
        <v>101</v>
      </c>
      <c r="D1255" t="s">
        <v>80</v>
      </c>
      <c r="E1255" t="s">
        <v>33</v>
      </c>
      <c r="F1255" t="s">
        <v>25</v>
      </c>
      <c r="G1255" t="s">
        <v>102</v>
      </c>
      <c r="H1255" t="s">
        <v>71</v>
      </c>
      <c r="I1255" t="s">
        <v>37</v>
      </c>
      <c r="J1255" t="s">
        <v>87</v>
      </c>
      <c r="K1255">
        <v>3350</v>
      </c>
      <c r="L1255">
        <v>12</v>
      </c>
      <c r="M1255">
        <v>8.02</v>
      </c>
      <c r="N1255">
        <v>0</v>
      </c>
      <c r="O1255">
        <v>0</v>
      </c>
      <c r="P1255">
        <f t="shared" si="76"/>
        <v>3.582089552238806E-3</v>
      </c>
      <c r="Q1255">
        <f t="shared" si="76"/>
        <v>0.66833333333333333</v>
      </c>
      <c r="R1255">
        <f t="shared" si="77"/>
        <v>0</v>
      </c>
      <c r="S1255">
        <f t="shared" si="78"/>
        <v>0</v>
      </c>
      <c r="T1255">
        <f t="shared" si="79"/>
        <v>0</v>
      </c>
      <c r="U1255" t="str">
        <f>YEAR('Campaign Data'!$A1255)&amp;"-"&amp;TEXT(MONTH('Campaign Data'!$A1255),"00")</f>
        <v>2026-03</v>
      </c>
    </row>
    <row r="1256" spans="1:21" x14ac:dyDescent="0.25">
      <c r="A1256">
        <v>46091</v>
      </c>
      <c r="B1256" t="s">
        <v>103</v>
      </c>
      <c r="C1256" t="s">
        <v>104</v>
      </c>
      <c r="D1256" t="s">
        <v>65</v>
      </c>
      <c r="E1256" t="s">
        <v>33</v>
      </c>
      <c r="F1256" t="s">
        <v>43</v>
      </c>
      <c r="G1256" t="s">
        <v>102</v>
      </c>
      <c r="H1256" t="s">
        <v>90</v>
      </c>
      <c r="I1256" t="s">
        <v>28</v>
      </c>
      <c r="J1256" t="s">
        <v>62</v>
      </c>
      <c r="K1256">
        <v>6001</v>
      </c>
      <c r="L1256">
        <v>63</v>
      </c>
      <c r="M1256">
        <v>9.1999999999999993</v>
      </c>
      <c r="N1256">
        <v>0</v>
      </c>
      <c r="O1256">
        <v>0</v>
      </c>
      <c r="P1256">
        <f t="shared" si="76"/>
        <v>1.0498250291618064E-2</v>
      </c>
      <c r="Q1256">
        <f t="shared" si="76"/>
        <v>0.14603174603174601</v>
      </c>
      <c r="R1256">
        <f t="shared" si="77"/>
        <v>0</v>
      </c>
      <c r="S1256">
        <f t="shared" si="78"/>
        <v>0</v>
      </c>
      <c r="T1256">
        <f t="shared" si="79"/>
        <v>0</v>
      </c>
      <c r="U1256" t="str">
        <f>YEAR('Campaign Data'!$A1256)&amp;"-"&amp;TEXT(MONTH('Campaign Data'!$A1256),"00")</f>
        <v>2026-03</v>
      </c>
    </row>
    <row r="1257" spans="1:21" x14ac:dyDescent="0.25">
      <c r="A1257">
        <v>46091</v>
      </c>
      <c r="B1257" t="s">
        <v>108</v>
      </c>
      <c r="C1257" t="s">
        <v>109</v>
      </c>
      <c r="D1257" t="s">
        <v>58</v>
      </c>
      <c r="E1257" t="s">
        <v>33</v>
      </c>
      <c r="F1257" t="s">
        <v>43</v>
      </c>
      <c r="G1257" t="s">
        <v>59</v>
      </c>
      <c r="H1257" t="s">
        <v>71</v>
      </c>
      <c r="I1257" t="s">
        <v>37</v>
      </c>
      <c r="J1257" t="s">
        <v>62</v>
      </c>
      <c r="K1257">
        <v>5656</v>
      </c>
      <c r="L1257">
        <v>65</v>
      </c>
      <c r="M1257">
        <v>35.950000000000003</v>
      </c>
      <c r="N1257">
        <v>0</v>
      </c>
      <c r="O1257">
        <v>0</v>
      </c>
      <c r="P1257">
        <f t="shared" si="76"/>
        <v>1.1492220650636492E-2</v>
      </c>
      <c r="Q1257">
        <f t="shared" si="76"/>
        <v>0.55307692307692313</v>
      </c>
      <c r="R1257">
        <f t="shared" si="77"/>
        <v>0</v>
      </c>
      <c r="S1257">
        <f t="shared" si="78"/>
        <v>0</v>
      </c>
      <c r="T1257">
        <f t="shared" si="79"/>
        <v>0</v>
      </c>
      <c r="U1257" t="str">
        <f>YEAR('Campaign Data'!$A1257)&amp;"-"&amp;TEXT(MONTH('Campaign Data'!$A1257),"00")</f>
        <v>2026-03</v>
      </c>
    </row>
    <row r="1258" spans="1:21" x14ac:dyDescent="0.25">
      <c r="A1258">
        <v>46091</v>
      </c>
      <c r="B1258" t="s">
        <v>181</v>
      </c>
      <c r="C1258" t="s">
        <v>182</v>
      </c>
      <c r="D1258" t="s">
        <v>32</v>
      </c>
      <c r="E1258" t="s">
        <v>33</v>
      </c>
      <c r="F1258" t="s">
        <v>75</v>
      </c>
      <c r="G1258" t="s">
        <v>59</v>
      </c>
      <c r="H1258" t="s">
        <v>55</v>
      </c>
      <c r="I1258" t="s">
        <v>37</v>
      </c>
      <c r="J1258" t="s">
        <v>29</v>
      </c>
      <c r="K1258">
        <v>10557</v>
      </c>
      <c r="L1258">
        <v>100</v>
      </c>
      <c r="M1258">
        <v>64.75</v>
      </c>
      <c r="N1258">
        <v>1</v>
      </c>
      <c r="O1258">
        <v>36.659999999999997</v>
      </c>
      <c r="P1258">
        <f t="shared" si="76"/>
        <v>9.4723879890120308E-3</v>
      </c>
      <c r="Q1258">
        <f t="shared" si="76"/>
        <v>0.64749999999999996</v>
      </c>
      <c r="R1258">
        <f t="shared" si="77"/>
        <v>64.75</v>
      </c>
      <c r="S1258">
        <f t="shared" si="78"/>
        <v>0.56617760617760615</v>
      </c>
      <c r="T1258">
        <f t="shared" si="79"/>
        <v>0.01</v>
      </c>
      <c r="U1258" t="str">
        <f>YEAR('Campaign Data'!$A1258)&amp;"-"&amp;TEXT(MONTH('Campaign Data'!$A1258),"00")</f>
        <v>2026-03</v>
      </c>
    </row>
    <row r="1259" spans="1:21" x14ac:dyDescent="0.25">
      <c r="A1259">
        <v>46091</v>
      </c>
      <c r="B1259" t="s">
        <v>56</v>
      </c>
      <c r="C1259" t="s">
        <v>57</v>
      </c>
      <c r="D1259" t="s">
        <v>58</v>
      </c>
      <c r="E1259" t="s">
        <v>33</v>
      </c>
      <c r="F1259" t="s">
        <v>43</v>
      </c>
      <c r="G1259" t="s">
        <v>59</v>
      </c>
      <c r="H1259" t="s">
        <v>36</v>
      </c>
      <c r="I1259" t="s">
        <v>28</v>
      </c>
      <c r="J1259" t="s">
        <v>87</v>
      </c>
      <c r="K1259">
        <v>3044</v>
      </c>
      <c r="L1259">
        <v>22</v>
      </c>
      <c r="M1259">
        <v>22.58</v>
      </c>
      <c r="N1259">
        <v>0</v>
      </c>
      <c r="O1259">
        <v>0</v>
      </c>
      <c r="P1259">
        <f t="shared" si="76"/>
        <v>7.2273324572930354E-3</v>
      </c>
      <c r="Q1259">
        <f t="shared" si="76"/>
        <v>1.0263636363636364</v>
      </c>
      <c r="R1259">
        <f t="shared" si="77"/>
        <v>0</v>
      </c>
      <c r="S1259">
        <f t="shared" si="78"/>
        <v>0</v>
      </c>
      <c r="T1259">
        <f t="shared" si="79"/>
        <v>0</v>
      </c>
      <c r="U1259" t="str">
        <f>YEAR('Campaign Data'!$A1259)&amp;"-"&amp;TEXT(MONTH('Campaign Data'!$A1259),"00")</f>
        <v>2026-03</v>
      </c>
    </row>
    <row r="1260" spans="1:21" x14ac:dyDescent="0.25">
      <c r="A1260">
        <v>46091</v>
      </c>
      <c r="B1260" t="s">
        <v>183</v>
      </c>
      <c r="C1260" t="s">
        <v>184</v>
      </c>
      <c r="D1260" t="s">
        <v>23</v>
      </c>
      <c r="E1260" t="s">
        <v>24</v>
      </c>
      <c r="F1260" t="s">
        <v>81</v>
      </c>
      <c r="G1260" t="s">
        <v>185</v>
      </c>
      <c r="H1260" t="s">
        <v>27</v>
      </c>
      <c r="I1260" t="s">
        <v>37</v>
      </c>
      <c r="J1260" t="s">
        <v>45</v>
      </c>
      <c r="K1260">
        <v>3685</v>
      </c>
      <c r="L1260">
        <v>73</v>
      </c>
      <c r="M1260">
        <v>76.599999999999994</v>
      </c>
      <c r="N1260">
        <v>1</v>
      </c>
      <c r="O1260">
        <v>24.93</v>
      </c>
      <c r="P1260">
        <f t="shared" si="76"/>
        <v>1.9810040705563095E-2</v>
      </c>
      <c r="Q1260">
        <f t="shared" si="76"/>
        <v>1.0493150684931507</v>
      </c>
      <c r="R1260">
        <f t="shared" si="77"/>
        <v>76.599999999999994</v>
      </c>
      <c r="S1260">
        <f t="shared" si="78"/>
        <v>0.32545691906005225</v>
      </c>
      <c r="T1260">
        <f t="shared" si="79"/>
        <v>1.3698630136986301E-2</v>
      </c>
      <c r="U1260" t="str">
        <f>YEAR('Campaign Data'!$A1260)&amp;"-"&amp;TEXT(MONTH('Campaign Data'!$A1260),"00")</f>
        <v>2026-03</v>
      </c>
    </row>
    <row r="1261" spans="1:21" x14ac:dyDescent="0.25">
      <c r="A1261">
        <v>46091</v>
      </c>
      <c r="B1261" t="s">
        <v>183</v>
      </c>
      <c r="C1261" t="s">
        <v>184</v>
      </c>
      <c r="D1261" t="s">
        <v>23</v>
      </c>
      <c r="E1261" t="s">
        <v>24</v>
      </c>
      <c r="F1261" t="s">
        <v>81</v>
      </c>
      <c r="G1261" t="s">
        <v>185</v>
      </c>
      <c r="H1261" t="s">
        <v>27</v>
      </c>
      <c r="I1261" t="s">
        <v>37</v>
      </c>
      <c r="J1261" t="s">
        <v>29</v>
      </c>
      <c r="K1261">
        <v>5265</v>
      </c>
      <c r="L1261">
        <v>73</v>
      </c>
      <c r="M1261">
        <v>113.06</v>
      </c>
      <c r="N1261">
        <v>1</v>
      </c>
      <c r="O1261">
        <v>23.53</v>
      </c>
      <c r="P1261">
        <f t="shared" si="76"/>
        <v>1.3865147198480532E-2</v>
      </c>
      <c r="Q1261">
        <f t="shared" si="76"/>
        <v>1.5487671232876712</v>
      </c>
      <c r="R1261">
        <f t="shared" si="77"/>
        <v>113.06</v>
      </c>
      <c r="S1261">
        <f t="shared" si="78"/>
        <v>0.20811958252255441</v>
      </c>
      <c r="T1261">
        <f t="shared" si="79"/>
        <v>1.3698630136986301E-2</v>
      </c>
      <c r="U1261" t="str">
        <f>YEAR('Campaign Data'!$A1261)&amp;"-"&amp;TEXT(MONTH('Campaign Data'!$A1261),"00")</f>
        <v>2026-03</v>
      </c>
    </row>
    <row r="1262" spans="1:21" x14ac:dyDescent="0.25">
      <c r="A1262">
        <v>46091</v>
      </c>
      <c r="B1262" t="s">
        <v>78</v>
      </c>
      <c r="C1262" t="s">
        <v>79</v>
      </c>
      <c r="D1262" t="s">
        <v>80</v>
      </c>
      <c r="E1262" t="s">
        <v>24</v>
      </c>
      <c r="F1262" t="s">
        <v>81</v>
      </c>
      <c r="G1262" t="s">
        <v>66</v>
      </c>
      <c r="H1262" t="s">
        <v>27</v>
      </c>
      <c r="I1262" t="s">
        <v>37</v>
      </c>
      <c r="J1262" t="s">
        <v>45</v>
      </c>
      <c r="K1262">
        <v>10366</v>
      </c>
      <c r="L1262">
        <v>128</v>
      </c>
      <c r="M1262">
        <v>195.3</v>
      </c>
      <c r="N1262">
        <v>1</v>
      </c>
      <c r="O1262">
        <v>20.09</v>
      </c>
      <c r="P1262">
        <f t="shared" si="76"/>
        <v>1.2348060968551032E-2</v>
      </c>
      <c r="Q1262">
        <f t="shared" si="76"/>
        <v>1.5257812500000001</v>
      </c>
      <c r="R1262">
        <f t="shared" si="77"/>
        <v>195.3</v>
      </c>
      <c r="S1262">
        <f t="shared" si="78"/>
        <v>0.10286738351254479</v>
      </c>
      <c r="T1262">
        <f t="shared" si="79"/>
        <v>7.8125E-3</v>
      </c>
      <c r="U1262" t="str">
        <f>YEAR('Campaign Data'!$A1262)&amp;"-"&amp;TEXT(MONTH('Campaign Data'!$A1262),"00")</f>
        <v>2026-03</v>
      </c>
    </row>
    <row r="1263" spans="1:21" x14ac:dyDescent="0.25">
      <c r="A1263">
        <v>46091</v>
      </c>
      <c r="B1263" t="s">
        <v>78</v>
      </c>
      <c r="C1263" t="s">
        <v>79</v>
      </c>
      <c r="D1263" t="s">
        <v>80</v>
      </c>
      <c r="E1263" t="s">
        <v>24</v>
      </c>
      <c r="F1263" t="s">
        <v>81</v>
      </c>
      <c r="G1263" t="s">
        <v>66</v>
      </c>
      <c r="H1263" t="s">
        <v>36</v>
      </c>
      <c r="I1263" t="s">
        <v>28</v>
      </c>
      <c r="J1263" t="s">
        <v>87</v>
      </c>
      <c r="K1263">
        <v>4373</v>
      </c>
      <c r="L1263">
        <v>33</v>
      </c>
      <c r="M1263">
        <v>19.559999999999999</v>
      </c>
      <c r="N1263">
        <v>0</v>
      </c>
      <c r="O1263">
        <v>0</v>
      </c>
      <c r="P1263">
        <f t="shared" si="76"/>
        <v>7.5463068831465811E-3</v>
      </c>
      <c r="Q1263">
        <f t="shared" si="76"/>
        <v>0.59272727272727266</v>
      </c>
      <c r="R1263">
        <f t="shared" si="77"/>
        <v>0</v>
      </c>
      <c r="S1263">
        <f t="shared" si="78"/>
        <v>0</v>
      </c>
      <c r="T1263">
        <f t="shared" si="79"/>
        <v>0</v>
      </c>
      <c r="U1263" t="str">
        <f>YEAR('Campaign Data'!$A1263)&amp;"-"&amp;TEXT(MONTH('Campaign Data'!$A1263),"00")</f>
        <v>2026-03</v>
      </c>
    </row>
    <row r="1264" spans="1:21" x14ac:dyDescent="0.25">
      <c r="A1264">
        <v>46092</v>
      </c>
      <c r="B1264" t="s">
        <v>175</v>
      </c>
      <c r="C1264" t="s">
        <v>176</v>
      </c>
      <c r="D1264" t="s">
        <v>65</v>
      </c>
      <c r="E1264" t="s">
        <v>49</v>
      </c>
      <c r="F1264" t="s">
        <v>75</v>
      </c>
      <c r="G1264" t="s">
        <v>70</v>
      </c>
      <c r="H1264" t="s">
        <v>36</v>
      </c>
      <c r="I1264" t="s">
        <v>37</v>
      </c>
      <c r="J1264" t="s">
        <v>45</v>
      </c>
      <c r="K1264">
        <v>19624</v>
      </c>
      <c r="L1264">
        <v>813</v>
      </c>
      <c r="M1264">
        <v>1336.02</v>
      </c>
      <c r="N1264">
        <v>52</v>
      </c>
      <c r="O1264">
        <v>2085.1</v>
      </c>
      <c r="P1264">
        <f t="shared" si="76"/>
        <v>4.1428862617203424E-2</v>
      </c>
      <c r="Q1264">
        <f t="shared" si="76"/>
        <v>1.6433210332103321</v>
      </c>
      <c r="R1264">
        <f t="shared" si="77"/>
        <v>25.692692307692308</v>
      </c>
      <c r="S1264">
        <f t="shared" si="78"/>
        <v>1.5606802293378841</v>
      </c>
      <c r="T1264">
        <f t="shared" si="79"/>
        <v>6.3960639606396058E-2</v>
      </c>
      <c r="U1264" t="str">
        <f>YEAR('Campaign Data'!$A1264)&amp;"-"&amp;TEXT(MONTH('Campaign Data'!$A1264),"00")</f>
        <v>2026-03</v>
      </c>
    </row>
    <row r="1265" spans="1:21" x14ac:dyDescent="0.25">
      <c r="A1265">
        <v>46092</v>
      </c>
      <c r="B1265" t="s">
        <v>88</v>
      </c>
      <c r="C1265" t="s">
        <v>89</v>
      </c>
      <c r="D1265" t="s">
        <v>23</v>
      </c>
      <c r="E1265" t="s">
        <v>49</v>
      </c>
      <c r="F1265" t="s">
        <v>81</v>
      </c>
      <c r="G1265" t="s">
        <v>50</v>
      </c>
      <c r="H1265" t="s">
        <v>55</v>
      </c>
      <c r="I1265" t="s">
        <v>61</v>
      </c>
      <c r="J1265" t="s">
        <v>38</v>
      </c>
      <c r="K1265">
        <v>12936</v>
      </c>
      <c r="L1265">
        <v>475</v>
      </c>
      <c r="M1265">
        <v>744.65</v>
      </c>
      <c r="N1265">
        <v>30</v>
      </c>
      <c r="O1265">
        <v>365.08</v>
      </c>
      <c r="P1265">
        <f t="shared" si="76"/>
        <v>3.6719233147804578E-2</v>
      </c>
      <c r="Q1265">
        <f t="shared" si="76"/>
        <v>1.5676842105263158</v>
      </c>
      <c r="R1265">
        <f t="shared" si="77"/>
        <v>24.821666666666665</v>
      </c>
      <c r="S1265">
        <f t="shared" si="78"/>
        <v>0.49027059692472974</v>
      </c>
      <c r="T1265">
        <f t="shared" si="79"/>
        <v>6.3157894736842107E-2</v>
      </c>
      <c r="U1265" t="str">
        <f>YEAR('Campaign Data'!$A1265)&amp;"-"&amp;TEXT(MONTH('Campaign Data'!$A1265),"00")</f>
        <v>2026-03</v>
      </c>
    </row>
    <row r="1266" spans="1:21" x14ac:dyDescent="0.25">
      <c r="A1266">
        <v>46092</v>
      </c>
      <c r="B1266" t="s">
        <v>88</v>
      </c>
      <c r="C1266" t="s">
        <v>89</v>
      </c>
      <c r="D1266" t="s">
        <v>23</v>
      </c>
      <c r="E1266" t="s">
        <v>49</v>
      </c>
      <c r="F1266" t="s">
        <v>81</v>
      </c>
      <c r="G1266" t="s">
        <v>50</v>
      </c>
      <c r="H1266" t="s">
        <v>27</v>
      </c>
      <c r="I1266" t="s">
        <v>61</v>
      </c>
      <c r="J1266" t="s">
        <v>62</v>
      </c>
      <c r="K1266">
        <v>18172</v>
      </c>
      <c r="L1266">
        <v>853</v>
      </c>
      <c r="M1266">
        <v>1358.21</v>
      </c>
      <c r="N1266">
        <v>50</v>
      </c>
      <c r="O1266">
        <v>1566.81</v>
      </c>
      <c r="P1266">
        <f t="shared" si="76"/>
        <v>4.6940347787805412E-2</v>
      </c>
      <c r="Q1266">
        <f t="shared" si="76"/>
        <v>1.5922743259085581</v>
      </c>
      <c r="R1266">
        <f t="shared" si="77"/>
        <v>27.164200000000001</v>
      </c>
      <c r="S1266">
        <f t="shared" si="78"/>
        <v>1.1535844972426943</v>
      </c>
      <c r="T1266">
        <f t="shared" si="79"/>
        <v>5.8616647127784291E-2</v>
      </c>
      <c r="U1266" t="str">
        <f>YEAR('Campaign Data'!$A1266)&amp;"-"&amp;TEXT(MONTH('Campaign Data'!$A1266),"00")</f>
        <v>2026-03</v>
      </c>
    </row>
    <row r="1267" spans="1:21" x14ac:dyDescent="0.25">
      <c r="A1267">
        <v>46092</v>
      </c>
      <c r="B1267" t="s">
        <v>21</v>
      </c>
      <c r="C1267" t="s">
        <v>124</v>
      </c>
      <c r="D1267" t="s">
        <v>23</v>
      </c>
      <c r="E1267" t="s">
        <v>24</v>
      </c>
      <c r="F1267" t="s">
        <v>25</v>
      </c>
      <c r="G1267" t="s">
        <v>26</v>
      </c>
      <c r="H1267" t="s">
        <v>71</v>
      </c>
      <c r="I1267" t="s">
        <v>28</v>
      </c>
      <c r="J1267" t="s">
        <v>45</v>
      </c>
      <c r="K1267">
        <v>10649</v>
      </c>
      <c r="L1267">
        <v>114</v>
      </c>
      <c r="M1267">
        <v>72.099999999999994</v>
      </c>
      <c r="N1267">
        <v>4</v>
      </c>
      <c r="O1267">
        <v>658.71</v>
      </c>
      <c r="P1267">
        <f t="shared" si="76"/>
        <v>1.0705230538078692E-2</v>
      </c>
      <c r="Q1267">
        <f t="shared" si="76"/>
        <v>0.63245614035087716</v>
      </c>
      <c r="R1267">
        <f t="shared" si="77"/>
        <v>18.024999999999999</v>
      </c>
      <c r="S1267">
        <f t="shared" si="78"/>
        <v>9.136061026352289</v>
      </c>
      <c r="T1267">
        <f t="shared" si="79"/>
        <v>3.5087719298245612E-2</v>
      </c>
      <c r="U1267" t="str">
        <f>YEAR('Campaign Data'!$A1267)&amp;"-"&amp;TEXT(MONTH('Campaign Data'!$A1267),"00")</f>
        <v>2026-03</v>
      </c>
    </row>
    <row r="1268" spans="1:21" x14ac:dyDescent="0.25">
      <c r="A1268">
        <v>46092</v>
      </c>
      <c r="B1268" t="s">
        <v>125</v>
      </c>
      <c r="C1268" t="s">
        <v>126</v>
      </c>
      <c r="D1268" t="s">
        <v>41</v>
      </c>
      <c r="E1268" t="s">
        <v>42</v>
      </c>
      <c r="F1268" t="s">
        <v>81</v>
      </c>
      <c r="G1268" t="s">
        <v>44</v>
      </c>
      <c r="H1268" t="s">
        <v>60</v>
      </c>
      <c r="I1268" t="s">
        <v>28</v>
      </c>
      <c r="J1268" t="s">
        <v>38</v>
      </c>
      <c r="K1268">
        <v>1407</v>
      </c>
      <c r="L1268">
        <v>13</v>
      </c>
      <c r="M1268">
        <v>78.569999999999993</v>
      </c>
      <c r="N1268">
        <v>0</v>
      </c>
      <c r="O1268">
        <v>0</v>
      </c>
      <c r="P1268">
        <f t="shared" si="76"/>
        <v>9.2395167022032692E-3</v>
      </c>
      <c r="Q1268">
        <f t="shared" si="76"/>
        <v>6.043846153846153</v>
      </c>
      <c r="R1268">
        <f t="shared" si="77"/>
        <v>0</v>
      </c>
      <c r="S1268">
        <f t="shared" si="78"/>
        <v>0</v>
      </c>
      <c r="T1268">
        <f t="shared" si="79"/>
        <v>0</v>
      </c>
      <c r="U1268" t="str">
        <f>YEAR('Campaign Data'!$A1268)&amp;"-"&amp;TEXT(MONTH('Campaign Data'!$A1268),"00")</f>
        <v>2026-03</v>
      </c>
    </row>
    <row r="1269" spans="1:21" x14ac:dyDescent="0.25">
      <c r="A1269">
        <v>46092</v>
      </c>
      <c r="B1269" t="s">
        <v>138</v>
      </c>
      <c r="C1269" t="s">
        <v>139</v>
      </c>
      <c r="D1269" t="s">
        <v>58</v>
      </c>
      <c r="E1269" t="s">
        <v>74</v>
      </c>
      <c r="F1269" t="s">
        <v>34</v>
      </c>
      <c r="G1269" t="s">
        <v>9</v>
      </c>
      <c r="H1269" t="s">
        <v>27</v>
      </c>
      <c r="I1269" t="s">
        <v>37</v>
      </c>
      <c r="J1269" t="s">
        <v>38</v>
      </c>
      <c r="K1269">
        <v>12447</v>
      </c>
      <c r="L1269">
        <v>455</v>
      </c>
      <c r="M1269">
        <v>824.22</v>
      </c>
      <c r="N1269">
        <v>24</v>
      </c>
      <c r="O1269">
        <v>3080.32</v>
      </c>
      <c r="P1269">
        <f t="shared" si="76"/>
        <v>3.6554993171045234E-2</v>
      </c>
      <c r="Q1269">
        <f t="shared" si="76"/>
        <v>1.8114725274725276</v>
      </c>
      <c r="R1269">
        <f t="shared" si="77"/>
        <v>34.342500000000001</v>
      </c>
      <c r="S1269">
        <f t="shared" si="78"/>
        <v>3.73725461648589</v>
      </c>
      <c r="T1269">
        <f t="shared" si="79"/>
        <v>5.2747252747252747E-2</v>
      </c>
      <c r="U1269" t="str">
        <f>YEAR('Campaign Data'!$A1269)&amp;"-"&amp;TEXT(MONTH('Campaign Data'!$A1269),"00")</f>
        <v>2026-03</v>
      </c>
    </row>
    <row r="1270" spans="1:21" x14ac:dyDescent="0.25">
      <c r="A1270">
        <v>46092</v>
      </c>
      <c r="B1270" t="s">
        <v>149</v>
      </c>
      <c r="C1270" t="s">
        <v>150</v>
      </c>
      <c r="D1270" t="s">
        <v>65</v>
      </c>
      <c r="E1270" t="s">
        <v>33</v>
      </c>
      <c r="F1270" t="s">
        <v>43</v>
      </c>
      <c r="G1270" t="s">
        <v>59</v>
      </c>
      <c r="H1270" t="s">
        <v>27</v>
      </c>
      <c r="I1270" t="s">
        <v>61</v>
      </c>
      <c r="J1270" t="s">
        <v>62</v>
      </c>
      <c r="K1270">
        <v>7821</v>
      </c>
      <c r="L1270">
        <v>103</v>
      </c>
      <c r="M1270">
        <v>82.05</v>
      </c>
      <c r="N1270">
        <v>0</v>
      </c>
      <c r="O1270">
        <v>0</v>
      </c>
      <c r="P1270">
        <f t="shared" si="76"/>
        <v>1.3169671397519499E-2</v>
      </c>
      <c r="Q1270">
        <f t="shared" si="76"/>
        <v>0.79660194174757282</v>
      </c>
      <c r="R1270">
        <f t="shared" si="77"/>
        <v>0</v>
      </c>
      <c r="S1270">
        <f t="shared" si="78"/>
        <v>0</v>
      </c>
      <c r="T1270">
        <f t="shared" si="79"/>
        <v>0</v>
      </c>
      <c r="U1270" t="str">
        <f>YEAR('Campaign Data'!$A1270)&amp;"-"&amp;TEXT(MONTH('Campaign Data'!$A1270),"00")</f>
        <v>2026-03</v>
      </c>
    </row>
    <row r="1271" spans="1:21" x14ac:dyDescent="0.25">
      <c r="A1271">
        <v>46092</v>
      </c>
      <c r="B1271" t="s">
        <v>100</v>
      </c>
      <c r="C1271" t="s">
        <v>101</v>
      </c>
      <c r="D1271" t="s">
        <v>80</v>
      </c>
      <c r="E1271" t="s">
        <v>33</v>
      </c>
      <c r="F1271" t="s">
        <v>25</v>
      </c>
      <c r="G1271" t="s">
        <v>102</v>
      </c>
      <c r="H1271" t="s">
        <v>55</v>
      </c>
      <c r="I1271" t="s">
        <v>37</v>
      </c>
      <c r="J1271" t="s">
        <v>87</v>
      </c>
      <c r="K1271">
        <v>3815</v>
      </c>
      <c r="L1271">
        <v>51</v>
      </c>
      <c r="M1271">
        <v>18.54</v>
      </c>
      <c r="N1271">
        <v>1</v>
      </c>
      <c r="O1271">
        <v>140.32</v>
      </c>
      <c r="P1271">
        <f t="shared" si="76"/>
        <v>1.3368283093053735E-2</v>
      </c>
      <c r="Q1271">
        <f t="shared" si="76"/>
        <v>0.36352941176470588</v>
      </c>
      <c r="R1271">
        <f t="shared" si="77"/>
        <v>18.54</v>
      </c>
      <c r="S1271">
        <f t="shared" si="78"/>
        <v>7.5685005393743259</v>
      </c>
      <c r="T1271">
        <f t="shared" si="79"/>
        <v>1.9607843137254902E-2</v>
      </c>
      <c r="U1271" t="str">
        <f>YEAR('Campaign Data'!$A1271)&amp;"-"&amp;TEXT(MONTH('Campaign Data'!$A1271),"00")</f>
        <v>2026-03</v>
      </c>
    </row>
    <row r="1272" spans="1:21" x14ac:dyDescent="0.25">
      <c r="A1272">
        <v>46092</v>
      </c>
      <c r="B1272" t="s">
        <v>169</v>
      </c>
      <c r="C1272" t="s">
        <v>170</v>
      </c>
      <c r="D1272" t="s">
        <v>58</v>
      </c>
      <c r="E1272" t="s">
        <v>74</v>
      </c>
      <c r="F1272" t="s">
        <v>75</v>
      </c>
      <c r="G1272" t="s">
        <v>9</v>
      </c>
      <c r="H1272" t="s">
        <v>90</v>
      </c>
      <c r="I1272" t="s">
        <v>61</v>
      </c>
      <c r="J1272" t="s">
        <v>38</v>
      </c>
      <c r="K1272">
        <v>32275</v>
      </c>
      <c r="L1272">
        <v>936</v>
      </c>
      <c r="M1272">
        <v>334.89</v>
      </c>
      <c r="N1272">
        <v>37</v>
      </c>
      <c r="O1272">
        <v>280.12</v>
      </c>
      <c r="P1272">
        <f t="shared" si="76"/>
        <v>2.9000774593338496E-2</v>
      </c>
      <c r="Q1272">
        <f t="shared" si="76"/>
        <v>0.3577884615384615</v>
      </c>
      <c r="R1272">
        <f t="shared" si="77"/>
        <v>9.0510810810810813</v>
      </c>
      <c r="S1272">
        <f t="shared" si="78"/>
        <v>0.83645376093642698</v>
      </c>
      <c r="T1272">
        <f t="shared" si="79"/>
        <v>3.9529914529914528E-2</v>
      </c>
      <c r="U1272" t="str">
        <f>YEAR('Campaign Data'!$A1272)&amp;"-"&amp;TEXT(MONTH('Campaign Data'!$A1272),"00")</f>
        <v>2026-03</v>
      </c>
    </row>
    <row r="1273" spans="1:21" x14ac:dyDescent="0.25">
      <c r="A1273">
        <v>46092</v>
      </c>
      <c r="B1273" t="s">
        <v>132</v>
      </c>
      <c r="C1273" t="s">
        <v>133</v>
      </c>
      <c r="D1273" t="s">
        <v>23</v>
      </c>
      <c r="E1273" t="s">
        <v>42</v>
      </c>
      <c r="F1273" t="s">
        <v>75</v>
      </c>
      <c r="G1273" t="s">
        <v>84</v>
      </c>
      <c r="H1273" t="s">
        <v>60</v>
      </c>
      <c r="I1273" t="s">
        <v>61</v>
      </c>
      <c r="J1273" t="s">
        <v>62</v>
      </c>
      <c r="K1273">
        <v>13101</v>
      </c>
      <c r="L1273">
        <v>110</v>
      </c>
      <c r="M1273">
        <v>624.89</v>
      </c>
      <c r="N1273">
        <v>4</v>
      </c>
      <c r="O1273">
        <v>170.34</v>
      </c>
      <c r="P1273">
        <f t="shared" si="76"/>
        <v>8.3963056255247689E-3</v>
      </c>
      <c r="Q1273">
        <f t="shared" si="76"/>
        <v>5.6808181818181813</v>
      </c>
      <c r="R1273">
        <f t="shared" si="77"/>
        <v>156.2225</v>
      </c>
      <c r="S1273">
        <f t="shared" si="78"/>
        <v>0.27259197618780906</v>
      </c>
      <c r="T1273">
        <f t="shared" si="79"/>
        <v>3.6363636363636362E-2</v>
      </c>
      <c r="U1273" t="str">
        <f>YEAR('Campaign Data'!$A1273)&amp;"-"&amp;TEXT(MONTH('Campaign Data'!$A1273),"00")</f>
        <v>2026-03</v>
      </c>
    </row>
    <row r="1274" spans="1:21" x14ac:dyDescent="0.25">
      <c r="A1274">
        <v>46092</v>
      </c>
      <c r="B1274" t="s">
        <v>177</v>
      </c>
      <c r="C1274" t="s">
        <v>178</v>
      </c>
      <c r="D1274" t="s">
        <v>41</v>
      </c>
      <c r="E1274" t="s">
        <v>49</v>
      </c>
      <c r="F1274" t="s">
        <v>34</v>
      </c>
      <c r="G1274" t="s">
        <v>107</v>
      </c>
      <c r="H1274" t="s">
        <v>60</v>
      </c>
      <c r="I1274" t="s">
        <v>61</v>
      </c>
      <c r="J1274" t="s">
        <v>62</v>
      </c>
      <c r="K1274">
        <v>8357</v>
      </c>
      <c r="L1274">
        <v>508</v>
      </c>
      <c r="M1274">
        <v>689.17</v>
      </c>
      <c r="N1274">
        <v>42</v>
      </c>
      <c r="O1274">
        <v>2765.25</v>
      </c>
      <c r="P1274">
        <f t="shared" si="76"/>
        <v>6.0787363886562161E-2</v>
      </c>
      <c r="Q1274">
        <f t="shared" si="76"/>
        <v>1.3566338582677164</v>
      </c>
      <c r="R1274">
        <f t="shared" si="77"/>
        <v>16.408809523809524</v>
      </c>
      <c r="S1274">
        <f t="shared" si="78"/>
        <v>4.0124352481971073</v>
      </c>
      <c r="T1274">
        <f t="shared" si="79"/>
        <v>8.2677165354330714E-2</v>
      </c>
      <c r="U1274" t="str">
        <f>YEAR('Campaign Data'!$A1274)&amp;"-"&amp;TEXT(MONTH('Campaign Data'!$A1274),"00")</f>
        <v>2026-03</v>
      </c>
    </row>
    <row r="1275" spans="1:21" x14ac:dyDescent="0.25">
      <c r="A1275">
        <v>46092</v>
      </c>
      <c r="B1275" t="s">
        <v>155</v>
      </c>
      <c r="C1275" t="s">
        <v>156</v>
      </c>
      <c r="D1275" t="s">
        <v>32</v>
      </c>
      <c r="E1275" t="s">
        <v>24</v>
      </c>
      <c r="F1275" t="s">
        <v>34</v>
      </c>
      <c r="G1275" t="s">
        <v>129</v>
      </c>
      <c r="H1275" t="s">
        <v>36</v>
      </c>
      <c r="I1275" t="s">
        <v>37</v>
      </c>
      <c r="J1275" t="s">
        <v>45</v>
      </c>
      <c r="K1275">
        <v>19669</v>
      </c>
      <c r="L1275">
        <v>275</v>
      </c>
      <c r="M1275">
        <v>314.16000000000003</v>
      </c>
      <c r="N1275">
        <v>11</v>
      </c>
      <c r="O1275">
        <v>1953.45</v>
      </c>
      <c r="P1275">
        <f t="shared" si="76"/>
        <v>1.3981392038232753E-2</v>
      </c>
      <c r="Q1275">
        <f t="shared" si="76"/>
        <v>1.1424000000000001</v>
      </c>
      <c r="R1275">
        <f t="shared" si="77"/>
        <v>28.560000000000002</v>
      </c>
      <c r="S1275">
        <f t="shared" si="78"/>
        <v>6.2180099312452253</v>
      </c>
      <c r="T1275">
        <f t="shared" si="79"/>
        <v>0.04</v>
      </c>
      <c r="U1275" t="str">
        <f>YEAR('Campaign Data'!$A1275)&amp;"-"&amp;TEXT(MONTH('Campaign Data'!$A1275),"00")</f>
        <v>2026-03</v>
      </c>
    </row>
    <row r="1276" spans="1:21" x14ac:dyDescent="0.25">
      <c r="A1276">
        <v>46092</v>
      </c>
      <c r="B1276" t="s">
        <v>157</v>
      </c>
      <c r="C1276" t="s">
        <v>158</v>
      </c>
      <c r="D1276" t="s">
        <v>58</v>
      </c>
      <c r="E1276" t="s">
        <v>49</v>
      </c>
      <c r="F1276" t="s">
        <v>81</v>
      </c>
      <c r="G1276" t="s">
        <v>50</v>
      </c>
      <c r="H1276" t="s">
        <v>27</v>
      </c>
      <c r="I1276" t="s">
        <v>28</v>
      </c>
      <c r="J1276" t="s">
        <v>62</v>
      </c>
      <c r="K1276">
        <v>5190</v>
      </c>
      <c r="L1276">
        <v>287</v>
      </c>
      <c r="M1276">
        <v>614.42999999999995</v>
      </c>
      <c r="N1276">
        <v>24</v>
      </c>
      <c r="O1276">
        <v>1054.25</v>
      </c>
      <c r="P1276">
        <f t="shared" si="76"/>
        <v>5.529865125240848E-2</v>
      </c>
      <c r="Q1276">
        <f t="shared" si="76"/>
        <v>2.1408710801393727</v>
      </c>
      <c r="R1276">
        <f t="shared" si="77"/>
        <v>25.601249999999997</v>
      </c>
      <c r="S1276">
        <f t="shared" si="78"/>
        <v>1.7158179125368229</v>
      </c>
      <c r="T1276">
        <f t="shared" si="79"/>
        <v>8.3623693379790948E-2</v>
      </c>
      <c r="U1276" t="str">
        <f>YEAR('Campaign Data'!$A1276)&amp;"-"&amp;TEXT(MONTH('Campaign Data'!$A1276),"00")</f>
        <v>2026-03</v>
      </c>
    </row>
    <row r="1277" spans="1:21" x14ac:dyDescent="0.25">
      <c r="A1277">
        <v>46092</v>
      </c>
      <c r="B1277" t="s">
        <v>112</v>
      </c>
      <c r="C1277" t="s">
        <v>113</v>
      </c>
      <c r="D1277" t="s">
        <v>32</v>
      </c>
      <c r="E1277" t="s">
        <v>24</v>
      </c>
      <c r="F1277" t="s">
        <v>75</v>
      </c>
      <c r="G1277" t="s">
        <v>66</v>
      </c>
      <c r="H1277" t="s">
        <v>27</v>
      </c>
      <c r="I1277" t="s">
        <v>37</v>
      </c>
      <c r="J1277" t="s">
        <v>29</v>
      </c>
      <c r="K1277">
        <v>5316</v>
      </c>
      <c r="L1277">
        <v>57</v>
      </c>
      <c r="M1277">
        <v>59.29</v>
      </c>
      <c r="N1277">
        <v>1</v>
      </c>
      <c r="O1277">
        <v>22.86</v>
      </c>
      <c r="P1277">
        <f t="shared" si="76"/>
        <v>1.072234762979684E-2</v>
      </c>
      <c r="Q1277">
        <f t="shared" si="76"/>
        <v>1.0401754385964912</v>
      </c>
      <c r="R1277">
        <f t="shared" si="77"/>
        <v>59.29</v>
      </c>
      <c r="S1277">
        <f t="shared" si="78"/>
        <v>0.38556248945859334</v>
      </c>
      <c r="T1277">
        <f t="shared" si="79"/>
        <v>1.7543859649122806E-2</v>
      </c>
      <c r="U1277" t="str">
        <f>YEAR('Campaign Data'!$A1277)&amp;"-"&amp;TEXT(MONTH('Campaign Data'!$A1277),"00")</f>
        <v>2026-03</v>
      </c>
    </row>
    <row r="1278" spans="1:21" x14ac:dyDescent="0.25">
      <c r="A1278">
        <v>46092</v>
      </c>
      <c r="B1278" t="s">
        <v>161</v>
      </c>
      <c r="C1278" t="s">
        <v>162</v>
      </c>
      <c r="D1278" t="s">
        <v>48</v>
      </c>
      <c r="E1278" t="s">
        <v>74</v>
      </c>
      <c r="F1278" t="s">
        <v>34</v>
      </c>
      <c r="G1278" t="s">
        <v>107</v>
      </c>
      <c r="H1278" t="s">
        <v>90</v>
      </c>
      <c r="I1278" t="s">
        <v>37</v>
      </c>
      <c r="J1278" t="s">
        <v>38</v>
      </c>
      <c r="K1278">
        <v>20501</v>
      </c>
      <c r="L1278">
        <v>608</v>
      </c>
      <c r="M1278">
        <v>230.56</v>
      </c>
      <c r="N1278">
        <v>24</v>
      </c>
      <c r="O1278">
        <v>1186.68</v>
      </c>
      <c r="P1278">
        <f t="shared" si="76"/>
        <v>2.9657089898053754E-2</v>
      </c>
      <c r="Q1278">
        <f t="shared" si="76"/>
        <v>0.3792105263157895</v>
      </c>
      <c r="R1278">
        <f t="shared" si="77"/>
        <v>9.6066666666666674</v>
      </c>
      <c r="S1278">
        <f t="shared" si="78"/>
        <v>5.1469465648854964</v>
      </c>
      <c r="T1278">
        <f t="shared" si="79"/>
        <v>3.9473684210526314E-2</v>
      </c>
      <c r="U1278" t="str">
        <f>YEAR('Campaign Data'!$A1278)&amp;"-"&amp;TEXT(MONTH('Campaign Data'!$A1278),"00")</f>
        <v>2026-03</v>
      </c>
    </row>
    <row r="1279" spans="1:21" x14ac:dyDescent="0.25">
      <c r="A1279">
        <v>46092</v>
      </c>
      <c r="B1279" t="s">
        <v>76</v>
      </c>
      <c r="C1279" t="s">
        <v>77</v>
      </c>
      <c r="D1279" t="s">
        <v>65</v>
      </c>
      <c r="E1279" t="s">
        <v>42</v>
      </c>
      <c r="F1279" t="s">
        <v>43</v>
      </c>
      <c r="G1279" t="s">
        <v>44</v>
      </c>
      <c r="H1279" t="s">
        <v>27</v>
      </c>
      <c r="I1279" t="s">
        <v>37</v>
      </c>
      <c r="J1279" t="s">
        <v>62</v>
      </c>
      <c r="K1279">
        <v>7638</v>
      </c>
      <c r="L1279">
        <v>52</v>
      </c>
      <c r="M1279">
        <v>307.99</v>
      </c>
      <c r="N1279">
        <v>1</v>
      </c>
      <c r="O1279">
        <v>37.700000000000003</v>
      </c>
      <c r="P1279">
        <f t="shared" si="76"/>
        <v>6.8080649384655665E-3</v>
      </c>
      <c r="Q1279">
        <f t="shared" si="76"/>
        <v>5.922884615384616</v>
      </c>
      <c r="R1279">
        <f t="shared" si="77"/>
        <v>307.99</v>
      </c>
      <c r="S1279">
        <f t="shared" si="78"/>
        <v>0.12240657164193643</v>
      </c>
      <c r="T1279">
        <f t="shared" si="79"/>
        <v>1.9230769230769232E-2</v>
      </c>
      <c r="U1279" t="str">
        <f>YEAR('Campaign Data'!$A1279)&amp;"-"&amp;TEXT(MONTH('Campaign Data'!$A1279),"00")</f>
        <v>2026-03</v>
      </c>
    </row>
    <row r="1280" spans="1:21" x14ac:dyDescent="0.25">
      <c r="A1280">
        <v>46092</v>
      </c>
      <c r="B1280" t="s">
        <v>120</v>
      </c>
      <c r="C1280" t="s">
        <v>121</v>
      </c>
      <c r="D1280" t="s">
        <v>23</v>
      </c>
      <c r="E1280" t="s">
        <v>49</v>
      </c>
      <c r="F1280" t="s">
        <v>75</v>
      </c>
      <c r="G1280" t="s">
        <v>70</v>
      </c>
      <c r="H1280" t="s">
        <v>90</v>
      </c>
      <c r="I1280" t="s">
        <v>37</v>
      </c>
      <c r="J1280" t="s">
        <v>45</v>
      </c>
      <c r="K1280">
        <v>3531</v>
      </c>
      <c r="L1280">
        <v>90</v>
      </c>
      <c r="M1280">
        <v>40.020000000000003</v>
      </c>
      <c r="N1280">
        <v>4</v>
      </c>
      <c r="O1280">
        <v>46.76</v>
      </c>
      <c r="P1280">
        <f t="shared" si="76"/>
        <v>2.5488530161427356E-2</v>
      </c>
      <c r="Q1280">
        <f t="shared" si="76"/>
        <v>0.44466666666666671</v>
      </c>
      <c r="R1280">
        <f t="shared" si="77"/>
        <v>10.005000000000001</v>
      </c>
      <c r="S1280">
        <f t="shared" si="78"/>
        <v>1.168415792103948</v>
      </c>
      <c r="T1280">
        <f t="shared" si="79"/>
        <v>4.4444444444444446E-2</v>
      </c>
      <c r="U1280" t="str">
        <f>YEAR('Campaign Data'!$A1280)&amp;"-"&amp;TEXT(MONTH('Campaign Data'!$A1280),"00")</f>
        <v>2026-03</v>
      </c>
    </row>
    <row r="1281" spans="1:21" x14ac:dyDescent="0.25">
      <c r="A1281">
        <v>46093</v>
      </c>
      <c r="B1281" t="s">
        <v>173</v>
      </c>
      <c r="C1281" t="s">
        <v>174</v>
      </c>
      <c r="D1281" t="s">
        <v>48</v>
      </c>
      <c r="E1281" t="s">
        <v>74</v>
      </c>
      <c r="F1281" t="s">
        <v>25</v>
      </c>
      <c r="G1281" t="s">
        <v>9</v>
      </c>
      <c r="H1281" t="s">
        <v>36</v>
      </c>
      <c r="I1281" t="s">
        <v>37</v>
      </c>
      <c r="J1281" t="s">
        <v>29</v>
      </c>
      <c r="K1281">
        <v>7972</v>
      </c>
      <c r="L1281">
        <v>200</v>
      </c>
      <c r="M1281">
        <v>211.5</v>
      </c>
      <c r="N1281">
        <v>8</v>
      </c>
      <c r="O1281">
        <v>1403</v>
      </c>
      <c r="P1281">
        <f t="shared" si="76"/>
        <v>2.5087807325639738E-2</v>
      </c>
      <c r="Q1281">
        <f t="shared" si="76"/>
        <v>1.0575000000000001</v>
      </c>
      <c r="R1281">
        <f t="shared" si="77"/>
        <v>26.4375</v>
      </c>
      <c r="S1281">
        <f t="shared" si="78"/>
        <v>6.6335697399527183</v>
      </c>
      <c r="T1281">
        <f t="shared" si="79"/>
        <v>0.04</v>
      </c>
      <c r="U1281" t="str">
        <f>YEAR('Campaign Data'!$A1281)&amp;"-"&amp;TEXT(MONTH('Campaign Data'!$A1281),"00")</f>
        <v>2026-03</v>
      </c>
    </row>
    <row r="1282" spans="1:21" x14ac:dyDescent="0.25">
      <c r="A1282">
        <v>46093</v>
      </c>
      <c r="B1282" t="s">
        <v>186</v>
      </c>
      <c r="C1282" t="s">
        <v>187</v>
      </c>
      <c r="D1282" t="s">
        <v>80</v>
      </c>
      <c r="E1282" t="s">
        <v>33</v>
      </c>
      <c r="F1282" t="s">
        <v>43</v>
      </c>
      <c r="G1282" t="s">
        <v>102</v>
      </c>
      <c r="H1282" t="s">
        <v>36</v>
      </c>
      <c r="I1282" t="s">
        <v>37</v>
      </c>
      <c r="J1282" t="s">
        <v>45</v>
      </c>
      <c r="K1282">
        <v>13064</v>
      </c>
      <c r="L1282">
        <v>162</v>
      </c>
      <c r="M1282">
        <v>115.28</v>
      </c>
      <c r="N1282">
        <v>2</v>
      </c>
      <c r="O1282">
        <v>52.76</v>
      </c>
      <c r="P1282">
        <f t="shared" ref="P1282:Q1345" si="80">IF(K1282=0,0,L1282/K1282)</f>
        <v>1.2400489895897121E-2</v>
      </c>
      <c r="Q1282">
        <f t="shared" si="80"/>
        <v>0.71160493827160498</v>
      </c>
      <c r="R1282">
        <f t="shared" ref="R1282:R1345" si="81">IF(N1282=0,0,M1282/N1282)</f>
        <v>57.64</v>
      </c>
      <c r="S1282">
        <f t="shared" ref="S1282:S1345" si="82">IF(M1282=0,0,O1282/M1282)</f>
        <v>0.4576682859125607</v>
      </c>
      <c r="T1282">
        <f t="shared" ref="T1282:T1345" si="83">IF(L1282=0,0,N1282/L1282)</f>
        <v>1.2345679012345678E-2</v>
      </c>
      <c r="U1282" t="str">
        <f>YEAR('Campaign Data'!$A1282)&amp;"-"&amp;TEXT(MONTH('Campaign Data'!$A1282),"00")</f>
        <v>2026-03</v>
      </c>
    </row>
    <row r="1283" spans="1:21" x14ac:dyDescent="0.25">
      <c r="A1283">
        <v>46093</v>
      </c>
      <c r="B1283" t="s">
        <v>186</v>
      </c>
      <c r="C1283" t="s">
        <v>187</v>
      </c>
      <c r="D1283" t="s">
        <v>80</v>
      </c>
      <c r="E1283" t="s">
        <v>33</v>
      </c>
      <c r="F1283" t="s">
        <v>43</v>
      </c>
      <c r="G1283" t="s">
        <v>102</v>
      </c>
      <c r="H1283" t="s">
        <v>27</v>
      </c>
      <c r="I1283" t="s">
        <v>28</v>
      </c>
      <c r="J1283" t="s">
        <v>62</v>
      </c>
      <c r="K1283">
        <v>11754</v>
      </c>
      <c r="L1283">
        <v>121</v>
      </c>
      <c r="M1283">
        <v>71.7</v>
      </c>
      <c r="N1283">
        <v>2</v>
      </c>
      <c r="O1283">
        <v>63.02</v>
      </c>
      <c r="P1283">
        <f t="shared" si="80"/>
        <v>1.0294367874766038E-2</v>
      </c>
      <c r="Q1283">
        <f t="shared" si="80"/>
        <v>0.59256198347107436</v>
      </c>
      <c r="R1283">
        <f t="shared" si="81"/>
        <v>35.85</v>
      </c>
      <c r="S1283">
        <f t="shared" si="82"/>
        <v>0.87894002789400283</v>
      </c>
      <c r="T1283">
        <f t="shared" si="83"/>
        <v>1.6528925619834711E-2</v>
      </c>
      <c r="U1283" t="str">
        <f>YEAR('Campaign Data'!$A1283)&amp;"-"&amp;TEXT(MONTH('Campaign Data'!$A1283),"00")</f>
        <v>2026-03</v>
      </c>
    </row>
    <row r="1284" spans="1:21" x14ac:dyDescent="0.25">
      <c r="A1284">
        <v>46093</v>
      </c>
      <c r="B1284" t="s">
        <v>39</v>
      </c>
      <c r="C1284" t="s">
        <v>40</v>
      </c>
      <c r="D1284" t="s">
        <v>41</v>
      </c>
      <c r="E1284" t="s">
        <v>42</v>
      </c>
      <c r="F1284" t="s">
        <v>43</v>
      </c>
      <c r="G1284" t="s">
        <v>44</v>
      </c>
      <c r="H1284" t="s">
        <v>27</v>
      </c>
      <c r="I1284" t="s">
        <v>37</v>
      </c>
      <c r="J1284" t="s">
        <v>29</v>
      </c>
      <c r="K1284">
        <v>45576</v>
      </c>
      <c r="L1284">
        <v>178</v>
      </c>
      <c r="M1284">
        <v>1102.6199999999999</v>
      </c>
      <c r="N1284">
        <v>5</v>
      </c>
      <c r="O1284">
        <v>162.69999999999999</v>
      </c>
      <c r="P1284">
        <f t="shared" si="80"/>
        <v>3.9055643321046166E-3</v>
      </c>
      <c r="Q1284">
        <f t="shared" si="80"/>
        <v>6.1944943820224712</v>
      </c>
      <c r="R1284">
        <f t="shared" si="81"/>
        <v>220.52399999999997</v>
      </c>
      <c r="S1284">
        <f t="shared" si="82"/>
        <v>0.14755763545010975</v>
      </c>
      <c r="T1284">
        <f t="shared" si="83"/>
        <v>2.8089887640449437E-2</v>
      </c>
      <c r="U1284" t="str">
        <f>YEAR('Campaign Data'!$A1284)&amp;"-"&amp;TEXT(MONTH('Campaign Data'!$A1284),"00")</f>
        <v>2026-03</v>
      </c>
    </row>
    <row r="1285" spans="1:21" x14ac:dyDescent="0.25">
      <c r="A1285">
        <v>46093</v>
      </c>
      <c r="B1285" t="s">
        <v>39</v>
      </c>
      <c r="C1285" t="s">
        <v>40</v>
      </c>
      <c r="D1285" t="s">
        <v>41</v>
      </c>
      <c r="E1285" t="s">
        <v>42</v>
      </c>
      <c r="F1285" t="s">
        <v>43</v>
      </c>
      <c r="G1285" t="s">
        <v>44</v>
      </c>
      <c r="H1285" t="s">
        <v>60</v>
      </c>
      <c r="I1285" t="s">
        <v>28</v>
      </c>
      <c r="J1285" t="s">
        <v>45</v>
      </c>
      <c r="K1285">
        <v>10568</v>
      </c>
      <c r="L1285">
        <v>55</v>
      </c>
      <c r="M1285">
        <v>340.57</v>
      </c>
      <c r="N1285">
        <v>3</v>
      </c>
      <c r="O1285">
        <v>67.180000000000007</v>
      </c>
      <c r="P1285">
        <f t="shared" si="80"/>
        <v>5.2043906131718394E-3</v>
      </c>
      <c r="Q1285">
        <f t="shared" si="80"/>
        <v>6.192181818181818</v>
      </c>
      <c r="R1285">
        <f t="shared" si="81"/>
        <v>113.52333333333333</v>
      </c>
      <c r="S1285">
        <f t="shared" si="82"/>
        <v>0.19725753883195821</v>
      </c>
      <c r="T1285">
        <f t="shared" si="83"/>
        <v>5.4545454545454543E-2</v>
      </c>
      <c r="U1285" t="str">
        <f>YEAR('Campaign Data'!$A1285)&amp;"-"&amp;TEXT(MONTH('Campaign Data'!$A1285),"00")</f>
        <v>2026-03</v>
      </c>
    </row>
    <row r="1286" spans="1:21" x14ac:dyDescent="0.25">
      <c r="A1286">
        <v>46093</v>
      </c>
      <c r="B1286" t="s">
        <v>98</v>
      </c>
      <c r="C1286" t="s">
        <v>99</v>
      </c>
      <c r="D1286" t="s">
        <v>69</v>
      </c>
      <c r="E1286" t="s">
        <v>24</v>
      </c>
      <c r="F1286" t="s">
        <v>75</v>
      </c>
      <c r="G1286" t="s">
        <v>66</v>
      </c>
      <c r="H1286" t="s">
        <v>90</v>
      </c>
      <c r="I1286" t="s">
        <v>37</v>
      </c>
      <c r="J1286" t="s">
        <v>45</v>
      </c>
      <c r="K1286">
        <v>15018</v>
      </c>
      <c r="L1286">
        <v>269</v>
      </c>
      <c r="M1286">
        <v>72.37</v>
      </c>
      <c r="N1286">
        <v>11</v>
      </c>
      <c r="O1286">
        <v>114.26</v>
      </c>
      <c r="P1286">
        <f t="shared" si="80"/>
        <v>1.7911839126381675E-2</v>
      </c>
      <c r="Q1286">
        <f t="shared" si="80"/>
        <v>0.26903345724907063</v>
      </c>
      <c r="R1286">
        <f t="shared" si="81"/>
        <v>6.5790909090909091</v>
      </c>
      <c r="S1286">
        <f t="shared" si="82"/>
        <v>1.5788310073234766</v>
      </c>
      <c r="T1286">
        <f t="shared" si="83"/>
        <v>4.0892193308550186E-2</v>
      </c>
      <c r="U1286" t="str">
        <f>YEAR('Campaign Data'!$A1286)&amp;"-"&amp;TEXT(MONTH('Campaign Data'!$A1286),"00")</f>
        <v>2026-03</v>
      </c>
    </row>
    <row r="1287" spans="1:21" x14ac:dyDescent="0.25">
      <c r="A1287">
        <v>46093</v>
      </c>
      <c r="B1287" t="s">
        <v>52</v>
      </c>
      <c r="C1287" t="s">
        <v>53</v>
      </c>
      <c r="D1287" t="s">
        <v>32</v>
      </c>
      <c r="E1287" t="s">
        <v>42</v>
      </c>
      <c r="F1287" t="s">
        <v>25</v>
      </c>
      <c r="G1287" t="s">
        <v>54</v>
      </c>
      <c r="H1287" t="s">
        <v>51</v>
      </c>
      <c r="I1287" t="s">
        <v>28</v>
      </c>
      <c r="J1287" t="s">
        <v>38</v>
      </c>
      <c r="K1287">
        <v>9009</v>
      </c>
      <c r="L1287">
        <v>77</v>
      </c>
      <c r="M1287">
        <v>417.08</v>
      </c>
      <c r="N1287">
        <v>3</v>
      </c>
      <c r="O1287">
        <v>368.83</v>
      </c>
      <c r="P1287">
        <f t="shared" si="80"/>
        <v>8.5470085470085479E-3</v>
      </c>
      <c r="Q1287">
        <f t="shared" si="80"/>
        <v>5.4166233766233765</v>
      </c>
      <c r="R1287">
        <f t="shared" si="81"/>
        <v>139.02666666666667</v>
      </c>
      <c r="S1287">
        <f t="shared" si="82"/>
        <v>0.88431475975831975</v>
      </c>
      <c r="T1287">
        <f t="shared" si="83"/>
        <v>3.896103896103896E-2</v>
      </c>
      <c r="U1287" t="str">
        <f>YEAR('Campaign Data'!$A1287)&amp;"-"&amp;TEXT(MONTH('Campaign Data'!$A1287),"00")</f>
        <v>2026-03</v>
      </c>
    </row>
    <row r="1288" spans="1:21" x14ac:dyDescent="0.25">
      <c r="A1288">
        <v>46093</v>
      </c>
      <c r="B1288" t="s">
        <v>52</v>
      </c>
      <c r="C1288" t="s">
        <v>53</v>
      </c>
      <c r="D1288" t="s">
        <v>32</v>
      </c>
      <c r="E1288" t="s">
        <v>42</v>
      </c>
      <c r="F1288" t="s">
        <v>25</v>
      </c>
      <c r="G1288" t="s">
        <v>54</v>
      </c>
      <c r="H1288" t="s">
        <v>55</v>
      </c>
      <c r="I1288" t="s">
        <v>28</v>
      </c>
      <c r="J1288" t="s">
        <v>87</v>
      </c>
      <c r="K1288">
        <v>7084</v>
      </c>
      <c r="L1288">
        <v>33</v>
      </c>
      <c r="M1288">
        <v>142.49</v>
      </c>
      <c r="N1288">
        <v>0</v>
      </c>
      <c r="O1288">
        <v>0</v>
      </c>
      <c r="P1288">
        <f t="shared" si="80"/>
        <v>4.658385093167702E-3</v>
      </c>
      <c r="Q1288">
        <f t="shared" si="80"/>
        <v>4.3178787878787883</v>
      </c>
      <c r="R1288">
        <f t="shared" si="81"/>
        <v>0</v>
      </c>
      <c r="S1288">
        <f t="shared" si="82"/>
        <v>0</v>
      </c>
      <c r="T1288">
        <f t="shared" si="83"/>
        <v>0</v>
      </c>
      <c r="U1288" t="str">
        <f>YEAR('Campaign Data'!$A1288)&amp;"-"&amp;TEXT(MONTH('Campaign Data'!$A1288),"00")</f>
        <v>2026-03</v>
      </c>
    </row>
    <row r="1289" spans="1:21" x14ac:dyDescent="0.25">
      <c r="A1289">
        <v>46093</v>
      </c>
      <c r="B1289" t="s">
        <v>132</v>
      </c>
      <c r="C1289" t="s">
        <v>133</v>
      </c>
      <c r="D1289" t="s">
        <v>23</v>
      </c>
      <c r="E1289" t="s">
        <v>42</v>
      </c>
      <c r="F1289" t="s">
        <v>75</v>
      </c>
      <c r="G1289" t="s">
        <v>84</v>
      </c>
      <c r="H1289" t="s">
        <v>71</v>
      </c>
      <c r="I1289" t="s">
        <v>37</v>
      </c>
      <c r="J1289" t="s">
        <v>29</v>
      </c>
      <c r="K1289">
        <v>7069</v>
      </c>
      <c r="L1289">
        <v>39</v>
      </c>
      <c r="M1289">
        <v>186.16</v>
      </c>
      <c r="N1289">
        <v>4</v>
      </c>
      <c r="O1289">
        <v>95.25</v>
      </c>
      <c r="P1289">
        <f t="shared" si="80"/>
        <v>5.5170462583109354E-3</v>
      </c>
      <c r="Q1289">
        <f t="shared" si="80"/>
        <v>4.7733333333333334</v>
      </c>
      <c r="R1289">
        <f t="shared" si="81"/>
        <v>46.54</v>
      </c>
      <c r="S1289">
        <f t="shared" si="82"/>
        <v>0.51165663944993556</v>
      </c>
      <c r="T1289">
        <f t="shared" si="83"/>
        <v>0.10256410256410256</v>
      </c>
      <c r="U1289" t="str">
        <f>YEAR('Campaign Data'!$A1289)&amp;"-"&amp;TEXT(MONTH('Campaign Data'!$A1289),"00")</f>
        <v>2026-03</v>
      </c>
    </row>
    <row r="1290" spans="1:21" x14ac:dyDescent="0.25">
      <c r="A1290">
        <v>46093</v>
      </c>
      <c r="B1290" t="s">
        <v>132</v>
      </c>
      <c r="C1290" t="s">
        <v>133</v>
      </c>
      <c r="D1290" t="s">
        <v>23</v>
      </c>
      <c r="E1290" t="s">
        <v>42</v>
      </c>
      <c r="F1290" t="s">
        <v>75</v>
      </c>
      <c r="G1290" t="s">
        <v>84</v>
      </c>
      <c r="H1290" t="s">
        <v>60</v>
      </c>
      <c r="I1290" t="s">
        <v>28</v>
      </c>
      <c r="J1290" t="s">
        <v>38</v>
      </c>
      <c r="K1290">
        <v>4058</v>
      </c>
      <c r="L1290">
        <v>32</v>
      </c>
      <c r="M1290">
        <v>198.27</v>
      </c>
      <c r="N1290">
        <v>0</v>
      </c>
      <c r="O1290">
        <v>0</v>
      </c>
      <c r="P1290">
        <f t="shared" si="80"/>
        <v>7.8856579595860034E-3</v>
      </c>
      <c r="Q1290">
        <f t="shared" si="80"/>
        <v>6.1959375000000003</v>
      </c>
      <c r="R1290">
        <f t="shared" si="81"/>
        <v>0</v>
      </c>
      <c r="S1290">
        <f t="shared" si="82"/>
        <v>0</v>
      </c>
      <c r="T1290">
        <f t="shared" si="83"/>
        <v>0</v>
      </c>
      <c r="U1290" t="str">
        <f>YEAR('Campaign Data'!$A1290)&amp;"-"&amp;TEXT(MONTH('Campaign Data'!$A1290),"00")</f>
        <v>2026-03</v>
      </c>
    </row>
    <row r="1291" spans="1:21" x14ac:dyDescent="0.25">
      <c r="A1291">
        <v>46093</v>
      </c>
      <c r="B1291" t="s">
        <v>140</v>
      </c>
      <c r="C1291" t="s">
        <v>40</v>
      </c>
      <c r="D1291" t="s">
        <v>41</v>
      </c>
      <c r="E1291" t="s">
        <v>42</v>
      </c>
      <c r="F1291" t="s">
        <v>43</v>
      </c>
      <c r="G1291" t="s">
        <v>44</v>
      </c>
      <c r="H1291" t="s">
        <v>90</v>
      </c>
      <c r="I1291" t="s">
        <v>28</v>
      </c>
      <c r="J1291" t="s">
        <v>38</v>
      </c>
      <c r="K1291">
        <v>5995</v>
      </c>
      <c r="L1291">
        <v>39</v>
      </c>
      <c r="M1291">
        <v>78.39</v>
      </c>
      <c r="N1291">
        <v>2</v>
      </c>
      <c r="O1291">
        <v>10</v>
      </c>
      <c r="P1291">
        <f t="shared" si="80"/>
        <v>6.5054211843202665E-3</v>
      </c>
      <c r="Q1291">
        <f t="shared" si="80"/>
        <v>2.0100000000000002</v>
      </c>
      <c r="R1291">
        <f t="shared" si="81"/>
        <v>39.195</v>
      </c>
      <c r="S1291">
        <f t="shared" si="82"/>
        <v>0.12756729174639622</v>
      </c>
      <c r="T1291">
        <f t="shared" si="83"/>
        <v>5.128205128205128E-2</v>
      </c>
      <c r="U1291" t="str">
        <f>YEAR('Campaign Data'!$A1291)&amp;"-"&amp;TEXT(MONTH('Campaign Data'!$A1291),"00")</f>
        <v>2026-03</v>
      </c>
    </row>
    <row r="1292" spans="1:21" x14ac:dyDescent="0.25">
      <c r="A1292">
        <v>46093</v>
      </c>
      <c r="B1292" t="s">
        <v>140</v>
      </c>
      <c r="C1292" t="s">
        <v>40</v>
      </c>
      <c r="D1292" t="s">
        <v>41</v>
      </c>
      <c r="E1292" t="s">
        <v>42</v>
      </c>
      <c r="F1292" t="s">
        <v>43</v>
      </c>
      <c r="G1292" t="s">
        <v>44</v>
      </c>
      <c r="H1292" t="s">
        <v>51</v>
      </c>
      <c r="I1292" t="s">
        <v>37</v>
      </c>
      <c r="J1292" t="s">
        <v>45</v>
      </c>
      <c r="K1292">
        <v>8648</v>
      </c>
      <c r="L1292">
        <v>49</v>
      </c>
      <c r="M1292">
        <v>328.19</v>
      </c>
      <c r="N1292">
        <v>0</v>
      </c>
      <c r="O1292">
        <v>0</v>
      </c>
      <c r="P1292">
        <f t="shared" si="80"/>
        <v>5.6660499537465308E-3</v>
      </c>
      <c r="Q1292">
        <f t="shared" si="80"/>
        <v>6.6977551020408166</v>
      </c>
      <c r="R1292">
        <f t="shared" si="81"/>
        <v>0</v>
      </c>
      <c r="S1292">
        <f t="shared" si="82"/>
        <v>0</v>
      </c>
      <c r="T1292">
        <f t="shared" si="83"/>
        <v>0</v>
      </c>
      <c r="U1292" t="str">
        <f>YEAR('Campaign Data'!$A1292)&amp;"-"&amp;TEXT(MONTH('Campaign Data'!$A1292),"00")</f>
        <v>2026-03</v>
      </c>
    </row>
    <row r="1293" spans="1:21" x14ac:dyDescent="0.25">
      <c r="A1293">
        <v>46093</v>
      </c>
      <c r="B1293" t="s">
        <v>159</v>
      </c>
      <c r="C1293" t="s">
        <v>160</v>
      </c>
      <c r="D1293" t="s">
        <v>65</v>
      </c>
      <c r="E1293" t="s">
        <v>42</v>
      </c>
      <c r="F1293" t="s">
        <v>75</v>
      </c>
      <c r="G1293" t="s">
        <v>54</v>
      </c>
      <c r="H1293" t="s">
        <v>71</v>
      </c>
      <c r="I1293" t="s">
        <v>37</v>
      </c>
      <c r="J1293" t="s">
        <v>62</v>
      </c>
      <c r="K1293">
        <v>19085</v>
      </c>
      <c r="L1293">
        <v>209</v>
      </c>
      <c r="M1293">
        <v>1365.51</v>
      </c>
      <c r="N1293">
        <v>6</v>
      </c>
      <c r="O1293">
        <v>299.62</v>
      </c>
      <c r="P1293">
        <f t="shared" si="80"/>
        <v>1.0951008645533141E-2</v>
      </c>
      <c r="Q1293">
        <f t="shared" si="80"/>
        <v>6.5335406698564595</v>
      </c>
      <c r="R1293">
        <f t="shared" si="81"/>
        <v>227.58500000000001</v>
      </c>
      <c r="S1293">
        <f t="shared" si="82"/>
        <v>0.21941985045880294</v>
      </c>
      <c r="T1293">
        <f t="shared" si="83"/>
        <v>2.8708133971291867E-2</v>
      </c>
      <c r="U1293" t="str">
        <f>YEAR('Campaign Data'!$A1293)&amp;"-"&amp;TEXT(MONTH('Campaign Data'!$A1293),"00")</f>
        <v>2026-03</v>
      </c>
    </row>
    <row r="1294" spans="1:21" x14ac:dyDescent="0.25">
      <c r="A1294">
        <v>46093</v>
      </c>
      <c r="B1294" t="s">
        <v>181</v>
      </c>
      <c r="C1294" t="s">
        <v>182</v>
      </c>
      <c r="D1294" t="s">
        <v>32</v>
      </c>
      <c r="E1294" t="s">
        <v>33</v>
      </c>
      <c r="F1294" t="s">
        <v>75</v>
      </c>
      <c r="G1294" t="s">
        <v>59</v>
      </c>
      <c r="H1294" t="s">
        <v>60</v>
      </c>
      <c r="I1294" t="s">
        <v>37</v>
      </c>
      <c r="J1294" t="s">
        <v>38</v>
      </c>
      <c r="K1294">
        <v>22837</v>
      </c>
      <c r="L1294">
        <v>199</v>
      </c>
      <c r="M1294">
        <v>94.45</v>
      </c>
      <c r="N1294">
        <v>4</v>
      </c>
      <c r="O1294">
        <v>210.08</v>
      </c>
      <c r="P1294">
        <f t="shared" si="80"/>
        <v>8.7139291500634933E-3</v>
      </c>
      <c r="Q1294">
        <f t="shared" si="80"/>
        <v>0.47462311557788944</v>
      </c>
      <c r="R1294">
        <f t="shared" si="81"/>
        <v>23.612500000000001</v>
      </c>
      <c r="S1294">
        <f t="shared" si="82"/>
        <v>2.2242456326098465</v>
      </c>
      <c r="T1294">
        <f t="shared" si="83"/>
        <v>2.0100502512562814E-2</v>
      </c>
      <c r="U1294" t="str">
        <f>YEAR('Campaign Data'!$A1294)&amp;"-"&amp;TEXT(MONTH('Campaign Data'!$A1294),"00")</f>
        <v>2026-03</v>
      </c>
    </row>
    <row r="1295" spans="1:21" x14ac:dyDescent="0.25">
      <c r="A1295">
        <v>46093</v>
      </c>
      <c r="B1295" t="s">
        <v>161</v>
      </c>
      <c r="C1295" t="s">
        <v>162</v>
      </c>
      <c r="D1295" t="s">
        <v>48</v>
      </c>
      <c r="E1295" t="s">
        <v>74</v>
      </c>
      <c r="F1295" t="s">
        <v>34</v>
      </c>
      <c r="G1295" t="s">
        <v>107</v>
      </c>
      <c r="H1295" t="s">
        <v>51</v>
      </c>
      <c r="I1295" t="s">
        <v>37</v>
      </c>
      <c r="J1295" t="s">
        <v>87</v>
      </c>
      <c r="K1295">
        <v>16198</v>
      </c>
      <c r="L1295">
        <v>360</v>
      </c>
      <c r="M1295">
        <v>561.84</v>
      </c>
      <c r="N1295">
        <v>12</v>
      </c>
      <c r="O1295">
        <v>1755.64</v>
      </c>
      <c r="P1295">
        <f t="shared" si="80"/>
        <v>2.2224966045190763E-2</v>
      </c>
      <c r="Q1295">
        <f t="shared" si="80"/>
        <v>1.5606666666666666</v>
      </c>
      <c r="R1295">
        <f t="shared" si="81"/>
        <v>46.82</v>
      </c>
      <c r="S1295">
        <f t="shared" si="82"/>
        <v>3.1248042147230528</v>
      </c>
      <c r="T1295">
        <f t="shared" si="83"/>
        <v>3.3333333333333333E-2</v>
      </c>
      <c r="U1295" t="str">
        <f>YEAR('Campaign Data'!$A1295)&amp;"-"&amp;TEXT(MONTH('Campaign Data'!$A1295),"00")</f>
        <v>2026-03</v>
      </c>
    </row>
    <row r="1296" spans="1:21" x14ac:dyDescent="0.25">
      <c r="A1296">
        <v>46093</v>
      </c>
      <c r="B1296" t="s">
        <v>72</v>
      </c>
      <c r="C1296" t="s">
        <v>73</v>
      </c>
      <c r="D1296" t="s">
        <v>69</v>
      </c>
      <c r="E1296" t="s">
        <v>74</v>
      </c>
      <c r="F1296" t="s">
        <v>75</v>
      </c>
      <c r="G1296" t="s">
        <v>9</v>
      </c>
      <c r="H1296" t="s">
        <v>27</v>
      </c>
      <c r="I1296" t="s">
        <v>37</v>
      </c>
      <c r="J1296" t="s">
        <v>38</v>
      </c>
      <c r="K1296">
        <v>30363</v>
      </c>
      <c r="L1296">
        <v>857</v>
      </c>
      <c r="M1296">
        <v>1483.46</v>
      </c>
      <c r="N1296">
        <v>33</v>
      </c>
      <c r="O1296">
        <v>2051.19</v>
      </c>
      <c r="P1296">
        <f t="shared" si="80"/>
        <v>2.8225142443105096E-2</v>
      </c>
      <c r="Q1296">
        <f t="shared" si="80"/>
        <v>1.7309918319719955</v>
      </c>
      <c r="R1296">
        <f t="shared" si="81"/>
        <v>44.953333333333333</v>
      </c>
      <c r="S1296">
        <f t="shared" si="82"/>
        <v>1.382706645275235</v>
      </c>
      <c r="T1296">
        <f t="shared" si="83"/>
        <v>3.8506417736289385E-2</v>
      </c>
      <c r="U1296" t="str">
        <f>YEAR('Campaign Data'!$A1296)&amp;"-"&amp;TEXT(MONTH('Campaign Data'!$A1296),"00")</f>
        <v>2026-03</v>
      </c>
    </row>
    <row r="1297" spans="1:21" x14ac:dyDescent="0.25">
      <c r="A1297">
        <v>46093</v>
      </c>
      <c r="B1297" t="s">
        <v>76</v>
      </c>
      <c r="C1297" t="s">
        <v>77</v>
      </c>
      <c r="D1297" t="s">
        <v>65</v>
      </c>
      <c r="E1297" t="s">
        <v>42</v>
      </c>
      <c r="F1297" t="s">
        <v>43</v>
      </c>
      <c r="G1297" t="s">
        <v>44</v>
      </c>
      <c r="H1297" t="s">
        <v>27</v>
      </c>
      <c r="I1297" t="s">
        <v>28</v>
      </c>
      <c r="J1297" t="s">
        <v>45</v>
      </c>
      <c r="K1297">
        <v>11077</v>
      </c>
      <c r="L1297">
        <v>63</v>
      </c>
      <c r="M1297">
        <v>486.96</v>
      </c>
      <c r="N1297">
        <v>2</v>
      </c>
      <c r="O1297">
        <v>35.479999999999997</v>
      </c>
      <c r="P1297">
        <f t="shared" si="80"/>
        <v>5.6874605037465021E-3</v>
      </c>
      <c r="Q1297">
        <f t="shared" si="80"/>
        <v>7.7295238095238092</v>
      </c>
      <c r="R1297">
        <f t="shared" si="81"/>
        <v>243.48</v>
      </c>
      <c r="S1297">
        <f t="shared" si="82"/>
        <v>7.2860193855758176E-2</v>
      </c>
      <c r="T1297">
        <f t="shared" si="83"/>
        <v>3.1746031746031744E-2</v>
      </c>
      <c r="U1297" t="str">
        <f>YEAR('Campaign Data'!$A1297)&amp;"-"&amp;TEXT(MONTH('Campaign Data'!$A1297),"00")</f>
        <v>2026-03</v>
      </c>
    </row>
    <row r="1298" spans="1:21" x14ac:dyDescent="0.25">
      <c r="A1298">
        <v>46094</v>
      </c>
      <c r="B1298" t="s">
        <v>165</v>
      </c>
      <c r="C1298" t="s">
        <v>166</v>
      </c>
      <c r="D1298" t="s">
        <v>41</v>
      </c>
      <c r="E1298" t="s">
        <v>33</v>
      </c>
      <c r="F1298" t="s">
        <v>43</v>
      </c>
      <c r="G1298" t="s">
        <v>59</v>
      </c>
      <c r="H1298" t="s">
        <v>27</v>
      </c>
      <c r="I1298" t="s">
        <v>37</v>
      </c>
      <c r="J1298" t="s">
        <v>29</v>
      </c>
      <c r="K1298">
        <v>3714</v>
      </c>
      <c r="L1298">
        <v>45</v>
      </c>
      <c r="M1298">
        <v>35.840000000000003</v>
      </c>
      <c r="N1298">
        <v>0</v>
      </c>
      <c r="O1298">
        <v>0</v>
      </c>
      <c r="P1298">
        <f t="shared" si="80"/>
        <v>1.2116316639741519E-2</v>
      </c>
      <c r="Q1298">
        <f t="shared" si="80"/>
        <v>0.79644444444444451</v>
      </c>
      <c r="R1298">
        <f t="shared" si="81"/>
        <v>0</v>
      </c>
      <c r="S1298">
        <f t="shared" si="82"/>
        <v>0</v>
      </c>
      <c r="T1298">
        <f t="shared" si="83"/>
        <v>0</v>
      </c>
      <c r="U1298" t="str">
        <f>YEAR('Campaign Data'!$A1298)&amp;"-"&amp;TEXT(MONTH('Campaign Data'!$A1298),"00")</f>
        <v>2026-03</v>
      </c>
    </row>
    <row r="1299" spans="1:21" x14ac:dyDescent="0.25">
      <c r="A1299">
        <v>46094</v>
      </c>
      <c r="B1299" t="s">
        <v>175</v>
      </c>
      <c r="C1299" t="s">
        <v>176</v>
      </c>
      <c r="D1299" t="s">
        <v>65</v>
      </c>
      <c r="E1299" t="s">
        <v>49</v>
      </c>
      <c r="F1299" t="s">
        <v>75</v>
      </c>
      <c r="G1299" t="s">
        <v>70</v>
      </c>
      <c r="H1299" t="s">
        <v>71</v>
      </c>
      <c r="I1299" t="s">
        <v>28</v>
      </c>
      <c r="J1299" t="s">
        <v>87</v>
      </c>
      <c r="K1299">
        <v>8979</v>
      </c>
      <c r="L1299">
        <v>392</v>
      </c>
      <c r="M1299">
        <v>787.94</v>
      </c>
      <c r="N1299">
        <v>12</v>
      </c>
      <c r="O1299">
        <v>542.52</v>
      </c>
      <c r="P1299">
        <f t="shared" si="80"/>
        <v>4.3657422875598616E-2</v>
      </c>
      <c r="Q1299">
        <f t="shared" si="80"/>
        <v>2.0100510204081634</v>
      </c>
      <c r="R1299">
        <f t="shared" si="81"/>
        <v>65.661666666666676</v>
      </c>
      <c r="S1299">
        <f t="shared" si="82"/>
        <v>0.6885295834708226</v>
      </c>
      <c r="T1299">
        <f t="shared" si="83"/>
        <v>3.0612244897959183E-2</v>
      </c>
      <c r="U1299" t="str">
        <f>YEAR('Campaign Data'!$A1299)&amp;"-"&amp;TEXT(MONTH('Campaign Data'!$A1299),"00")</f>
        <v>2026-03</v>
      </c>
    </row>
    <row r="1300" spans="1:21" x14ac:dyDescent="0.25">
      <c r="A1300">
        <v>46094</v>
      </c>
      <c r="B1300" t="s">
        <v>85</v>
      </c>
      <c r="C1300" t="s">
        <v>86</v>
      </c>
      <c r="D1300" t="s">
        <v>80</v>
      </c>
      <c r="E1300" t="s">
        <v>33</v>
      </c>
      <c r="F1300" t="s">
        <v>43</v>
      </c>
      <c r="G1300" t="s">
        <v>35</v>
      </c>
      <c r="H1300" t="s">
        <v>71</v>
      </c>
      <c r="I1300" t="s">
        <v>37</v>
      </c>
      <c r="J1300" t="s">
        <v>29</v>
      </c>
      <c r="K1300">
        <v>2599</v>
      </c>
      <c r="L1300">
        <v>41</v>
      </c>
      <c r="M1300">
        <v>21.85</v>
      </c>
      <c r="N1300">
        <v>1</v>
      </c>
      <c r="O1300">
        <v>17.28</v>
      </c>
      <c r="P1300">
        <f t="shared" si="80"/>
        <v>1.5775298191612157E-2</v>
      </c>
      <c r="Q1300">
        <f t="shared" si="80"/>
        <v>0.53292682926829271</v>
      </c>
      <c r="R1300">
        <f t="shared" si="81"/>
        <v>21.85</v>
      </c>
      <c r="S1300">
        <f t="shared" si="82"/>
        <v>0.79084668192219676</v>
      </c>
      <c r="T1300">
        <f t="shared" si="83"/>
        <v>2.4390243902439025E-2</v>
      </c>
      <c r="U1300" t="str">
        <f>YEAR('Campaign Data'!$A1300)&amp;"-"&amp;TEXT(MONTH('Campaign Data'!$A1300),"00")</f>
        <v>2026-03</v>
      </c>
    </row>
    <row r="1301" spans="1:21" x14ac:dyDescent="0.25">
      <c r="A1301">
        <v>46094</v>
      </c>
      <c r="B1301" t="s">
        <v>21</v>
      </c>
      <c r="C1301" t="s">
        <v>124</v>
      </c>
      <c r="D1301" t="s">
        <v>23</v>
      </c>
      <c r="E1301" t="s">
        <v>24</v>
      </c>
      <c r="F1301" t="s">
        <v>25</v>
      </c>
      <c r="G1301" t="s">
        <v>26</v>
      </c>
      <c r="H1301" t="s">
        <v>71</v>
      </c>
      <c r="I1301" t="s">
        <v>28</v>
      </c>
      <c r="J1301" t="s">
        <v>38</v>
      </c>
      <c r="K1301">
        <v>13001</v>
      </c>
      <c r="L1301">
        <v>160</v>
      </c>
      <c r="M1301">
        <v>143.88</v>
      </c>
      <c r="N1301">
        <v>4</v>
      </c>
      <c r="O1301">
        <v>539.48</v>
      </c>
      <c r="P1301">
        <f t="shared" si="80"/>
        <v>1.2306745634951157E-2</v>
      </c>
      <c r="Q1301">
        <f t="shared" si="80"/>
        <v>0.89924999999999999</v>
      </c>
      <c r="R1301">
        <f t="shared" si="81"/>
        <v>35.97</v>
      </c>
      <c r="S1301">
        <f t="shared" si="82"/>
        <v>3.749513483458438</v>
      </c>
      <c r="T1301">
        <f t="shared" si="83"/>
        <v>2.5000000000000001E-2</v>
      </c>
      <c r="U1301" t="str">
        <f>YEAR('Campaign Data'!$A1301)&amp;"-"&amp;TEXT(MONTH('Campaign Data'!$A1301),"00")</f>
        <v>2026-03</v>
      </c>
    </row>
    <row r="1302" spans="1:21" x14ac:dyDescent="0.25">
      <c r="A1302">
        <v>46094</v>
      </c>
      <c r="B1302" t="s">
        <v>125</v>
      </c>
      <c r="C1302" t="s">
        <v>126</v>
      </c>
      <c r="D1302" t="s">
        <v>41</v>
      </c>
      <c r="E1302" t="s">
        <v>42</v>
      </c>
      <c r="F1302" t="s">
        <v>81</v>
      </c>
      <c r="G1302" t="s">
        <v>44</v>
      </c>
      <c r="H1302" t="s">
        <v>36</v>
      </c>
      <c r="I1302" t="s">
        <v>28</v>
      </c>
      <c r="J1302" t="s">
        <v>62</v>
      </c>
      <c r="K1302">
        <v>13085</v>
      </c>
      <c r="L1302">
        <v>85</v>
      </c>
      <c r="M1302">
        <v>490.52</v>
      </c>
      <c r="N1302">
        <v>7</v>
      </c>
      <c r="O1302">
        <v>85.53</v>
      </c>
      <c r="P1302">
        <f t="shared" si="80"/>
        <v>6.4959877722583111E-3</v>
      </c>
      <c r="Q1302">
        <f t="shared" si="80"/>
        <v>5.7708235294117642</v>
      </c>
      <c r="R1302">
        <f t="shared" si="81"/>
        <v>70.074285714285708</v>
      </c>
      <c r="S1302">
        <f t="shared" si="82"/>
        <v>0.17436597896110251</v>
      </c>
      <c r="T1302">
        <f t="shared" si="83"/>
        <v>8.2352941176470587E-2</v>
      </c>
      <c r="U1302" t="str">
        <f>YEAR('Campaign Data'!$A1302)&amp;"-"&amp;TEXT(MONTH('Campaign Data'!$A1302),"00")</f>
        <v>2026-03</v>
      </c>
    </row>
    <row r="1303" spans="1:21" x14ac:dyDescent="0.25">
      <c r="A1303">
        <v>46094</v>
      </c>
      <c r="B1303" t="s">
        <v>125</v>
      </c>
      <c r="C1303" t="s">
        <v>126</v>
      </c>
      <c r="D1303" t="s">
        <v>41</v>
      </c>
      <c r="E1303" t="s">
        <v>42</v>
      </c>
      <c r="F1303" t="s">
        <v>81</v>
      </c>
      <c r="G1303" t="s">
        <v>44</v>
      </c>
      <c r="H1303" t="s">
        <v>51</v>
      </c>
      <c r="I1303" t="s">
        <v>37</v>
      </c>
      <c r="J1303" t="s">
        <v>45</v>
      </c>
      <c r="K1303">
        <v>8150</v>
      </c>
      <c r="L1303">
        <v>47</v>
      </c>
      <c r="M1303">
        <v>180.94</v>
      </c>
      <c r="N1303">
        <v>0</v>
      </c>
      <c r="O1303">
        <v>0</v>
      </c>
      <c r="P1303">
        <f t="shared" si="80"/>
        <v>5.7668711656441718E-3</v>
      </c>
      <c r="Q1303">
        <f t="shared" si="80"/>
        <v>3.849787234042553</v>
      </c>
      <c r="R1303">
        <f t="shared" si="81"/>
        <v>0</v>
      </c>
      <c r="S1303">
        <f t="shared" si="82"/>
        <v>0</v>
      </c>
      <c r="T1303">
        <f t="shared" si="83"/>
        <v>0</v>
      </c>
      <c r="U1303" t="str">
        <f>YEAR('Campaign Data'!$A1303)&amp;"-"&amp;TEXT(MONTH('Campaign Data'!$A1303),"00")</f>
        <v>2026-03</v>
      </c>
    </row>
    <row r="1304" spans="1:21" x14ac:dyDescent="0.25">
      <c r="A1304">
        <v>46094</v>
      </c>
      <c r="B1304" t="s">
        <v>95</v>
      </c>
      <c r="C1304" t="s">
        <v>96</v>
      </c>
      <c r="D1304" t="s">
        <v>23</v>
      </c>
      <c r="E1304" t="s">
        <v>49</v>
      </c>
      <c r="F1304" t="s">
        <v>43</v>
      </c>
      <c r="G1304" t="s">
        <v>97</v>
      </c>
      <c r="H1304" t="s">
        <v>51</v>
      </c>
      <c r="I1304" t="s">
        <v>37</v>
      </c>
      <c r="J1304" t="s">
        <v>29</v>
      </c>
      <c r="K1304">
        <v>11523</v>
      </c>
      <c r="L1304">
        <v>453</v>
      </c>
      <c r="M1304">
        <v>714.14</v>
      </c>
      <c r="N1304">
        <v>15</v>
      </c>
      <c r="O1304">
        <v>360.98</v>
      </c>
      <c r="P1304">
        <f t="shared" si="80"/>
        <v>3.9312678989846396E-2</v>
      </c>
      <c r="Q1304">
        <f t="shared" si="80"/>
        <v>1.5764679911699779</v>
      </c>
      <c r="R1304">
        <f t="shared" si="81"/>
        <v>47.609333333333332</v>
      </c>
      <c r="S1304">
        <f t="shared" si="82"/>
        <v>0.5054751169238525</v>
      </c>
      <c r="T1304">
        <f t="shared" si="83"/>
        <v>3.3112582781456956E-2</v>
      </c>
      <c r="U1304" t="str">
        <f>YEAR('Campaign Data'!$A1304)&amp;"-"&amp;TEXT(MONTH('Campaign Data'!$A1304),"00")</f>
        <v>2026-03</v>
      </c>
    </row>
    <row r="1305" spans="1:21" x14ac:dyDescent="0.25">
      <c r="A1305">
        <v>46094</v>
      </c>
      <c r="B1305" t="s">
        <v>151</v>
      </c>
      <c r="C1305" t="s">
        <v>152</v>
      </c>
      <c r="D1305" t="s">
        <v>48</v>
      </c>
      <c r="E1305" t="s">
        <v>24</v>
      </c>
      <c r="F1305" t="s">
        <v>81</v>
      </c>
      <c r="G1305" t="s">
        <v>129</v>
      </c>
      <c r="H1305" t="s">
        <v>55</v>
      </c>
      <c r="I1305" t="s">
        <v>37</v>
      </c>
      <c r="J1305" t="s">
        <v>38</v>
      </c>
      <c r="K1305">
        <v>1631</v>
      </c>
      <c r="L1305">
        <v>16</v>
      </c>
      <c r="M1305">
        <v>15.48</v>
      </c>
      <c r="N1305">
        <v>0</v>
      </c>
      <c r="O1305">
        <v>0</v>
      </c>
      <c r="P1305">
        <f t="shared" si="80"/>
        <v>9.8099325567136721E-3</v>
      </c>
      <c r="Q1305">
        <f t="shared" si="80"/>
        <v>0.96750000000000003</v>
      </c>
      <c r="R1305">
        <f t="shared" si="81"/>
        <v>0</v>
      </c>
      <c r="S1305">
        <f t="shared" si="82"/>
        <v>0</v>
      </c>
      <c r="T1305">
        <f t="shared" si="83"/>
        <v>0</v>
      </c>
      <c r="U1305" t="str">
        <f>YEAR('Campaign Data'!$A1305)&amp;"-"&amp;TEXT(MONTH('Campaign Data'!$A1305),"00")</f>
        <v>2026-03</v>
      </c>
    </row>
    <row r="1306" spans="1:21" x14ac:dyDescent="0.25">
      <c r="A1306">
        <v>46094</v>
      </c>
      <c r="B1306" t="s">
        <v>169</v>
      </c>
      <c r="C1306" t="s">
        <v>170</v>
      </c>
      <c r="D1306" t="s">
        <v>58</v>
      </c>
      <c r="E1306" t="s">
        <v>74</v>
      </c>
      <c r="F1306" t="s">
        <v>75</v>
      </c>
      <c r="G1306" t="s">
        <v>9</v>
      </c>
      <c r="H1306" t="s">
        <v>90</v>
      </c>
      <c r="I1306" t="s">
        <v>28</v>
      </c>
      <c r="J1306" t="s">
        <v>38</v>
      </c>
      <c r="K1306">
        <v>16813</v>
      </c>
      <c r="L1306">
        <v>429</v>
      </c>
      <c r="M1306">
        <v>197.43</v>
      </c>
      <c r="N1306">
        <v>14</v>
      </c>
      <c r="O1306">
        <v>113.98</v>
      </c>
      <c r="P1306">
        <f t="shared" si="80"/>
        <v>2.5515969785285197E-2</v>
      </c>
      <c r="Q1306">
        <f t="shared" si="80"/>
        <v>0.46020979020979025</v>
      </c>
      <c r="R1306">
        <f t="shared" si="81"/>
        <v>14.102142857142857</v>
      </c>
      <c r="S1306">
        <f t="shared" si="82"/>
        <v>0.57731854328116294</v>
      </c>
      <c r="T1306">
        <f t="shared" si="83"/>
        <v>3.2634032634032632E-2</v>
      </c>
      <c r="U1306" t="str">
        <f>YEAR('Campaign Data'!$A1306)&amp;"-"&amp;TEXT(MONTH('Campaign Data'!$A1306),"00")</f>
        <v>2026-03</v>
      </c>
    </row>
    <row r="1307" spans="1:21" x14ac:dyDescent="0.25">
      <c r="A1307">
        <v>46094</v>
      </c>
      <c r="B1307" t="s">
        <v>105</v>
      </c>
      <c r="C1307" t="s">
        <v>106</v>
      </c>
      <c r="D1307" t="s">
        <v>58</v>
      </c>
      <c r="E1307" t="s">
        <v>49</v>
      </c>
      <c r="F1307" t="s">
        <v>81</v>
      </c>
      <c r="G1307" t="s">
        <v>107</v>
      </c>
      <c r="H1307" t="s">
        <v>27</v>
      </c>
      <c r="I1307" t="s">
        <v>28</v>
      </c>
      <c r="J1307" t="s">
        <v>38</v>
      </c>
      <c r="K1307">
        <v>24557</v>
      </c>
      <c r="L1307">
        <v>1327</v>
      </c>
      <c r="M1307">
        <v>3001.41</v>
      </c>
      <c r="N1307">
        <v>66</v>
      </c>
      <c r="O1307">
        <v>1776.99</v>
      </c>
      <c r="P1307">
        <f t="shared" si="80"/>
        <v>5.4037545302764993E-2</v>
      </c>
      <c r="Q1307">
        <f t="shared" si="80"/>
        <v>2.2618010550113037</v>
      </c>
      <c r="R1307">
        <f t="shared" si="81"/>
        <v>45.475909090909092</v>
      </c>
      <c r="S1307">
        <f t="shared" si="82"/>
        <v>0.59205173568422842</v>
      </c>
      <c r="T1307">
        <f t="shared" si="83"/>
        <v>4.9736247174076868E-2</v>
      </c>
      <c r="U1307" t="str">
        <f>YEAR('Campaign Data'!$A1307)&amp;"-"&amp;TEXT(MONTH('Campaign Data'!$A1307),"00")</f>
        <v>2026-03</v>
      </c>
    </row>
    <row r="1308" spans="1:21" x14ac:dyDescent="0.25">
      <c r="A1308">
        <v>46094</v>
      </c>
      <c r="B1308" t="s">
        <v>132</v>
      </c>
      <c r="C1308" t="s">
        <v>133</v>
      </c>
      <c r="D1308" t="s">
        <v>23</v>
      </c>
      <c r="E1308" t="s">
        <v>42</v>
      </c>
      <c r="F1308" t="s">
        <v>75</v>
      </c>
      <c r="G1308" t="s">
        <v>84</v>
      </c>
      <c r="H1308" t="s">
        <v>27</v>
      </c>
      <c r="I1308" t="s">
        <v>28</v>
      </c>
      <c r="J1308" t="s">
        <v>87</v>
      </c>
      <c r="K1308">
        <v>5062</v>
      </c>
      <c r="L1308">
        <v>43</v>
      </c>
      <c r="M1308">
        <v>361.21</v>
      </c>
      <c r="N1308">
        <v>1</v>
      </c>
      <c r="O1308">
        <v>64.150000000000006</v>
      </c>
      <c r="P1308">
        <f t="shared" si="80"/>
        <v>8.4946661398656656E-3</v>
      </c>
      <c r="Q1308">
        <f t="shared" si="80"/>
        <v>8.4002325581395336</v>
      </c>
      <c r="R1308">
        <f t="shared" si="81"/>
        <v>361.21</v>
      </c>
      <c r="S1308">
        <f t="shared" si="82"/>
        <v>0.17759751944852029</v>
      </c>
      <c r="T1308">
        <f t="shared" si="83"/>
        <v>2.3255813953488372E-2</v>
      </c>
      <c r="U1308" t="str">
        <f>YEAR('Campaign Data'!$A1308)&amp;"-"&amp;TEXT(MONTH('Campaign Data'!$A1308),"00")</f>
        <v>2026-03</v>
      </c>
    </row>
    <row r="1309" spans="1:21" x14ac:dyDescent="0.25">
      <c r="A1309">
        <v>46094</v>
      </c>
      <c r="B1309" t="s">
        <v>140</v>
      </c>
      <c r="C1309" t="s">
        <v>40</v>
      </c>
      <c r="D1309" t="s">
        <v>41</v>
      </c>
      <c r="E1309" t="s">
        <v>42</v>
      </c>
      <c r="F1309" t="s">
        <v>43</v>
      </c>
      <c r="G1309" t="s">
        <v>44</v>
      </c>
      <c r="H1309" t="s">
        <v>90</v>
      </c>
      <c r="I1309" t="s">
        <v>37</v>
      </c>
      <c r="J1309" t="s">
        <v>29</v>
      </c>
      <c r="K1309">
        <v>21513</v>
      </c>
      <c r="L1309">
        <v>136</v>
      </c>
      <c r="M1309">
        <v>212.81</v>
      </c>
      <c r="N1309">
        <v>6</v>
      </c>
      <c r="O1309">
        <v>52.83</v>
      </c>
      <c r="P1309">
        <f t="shared" si="80"/>
        <v>6.3217589364570259E-3</v>
      </c>
      <c r="Q1309">
        <f t="shared" si="80"/>
        <v>1.5647794117647058</v>
      </c>
      <c r="R1309">
        <f t="shared" si="81"/>
        <v>35.468333333333334</v>
      </c>
      <c r="S1309">
        <f t="shared" si="82"/>
        <v>0.24824961233024762</v>
      </c>
      <c r="T1309">
        <f t="shared" si="83"/>
        <v>4.4117647058823532E-2</v>
      </c>
      <c r="U1309" t="str">
        <f>YEAR('Campaign Data'!$A1309)&amp;"-"&amp;TEXT(MONTH('Campaign Data'!$A1309),"00")</f>
        <v>2026-03</v>
      </c>
    </row>
    <row r="1310" spans="1:21" x14ac:dyDescent="0.25">
      <c r="A1310">
        <v>46094</v>
      </c>
      <c r="B1310" t="s">
        <v>140</v>
      </c>
      <c r="C1310" t="s">
        <v>40</v>
      </c>
      <c r="D1310" t="s">
        <v>41</v>
      </c>
      <c r="E1310" t="s">
        <v>42</v>
      </c>
      <c r="F1310" t="s">
        <v>43</v>
      </c>
      <c r="G1310" t="s">
        <v>44</v>
      </c>
      <c r="H1310" t="s">
        <v>90</v>
      </c>
      <c r="I1310" t="s">
        <v>28</v>
      </c>
      <c r="J1310" t="s">
        <v>87</v>
      </c>
      <c r="K1310">
        <v>7200</v>
      </c>
      <c r="L1310">
        <v>25</v>
      </c>
      <c r="M1310">
        <v>46.47</v>
      </c>
      <c r="N1310">
        <v>1</v>
      </c>
      <c r="O1310">
        <v>5</v>
      </c>
      <c r="P1310">
        <f t="shared" si="80"/>
        <v>3.472222222222222E-3</v>
      </c>
      <c r="Q1310">
        <f t="shared" si="80"/>
        <v>1.8588</v>
      </c>
      <c r="R1310">
        <f t="shared" si="81"/>
        <v>46.47</v>
      </c>
      <c r="S1310">
        <f t="shared" si="82"/>
        <v>0.10759629868732516</v>
      </c>
      <c r="T1310">
        <f t="shared" si="83"/>
        <v>0.04</v>
      </c>
      <c r="U1310" t="str">
        <f>YEAR('Campaign Data'!$A1310)&amp;"-"&amp;TEXT(MONTH('Campaign Data'!$A1310),"00")</f>
        <v>2026-03</v>
      </c>
    </row>
    <row r="1311" spans="1:21" x14ac:dyDescent="0.25">
      <c r="A1311">
        <v>46094</v>
      </c>
      <c r="B1311" t="s">
        <v>157</v>
      </c>
      <c r="C1311" t="s">
        <v>158</v>
      </c>
      <c r="D1311" t="s">
        <v>58</v>
      </c>
      <c r="E1311" t="s">
        <v>49</v>
      </c>
      <c r="F1311" t="s">
        <v>81</v>
      </c>
      <c r="G1311" t="s">
        <v>50</v>
      </c>
      <c r="H1311" t="s">
        <v>90</v>
      </c>
      <c r="I1311" t="s">
        <v>28</v>
      </c>
      <c r="J1311" t="s">
        <v>38</v>
      </c>
      <c r="K1311">
        <v>7928</v>
      </c>
      <c r="L1311">
        <v>273</v>
      </c>
      <c r="M1311">
        <v>166.58</v>
      </c>
      <c r="N1311">
        <v>14</v>
      </c>
      <c r="O1311">
        <v>70</v>
      </c>
      <c r="P1311">
        <f t="shared" si="80"/>
        <v>3.443491422805247E-2</v>
      </c>
      <c r="Q1311">
        <f t="shared" si="80"/>
        <v>0.61018315018315028</v>
      </c>
      <c r="R1311">
        <f t="shared" si="81"/>
        <v>11.898571428571429</v>
      </c>
      <c r="S1311">
        <f t="shared" si="82"/>
        <v>0.42021851362708607</v>
      </c>
      <c r="T1311">
        <f t="shared" si="83"/>
        <v>5.128205128205128E-2</v>
      </c>
      <c r="U1311" t="str">
        <f>YEAR('Campaign Data'!$A1311)&amp;"-"&amp;TEXT(MONTH('Campaign Data'!$A1311),"00")</f>
        <v>2026-03</v>
      </c>
    </row>
    <row r="1312" spans="1:21" x14ac:dyDescent="0.25">
      <c r="A1312">
        <v>46094</v>
      </c>
      <c r="B1312" t="s">
        <v>112</v>
      </c>
      <c r="C1312" t="s">
        <v>113</v>
      </c>
      <c r="D1312" t="s">
        <v>32</v>
      </c>
      <c r="E1312" t="s">
        <v>24</v>
      </c>
      <c r="F1312" t="s">
        <v>75</v>
      </c>
      <c r="G1312" t="s">
        <v>66</v>
      </c>
      <c r="H1312" t="s">
        <v>55</v>
      </c>
      <c r="I1312" t="s">
        <v>28</v>
      </c>
      <c r="J1312" t="s">
        <v>38</v>
      </c>
      <c r="K1312">
        <v>4642</v>
      </c>
      <c r="L1312">
        <v>53</v>
      </c>
      <c r="M1312">
        <v>45.04</v>
      </c>
      <c r="N1312">
        <v>0</v>
      </c>
      <c r="O1312">
        <v>0</v>
      </c>
      <c r="P1312">
        <f t="shared" si="80"/>
        <v>1.1417492460146488E-2</v>
      </c>
      <c r="Q1312">
        <f t="shared" si="80"/>
        <v>0.84981132075471699</v>
      </c>
      <c r="R1312">
        <f t="shared" si="81"/>
        <v>0</v>
      </c>
      <c r="S1312">
        <f t="shared" si="82"/>
        <v>0</v>
      </c>
      <c r="T1312">
        <f t="shared" si="83"/>
        <v>0</v>
      </c>
      <c r="U1312" t="str">
        <f>YEAR('Campaign Data'!$A1312)&amp;"-"&amp;TEXT(MONTH('Campaign Data'!$A1312),"00")</f>
        <v>2026-03</v>
      </c>
    </row>
    <row r="1313" spans="1:21" x14ac:dyDescent="0.25">
      <c r="A1313">
        <v>46094</v>
      </c>
      <c r="B1313" t="s">
        <v>161</v>
      </c>
      <c r="C1313" t="s">
        <v>162</v>
      </c>
      <c r="D1313" t="s">
        <v>48</v>
      </c>
      <c r="E1313" t="s">
        <v>74</v>
      </c>
      <c r="F1313" t="s">
        <v>34</v>
      </c>
      <c r="G1313" t="s">
        <v>107</v>
      </c>
      <c r="H1313" t="s">
        <v>71</v>
      </c>
      <c r="I1313" t="s">
        <v>28</v>
      </c>
      <c r="J1313" t="s">
        <v>38</v>
      </c>
      <c r="K1313">
        <v>14570</v>
      </c>
      <c r="L1313">
        <v>337</v>
      </c>
      <c r="M1313">
        <v>403</v>
      </c>
      <c r="N1313">
        <v>12</v>
      </c>
      <c r="O1313">
        <v>1576.8</v>
      </c>
      <c r="P1313">
        <f t="shared" si="80"/>
        <v>2.3129718599862733E-2</v>
      </c>
      <c r="Q1313">
        <f t="shared" si="80"/>
        <v>1.195845697329377</v>
      </c>
      <c r="R1313">
        <f t="shared" si="81"/>
        <v>33.583333333333336</v>
      </c>
      <c r="S1313">
        <f t="shared" si="82"/>
        <v>3.9126550868486349</v>
      </c>
      <c r="T1313">
        <f t="shared" si="83"/>
        <v>3.5608308605341248E-2</v>
      </c>
      <c r="U1313" t="str">
        <f>YEAR('Campaign Data'!$A1313)&amp;"-"&amp;TEXT(MONTH('Campaign Data'!$A1313),"00")</f>
        <v>2026-03</v>
      </c>
    </row>
    <row r="1314" spans="1:21" x14ac:dyDescent="0.25">
      <c r="A1314">
        <v>46094</v>
      </c>
      <c r="B1314" t="s">
        <v>141</v>
      </c>
      <c r="C1314" t="s">
        <v>142</v>
      </c>
      <c r="D1314" t="s">
        <v>80</v>
      </c>
      <c r="E1314" t="s">
        <v>49</v>
      </c>
      <c r="F1314" t="s">
        <v>81</v>
      </c>
      <c r="G1314" t="s">
        <v>97</v>
      </c>
      <c r="H1314" t="s">
        <v>51</v>
      </c>
      <c r="I1314" t="s">
        <v>37</v>
      </c>
      <c r="J1314" t="s">
        <v>38</v>
      </c>
      <c r="K1314">
        <v>4806</v>
      </c>
      <c r="L1314">
        <v>217</v>
      </c>
      <c r="M1314">
        <v>306.67</v>
      </c>
      <c r="N1314">
        <v>10</v>
      </c>
      <c r="O1314">
        <v>149.27000000000001</v>
      </c>
      <c r="P1314">
        <f t="shared" si="80"/>
        <v>4.5151893466500205E-2</v>
      </c>
      <c r="Q1314">
        <f t="shared" si="80"/>
        <v>1.413225806451613</v>
      </c>
      <c r="R1314">
        <f t="shared" si="81"/>
        <v>30.667000000000002</v>
      </c>
      <c r="S1314">
        <f t="shared" si="82"/>
        <v>0.4867447092966381</v>
      </c>
      <c r="T1314">
        <f t="shared" si="83"/>
        <v>4.6082949308755762E-2</v>
      </c>
      <c r="U1314" t="str">
        <f>YEAR('Campaign Data'!$A1314)&amp;"-"&amp;TEXT(MONTH('Campaign Data'!$A1314),"00")</f>
        <v>2026-03</v>
      </c>
    </row>
    <row r="1315" spans="1:21" x14ac:dyDescent="0.25">
      <c r="A1315">
        <v>46094</v>
      </c>
      <c r="B1315" t="s">
        <v>143</v>
      </c>
      <c r="C1315" t="s">
        <v>144</v>
      </c>
      <c r="D1315" t="s">
        <v>48</v>
      </c>
      <c r="E1315" t="s">
        <v>42</v>
      </c>
      <c r="F1315" t="s">
        <v>25</v>
      </c>
      <c r="G1315" t="s">
        <v>84</v>
      </c>
      <c r="H1315" t="s">
        <v>60</v>
      </c>
      <c r="I1315" t="s">
        <v>28</v>
      </c>
      <c r="J1315" t="s">
        <v>38</v>
      </c>
      <c r="K1315">
        <v>6771</v>
      </c>
      <c r="L1315">
        <v>41</v>
      </c>
      <c r="M1315">
        <v>124.43</v>
      </c>
      <c r="N1315">
        <v>0</v>
      </c>
      <c r="O1315">
        <v>0</v>
      </c>
      <c r="P1315">
        <f t="shared" si="80"/>
        <v>6.0552355634322852E-3</v>
      </c>
      <c r="Q1315">
        <f t="shared" si="80"/>
        <v>3.0348780487804881</v>
      </c>
      <c r="R1315">
        <f t="shared" si="81"/>
        <v>0</v>
      </c>
      <c r="S1315">
        <f t="shared" si="82"/>
        <v>0</v>
      </c>
      <c r="T1315">
        <f t="shared" si="83"/>
        <v>0</v>
      </c>
      <c r="U1315" t="str">
        <f>YEAR('Campaign Data'!$A1315)&amp;"-"&amp;TEXT(MONTH('Campaign Data'!$A1315),"00")</f>
        <v>2026-03</v>
      </c>
    </row>
    <row r="1316" spans="1:21" x14ac:dyDescent="0.25">
      <c r="A1316">
        <v>46094</v>
      </c>
      <c r="B1316" t="s">
        <v>63</v>
      </c>
      <c r="C1316" t="s">
        <v>64</v>
      </c>
      <c r="D1316" t="s">
        <v>65</v>
      </c>
      <c r="E1316" t="s">
        <v>24</v>
      </c>
      <c r="F1316" t="s">
        <v>43</v>
      </c>
      <c r="G1316" t="s">
        <v>66</v>
      </c>
      <c r="H1316" t="s">
        <v>27</v>
      </c>
      <c r="I1316" t="s">
        <v>37</v>
      </c>
      <c r="J1316" t="s">
        <v>38</v>
      </c>
      <c r="K1316">
        <v>8695</v>
      </c>
      <c r="L1316">
        <v>104</v>
      </c>
      <c r="M1316">
        <v>169.31</v>
      </c>
      <c r="N1316">
        <v>1</v>
      </c>
      <c r="O1316">
        <v>40.86</v>
      </c>
      <c r="P1316">
        <f t="shared" si="80"/>
        <v>1.1960897067280046E-2</v>
      </c>
      <c r="Q1316">
        <f t="shared" si="80"/>
        <v>1.6279807692307693</v>
      </c>
      <c r="R1316">
        <f t="shared" si="81"/>
        <v>169.31</v>
      </c>
      <c r="S1316">
        <f t="shared" si="82"/>
        <v>0.24133246707223435</v>
      </c>
      <c r="T1316">
        <f t="shared" si="83"/>
        <v>9.6153846153846159E-3</v>
      </c>
      <c r="U1316" t="str">
        <f>YEAR('Campaign Data'!$A1316)&amp;"-"&amp;TEXT(MONTH('Campaign Data'!$A1316),"00")</f>
        <v>2026-03</v>
      </c>
    </row>
    <row r="1317" spans="1:21" x14ac:dyDescent="0.25">
      <c r="A1317">
        <v>46094</v>
      </c>
      <c r="B1317" t="s">
        <v>63</v>
      </c>
      <c r="C1317" t="s">
        <v>64</v>
      </c>
      <c r="D1317" t="s">
        <v>65</v>
      </c>
      <c r="E1317" t="s">
        <v>24</v>
      </c>
      <c r="F1317" t="s">
        <v>43</v>
      </c>
      <c r="G1317" t="s">
        <v>66</v>
      </c>
      <c r="H1317" t="s">
        <v>90</v>
      </c>
      <c r="I1317" t="s">
        <v>37</v>
      </c>
      <c r="J1317" t="s">
        <v>87</v>
      </c>
      <c r="K1317">
        <v>11578</v>
      </c>
      <c r="L1317">
        <v>185</v>
      </c>
      <c r="M1317">
        <v>61.56</v>
      </c>
      <c r="N1317">
        <v>7</v>
      </c>
      <c r="O1317">
        <v>45.13</v>
      </c>
      <c r="P1317">
        <f t="shared" si="80"/>
        <v>1.5978580065641734E-2</v>
      </c>
      <c r="Q1317">
        <f t="shared" si="80"/>
        <v>0.33275675675675676</v>
      </c>
      <c r="R1317">
        <f t="shared" si="81"/>
        <v>8.7942857142857154</v>
      </c>
      <c r="S1317">
        <f t="shared" si="82"/>
        <v>0.73310591293047433</v>
      </c>
      <c r="T1317">
        <f t="shared" si="83"/>
        <v>3.783783783783784E-2</v>
      </c>
      <c r="U1317" t="str">
        <f>YEAR('Campaign Data'!$A1317)&amp;"-"&amp;TEXT(MONTH('Campaign Data'!$A1317),"00")</f>
        <v>2026-03</v>
      </c>
    </row>
    <row r="1318" spans="1:21" x14ac:dyDescent="0.25">
      <c r="A1318">
        <v>46094</v>
      </c>
      <c r="B1318" t="s">
        <v>67</v>
      </c>
      <c r="C1318" t="s">
        <v>68</v>
      </c>
      <c r="D1318" t="s">
        <v>69</v>
      </c>
      <c r="E1318" t="s">
        <v>49</v>
      </c>
      <c r="F1318" t="s">
        <v>34</v>
      </c>
      <c r="G1318" t="s">
        <v>70</v>
      </c>
      <c r="H1318" t="s">
        <v>90</v>
      </c>
      <c r="I1318" t="s">
        <v>61</v>
      </c>
      <c r="J1318" t="s">
        <v>45</v>
      </c>
      <c r="K1318">
        <v>2877</v>
      </c>
      <c r="L1318">
        <v>111</v>
      </c>
      <c r="M1318">
        <v>58.98</v>
      </c>
      <c r="N1318">
        <v>4</v>
      </c>
      <c r="O1318">
        <v>209.61</v>
      </c>
      <c r="P1318">
        <f t="shared" si="80"/>
        <v>3.8581856100104277E-2</v>
      </c>
      <c r="Q1318">
        <f t="shared" si="80"/>
        <v>0.53135135135135136</v>
      </c>
      <c r="R1318">
        <f t="shared" si="81"/>
        <v>14.744999999999999</v>
      </c>
      <c r="S1318">
        <f t="shared" si="82"/>
        <v>3.5539165818921674</v>
      </c>
      <c r="T1318">
        <f t="shared" si="83"/>
        <v>3.6036036036036036E-2</v>
      </c>
      <c r="U1318" t="str">
        <f>YEAR('Campaign Data'!$A1318)&amp;"-"&amp;TEXT(MONTH('Campaign Data'!$A1318),"00")</f>
        <v>2026-03</v>
      </c>
    </row>
    <row r="1319" spans="1:21" x14ac:dyDescent="0.25">
      <c r="A1319">
        <v>46094</v>
      </c>
      <c r="B1319" t="s">
        <v>116</v>
      </c>
      <c r="C1319" t="s">
        <v>117</v>
      </c>
      <c r="D1319" t="s">
        <v>48</v>
      </c>
      <c r="E1319" t="s">
        <v>24</v>
      </c>
      <c r="F1319" t="s">
        <v>43</v>
      </c>
      <c r="G1319" t="s">
        <v>26</v>
      </c>
      <c r="H1319" t="s">
        <v>36</v>
      </c>
      <c r="I1319" t="s">
        <v>28</v>
      </c>
      <c r="J1319" t="s">
        <v>45</v>
      </c>
      <c r="K1319">
        <v>5976</v>
      </c>
      <c r="L1319">
        <v>60</v>
      </c>
      <c r="M1319">
        <v>33.78</v>
      </c>
      <c r="N1319">
        <v>2</v>
      </c>
      <c r="O1319">
        <v>45.8</v>
      </c>
      <c r="P1319">
        <f t="shared" si="80"/>
        <v>1.0040160642570281E-2</v>
      </c>
      <c r="Q1319">
        <f t="shared" si="80"/>
        <v>0.56300000000000006</v>
      </c>
      <c r="R1319">
        <f t="shared" si="81"/>
        <v>16.89</v>
      </c>
      <c r="S1319">
        <f t="shared" si="82"/>
        <v>1.3558318531675546</v>
      </c>
      <c r="T1319">
        <f t="shared" si="83"/>
        <v>3.3333333333333333E-2</v>
      </c>
      <c r="U1319" t="str">
        <f>YEAR('Campaign Data'!$A1319)&amp;"-"&amp;TEXT(MONTH('Campaign Data'!$A1319),"00")</f>
        <v>2026-03</v>
      </c>
    </row>
    <row r="1320" spans="1:21" x14ac:dyDescent="0.25">
      <c r="A1320">
        <v>46094</v>
      </c>
      <c r="B1320" t="s">
        <v>163</v>
      </c>
      <c r="C1320" t="s">
        <v>164</v>
      </c>
      <c r="D1320" t="s">
        <v>58</v>
      </c>
      <c r="E1320" t="s">
        <v>42</v>
      </c>
      <c r="F1320" t="s">
        <v>43</v>
      </c>
      <c r="G1320" t="s">
        <v>44</v>
      </c>
      <c r="H1320" t="s">
        <v>55</v>
      </c>
      <c r="I1320" t="s">
        <v>37</v>
      </c>
      <c r="J1320" t="s">
        <v>45</v>
      </c>
      <c r="K1320">
        <v>8036</v>
      </c>
      <c r="L1320">
        <v>52</v>
      </c>
      <c r="M1320">
        <v>301.01</v>
      </c>
      <c r="N1320">
        <v>3</v>
      </c>
      <c r="O1320">
        <v>40.619999999999997</v>
      </c>
      <c r="P1320">
        <f t="shared" si="80"/>
        <v>6.4708810353409658E-3</v>
      </c>
      <c r="Q1320">
        <f t="shared" si="80"/>
        <v>5.7886538461538457</v>
      </c>
      <c r="R1320">
        <f t="shared" si="81"/>
        <v>100.33666666666666</v>
      </c>
      <c r="S1320">
        <f t="shared" si="82"/>
        <v>0.1349456828676788</v>
      </c>
      <c r="T1320">
        <f t="shared" si="83"/>
        <v>5.7692307692307696E-2</v>
      </c>
      <c r="U1320" t="str">
        <f>YEAR('Campaign Data'!$A1320)&amp;"-"&amp;TEXT(MONTH('Campaign Data'!$A1320),"00")</f>
        <v>2026-03</v>
      </c>
    </row>
    <row r="1321" spans="1:21" x14ac:dyDescent="0.25">
      <c r="A1321">
        <v>46094</v>
      </c>
      <c r="B1321" t="s">
        <v>122</v>
      </c>
      <c r="C1321" t="s">
        <v>123</v>
      </c>
      <c r="D1321" t="s">
        <v>41</v>
      </c>
      <c r="E1321" t="s">
        <v>33</v>
      </c>
      <c r="F1321" t="s">
        <v>75</v>
      </c>
      <c r="G1321" t="s">
        <v>35</v>
      </c>
      <c r="H1321" t="s">
        <v>60</v>
      </c>
      <c r="I1321" t="s">
        <v>37</v>
      </c>
      <c r="J1321" t="s">
        <v>62</v>
      </c>
      <c r="K1321">
        <v>6103</v>
      </c>
      <c r="L1321">
        <v>73</v>
      </c>
      <c r="M1321">
        <v>41.17</v>
      </c>
      <c r="N1321">
        <v>1</v>
      </c>
      <c r="O1321">
        <v>39.33</v>
      </c>
      <c r="P1321">
        <f t="shared" si="80"/>
        <v>1.1961330493200065E-2</v>
      </c>
      <c r="Q1321">
        <f t="shared" si="80"/>
        <v>0.56397260273972605</v>
      </c>
      <c r="R1321">
        <f t="shared" si="81"/>
        <v>41.17</v>
      </c>
      <c r="S1321">
        <f t="shared" si="82"/>
        <v>0.95530726256983234</v>
      </c>
      <c r="T1321">
        <f t="shared" si="83"/>
        <v>1.3698630136986301E-2</v>
      </c>
      <c r="U1321" t="str">
        <f>YEAR('Campaign Data'!$A1321)&amp;"-"&amp;TEXT(MONTH('Campaign Data'!$A1321),"00")</f>
        <v>2026-03</v>
      </c>
    </row>
    <row r="1322" spans="1:21" x14ac:dyDescent="0.25">
      <c r="A1322">
        <v>46094</v>
      </c>
      <c r="B1322" t="s">
        <v>82</v>
      </c>
      <c r="C1322" t="s">
        <v>83</v>
      </c>
      <c r="D1322" t="s">
        <v>80</v>
      </c>
      <c r="E1322" t="s">
        <v>42</v>
      </c>
      <c r="F1322" t="s">
        <v>34</v>
      </c>
      <c r="G1322" t="s">
        <v>84</v>
      </c>
      <c r="H1322" t="s">
        <v>90</v>
      </c>
      <c r="I1322" t="s">
        <v>37</v>
      </c>
      <c r="J1322" t="s">
        <v>38</v>
      </c>
      <c r="K1322">
        <v>22554</v>
      </c>
      <c r="L1322">
        <v>91</v>
      </c>
      <c r="M1322">
        <v>145.34</v>
      </c>
      <c r="N1322">
        <v>4</v>
      </c>
      <c r="O1322">
        <v>71.62</v>
      </c>
      <c r="P1322">
        <f t="shared" si="80"/>
        <v>4.0347610180012415E-3</v>
      </c>
      <c r="Q1322">
        <f t="shared" si="80"/>
        <v>1.5971428571428572</v>
      </c>
      <c r="R1322">
        <f t="shared" si="81"/>
        <v>36.335000000000001</v>
      </c>
      <c r="S1322">
        <f t="shared" si="82"/>
        <v>0.49277556075409384</v>
      </c>
      <c r="T1322">
        <f t="shared" si="83"/>
        <v>4.3956043956043959E-2</v>
      </c>
      <c r="U1322" t="str">
        <f>YEAR('Campaign Data'!$A1322)&amp;"-"&amp;TEXT(MONTH('Campaign Data'!$A1322),"00")</f>
        <v>2026-03</v>
      </c>
    </row>
    <row r="1323" spans="1:21" x14ac:dyDescent="0.25">
      <c r="A1323">
        <v>46095</v>
      </c>
      <c r="B1323" t="s">
        <v>88</v>
      </c>
      <c r="C1323" t="s">
        <v>89</v>
      </c>
      <c r="D1323" t="s">
        <v>23</v>
      </c>
      <c r="E1323" t="s">
        <v>49</v>
      </c>
      <c r="F1323" t="s">
        <v>81</v>
      </c>
      <c r="G1323" t="s">
        <v>50</v>
      </c>
      <c r="H1323" t="s">
        <v>71</v>
      </c>
      <c r="I1323" t="s">
        <v>37</v>
      </c>
      <c r="J1323" t="s">
        <v>87</v>
      </c>
      <c r="K1323">
        <v>3194</v>
      </c>
      <c r="L1323">
        <v>137</v>
      </c>
      <c r="M1323">
        <v>275.05</v>
      </c>
      <c r="N1323">
        <v>5</v>
      </c>
      <c r="O1323">
        <v>66.94</v>
      </c>
      <c r="P1323">
        <f t="shared" si="80"/>
        <v>4.2892924232936759E-2</v>
      </c>
      <c r="Q1323">
        <f t="shared" si="80"/>
        <v>2.0076642335766426</v>
      </c>
      <c r="R1323">
        <f t="shared" si="81"/>
        <v>55.010000000000005</v>
      </c>
      <c r="S1323">
        <f t="shared" si="82"/>
        <v>0.24337393201236138</v>
      </c>
      <c r="T1323">
        <f t="shared" si="83"/>
        <v>3.6496350364963501E-2</v>
      </c>
      <c r="U1323" t="str">
        <f>YEAR('Campaign Data'!$A1323)&amp;"-"&amp;TEXT(MONTH('Campaign Data'!$A1323),"00")</f>
        <v>2026-03</v>
      </c>
    </row>
    <row r="1324" spans="1:21" x14ac:dyDescent="0.25">
      <c r="A1324">
        <v>46095</v>
      </c>
      <c r="B1324" t="s">
        <v>167</v>
      </c>
      <c r="C1324" t="s">
        <v>168</v>
      </c>
      <c r="D1324" t="s">
        <v>58</v>
      </c>
      <c r="E1324" t="s">
        <v>33</v>
      </c>
      <c r="F1324" t="s">
        <v>75</v>
      </c>
      <c r="G1324" t="s">
        <v>35</v>
      </c>
      <c r="H1324" t="s">
        <v>55</v>
      </c>
      <c r="I1324" t="s">
        <v>37</v>
      </c>
      <c r="J1324" t="s">
        <v>38</v>
      </c>
      <c r="K1324">
        <v>3991</v>
      </c>
      <c r="L1324">
        <v>29</v>
      </c>
      <c r="M1324">
        <v>15.23</v>
      </c>
      <c r="N1324">
        <v>0</v>
      </c>
      <c r="O1324">
        <v>0</v>
      </c>
      <c r="P1324">
        <f t="shared" si="80"/>
        <v>7.2663492858932597E-3</v>
      </c>
      <c r="Q1324">
        <f t="shared" si="80"/>
        <v>0.52517241379310342</v>
      </c>
      <c r="R1324">
        <f t="shared" si="81"/>
        <v>0</v>
      </c>
      <c r="S1324">
        <f t="shared" si="82"/>
        <v>0</v>
      </c>
      <c r="T1324">
        <f t="shared" si="83"/>
        <v>0</v>
      </c>
      <c r="U1324" t="str">
        <f>YEAR('Campaign Data'!$A1324)&amp;"-"&amp;TEXT(MONTH('Campaign Data'!$A1324),"00")</f>
        <v>2026-03</v>
      </c>
    </row>
    <row r="1325" spans="1:21" x14ac:dyDescent="0.25">
      <c r="A1325">
        <v>46095</v>
      </c>
      <c r="B1325" t="s">
        <v>149</v>
      </c>
      <c r="C1325" t="s">
        <v>150</v>
      </c>
      <c r="D1325" t="s">
        <v>65</v>
      </c>
      <c r="E1325" t="s">
        <v>33</v>
      </c>
      <c r="F1325" t="s">
        <v>43</v>
      </c>
      <c r="G1325" t="s">
        <v>59</v>
      </c>
      <c r="H1325" t="s">
        <v>90</v>
      </c>
      <c r="I1325" t="s">
        <v>37</v>
      </c>
      <c r="J1325" t="s">
        <v>45</v>
      </c>
      <c r="K1325">
        <v>4699</v>
      </c>
      <c r="L1325">
        <v>52</v>
      </c>
      <c r="M1325">
        <v>7.56</v>
      </c>
      <c r="N1325">
        <v>0</v>
      </c>
      <c r="O1325">
        <v>0</v>
      </c>
      <c r="P1325">
        <f t="shared" si="80"/>
        <v>1.1066184294530752E-2</v>
      </c>
      <c r="Q1325">
        <f t="shared" si="80"/>
        <v>0.14538461538461539</v>
      </c>
      <c r="R1325">
        <f t="shared" si="81"/>
        <v>0</v>
      </c>
      <c r="S1325">
        <f t="shared" si="82"/>
        <v>0</v>
      </c>
      <c r="T1325">
        <f t="shared" si="83"/>
        <v>0</v>
      </c>
      <c r="U1325" t="str">
        <f>YEAR('Campaign Data'!$A1325)&amp;"-"&amp;TEXT(MONTH('Campaign Data'!$A1325),"00")</f>
        <v>2026-03</v>
      </c>
    </row>
    <row r="1326" spans="1:21" x14ac:dyDescent="0.25">
      <c r="A1326">
        <v>46095</v>
      </c>
      <c r="B1326" t="s">
        <v>186</v>
      </c>
      <c r="C1326" t="s">
        <v>187</v>
      </c>
      <c r="D1326" t="s">
        <v>80</v>
      </c>
      <c r="E1326" t="s">
        <v>33</v>
      </c>
      <c r="F1326" t="s">
        <v>43</v>
      </c>
      <c r="G1326" t="s">
        <v>102</v>
      </c>
      <c r="H1326" t="s">
        <v>60</v>
      </c>
      <c r="I1326" t="s">
        <v>61</v>
      </c>
      <c r="J1326" t="s">
        <v>45</v>
      </c>
      <c r="K1326">
        <v>3060</v>
      </c>
      <c r="L1326">
        <v>19</v>
      </c>
      <c r="M1326">
        <v>9.7100000000000009</v>
      </c>
      <c r="N1326">
        <v>1</v>
      </c>
      <c r="O1326">
        <v>23.29</v>
      </c>
      <c r="P1326">
        <f t="shared" si="80"/>
        <v>6.2091503267973852E-3</v>
      </c>
      <c r="Q1326">
        <f t="shared" si="80"/>
        <v>0.51105263157894742</v>
      </c>
      <c r="R1326">
        <f t="shared" si="81"/>
        <v>9.7100000000000009</v>
      </c>
      <c r="S1326">
        <f t="shared" si="82"/>
        <v>2.3985581874356332</v>
      </c>
      <c r="T1326">
        <f t="shared" si="83"/>
        <v>5.2631578947368418E-2</v>
      </c>
      <c r="U1326" t="str">
        <f>YEAR('Campaign Data'!$A1326)&amp;"-"&amp;TEXT(MONTH('Campaign Data'!$A1326),"00")</f>
        <v>2026-03</v>
      </c>
    </row>
    <row r="1327" spans="1:21" x14ac:dyDescent="0.25">
      <c r="A1327">
        <v>46095</v>
      </c>
      <c r="B1327" t="s">
        <v>46</v>
      </c>
      <c r="C1327" t="s">
        <v>47</v>
      </c>
      <c r="D1327" t="s">
        <v>48</v>
      </c>
      <c r="E1327" t="s">
        <v>49</v>
      </c>
      <c r="F1327" t="s">
        <v>43</v>
      </c>
      <c r="G1327" t="s">
        <v>50</v>
      </c>
      <c r="H1327" t="s">
        <v>27</v>
      </c>
      <c r="I1327" t="s">
        <v>37</v>
      </c>
      <c r="J1327" t="s">
        <v>38</v>
      </c>
      <c r="K1327">
        <v>4220</v>
      </c>
      <c r="L1327">
        <v>206</v>
      </c>
      <c r="M1327">
        <v>486.63</v>
      </c>
      <c r="N1327">
        <v>11</v>
      </c>
      <c r="O1327">
        <v>213.83</v>
      </c>
      <c r="P1327">
        <f t="shared" si="80"/>
        <v>4.8815165876777249E-2</v>
      </c>
      <c r="Q1327">
        <f t="shared" si="80"/>
        <v>2.3622815533980583</v>
      </c>
      <c r="R1327">
        <f t="shared" si="81"/>
        <v>44.239090909090912</v>
      </c>
      <c r="S1327">
        <f t="shared" si="82"/>
        <v>0.43940981854797284</v>
      </c>
      <c r="T1327">
        <f t="shared" si="83"/>
        <v>5.3398058252427182E-2</v>
      </c>
      <c r="U1327" t="str">
        <f>YEAR('Campaign Data'!$A1327)&amp;"-"&amp;TEXT(MONTH('Campaign Data'!$A1327),"00")</f>
        <v>2026-03</v>
      </c>
    </row>
    <row r="1328" spans="1:21" x14ac:dyDescent="0.25">
      <c r="A1328">
        <v>46095</v>
      </c>
      <c r="B1328" t="s">
        <v>100</v>
      </c>
      <c r="C1328" t="s">
        <v>101</v>
      </c>
      <c r="D1328" t="s">
        <v>80</v>
      </c>
      <c r="E1328" t="s">
        <v>33</v>
      </c>
      <c r="F1328" t="s">
        <v>25</v>
      </c>
      <c r="G1328" t="s">
        <v>102</v>
      </c>
      <c r="H1328" t="s">
        <v>90</v>
      </c>
      <c r="I1328" t="s">
        <v>28</v>
      </c>
      <c r="J1328" t="s">
        <v>87</v>
      </c>
      <c r="K1328">
        <v>2980</v>
      </c>
      <c r="L1328">
        <v>40</v>
      </c>
      <c r="M1328">
        <v>7.35</v>
      </c>
      <c r="N1328">
        <v>0</v>
      </c>
      <c r="O1328">
        <v>0</v>
      </c>
      <c r="P1328">
        <f t="shared" si="80"/>
        <v>1.3422818791946308E-2</v>
      </c>
      <c r="Q1328">
        <f t="shared" si="80"/>
        <v>0.18375</v>
      </c>
      <c r="R1328">
        <f t="shared" si="81"/>
        <v>0</v>
      </c>
      <c r="S1328">
        <f t="shared" si="82"/>
        <v>0</v>
      </c>
      <c r="T1328">
        <f t="shared" si="83"/>
        <v>0</v>
      </c>
      <c r="U1328" t="str">
        <f>YEAR('Campaign Data'!$A1328)&amp;"-"&amp;TEXT(MONTH('Campaign Data'!$A1328),"00")</f>
        <v>2026-03</v>
      </c>
    </row>
    <row r="1329" spans="1:21" x14ac:dyDescent="0.25">
      <c r="A1329">
        <v>46095</v>
      </c>
      <c r="B1329" t="s">
        <v>105</v>
      </c>
      <c r="C1329" t="s">
        <v>106</v>
      </c>
      <c r="D1329" t="s">
        <v>58</v>
      </c>
      <c r="E1329" t="s">
        <v>49</v>
      </c>
      <c r="F1329" t="s">
        <v>81</v>
      </c>
      <c r="G1329" t="s">
        <v>107</v>
      </c>
      <c r="H1329" t="s">
        <v>90</v>
      </c>
      <c r="I1329" t="s">
        <v>37</v>
      </c>
      <c r="J1329" t="s">
        <v>29</v>
      </c>
      <c r="K1329">
        <v>4805</v>
      </c>
      <c r="L1329">
        <v>197</v>
      </c>
      <c r="M1329">
        <v>84.03</v>
      </c>
      <c r="N1329">
        <v>15</v>
      </c>
      <c r="O1329">
        <v>129.58000000000001</v>
      </c>
      <c r="P1329">
        <f t="shared" si="80"/>
        <v>4.0998959417273675E-2</v>
      </c>
      <c r="Q1329">
        <f t="shared" si="80"/>
        <v>0.42654822335025383</v>
      </c>
      <c r="R1329">
        <f t="shared" si="81"/>
        <v>5.6020000000000003</v>
      </c>
      <c r="S1329">
        <f t="shared" si="82"/>
        <v>1.5420683089372844</v>
      </c>
      <c r="T1329">
        <f t="shared" si="83"/>
        <v>7.6142131979695438E-2</v>
      </c>
      <c r="U1329" t="str">
        <f>YEAR('Campaign Data'!$A1329)&amp;"-"&amp;TEXT(MONTH('Campaign Data'!$A1329),"00")</f>
        <v>2026-03</v>
      </c>
    </row>
    <row r="1330" spans="1:21" x14ac:dyDescent="0.25">
      <c r="A1330">
        <v>46095</v>
      </c>
      <c r="B1330" t="s">
        <v>132</v>
      </c>
      <c r="C1330" t="s">
        <v>133</v>
      </c>
      <c r="D1330" t="s">
        <v>23</v>
      </c>
      <c r="E1330" t="s">
        <v>42</v>
      </c>
      <c r="F1330" t="s">
        <v>75</v>
      </c>
      <c r="G1330" t="s">
        <v>84</v>
      </c>
      <c r="H1330" t="s">
        <v>55</v>
      </c>
      <c r="I1330" t="s">
        <v>28</v>
      </c>
      <c r="J1330" t="s">
        <v>38</v>
      </c>
      <c r="K1330">
        <v>6071</v>
      </c>
      <c r="L1330">
        <v>41</v>
      </c>
      <c r="M1330">
        <v>188.71</v>
      </c>
      <c r="N1330">
        <v>1</v>
      </c>
      <c r="O1330">
        <v>43.31</v>
      </c>
      <c r="P1330">
        <f t="shared" si="80"/>
        <v>6.7534178883215286E-3</v>
      </c>
      <c r="Q1330">
        <f t="shared" si="80"/>
        <v>4.6026829268292682</v>
      </c>
      <c r="R1330">
        <f t="shared" si="81"/>
        <v>188.71</v>
      </c>
      <c r="S1330">
        <f t="shared" si="82"/>
        <v>0.22950559058873404</v>
      </c>
      <c r="T1330">
        <f t="shared" si="83"/>
        <v>2.4390243902439025E-2</v>
      </c>
      <c r="U1330" t="str">
        <f>YEAR('Campaign Data'!$A1330)&amp;"-"&amp;TEXT(MONTH('Campaign Data'!$A1330),"00")</f>
        <v>2026-03</v>
      </c>
    </row>
    <row r="1331" spans="1:21" x14ac:dyDescent="0.25">
      <c r="A1331">
        <v>46095</v>
      </c>
      <c r="B1331" t="s">
        <v>177</v>
      </c>
      <c r="C1331" t="s">
        <v>178</v>
      </c>
      <c r="D1331" t="s">
        <v>41</v>
      </c>
      <c r="E1331" t="s">
        <v>49</v>
      </c>
      <c r="F1331" t="s">
        <v>34</v>
      </c>
      <c r="G1331" t="s">
        <v>107</v>
      </c>
      <c r="H1331" t="s">
        <v>90</v>
      </c>
      <c r="I1331" t="s">
        <v>28</v>
      </c>
      <c r="J1331" t="s">
        <v>45</v>
      </c>
      <c r="K1331">
        <v>4870</v>
      </c>
      <c r="L1331">
        <v>236</v>
      </c>
      <c r="M1331">
        <v>99.46</v>
      </c>
      <c r="N1331">
        <v>7</v>
      </c>
      <c r="O1331">
        <v>297.48</v>
      </c>
      <c r="P1331">
        <f t="shared" si="80"/>
        <v>4.8459958932238194E-2</v>
      </c>
      <c r="Q1331">
        <f t="shared" si="80"/>
        <v>0.42144067796610168</v>
      </c>
      <c r="R1331">
        <f t="shared" si="81"/>
        <v>14.208571428571428</v>
      </c>
      <c r="S1331">
        <f t="shared" si="82"/>
        <v>2.9909511361351302</v>
      </c>
      <c r="T1331">
        <f t="shared" si="83"/>
        <v>2.9661016949152543E-2</v>
      </c>
      <c r="U1331" t="str">
        <f>YEAR('Campaign Data'!$A1331)&amp;"-"&amp;TEXT(MONTH('Campaign Data'!$A1331),"00")</f>
        <v>2026-03</v>
      </c>
    </row>
    <row r="1332" spans="1:21" x14ac:dyDescent="0.25">
      <c r="A1332">
        <v>46095</v>
      </c>
      <c r="B1332" t="s">
        <v>179</v>
      </c>
      <c r="C1332" t="s">
        <v>180</v>
      </c>
      <c r="D1332" t="s">
        <v>58</v>
      </c>
      <c r="E1332" t="s">
        <v>42</v>
      </c>
      <c r="F1332" t="s">
        <v>25</v>
      </c>
      <c r="G1332" t="s">
        <v>54</v>
      </c>
      <c r="H1332" t="s">
        <v>60</v>
      </c>
      <c r="I1332" t="s">
        <v>37</v>
      </c>
      <c r="J1332" t="s">
        <v>45</v>
      </c>
      <c r="K1332">
        <v>19853</v>
      </c>
      <c r="L1332">
        <v>102</v>
      </c>
      <c r="M1332">
        <v>453.27</v>
      </c>
      <c r="N1332">
        <v>5</v>
      </c>
      <c r="O1332">
        <v>848.31</v>
      </c>
      <c r="P1332">
        <f t="shared" si="80"/>
        <v>5.1377625547776151E-3</v>
      </c>
      <c r="Q1332">
        <f t="shared" si="80"/>
        <v>4.4438235294117643</v>
      </c>
      <c r="R1332">
        <f t="shared" si="81"/>
        <v>90.653999999999996</v>
      </c>
      <c r="S1332">
        <f t="shared" si="82"/>
        <v>1.8715335230657224</v>
      </c>
      <c r="T1332">
        <f t="shared" si="83"/>
        <v>4.9019607843137254E-2</v>
      </c>
      <c r="U1332" t="str">
        <f>YEAR('Campaign Data'!$A1332)&amp;"-"&amp;TEXT(MONTH('Campaign Data'!$A1332),"00")</f>
        <v>2026-03</v>
      </c>
    </row>
    <row r="1333" spans="1:21" x14ac:dyDescent="0.25">
      <c r="A1333">
        <v>46095</v>
      </c>
      <c r="B1333" t="s">
        <v>171</v>
      </c>
      <c r="C1333" t="s">
        <v>172</v>
      </c>
      <c r="D1333" t="s">
        <v>23</v>
      </c>
      <c r="E1333" t="s">
        <v>33</v>
      </c>
      <c r="F1333" t="s">
        <v>75</v>
      </c>
      <c r="G1333" t="s">
        <v>59</v>
      </c>
      <c r="H1333" t="s">
        <v>90</v>
      </c>
      <c r="I1333" t="s">
        <v>37</v>
      </c>
      <c r="J1333" t="s">
        <v>45</v>
      </c>
      <c r="K1333">
        <v>2980</v>
      </c>
      <c r="L1333">
        <v>30</v>
      </c>
      <c r="M1333">
        <v>5.18</v>
      </c>
      <c r="N1333">
        <v>0</v>
      </c>
      <c r="O1333">
        <v>0</v>
      </c>
      <c r="P1333">
        <f t="shared" si="80"/>
        <v>1.0067114093959731E-2</v>
      </c>
      <c r="Q1333">
        <f t="shared" si="80"/>
        <v>0.17266666666666666</v>
      </c>
      <c r="R1333">
        <f t="shared" si="81"/>
        <v>0</v>
      </c>
      <c r="S1333">
        <f t="shared" si="82"/>
        <v>0</v>
      </c>
      <c r="T1333">
        <f t="shared" si="83"/>
        <v>0</v>
      </c>
      <c r="U1333" t="str">
        <f>YEAR('Campaign Data'!$A1333)&amp;"-"&amp;TEXT(MONTH('Campaign Data'!$A1333),"00")</f>
        <v>2026-03</v>
      </c>
    </row>
    <row r="1334" spans="1:21" x14ac:dyDescent="0.25">
      <c r="A1334">
        <v>46095</v>
      </c>
      <c r="B1334" t="s">
        <v>110</v>
      </c>
      <c r="C1334" t="s">
        <v>111</v>
      </c>
      <c r="D1334" t="s">
        <v>23</v>
      </c>
      <c r="E1334" t="s">
        <v>49</v>
      </c>
      <c r="F1334" t="s">
        <v>34</v>
      </c>
      <c r="G1334" t="s">
        <v>50</v>
      </c>
      <c r="H1334" t="s">
        <v>36</v>
      </c>
      <c r="I1334" t="s">
        <v>37</v>
      </c>
      <c r="J1334" t="s">
        <v>29</v>
      </c>
      <c r="K1334">
        <v>4393</v>
      </c>
      <c r="L1334">
        <v>268</v>
      </c>
      <c r="M1334">
        <v>470.82</v>
      </c>
      <c r="N1334">
        <v>12</v>
      </c>
      <c r="O1334">
        <v>1399.44</v>
      </c>
      <c r="P1334">
        <f t="shared" si="80"/>
        <v>6.1006146141588891E-2</v>
      </c>
      <c r="Q1334">
        <f t="shared" si="80"/>
        <v>1.7567910447761195</v>
      </c>
      <c r="R1334">
        <f t="shared" si="81"/>
        <v>39.234999999999999</v>
      </c>
      <c r="S1334">
        <f t="shared" si="82"/>
        <v>2.9723461195361285</v>
      </c>
      <c r="T1334">
        <f t="shared" si="83"/>
        <v>4.4776119402985072E-2</v>
      </c>
      <c r="U1334" t="str">
        <f>YEAR('Campaign Data'!$A1334)&amp;"-"&amp;TEXT(MONTH('Campaign Data'!$A1334),"00")</f>
        <v>2026-03</v>
      </c>
    </row>
    <row r="1335" spans="1:21" x14ac:dyDescent="0.25">
      <c r="A1335">
        <v>46095</v>
      </c>
      <c r="B1335" t="s">
        <v>110</v>
      </c>
      <c r="C1335" t="s">
        <v>111</v>
      </c>
      <c r="D1335" t="s">
        <v>23</v>
      </c>
      <c r="E1335" t="s">
        <v>49</v>
      </c>
      <c r="F1335" t="s">
        <v>34</v>
      </c>
      <c r="G1335" t="s">
        <v>50</v>
      </c>
      <c r="H1335" t="s">
        <v>90</v>
      </c>
      <c r="I1335" t="s">
        <v>37</v>
      </c>
      <c r="J1335" t="s">
        <v>62</v>
      </c>
      <c r="K1335">
        <v>5702</v>
      </c>
      <c r="L1335">
        <v>338</v>
      </c>
      <c r="M1335">
        <v>198.89</v>
      </c>
      <c r="N1335">
        <v>21</v>
      </c>
      <c r="O1335">
        <v>457.4</v>
      </c>
      <c r="P1335">
        <f t="shared" si="80"/>
        <v>5.9277446509996494E-2</v>
      </c>
      <c r="Q1335">
        <f t="shared" si="80"/>
        <v>0.58843195266272186</v>
      </c>
      <c r="R1335">
        <f t="shared" si="81"/>
        <v>9.4709523809523795</v>
      </c>
      <c r="S1335">
        <f t="shared" si="82"/>
        <v>2.299763688471014</v>
      </c>
      <c r="T1335">
        <f t="shared" si="83"/>
        <v>6.2130177514792898E-2</v>
      </c>
      <c r="U1335" t="str">
        <f>YEAR('Campaign Data'!$A1335)&amp;"-"&amp;TEXT(MONTH('Campaign Data'!$A1335),"00")</f>
        <v>2026-03</v>
      </c>
    </row>
    <row r="1336" spans="1:21" x14ac:dyDescent="0.25">
      <c r="A1336">
        <v>46095</v>
      </c>
      <c r="B1336" t="s">
        <v>155</v>
      </c>
      <c r="C1336" t="s">
        <v>156</v>
      </c>
      <c r="D1336" t="s">
        <v>32</v>
      </c>
      <c r="E1336" t="s">
        <v>24</v>
      </c>
      <c r="F1336" t="s">
        <v>34</v>
      </c>
      <c r="G1336" t="s">
        <v>129</v>
      </c>
      <c r="H1336" t="s">
        <v>90</v>
      </c>
      <c r="I1336" t="s">
        <v>37</v>
      </c>
      <c r="J1336" t="s">
        <v>29</v>
      </c>
      <c r="K1336">
        <v>7192</v>
      </c>
      <c r="L1336">
        <v>116</v>
      </c>
      <c r="M1336">
        <v>33.159999999999997</v>
      </c>
      <c r="N1336">
        <v>4</v>
      </c>
      <c r="O1336">
        <v>219.8</v>
      </c>
      <c r="P1336">
        <f t="shared" si="80"/>
        <v>1.6129032258064516E-2</v>
      </c>
      <c r="Q1336">
        <f t="shared" si="80"/>
        <v>0.28586206896551719</v>
      </c>
      <c r="R1336">
        <f t="shared" si="81"/>
        <v>8.2899999999999991</v>
      </c>
      <c r="S1336">
        <f t="shared" si="82"/>
        <v>6.6284680337756345</v>
      </c>
      <c r="T1336">
        <f t="shared" si="83"/>
        <v>3.4482758620689655E-2</v>
      </c>
      <c r="U1336" t="str">
        <f>YEAR('Campaign Data'!$A1336)&amp;"-"&amp;TEXT(MONTH('Campaign Data'!$A1336),"00")</f>
        <v>2026-03</v>
      </c>
    </row>
    <row r="1337" spans="1:21" x14ac:dyDescent="0.25">
      <c r="A1337">
        <v>46095</v>
      </c>
      <c r="B1337" t="s">
        <v>157</v>
      </c>
      <c r="C1337" t="s">
        <v>158</v>
      </c>
      <c r="D1337" t="s">
        <v>58</v>
      </c>
      <c r="E1337" t="s">
        <v>49</v>
      </c>
      <c r="F1337" t="s">
        <v>81</v>
      </c>
      <c r="G1337" t="s">
        <v>50</v>
      </c>
      <c r="H1337" t="s">
        <v>36</v>
      </c>
      <c r="I1337" t="s">
        <v>28</v>
      </c>
      <c r="J1337" t="s">
        <v>87</v>
      </c>
      <c r="K1337">
        <v>2106</v>
      </c>
      <c r="L1337">
        <v>79</v>
      </c>
      <c r="M1337">
        <v>188.23</v>
      </c>
      <c r="N1337">
        <v>5</v>
      </c>
      <c r="O1337">
        <v>75.66</v>
      </c>
      <c r="P1337">
        <f t="shared" si="80"/>
        <v>3.751187084520418E-2</v>
      </c>
      <c r="Q1337">
        <f t="shared" si="80"/>
        <v>2.382658227848101</v>
      </c>
      <c r="R1337">
        <f t="shared" si="81"/>
        <v>37.646000000000001</v>
      </c>
      <c r="S1337">
        <f t="shared" si="82"/>
        <v>0.40195505498592149</v>
      </c>
      <c r="T1337">
        <f t="shared" si="83"/>
        <v>6.3291139240506333E-2</v>
      </c>
      <c r="U1337" t="str">
        <f>YEAR('Campaign Data'!$A1337)&amp;"-"&amp;TEXT(MONTH('Campaign Data'!$A1337),"00")</f>
        <v>2026-03</v>
      </c>
    </row>
    <row r="1338" spans="1:21" x14ac:dyDescent="0.25">
      <c r="A1338">
        <v>46095</v>
      </c>
      <c r="B1338" t="s">
        <v>114</v>
      </c>
      <c r="C1338" t="s">
        <v>115</v>
      </c>
      <c r="D1338" t="s">
        <v>69</v>
      </c>
      <c r="E1338" t="s">
        <v>49</v>
      </c>
      <c r="F1338" t="s">
        <v>25</v>
      </c>
      <c r="G1338" t="s">
        <v>107</v>
      </c>
      <c r="H1338" t="s">
        <v>36</v>
      </c>
      <c r="I1338" t="s">
        <v>28</v>
      </c>
      <c r="J1338" t="s">
        <v>62</v>
      </c>
      <c r="K1338">
        <v>1991</v>
      </c>
      <c r="L1338">
        <v>193</v>
      </c>
      <c r="M1338">
        <v>425.6</v>
      </c>
      <c r="N1338">
        <v>8</v>
      </c>
      <c r="O1338">
        <v>1587.26</v>
      </c>
      <c r="P1338">
        <f t="shared" si="80"/>
        <v>9.6936212958312409E-2</v>
      </c>
      <c r="Q1338">
        <f t="shared" si="80"/>
        <v>2.2051813471502593</v>
      </c>
      <c r="R1338">
        <f t="shared" si="81"/>
        <v>53.2</v>
      </c>
      <c r="S1338">
        <f t="shared" si="82"/>
        <v>3.7294642857142857</v>
      </c>
      <c r="T1338">
        <f t="shared" si="83"/>
        <v>4.145077720207254E-2</v>
      </c>
      <c r="U1338" t="str">
        <f>YEAR('Campaign Data'!$A1338)&amp;"-"&amp;TEXT(MONTH('Campaign Data'!$A1338),"00")</f>
        <v>2026-03</v>
      </c>
    </row>
    <row r="1339" spans="1:21" x14ac:dyDescent="0.25">
      <c r="A1339">
        <v>46095</v>
      </c>
      <c r="B1339" t="s">
        <v>56</v>
      </c>
      <c r="C1339" t="s">
        <v>57</v>
      </c>
      <c r="D1339" t="s">
        <v>58</v>
      </c>
      <c r="E1339" t="s">
        <v>33</v>
      </c>
      <c r="F1339" t="s">
        <v>43</v>
      </c>
      <c r="G1339" t="s">
        <v>59</v>
      </c>
      <c r="H1339" t="s">
        <v>27</v>
      </c>
      <c r="I1339" t="s">
        <v>37</v>
      </c>
      <c r="J1339" t="s">
        <v>87</v>
      </c>
      <c r="K1339">
        <v>2652</v>
      </c>
      <c r="L1339">
        <v>28</v>
      </c>
      <c r="M1339">
        <v>18.920000000000002</v>
      </c>
      <c r="N1339">
        <v>0</v>
      </c>
      <c r="O1339">
        <v>0</v>
      </c>
      <c r="P1339">
        <f t="shared" si="80"/>
        <v>1.0558069381598794E-2</v>
      </c>
      <c r="Q1339">
        <f t="shared" si="80"/>
        <v>0.67571428571428582</v>
      </c>
      <c r="R1339">
        <f t="shared" si="81"/>
        <v>0</v>
      </c>
      <c r="S1339">
        <f t="shared" si="82"/>
        <v>0</v>
      </c>
      <c r="T1339">
        <f t="shared" si="83"/>
        <v>0</v>
      </c>
      <c r="U1339" t="str">
        <f>YEAR('Campaign Data'!$A1339)&amp;"-"&amp;TEXT(MONTH('Campaign Data'!$A1339),"00")</f>
        <v>2026-03</v>
      </c>
    </row>
    <row r="1340" spans="1:21" x14ac:dyDescent="0.25">
      <c r="A1340">
        <v>46095</v>
      </c>
      <c r="B1340" t="s">
        <v>56</v>
      </c>
      <c r="C1340" t="s">
        <v>57</v>
      </c>
      <c r="D1340" t="s">
        <v>58</v>
      </c>
      <c r="E1340" t="s">
        <v>33</v>
      </c>
      <c r="F1340" t="s">
        <v>43</v>
      </c>
      <c r="G1340" t="s">
        <v>59</v>
      </c>
      <c r="H1340" t="s">
        <v>60</v>
      </c>
      <c r="I1340" t="s">
        <v>37</v>
      </c>
      <c r="J1340" t="s">
        <v>45</v>
      </c>
      <c r="K1340">
        <v>10483</v>
      </c>
      <c r="L1340">
        <v>84</v>
      </c>
      <c r="M1340">
        <v>47.65</v>
      </c>
      <c r="N1340">
        <v>1</v>
      </c>
      <c r="O1340">
        <v>26.84</v>
      </c>
      <c r="P1340">
        <f t="shared" si="80"/>
        <v>8.0129733854812559E-3</v>
      </c>
      <c r="Q1340">
        <f t="shared" si="80"/>
        <v>0.56726190476190474</v>
      </c>
      <c r="R1340">
        <f t="shared" si="81"/>
        <v>47.65</v>
      </c>
      <c r="S1340">
        <f t="shared" si="82"/>
        <v>0.56327387198321088</v>
      </c>
      <c r="T1340">
        <f t="shared" si="83"/>
        <v>1.1904761904761904E-2</v>
      </c>
      <c r="U1340" t="str">
        <f>YEAR('Campaign Data'!$A1340)&amp;"-"&amp;TEXT(MONTH('Campaign Data'!$A1340),"00")</f>
        <v>2026-03</v>
      </c>
    </row>
    <row r="1341" spans="1:21" x14ac:dyDescent="0.25">
      <c r="A1341">
        <v>46095</v>
      </c>
      <c r="B1341" t="s">
        <v>63</v>
      </c>
      <c r="C1341" t="s">
        <v>64</v>
      </c>
      <c r="D1341" t="s">
        <v>65</v>
      </c>
      <c r="E1341" t="s">
        <v>24</v>
      </c>
      <c r="F1341" t="s">
        <v>43</v>
      </c>
      <c r="G1341" t="s">
        <v>66</v>
      </c>
      <c r="H1341" t="s">
        <v>51</v>
      </c>
      <c r="I1341" t="s">
        <v>28</v>
      </c>
      <c r="J1341" t="s">
        <v>87</v>
      </c>
      <c r="K1341">
        <v>7445</v>
      </c>
      <c r="L1341">
        <v>111</v>
      </c>
      <c r="M1341">
        <v>123.98</v>
      </c>
      <c r="N1341">
        <v>5</v>
      </c>
      <c r="O1341">
        <v>120.49</v>
      </c>
      <c r="P1341">
        <f t="shared" si="80"/>
        <v>1.4909335124244459E-2</v>
      </c>
      <c r="Q1341">
        <f t="shared" si="80"/>
        <v>1.1169369369369371</v>
      </c>
      <c r="R1341">
        <f t="shared" si="81"/>
        <v>24.795999999999999</v>
      </c>
      <c r="S1341">
        <f t="shared" si="82"/>
        <v>0.97185029843523141</v>
      </c>
      <c r="T1341">
        <f t="shared" si="83"/>
        <v>4.5045045045045043E-2</v>
      </c>
      <c r="U1341" t="str">
        <f>YEAR('Campaign Data'!$A1341)&amp;"-"&amp;TEXT(MONTH('Campaign Data'!$A1341),"00")</f>
        <v>2026-03</v>
      </c>
    </row>
    <row r="1342" spans="1:21" x14ac:dyDescent="0.25">
      <c r="A1342">
        <v>46095</v>
      </c>
      <c r="B1342" t="s">
        <v>67</v>
      </c>
      <c r="C1342" t="s">
        <v>68</v>
      </c>
      <c r="D1342" t="s">
        <v>69</v>
      </c>
      <c r="E1342" t="s">
        <v>49</v>
      </c>
      <c r="F1342" t="s">
        <v>34</v>
      </c>
      <c r="G1342" t="s">
        <v>70</v>
      </c>
      <c r="H1342" t="s">
        <v>27</v>
      </c>
      <c r="I1342" t="s">
        <v>37</v>
      </c>
      <c r="J1342" t="s">
        <v>62</v>
      </c>
      <c r="K1342">
        <v>9161</v>
      </c>
      <c r="L1342">
        <v>541</v>
      </c>
      <c r="M1342">
        <v>984.06</v>
      </c>
      <c r="N1342">
        <v>28</v>
      </c>
      <c r="O1342">
        <v>6250.94</v>
      </c>
      <c r="P1342">
        <f t="shared" si="80"/>
        <v>5.9054688352799915E-2</v>
      </c>
      <c r="Q1342">
        <f t="shared" si="80"/>
        <v>1.8189648798521256</v>
      </c>
      <c r="R1342">
        <f t="shared" si="81"/>
        <v>35.144999999999996</v>
      </c>
      <c r="S1342">
        <f t="shared" si="82"/>
        <v>6.352193971912282</v>
      </c>
      <c r="T1342">
        <f t="shared" si="83"/>
        <v>5.1756007393715345E-2</v>
      </c>
      <c r="U1342" t="str">
        <f>YEAR('Campaign Data'!$A1342)&amp;"-"&amp;TEXT(MONTH('Campaign Data'!$A1342),"00")</f>
        <v>2026-03</v>
      </c>
    </row>
    <row r="1343" spans="1:21" x14ac:dyDescent="0.25">
      <c r="A1343">
        <v>46095</v>
      </c>
      <c r="B1343" t="s">
        <v>67</v>
      </c>
      <c r="C1343" t="s">
        <v>68</v>
      </c>
      <c r="D1343" t="s">
        <v>69</v>
      </c>
      <c r="E1343" t="s">
        <v>49</v>
      </c>
      <c r="F1343" t="s">
        <v>34</v>
      </c>
      <c r="G1343" t="s">
        <v>70</v>
      </c>
      <c r="H1343" t="s">
        <v>90</v>
      </c>
      <c r="I1343" t="s">
        <v>28</v>
      </c>
      <c r="J1343" t="s">
        <v>87</v>
      </c>
      <c r="K1343">
        <v>4276</v>
      </c>
      <c r="L1343">
        <v>121</v>
      </c>
      <c r="M1343">
        <v>68.48</v>
      </c>
      <c r="N1343">
        <v>9</v>
      </c>
      <c r="O1343">
        <v>293.99</v>
      </c>
      <c r="P1343">
        <f t="shared" si="80"/>
        <v>2.8297474275023386E-2</v>
      </c>
      <c r="Q1343">
        <f t="shared" si="80"/>
        <v>0.56595041322314055</v>
      </c>
      <c r="R1343">
        <f t="shared" si="81"/>
        <v>7.608888888888889</v>
      </c>
      <c r="S1343">
        <f t="shared" si="82"/>
        <v>4.2930782710280369</v>
      </c>
      <c r="T1343">
        <f t="shared" si="83"/>
        <v>7.43801652892562E-2</v>
      </c>
      <c r="U1343" t="str">
        <f>YEAR('Campaign Data'!$A1343)&amp;"-"&amp;TEXT(MONTH('Campaign Data'!$A1343),"00")</f>
        <v>2026-03</v>
      </c>
    </row>
    <row r="1344" spans="1:21" x14ac:dyDescent="0.25">
      <c r="A1344">
        <v>46095</v>
      </c>
      <c r="B1344" t="s">
        <v>72</v>
      </c>
      <c r="C1344" t="s">
        <v>73</v>
      </c>
      <c r="D1344" t="s">
        <v>69</v>
      </c>
      <c r="E1344" t="s">
        <v>74</v>
      </c>
      <c r="F1344" t="s">
        <v>75</v>
      </c>
      <c r="G1344" t="s">
        <v>9</v>
      </c>
      <c r="H1344" t="s">
        <v>36</v>
      </c>
      <c r="I1344" t="s">
        <v>37</v>
      </c>
      <c r="J1344" t="s">
        <v>87</v>
      </c>
      <c r="K1344">
        <v>5445</v>
      </c>
      <c r="L1344">
        <v>165</v>
      </c>
      <c r="M1344">
        <v>172.51</v>
      </c>
      <c r="N1344">
        <v>7</v>
      </c>
      <c r="O1344">
        <v>229.24</v>
      </c>
      <c r="P1344">
        <f t="shared" si="80"/>
        <v>3.0303030303030304E-2</v>
      </c>
      <c r="Q1344">
        <f t="shared" si="80"/>
        <v>1.0455151515151515</v>
      </c>
      <c r="R1344">
        <f t="shared" si="81"/>
        <v>24.644285714285711</v>
      </c>
      <c r="S1344">
        <f t="shared" si="82"/>
        <v>1.3288505014202077</v>
      </c>
      <c r="T1344">
        <f t="shared" si="83"/>
        <v>4.2424242424242427E-2</v>
      </c>
      <c r="U1344" t="str">
        <f>YEAR('Campaign Data'!$A1344)&amp;"-"&amp;TEXT(MONTH('Campaign Data'!$A1344),"00")</f>
        <v>2026-03</v>
      </c>
    </row>
    <row r="1345" spans="1:21" x14ac:dyDescent="0.25">
      <c r="A1345">
        <v>46095</v>
      </c>
      <c r="B1345" t="s">
        <v>78</v>
      </c>
      <c r="C1345" t="s">
        <v>79</v>
      </c>
      <c r="D1345" t="s">
        <v>80</v>
      </c>
      <c r="E1345" t="s">
        <v>24</v>
      </c>
      <c r="F1345" t="s">
        <v>81</v>
      </c>
      <c r="G1345" t="s">
        <v>66</v>
      </c>
      <c r="H1345" t="s">
        <v>71</v>
      </c>
      <c r="I1345" t="s">
        <v>37</v>
      </c>
      <c r="J1345" t="s">
        <v>45</v>
      </c>
      <c r="K1345">
        <v>5283</v>
      </c>
      <c r="L1345">
        <v>20</v>
      </c>
      <c r="M1345">
        <v>18.329999999999998</v>
      </c>
      <c r="N1345">
        <v>0</v>
      </c>
      <c r="O1345">
        <v>0</v>
      </c>
      <c r="P1345">
        <f t="shared" si="80"/>
        <v>3.7857278061707365E-3</v>
      </c>
      <c r="Q1345">
        <f t="shared" si="80"/>
        <v>0.91649999999999987</v>
      </c>
      <c r="R1345">
        <f t="shared" si="81"/>
        <v>0</v>
      </c>
      <c r="S1345">
        <f t="shared" si="82"/>
        <v>0</v>
      </c>
      <c r="T1345">
        <f t="shared" si="83"/>
        <v>0</v>
      </c>
      <c r="U1345" t="str">
        <f>YEAR('Campaign Data'!$A1345)&amp;"-"&amp;TEXT(MONTH('Campaign Data'!$A1345),"00")</f>
        <v>2026-03</v>
      </c>
    </row>
    <row r="1346" spans="1:21" x14ac:dyDescent="0.25">
      <c r="A1346">
        <v>46095</v>
      </c>
      <c r="B1346" t="s">
        <v>78</v>
      </c>
      <c r="C1346" t="s">
        <v>79</v>
      </c>
      <c r="D1346" t="s">
        <v>80</v>
      </c>
      <c r="E1346" t="s">
        <v>24</v>
      </c>
      <c r="F1346" t="s">
        <v>81</v>
      </c>
      <c r="G1346" t="s">
        <v>66</v>
      </c>
      <c r="H1346" t="s">
        <v>90</v>
      </c>
      <c r="I1346" t="s">
        <v>28</v>
      </c>
      <c r="J1346" t="s">
        <v>29</v>
      </c>
      <c r="K1346">
        <v>16441</v>
      </c>
      <c r="L1346">
        <v>149</v>
      </c>
      <c r="M1346">
        <v>38.06</v>
      </c>
      <c r="N1346">
        <v>4</v>
      </c>
      <c r="O1346">
        <v>20</v>
      </c>
      <c r="P1346">
        <f t="shared" ref="P1346:Q1409" si="84">IF(K1346=0,0,L1346/K1346)</f>
        <v>9.0627090809561467E-3</v>
      </c>
      <c r="Q1346">
        <f t="shared" si="84"/>
        <v>0.25543624161073825</v>
      </c>
      <c r="R1346">
        <f t="shared" ref="R1346:R1409" si="85">IF(N1346=0,0,M1346/N1346)</f>
        <v>9.5150000000000006</v>
      </c>
      <c r="S1346">
        <f t="shared" ref="S1346:S1409" si="86">IF(M1346=0,0,O1346/M1346)</f>
        <v>0.52548607461902253</v>
      </c>
      <c r="T1346">
        <f t="shared" ref="T1346:T1409" si="87">IF(L1346=0,0,N1346/L1346)</f>
        <v>2.6845637583892617E-2</v>
      </c>
      <c r="U1346" t="str">
        <f>YEAR('Campaign Data'!$A1346)&amp;"-"&amp;TEXT(MONTH('Campaign Data'!$A1346),"00")</f>
        <v>2026-03</v>
      </c>
    </row>
    <row r="1347" spans="1:21" x14ac:dyDescent="0.25">
      <c r="A1347">
        <v>46096</v>
      </c>
      <c r="B1347" t="s">
        <v>21</v>
      </c>
      <c r="C1347" t="s">
        <v>124</v>
      </c>
      <c r="D1347" t="s">
        <v>23</v>
      </c>
      <c r="E1347" t="s">
        <v>24</v>
      </c>
      <c r="F1347" t="s">
        <v>25</v>
      </c>
      <c r="G1347" t="s">
        <v>26</v>
      </c>
      <c r="H1347" t="s">
        <v>71</v>
      </c>
      <c r="I1347" t="s">
        <v>37</v>
      </c>
      <c r="J1347" t="s">
        <v>38</v>
      </c>
      <c r="K1347">
        <v>2934</v>
      </c>
      <c r="L1347">
        <v>16</v>
      </c>
      <c r="M1347">
        <v>8.67</v>
      </c>
      <c r="N1347">
        <v>0</v>
      </c>
      <c r="O1347">
        <v>0</v>
      </c>
      <c r="P1347">
        <f t="shared" si="84"/>
        <v>5.4533060668029995E-3</v>
      </c>
      <c r="Q1347">
        <f t="shared" si="84"/>
        <v>0.541875</v>
      </c>
      <c r="R1347">
        <f t="shared" si="85"/>
        <v>0</v>
      </c>
      <c r="S1347">
        <f t="shared" si="86"/>
        <v>0</v>
      </c>
      <c r="T1347">
        <f t="shared" si="87"/>
        <v>0</v>
      </c>
      <c r="U1347" t="str">
        <f>YEAR('Campaign Data'!$A1347)&amp;"-"&amp;TEXT(MONTH('Campaign Data'!$A1347),"00")</f>
        <v>2026-03</v>
      </c>
    </row>
    <row r="1348" spans="1:21" x14ac:dyDescent="0.25">
      <c r="A1348">
        <v>46096</v>
      </c>
      <c r="B1348" t="s">
        <v>167</v>
      </c>
      <c r="C1348" t="s">
        <v>168</v>
      </c>
      <c r="D1348" t="s">
        <v>58</v>
      </c>
      <c r="E1348" t="s">
        <v>33</v>
      </c>
      <c r="F1348" t="s">
        <v>75</v>
      </c>
      <c r="G1348" t="s">
        <v>35</v>
      </c>
      <c r="H1348" t="s">
        <v>27</v>
      </c>
      <c r="I1348" t="s">
        <v>37</v>
      </c>
      <c r="J1348" t="s">
        <v>38</v>
      </c>
      <c r="K1348">
        <v>2881</v>
      </c>
      <c r="L1348">
        <v>31</v>
      </c>
      <c r="M1348">
        <v>28.39</v>
      </c>
      <c r="N1348">
        <v>0</v>
      </c>
      <c r="O1348">
        <v>0</v>
      </c>
      <c r="P1348">
        <f t="shared" si="84"/>
        <v>1.0760152724748352E-2</v>
      </c>
      <c r="Q1348">
        <f t="shared" si="84"/>
        <v>0.91580645161290319</v>
      </c>
      <c r="R1348">
        <f t="shared" si="85"/>
        <v>0</v>
      </c>
      <c r="S1348">
        <f t="shared" si="86"/>
        <v>0</v>
      </c>
      <c r="T1348">
        <f t="shared" si="87"/>
        <v>0</v>
      </c>
      <c r="U1348" t="str">
        <f>YEAR('Campaign Data'!$A1348)&amp;"-"&amp;TEXT(MONTH('Campaign Data'!$A1348),"00")</f>
        <v>2026-03</v>
      </c>
    </row>
    <row r="1349" spans="1:21" x14ac:dyDescent="0.25">
      <c r="A1349">
        <v>46096</v>
      </c>
      <c r="B1349" t="s">
        <v>167</v>
      </c>
      <c r="C1349" t="s">
        <v>168</v>
      </c>
      <c r="D1349" t="s">
        <v>58</v>
      </c>
      <c r="E1349" t="s">
        <v>33</v>
      </c>
      <c r="F1349" t="s">
        <v>75</v>
      </c>
      <c r="G1349" t="s">
        <v>35</v>
      </c>
      <c r="H1349" t="s">
        <v>90</v>
      </c>
      <c r="I1349" t="s">
        <v>37</v>
      </c>
      <c r="J1349" t="s">
        <v>38</v>
      </c>
      <c r="K1349">
        <v>3283</v>
      </c>
      <c r="L1349">
        <v>31</v>
      </c>
      <c r="M1349">
        <v>4.53</v>
      </c>
      <c r="N1349">
        <v>0</v>
      </c>
      <c r="O1349">
        <v>0</v>
      </c>
      <c r="P1349">
        <f t="shared" si="84"/>
        <v>9.4425830033505933E-3</v>
      </c>
      <c r="Q1349">
        <f t="shared" si="84"/>
        <v>0.14612903225806453</v>
      </c>
      <c r="R1349">
        <f t="shared" si="85"/>
        <v>0</v>
      </c>
      <c r="S1349">
        <f t="shared" si="86"/>
        <v>0</v>
      </c>
      <c r="T1349">
        <f t="shared" si="87"/>
        <v>0</v>
      </c>
      <c r="U1349" t="str">
        <f>YEAR('Campaign Data'!$A1349)&amp;"-"&amp;TEXT(MONTH('Campaign Data'!$A1349),"00")</f>
        <v>2026-03</v>
      </c>
    </row>
    <row r="1350" spans="1:21" x14ac:dyDescent="0.25">
      <c r="A1350">
        <v>46096</v>
      </c>
      <c r="B1350" t="s">
        <v>167</v>
      </c>
      <c r="C1350" t="s">
        <v>168</v>
      </c>
      <c r="D1350" t="s">
        <v>58</v>
      </c>
      <c r="E1350" t="s">
        <v>33</v>
      </c>
      <c r="F1350" t="s">
        <v>75</v>
      </c>
      <c r="G1350" t="s">
        <v>35</v>
      </c>
      <c r="H1350" t="s">
        <v>27</v>
      </c>
      <c r="I1350" t="s">
        <v>37</v>
      </c>
      <c r="J1350" t="s">
        <v>29</v>
      </c>
      <c r="K1350">
        <v>6629</v>
      </c>
      <c r="L1350">
        <v>47</v>
      </c>
      <c r="M1350">
        <v>33.32</v>
      </c>
      <c r="N1350">
        <v>0</v>
      </c>
      <c r="O1350">
        <v>0</v>
      </c>
      <c r="P1350">
        <f t="shared" si="84"/>
        <v>7.0900588324030777E-3</v>
      </c>
      <c r="Q1350">
        <f t="shared" si="84"/>
        <v>0.708936170212766</v>
      </c>
      <c r="R1350">
        <f t="shared" si="85"/>
        <v>0</v>
      </c>
      <c r="S1350">
        <f t="shared" si="86"/>
        <v>0</v>
      </c>
      <c r="T1350">
        <f t="shared" si="87"/>
        <v>0</v>
      </c>
      <c r="U1350" t="str">
        <f>YEAR('Campaign Data'!$A1350)&amp;"-"&amp;TEXT(MONTH('Campaign Data'!$A1350),"00")</f>
        <v>2026-03</v>
      </c>
    </row>
    <row r="1351" spans="1:21" x14ac:dyDescent="0.25">
      <c r="A1351">
        <v>46096</v>
      </c>
      <c r="B1351" t="s">
        <v>147</v>
      </c>
      <c r="C1351" t="s">
        <v>148</v>
      </c>
      <c r="D1351" t="s">
        <v>23</v>
      </c>
      <c r="E1351" t="s">
        <v>42</v>
      </c>
      <c r="F1351" t="s">
        <v>75</v>
      </c>
      <c r="G1351" t="s">
        <v>44</v>
      </c>
      <c r="H1351" t="s">
        <v>55</v>
      </c>
      <c r="I1351" t="s">
        <v>37</v>
      </c>
      <c r="J1351" t="s">
        <v>62</v>
      </c>
      <c r="K1351">
        <v>8530</v>
      </c>
      <c r="L1351">
        <v>47</v>
      </c>
      <c r="M1351">
        <v>243.42</v>
      </c>
      <c r="N1351">
        <v>4</v>
      </c>
      <c r="O1351">
        <v>120.48</v>
      </c>
      <c r="P1351">
        <f t="shared" si="84"/>
        <v>5.5099648300117234E-3</v>
      </c>
      <c r="Q1351">
        <f t="shared" si="84"/>
        <v>5.1791489361702121</v>
      </c>
      <c r="R1351">
        <f t="shared" si="85"/>
        <v>60.854999999999997</v>
      </c>
      <c r="S1351">
        <f t="shared" si="86"/>
        <v>0.49494700517623863</v>
      </c>
      <c r="T1351">
        <f t="shared" si="87"/>
        <v>8.5106382978723402E-2</v>
      </c>
      <c r="U1351" t="str">
        <f>YEAR('Campaign Data'!$A1351)&amp;"-"&amp;TEXT(MONTH('Campaign Data'!$A1351),"00")</f>
        <v>2026-03</v>
      </c>
    </row>
    <row r="1352" spans="1:21" x14ac:dyDescent="0.25">
      <c r="A1352">
        <v>46096</v>
      </c>
      <c r="B1352" t="s">
        <v>138</v>
      </c>
      <c r="C1352" t="s">
        <v>139</v>
      </c>
      <c r="D1352" t="s">
        <v>58</v>
      </c>
      <c r="E1352" t="s">
        <v>74</v>
      </c>
      <c r="F1352" t="s">
        <v>34</v>
      </c>
      <c r="G1352" t="s">
        <v>9</v>
      </c>
      <c r="H1352" t="s">
        <v>36</v>
      </c>
      <c r="I1352" t="s">
        <v>28</v>
      </c>
      <c r="J1352" t="s">
        <v>45</v>
      </c>
      <c r="K1352">
        <v>10160</v>
      </c>
      <c r="L1352">
        <v>199</v>
      </c>
      <c r="M1352">
        <v>254.95</v>
      </c>
      <c r="N1352">
        <v>4</v>
      </c>
      <c r="O1352">
        <v>528.79999999999995</v>
      </c>
      <c r="P1352">
        <f t="shared" si="84"/>
        <v>1.9586614173228347E-2</v>
      </c>
      <c r="Q1352">
        <f t="shared" si="84"/>
        <v>1.2811557788944723</v>
      </c>
      <c r="R1352">
        <f t="shared" si="85"/>
        <v>63.737499999999997</v>
      </c>
      <c r="S1352">
        <f t="shared" si="86"/>
        <v>2.0741321827809371</v>
      </c>
      <c r="T1352">
        <f t="shared" si="87"/>
        <v>2.0100502512562814E-2</v>
      </c>
      <c r="U1352" t="str">
        <f>YEAR('Campaign Data'!$A1352)&amp;"-"&amp;TEXT(MONTH('Campaign Data'!$A1352),"00")</f>
        <v>2026-03</v>
      </c>
    </row>
    <row r="1353" spans="1:21" x14ac:dyDescent="0.25">
      <c r="A1353">
        <v>46096</v>
      </c>
      <c r="B1353" t="s">
        <v>149</v>
      </c>
      <c r="C1353" t="s">
        <v>150</v>
      </c>
      <c r="D1353" t="s">
        <v>65</v>
      </c>
      <c r="E1353" t="s">
        <v>33</v>
      </c>
      <c r="F1353" t="s">
        <v>43</v>
      </c>
      <c r="G1353" t="s">
        <v>59</v>
      </c>
      <c r="H1353" t="s">
        <v>36</v>
      </c>
      <c r="I1353" t="s">
        <v>37</v>
      </c>
      <c r="J1353" t="s">
        <v>45</v>
      </c>
      <c r="K1353">
        <v>5745</v>
      </c>
      <c r="L1353">
        <v>51</v>
      </c>
      <c r="M1353">
        <v>26.61</v>
      </c>
      <c r="N1353">
        <v>1</v>
      </c>
      <c r="O1353">
        <v>42.81</v>
      </c>
      <c r="P1353">
        <f t="shared" si="84"/>
        <v>8.8772845953002614E-3</v>
      </c>
      <c r="Q1353">
        <f t="shared" si="84"/>
        <v>0.52176470588235291</v>
      </c>
      <c r="R1353">
        <f t="shared" si="85"/>
        <v>26.61</v>
      </c>
      <c r="S1353">
        <f t="shared" si="86"/>
        <v>1.6087936865839911</v>
      </c>
      <c r="T1353">
        <f t="shared" si="87"/>
        <v>1.9607843137254902E-2</v>
      </c>
      <c r="U1353" t="str">
        <f>YEAR('Campaign Data'!$A1353)&amp;"-"&amp;TEXT(MONTH('Campaign Data'!$A1353),"00")</f>
        <v>2026-03</v>
      </c>
    </row>
    <row r="1354" spans="1:21" x14ac:dyDescent="0.25">
      <c r="A1354">
        <v>46096</v>
      </c>
      <c r="B1354" t="s">
        <v>30</v>
      </c>
      <c r="C1354" t="s">
        <v>31</v>
      </c>
      <c r="D1354" t="s">
        <v>32</v>
      </c>
      <c r="E1354" t="s">
        <v>33</v>
      </c>
      <c r="F1354" t="s">
        <v>34</v>
      </c>
      <c r="G1354" t="s">
        <v>35</v>
      </c>
      <c r="H1354" t="s">
        <v>51</v>
      </c>
      <c r="I1354" t="s">
        <v>61</v>
      </c>
      <c r="J1354" t="s">
        <v>62</v>
      </c>
      <c r="K1354">
        <v>11869</v>
      </c>
      <c r="L1354">
        <v>150</v>
      </c>
      <c r="M1354">
        <v>85.55</v>
      </c>
      <c r="N1354">
        <v>1</v>
      </c>
      <c r="O1354">
        <v>43.14</v>
      </c>
      <c r="P1354">
        <f t="shared" si="84"/>
        <v>1.2637964445193361E-2</v>
      </c>
      <c r="Q1354">
        <f t="shared" si="84"/>
        <v>0.57033333333333336</v>
      </c>
      <c r="R1354">
        <f t="shared" si="85"/>
        <v>85.55</v>
      </c>
      <c r="S1354">
        <f t="shared" si="86"/>
        <v>0.50426651081239049</v>
      </c>
      <c r="T1354">
        <f t="shared" si="87"/>
        <v>6.6666666666666671E-3</v>
      </c>
      <c r="U1354" t="str">
        <f>YEAR('Campaign Data'!$A1354)&amp;"-"&amp;TEXT(MONTH('Campaign Data'!$A1354),"00")</f>
        <v>2026-03</v>
      </c>
    </row>
    <row r="1355" spans="1:21" x14ac:dyDescent="0.25">
      <c r="A1355">
        <v>46096</v>
      </c>
      <c r="B1355" t="s">
        <v>151</v>
      </c>
      <c r="C1355" t="s">
        <v>152</v>
      </c>
      <c r="D1355" t="s">
        <v>48</v>
      </c>
      <c r="E1355" t="s">
        <v>24</v>
      </c>
      <c r="F1355" t="s">
        <v>81</v>
      </c>
      <c r="G1355" t="s">
        <v>129</v>
      </c>
      <c r="H1355" t="s">
        <v>55</v>
      </c>
      <c r="I1355" t="s">
        <v>37</v>
      </c>
      <c r="J1355" t="s">
        <v>62</v>
      </c>
      <c r="K1355">
        <v>6554</v>
      </c>
      <c r="L1355">
        <v>96</v>
      </c>
      <c r="M1355">
        <v>73.55</v>
      </c>
      <c r="N1355">
        <v>2</v>
      </c>
      <c r="O1355">
        <v>44.99</v>
      </c>
      <c r="P1355">
        <f t="shared" si="84"/>
        <v>1.4647543484894721E-2</v>
      </c>
      <c r="Q1355">
        <f t="shared" si="84"/>
        <v>0.7661458333333333</v>
      </c>
      <c r="R1355">
        <f t="shared" si="85"/>
        <v>36.774999999999999</v>
      </c>
      <c r="S1355">
        <f t="shared" si="86"/>
        <v>0.61169272603670977</v>
      </c>
      <c r="T1355">
        <f t="shared" si="87"/>
        <v>2.0833333333333332E-2</v>
      </c>
      <c r="U1355" t="str">
        <f>YEAR('Campaign Data'!$A1355)&amp;"-"&amp;TEXT(MONTH('Campaign Data'!$A1355),"00")</f>
        <v>2026-03</v>
      </c>
    </row>
    <row r="1356" spans="1:21" x14ac:dyDescent="0.25">
      <c r="A1356">
        <v>46096</v>
      </c>
      <c r="B1356" t="s">
        <v>151</v>
      </c>
      <c r="C1356" t="s">
        <v>152</v>
      </c>
      <c r="D1356" t="s">
        <v>48</v>
      </c>
      <c r="E1356" t="s">
        <v>24</v>
      </c>
      <c r="F1356" t="s">
        <v>81</v>
      </c>
      <c r="G1356" t="s">
        <v>129</v>
      </c>
      <c r="H1356" t="s">
        <v>60</v>
      </c>
      <c r="I1356" t="s">
        <v>28</v>
      </c>
      <c r="J1356" t="s">
        <v>87</v>
      </c>
      <c r="K1356">
        <v>10507</v>
      </c>
      <c r="L1356">
        <v>156</v>
      </c>
      <c r="M1356">
        <v>154.41999999999999</v>
      </c>
      <c r="N1356">
        <v>7</v>
      </c>
      <c r="O1356">
        <v>137.72999999999999</v>
      </c>
      <c r="P1356">
        <f t="shared" si="84"/>
        <v>1.4847244694013514E-2</v>
      </c>
      <c r="Q1356">
        <f t="shared" si="84"/>
        <v>0.98987179487179477</v>
      </c>
      <c r="R1356">
        <f t="shared" si="85"/>
        <v>22.06</v>
      </c>
      <c r="S1356">
        <f t="shared" si="86"/>
        <v>0.89191814531796398</v>
      </c>
      <c r="T1356">
        <f t="shared" si="87"/>
        <v>4.4871794871794872E-2</v>
      </c>
      <c r="U1356" t="str">
        <f>YEAR('Campaign Data'!$A1356)&amp;"-"&amp;TEXT(MONTH('Campaign Data'!$A1356),"00")</f>
        <v>2026-03</v>
      </c>
    </row>
    <row r="1357" spans="1:21" x14ac:dyDescent="0.25">
      <c r="A1357">
        <v>46096</v>
      </c>
      <c r="B1357" t="s">
        <v>46</v>
      </c>
      <c r="C1357" t="s">
        <v>47</v>
      </c>
      <c r="D1357" t="s">
        <v>48</v>
      </c>
      <c r="E1357" t="s">
        <v>49</v>
      </c>
      <c r="F1357" t="s">
        <v>43</v>
      </c>
      <c r="G1357" t="s">
        <v>50</v>
      </c>
      <c r="H1357" t="s">
        <v>27</v>
      </c>
      <c r="I1357" t="s">
        <v>28</v>
      </c>
      <c r="J1357" t="s">
        <v>38</v>
      </c>
      <c r="K1357">
        <v>14904</v>
      </c>
      <c r="L1357">
        <v>654</v>
      </c>
      <c r="M1357">
        <v>1869.52</v>
      </c>
      <c r="N1357">
        <v>30</v>
      </c>
      <c r="O1357">
        <v>824.21</v>
      </c>
      <c r="P1357">
        <f t="shared" si="84"/>
        <v>4.3880837359098229E-2</v>
      </c>
      <c r="Q1357">
        <f t="shared" si="84"/>
        <v>2.8585932721712539</v>
      </c>
      <c r="R1357">
        <f t="shared" si="85"/>
        <v>62.31733333333333</v>
      </c>
      <c r="S1357">
        <f t="shared" si="86"/>
        <v>0.440867174461894</v>
      </c>
      <c r="T1357">
        <f t="shared" si="87"/>
        <v>4.5871559633027525E-2</v>
      </c>
      <c r="U1357" t="str">
        <f>YEAR('Campaign Data'!$A1357)&amp;"-"&amp;TEXT(MONTH('Campaign Data'!$A1357),"00")</f>
        <v>2026-03</v>
      </c>
    </row>
    <row r="1358" spans="1:21" x14ac:dyDescent="0.25">
      <c r="A1358">
        <v>46096</v>
      </c>
      <c r="B1358" t="s">
        <v>46</v>
      </c>
      <c r="C1358" t="s">
        <v>47</v>
      </c>
      <c r="D1358" t="s">
        <v>48</v>
      </c>
      <c r="E1358" t="s">
        <v>49</v>
      </c>
      <c r="F1358" t="s">
        <v>43</v>
      </c>
      <c r="G1358" t="s">
        <v>50</v>
      </c>
      <c r="H1358" t="s">
        <v>90</v>
      </c>
      <c r="I1358" t="s">
        <v>37</v>
      </c>
      <c r="J1358" t="s">
        <v>29</v>
      </c>
      <c r="K1358">
        <v>3661</v>
      </c>
      <c r="L1358">
        <v>152</v>
      </c>
      <c r="M1358">
        <v>72.430000000000007</v>
      </c>
      <c r="N1358">
        <v>2</v>
      </c>
      <c r="O1358">
        <v>13.92</v>
      </c>
      <c r="P1358">
        <f t="shared" si="84"/>
        <v>4.1518710734771917E-2</v>
      </c>
      <c r="Q1358">
        <f t="shared" si="84"/>
        <v>0.47651315789473686</v>
      </c>
      <c r="R1358">
        <f t="shared" si="85"/>
        <v>36.215000000000003</v>
      </c>
      <c r="S1358">
        <f t="shared" si="86"/>
        <v>0.19218555847024713</v>
      </c>
      <c r="T1358">
        <f t="shared" si="87"/>
        <v>1.3157894736842105E-2</v>
      </c>
      <c r="U1358" t="str">
        <f>YEAR('Campaign Data'!$A1358)&amp;"-"&amp;TEXT(MONTH('Campaign Data'!$A1358),"00")</f>
        <v>2026-03</v>
      </c>
    </row>
    <row r="1359" spans="1:21" x14ac:dyDescent="0.25">
      <c r="A1359">
        <v>46096</v>
      </c>
      <c r="B1359" t="s">
        <v>98</v>
      </c>
      <c r="C1359" t="s">
        <v>99</v>
      </c>
      <c r="D1359" t="s">
        <v>69</v>
      </c>
      <c r="E1359" t="s">
        <v>24</v>
      </c>
      <c r="F1359" t="s">
        <v>75</v>
      </c>
      <c r="G1359" t="s">
        <v>66</v>
      </c>
      <c r="H1359" t="s">
        <v>27</v>
      </c>
      <c r="I1359" t="s">
        <v>37</v>
      </c>
      <c r="J1359" t="s">
        <v>87</v>
      </c>
      <c r="K1359">
        <v>6261</v>
      </c>
      <c r="L1359">
        <v>35</v>
      </c>
      <c r="M1359">
        <v>40.950000000000003</v>
      </c>
      <c r="N1359">
        <v>1</v>
      </c>
      <c r="O1359">
        <v>75.95</v>
      </c>
      <c r="P1359">
        <f t="shared" si="84"/>
        <v>5.5901613160836928E-3</v>
      </c>
      <c r="Q1359">
        <f t="shared" si="84"/>
        <v>1.1700000000000002</v>
      </c>
      <c r="R1359">
        <f t="shared" si="85"/>
        <v>40.950000000000003</v>
      </c>
      <c r="S1359">
        <f t="shared" si="86"/>
        <v>1.8547008547008546</v>
      </c>
      <c r="T1359">
        <f t="shared" si="87"/>
        <v>2.8571428571428571E-2</v>
      </c>
      <c r="U1359" t="str">
        <f>YEAR('Campaign Data'!$A1359)&amp;"-"&amp;TEXT(MONTH('Campaign Data'!$A1359),"00")</f>
        <v>2026-03</v>
      </c>
    </row>
    <row r="1360" spans="1:21" x14ac:dyDescent="0.25">
      <c r="A1360">
        <v>46096</v>
      </c>
      <c r="B1360" t="s">
        <v>103</v>
      </c>
      <c r="C1360" t="s">
        <v>104</v>
      </c>
      <c r="D1360" t="s">
        <v>65</v>
      </c>
      <c r="E1360" t="s">
        <v>33</v>
      </c>
      <c r="F1360" t="s">
        <v>43</v>
      </c>
      <c r="G1360" t="s">
        <v>102</v>
      </c>
      <c r="H1360" t="s">
        <v>36</v>
      </c>
      <c r="I1360" t="s">
        <v>37</v>
      </c>
      <c r="J1360" t="s">
        <v>87</v>
      </c>
      <c r="K1360">
        <v>8090</v>
      </c>
      <c r="L1360">
        <v>62</v>
      </c>
      <c r="M1360">
        <v>23.15</v>
      </c>
      <c r="N1360">
        <v>1</v>
      </c>
      <c r="O1360">
        <v>16.23</v>
      </c>
      <c r="P1360">
        <f t="shared" si="84"/>
        <v>7.663782447466007E-3</v>
      </c>
      <c r="Q1360">
        <f t="shared" si="84"/>
        <v>0.37338709677419352</v>
      </c>
      <c r="R1360">
        <f t="shared" si="85"/>
        <v>23.15</v>
      </c>
      <c r="S1360">
        <f t="shared" si="86"/>
        <v>0.70107991360691146</v>
      </c>
      <c r="T1360">
        <f t="shared" si="87"/>
        <v>1.6129032258064516E-2</v>
      </c>
      <c r="U1360" t="str">
        <f>YEAR('Campaign Data'!$A1360)&amp;"-"&amp;TEXT(MONTH('Campaign Data'!$A1360),"00")</f>
        <v>2026-03</v>
      </c>
    </row>
    <row r="1361" spans="1:21" x14ac:dyDescent="0.25">
      <c r="A1361">
        <v>46096</v>
      </c>
      <c r="B1361" t="s">
        <v>105</v>
      </c>
      <c r="C1361" t="s">
        <v>106</v>
      </c>
      <c r="D1361" t="s">
        <v>58</v>
      </c>
      <c r="E1361" t="s">
        <v>49</v>
      </c>
      <c r="F1361" t="s">
        <v>81</v>
      </c>
      <c r="G1361" t="s">
        <v>107</v>
      </c>
      <c r="H1361" t="s">
        <v>27</v>
      </c>
      <c r="I1361" t="s">
        <v>37</v>
      </c>
      <c r="J1361" t="s">
        <v>87</v>
      </c>
      <c r="K1361">
        <v>8574</v>
      </c>
      <c r="L1361">
        <v>523</v>
      </c>
      <c r="M1361">
        <v>1006.63</v>
      </c>
      <c r="N1361">
        <v>16</v>
      </c>
      <c r="O1361">
        <v>372.8</v>
      </c>
      <c r="P1361">
        <f t="shared" si="84"/>
        <v>6.0998367156519712E-2</v>
      </c>
      <c r="Q1361">
        <f t="shared" si="84"/>
        <v>1.9247227533460802</v>
      </c>
      <c r="R1361">
        <f t="shared" si="85"/>
        <v>62.914375</v>
      </c>
      <c r="S1361">
        <f t="shared" si="86"/>
        <v>0.37034461520121598</v>
      </c>
      <c r="T1361">
        <f t="shared" si="87"/>
        <v>3.0592734225621414E-2</v>
      </c>
      <c r="U1361" t="str">
        <f>YEAR('Campaign Data'!$A1361)&amp;"-"&amp;TEXT(MONTH('Campaign Data'!$A1361),"00")</f>
        <v>2026-03</v>
      </c>
    </row>
    <row r="1362" spans="1:21" x14ac:dyDescent="0.25">
      <c r="A1362">
        <v>46096</v>
      </c>
      <c r="B1362" t="s">
        <v>108</v>
      </c>
      <c r="C1362" t="s">
        <v>109</v>
      </c>
      <c r="D1362" t="s">
        <v>58</v>
      </c>
      <c r="E1362" t="s">
        <v>33</v>
      </c>
      <c r="F1362" t="s">
        <v>43</v>
      </c>
      <c r="G1362" t="s">
        <v>59</v>
      </c>
      <c r="H1362" t="s">
        <v>60</v>
      </c>
      <c r="I1362" t="s">
        <v>28</v>
      </c>
      <c r="J1362" t="s">
        <v>29</v>
      </c>
      <c r="K1362">
        <v>7554</v>
      </c>
      <c r="L1362">
        <v>57</v>
      </c>
      <c r="M1362">
        <v>42.86</v>
      </c>
      <c r="N1362">
        <v>1</v>
      </c>
      <c r="O1362">
        <v>22.49</v>
      </c>
      <c r="P1362">
        <f t="shared" si="84"/>
        <v>7.5456711675933284E-3</v>
      </c>
      <c r="Q1362">
        <f t="shared" si="84"/>
        <v>0.75192982456140345</v>
      </c>
      <c r="R1362">
        <f t="shared" si="85"/>
        <v>42.86</v>
      </c>
      <c r="S1362">
        <f t="shared" si="86"/>
        <v>0.52473168455436303</v>
      </c>
      <c r="T1362">
        <f t="shared" si="87"/>
        <v>1.7543859649122806E-2</v>
      </c>
      <c r="U1362" t="str">
        <f>YEAR('Campaign Data'!$A1362)&amp;"-"&amp;TEXT(MONTH('Campaign Data'!$A1362),"00")</f>
        <v>2026-03</v>
      </c>
    </row>
    <row r="1363" spans="1:21" x14ac:dyDescent="0.25">
      <c r="A1363">
        <v>46096</v>
      </c>
      <c r="B1363" t="s">
        <v>177</v>
      </c>
      <c r="C1363" t="s">
        <v>178</v>
      </c>
      <c r="D1363" t="s">
        <v>41</v>
      </c>
      <c r="E1363" t="s">
        <v>49</v>
      </c>
      <c r="F1363" t="s">
        <v>34</v>
      </c>
      <c r="G1363" t="s">
        <v>107</v>
      </c>
      <c r="H1363" t="s">
        <v>36</v>
      </c>
      <c r="I1363" t="s">
        <v>37</v>
      </c>
      <c r="J1363" t="s">
        <v>29</v>
      </c>
      <c r="K1363">
        <v>9827</v>
      </c>
      <c r="L1363">
        <v>269</v>
      </c>
      <c r="M1363">
        <v>448.62</v>
      </c>
      <c r="N1363">
        <v>6</v>
      </c>
      <c r="O1363">
        <v>853.07</v>
      </c>
      <c r="P1363">
        <f t="shared" si="84"/>
        <v>2.7373562633560597E-2</v>
      </c>
      <c r="Q1363">
        <f t="shared" si="84"/>
        <v>1.667732342007435</v>
      </c>
      <c r="R1363">
        <f t="shared" si="85"/>
        <v>74.77</v>
      </c>
      <c r="S1363">
        <f t="shared" si="86"/>
        <v>1.9015425081360617</v>
      </c>
      <c r="T1363">
        <f t="shared" si="87"/>
        <v>2.2304832713754646E-2</v>
      </c>
      <c r="U1363" t="str">
        <f>YEAR('Campaign Data'!$A1363)&amp;"-"&amp;TEXT(MONTH('Campaign Data'!$A1363),"00")</f>
        <v>2026-03</v>
      </c>
    </row>
    <row r="1364" spans="1:21" x14ac:dyDescent="0.25">
      <c r="A1364">
        <v>46096</v>
      </c>
      <c r="B1364" t="s">
        <v>153</v>
      </c>
      <c r="C1364" t="s">
        <v>154</v>
      </c>
      <c r="D1364" t="s">
        <v>48</v>
      </c>
      <c r="E1364" t="s">
        <v>33</v>
      </c>
      <c r="F1364" t="s">
        <v>43</v>
      </c>
      <c r="G1364" t="s">
        <v>59</v>
      </c>
      <c r="H1364" t="s">
        <v>36</v>
      </c>
      <c r="I1364" t="s">
        <v>37</v>
      </c>
      <c r="J1364" t="s">
        <v>38</v>
      </c>
      <c r="K1364">
        <v>5936</v>
      </c>
      <c r="L1364">
        <v>92</v>
      </c>
      <c r="M1364">
        <v>42.19</v>
      </c>
      <c r="N1364">
        <v>2</v>
      </c>
      <c r="O1364">
        <v>43.55</v>
      </c>
      <c r="P1364">
        <f t="shared" si="84"/>
        <v>1.5498652291105121E-2</v>
      </c>
      <c r="Q1364">
        <f t="shared" si="84"/>
        <v>0.45858695652173909</v>
      </c>
      <c r="R1364">
        <f t="shared" si="85"/>
        <v>21.094999999999999</v>
      </c>
      <c r="S1364">
        <f t="shared" si="86"/>
        <v>1.0322351268073002</v>
      </c>
      <c r="T1364">
        <f t="shared" si="87"/>
        <v>2.1739130434782608E-2</v>
      </c>
      <c r="U1364" t="str">
        <f>YEAR('Campaign Data'!$A1364)&amp;"-"&amp;TEXT(MONTH('Campaign Data'!$A1364),"00")</f>
        <v>2026-03</v>
      </c>
    </row>
    <row r="1365" spans="1:21" x14ac:dyDescent="0.25">
      <c r="A1365">
        <v>46096</v>
      </c>
      <c r="B1365" t="s">
        <v>153</v>
      </c>
      <c r="C1365" t="s">
        <v>154</v>
      </c>
      <c r="D1365" t="s">
        <v>48</v>
      </c>
      <c r="E1365" t="s">
        <v>33</v>
      </c>
      <c r="F1365" t="s">
        <v>43</v>
      </c>
      <c r="G1365" t="s">
        <v>59</v>
      </c>
      <c r="H1365" t="s">
        <v>55</v>
      </c>
      <c r="I1365" t="s">
        <v>37</v>
      </c>
      <c r="J1365" t="s">
        <v>87</v>
      </c>
      <c r="K1365">
        <v>12044</v>
      </c>
      <c r="L1365">
        <v>147</v>
      </c>
      <c r="M1365">
        <v>94.83</v>
      </c>
      <c r="N1365">
        <v>2</v>
      </c>
      <c r="O1365">
        <v>22.58</v>
      </c>
      <c r="P1365">
        <f t="shared" si="84"/>
        <v>1.2205247426104284E-2</v>
      </c>
      <c r="Q1365">
        <f t="shared" si="84"/>
        <v>0.64510204081632649</v>
      </c>
      <c r="R1365">
        <f t="shared" si="85"/>
        <v>47.414999999999999</v>
      </c>
      <c r="S1365">
        <f t="shared" si="86"/>
        <v>0.23811030264684171</v>
      </c>
      <c r="T1365">
        <f t="shared" si="87"/>
        <v>1.3605442176870748E-2</v>
      </c>
      <c r="U1365" t="str">
        <f>YEAR('Campaign Data'!$A1365)&amp;"-"&amp;TEXT(MONTH('Campaign Data'!$A1365),"00")</f>
        <v>2026-03</v>
      </c>
    </row>
    <row r="1366" spans="1:21" x14ac:dyDescent="0.25">
      <c r="A1366">
        <v>46096</v>
      </c>
      <c r="B1366" t="s">
        <v>179</v>
      </c>
      <c r="C1366" t="s">
        <v>180</v>
      </c>
      <c r="D1366" t="s">
        <v>58</v>
      </c>
      <c r="E1366" t="s">
        <v>42</v>
      </c>
      <c r="F1366" t="s">
        <v>25</v>
      </c>
      <c r="G1366" t="s">
        <v>54</v>
      </c>
      <c r="H1366" t="s">
        <v>90</v>
      </c>
      <c r="I1366" t="s">
        <v>28</v>
      </c>
      <c r="J1366" t="s">
        <v>87</v>
      </c>
      <c r="K1366">
        <v>4488</v>
      </c>
      <c r="L1366">
        <v>16</v>
      </c>
      <c r="M1366">
        <v>33.36</v>
      </c>
      <c r="N1366">
        <v>1</v>
      </c>
      <c r="O1366">
        <v>34.47</v>
      </c>
      <c r="P1366">
        <f t="shared" si="84"/>
        <v>3.5650623885918001E-3</v>
      </c>
      <c r="Q1366">
        <f t="shared" si="84"/>
        <v>2.085</v>
      </c>
      <c r="R1366">
        <f t="shared" si="85"/>
        <v>33.36</v>
      </c>
      <c r="S1366">
        <f t="shared" si="86"/>
        <v>1.0332733812949639</v>
      </c>
      <c r="T1366">
        <f t="shared" si="87"/>
        <v>6.25E-2</v>
      </c>
      <c r="U1366" t="str">
        <f>YEAR('Campaign Data'!$A1366)&amp;"-"&amp;TEXT(MONTH('Campaign Data'!$A1366),"00")</f>
        <v>2026-03</v>
      </c>
    </row>
    <row r="1367" spans="1:21" x14ac:dyDescent="0.25">
      <c r="A1367">
        <v>46096</v>
      </c>
      <c r="B1367" t="s">
        <v>155</v>
      </c>
      <c r="C1367" t="s">
        <v>156</v>
      </c>
      <c r="D1367" t="s">
        <v>32</v>
      </c>
      <c r="E1367" t="s">
        <v>24</v>
      </c>
      <c r="F1367" t="s">
        <v>34</v>
      </c>
      <c r="G1367" t="s">
        <v>129</v>
      </c>
      <c r="H1367" t="s">
        <v>90</v>
      </c>
      <c r="I1367" t="s">
        <v>28</v>
      </c>
      <c r="J1367" t="s">
        <v>62</v>
      </c>
      <c r="K1367">
        <v>7143</v>
      </c>
      <c r="L1367">
        <v>106</v>
      </c>
      <c r="M1367">
        <v>24.57</v>
      </c>
      <c r="N1367">
        <v>2</v>
      </c>
      <c r="O1367">
        <v>87.6</v>
      </c>
      <c r="P1367">
        <f t="shared" si="84"/>
        <v>1.483970320593588E-2</v>
      </c>
      <c r="Q1367">
        <f t="shared" si="84"/>
        <v>0.23179245283018868</v>
      </c>
      <c r="R1367">
        <f t="shared" si="85"/>
        <v>12.285</v>
      </c>
      <c r="S1367">
        <f t="shared" si="86"/>
        <v>3.5653235653235651</v>
      </c>
      <c r="T1367">
        <f t="shared" si="87"/>
        <v>1.8867924528301886E-2</v>
      </c>
      <c r="U1367" t="str">
        <f>YEAR('Campaign Data'!$A1367)&amp;"-"&amp;TEXT(MONTH('Campaign Data'!$A1367),"00")</f>
        <v>2026-03</v>
      </c>
    </row>
    <row r="1368" spans="1:21" x14ac:dyDescent="0.25">
      <c r="A1368">
        <v>46096</v>
      </c>
      <c r="B1368" t="s">
        <v>181</v>
      </c>
      <c r="C1368" t="s">
        <v>182</v>
      </c>
      <c r="D1368" t="s">
        <v>32</v>
      </c>
      <c r="E1368" t="s">
        <v>33</v>
      </c>
      <c r="F1368" t="s">
        <v>75</v>
      </c>
      <c r="G1368" t="s">
        <v>59</v>
      </c>
      <c r="H1368" t="s">
        <v>71</v>
      </c>
      <c r="I1368" t="s">
        <v>28</v>
      </c>
      <c r="J1368" t="s">
        <v>29</v>
      </c>
      <c r="K1368">
        <v>4662</v>
      </c>
      <c r="L1368">
        <v>50</v>
      </c>
      <c r="M1368">
        <v>24.89</v>
      </c>
      <c r="N1368">
        <v>0</v>
      </c>
      <c r="O1368">
        <v>0</v>
      </c>
      <c r="P1368">
        <f t="shared" si="84"/>
        <v>1.0725010725010725E-2</v>
      </c>
      <c r="Q1368">
        <f t="shared" si="84"/>
        <v>0.49780000000000002</v>
      </c>
      <c r="R1368">
        <f t="shared" si="85"/>
        <v>0</v>
      </c>
      <c r="S1368">
        <f t="shared" si="86"/>
        <v>0</v>
      </c>
      <c r="T1368">
        <f t="shared" si="87"/>
        <v>0</v>
      </c>
      <c r="U1368" t="str">
        <f>YEAR('Campaign Data'!$A1368)&amp;"-"&amp;TEXT(MONTH('Campaign Data'!$A1368),"00")</f>
        <v>2026-03</v>
      </c>
    </row>
    <row r="1369" spans="1:21" x14ac:dyDescent="0.25">
      <c r="A1369">
        <v>46096</v>
      </c>
      <c r="B1369" t="s">
        <v>141</v>
      </c>
      <c r="C1369" t="s">
        <v>142</v>
      </c>
      <c r="D1369" t="s">
        <v>80</v>
      </c>
      <c r="E1369" t="s">
        <v>49</v>
      </c>
      <c r="F1369" t="s">
        <v>81</v>
      </c>
      <c r="G1369" t="s">
        <v>97</v>
      </c>
      <c r="H1369" t="s">
        <v>27</v>
      </c>
      <c r="I1369" t="s">
        <v>37</v>
      </c>
      <c r="J1369" t="s">
        <v>87</v>
      </c>
      <c r="K1369">
        <v>6974</v>
      </c>
      <c r="L1369">
        <v>204</v>
      </c>
      <c r="M1369">
        <v>506.37</v>
      </c>
      <c r="N1369">
        <v>4</v>
      </c>
      <c r="O1369">
        <v>122.71</v>
      </c>
      <c r="P1369">
        <f t="shared" si="84"/>
        <v>2.9251505592199599E-2</v>
      </c>
      <c r="Q1369">
        <f t="shared" si="84"/>
        <v>2.4822058823529414</v>
      </c>
      <c r="R1369">
        <f t="shared" si="85"/>
        <v>126.5925</v>
      </c>
      <c r="S1369">
        <f t="shared" si="86"/>
        <v>0.24233268163595789</v>
      </c>
      <c r="T1369">
        <f t="shared" si="87"/>
        <v>1.9607843137254902E-2</v>
      </c>
      <c r="U1369" t="str">
        <f>YEAR('Campaign Data'!$A1369)&amp;"-"&amp;TEXT(MONTH('Campaign Data'!$A1369),"00")</f>
        <v>2026-03</v>
      </c>
    </row>
    <row r="1370" spans="1:21" x14ac:dyDescent="0.25">
      <c r="A1370">
        <v>46096</v>
      </c>
      <c r="B1370" t="s">
        <v>141</v>
      </c>
      <c r="C1370" t="s">
        <v>142</v>
      </c>
      <c r="D1370" t="s">
        <v>80</v>
      </c>
      <c r="E1370" t="s">
        <v>49</v>
      </c>
      <c r="F1370" t="s">
        <v>81</v>
      </c>
      <c r="G1370" t="s">
        <v>97</v>
      </c>
      <c r="H1370" t="s">
        <v>90</v>
      </c>
      <c r="I1370" t="s">
        <v>37</v>
      </c>
      <c r="J1370" t="s">
        <v>62</v>
      </c>
      <c r="K1370">
        <v>4722</v>
      </c>
      <c r="L1370">
        <v>345</v>
      </c>
      <c r="M1370">
        <v>140.75</v>
      </c>
      <c r="N1370">
        <v>25</v>
      </c>
      <c r="O1370">
        <v>173.42</v>
      </c>
      <c r="P1370">
        <f t="shared" si="84"/>
        <v>7.3062261753494284E-2</v>
      </c>
      <c r="Q1370">
        <f t="shared" si="84"/>
        <v>0.40797101449275364</v>
      </c>
      <c r="R1370">
        <f t="shared" si="85"/>
        <v>5.63</v>
      </c>
      <c r="S1370">
        <f t="shared" si="86"/>
        <v>1.2321136767317939</v>
      </c>
      <c r="T1370">
        <f t="shared" si="87"/>
        <v>7.2463768115942032E-2</v>
      </c>
      <c r="U1370" t="str">
        <f>YEAR('Campaign Data'!$A1370)&amp;"-"&amp;TEXT(MONTH('Campaign Data'!$A1370),"00")</f>
        <v>2026-03</v>
      </c>
    </row>
    <row r="1371" spans="1:21" x14ac:dyDescent="0.25">
      <c r="A1371">
        <v>46096</v>
      </c>
      <c r="B1371" t="s">
        <v>63</v>
      </c>
      <c r="C1371" t="s">
        <v>64</v>
      </c>
      <c r="D1371" t="s">
        <v>65</v>
      </c>
      <c r="E1371" t="s">
        <v>24</v>
      </c>
      <c r="F1371" t="s">
        <v>43</v>
      </c>
      <c r="G1371" t="s">
        <v>66</v>
      </c>
      <c r="H1371" t="s">
        <v>27</v>
      </c>
      <c r="I1371" t="s">
        <v>37</v>
      </c>
      <c r="J1371" t="s">
        <v>45</v>
      </c>
      <c r="K1371">
        <v>2650</v>
      </c>
      <c r="L1371">
        <v>18</v>
      </c>
      <c r="M1371">
        <v>21.51</v>
      </c>
      <c r="N1371">
        <v>1</v>
      </c>
      <c r="O1371">
        <v>15.11</v>
      </c>
      <c r="P1371">
        <f t="shared" si="84"/>
        <v>6.7924528301886791E-3</v>
      </c>
      <c r="Q1371">
        <f t="shared" si="84"/>
        <v>1.1950000000000001</v>
      </c>
      <c r="R1371">
        <f t="shared" si="85"/>
        <v>21.51</v>
      </c>
      <c r="S1371">
        <f t="shared" si="86"/>
        <v>0.70246397024639695</v>
      </c>
      <c r="T1371">
        <f t="shared" si="87"/>
        <v>5.5555555555555552E-2</v>
      </c>
      <c r="U1371" t="str">
        <f>YEAR('Campaign Data'!$A1371)&amp;"-"&amp;TEXT(MONTH('Campaign Data'!$A1371),"00")</f>
        <v>2026-03</v>
      </c>
    </row>
    <row r="1372" spans="1:21" x14ac:dyDescent="0.25">
      <c r="A1372">
        <v>46096</v>
      </c>
      <c r="B1372" t="s">
        <v>183</v>
      </c>
      <c r="C1372" t="s">
        <v>184</v>
      </c>
      <c r="D1372" t="s">
        <v>23</v>
      </c>
      <c r="E1372" t="s">
        <v>24</v>
      </c>
      <c r="F1372" t="s">
        <v>81</v>
      </c>
      <c r="G1372" t="s">
        <v>185</v>
      </c>
      <c r="H1372" t="s">
        <v>60</v>
      </c>
      <c r="I1372" t="s">
        <v>28</v>
      </c>
      <c r="J1372" t="s">
        <v>87</v>
      </c>
      <c r="K1372">
        <v>12730</v>
      </c>
      <c r="L1372">
        <v>186</v>
      </c>
      <c r="M1372">
        <v>170.69</v>
      </c>
      <c r="N1372">
        <v>3</v>
      </c>
      <c r="O1372">
        <v>56.73</v>
      </c>
      <c r="P1372">
        <f t="shared" si="84"/>
        <v>1.4611154752553025E-2</v>
      </c>
      <c r="Q1372">
        <f t="shared" si="84"/>
        <v>0.91768817204301079</v>
      </c>
      <c r="R1372">
        <f t="shared" si="85"/>
        <v>56.896666666666668</v>
      </c>
      <c r="S1372">
        <f t="shared" si="86"/>
        <v>0.33235690432948617</v>
      </c>
      <c r="T1372">
        <f t="shared" si="87"/>
        <v>1.6129032258064516E-2</v>
      </c>
      <c r="U1372" t="str">
        <f>YEAR('Campaign Data'!$A1372)&amp;"-"&amp;TEXT(MONTH('Campaign Data'!$A1372),"00")</f>
        <v>2026-03</v>
      </c>
    </row>
    <row r="1373" spans="1:21" x14ac:dyDescent="0.25">
      <c r="A1373">
        <v>46096</v>
      </c>
      <c r="B1373" t="s">
        <v>183</v>
      </c>
      <c r="C1373" t="s">
        <v>184</v>
      </c>
      <c r="D1373" t="s">
        <v>23</v>
      </c>
      <c r="E1373" t="s">
        <v>24</v>
      </c>
      <c r="F1373" t="s">
        <v>81</v>
      </c>
      <c r="G1373" t="s">
        <v>185</v>
      </c>
      <c r="H1373" t="s">
        <v>71</v>
      </c>
      <c r="I1373" t="s">
        <v>28</v>
      </c>
      <c r="J1373" t="s">
        <v>62</v>
      </c>
      <c r="K1373">
        <v>9498</v>
      </c>
      <c r="L1373">
        <v>187</v>
      </c>
      <c r="M1373">
        <v>131.63999999999999</v>
      </c>
      <c r="N1373">
        <v>8</v>
      </c>
      <c r="O1373">
        <v>187.89</v>
      </c>
      <c r="P1373">
        <f t="shared" si="84"/>
        <v>1.9688355443251211E-2</v>
      </c>
      <c r="Q1373">
        <f t="shared" si="84"/>
        <v>0.70395721925133681</v>
      </c>
      <c r="R1373">
        <f t="shared" si="85"/>
        <v>16.454999999999998</v>
      </c>
      <c r="S1373">
        <f t="shared" si="86"/>
        <v>1.4273017319963537</v>
      </c>
      <c r="T1373">
        <f t="shared" si="87"/>
        <v>4.2780748663101602E-2</v>
      </c>
      <c r="U1373" t="str">
        <f>YEAR('Campaign Data'!$A1373)&amp;"-"&amp;TEXT(MONTH('Campaign Data'!$A1373),"00")</f>
        <v>2026-03</v>
      </c>
    </row>
    <row r="1374" spans="1:21" x14ac:dyDescent="0.25">
      <c r="A1374">
        <v>46096</v>
      </c>
      <c r="B1374" t="s">
        <v>67</v>
      </c>
      <c r="C1374" t="s">
        <v>68</v>
      </c>
      <c r="D1374" t="s">
        <v>69</v>
      </c>
      <c r="E1374" t="s">
        <v>49</v>
      </c>
      <c r="F1374" t="s">
        <v>34</v>
      </c>
      <c r="G1374" t="s">
        <v>70</v>
      </c>
      <c r="H1374" t="s">
        <v>60</v>
      </c>
      <c r="I1374" t="s">
        <v>28</v>
      </c>
      <c r="J1374" t="s">
        <v>38</v>
      </c>
      <c r="K1374">
        <v>13816</v>
      </c>
      <c r="L1374">
        <v>458</v>
      </c>
      <c r="M1374">
        <v>1085.5999999999999</v>
      </c>
      <c r="N1374">
        <v>34</v>
      </c>
      <c r="O1374">
        <v>4603.2700000000004</v>
      </c>
      <c r="P1374">
        <f t="shared" si="84"/>
        <v>3.3149971048060223E-2</v>
      </c>
      <c r="Q1374">
        <f t="shared" si="84"/>
        <v>2.370305676855895</v>
      </c>
      <c r="R1374">
        <f t="shared" si="85"/>
        <v>31.929411764705879</v>
      </c>
      <c r="S1374">
        <f t="shared" si="86"/>
        <v>4.240300294767871</v>
      </c>
      <c r="T1374">
        <f t="shared" si="87"/>
        <v>7.4235807860262015E-2</v>
      </c>
      <c r="U1374" t="str">
        <f>YEAR('Campaign Data'!$A1374)&amp;"-"&amp;TEXT(MONTH('Campaign Data'!$A1374),"00")</f>
        <v>2026-03</v>
      </c>
    </row>
    <row r="1375" spans="1:21" x14ac:dyDescent="0.25">
      <c r="A1375">
        <v>46096</v>
      </c>
      <c r="B1375" t="s">
        <v>72</v>
      </c>
      <c r="C1375" t="s">
        <v>73</v>
      </c>
      <c r="D1375" t="s">
        <v>69</v>
      </c>
      <c r="E1375" t="s">
        <v>74</v>
      </c>
      <c r="F1375" t="s">
        <v>75</v>
      </c>
      <c r="G1375" t="s">
        <v>9</v>
      </c>
      <c r="H1375" t="s">
        <v>90</v>
      </c>
      <c r="I1375" t="s">
        <v>37</v>
      </c>
      <c r="J1375" t="s">
        <v>45</v>
      </c>
      <c r="K1375">
        <v>5345</v>
      </c>
      <c r="L1375">
        <v>91</v>
      </c>
      <c r="M1375">
        <v>23.04</v>
      </c>
      <c r="N1375">
        <v>3</v>
      </c>
      <c r="O1375">
        <v>32.78</v>
      </c>
      <c r="P1375">
        <f t="shared" si="84"/>
        <v>1.7025257249766137E-2</v>
      </c>
      <c r="Q1375">
        <f t="shared" si="84"/>
        <v>0.25318681318681319</v>
      </c>
      <c r="R1375">
        <f t="shared" si="85"/>
        <v>7.68</v>
      </c>
      <c r="S1375">
        <f t="shared" si="86"/>
        <v>1.4227430555555556</v>
      </c>
      <c r="T1375">
        <f t="shared" si="87"/>
        <v>3.2967032967032968E-2</v>
      </c>
      <c r="U1375" t="str">
        <f>YEAR('Campaign Data'!$A1375)&amp;"-"&amp;TEXT(MONTH('Campaign Data'!$A1375),"00")</f>
        <v>2026-03</v>
      </c>
    </row>
    <row r="1376" spans="1:21" x14ac:dyDescent="0.25">
      <c r="A1376">
        <v>46096</v>
      </c>
      <c r="B1376" t="s">
        <v>163</v>
      </c>
      <c r="C1376" t="s">
        <v>164</v>
      </c>
      <c r="D1376" t="s">
        <v>58</v>
      </c>
      <c r="E1376" t="s">
        <v>42</v>
      </c>
      <c r="F1376" t="s">
        <v>43</v>
      </c>
      <c r="G1376" t="s">
        <v>44</v>
      </c>
      <c r="H1376" t="s">
        <v>36</v>
      </c>
      <c r="I1376" t="s">
        <v>37</v>
      </c>
      <c r="J1376" t="s">
        <v>45</v>
      </c>
      <c r="K1376">
        <v>15183</v>
      </c>
      <c r="L1376">
        <v>66</v>
      </c>
      <c r="M1376">
        <v>244.91</v>
      </c>
      <c r="N1376">
        <v>3</v>
      </c>
      <c r="O1376">
        <v>81.239999999999995</v>
      </c>
      <c r="P1376">
        <f t="shared" si="84"/>
        <v>4.3469670025686625E-3</v>
      </c>
      <c r="Q1376">
        <f t="shared" si="84"/>
        <v>3.7107575757575759</v>
      </c>
      <c r="R1376">
        <f t="shared" si="85"/>
        <v>81.63666666666667</v>
      </c>
      <c r="S1376">
        <f t="shared" si="86"/>
        <v>0.3317136907435384</v>
      </c>
      <c r="T1376">
        <f t="shared" si="87"/>
        <v>4.5454545454545456E-2</v>
      </c>
      <c r="U1376" t="str">
        <f>YEAR('Campaign Data'!$A1376)&amp;"-"&amp;TEXT(MONTH('Campaign Data'!$A1376),"00")</f>
        <v>2026-03</v>
      </c>
    </row>
    <row r="1377" spans="1:21" x14ac:dyDescent="0.25">
      <c r="A1377">
        <v>46096</v>
      </c>
      <c r="B1377" t="s">
        <v>122</v>
      </c>
      <c r="C1377" t="s">
        <v>123</v>
      </c>
      <c r="D1377" t="s">
        <v>41</v>
      </c>
      <c r="E1377" t="s">
        <v>33</v>
      </c>
      <c r="F1377" t="s">
        <v>75</v>
      </c>
      <c r="G1377" t="s">
        <v>35</v>
      </c>
      <c r="H1377" t="s">
        <v>90</v>
      </c>
      <c r="I1377" t="s">
        <v>37</v>
      </c>
      <c r="J1377" t="s">
        <v>87</v>
      </c>
      <c r="K1377">
        <v>18486</v>
      </c>
      <c r="L1377">
        <v>122</v>
      </c>
      <c r="M1377">
        <v>22.46</v>
      </c>
      <c r="N1377">
        <v>2</v>
      </c>
      <c r="O1377">
        <v>15.01</v>
      </c>
      <c r="P1377">
        <f t="shared" si="84"/>
        <v>6.5995888780698911E-3</v>
      </c>
      <c r="Q1377">
        <f t="shared" si="84"/>
        <v>0.1840983606557377</v>
      </c>
      <c r="R1377">
        <f t="shared" si="85"/>
        <v>11.23</v>
      </c>
      <c r="S1377">
        <f t="shared" si="86"/>
        <v>0.66829919857524489</v>
      </c>
      <c r="T1377">
        <f t="shared" si="87"/>
        <v>1.6393442622950821E-2</v>
      </c>
      <c r="U1377" t="str">
        <f>YEAR('Campaign Data'!$A1377)&amp;"-"&amp;TEXT(MONTH('Campaign Data'!$A1377),"00")</f>
        <v>2026-03</v>
      </c>
    </row>
    <row r="1378" spans="1:21" x14ac:dyDescent="0.25">
      <c r="A1378">
        <v>46096</v>
      </c>
      <c r="B1378" t="s">
        <v>122</v>
      </c>
      <c r="C1378" t="s">
        <v>123</v>
      </c>
      <c r="D1378" t="s">
        <v>41</v>
      </c>
      <c r="E1378" t="s">
        <v>33</v>
      </c>
      <c r="F1378" t="s">
        <v>75</v>
      </c>
      <c r="G1378" t="s">
        <v>35</v>
      </c>
      <c r="H1378" t="s">
        <v>90</v>
      </c>
      <c r="I1378" t="s">
        <v>37</v>
      </c>
      <c r="J1378" t="s">
        <v>62</v>
      </c>
      <c r="K1378">
        <v>3990</v>
      </c>
      <c r="L1378">
        <v>49</v>
      </c>
      <c r="M1378">
        <v>9.39</v>
      </c>
      <c r="N1378">
        <v>1</v>
      </c>
      <c r="O1378">
        <v>9.85</v>
      </c>
      <c r="P1378">
        <f t="shared" si="84"/>
        <v>1.2280701754385965E-2</v>
      </c>
      <c r="Q1378">
        <f t="shared" si="84"/>
        <v>0.19163265306122451</v>
      </c>
      <c r="R1378">
        <f t="shared" si="85"/>
        <v>9.39</v>
      </c>
      <c r="S1378">
        <f t="shared" si="86"/>
        <v>1.0489882854100105</v>
      </c>
      <c r="T1378">
        <f t="shared" si="87"/>
        <v>2.0408163265306121E-2</v>
      </c>
      <c r="U1378" t="str">
        <f>YEAR('Campaign Data'!$A1378)&amp;"-"&amp;TEXT(MONTH('Campaign Data'!$A1378),"00")</f>
        <v>2026-03</v>
      </c>
    </row>
    <row r="1379" spans="1:21" x14ac:dyDescent="0.25">
      <c r="A1379">
        <v>46096</v>
      </c>
      <c r="B1379" t="s">
        <v>122</v>
      </c>
      <c r="C1379" t="s">
        <v>123</v>
      </c>
      <c r="D1379" t="s">
        <v>41</v>
      </c>
      <c r="E1379" t="s">
        <v>33</v>
      </c>
      <c r="F1379" t="s">
        <v>75</v>
      </c>
      <c r="G1379" t="s">
        <v>35</v>
      </c>
      <c r="H1379" t="s">
        <v>55</v>
      </c>
      <c r="I1379" t="s">
        <v>37</v>
      </c>
      <c r="J1379" t="s">
        <v>29</v>
      </c>
      <c r="K1379">
        <v>12217</v>
      </c>
      <c r="L1379">
        <v>105</v>
      </c>
      <c r="M1379">
        <v>66.33</v>
      </c>
      <c r="N1379">
        <v>2</v>
      </c>
      <c r="O1379">
        <v>81.069999999999993</v>
      </c>
      <c r="P1379">
        <f t="shared" si="84"/>
        <v>8.594581321109929E-3</v>
      </c>
      <c r="Q1379">
        <f t="shared" si="84"/>
        <v>0.63171428571428567</v>
      </c>
      <c r="R1379">
        <f t="shared" si="85"/>
        <v>33.164999999999999</v>
      </c>
      <c r="S1379">
        <f t="shared" si="86"/>
        <v>1.2222222222222221</v>
      </c>
      <c r="T1379">
        <f t="shared" si="87"/>
        <v>1.9047619047619049E-2</v>
      </c>
      <c r="U1379" t="str">
        <f>YEAR('Campaign Data'!$A1379)&amp;"-"&amp;TEXT(MONTH('Campaign Data'!$A1379),"00")</f>
        <v>2026-03</v>
      </c>
    </row>
    <row r="1380" spans="1:21" x14ac:dyDescent="0.25">
      <c r="A1380">
        <v>46097</v>
      </c>
      <c r="B1380" t="s">
        <v>88</v>
      </c>
      <c r="C1380" t="s">
        <v>89</v>
      </c>
      <c r="D1380" t="s">
        <v>23</v>
      </c>
      <c r="E1380" t="s">
        <v>49</v>
      </c>
      <c r="F1380" t="s">
        <v>81</v>
      </c>
      <c r="G1380" t="s">
        <v>50</v>
      </c>
      <c r="H1380" t="s">
        <v>90</v>
      </c>
      <c r="I1380" t="s">
        <v>37</v>
      </c>
      <c r="J1380" t="s">
        <v>38</v>
      </c>
      <c r="K1380">
        <v>3748</v>
      </c>
      <c r="L1380">
        <v>152</v>
      </c>
      <c r="M1380">
        <v>71.61</v>
      </c>
      <c r="N1380">
        <v>4</v>
      </c>
      <c r="O1380">
        <v>20</v>
      </c>
      <c r="P1380">
        <f t="shared" si="84"/>
        <v>4.0554962646744928E-2</v>
      </c>
      <c r="Q1380">
        <f t="shared" si="84"/>
        <v>0.47111842105263158</v>
      </c>
      <c r="R1380">
        <f t="shared" si="85"/>
        <v>17.9025</v>
      </c>
      <c r="S1380">
        <f t="shared" si="86"/>
        <v>0.27929060187124705</v>
      </c>
      <c r="T1380">
        <f t="shared" si="87"/>
        <v>2.6315789473684209E-2</v>
      </c>
      <c r="U1380" t="str">
        <f>YEAR('Campaign Data'!$A1380)&amp;"-"&amp;TEXT(MONTH('Campaign Data'!$A1380),"00")</f>
        <v>2026-03</v>
      </c>
    </row>
    <row r="1381" spans="1:21" x14ac:dyDescent="0.25">
      <c r="A1381">
        <v>46097</v>
      </c>
      <c r="B1381" t="s">
        <v>21</v>
      </c>
      <c r="C1381" t="s">
        <v>124</v>
      </c>
      <c r="D1381" t="s">
        <v>23</v>
      </c>
      <c r="E1381" t="s">
        <v>24</v>
      </c>
      <c r="F1381" t="s">
        <v>25</v>
      </c>
      <c r="G1381" t="s">
        <v>26</v>
      </c>
      <c r="H1381" t="s">
        <v>51</v>
      </c>
      <c r="I1381" t="s">
        <v>37</v>
      </c>
      <c r="J1381" t="s">
        <v>87</v>
      </c>
      <c r="K1381">
        <v>39823</v>
      </c>
      <c r="L1381">
        <v>593</v>
      </c>
      <c r="M1381">
        <v>670.49</v>
      </c>
      <c r="N1381">
        <v>18</v>
      </c>
      <c r="O1381">
        <v>3051.08</v>
      </c>
      <c r="P1381">
        <f t="shared" si="84"/>
        <v>1.4890892197976045E-2</v>
      </c>
      <c r="Q1381">
        <f t="shared" si="84"/>
        <v>1.1306745362563237</v>
      </c>
      <c r="R1381">
        <f t="shared" si="85"/>
        <v>37.249444444444443</v>
      </c>
      <c r="S1381">
        <f t="shared" si="86"/>
        <v>4.5505227520171809</v>
      </c>
      <c r="T1381">
        <f t="shared" si="87"/>
        <v>3.0354131534569982E-2</v>
      </c>
      <c r="U1381" t="str">
        <f>YEAR('Campaign Data'!$A1381)&amp;"-"&amp;TEXT(MONTH('Campaign Data'!$A1381),"00")</f>
        <v>2026-03</v>
      </c>
    </row>
    <row r="1382" spans="1:21" x14ac:dyDescent="0.25">
      <c r="A1382">
        <v>46097</v>
      </c>
      <c r="B1382" t="s">
        <v>167</v>
      </c>
      <c r="C1382" t="s">
        <v>168</v>
      </c>
      <c r="D1382" t="s">
        <v>58</v>
      </c>
      <c r="E1382" t="s">
        <v>33</v>
      </c>
      <c r="F1382" t="s">
        <v>75</v>
      </c>
      <c r="G1382" t="s">
        <v>35</v>
      </c>
      <c r="H1382" t="s">
        <v>90</v>
      </c>
      <c r="I1382" t="s">
        <v>37</v>
      </c>
      <c r="J1382" t="s">
        <v>87</v>
      </c>
      <c r="K1382">
        <v>52314</v>
      </c>
      <c r="L1382">
        <v>654</v>
      </c>
      <c r="M1382">
        <v>98.76</v>
      </c>
      <c r="N1382">
        <v>13</v>
      </c>
      <c r="O1382">
        <v>85.28</v>
      </c>
      <c r="P1382">
        <f t="shared" si="84"/>
        <v>1.250143365064801E-2</v>
      </c>
      <c r="Q1382">
        <f t="shared" si="84"/>
        <v>0.15100917431192662</v>
      </c>
      <c r="R1382">
        <f t="shared" si="85"/>
        <v>7.5969230769230771</v>
      </c>
      <c r="S1382">
        <f t="shared" si="86"/>
        <v>0.86350749291211015</v>
      </c>
      <c r="T1382">
        <f t="shared" si="87"/>
        <v>1.9877675840978593E-2</v>
      </c>
      <c r="U1382" t="str">
        <f>YEAR('Campaign Data'!$A1382)&amp;"-"&amp;TEXT(MONTH('Campaign Data'!$A1382),"00")</f>
        <v>2026-03</v>
      </c>
    </row>
    <row r="1383" spans="1:21" x14ac:dyDescent="0.25">
      <c r="A1383">
        <v>46097</v>
      </c>
      <c r="B1383" t="s">
        <v>147</v>
      </c>
      <c r="C1383" t="s">
        <v>148</v>
      </c>
      <c r="D1383" t="s">
        <v>23</v>
      </c>
      <c r="E1383" t="s">
        <v>42</v>
      </c>
      <c r="F1383" t="s">
        <v>75</v>
      </c>
      <c r="G1383" t="s">
        <v>44</v>
      </c>
      <c r="H1383" t="s">
        <v>27</v>
      </c>
      <c r="I1383" t="s">
        <v>37</v>
      </c>
      <c r="J1383" t="s">
        <v>45</v>
      </c>
      <c r="K1383">
        <v>10078</v>
      </c>
      <c r="L1383">
        <v>59</v>
      </c>
      <c r="M1383">
        <v>468.3</v>
      </c>
      <c r="N1383">
        <v>6</v>
      </c>
      <c r="O1383">
        <v>282.8</v>
      </c>
      <c r="P1383">
        <f t="shared" si="84"/>
        <v>5.8543361778130585E-3</v>
      </c>
      <c r="Q1383">
        <f t="shared" si="84"/>
        <v>7.9372881355932208</v>
      </c>
      <c r="R1383">
        <f t="shared" si="85"/>
        <v>78.05</v>
      </c>
      <c r="S1383">
        <f t="shared" si="86"/>
        <v>0.60388639760837071</v>
      </c>
      <c r="T1383">
        <f t="shared" si="87"/>
        <v>0.10169491525423729</v>
      </c>
      <c r="U1383" t="str">
        <f>YEAR('Campaign Data'!$A1383)&amp;"-"&amp;TEXT(MONTH('Campaign Data'!$A1383),"00")</f>
        <v>2026-03</v>
      </c>
    </row>
    <row r="1384" spans="1:21" x14ac:dyDescent="0.25">
      <c r="A1384">
        <v>46097</v>
      </c>
      <c r="B1384" t="s">
        <v>30</v>
      </c>
      <c r="C1384" t="s">
        <v>31</v>
      </c>
      <c r="D1384" t="s">
        <v>32</v>
      </c>
      <c r="E1384" t="s">
        <v>33</v>
      </c>
      <c r="F1384" t="s">
        <v>34</v>
      </c>
      <c r="G1384" t="s">
        <v>35</v>
      </c>
      <c r="H1384" t="s">
        <v>71</v>
      </c>
      <c r="I1384" t="s">
        <v>28</v>
      </c>
      <c r="J1384" t="s">
        <v>87</v>
      </c>
      <c r="K1384">
        <v>6806</v>
      </c>
      <c r="L1384">
        <v>71</v>
      </c>
      <c r="M1384">
        <v>32.29</v>
      </c>
      <c r="N1384">
        <v>2</v>
      </c>
      <c r="O1384">
        <v>196.42</v>
      </c>
      <c r="P1384">
        <f t="shared" si="84"/>
        <v>1.0431971789597413E-2</v>
      </c>
      <c r="Q1384">
        <f t="shared" si="84"/>
        <v>0.45478873239436618</v>
      </c>
      <c r="R1384">
        <f t="shared" si="85"/>
        <v>16.145</v>
      </c>
      <c r="S1384">
        <f t="shared" si="86"/>
        <v>6.0829978321461748</v>
      </c>
      <c r="T1384">
        <f t="shared" si="87"/>
        <v>2.8169014084507043E-2</v>
      </c>
      <c r="U1384" t="str">
        <f>YEAR('Campaign Data'!$A1384)&amp;"-"&amp;TEXT(MONTH('Campaign Data'!$A1384),"00")</f>
        <v>2026-03</v>
      </c>
    </row>
    <row r="1385" spans="1:21" x14ac:dyDescent="0.25">
      <c r="A1385">
        <v>46097</v>
      </c>
      <c r="B1385" t="s">
        <v>46</v>
      </c>
      <c r="C1385" t="s">
        <v>47</v>
      </c>
      <c r="D1385" t="s">
        <v>48</v>
      </c>
      <c r="E1385" t="s">
        <v>49</v>
      </c>
      <c r="F1385" t="s">
        <v>43</v>
      </c>
      <c r="G1385" t="s">
        <v>50</v>
      </c>
      <c r="H1385" t="s">
        <v>27</v>
      </c>
      <c r="I1385" t="s">
        <v>37</v>
      </c>
      <c r="J1385" t="s">
        <v>62</v>
      </c>
      <c r="K1385">
        <v>7807</v>
      </c>
      <c r="L1385">
        <v>439</v>
      </c>
      <c r="M1385">
        <v>1121.8699999999999</v>
      </c>
      <c r="N1385">
        <v>31</v>
      </c>
      <c r="O1385">
        <v>969.77</v>
      </c>
      <c r="P1385">
        <f t="shared" si="84"/>
        <v>5.6231587037274239E-2</v>
      </c>
      <c r="Q1385">
        <f t="shared" si="84"/>
        <v>2.5555125284738041</v>
      </c>
      <c r="R1385">
        <f t="shared" si="85"/>
        <v>36.189354838709676</v>
      </c>
      <c r="S1385">
        <f t="shared" si="86"/>
        <v>0.86442279408487621</v>
      </c>
      <c r="T1385">
        <f t="shared" si="87"/>
        <v>7.0615034168564919E-2</v>
      </c>
      <c r="U1385" t="str">
        <f>YEAR('Campaign Data'!$A1385)&amp;"-"&amp;TEXT(MONTH('Campaign Data'!$A1385),"00")</f>
        <v>2026-03</v>
      </c>
    </row>
    <row r="1386" spans="1:21" x14ac:dyDescent="0.25">
      <c r="A1386">
        <v>46097</v>
      </c>
      <c r="B1386" t="s">
        <v>100</v>
      </c>
      <c r="C1386" t="s">
        <v>101</v>
      </c>
      <c r="D1386" t="s">
        <v>80</v>
      </c>
      <c r="E1386" t="s">
        <v>33</v>
      </c>
      <c r="F1386" t="s">
        <v>25</v>
      </c>
      <c r="G1386" t="s">
        <v>102</v>
      </c>
      <c r="H1386" t="s">
        <v>27</v>
      </c>
      <c r="I1386" t="s">
        <v>37</v>
      </c>
      <c r="J1386" t="s">
        <v>45</v>
      </c>
      <c r="K1386">
        <v>12672</v>
      </c>
      <c r="L1386">
        <v>92</v>
      </c>
      <c r="M1386">
        <v>82.3</v>
      </c>
      <c r="N1386">
        <v>2</v>
      </c>
      <c r="O1386">
        <v>241.83</v>
      </c>
      <c r="P1386">
        <f t="shared" si="84"/>
        <v>7.26010101010101E-3</v>
      </c>
      <c r="Q1386">
        <f t="shared" si="84"/>
        <v>0.89456521739130435</v>
      </c>
      <c r="R1386">
        <f t="shared" si="85"/>
        <v>41.15</v>
      </c>
      <c r="S1386">
        <f t="shared" si="86"/>
        <v>2.9383961117861483</v>
      </c>
      <c r="T1386">
        <f t="shared" si="87"/>
        <v>2.1739130434782608E-2</v>
      </c>
      <c r="U1386" t="str">
        <f>YEAR('Campaign Data'!$A1386)&amp;"-"&amp;TEXT(MONTH('Campaign Data'!$A1386),"00")</f>
        <v>2026-03</v>
      </c>
    </row>
    <row r="1387" spans="1:21" x14ac:dyDescent="0.25">
      <c r="A1387">
        <v>46097</v>
      </c>
      <c r="B1387" t="s">
        <v>169</v>
      </c>
      <c r="C1387" t="s">
        <v>170</v>
      </c>
      <c r="D1387" t="s">
        <v>58</v>
      </c>
      <c r="E1387" t="s">
        <v>74</v>
      </c>
      <c r="F1387" t="s">
        <v>75</v>
      </c>
      <c r="G1387" t="s">
        <v>9</v>
      </c>
      <c r="H1387" t="s">
        <v>60</v>
      </c>
      <c r="I1387" t="s">
        <v>28</v>
      </c>
      <c r="J1387" t="s">
        <v>38</v>
      </c>
      <c r="K1387">
        <v>16324</v>
      </c>
      <c r="L1387">
        <v>396</v>
      </c>
      <c r="M1387">
        <v>436.76</v>
      </c>
      <c r="N1387">
        <v>20</v>
      </c>
      <c r="O1387">
        <v>671.13</v>
      </c>
      <c r="P1387">
        <f t="shared" si="84"/>
        <v>2.4258760107816711E-2</v>
      </c>
      <c r="Q1387">
        <f t="shared" si="84"/>
        <v>1.1029292929292929</v>
      </c>
      <c r="R1387">
        <f t="shared" si="85"/>
        <v>21.838000000000001</v>
      </c>
      <c r="S1387">
        <f t="shared" si="86"/>
        <v>1.5366104954666178</v>
      </c>
      <c r="T1387">
        <f t="shared" si="87"/>
        <v>5.0505050505050504E-2</v>
      </c>
      <c r="U1387" t="str">
        <f>YEAR('Campaign Data'!$A1387)&amp;"-"&amp;TEXT(MONTH('Campaign Data'!$A1387),"00")</f>
        <v>2026-03</v>
      </c>
    </row>
    <row r="1388" spans="1:21" x14ac:dyDescent="0.25">
      <c r="A1388">
        <v>46097</v>
      </c>
      <c r="B1388" t="s">
        <v>169</v>
      </c>
      <c r="C1388" t="s">
        <v>170</v>
      </c>
      <c r="D1388" t="s">
        <v>58</v>
      </c>
      <c r="E1388" t="s">
        <v>74</v>
      </c>
      <c r="F1388" t="s">
        <v>75</v>
      </c>
      <c r="G1388" t="s">
        <v>9</v>
      </c>
      <c r="H1388" t="s">
        <v>55</v>
      </c>
      <c r="I1388" t="s">
        <v>28</v>
      </c>
      <c r="J1388" t="s">
        <v>62</v>
      </c>
      <c r="K1388">
        <v>2151</v>
      </c>
      <c r="L1388">
        <v>91</v>
      </c>
      <c r="M1388">
        <v>87.28</v>
      </c>
      <c r="N1388">
        <v>8</v>
      </c>
      <c r="O1388">
        <v>181.93</v>
      </c>
      <c r="P1388">
        <f t="shared" si="84"/>
        <v>4.230590423059042E-2</v>
      </c>
      <c r="Q1388">
        <f t="shared" si="84"/>
        <v>0.95912087912087918</v>
      </c>
      <c r="R1388">
        <f t="shared" si="85"/>
        <v>10.91</v>
      </c>
      <c r="S1388">
        <f t="shared" si="86"/>
        <v>2.0844408799266727</v>
      </c>
      <c r="T1388">
        <f t="shared" si="87"/>
        <v>8.7912087912087919E-2</v>
      </c>
      <c r="U1388" t="str">
        <f>YEAR('Campaign Data'!$A1388)&amp;"-"&amp;TEXT(MONTH('Campaign Data'!$A1388),"00")</f>
        <v>2026-03</v>
      </c>
    </row>
    <row r="1389" spans="1:21" x14ac:dyDescent="0.25">
      <c r="A1389">
        <v>46097</v>
      </c>
      <c r="B1389" t="s">
        <v>132</v>
      </c>
      <c r="C1389" t="s">
        <v>133</v>
      </c>
      <c r="D1389" t="s">
        <v>23</v>
      </c>
      <c r="E1389" t="s">
        <v>42</v>
      </c>
      <c r="F1389" t="s">
        <v>75</v>
      </c>
      <c r="G1389" t="s">
        <v>84</v>
      </c>
      <c r="H1389" t="s">
        <v>55</v>
      </c>
      <c r="I1389" t="s">
        <v>37</v>
      </c>
      <c r="J1389" t="s">
        <v>29</v>
      </c>
      <c r="K1389">
        <v>9376</v>
      </c>
      <c r="L1389">
        <v>60</v>
      </c>
      <c r="M1389">
        <v>278.68</v>
      </c>
      <c r="N1389">
        <v>1</v>
      </c>
      <c r="O1389">
        <v>30.07</v>
      </c>
      <c r="P1389">
        <f t="shared" si="84"/>
        <v>6.3993174061433445E-3</v>
      </c>
      <c r="Q1389">
        <f t="shared" si="84"/>
        <v>4.6446666666666667</v>
      </c>
      <c r="R1389">
        <f t="shared" si="85"/>
        <v>278.68</v>
      </c>
      <c r="S1389">
        <f t="shared" si="86"/>
        <v>0.10790153581168364</v>
      </c>
      <c r="T1389">
        <f t="shared" si="87"/>
        <v>1.6666666666666666E-2</v>
      </c>
      <c r="U1389" t="str">
        <f>YEAR('Campaign Data'!$A1389)&amp;"-"&amp;TEXT(MONTH('Campaign Data'!$A1389),"00")</f>
        <v>2026-03</v>
      </c>
    </row>
    <row r="1390" spans="1:21" x14ac:dyDescent="0.25">
      <c r="A1390">
        <v>46097</v>
      </c>
      <c r="B1390" t="s">
        <v>153</v>
      </c>
      <c r="C1390" t="s">
        <v>154</v>
      </c>
      <c r="D1390" t="s">
        <v>48</v>
      </c>
      <c r="E1390" t="s">
        <v>33</v>
      </c>
      <c r="F1390" t="s">
        <v>43</v>
      </c>
      <c r="G1390" t="s">
        <v>59</v>
      </c>
      <c r="H1390" t="s">
        <v>36</v>
      </c>
      <c r="I1390" t="s">
        <v>37</v>
      </c>
      <c r="J1390" t="s">
        <v>38</v>
      </c>
      <c r="K1390">
        <v>2180</v>
      </c>
      <c r="L1390">
        <v>22</v>
      </c>
      <c r="M1390">
        <v>8.74</v>
      </c>
      <c r="N1390">
        <v>0</v>
      </c>
      <c r="O1390">
        <v>0</v>
      </c>
      <c r="P1390">
        <f t="shared" si="84"/>
        <v>1.0091743119266056E-2</v>
      </c>
      <c r="Q1390">
        <f t="shared" si="84"/>
        <v>0.39727272727272728</v>
      </c>
      <c r="R1390">
        <f t="shared" si="85"/>
        <v>0</v>
      </c>
      <c r="S1390">
        <f t="shared" si="86"/>
        <v>0</v>
      </c>
      <c r="T1390">
        <f t="shared" si="87"/>
        <v>0</v>
      </c>
      <c r="U1390" t="str">
        <f>YEAR('Campaign Data'!$A1390)&amp;"-"&amp;TEXT(MONTH('Campaign Data'!$A1390),"00")</f>
        <v>2026-03</v>
      </c>
    </row>
    <row r="1391" spans="1:21" x14ac:dyDescent="0.25">
      <c r="A1391">
        <v>46097</v>
      </c>
      <c r="B1391" t="s">
        <v>171</v>
      </c>
      <c r="C1391" t="s">
        <v>172</v>
      </c>
      <c r="D1391" t="s">
        <v>23</v>
      </c>
      <c r="E1391" t="s">
        <v>33</v>
      </c>
      <c r="F1391" t="s">
        <v>75</v>
      </c>
      <c r="G1391" t="s">
        <v>59</v>
      </c>
      <c r="H1391" t="s">
        <v>51</v>
      </c>
      <c r="I1391" t="s">
        <v>37</v>
      </c>
      <c r="J1391" t="s">
        <v>62</v>
      </c>
      <c r="K1391">
        <v>3400</v>
      </c>
      <c r="L1391">
        <v>46</v>
      </c>
      <c r="M1391">
        <v>32.200000000000003</v>
      </c>
      <c r="N1391">
        <v>1</v>
      </c>
      <c r="O1391">
        <v>35.81</v>
      </c>
      <c r="P1391">
        <f t="shared" si="84"/>
        <v>1.3529411764705882E-2</v>
      </c>
      <c r="Q1391">
        <f t="shared" si="84"/>
        <v>0.70000000000000007</v>
      </c>
      <c r="R1391">
        <f t="shared" si="85"/>
        <v>32.200000000000003</v>
      </c>
      <c r="S1391">
        <f t="shared" si="86"/>
        <v>1.112111801242236</v>
      </c>
      <c r="T1391">
        <f t="shared" si="87"/>
        <v>2.1739130434782608E-2</v>
      </c>
      <c r="U1391" t="str">
        <f>YEAR('Campaign Data'!$A1391)&amp;"-"&amp;TEXT(MONTH('Campaign Data'!$A1391),"00")</f>
        <v>2026-03</v>
      </c>
    </row>
    <row r="1392" spans="1:21" x14ac:dyDescent="0.25">
      <c r="A1392">
        <v>46097</v>
      </c>
      <c r="B1392" t="s">
        <v>159</v>
      </c>
      <c r="C1392" t="s">
        <v>160</v>
      </c>
      <c r="D1392" t="s">
        <v>65</v>
      </c>
      <c r="E1392" t="s">
        <v>42</v>
      </c>
      <c r="F1392" t="s">
        <v>75</v>
      </c>
      <c r="G1392" t="s">
        <v>54</v>
      </c>
      <c r="H1392" t="s">
        <v>36</v>
      </c>
      <c r="I1392" t="s">
        <v>37</v>
      </c>
      <c r="J1392" t="s">
        <v>38</v>
      </c>
      <c r="K1392">
        <v>6138</v>
      </c>
      <c r="L1392">
        <v>55</v>
      </c>
      <c r="M1392">
        <v>415.96</v>
      </c>
      <c r="N1392">
        <v>0</v>
      </c>
      <c r="O1392">
        <v>0</v>
      </c>
      <c r="P1392">
        <f t="shared" si="84"/>
        <v>8.9605734767025085E-3</v>
      </c>
      <c r="Q1392">
        <f t="shared" si="84"/>
        <v>7.5629090909090904</v>
      </c>
      <c r="R1392">
        <f t="shared" si="85"/>
        <v>0</v>
      </c>
      <c r="S1392">
        <f t="shared" si="86"/>
        <v>0</v>
      </c>
      <c r="T1392">
        <f t="shared" si="87"/>
        <v>0</v>
      </c>
      <c r="U1392" t="str">
        <f>YEAR('Campaign Data'!$A1392)&amp;"-"&amp;TEXT(MONTH('Campaign Data'!$A1392),"00")</f>
        <v>2026-03</v>
      </c>
    </row>
    <row r="1393" spans="1:21" x14ac:dyDescent="0.25">
      <c r="A1393">
        <v>46097</v>
      </c>
      <c r="B1393" t="s">
        <v>181</v>
      </c>
      <c r="C1393" t="s">
        <v>182</v>
      </c>
      <c r="D1393" t="s">
        <v>32</v>
      </c>
      <c r="E1393" t="s">
        <v>33</v>
      </c>
      <c r="F1393" t="s">
        <v>75</v>
      </c>
      <c r="G1393" t="s">
        <v>59</v>
      </c>
      <c r="H1393" t="s">
        <v>71</v>
      </c>
      <c r="I1393" t="s">
        <v>37</v>
      </c>
      <c r="J1393" t="s">
        <v>45</v>
      </c>
      <c r="K1393">
        <v>10547</v>
      </c>
      <c r="L1393">
        <v>96</v>
      </c>
      <c r="M1393">
        <v>43.64</v>
      </c>
      <c r="N1393">
        <v>0</v>
      </c>
      <c r="O1393">
        <v>0</v>
      </c>
      <c r="P1393">
        <f t="shared" si="84"/>
        <v>9.1021143453114631E-3</v>
      </c>
      <c r="Q1393">
        <f t="shared" si="84"/>
        <v>0.45458333333333334</v>
      </c>
      <c r="R1393">
        <f t="shared" si="85"/>
        <v>0</v>
      </c>
      <c r="S1393">
        <f t="shared" si="86"/>
        <v>0</v>
      </c>
      <c r="T1393">
        <f t="shared" si="87"/>
        <v>0</v>
      </c>
      <c r="U1393" t="str">
        <f>YEAR('Campaign Data'!$A1393)&amp;"-"&amp;TEXT(MONTH('Campaign Data'!$A1393),"00")</f>
        <v>2026-03</v>
      </c>
    </row>
    <row r="1394" spans="1:21" x14ac:dyDescent="0.25">
      <c r="A1394">
        <v>46097</v>
      </c>
      <c r="B1394" t="s">
        <v>56</v>
      </c>
      <c r="C1394" t="s">
        <v>57</v>
      </c>
      <c r="D1394" t="s">
        <v>58</v>
      </c>
      <c r="E1394" t="s">
        <v>33</v>
      </c>
      <c r="F1394" t="s">
        <v>43</v>
      </c>
      <c r="G1394" t="s">
        <v>59</v>
      </c>
      <c r="H1394" t="s">
        <v>55</v>
      </c>
      <c r="I1394" t="s">
        <v>28</v>
      </c>
      <c r="J1394" t="s">
        <v>87</v>
      </c>
      <c r="K1394">
        <v>3326</v>
      </c>
      <c r="L1394">
        <v>32</v>
      </c>
      <c r="M1394">
        <v>17.66</v>
      </c>
      <c r="N1394">
        <v>0</v>
      </c>
      <c r="O1394">
        <v>0</v>
      </c>
      <c r="P1394">
        <f t="shared" si="84"/>
        <v>9.6211665664461821E-3</v>
      </c>
      <c r="Q1394">
        <f t="shared" si="84"/>
        <v>0.551875</v>
      </c>
      <c r="R1394">
        <f t="shared" si="85"/>
        <v>0</v>
      </c>
      <c r="S1394">
        <f t="shared" si="86"/>
        <v>0</v>
      </c>
      <c r="T1394">
        <f t="shared" si="87"/>
        <v>0</v>
      </c>
      <c r="U1394" t="str">
        <f>YEAR('Campaign Data'!$A1394)&amp;"-"&amp;TEXT(MONTH('Campaign Data'!$A1394),"00")</f>
        <v>2026-03</v>
      </c>
    </row>
    <row r="1395" spans="1:21" x14ac:dyDescent="0.25">
      <c r="A1395">
        <v>46097</v>
      </c>
      <c r="B1395" t="s">
        <v>63</v>
      </c>
      <c r="C1395" t="s">
        <v>64</v>
      </c>
      <c r="D1395" t="s">
        <v>65</v>
      </c>
      <c r="E1395" t="s">
        <v>24</v>
      </c>
      <c r="F1395" t="s">
        <v>43</v>
      </c>
      <c r="G1395" t="s">
        <v>66</v>
      </c>
      <c r="H1395" t="s">
        <v>90</v>
      </c>
      <c r="I1395" t="s">
        <v>28</v>
      </c>
      <c r="J1395" t="s">
        <v>62</v>
      </c>
      <c r="K1395">
        <v>19426</v>
      </c>
      <c r="L1395">
        <v>325</v>
      </c>
      <c r="M1395">
        <v>83.28</v>
      </c>
      <c r="N1395">
        <v>4</v>
      </c>
      <c r="O1395">
        <v>36.159999999999997</v>
      </c>
      <c r="P1395">
        <f t="shared" si="84"/>
        <v>1.6730155461752289E-2</v>
      </c>
      <c r="Q1395">
        <f t="shared" si="84"/>
        <v>0.25624615384615385</v>
      </c>
      <c r="R1395">
        <f t="shared" si="85"/>
        <v>20.82</v>
      </c>
      <c r="S1395">
        <f t="shared" si="86"/>
        <v>0.43419788664745435</v>
      </c>
      <c r="T1395">
        <f t="shared" si="87"/>
        <v>1.2307692307692308E-2</v>
      </c>
      <c r="U1395" t="str">
        <f>YEAR('Campaign Data'!$A1395)&amp;"-"&amp;TEXT(MONTH('Campaign Data'!$A1395),"00")</f>
        <v>2026-03</v>
      </c>
    </row>
    <row r="1396" spans="1:21" x14ac:dyDescent="0.25">
      <c r="A1396">
        <v>46097</v>
      </c>
      <c r="B1396" t="s">
        <v>72</v>
      </c>
      <c r="C1396" t="s">
        <v>73</v>
      </c>
      <c r="D1396" t="s">
        <v>69</v>
      </c>
      <c r="E1396" t="s">
        <v>74</v>
      </c>
      <c r="F1396" t="s">
        <v>75</v>
      </c>
      <c r="G1396" t="s">
        <v>9</v>
      </c>
      <c r="H1396" t="s">
        <v>27</v>
      </c>
      <c r="I1396" t="s">
        <v>37</v>
      </c>
      <c r="J1396" t="s">
        <v>87</v>
      </c>
      <c r="K1396">
        <v>3669</v>
      </c>
      <c r="L1396">
        <v>85</v>
      </c>
      <c r="M1396">
        <v>176.1</v>
      </c>
      <c r="N1396">
        <v>4</v>
      </c>
      <c r="O1396">
        <v>174.42</v>
      </c>
      <c r="P1396">
        <f t="shared" si="84"/>
        <v>2.316707549741074E-2</v>
      </c>
      <c r="Q1396">
        <f t="shared" si="84"/>
        <v>2.071764705882353</v>
      </c>
      <c r="R1396">
        <f t="shared" si="85"/>
        <v>44.024999999999999</v>
      </c>
      <c r="S1396">
        <f t="shared" si="86"/>
        <v>0.99045996592844976</v>
      </c>
      <c r="T1396">
        <f t="shared" si="87"/>
        <v>4.7058823529411764E-2</v>
      </c>
      <c r="U1396" t="str">
        <f>YEAR('Campaign Data'!$A1396)&amp;"-"&amp;TEXT(MONTH('Campaign Data'!$A1396),"00")</f>
        <v>2026-03</v>
      </c>
    </row>
    <row r="1397" spans="1:21" x14ac:dyDescent="0.25">
      <c r="A1397">
        <v>46097</v>
      </c>
      <c r="B1397" t="s">
        <v>76</v>
      </c>
      <c r="C1397" t="s">
        <v>77</v>
      </c>
      <c r="D1397" t="s">
        <v>65</v>
      </c>
      <c r="E1397" t="s">
        <v>42</v>
      </c>
      <c r="F1397" t="s">
        <v>43</v>
      </c>
      <c r="G1397" t="s">
        <v>44</v>
      </c>
      <c r="H1397" t="s">
        <v>71</v>
      </c>
      <c r="I1397" t="s">
        <v>37</v>
      </c>
      <c r="J1397" t="s">
        <v>62</v>
      </c>
      <c r="K1397">
        <v>8736</v>
      </c>
      <c r="L1397">
        <v>51</v>
      </c>
      <c r="M1397">
        <v>289.39</v>
      </c>
      <c r="N1397">
        <v>1</v>
      </c>
      <c r="O1397">
        <v>17.600000000000001</v>
      </c>
      <c r="P1397">
        <f t="shared" si="84"/>
        <v>5.837912087912088E-3</v>
      </c>
      <c r="Q1397">
        <f t="shared" si="84"/>
        <v>5.6743137254901956</v>
      </c>
      <c r="R1397">
        <f t="shared" si="85"/>
        <v>289.39</v>
      </c>
      <c r="S1397">
        <f t="shared" si="86"/>
        <v>6.0817581810014176E-2</v>
      </c>
      <c r="T1397">
        <f t="shared" si="87"/>
        <v>1.9607843137254902E-2</v>
      </c>
      <c r="U1397" t="str">
        <f>YEAR('Campaign Data'!$A1397)&amp;"-"&amp;TEXT(MONTH('Campaign Data'!$A1397),"00")</f>
        <v>2026-03</v>
      </c>
    </row>
    <row r="1398" spans="1:21" x14ac:dyDescent="0.25">
      <c r="A1398">
        <v>46097</v>
      </c>
      <c r="B1398" t="s">
        <v>120</v>
      </c>
      <c r="C1398" t="s">
        <v>121</v>
      </c>
      <c r="D1398" t="s">
        <v>23</v>
      </c>
      <c r="E1398" t="s">
        <v>49</v>
      </c>
      <c r="F1398" t="s">
        <v>75</v>
      </c>
      <c r="G1398" t="s">
        <v>70</v>
      </c>
      <c r="H1398" t="s">
        <v>90</v>
      </c>
      <c r="I1398" t="s">
        <v>37</v>
      </c>
      <c r="J1398" t="s">
        <v>29</v>
      </c>
      <c r="K1398">
        <v>3956</v>
      </c>
      <c r="L1398">
        <v>201</v>
      </c>
      <c r="M1398">
        <v>107.28</v>
      </c>
      <c r="N1398">
        <v>6</v>
      </c>
      <c r="O1398">
        <v>41.44</v>
      </c>
      <c r="P1398">
        <f t="shared" si="84"/>
        <v>5.0808897876643076E-2</v>
      </c>
      <c r="Q1398">
        <f t="shared" si="84"/>
        <v>0.53373134328358207</v>
      </c>
      <c r="R1398">
        <f t="shared" si="85"/>
        <v>17.88</v>
      </c>
      <c r="S1398">
        <f t="shared" si="86"/>
        <v>0.38627889634601043</v>
      </c>
      <c r="T1398">
        <f t="shared" si="87"/>
        <v>2.9850746268656716E-2</v>
      </c>
      <c r="U1398" t="str">
        <f>YEAR('Campaign Data'!$A1398)&amp;"-"&amp;TEXT(MONTH('Campaign Data'!$A1398),"00")</f>
        <v>2026-03</v>
      </c>
    </row>
    <row r="1399" spans="1:21" x14ac:dyDescent="0.25">
      <c r="A1399">
        <v>46098</v>
      </c>
      <c r="B1399" t="s">
        <v>165</v>
      </c>
      <c r="C1399" t="s">
        <v>166</v>
      </c>
      <c r="D1399" t="s">
        <v>41</v>
      </c>
      <c r="E1399" t="s">
        <v>33</v>
      </c>
      <c r="F1399" t="s">
        <v>43</v>
      </c>
      <c r="G1399" t="s">
        <v>59</v>
      </c>
      <c r="H1399" t="s">
        <v>51</v>
      </c>
      <c r="I1399" t="s">
        <v>37</v>
      </c>
      <c r="J1399" t="s">
        <v>62</v>
      </c>
      <c r="K1399">
        <v>11233</v>
      </c>
      <c r="L1399">
        <v>64</v>
      </c>
      <c r="M1399">
        <v>52.83</v>
      </c>
      <c r="N1399">
        <v>2</v>
      </c>
      <c r="O1399">
        <v>36.54</v>
      </c>
      <c r="P1399">
        <f t="shared" si="84"/>
        <v>5.6974984420902694E-3</v>
      </c>
      <c r="Q1399">
        <f t="shared" si="84"/>
        <v>0.82546874999999997</v>
      </c>
      <c r="R1399">
        <f t="shared" si="85"/>
        <v>26.414999999999999</v>
      </c>
      <c r="S1399">
        <f t="shared" si="86"/>
        <v>0.69165247018739351</v>
      </c>
      <c r="T1399">
        <f t="shared" si="87"/>
        <v>3.125E-2</v>
      </c>
      <c r="U1399" t="str">
        <f>YEAR('Campaign Data'!$A1399)&amp;"-"&amp;TEXT(MONTH('Campaign Data'!$A1399),"00")</f>
        <v>2026-03</v>
      </c>
    </row>
    <row r="1400" spans="1:21" x14ac:dyDescent="0.25">
      <c r="A1400">
        <v>46098</v>
      </c>
      <c r="B1400" t="s">
        <v>125</v>
      </c>
      <c r="C1400" t="s">
        <v>126</v>
      </c>
      <c r="D1400" t="s">
        <v>41</v>
      </c>
      <c r="E1400" t="s">
        <v>42</v>
      </c>
      <c r="F1400" t="s">
        <v>81</v>
      </c>
      <c r="G1400" t="s">
        <v>44</v>
      </c>
      <c r="H1400" t="s">
        <v>60</v>
      </c>
      <c r="I1400" t="s">
        <v>37</v>
      </c>
      <c r="J1400" t="s">
        <v>62</v>
      </c>
      <c r="K1400">
        <v>8907</v>
      </c>
      <c r="L1400">
        <v>40</v>
      </c>
      <c r="M1400">
        <v>194.63</v>
      </c>
      <c r="N1400">
        <v>1</v>
      </c>
      <c r="O1400">
        <v>9.64</v>
      </c>
      <c r="P1400">
        <f t="shared" si="84"/>
        <v>4.4908498933423149E-3</v>
      </c>
      <c r="Q1400">
        <f t="shared" si="84"/>
        <v>4.8657500000000002</v>
      </c>
      <c r="R1400">
        <f t="shared" si="85"/>
        <v>194.63</v>
      </c>
      <c r="S1400">
        <f t="shared" si="86"/>
        <v>4.952987720289781E-2</v>
      </c>
      <c r="T1400">
        <f t="shared" si="87"/>
        <v>2.5000000000000001E-2</v>
      </c>
      <c r="U1400" t="str">
        <f>YEAR('Campaign Data'!$A1400)&amp;"-"&amp;TEXT(MONTH('Campaign Data'!$A1400),"00")</f>
        <v>2026-03</v>
      </c>
    </row>
    <row r="1401" spans="1:21" x14ac:dyDescent="0.25">
      <c r="A1401">
        <v>46098</v>
      </c>
      <c r="B1401" t="s">
        <v>127</v>
      </c>
      <c r="C1401" t="s">
        <v>128</v>
      </c>
      <c r="D1401" t="s">
        <v>58</v>
      </c>
      <c r="E1401" t="s">
        <v>24</v>
      </c>
      <c r="F1401" t="s">
        <v>81</v>
      </c>
      <c r="G1401" t="s">
        <v>129</v>
      </c>
      <c r="H1401" t="s">
        <v>27</v>
      </c>
      <c r="I1401" t="s">
        <v>37</v>
      </c>
      <c r="J1401" t="s">
        <v>45</v>
      </c>
      <c r="K1401">
        <v>7902</v>
      </c>
      <c r="L1401">
        <v>127</v>
      </c>
      <c r="M1401">
        <v>103.65</v>
      </c>
      <c r="N1401">
        <v>0</v>
      </c>
      <c r="O1401">
        <v>0</v>
      </c>
      <c r="P1401">
        <f t="shared" si="84"/>
        <v>1.6071880536573019E-2</v>
      </c>
      <c r="Q1401">
        <f t="shared" si="84"/>
        <v>0.81614173228346465</v>
      </c>
      <c r="R1401">
        <f t="shared" si="85"/>
        <v>0</v>
      </c>
      <c r="S1401">
        <f t="shared" si="86"/>
        <v>0</v>
      </c>
      <c r="T1401">
        <f t="shared" si="87"/>
        <v>0</v>
      </c>
      <c r="U1401" t="str">
        <f>YEAR('Campaign Data'!$A1401)&amp;"-"&amp;TEXT(MONTH('Campaign Data'!$A1401),"00")</f>
        <v>2026-03</v>
      </c>
    </row>
    <row r="1402" spans="1:21" x14ac:dyDescent="0.25">
      <c r="A1402">
        <v>46098</v>
      </c>
      <c r="B1402" t="s">
        <v>108</v>
      </c>
      <c r="C1402" t="s">
        <v>109</v>
      </c>
      <c r="D1402" t="s">
        <v>58</v>
      </c>
      <c r="E1402" t="s">
        <v>33</v>
      </c>
      <c r="F1402" t="s">
        <v>43</v>
      </c>
      <c r="G1402" t="s">
        <v>59</v>
      </c>
      <c r="H1402" t="s">
        <v>27</v>
      </c>
      <c r="I1402" t="s">
        <v>28</v>
      </c>
      <c r="J1402" t="s">
        <v>29</v>
      </c>
      <c r="K1402">
        <v>10180</v>
      </c>
      <c r="L1402">
        <v>48</v>
      </c>
      <c r="M1402">
        <v>50.45</v>
      </c>
      <c r="N1402">
        <v>0</v>
      </c>
      <c r="O1402">
        <v>0</v>
      </c>
      <c r="P1402">
        <f t="shared" si="84"/>
        <v>4.7151277013752456E-3</v>
      </c>
      <c r="Q1402">
        <f t="shared" si="84"/>
        <v>1.0510416666666667</v>
      </c>
      <c r="R1402">
        <f t="shared" si="85"/>
        <v>0</v>
      </c>
      <c r="S1402">
        <f t="shared" si="86"/>
        <v>0</v>
      </c>
      <c r="T1402">
        <f t="shared" si="87"/>
        <v>0</v>
      </c>
      <c r="U1402" t="str">
        <f>YEAR('Campaign Data'!$A1402)&amp;"-"&amp;TEXT(MONTH('Campaign Data'!$A1402),"00")</f>
        <v>2026-03</v>
      </c>
    </row>
    <row r="1403" spans="1:21" x14ac:dyDescent="0.25">
      <c r="A1403">
        <v>46098</v>
      </c>
      <c r="B1403" t="s">
        <v>108</v>
      </c>
      <c r="C1403" t="s">
        <v>109</v>
      </c>
      <c r="D1403" t="s">
        <v>58</v>
      </c>
      <c r="E1403" t="s">
        <v>33</v>
      </c>
      <c r="F1403" t="s">
        <v>43</v>
      </c>
      <c r="G1403" t="s">
        <v>59</v>
      </c>
      <c r="H1403" t="s">
        <v>71</v>
      </c>
      <c r="I1403" t="s">
        <v>37</v>
      </c>
      <c r="J1403" t="s">
        <v>62</v>
      </c>
      <c r="K1403">
        <v>3257</v>
      </c>
      <c r="L1403">
        <v>48</v>
      </c>
      <c r="M1403">
        <v>22.43</v>
      </c>
      <c r="N1403">
        <v>1</v>
      </c>
      <c r="O1403">
        <v>19.399999999999999</v>
      </c>
      <c r="P1403">
        <f t="shared" si="84"/>
        <v>1.473748848633712E-2</v>
      </c>
      <c r="Q1403">
        <f t="shared" si="84"/>
        <v>0.46729166666666666</v>
      </c>
      <c r="R1403">
        <f t="shared" si="85"/>
        <v>22.43</v>
      </c>
      <c r="S1403">
        <f t="shared" si="86"/>
        <v>0.86491306286223801</v>
      </c>
      <c r="T1403">
        <f t="shared" si="87"/>
        <v>2.0833333333333332E-2</v>
      </c>
      <c r="U1403" t="str">
        <f>YEAR('Campaign Data'!$A1403)&amp;"-"&amp;TEXT(MONTH('Campaign Data'!$A1403),"00")</f>
        <v>2026-03</v>
      </c>
    </row>
    <row r="1404" spans="1:21" x14ac:dyDescent="0.25">
      <c r="A1404">
        <v>46098</v>
      </c>
      <c r="B1404" t="s">
        <v>130</v>
      </c>
      <c r="C1404" t="s">
        <v>131</v>
      </c>
      <c r="D1404" t="s">
        <v>48</v>
      </c>
      <c r="E1404" t="s">
        <v>33</v>
      </c>
      <c r="F1404" t="s">
        <v>34</v>
      </c>
      <c r="G1404" t="s">
        <v>35</v>
      </c>
      <c r="H1404" t="s">
        <v>27</v>
      </c>
      <c r="I1404" t="s">
        <v>28</v>
      </c>
      <c r="J1404" t="s">
        <v>29</v>
      </c>
      <c r="K1404">
        <v>22495</v>
      </c>
      <c r="L1404">
        <v>167</v>
      </c>
      <c r="M1404">
        <v>136.6</v>
      </c>
      <c r="N1404">
        <v>7</v>
      </c>
      <c r="O1404">
        <v>788.94</v>
      </c>
      <c r="P1404">
        <f t="shared" si="84"/>
        <v>7.4238719715492328E-3</v>
      </c>
      <c r="Q1404">
        <f t="shared" si="84"/>
        <v>0.81796407185628739</v>
      </c>
      <c r="R1404">
        <f t="shared" si="85"/>
        <v>19.514285714285712</v>
      </c>
      <c r="S1404">
        <f t="shared" si="86"/>
        <v>5.7755490483162522</v>
      </c>
      <c r="T1404">
        <f t="shared" si="87"/>
        <v>4.1916167664670656E-2</v>
      </c>
      <c r="U1404" t="str">
        <f>YEAR('Campaign Data'!$A1404)&amp;"-"&amp;TEXT(MONTH('Campaign Data'!$A1404),"00")</f>
        <v>2026-03</v>
      </c>
    </row>
    <row r="1405" spans="1:21" x14ac:dyDescent="0.25">
      <c r="A1405">
        <v>46098</v>
      </c>
      <c r="B1405" t="s">
        <v>179</v>
      </c>
      <c r="C1405" t="s">
        <v>180</v>
      </c>
      <c r="D1405" t="s">
        <v>58</v>
      </c>
      <c r="E1405" t="s">
        <v>42</v>
      </c>
      <c r="F1405" t="s">
        <v>25</v>
      </c>
      <c r="G1405" t="s">
        <v>54</v>
      </c>
      <c r="H1405" t="s">
        <v>27</v>
      </c>
      <c r="I1405" t="s">
        <v>28</v>
      </c>
      <c r="J1405" t="s">
        <v>38</v>
      </c>
      <c r="K1405">
        <v>1776</v>
      </c>
      <c r="L1405">
        <v>16</v>
      </c>
      <c r="M1405">
        <v>90.14</v>
      </c>
      <c r="N1405">
        <v>2</v>
      </c>
      <c r="O1405">
        <v>418.45</v>
      </c>
      <c r="P1405">
        <f t="shared" si="84"/>
        <v>9.0090090090090089E-3</v>
      </c>
      <c r="Q1405">
        <f t="shared" si="84"/>
        <v>5.63375</v>
      </c>
      <c r="R1405">
        <f t="shared" si="85"/>
        <v>45.07</v>
      </c>
      <c r="S1405">
        <f t="shared" si="86"/>
        <v>4.6422232083425783</v>
      </c>
      <c r="T1405">
        <f t="shared" si="87"/>
        <v>0.125</v>
      </c>
      <c r="U1405" t="str">
        <f>YEAR('Campaign Data'!$A1405)&amp;"-"&amp;TEXT(MONTH('Campaign Data'!$A1405),"00")</f>
        <v>2026-03</v>
      </c>
    </row>
    <row r="1406" spans="1:21" x14ac:dyDescent="0.25">
      <c r="A1406">
        <v>46098</v>
      </c>
      <c r="B1406" t="s">
        <v>140</v>
      </c>
      <c r="C1406" t="s">
        <v>40</v>
      </c>
      <c r="D1406" t="s">
        <v>41</v>
      </c>
      <c r="E1406" t="s">
        <v>42</v>
      </c>
      <c r="F1406" t="s">
        <v>43</v>
      </c>
      <c r="G1406" t="s">
        <v>44</v>
      </c>
      <c r="H1406" t="s">
        <v>27</v>
      </c>
      <c r="I1406" t="s">
        <v>28</v>
      </c>
      <c r="J1406" t="s">
        <v>87</v>
      </c>
      <c r="K1406">
        <v>7406</v>
      </c>
      <c r="L1406">
        <v>46</v>
      </c>
      <c r="M1406">
        <v>330.3</v>
      </c>
      <c r="N1406">
        <v>3</v>
      </c>
      <c r="O1406">
        <v>107.25</v>
      </c>
      <c r="P1406">
        <f t="shared" si="84"/>
        <v>6.2111801242236021E-3</v>
      </c>
      <c r="Q1406">
        <f t="shared" si="84"/>
        <v>7.1804347826086961</v>
      </c>
      <c r="R1406">
        <f t="shared" si="85"/>
        <v>110.10000000000001</v>
      </c>
      <c r="S1406">
        <f t="shared" si="86"/>
        <v>0.32470481380563121</v>
      </c>
      <c r="T1406">
        <f t="shared" si="87"/>
        <v>6.5217391304347824E-2</v>
      </c>
      <c r="U1406" t="str">
        <f>YEAR('Campaign Data'!$A1406)&amp;"-"&amp;TEXT(MONTH('Campaign Data'!$A1406),"00")</f>
        <v>2026-03</v>
      </c>
    </row>
    <row r="1407" spans="1:21" x14ac:dyDescent="0.25">
      <c r="A1407">
        <v>46098</v>
      </c>
      <c r="B1407" t="s">
        <v>161</v>
      </c>
      <c r="C1407" t="s">
        <v>162</v>
      </c>
      <c r="D1407" t="s">
        <v>48</v>
      </c>
      <c r="E1407" t="s">
        <v>74</v>
      </c>
      <c r="F1407" t="s">
        <v>34</v>
      </c>
      <c r="G1407" t="s">
        <v>107</v>
      </c>
      <c r="H1407" t="s">
        <v>51</v>
      </c>
      <c r="I1407" t="s">
        <v>37</v>
      </c>
      <c r="J1407" t="s">
        <v>45</v>
      </c>
      <c r="K1407">
        <v>10924</v>
      </c>
      <c r="L1407">
        <v>297</v>
      </c>
      <c r="M1407">
        <v>314.45</v>
      </c>
      <c r="N1407">
        <v>17</v>
      </c>
      <c r="O1407">
        <v>2244.56</v>
      </c>
      <c r="P1407">
        <f t="shared" si="84"/>
        <v>2.7187843280849507E-2</v>
      </c>
      <c r="Q1407">
        <f t="shared" si="84"/>
        <v>1.0587542087542088</v>
      </c>
      <c r="R1407">
        <f t="shared" si="85"/>
        <v>18.497058823529411</v>
      </c>
      <c r="S1407">
        <f t="shared" si="86"/>
        <v>7.1380505644776591</v>
      </c>
      <c r="T1407">
        <f t="shared" si="87"/>
        <v>5.7239057239057242E-2</v>
      </c>
      <c r="U1407" t="str">
        <f>YEAR('Campaign Data'!$A1407)&amp;"-"&amp;TEXT(MONTH('Campaign Data'!$A1407),"00")</f>
        <v>2026-03</v>
      </c>
    </row>
    <row r="1408" spans="1:21" x14ac:dyDescent="0.25">
      <c r="A1408">
        <v>46098</v>
      </c>
      <c r="B1408" t="s">
        <v>141</v>
      </c>
      <c r="C1408" t="s">
        <v>142</v>
      </c>
      <c r="D1408" t="s">
        <v>80</v>
      </c>
      <c r="E1408" t="s">
        <v>49</v>
      </c>
      <c r="F1408" t="s">
        <v>81</v>
      </c>
      <c r="G1408" t="s">
        <v>97</v>
      </c>
      <c r="H1408" t="s">
        <v>55</v>
      </c>
      <c r="I1408" t="s">
        <v>28</v>
      </c>
      <c r="J1408" t="s">
        <v>87</v>
      </c>
      <c r="K1408">
        <v>3971</v>
      </c>
      <c r="L1408">
        <v>93</v>
      </c>
      <c r="M1408">
        <v>97.19</v>
      </c>
      <c r="N1408">
        <v>3</v>
      </c>
      <c r="O1408">
        <v>55.68</v>
      </c>
      <c r="P1408">
        <f t="shared" si="84"/>
        <v>2.3419793502895997E-2</v>
      </c>
      <c r="Q1408">
        <f t="shared" si="84"/>
        <v>1.0450537634408601</v>
      </c>
      <c r="R1408">
        <f t="shared" si="85"/>
        <v>32.396666666666668</v>
      </c>
      <c r="S1408">
        <f t="shared" si="86"/>
        <v>0.57289844634221632</v>
      </c>
      <c r="T1408">
        <f t="shared" si="87"/>
        <v>3.2258064516129031E-2</v>
      </c>
      <c r="U1408" t="str">
        <f>YEAR('Campaign Data'!$A1408)&amp;"-"&amp;TEXT(MONTH('Campaign Data'!$A1408),"00")</f>
        <v>2026-03</v>
      </c>
    </row>
    <row r="1409" spans="1:21" x14ac:dyDescent="0.25">
      <c r="A1409">
        <v>46098</v>
      </c>
      <c r="B1409" t="s">
        <v>136</v>
      </c>
      <c r="C1409" t="s">
        <v>137</v>
      </c>
      <c r="D1409" t="s">
        <v>32</v>
      </c>
      <c r="E1409" t="s">
        <v>49</v>
      </c>
      <c r="F1409" t="s">
        <v>75</v>
      </c>
      <c r="G1409" t="s">
        <v>97</v>
      </c>
      <c r="H1409" t="s">
        <v>90</v>
      </c>
      <c r="I1409" t="s">
        <v>28</v>
      </c>
      <c r="J1409" t="s">
        <v>38</v>
      </c>
      <c r="K1409">
        <v>21612</v>
      </c>
      <c r="L1409">
        <v>1138</v>
      </c>
      <c r="M1409">
        <v>492.34</v>
      </c>
      <c r="N1409">
        <v>70</v>
      </c>
      <c r="O1409">
        <v>1060.27</v>
      </c>
      <c r="P1409">
        <f t="shared" si="84"/>
        <v>5.2655931889690914E-2</v>
      </c>
      <c r="Q1409">
        <f t="shared" si="84"/>
        <v>0.43263620386643231</v>
      </c>
      <c r="R1409">
        <f t="shared" si="85"/>
        <v>7.0334285714285709</v>
      </c>
      <c r="S1409">
        <f t="shared" si="86"/>
        <v>2.1535321119551529</v>
      </c>
      <c r="T1409">
        <f t="shared" si="87"/>
        <v>6.1511423550087874E-2</v>
      </c>
      <c r="U1409" t="str">
        <f>YEAR('Campaign Data'!$A1409)&amp;"-"&amp;TEXT(MONTH('Campaign Data'!$A1409),"00")</f>
        <v>2026-03</v>
      </c>
    </row>
    <row r="1410" spans="1:21" x14ac:dyDescent="0.25">
      <c r="A1410">
        <v>46098</v>
      </c>
      <c r="B1410" t="s">
        <v>67</v>
      </c>
      <c r="C1410" t="s">
        <v>68</v>
      </c>
      <c r="D1410" t="s">
        <v>69</v>
      </c>
      <c r="E1410" t="s">
        <v>49</v>
      </c>
      <c r="F1410" t="s">
        <v>34</v>
      </c>
      <c r="G1410" t="s">
        <v>70</v>
      </c>
      <c r="H1410" t="s">
        <v>90</v>
      </c>
      <c r="I1410" t="s">
        <v>37</v>
      </c>
      <c r="J1410" t="s">
        <v>87</v>
      </c>
      <c r="K1410">
        <v>1687</v>
      </c>
      <c r="L1410">
        <v>80</v>
      </c>
      <c r="M1410">
        <v>39.549999999999997</v>
      </c>
      <c r="N1410">
        <v>3</v>
      </c>
      <c r="O1410">
        <v>108.13</v>
      </c>
      <c r="P1410">
        <f t="shared" ref="P1410:Q1473" si="88">IF(K1410=0,0,L1410/K1410)</f>
        <v>4.7421458209839951E-2</v>
      </c>
      <c r="Q1410">
        <f t="shared" si="88"/>
        <v>0.49437499999999995</v>
      </c>
      <c r="R1410">
        <f t="shared" ref="R1410:R1473" si="89">IF(N1410=0,0,M1410/N1410)</f>
        <v>13.183333333333332</v>
      </c>
      <c r="S1410">
        <f t="shared" ref="S1410:S1473" si="90">IF(M1410=0,0,O1410/M1410)</f>
        <v>2.7340075853350192</v>
      </c>
      <c r="T1410">
        <f t="shared" ref="T1410:T1473" si="91">IF(L1410=0,0,N1410/L1410)</f>
        <v>3.7499999999999999E-2</v>
      </c>
      <c r="U1410" t="str">
        <f>YEAR('Campaign Data'!$A1410)&amp;"-"&amp;TEXT(MONTH('Campaign Data'!$A1410),"00")</f>
        <v>2026-03</v>
      </c>
    </row>
    <row r="1411" spans="1:21" x14ac:dyDescent="0.25">
      <c r="A1411">
        <v>46098</v>
      </c>
      <c r="B1411" t="s">
        <v>72</v>
      </c>
      <c r="C1411" t="s">
        <v>73</v>
      </c>
      <c r="D1411" t="s">
        <v>69</v>
      </c>
      <c r="E1411" t="s">
        <v>74</v>
      </c>
      <c r="F1411" t="s">
        <v>75</v>
      </c>
      <c r="G1411" t="s">
        <v>9</v>
      </c>
      <c r="H1411" t="s">
        <v>36</v>
      </c>
      <c r="I1411" t="s">
        <v>37</v>
      </c>
      <c r="J1411" t="s">
        <v>38</v>
      </c>
      <c r="K1411">
        <v>2982</v>
      </c>
      <c r="L1411">
        <v>61</v>
      </c>
      <c r="M1411">
        <v>77.72</v>
      </c>
      <c r="N1411">
        <v>1</v>
      </c>
      <c r="O1411">
        <v>28.23</v>
      </c>
      <c r="P1411">
        <f t="shared" si="88"/>
        <v>2.04560697518444E-2</v>
      </c>
      <c r="Q1411">
        <f t="shared" si="88"/>
        <v>1.2740983606557377</v>
      </c>
      <c r="R1411">
        <f t="shared" si="89"/>
        <v>77.72</v>
      </c>
      <c r="S1411">
        <f t="shared" si="90"/>
        <v>0.36322696860524961</v>
      </c>
      <c r="T1411">
        <f t="shared" si="91"/>
        <v>1.6393442622950821E-2</v>
      </c>
      <c r="U1411" t="str">
        <f>YEAR('Campaign Data'!$A1411)&amp;"-"&amp;TEXT(MONTH('Campaign Data'!$A1411),"00")</f>
        <v>2026-03</v>
      </c>
    </row>
    <row r="1412" spans="1:21" x14ac:dyDescent="0.25">
      <c r="A1412">
        <v>46098</v>
      </c>
      <c r="B1412" t="s">
        <v>76</v>
      </c>
      <c r="C1412" t="s">
        <v>77</v>
      </c>
      <c r="D1412" t="s">
        <v>65</v>
      </c>
      <c r="E1412" t="s">
        <v>42</v>
      </c>
      <c r="F1412" t="s">
        <v>43</v>
      </c>
      <c r="G1412" t="s">
        <v>44</v>
      </c>
      <c r="H1412" t="s">
        <v>36</v>
      </c>
      <c r="I1412" t="s">
        <v>37</v>
      </c>
      <c r="J1412" t="s">
        <v>29</v>
      </c>
      <c r="K1412">
        <v>8737</v>
      </c>
      <c r="L1412">
        <v>39</v>
      </c>
      <c r="M1412">
        <v>136.71</v>
      </c>
      <c r="N1412">
        <v>0</v>
      </c>
      <c r="O1412">
        <v>0</v>
      </c>
      <c r="P1412">
        <f t="shared" si="88"/>
        <v>4.4637747510587154E-3</v>
      </c>
      <c r="Q1412">
        <f t="shared" si="88"/>
        <v>3.5053846153846155</v>
      </c>
      <c r="R1412">
        <f t="shared" si="89"/>
        <v>0</v>
      </c>
      <c r="S1412">
        <f t="shared" si="90"/>
        <v>0</v>
      </c>
      <c r="T1412">
        <f t="shared" si="91"/>
        <v>0</v>
      </c>
      <c r="U1412" t="str">
        <f>YEAR('Campaign Data'!$A1412)&amp;"-"&amp;TEXT(MONTH('Campaign Data'!$A1412),"00")</f>
        <v>2026-03</v>
      </c>
    </row>
    <row r="1413" spans="1:21" x14ac:dyDescent="0.25">
      <c r="A1413">
        <v>46098</v>
      </c>
      <c r="B1413" t="s">
        <v>76</v>
      </c>
      <c r="C1413" t="s">
        <v>77</v>
      </c>
      <c r="D1413" t="s">
        <v>65</v>
      </c>
      <c r="E1413" t="s">
        <v>42</v>
      </c>
      <c r="F1413" t="s">
        <v>43</v>
      </c>
      <c r="G1413" t="s">
        <v>44</v>
      </c>
      <c r="H1413" t="s">
        <v>51</v>
      </c>
      <c r="I1413" t="s">
        <v>61</v>
      </c>
      <c r="J1413" t="s">
        <v>62</v>
      </c>
      <c r="K1413">
        <v>7541</v>
      </c>
      <c r="L1413">
        <v>48</v>
      </c>
      <c r="M1413">
        <v>185.75</v>
      </c>
      <c r="N1413">
        <v>1</v>
      </c>
      <c r="O1413">
        <v>24.37</v>
      </c>
      <c r="P1413">
        <f t="shared" si="88"/>
        <v>6.3652035539053173E-3</v>
      </c>
      <c r="Q1413">
        <f t="shared" si="88"/>
        <v>3.8697916666666665</v>
      </c>
      <c r="R1413">
        <f t="shared" si="89"/>
        <v>185.75</v>
      </c>
      <c r="S1413">
        <f t="shared" si="90"/>
        <v>0.13119784656796771</v>
      </c>
      <c r="T1413">
        <f t="shared" si="91"/>
        <v>2.0833333333333332E-2</v>
      </c>
      <c r="U1413" t="str">
        <f>YEAR('Campaign Data'!$A1413)&amp;"-"&amp;TEXT(MONTH('Campaign Data'!$A1413),"00")</f>
        <v>2026-03</v>
      </c>
    </row>
    <row r="1414" spans="1:21" x14ac:dyDescent="0.25">
      <c r="A1414">
        <v>46099</v>
      </c>
      <c r="B1414" t="s">
        <v>85</v>
      </c>
      <c r="C1414" t="s">
        <v>86</v>
      </c>
      <c r="D1414" t="s">
        <v>80</v>
      </c>
      <c r="E1414" t="s">
        <v>33</v>
      </c>
      <c r="F1414" t="s">
        <v>43</v>
      </c>
      <c r="G1414" t="s">
        <v>35</v>
      </c>
      <c r="H1414" t="s">
        <v>71</v>
      </c>
      <c r="I1414" t="s">
        <v>37</v>
      </c>
      <c r="J1414" t="s">
        <v>45</v>
      </c>
      <c r="K1414">
        <v>16441</v>
      </c>
      <c r="L1414">
        <v>158</v>
      </c>
      <c r="M1414">
        <v>68.150000000000006</v>
      </c>
      <c r="N1414">
        <v>1</v>
      </c>
      <c r="O1414">
        <v>23.77</v>
      </c>
      <c r="P1414">
        <f t="shared" si="88"/>
        <v>9.6101210388662497E-3</v>
      </c>
      <c r="Q1414">
        <f t="shared" si="88"/>
        <v>0.43132911392405066</v>
      </c>
      <c r="R1414">
        <f t="shared" si="89"/>
        <v>68.150000000000006</v>
      </c>
      <c r="S1414">
        <f t="shared" si="90"/>
        <v>0.34878943506969917</v>
      </c>
      <c r="T1414">
        <f t="shared" si="91"/>
        <v>6.3291139240506328E-3</v>
      </c>
      <c r="U1414" t="str">
        <f>YEAR('Campaign Data'!$A1414)&amp;"-"&amp;TEXT(MONTH('Campaign Data'!$A1414),"00")</f>
        <v>2026-03</v>
      </c>
    </row>
    <row r="1415" spans="1:21" x14ac:dyDescent="0.25">
      <c r="A1415">
        <v>46099</v>
      </c>
      <c r="B1415" t="s">
        <v>167</v>
      </c>
      <c r="C1415" t="s">
        <v>168</v>
      </c>
      <c r="D1415" t="s">
        <v>58</v>
      </c>
      <c r="E1415" t="s">
        <v>33</v>
      </c>
      <c r="F1415" t="s">
        <v>75</v>
      </c>
      <c r="G1415" t="s">
        <v>35</v>
      </c>
      <c r="H1415" t="s">
        <v>60</v>
      </c>
      <c r="I1415" t="s">
        <v>37</v>
      </c>
      <c r="J1415" t="s">
        <v>38</v>
      </c>
      <c r="K1415">
        <v>4339</v>
      </c>
      <c r="L1415">
        <v>38</v>
      </c>
      <c r="M1415">
        <v>30.56</v>
      </c>
      <c r="N1415">
        <v>1</v>
      </c>
      <c r="O1415">
        <v>71.150000000000006</v>
      </c>
      <c r="P1415">
        <f t="shared" si="88"/>
        <v>8.7577782899285542E-3</v>
      </c>
      <c r="Q1415">
        <f t="shared" si="88"/>
        <v>0.80421052631578949</v>
      </c>
      <c r="R1415">
        <f t="shared" si="89"/>
        <v>30.56</v>
      </c>
      <c r="S1415">
        <f t="shared" si="90"/>
        <v>2.3282068062827226</v>
      </c>
      <c r="T1415">
        <f t="shared" si="91"/>
        <v>2.6315789473684209E-2</v>
      </c>
      <c r="U1415" t="str">
        <f>YEAR('Campaign Data'!$A1415)&amp;"-"&amp;TEXT(MONTH('Campaign Data'!$A1415),"00")</f>
        <v>2026-03</v>
      </c>
    </row>
    <row r="1416" spans="1:21" x14ac:dyDescent="0.25">
      <c r="A1416">
        <v>46099</v>
      </c>
      <c r="B1416" t="s">
        <v>167</v>
      </c>
      <c r="C1416" t="s">
        <v>168</v>
      </c>
      <c r="D1416" t="s">
        <v>58</v>
      </c>
      <c r="E1416" t="s">
        <v>33</v>
      </c>
      <c r="F1416" t="s">
        <v>75</v>
      </c>
      <c r="G1416" t="s">
        <v>35</v>
      </c>
      <c r="H1416" t="s">
        <v>90</v>
      </c>
      <c r="I1416" t="s">
        <v>37</v>
      </c>
      <c r="J1416" t="s">
        <v>45</v>
      </c>
      <c r="K1416">
        <v>3252</v>
      </c>
      <c r="L1416">
        <v>26</v>
      </c>
      <c r="M1416">
        <v>4.7</v>
      </c>
      <c r="N1416">
        <v>0</v>
      </c>
      <c r="O1416">
        <v>0</v>
      </c>
      <c r="P1416">
        <f t="shared" si="88"/>
        <v>7.9950799507995073E-3</v>
      </c>
      <c r="Q1416">
        <f t="shared" si="88"/>
        <v>0.18076923076923077</v>
      </c>
      <c r="R1416">
        <f t="shared" si="89"/>
        <v>0</v>
      </c>
      <c r="S1416">
        <f t="shared" si="90"/>
        <v>0</v>
      </c>
      <c r="T1416">
        <f t="shared" si="91"/>
        <v>0</v>
      </c>
      <c r="U1416" t="str">
        <f>YEAR('Campaign Data'!$A1416)&amp;"-"&amp;TEXT(MONTH('Campaign Data'!$A1416),"00")</f>
        <v>2026-03</v>
      </c>
    </row>
    <row r="1417" spans="1:21" x14ac:dyDescent="0.25">
      <c r="A1417">
        <v>46099</v>
      </c>
      <c r="B1417" t="s">
        <v>147</v>
      </c>
      <c r="C1417" t="s">
        <v>148</v>
      </c>
      <c r="D1417" t="s">
        <v>23</v>
      </c>
      <c r="E1417" t="s">
        <v>42</v>
      </c>
      <c r="F1417" t="s">
        <v>75</v>
      </c>
      <c r="G1417" t="s">
        <v>44</v>
      </c>
      <c r="H1417" t="s">
        <v>36</v>
      </c>
      <c r="I1417" t="s">
        <v>37</v>
      </c>
      <c r="J1417" t="s">
        <v>29</v>
      </c>
      <c r="K1417">
        <v>4057</v>
      </c>
      <c r="L1417">
        <v>18</v>
      </c>
      <c r="M1417">
        <v>80.17</v>
      </c>
      <c r="N1417">
        <v>2</v>
      </c>
      <c r="O1417">
        <v>61.28</v>
      </c>
      <c r="P1417">
        <f t="shared" si="88"/>
        <v>4.4367759428148882E-3</v>
      </c>
      <c r="Q1417">
        <f t="shared" si="88"/>
        <v>4.4538888888888888</v>
      </c>
      <c r="R1417">
        <f t="shared" si="89"/>
        <v>40.085000000000001</v>
      </c>
      <c r="S1417">
        <f t="shared" si="90"/>
        <v>0.76437570163402768</v>
      </c>
      <c r="T1417">
        <f t="shared" si="91"/>
        <v>0.1111111111111111</v>
      </c>
      <c r="U1417" t="str">
        <f>YEAR('Campaign Data'!$A1417)&amp;"-"&amp;TEXT(MONTH('Campaign Data'!$A1417),"00")</f>
        <v>2026-03</v>
      </c>
    </row>
    <row r="1418" spans="1:21" x14ac:dyDescent="0.25">
      <c r="A1418">
        <v>46099</v>
      </c>
      <c r="B1418" t="s">
        <v>138</v>
      </c>
      <c r="C1418" t="s">
        <v>139</v>
      </c>
      <c r="D1418" t="s">
        <v>58</v>
      </c>
      <c r="E1418" t="s">
        <v>74</v>
      </c>
      <c r="F1418" t="s">
        <v>34</v>
      </c>
      <c r="G1418" t="s">
        <v>9</v>
      </c>
      <c r="H1418" t="s">
        <v>71</v>
      </c>
      <c r="I1418" t="s">
        <v>37</v>
      </c>
      <c r="J1418" t="s">
        <v>45</v>
      </c>
      <c r="K1418">
        <v>17404</v>
      </c>
      <c r="L1418">
        <v>425</v>
      </c>
      <c r="M1418">
        <v>488.73</v>
      </c>
      <c r="N1418">
        <v>19</v>
      </c>
      <c r="O1418">
        <v>1662.49</v>
      </c>
      <c r="P1418">
        <f t="shared" si="88"/>
        <v>2.4419673638244082E-2</v>
      </c>
      <c r="Q1418">
        <f t="shared" si="88"/>
        <v>1.1499529411764706</v>
      </c>
      <c r="R1418">
        <f t="shared" si="89"/>
        <v>25.722631578947368</v>
      </c>
      <c r="S1418">
        <f t="shared" si="90"/>
        <v>3.4016532645837168</v>
      </c>
      <c r="T1418">
        <f t="shared" si="91"/>
        <v>4.4705882352941179E-2</v>
      </c>
      <c r="U1418" t="str">
        <f>YEAR('Campaign Data'!$A1418)&amp;"-"&amp;TEXT(MONTH('Campaign Data'!$A1418),"00")</f>
        <v>2026-03</v>
      </c>
    </row>
    <row r="1419" spans="1:21" x14ac:dyDescent="0.25">
      <c r="A1419">
        <v>46099</v>
      </c>
      <c r="B1419" t="s">
        <v>93</v>
      </c>
      <c r="C1419" t="s">
        <v>94</v>
      </c>
      <c r="D1419" t="s">
        <v>69</v>
      </c>
      <c r="E1419" t="s">
        <v>42</v>
      </c>
      <c r="F1419" t="s">
        <v>75</v>
      </c>
      <c r="G1419" t="s">
        <v>44</v>
      </c>
      <c r="H1419" t="s">
        <v>90</v>
      </c>
      <c r="I1419" t="s">
        <v>28</v>
      </c>
      <c r="J1419" t="s">
        <v>29</v>
      </c>
      <c r="K1419">
        <v>54523</v>
      </c>
      <c r="L1419">
        <v>348</v>
      </c>
      <c r="M1419">
        <v>644.37</v>
      </c>
      <c r="N1419">
        <v>7</v>
      </c>
      <c r="O1419">
        <v>35.270000000000003</v>
      </c>
      <c r="P1419">
        <f t="shared" si="88"/>
        <v>6.3826275149936728E-3</v>
      </c>
      <c r="Q1419">
        <f t="shared" si="88"/>
        <v>1.8516379310344828</v>
      </c>
      <c r="R1419">
        <f t="shared" si="89"/>
        <v>92.05285714285715</v>
      </c>
      <c r="S1419">
        <f t="shared" si="90"/>
        <v>5.4735633254186261E-2</v>
      </c>
      <c r="T1419">
        <f t="shared" si="91"/>
        <v>2.0114942528735632E-2</v>
      </c>
      <c r="U1419" t="str">
        <f>YEAR('Campaign Data'!$A1419)&amp;"-"&amp;TEXT(MONTH('Campaign Data'!$A1419),"00")</f>
        <v>2026-03</v>
      </c>
    </row>
    <row r="1420" spans="1:21" x14ac:dyDescent="0.25">
      <c r="A1420">
        <v>46099</v>
      </c>
      <c r="B1420" t="s">
        <v>39</v>
      </c>
      <c r="C1420" t="s">
        <v>40</v>
      </c>
      <c r="D1420" t="s">
        <v>41</v>
      </c>
      <c r="E1420" t="s">
        <v>42</v>
      </c>
      <c r="F1420" t="s">
        <v>43</v>
      </c>
      <c r="G1420" t="s">
        <v>44</v>
      </c>
      <c r="H1420" t="s">
        <v>36</v>
      </c>
      <c r="I1420" t="s">
        <v>37</v>
      </c>
      <c r="J1420" t="s">
        <v>38</v>
      </c>
      <c r="K1420">
        <v>3933</v>
      </c>
      <c r="L1420">
        <v>27</v>
      </c>
      <c r="M1420">
        <v>227.86</v>
      </c>
      <c r="N1420">
        <v>0</v>
      </c>
      <c r="O1420">
        <v>0</v>
      </c>
      <c r="P1420">
        <f t="shared" si="88"/>
        <v>6.8649885583524023E-3</v>
      </c>
      <c r="Q1420">
        <f t="shared" si="88"/>
        <v>8.4392592592592592</v>
      </c>
      <c r="R1420">
        <f t="shared" si="89"/>
        <v>0</v>
      </c>
      <c r="S1420">
        <f t="shared" si="90"/>
        <v>0</v>
      </c>
      <c r="T1420">
        <f t="shared" si="91"/>
        <v>0</v>
      </c>
      <c r="U1420" t="str">
        <f>YEAR('Campaign Data'!$A1420)&amp;"-"&amp;TEXT(MONTH('Campaign Data'!$A1420),"00")</f>
        <v>2026-03</v>
      </c>
    </row>
    <row r="1421" spans="1:21" x14ac:dyDescent="0.25">
      <c r="A1421">
        <v>46099</v>
      </c>
      <c r="B1421" t="s">
        <v>103</v>
      </c>
      <c r="C1421" t="s">
        <v>104</v>
      </c>
      <c r="D1421" t="s">
        <v>65</v>
      </c>
      <c r="E1421" t="s">
        <v>33</v>
      </c>
      <c r="F1421" t="s">
        <v>43</v>
      </c>
      <c r="G1421" t="s">
        <v>102</v>
      </c>
      <c r="H1421" t="s">
        <v>27</v>
      </c>
      <c r="I1421" t="s">
        <v>28</v>
      </c>
      <c r="J1421" t="s">
        <v>45</v>
      </c>
      <c r="K1421">
        <v>5318</v>
      </c>
      <c r="L1421">
        <v>38</v>
      </c>
      <c r="M1421">
        <v>29.72</v>
      </c>
      <c r="N1421">
        <v>0</v>
      </c>
      <c r="O1421">
        <v>0</v>
      </c>
      <c r="P1421">
        <f t="shared" si="88"/>
        <v>7.1455434373824747E-3</v>
      </c>
      <c r="Q1421">
        <f t="shared" si="88"/>
        <v>0.78210526315789475</v>
      </c>
      <c r="R1421">
        <f t="shared" si="89"/>
        <v>0</v>
      </c>
      <c r="S1421">
        <f t="shared" si="90"/>
        <v>0</v>
      </c>
      <c r="T1421">
        <f t="shared" si="91"/>
        <v>0</v>
      </c>
      <c r="U1421" t="str">
        <f>YEAR('Campaign Data'!$A1421)&amp;"-"&amp;TEXT(MONTH('Campaign Data'!$A1421),"00")</f>
        <v>2026-03</v>
      </c>
    </row>
    <row r="1422" spans="1:21" x14ac:dyDescent="0.25">
      <c r="A1422">
        <v>46099</v>
      </c>
      <c r="B1422" t="s">
        <v>108</v>
      </c>
      <c r="C1422" t="s">
        <v>109</v>
      </c>
      <c r="D1422" t="s">
        <v>58</v>
      </c>
      <c r="E1422" t="s">
        <v>33</v>
      </c>
      <c r="F1422" t="s">
        <v>43</v>
      </c>
      <c r="G1422" t="s">
        <v>59</v>
      </c>
      <c r="H1422" t="s">
        <v>71</v>
      </c>
      <c r="I1422" t="s">
        <v>28</v>
      </c>
      <c r="J1422" t="s">
        <v>87</v>
      </c>
      <c r="K1422">
        <v>28238</v>
      </c>
      <c r="L1422">
        <v>341</v>
      </c>
      <c r="M1422">
        <v>105.22</v>
      </c>
      <c r="N1422">
        <v>8</v>
      </c>
      <c r="O1422">
        <v>194.22</v>
      </c>
      <c r="P1422">
        <f t="shared" si="88"/>
        <v>1.2075926057086196E-2</v>
      </c>
      <c r="Q1422">
        <f t="shared" si="88"/>
        <v>0.30856304985337241</v>
      </c>
      <c r="R1422">
        <f t="shared" si="89"/>
        <v>13.1525</v>
      </c>
      <c r="S1422">
        <f t="shared" si="90"/>
        <v>1.8458467971868466</v>
      </c>
      <c r="T1422">
        <f t="shared" si="91"/>
        <v>2.3460410557184751E-2</v>
      </c>
      <c r="U1422" t="str">
        <f>YEAR('Campaign Data'!$A1422)&amp;"-"&amp;TEXT(MONTH('Campaign Data'!$A1422),"00")</f>
        <v>2026-03</v>
      </c>
    </row>
    <row r="1423" spans="1:21" x14ac:dyDescent="0.25">
      <c r="A1423">
        <v>46099</v>
      </c>
      <c r="B1423" t="s">
        <v>140</v>
      </c>
      <c r="C1423" t="s">
        <v>40</v>
      </c>
      <c r="D1423" t="s">
        <v>41</v>
      </c>
      <c r="E1423" t="s">
        <v>42</v>
      </c>
      <c r="F1423" t="s">
        <v>43</v>
      </c>
      <c r="G1423" t="s">
        <v>44</v>
      </c>
      <c r="H1423" t="s">
        <v>36</v>
      </c>
      <c r="I1423" t="s">
        <v>28</v>
      </c>
      <c r="J1423" t="s">
        <v>62</v>
      </c>
      <c r="K1423">
        <v>9349</v>
      </c>
      <c r="L1423">
        <v>85</v>
      </c>
      <c r="M1423">
        <v>316.17</v>
      </c>
      <c r="N1423">
        <v>5</v>
      </c>
      <c r="O1423">
        <v>139.34</v>
      </c>
      <c r="P1423">
        <f t="shared" si="88"/>
        <v>9.0918814846507653E-3</v>
      </c>
      <c r="Q1423">
        <f t="shared" si="88"/>
        <v>3.7196470588235298</v>
      </c>
      <c r="R1423">
        <f t="shared" si="89"/>
        <v>63.234000000000002</v>
      </c>
      <c r="S1423">
        <f t="shared" si="90"/>
        <v>0.4407122750419078</v>
      </c>
      <c r="T1423">
        <f t="shared" si="91"/>
        <v>5.8823529411764705E-2</v>
      </c>
      <c r="U1423" t="str">
        <f>YEAR('Campaign Data'!$A1423)&amp;"-"&amp;TEXT(MONTH('Campaign Data'!$A1423),"00")</f>
        <v>2026-03</v>
      </c>
    </row>
    <row r="1424" spans="1:21" x14ac:dyDescent="0.25">
      <c r="A1424">
        <v>46099</v>
      </c>
      <c r="B1424" t="s">
        <v>140</v>
      </c>
      <c r="C1424" t="s">
        <v>40</v>
      </c>
      <c r="D1424" t="s">
        <v>41</v>
      </c>
      <c r="E1424" t="s">
        <v>42</v>
      </c>
      <c r="F1424" t="s">
        <v>43</v>
      </c>
      <c r="G1424" t="s">
        <v>44</v>
      </c>
      <c r="H1424" t="s">
        <v>27</v>
      </c>
      <c r="I1424" t="s">
        <v>37</v>
      </c>
      <c r="J1424" t="s">
        <v>62</v>
      </c>
      <c r="K1424">
        <v>2905</v>
      </c>
      <c r="L1424">
        <v>23</v>
      </c>
      <c r="M1424">
        <v>198.37</v>
      </c>
      <c r="N1424">
        <v>0</v>
      </c>
      <c r="O1424">
        <v>0</v>
      </c>
      <c r="P1424">
        <f t="shared" si="88"/>
        <v>7.9173838209982781E-3</v>
      </c>
      <c r="Q1424">
        <f t="shared" si="88"/>
        <v>8.6247826086956518</v>
      </c>
      <c r="R1424">
        <f t="shared" si="89"/>
        <v>0</v>
      </c>
      <c r="S1424">
        <f t="shared" si="90"/>
        <v>0</v>
      </c>
      <c r="T1424">
        <f t="shared" si="91"/>
        <v>0</v>
      </c>
      <c r="U1424" t="str">
        <f>YEAR('Campaign Data'!$A1424)&amp;"-"&amp;TEXT(MONTH('Campaign Data'!$A1424),"00")</f>
        <v>2026-03</v>
      </c>
    </row>
    <row r="1425" spans="1:21" x14ac:dyDescent="0.25">
      <c r="A1425">
        <v>46099</v>
      </c>
      <c r="B1425" t="s">
        <v>134</v>
      </c>
      <c r="C1425" t="s">
        <v>135</v>
      </c>
      <c r="D1425" t="s">
        <v>32</v>
      </c>
      <c r="E1425" t="s">
        <v>74</v>
      </c>
      <c r="F1425" t="s">
        <v>25</v>
      </c>
      <c r="G1425" t="s">
        <v>107</v>
      </c>
      <c r="H1425" t="s">
        <v>60</v>
      </c>
      <c r="I1425" t="s">
        <v>37</v>
      </c>
      <c r="J1425" t="s">
        <v>45</v>
      </c>
      <c r="K1425">
        <v>6003</v>
      </c>
      <c r="L1425">
        <v>165</v>
      </c>
      <c r="M1425">
        <v>273.60000000000002</v>
      </c>
      <c r="N1425">
        <v>4</v>
      </c>
      <c r="O1425">
        <v>378.35</v>
      </c>
      <c r="P1425">
        <f t="shared" si="88"/>
        <v>2.7486256871564217E-2</v>
      </c>
      <c r="Q1425">
        <f t="shared" si="88"/>
        <v>1.6581818181818184</v>
      </c>
      <c r="R1425">
        <f t="shared" si="89"/>
        <v>68.400000000000006</v>
      </c>
      <c r="S1425">
        <f t="shared" si="90"/>
        <v>1.3828581871345029</v>
      </c>
      <c r="T1425">
        <f t="shared" si="91"/>
        <v>2.4242424242424242E-2</v>
      </c>
      <c r="U1425" t="str">
        <f>YEAR('Campaign Data'!$A1425)&amp;"-"&amp;TEXT(MONTH('Campaign Data'!$A1425),"00")</f>
        <v>2026-03</v>
      </c>
    </row>
    <row r="1426" spans="1:21" x14ac:dyDescent="0.25">
      <c r="A1426">
        <v>46099</v>
      </c>
      <c r="B1426" t="s">
        <v>134</v>
      </c>
      <c r="C1426" t="s">
        <v>135</v>
      </c>
      <c r="D1426" t="s">
        <v>32</v>
      </c>
      <c r="E1426" t="s">
        <v>74</v>
      </c>
      <c r="F1426" t="s">
        <v>25</v>
      </c>
      <c r="G1426" t="s">
        <v>107</v>
      </c>
      <c r="H1426" t="s">
        <v>55</v>
      </c>
      <c r="I1426" t="s">
        <v>28</v>
      </c>
      <c r="J1426" t="s">
        <v>29</v>
      </c>
      <c r="K1426">
        <v>11890</v>
      </c>
      <c r="L1426">
        <v>398</v>
      </c>
      <c r="M1426">
        <v>509.33</v>
      </c>
      <c r="N1426">
        <v>25</v>
      </c>
      <c r="O1426">
        <v>2699.02</v>
      </c>
      <c r="P1426">
        <f t="shared" si="88"/>
        <v>3.3473507148864594E-2</v>
      </c>
      <c r="Q1426">
        <f t="shared" si="88"/>
        <v>1.2797236180904523</v>
      </c>
      <c r="R1426">
        <f t="shared" si="89"/>
        <v>20.373200000000001</v>
      </c>
      <c r="S1426">
        <f t="shared" si="90"/>
        <v>5.2991577170007655</v>
      </c>
      <c r="T1426">
        <f t="shared" si="91"/>
        <v>6.2814070351758788E-2</v>
      </c>
      <c r="U1426" t="str">
        <f>YEAR('Campaign Data'!$A1426)&amp;"-"&amp;TEXT(MONTH('Campaign Data'!$A1426),"00")</f>
        <v>2026-03</v>
      </c>
    </row>
    <row r="1427" spans="1:21" x14ac:dyDescent="0.25">
      <c r="A1427">
        <v>46099</v>
      </c>
      <c r="B1427" t="s">
        <v>141</v>
      </c>
      <c r="C1427" t="s">
        <v>142</v>
      </c>
      <c r="D1427" t="s">
        <v>80</v>
      </c>
      <c r="E1427" t="s">
        <v>49</v>
      </c>
      <c r="F1427" t="s">
        <v>81</v>
      </c>
      <c r="G1427" t="s">
        <v>97</v>
      </c>
      <c r="H1427" t="s">
        <v>90</v>
      </c>
      <c r="I1427" t="s">
        <v>28</v>
      </c>
      <c r="J1427" t="s">
        <v>45</v>
      </c>
      <c r="K1427">
        <v>8675</v>
      </c>
      <c r="L1427">
        <v>401</v>
      </c>
      <c r="M1427">
        <v>244.98</v>
      </c>
      <c r="N1427">
        <v>20</v>
      </c>
      <c r="O1427">
        <v>100</v>
      </c>
      <c r="P1427">
        <f t="shared" si="88"/>
        <v>4.6224783861671469E-2</v>
      </c>
      <c r="Q1427">
        <f t="shared" si="88"/>
        <v>0.61092269326683291</v>
      </c>
      <c r="R1427">
        <f t="shared" si="89"/>
        <v>12.248999999999999</v>
      </c>
      <c r="S1427">
        <f t="shared" si="90"/>
        <v>0.40819658747652871</v>
      </c>
      <c r="T1427">
        <f t="shared" si="91"/>
        <v>4.9875311720698257E-2</v>
      </c>
      <c r="U1427" t="str">
        <f>YEAR('Campaign Data'!$A1427)&amp;"-"&amp;TEXT(MONTH('Campaign Data'!$A1427),"00")</f>
        <v>2026-03</v>
      </c>
    </row>
    <row r="1428" spans="1:21" x14ac:dyDescent="0.25">
      <c r="A1428">
        <v>46099</v>
      </c>
      <c r="B1428" t="s">
        <v>145</v>
      </c>
      <c r="C1428" t="s">
        <v>146</v>
      </c>
      <c r="D1428" t="s">
        <v>41</v>
      </c>
      <c r="E1428" t="s">
        <v>49</v>
      </c>
      <c r="F1428" t="s">
        <v>75</v>
      </c>
      <c r="G1428" t="s">
        <v>70</v>
      </c>
      <c r="H1428" t="s">
        <v>27</v>
      </c>
      <c r="I1428" t="s">
        <v>28</v>
      </c>
      <c r="J1428" t="s">
        <v>62</v>
      </c>
      <c r="K1428">
        <v>7609</v>
      </c>
      <c r="L1428">
        <v>526</v>
      </c>
      <c r="M1428">
        <v>1318.38</v>
      </c>
      <c r="N1428">
        <v>42</v>
      </c>
      <c r="O1428">
        <v>2899.8</v>
      </c>
      <c r="P1428">
        <f t="shared" si="88"/>
        <v>6.9128663424891573E-2</v>
      </c>
      <c r="Q1428">
        <f t="shared" si="88"/>
        <v>2.5064258555133083</v>
      </c>
      <c r="R1428">
        <f t="shared" si="89"/>
        <v>31.390000000000004</v>
      </c>
      <c r="S1428">
        <f t="shared" si="90"/>
        <v>2.199517589769262</v>
      </c>
      <c r="T1428">
        <f t="shared" si="91"/>
        <v>7.9847908745247151E-2</v>
      </c>
      <c r="U1428" t="str">
        <f>YEAR('Campaign Data'!$A1428)&amp;"-"&amp;TEXT(MONTH('Campaign Data'!$A1428),"00")</f>
        <v>2026-03</v>
      </c>
    </row>
    <row r="1429" spans="1:21" x14ac:dyDescent="0.25">
      <c r="A1429">
        <v>46099</v>
      </c>
      <c r="B1429" t="s">
        <v>145</v>
      </c>
      <c r="C1429" t="s">
        <v>146</v>
      </c>
      <c r="D1429" t="s">
        <v>41</v>
      </c>
      <c r="E1429" t="s">
        <v>49</v>
      </c>
      <c r="F1429" t="s">
        <v>75</v>
      </c>
      <c r="G1429" t="s">
        <v>70</v>
      </c>
      <c r="H1429" t="s">
        <v>60</v>
      </c>
      <c r="I1429" t="s">
        <v>37</v>
      </c>
      <c r="J1429" t="s">
        <v>29</v>
      </c>
      <c r="K1429">
        <v>6651</v>
      </c>
      <c r="L1429">
        <v>224</v>
      </c>
      <c r="M1429">
        <v>303.57</v>
      </c>
      <c r="N1429">
        <v>10</v>
      </c>
      <c r="O1429">
        <v>376.15</v>
      </c>
      <c r="P1429">
        <f t="shared" si="88"/>
        <v>3.3679145993083748E-2</v>
      </c>
      <c r="Q1429">
        <f t="shared" si="88"/>
        <v>1.3552232142857144</v>
      </c>
      <c r="R1429">
        <f t="shared" si="89"/>
        <v>30.356999999999999</v>
      </c>
      <c r="S1429">
        <f t="shared" si="90"/>
        <v>1.239088183944395</v>
      </c>
      <c r="T1429">
        <f t="shared" si="91"/>
        <v>4.4642857142857144E-2</v>
      </c>
      <c r="U1429" t="str">
        <f>YEAR('Campaign Data'!$A1429)&amp;"-"&amp;TEXT(MONTH('Campaign Data'!$A1429),"00")</f>
        <v>2026-03</v>
      </c>
    </row>
    <row r="1430" spans="1:21" x14ac:dyDescent="0.25">
      <c r="A1430">
        <v>46100</v>
      </c>
      <c r="B1430" t="s">
        <v>173</v>
      </c>
      <c r="C1430" t="s">
        <v>174</v>
      </c>
      <c r="D1430" t="s">
        <v>48</v>
      </c>
      <c r="E1430" t="s">
        <v>74</v>
      </c>
      <c r="F1430" t="s">
        <v>25</v>
      </c>
      <c r="G1430" t="s">
        <v>9</v>
      </c>
      <c r="H1430" t="s">
        <v>60</v>
      </c>
      <c r="I1430" t="s">
        <v>37</v>
      </c>
      <c r="J1430" t="s">
        <v>29</v>
      </c>
      <c r="K1430">
        <v>11700</v>
      </c>
      <c r="L1430">
        <v>428</v>
      </c>
      <c r="M1430">
        <v>650.48</v>
      </c>
      <c r="N1430">
        <v>19</v>
      </c>
      <c r="O1430">
        <v>2696.84</v>
      </c>
      <c r="P1430">
        <f t="shared" si="88"/>
        <v>3.658119658119658E-2</v>
      </c>
      <c r="Q1430">
        <f t="shared" si="88"/>
        <v>1.5198130841121495</v>
      </c>
      <c r="R1430">
        <f t="shared" si="89"/>
        <v>34.235789473684214</v>
      </c>
      <c r="S1430">
        <f t="shared" si="90"/>
        <v>4.1459230106997911</v>
      </c>
      <c r="T1430">
        <f t="shared" si="91"/>
        <v>4.4392523364485979E-2</v>
      </c>
      <c r="U1430" t="str">
        <f>YEAR('Campaign Data'!$A1430)&amp;"-"&amp;TEXT(MONTH('Campaign Data'!$A1430),"00")</f>
        <v>2026-03</v>
      </c>
    </row>
    <row r="1431" spans="1:21" x14ac:dyDescent="0.25">
      <c r="A1431">
        <v>46100</v>
      </c>
      <c r="B1431" t="s">
        <v>173</v>
      </c>
      <c r="C1431" t="s">
        <v>174</v>
      </c>
      <c r="D1431" t="s">
        <v>48</v>
      </c>
      <c r="E1431" t="s">
        <v>74</v>
      </c>
      <c r="F1431" t="s">
        <v>25</v>
      </c>
      <c r="G1431" t="s">
        <v>9</v>
      </c>
      <c r="H1431" t="s">
        <v>60</v>
      </c>
      <c r="I1431" t="s">
        <v>37</v>
      </c>
      <c r="J1431" t="s">
        <v>87</v>
      </c>
      <c r="K1431">
        <v>31763</v>
      </c>
      <c r="L1431">
        <v>1054</v>
      </c>
      <c r="M1431">
        <v>1038.32</v>
      </c>
      <c r="N1431">
        <v>55</v>
      </c>
      <c r="O1431">
        <v>8863.91</v>
      </c>
      <c r="P1431">
        <f t="shared" si="88"/>
        <v>3.3183263545634861E-2</v>
      </c>
      <c r="Q1431">
        <f t="shared" si="88"/>
        <v>0.98512333965844401</v>
      </c>
      <c r="R1431">
        <f t="shared" si="89"/>
        <v>18.878545454545453</v>
      </c>
      <c r="S1431">
        <f t="shared" si="90"/>
        <v>8.5367805686108333</v>
      </c>
      <c r="T1431">
        <f t="shared" si="91"/>
        <v>5.218216318785579E-2</v>
      </c>
      <c r="U1431" t="str">
        <f>YEAR('Campaign Data'!$A1431)&amp;"-"&amp;TEXT(MONTH('Campaign Data'!$A1431),"00")</f>
        <v>2026-03</v>
      </c>
    </row>
    <row r="1432" spans="1:21" x14ac:dyDescent="0.25">
      <c r="A1432">
        <v>46100</v>
      </c>
      <c r="B1432" t="s">
        <v>175</v>
      </c>
      <c r="C1432" t="s">
        <v>176</v>
      </c>
      <c r="D1432" t="s">
        <v>65</v>
      </c>
      <c r="E1432" t="s">
        <v>49</v>
      </c>
      <c r="F1432" t="s">
        <v>75</v>
      </c>
      <c r="G1432" t="s">
        <v>70</v>
      </c>
      <c r="H1432" t="s">
        <v>55</v>
      </c>
      <c r="I1432" t="s">
        <v>28</v>
      </c>
      <c r="J1432" t="s">
        <v>87</v>
      </c>
      <c r="K1432">
        <v>10091</v>
      </c>
      <c r="L1432">
        <v>558</v>
      </c>
      <c r="M1432">
        <v>950.09</v>
      </c>
      <c r="N1432">
        <v>38</v>
      </c>
      <c r="O1432">
        <v>1091.58</v>
      </c>
      <c r="P1432">
        <f t="shared" si="88"/>
        <v>5.5296799127935788E-2</v>
      </c>
      <c r="Q1432">
        <f t="shared" si="88"/>
        <v>1.7026702508960574</v>
      </c>
      <c r="R1432">
        <f t="shared" si="89"/>
        <v>25.002368421052633</v>
      </c>
      <c r="S1432">
        <f t="shared" si="90"/>
        <v>1.1489227336357608</v>
      </c>
      <c r="T1432">
        <f t="shared" si="91"/>
        <v>6.8100358422939072E-2</v>
      </c>
      <c r="U1432" t="str">
        <f>YEAR('Campaign Data'!$A1432)&amp;"-"&amp;TEXT(MONTH('Campaign Data'!$A1432),"00")</f>
        <v>2026-03</v>
      </c>
    </row>
    <row r="1433" spans="1:21" x14ac:dyDescent="0.25">
      <c r="A1433">
        <v>46100</v>
      </c>
      <c r="B1433" t="s">
        <v>88</v>
      </c>
      <c r="C1433" t="s">
        <v>89</v>
      </c>
      <c r="D1433" t="s">
        <v>23</v>
      </c>
      <c r="E1433" t="s">
        <v>49</v>
      </c>
      <c r="F1433" t="s">
        <v>81</v>
      </c>
      <c r="G1433" t="s">
        <v>50</v>
      </c>
      <c r="H1433" t="s">
        <v>90</v>
      </c>
      <c r="I1433" t="s">
        <v>28</v>
      </c>
      <c r="J1433" t="s">
        <v>62</v>
      </c>
      <c r="K1433">
        <v>6352</v>
      </c>
      <c r="L1433">
        <v>383</v>
      </c>
      <c r="M1433">
        <v>200.94</v>
      </c>
      <c r="N1433">
        <v>22</v>
      </c>
      <c r="O1433">
        <v>110</v>
      </c>
      <c r="P1433">
        <f t="shared" si="88"/>
        <v>6.0295969773299748E-2</v>
      </c>
      <c r="Q1433">
        <f t="shared" si="88"/>
        <v>0.52464751958224543</v>
      </c>
      <c r="R1433">
        <f t="shared" si="89"/>
        <v>9.1336363636363629</v>
      </c>
      <c r="S1433">
        <f t="shared" si="90"/>
        <v>0.54742709266447698</v>
      </c>
      <c r="T1433">
        <f t="shared" si="91"/>
        <v>5.7441253263707574E-2</v>
      </c>
      <c r="U1433" t="str">
        <f>YEAR('Campaign Data'!$A1433)&amp;"-"&amp;TEXT(MONTH('Campaign Data'!$A1433),"00")</f>
        <v>2026-03</v>
      </c>
    </row>
    <row r="1434" spans="1:21" x14ac:dyDescent="0.25">
      <c r="A1434">
        <v>46100</v>
      </c>
      <c r="B1434" t="s">
        <v>186</v>
      </c>
      <c r="C1434" t="s">
        <v>187</v>
      </c>
      <c r="D1434" t="s">
        <v>80</v>
      </c>
      <c r="E1434" t="s">
        <v>33</v>
      </c>
      <c r="F1434" t="s">
        <v>43</v>
      </c>
      <c r="G1434" t="s">
        <v>102</v>
      </c>
      <c r="H1434" t="s">
        <v>27</v>
      </c>
      <c r="I1434" t="s">
        <v>37</v>
      </c>
      <c r="J1434" t="s">
        <v>38</v>
      </c>
      <c r="K1434">
        <v>7417</v>
      </c>
      <c r="L1434">
        <v>73</v>
      </c>
      <c r="M1434">
        <v>62.24</v>
      </c>
      <c r="N1434">
        <v>2</v>
      </c>
      <c r="O1434">
        <v>59.4</v>
      </c>
      <c r="P1434">
        <f t="shared" si="88"/>
        <v>9.8422542807064858E-3</v>
      </c>
      <c r="Q1434">
        <f t="shared" si="88"/>
        <v>0.8526027397260274</v>
      </c>
      <c r="R1434">
        <f t="shared" si="89"/>
        <v>31.12</v>
      </c>
      <c r="S1434">
        <f t="shared" si="90"/>
        <v>0.95437017994858608</v>
      </c>
      <c r="T1434">
        <f t="shared" si="91"/>
        <v>2.7397260273972601E-2</v>
      </c>
      <c r="U1434" t="str">
        <f>YEAR('Campaign Data'!$A1434)&amp;"-"&amp;TEXT(MONTH('Campaign Data'!$A1434),"00")</f>
        <v>2026-03</v>
      </c>
    </row>
    <row r="1435" spans="1:21" x14ac:dyDescent="0.25">
      <c r="A1435">
        <v>46100</v>
      </c>
      <c r="B1435" t="s">
        <v>93</v>
      </c>
      <c r="C1435" t="s">
        <v>94</v>
      </c>
      <c r="D1435" t="s">
        <v>69</v>
      </c>
      <c r="E1435" t="s">
        <v>42</v>
      </c>
      <c r="F1435" t="s">
        <v>75</v>
      </c>
      <c r="G1435" t="s">
        <v>44</v>
      </c>
      <c r="H1435" t="s">
        <v>36</v>
      </c>
      <c r="I1435" t="s">
        <v>37</v>
      </c>
      <c r="J1435" t="s">
        <v>45</v>
      </c>
      <c r="K1435">
        <v>5200</v>
      </c>
      <c r="L1435">
        <v>24</v>
      </c>
      <c r="M1435">
        <v>100.23</v>
      </c>
      <c r="N1435">
        <v>0</v>
      </c>
      <c r="O1435">
        <v>0</v>
      </c>
      <c r="P1435">
        <f t="shared" si="88"/>
        <v>4.6153846153846158E-3</v>
      </c>
      <c r="Q1435">
        <f t="shared" si="88"/>
        <v>4.1762500000000005</v>
      </c>
      <c r="R1435">
        <f t="shared" si="89"/>
        <v>0</v>
      </c>
      <c r="S1435">
        <f t="shared" si="90"/>
        <v>0</v>
      </c>
      <c r="T1435">
        <f t="shared" si="91"/>
        <v>0</v>
      </c>
      <c r="U1435" t="str">
        <f>YEAR('Campaign Data'!$A1435)&amp;"-"&amp;TEXT(MONTH('Campaign Data'!$A1435),"00")</f>
        <v>2026-03</v>
      </c>
    </row>
    <row r="1436" spans="1:21" x14ac:dyDescent="0.25">
      <c r="A1436">
        <v>46100</v>
      </c>
      <c r="B1436" t="s">
        <v>39</v>
      </c>
      <c r="C1436" t="s">
        <v>40</v>
      </c>
      <c r="D1436" t="s">
        <v>41</v>
      </c>
      <c r="E1436" t="s">
        <v>42</v>
      </c>
      <c r="F1436" t="s">
        <v>43</v>
      </c>
      <c r="G1436" t="s">
        <v>44</v>
      </c>
      <c r="H1436" t="s">
        <v>60</v>
      </c>
      <c r="I1436" t="s">
        <v>28</v>
      </c>
      <c r="J1436" t="s">
        <v>38</v>
      </c>
      <c r="K1436">
        <v>21935</v>
      </c>
      <c r="L1436">
        <v>99</v>
      </c>
      <c r="M1436">
        <v>676.05</v>
      </c>
      <c r="N1436">
        <v>1</v>
      </c>
      <c r="O1436">
        <v>34.86</v>
      </c>
      <c r="P1436">
        <f t="shared" si="88"/>
        <v>4.5133348529746977E-3</v>
      </c>
      <c r="Q1436">
        <f t="shared" si="88"/>
        <v>6.8287878787878782</v>
      </c>
      <c r="R1436">
        <f t="shared" si="89"/>
        <v>676.05</v>
      </c>
      <c r="S1436">
        <f t="shared" si="90"/>
        <v>5.1564233414688264E-2</v>
      </c>
      <c r="T1436">
        <f t="shared" si="91"/>
        <v>1.0101010101010102E-2</v>
      </c>
      <c r="U1436" t="str">
        <f>YEAR('Campaign Data'!$A1436)&amp;"-"&amp;TEXT(MONTH('Campaign Data'!$A1436),"00")</f>
        <v>2026-03</v>
      </c>
    </row>
    <row r="1437" spans="1:21" x14ac:dyDescent="0.25">
      <c r="A1437">
        <v>46100</v>
      </c>
      <c r="B1437" t="s">
        <v>46</v>
      </c>
      <c r="C1437" t="s">
        <v>47</v>
      </c>
      <c r="D1437" t="s">
        <v>48</v>
      </c>
      <c r="E1437" t="s">
        <v>49</v>
      </c>
      <c r="F1437" t="s">
        <v>43</v>
      </c>
      <c r="G1437" t="s">
        <v>50</v>
      </c>
      <c r="H1437" t="s">
        <v>27</v>
      </c>
      <c r="I1437" t="s">
        <v>61</v>
      </c>
      <c r="J1437" t="s">
        <v>62</v>
      </c>
      <c r="K1437">
        <v>2755</v>
      </c>
      <c r="L1437">
        <v>213</v>
      </c>
      <c r="M1437">
        <v>302.13</v>
      </c>
      <c r="N1437">
        <v>14</v>
      </c>
      <c r="O1437">
        <v>516.46</v>
      </c>
      <c r="P1437">
        <f t="shared" si="88"/>
        <v>7.7313974591651541E-2</v>
      </c>
      <c r="Q1437">
        <f t="shared" si="88"/>
        <v>1.418450704225352</v>
      </c>
      <c r="R1437">
        <f t="shared" si="89"/>
        <v>21.580714285714286</v>
      </c>
      <c r="S1437">
        <f t="shared" si="90"/>
        <v>1.7093966173501474</v>
      </c>
      <c r="T1437">
        <f t="shared" si="91"/>
        <v>6.5727699530516437E-2</v>
      </c>
      <c r="U1437" t="str">
        <f>YEAR('Campaign Data'!$A1437)&amp;"-"&amp;TEXT(MONTH('Campaign Data'!$A1437),"00")</f>
        <v>2026-03</v>
      </c>
    </row>
    <row r="1438" spans="1:21" x14ac:dyDescent="0.25">
      <c r="A1438">
        <v>46100</v>
      </c>
      <c r="B1438" t="s">
        <v>100</v>
      </c>
      <c r="C1438" t="s">
        <v>101</v>
      </c>
      <c r="D1438" t="s">
        <v>80</v>
      </c>
      <c r="E1438" t="s">
        <v>33</v>
      </c>
      <c r="F1438" t="s">
        <v>25</v>
      </c>
      <c r="G1438" t="s">
        <v>102</v>
      </c>
      <c r="H1438" t="s">
        <v>90</v>
      </c>
      <c r="I1438" t="s">
        <v>37</v>
      </c>
      <c r="J1438" t="s">
        <v>87</v>
      </c>
      <c r="K1438">
        <v>4444</v>
      </c>
      <c r="L1438">
        <v>13</v>
      </c>
      <c r="M1438">
        <v>1.57</v>
      </c>
      <c r="N1438">
        <v>0</v>
      </c>
      <c r="O1438">
        <v>0</v>
      </c>
      <c r="P1438">
        <f t="shared" si="88"/>
        <v>2.9252925292529252E-3</v>
      </c>
      <c r="Q1438">
        <f t="shared" si="88"/>
        <v>0.12076923076923077</v>
      </c>
      <c r="R1438">
        <f t="shared" si="89"/>
        <v>0</v>
      </c>
      <c r="S1438">
        <f t="shared" si="90"/>
        <v>0</v>
      </c>
      <c r="T1438">
        <f t="shared" si="91"/>
        <v>0</v>
      </c>
      <c r="U1438" t="str">
        <f>YEAR('Campaign Data'!$A1438)&amp;"-"&amp;TEXT(MONTH('Campaign Data'!$A1438),"00")</f>
        <v>2026-03</v>
      </c>
    </row>
    <row r="1439" spans="1:21" x14ac:dyDescent="0.25">
      <c r="A1439">
        <v>46100</v>
      </c>
      <c r="B1439" t="s">
        <v>103</v>
      </c>
      <c r="C1439" t="s">
        <v>104</v>
      </c>
      <c r="D1439" t="s">
        <v>65</v>
      </c>
      <c r="E1439" t="s">
        <v>33</v>
      </c>
      <c r="F1439" t="s">
        <v>43</v>
      </c>
      <c r="G1439" t="s">
        <v>102</v>
      </c>
      <c r="H1439" t="s">
        <v>55</v>
      </c>
      <c r="I1439" t="s">
        <v>28</v>
      </c>
      <c r="J1439" t="s">
        <v>87</v>
      </c>
      <c r="K1439">
        <v>6470</v>
      </c>
      <c r="L1439">
        <v>32</v>
      </c>
      <c r="M1439">
        <v>22.62</v>
      </c>
      <c r="N1439">
        <v>1</v>
      </c>
      <c r="O1439">
        <v>23.54</v>
      </c>
      <c r="P1439">
        <f t="shared" si="88"/>
        <v>4.9459041731066463E-3</v>
      </c>
      <c r="Q1439">
        <f t="shared" si="88"/>
        <v>0.70687500000000003</v>
      </c>
      <c r="R1439">
        <f t="shared" si="89"/>
        <v>22.62</v>
      </c>
      <c r="S1439">
        <f t="shared" si="90"/>
        <v>1.0406719717064543</v>
      </c>
      <c r="T1439">
        <f t="shared" si="91"/>
        <v>3.125E-2</v>
      </c>
      <c r="U1439" t="str">
        <f>YEAR('Campaign Data'!$A1439)&amp;"-"&amp;TEXT(MONTH('Campaign Data'!$A1439),"00")</f>
        <v>2026-03</v>
      </c>
    </row>
    <row r="1440" spans="1:21" x14ac:dyDescent="0.25">
      <c r="A1440">
        <v>46100</v>
      </c>
      <c r="B1440" t="s">
        <v>105</v>
      </c>
      <c r="C1440" t="s">
        <v>106</v>
      </c>
      <c r="D1440" t="s">
        <v>58</v>
      </c>
      <c r="E1440" t="s">
        <v>49</v>
      </c>
      <c r="F1440" t="s">
        <v>81</v>
      </c>
      <c r="G1440" t="s">
        <v>107</v>
      </c>
      <c r="H1440" t="s">
        <v>90</v>
      </c>
      <c r="I1440" t="s">
        <v>28</v>
      </c>
      <c r="J1440" t="s">
        <v>29</v>
      </c>
      <c r="K1440">
        <v>7283</v>
      </c>
      <c r="L1440">
        <v>295</v>
      </c>
      <c r="M1440">
        <v>206.72</v>
      </c>
      <c r="N1440">
        <v>14</v>
      </c>
      <c r="O1440">
        <v>81.84</v>
      </c>
      <c r="P1440">
        <f t="shared" si="88"/>
        <v>4.0505286283125087E-2</v>
      </c>
      <c r="Q1440">
        <f t="shared" si="88"/>
        <v>0.7007457627118644</v>
      </c>
      <c r="R1440">
        <f t="shared" si="89"/>
        <v>14.765714285714285</v>
      </c>
      <c r="S1440">
        <f t="shared" si="90"/>
        <v>0.39589783281733748</v>
      </c>
      <c r="T1440">
        <f t="shared" si="91"/>
        <v>4.7457627118644069E-2</v>
      </c>
      <c r="U1440" t="str">
        <f>YEAR('Campaign Data'!$A1440)&amp;"-"&amp;TEXT(MONTH('Campaign Data'!$A1440),"00")</f>
        <v>2026-03</v>
      </c>
    </row>
    <row r="1441" spans="1:21" x14ac:dyDescent="0.25">
      <c r="A1441">
        <v>46100</v>
      </c>
      <c r="B1441" t="s">
        <v>132</v>
      </c>
      <c r="C1441" t="s">
        <v>133</v>
      </c>
      <c r="D1441" t="s">
        <v>23</v>
      </c>
      <c r="E1441" t="s">
        <v>42</v>
      </c>
      <c r="F1441" t="s">
        <v>75</v>
      </c>
      <c r="G1441" t="s">
        <v>84</v>
      </c>
      <c r="H1441" t="s">
        <v>51</v>
      </c>
      <c r="I1441" t="s">
        <v>37</v>
      </c>
      <c r="J1441" t="s">
        <v>38</v>
      </c>
      <c r="K1441">
        <v>13600</v>
      </c>
      <c r="L1441">
        <v>84</v>
      </c>
      <c r="M1441">
        <v>404.75</v>
      </c>
      <c r="N1441">
        <v>4</v>
      </c>
      <c r="O1441">
        <v>163.44999999999999</v>
      </c>
      <c r="P1441">
        <f t="shared" si="88"/>
        <v>6.1764705882352937E-3</v>
      </c>
      <c r="Q1441">
        <f t="shared" si="88"/>
        <v>4.8184523809523814</v>
      </c>
      <c r="R1441">
        <f t="shared" si="89"/>
        <v>101.1875</v>
      </c>
      <c r="S1441">
        <f t="shared" si="90"/>
        <v>0.40382952439777636</v>
      </c>
      <c r="T1441">
        <f t="shared" si="91"/>
        <v>4.7619047619047616E-2</v>
      </c>
      <c r="U1441" t="str">
        <f>YEAR('Campaign Data'!$A1441)&amp;"-"&amp;TEXT(MONTH('Campaign Data'!$A1441),"00")</f>
        <v>2026-03</v>
      </c>
    </row>
    <row r="1442" spans="1:21" x14ac:dyDescent="0.25">
      <c r="A1442">
        <v>46100</v>
      </c>
      <c r="B1442" t="s">
        <v>177</v>
      </c>
      <c r="C1442" t="s">
        <v>178</v>
      </c>
      <c r="D1442" t="s">
        <v>41</v>
      </c>
      <c r="E1442" t="s">
        <v>49</v>
      </c>
      <c r="F1442" t="s">
        <v>34</v>
      </c>
      <c r="G1442" t="s">
        <v>107</v>
      </c>
      <c r="H1442" t="s">
        <v>27</v>
      </c>
      <c r="I1442" t="s">
        <v>61</v>
      </c>
      <c r="J1442" t="s">
        <v>62</v>
      </c>
      <c r="K1442">
        <v>3510</v>
      </c>
      <c r="L1442">
        <v>237</v>
      </c>
      <c r="M1442">
        <v>612.79</v>
      </c>
      <c r="N1442">
        <v>3</v>
      </c>
      <c r="O1442">
        <v>299.82</v>
      </c>
      <c r="P1442">
        <f t="shared" si="88"/>
        <v>6.7521367521367517E-2</v>
      </c>
      <c r="Q1442">
        <f t="shared" si="88"/>
        <v>2.5856118143459912</v>
      </c>
      <c r="R1442">
        <f t="shared" si="89"/>
        <v>204.26333333333332</v>
      </c>
      <c r="S1442">
        <f t="shared" si="90"/>
        <v>0.48927038626609443</v>
      </c>
      <c r="T1442">
        <f t="shared" si="91"/>
        <v>1.2658227848101266E-2</v>
      </c>
      <c r="U1442" t="str">
        <f>YEAR('Campaign Data'!$A1442)&amp;"-"&amp;TEXT(MONTH('Campaign Data'!$A1442),"00")</f>
        <v>2026-03</v>
      </c>
    </row>
    <row r="1443" spans="1:21" x14ac:dyDescent="0.25">
      <c r="A1443">
        <v>46100</v>
      </c>
      <c r="B1443" t="s">
        <v>78</v>
      </c>
      <c r="C1443" t="s">
        <v>79</v>
      </c>
      <c r="D1443" t="s">
        <v>80</v>
      </c>
      <c r="E1443" t="s">
        <v>24</v>
      </c>
      <c r="F1443" t="s">
        <v>81</v>
      </c>
      <c r="G1443" t="s">
        <v>66</v>
      </c>
      <c r="H1443" t="s">
        <v>27</v>
      </c>
      <c r="I1443" t="s">
        <v>37</v>
      </c>
      <c r="J1443" t="s">
        <v>29</v>
      </c>
      <c r="K1443">
        <v>13378</v>
      </c>
      <c r="L1443">
        <v>136</v>
      </c>
      <c r="M1443">
        <v>206.52</v>
      </c>
      <c r="N1443">
        <v>2</v>
      </c>
      <c r="O1443">
        <v>46.84</v>
      </c>
      <c r="P1443">
        <f t="shared" si="88"/>
        <v>1.016594408730752E-2</v>
      </c>
      <c r="Q1443">
        <f t="shared" si="88"/>
        <v>1.5185294117647059</v>
      </c>
      <c r="R1443">
        <f t="shared" si="89"/>
        <v>103.26</v>
      </c>
      <c r="S1443">
        <f t="shared" si="90"/>
        <v>0.22680612047259346</v>
      </c>
      <c r="T1443">
        <f t="shared" si="91"/>
        <v>1.4705882352941176E-2</v>
      </c>
      <c r="U1443" t="str">
        <f>YEAR('Campaign Data'!$A1443)&amp;"-"&amp;TEXT(MONTH('Campaign Data'!$A1443),"00")</f>
        <v>2026-03</v>
      </c>
    </row>
    <row r="1444" spans="1:21" x14ac:dyDescent="0.25">
      <c r="A1444">
        <v>46100</v>
      </c>
      <c r="B1444" t="s">
        <v>78</v>
      </c>
      <c r="C1444" t="s">
        <v>79</v>
      </c>
      <c r="D1444" t="s">
        <v>80</v>
      </c>
      <c r="E1444" t="s">
        <v>24</v>
      </c>
      <c r="F1444" t="s">
        <v>81</v>
      </c>
      <c r="G1444" t="s">
        <v>66</v>
      </c>
      <c r="H1444" t="s">
        <v>60</v>
      </c>
      <c r="I1444" t="s">
        <v>37</v>
      </c>
      <c r="J1444" t="s">
        <v>29</v>
      </c>
      <c r="K1444">
        <v>13394</v>
      </c>
      <c r="L1444">
        <v>209</v>
      </c>
      <c r="M1444">
        <v>252.4</v>
      </c>
      <c r="N1444">
        <v>13</v>
      </c>
      <c r="O1444">
        <v>240.01</v>
      </c>
      <c r="P1444">
        <f t="shared" si="88"/>
        <v>1.5604001791847096E-2</v>
      </c>
      <c r="Q1444">
        <f t="shared" si="88"/>
        <v>1.2076555023923445</v>
      </c>
      <c r="R1444">
        <f t="shared" si="89"/>
        <v>19.415384615384617</v>
      </c>
      <c r="S1444">
        <f t="shared" si="90"/>
        <v>0.95091125198098247</v>
      </c>
      <c r="T1444">
        <f t="shared" si="91"/>
        <v>6.2200956937799042E-2</v>
      </c>
      <c r="U1444" t="str">
        <f>YEAR('Campaign Data'!$A1444)&amp;"-"&amp;TEXT(MONTH('Campaign Data'!$A1444),"00")</f>
        <v>2026-03</v>
      </c>
    </row>
    <row r="1445" spans="1:21" x14ac:dyDescent="0.25">
      <c r="A1445">
        <v>46100</v>
      </c>
      <c r="B1445" t="s">
        <v>122</v>
      </c>
      <c r="C1445" t="s">
        <v>123</v>
      </c>
      <c r="D1445" t="s">
        <v>41</v>
      </c>
      <c r="E1445" t="s">
        <v>33</v>
      </c>
      <c r="F1445" t="s">
        <v>75</v>
      </c>
      <c r="G1445" t="s">
        <v>35</v>
      </c>
      <c r="H1445" t="s">
        <v>71</v>
      </c>
      <c r="I1445" t="s">
        <v>37</v>
      </c>
      <c r="J1445" t="s">
        <v>29</v>
      </c>
      <c r="K1445">
        <v>5131</v>
      </c>
      <c r="L1445">
        <v>60</v>
      </c>
      <c r="M1445">
        <v>25.17</v>
      </c>
      <c r="N1445">
        <v>1</v>
      </c>
      <c r="O1445">
        <v>31.79</v>
      </c>
      <c r="P1445">
        <f t="shared" si="88"/>
        <v>1.1693626973299552E-2</v>
      </c>
      <c r="Q1445">
        <f t="shared" si="88"/>
        <v>0.41950000000000004</v>
      </c>
      <c r="R1445">
        <f t="shared" si="89"/>
        <v>25.17</v>
      </c>
      <c r="S1445">
        <f t="shared" si="90"/>
        <v>1.2630115216527611</v>
      </c>
      <c r="T1445">
        <f t="shared" si="91"/>
        <v>1.6666666666666666E-2</v>
      </c>
      <c r="U1445" t="str">
        <f>YEAR('Campaign Data'!$A1445)&amp;"-"&amp;TEXT(MONTH('Campaign Data'!$A1445),"00")</f>
        <v>2026-03</v>
      </c>
    </row>
    <row r="1446" spans="1:21" x14ac:dyDescent="0.25">
      <c r="A1446">
        <v>46101</v>
      </c>
      <c r="B1446" t="s">
        <v>175</v>
      </c>
      <c r="C1446" t="s">
        <v>176</v>
      </c>
      <c r="D1446" t="s">
        <v>65</v>
      </c>
      <c r="E1446" t="s">
        <v>49</v>
      </c>
      <c r="F1446" t="s">
        <v>75</v>
      </c>
      <c r="G1446" t="s">
        <v>70</v>
      </c>
      <c r="H1446" t="s">
        <v>90</v>
      </c>
      <c r="I1446" t="s">
        <v>37</v>
      </c>
      <c r="J1446" t="s">
        <v>45</v>
      </c>
      <c r="K1446">
        <v>13291</v>
      </c>
      <c r="L1446">
        <v>564</v>
      </c>
      <c r="M1446">
        <v>231.44</v>
      </c>
      <c r="N1446">
        <v>16</v>
      </c>
      <c r="O1446">
        <v>133.05000000000001</v>
      </c>
      <c r="P1446">
        <f t="shared" si="88"/>
        <v>4.243473026860281E-2</v>
      </c>
      <c r="Q1446">
        <f t="shared" si="88"/>
        <v>0.41035460992907802</v>
      </c>
      <c r="R1446">
        <f t="shared" si="89"/>
        <v>14.465</v>
      </c>
      <c r="S1446">
        <f t="shared" si="90"/>
        <v>0.57487901832008304</v>
      </c>
      <c r="T1446">
        <f t="shared" si="91"/>
        <v>2.8368794326241134E-2</v>
      </c>
      <c r="U1446" t="str">
        <f>YEAR('Campaign Data'!$A1446)&amp;"-"&amp;TEXT(MONTH('Campaign Data'!$A1446),"00")</f>
        <v>2026-03</v>
      </c>
    </row>
    <row r="1447" spans="1:21" x14ac:dyDescent="0.25">
      <c r="A1447">
        <v>46101</v>
      </c>
      <c r="B1447" t="s">
        <v>85</v>
      </c>
      <c r="C1447" t="s">
        <v>86</v>
      </c>
      <c r="D1447" t="s">
        <v>80</v>
      </c>
      <c r="E1447" t="s">
        <v>33</v>
      </c>
      <c r="F1447" t="s">
        <v>43</v>
      </c>
      <c r="G1447" t="s">
        <v>35</v>
      </c>
      <c r="H1447" t="s">
        <v>27</v>
      </c>
      <c r="I1447" t="s">
        <v>37</v>
      </c>
      <c r="J1447" t="s">
        <v>29</v>
      </c>
      <c r="K1447">
        <v>2934</v>
      </c>
      <c r="L1447">
        <v>38</v>
      </c>
      <c r="M1447">
        <v>24.91</v>
      </c>
      <c r="N1447">
        <v>1</v>
      </c>
      <c r="O1447">
        <v>49.45</v>
      </c>
      <c r="P1447">
        <f t="shared" si="88"/>
        <v>1.2951601908657124E-2</v>
      </c>
      <c r="Q1447">
        <f t="shared" si="88"/>
        <v>0.65552631578947373</v>
      </c>
      <c r="R1447">
        <f t="shared" si="89"/>
        <v>24.91</v>
      </c>
      <c r="S1447">
        <f t="shared" si="90"/>
        <v>1.9851465274989966</v>
      </c>
      <c r="T1447">
        <f t="shared" si="91"/>
        <v>2.6315789473684209E-2</v>
      </c>
      <c r="U1447" t="str">
        <f>YEAR('Campaign Data'!$A1447)&amp;"-"&amp;TEXT(MONTH('Campaign Data'!$A1447),"00")</f>
        <v>2026-03</v>
      </c>
    </row>
    <row r="1448" spans="1:21" x14ac:dyDescent="0.25">
      <c r="A1448">
        <v>46101</v>
      </c>
      <c r="B1448" t="s">
        <v>167</v>
      </c>
      <c r="C1448" t="s">
        <v>168</v>
      </c>
      <c r="D1448" t="s">
        <v>58</v>
      </c>
      <c r="E1448" t="s">
        <v>33</v>
      </c>
      <c r="F1448" t="s">
        <v>75</v>
      </c>
      <c r="G1448" t="s">
        <v>35</v>
      </c>
      <c r="H1448" t="s">
        <v>36</v>
      </c>
      <c r="I1448" t="s">
        <v>28</v>
      </c>
      <c r="J1448" t="s">
        <v>29</v>
      </c>
      <c r="K1448">
        <v>2551</v>
      </c>
      <c r="L1448">
        <v>16</v>
      </c>
      <c r="M1448">
        <v>10.039999999999999</v>
      </c>
      <c r="N1448">
        <v>0</v>
      </c>
      <c r="O1448">
        <v>0</v>
      </c>
      <c r="P1448">
        <f t="shared" si="88"/>
        <v>6.2720501764014112E-3</v>
      </c>
      <c r="Q1448">
        <f t="shared" si="88"/>
        <v>0.62749999999999995</v>
      </c>
      <c r="R1448">
        <f t="shared" si="89"/>
        <v>0</v>
      </c>
      <c r="S1448">
        <f t="shared" si="90"/>
        <v>0</v>
      </c>
      <c r="T1448">
        <f t="shared" si="91"/>
        <v>0</v>
      </c>
      <c r="U1448" t="str">
        <f>YEAR('Campaign Data'!$A1448)&amp;"-"&amp;TEXT(MONTH('Campaign Data'!$A1448),"00")</f>
        <v>2026-03</v>
      </c>
    </row>
    <row r="1449" spans="1:21" x14ac:dyDescent="0.25">
      <c r="A1449">
        <v>46101</v>
      </c>
      <c r="B1449" t="s">
        <v>93</v>
      </c>
      <c r="C1449" t="s">
        <v>94</v>
      </c>
      <c r="D1449" t="s">
        <v>69</v>
      </c>
      <c r="E1449" t="s">
        <v>42</v>
      </c>
      <c r="F1449" t="s">
        <v>75</v>
      </c>
      <c r="G1449" t="s">
        <v>44</v>
      </c>
      <c r="H1449" t="s">
        <v>90</v>
      </c>
      <c r="I1449" t="s">
        <v>61</v>
      </c>
      <c r="J1449" t="s">
        <v>87</v>
      </c>
      <c r="K1449">
        <v>5970</v>
      </c>
      <c r="L1449">
        <v>36</v>
      </c>
      <c r="M1449">
        <v>53.72</v>
      </c>
      <c r="N1449">
        <v>0</v>
      </c>
      <c r="O1449">
        <v>0</v>
      </c>
      <c r="P1449">
        <f t="shared" si="88"/>
        <v>6.030150753768844E-3</v>
      </c>
      <c r="Q1449">
        <f t="shared" si="88"/>
        <v>1.4922222222222221</v>
      </c>
      <c r="R1449">
        <f t="shared" si="89"/>
        <v>0</v>
      </c>
      <c r="S1449">
        <f t="shared" si="90"/>
        <v>0</v>
      </c>
      <c r="T1449">
        <f t="shared" si="91"/>
        <v>0</v>
      </c>
      <c r="U1449" t="str">
        <f>YEAR('Campaign Data'!$A1449)&amp;"-"&amp;TEXT(MONTH('Campaign Data'!$A1449),"00")</f>
        <v>2026-03</v>
      </c>
    </row>
    <row r="1450" spans="1:21" x14ac:dyDescent="0.25">
      <c r="A1450">
        <v>46101</v>
      </c>
      <c r="B1450" t="s">
        <v>46</v>
      </c>
      <c r="C1450" t="s">
        <v>47</v>
      </c>
      <c r="D1450" t="s">
        <v>48</v>
      </c>
      <c r="E1450" t="s">
        <v>49</v>
      </c>
      <c r="F1450" t="s">
        <v>43</v>
      </c>
      <c r="G1450" t="s">
        <v>50</v>
      </c>
      <c r="H1450" t="s">
        <v>27</v>
      </c>
      <c r="I1450" t="s">
        <v>37</v>
      </c>
      <c r="J1450" t="s">
        <v>38</v>
      </c>
      <c r="K1450">
        <v>2118</v>
      </c>
      <c r="L1450">
        <v>101</v>
      </c>
      <c r="M1450">
        <v>203.05</v>
      </c>
      <c r="N1450">
        <v>1</v>
      </c>
      <c r="O1450">
        <v>39.74</v>
      </c>
      <c r="P1450">
        <f t="shared" si="88"/>
        <v>4.7686496694995278E-2</v>
      </c>
      <c r="Q1450">
        <f t="shared" si="88"/>
        <v>2.0103960396039606</v>
      </c>
      <c r="R1450">
        <f t="shared" si="89"/>
        <v>203.05</v>
      </c>
      <c r="S1450">
        <f t="shared" si="90"/>
        <v>0.19571534104900271</v>
      </c>
      <c r="T1450">
        <f t="shared" si="91"/>
        <v>9.9009900990099011E-3</v>
      </c>
      <c r="U1450" t="str">
        <f>YEAR('Campaign Data'!$A1450)&amp;"-"&amp;TEXT(MONTH('Campaign Data'!$A1450),"00")</f>
        <v>2026-03</v>
      </c>
    </row>
    <row r="1451" spans="1:21" x14ac:dyDescent="0.25">
      <c r="A1451">
        <v>46101</v>
      </c>
      <c r="B1451" t="s">
        <v>98</v>
      </c>
      <c r="C1451" t="s">
        <v>99</v>
      </c>
      <c r="D1451" t="s">
        <v>69</v>
      </c>
      <c r="E1451" t="s">
        <v>24</v>
      </c>
      <c r="F1451" t="s">
        <v>75</v>
      </c>
      <c r="G1451" t="s">
        <v>66</v>
      </c>
      <c r="H1451" t="s">
        <v>60</v>
      </c>
      <c r="I1451" t="s">
        <v>37</v>
      </c>
      <c r="J1451" t="s">
        <v>29</v>
      </c>
      <c r="K1451">
        <v>6223</v>
      </c>
      <c r="L1451">
        <v>101</v>
      </c>
      <c r="M1451">
        <v>137.06</v>
      </c>
      <c r="N1451">
        <v>6</v>
      </c>
      <c r="O1451">
        <v>243.23</v>
      </c>
      <c r="P1451">
        <f t="shared" si="88"/>
        <v>1.6230114092881248E-2</v>
      </c>
      <c r="Q1451">
        <f t="shared" si="88"/>
        <v>1.3570297029702971</v>
      </c>
      <c r="R1451">
        <f t="shared" si="89"/>
        <v>22.843333333333334</v>
      </c>
      <c r="S1451">
        <f t="shared" si="90"/>
        <v>1.7746242521523419</v>
      </c>
      <c r="T1451">
        <f t="shared" si="91"/>
        <v>5.9405940594059403E-2</v>
      </c>
      <c r="U1451" t="str">
        <f>YEAR('Campaign Data'!$A1451)&amp;"-"&amp;TEXT(MONTH('Campaign Data'!$A1451),"00")</f>
        <v>2026-03</v>
      </c>
    </row>
    <row r="1452" spans="1:21" x14ac:dyDescent="0.25">
      <c r="A1452">
        <v>46101</v>
      </c>
      <c r="B1452" t="s">
        <v>52</v>
      </c>
      <c r="C1452" t="s">
        <v>53</v>
      </c>
      <c r="D1452" t="s">
        <v>32</v>
      </c>
      <c r="E1452" t="s">
        <v>42</v>
      </c>
      <c r="F1452" t="s">
        <v>25</v>
      </c>
      <c r="G1452" t="s">
        <v>54</v>
      </c>
      <c r="H1452" t="s">
        <v>90</v>
      </c>
      <c r="I1452" t="s">
        <v>37</v>
      </c>
      <c r="J1452" t="s">
        <v>45</v>
      </c>
      <c r="K1452">
        <v>6302</v>
      </c>
      <c r="L1452">
        <v>48</v>
      </c>
      <c r="M1452">
        <v>81.510000000000005</v>
      </c>
      <c r="N1452">
        <v>0</v>
      </c>
      <c r="O1452">
        <v>0</v>
      </c>
      <c r="P1452">
        <f t="shared" si="88"/>
        <v>7.6166296413836881E-3</v>
      </c>
      <c r="Q1452">
        <f t="shared" si="88"/>
        <v>1.6981250000000001</v>
      </c>
      <c r="R1452">
        <f t="shared" si="89"/>
        <v>0</v>
      </c>
      <c r="S1452">
        <f t="shared" si="90"/>
        <v>0</v>
      </c>
      <c r="T1452">
        <f t="shared" si="91"/>
        <v>0</v>
      </c>
      <c r="U1452" t="str">
        <f>YEAR('Campaign Data'!$A1452)&amp;"-"&amp;TEXT(MONTH('Campaign Data'!$A1452),"00")</f>
        <v>2026-03</v>
      </c>
    </row>
    <row r="1453" spans="1:21" x14ac:dyDescent="0.25">
      <c r="A1453">
        <v>46101</v>
      </c>
      <c r="B1453" t="s">
        <v>100</v>
      </c>
      <c r="C1453" t="s">
        <v>101</v>
      </c>
      <c r="D1453" t="s">
        <v>80</v>
      </c>
      <c r="E1453" t="s">
        <v>33</v>
      </c>
      <c r="F1453" t="s">
        <v>25</v>
      </c>
      <c r="G1453" t="s">
        <v>102</v>
      </c>
      <c r="H1453" t="s">
        <v>90</v>
      </c>
      <c r="I1453" t="s">
        <v>28</v>
      </c>
      <c r="J1453" t="s">
        <v>62</v>
      </c>
      <c r="K1453">
        <v>6288</v>
      </c>
      <c r="L1453">
        <v>43</v>
      </c>
      <c r="M1453">
        <v>8.36</v>
      </c>
      <c r="N1453">
        <v>2</v>
      </c>
      <c r="O1453">
        <v>45.12</v>
      </c>
      <c r="P1453">
        <f t="shared" si="88"/>
        <v>6.8384223918575068E-3</v>
      </c>
      <c r="Q1453">
        <f t="shared" si="88"/>
        <v>0.19441860465116279</v>
      </c>
      <c r="R1453">
        <f t="shared" si="89"/>
        <v>4.18</v>
      </c>
      <c r="S1453">
        <f t="shared" si="90"/>
        <v>5.3971291866028706</v>
      </c>
      <c r="T1453">
        <f t="shared" si="91"/>
        <v>4.6511627906976744E-2</v>
      </c>
      <c r="U1453" t="str">
        <f>YEAR('Campaign Data'!$A1453)&amp;"-"&amp;TEXT(MONTH('Campaign Data'!$A1453),"00")</f>
        <v>2026-03</v>
      </c>
    </row>
    <row r="1454" spans="1:21" x14ac:dyDescent="0.25">
      <c r="A1454">
        <v>46101</v>
      </c>
      <c r="B1454" t="s">
        <v>105</v>
      </c>
      <c r="C1454" t="s">
        <v>106</v>
      </c>
      <c r="D1454" t="s">
        <v>58</v>
      </c>
      <c r="E1454" t="s">
        <v>49</v>
      </c>
      <c r="F1454" t="s">
        <v>81</v>
      </c>
      <c r="G1454" t="s">
        <v>107</v>
      </c>
      <c r="H1454" t="s">
        <v>71</v>
      </c>
      <c r="I1454" t="s">
        <v>37</v>
      </c>
      <c r="J1454" t="s">
        <v>38</v>
      </c>
      <c r="K1454">
        <v>7269</v>
      </c>
      <c r="L1454">
        <v>189</v>
      </c>
      <c r="M1454">
        <v>285.11</v>
      </c>
      <c r="N1454">
        <v>15</v>
      </c>
      <c r="O1454">
        <v>199.09</v>
      </c>
      <c r="P1454">
        <f t="shared" si="88"/>
        <v>2.6000825423029301E-2</v>
      </c>
      <c r="Q1454">
        <f t="shared" si="88"/>
        <v>1.5085185185185186</v>
      </c>
      <c r="R1454">
        <f t="shared" si="89"/>
        <v>19.007333333333335</v>
      </c>
      <c r="S1454">
        <f t="shared" si="90"/>
        <v>0.69829188734172776</v>
      </c>
      <c r="T1454">
        <f t="shared" si="91"/>
        <v>7.9365079365079361E-2</v>
      </c>
      <c r="U1454" t="str">
        <f>YEAR('Campaign Data'!$A1454)&amp;"-"&amp;TEXT(MONTH('Campaign Data'!$A1454),"00")</f>
        <v>2026-03</v>
      </c>
    </row>
    <row r="1455" spans="1:21" x14ac:dyDescent="0.25">
      <c r="A1455">
        <v>46101</v>
      </c>
      <c r="B1455" t="s">
        <v>132</v>
      </c>
      <c r="C1455" t="s">
        <v>133</v>
      </c>
      <c r="D1455" t="s">
        <v>23</v>
      </c>
      <c r="E1455" t="s">
        <v>42</v>
      </c>
      <c r="F1455" t="s">
        <v>75</v>
      </c>
      <c r="G1455" t="s">
        <v>84</v>
      </c>
      <c r="H1455" t="s">
        <v>36</v>
      </c>
      <c r="I1455" t="s">
        <v>61</v>
      </c>
      <c r="J1455" t="s">
        <v>62</v>
      </c>
      <c r="K1455">
        <v>5238</v>
      </c>
      <c r="L1455">
        <v>65</v>
      </c>
      <c r="M1455">
        <v>263.29000000000002</v>
      </c>
      <c r="N1455">
        <v>3</v>
      </c>
      <c r="O1455">
        <v>149.54</v>
      </c>
      <c r="P1455">
        <f t="shared" si="88"/>
        <v>1.2409316533027874E-2</v>
      </c>
      <c r="Q1455">
        <f t="shared" si="88"/>
        <v>4.0506153846153845</v>
      </c>
      <c r="R1455">
        <f t="shared" si="89"/>
        <v>87.763333333333335</v>
      </c>
      <c r="S1455">
        <f t="shared" si="90"/>
        <v>0.56796688062592571</v>
      </c>
      <c r="T1455">
        <f t="shared" si="91"/>
        <v>4.6153846153846156E-2</v>
      </c>
      <c r="U1455" t="str">
        <f>YEAR('Campaign Data'!$A1455)&amp;"-"&amp;TEXT(MONTH('Campaign Data'!$A1455),"00")</f>
        <v>2026-03</v>
      </c>
    </row>
    <row r="1456" spans="1:21" x14ac:dyDescent="0.25">
      <c r="A1456">
        <v>46101</v>
      </c>
      <c r="B1456" t="s">
        <v>179</v>
      </c>
      <c r="C1456" t="s">
        <v>180</v>
      </c>
      <c r="D1456" t="s">
        <v>58</v>
      </c>
      <c r="E1456" t="s">
        <v>42</v>
      </c>
      <c r="F1456" t="s">
        <v>25</v>
      </c>
      <c r="G1456" t="s">
        <v>54</v>
      </c>
      <c r="H1456" t="s">
        <v>71</v>
      </c>
      <c r="I1456" t="s">
        <v>37</v>
      </c>
      <c r="J1456" t="s">
        <v>38</v>
      </c>
      <c r="K1456">
        <v>19886</v>
      </c>
      <c r="L1456">
        <v>112</v>
      </c>
      <c r="M1456">
        <v>858.6</v>
      </c>
      <c r="N1456">
        <v>5</v>
      </c>
      <c r="O1456">
        <v>775.16</v>
      </c>
      <c r="P1456">
        <f t="shared" si="88"/>
        <v>5.6321029870260485E-3</v>
      </c>
      <c r="Q1456">
        <f t="shared" si="88"/>
        <v>7.6660714285714286</v>
      </c>
      <c r="R1456">
        <f t="shared" si="89"/>
        <v>171.72</v>
      </c>
      <c r="S1456">
        <f t="shared" si="90"/>
        <v>0.90281854181225241</v>
      </c>
      <c r="T1456">
        <f t="shared" si="91"/>
        <v>4.4642857142857144E-2</v>
      </c>
      <c r="U1456" t="str">
        <f>YEAR('Campaign Data'!$A1456)&amp;"-"&amp;TEXT(MONTH('Campaign Data'!$A1456),"00")</f>
        <v>2026-03</v>
      </c>
    </row>
    <row r="1457" spans="1:21" x14ac:dyDescent="0.25">
      <c r="A1457">
        <v>46101</v>
      </c>
      <c r="B1457" t="s">
        <v>159</v>
      </c>
      <c r="C1457" t="s">
        <v>160</v>
      </c>
      <c r="D1457" t="s">
        <v>65</v>
      </c>
      <c r="E1457" t="s">
        <v>42</v>
      </c>
      <c r="F1457" t="s">
        <v>75</v>
      </c>
      <c r="G1457" t="s">
        <v>54</v>
      </c>
      <c r="H1457" t="s">
        <v>27</v>
      </c>
      <c r="I1457" t="s">
        <v>61</v>
      </c>
      <c r="J1457" t="s">
        <v>87</v>
      </c>
      <c r="K1457">
        <v>1995</v>
      </c>
      <c r="L1457">
        <v>15</v>
      </c>
      <c r="M1457">
        <v>99.82</v>
      </c>
      <c r="N1457">
        <v>0</v>
      </c>
      <c r="O1457">
        <v>0</v>
      </c>
      <c r="P1457">
        <f t="shared" si="88"/>
        <v>7.5187969924812026E-3</v>
      </c>
      <c r="Q1457">
        <f t="shared" si="88"/>
        <v>6.6546666666666665</v>
      </c>
      <c r="R1457">
        <f t="shared" si="89"/>
        <v>0</v>
      </c>
      <c r="S1457">
        <f t="shared" si="90"/>
        <v>0</v>
      </c>
      <c r="T1457">
        <f t="shared" si="91"/>
        <v>0</v>
      </c>
      <c r="U1457" t="str">
        <f>YEAR('Campaign Data'!$A1457)&amp;"-"&amp;TEXT(MONTH('Campaign Data'!$A1457),"00")</f>
        <v>2026-03</v>
      </c>
    </row>
    <row r="1458" spans="1:21" x14ac:dyDescent="0.25">
      <c r="A1458">
        <v>46101</v>
      </c>
      <c r="B1458" t="s">
        <v>141</v>
      </c>
      <c r="C1458" t="s">
        <v>142</v>
      </c>
      <c r="D1458" t="s">
        <v>80</v>
      </c>
      <c r="E1458" t="s">
        <v>49</v>
      </c>
      <c r="F1458" t="s">
        <v>81</v>
      </c>
      <c r="G1458" t="s">
        <v>97</v>
      </c>
      <c r="H1458" t="s">
        <v>60</v>
      </c>
      <c r="I1458" t="s">
        <v>28</v>
      </c>
      <c r="J1458" t="s">
        <v>45</v>
      </c>
      <c r="K1458">
        <v>21190</v>
      </c>
      <c r="L1458">
        <v>1004</v>
      </c>
      <c r="M1458">
        <v>1988.61</v>
      </c>
      <c r="N1458">
        <v>42</v>
      </c>
      <c r="O1458">
        <v>707.09</v>
      </c>
      <c r="P1458">
        <f t="shared" si="88"/>
        <v>4.7380840018876831E-2</v>
      </c>
      <c r="Q1458">
        <f t="shared" si="88"/>
        <v>1.9806872509960158</v>
      </c>
      <c r="R1458">
        <f t="shared" si="89"/>
        <v>47.347857142857137</v>
      </c>
      <c r="S1458">
        <f t="shared" si="90"/>
        <v>0.35556997098475823</v>
      </c>
      <c r="T1458">
        <f t="shared" si="91"/>
        <v>4.1832669322709161E-2</v>
      </c>
      <c r="U1458" t="str">
        <f>YEAR('Campaign Data'!$A1458)&amp;"-"&amp;TEXT(MONTH('Campaign Data'!$A1458),"00")</f>
        <v>2026-03</v>
      </c>
    </row>
    <row r="1459" spans="1:21" x14ac:dyDescent="0.25">
      <c r="A1459">
        <v>46101</v>
      </c>
      <c r="B1459" t="s">
        <v>63</v>
      </c>
      <c r="C1459" t="s">
        <v>64</v>
      </c>
      <c r="D1459" t="s">
        <v>65</v>
      </c>
      <c r="E1459" t="s">
        <v>24</v>
      </c>
      <c r="F1459" t="s">
        <v>43</v>
      </c>
      <c r="G1459" t="s">
        <v>66</v>
      </c>
      <c r="H1459" t="s">
        <v>27</v>
      </c>
      <c r="I1459" t="s">
        <v>37</v>
      </c>
      <c r="J1459" t="s">
        <v>29</v>
      </c>
      <c r="K1459">
        <v>6495</v>
      </c>
      <c r="L1459">
        <v>79</v>
      </c>
      <c r="M1459">
        <v>124.18</v>
      </c>
      <c r="N1459">
        <v>0</v>
      </c>
      <c r="O1459">
        <v>0</v>
      </c>
      <c r="P1459">
        <f t="shared" si="88"/>
        <v>1.2163202463433411E-2</v>
      </c>
      <c r="Q1459">
        <f t="shared" si="88"/>
        <v>1.5718987341772153</v>
      </c>
      <c r="R1459">
        <f t="shared" si="89"/>
        <v>0</v>
      </c>
      <c r="S1459">
        <f t="shared" si="90"/>
        <v>0</v>
      </c>
      <c r="T1459">
        <f t="shared" si="91"/>
        <v>0</v>
      </c>
      <c r="U1459" t="str">
        <f>YEAR('Campaign Data'!$A1459)&amp;"-"&amp;TEXT(MONTH('Campaign Data'!$A1459),"00")</f>
        <v>2026-03</v>
      </c>
    </row>
    <row r="1460" spans="1:21" x14ac:dyDescent="0.25">
      <c r="A1460">
        <v>46101</v>
      </c>
      <c r="B1460" t="s">
        <v>145</v>
      </c>
      <c r="C1460" t="s">
        <v>146</v>
      </c>
      <c r="D1460" t="s">
        <v>41</v>
      </c>
      <c r="E1460" t="s">
        <v>49</v>
      </c>
      <c r="F1460" t="s">
        <v>75</v>
      </c>
      <c r="G1460" t="s">
        <v>70</v>
      </c>
      <c r="H1460" t="s">
        <v>90</v>
      </c>
      <c r="I1460" t="s">
        <v>37</v>
      </c>
      <c r="J1460" t="s">
        <v>29</v>
      </c>
      <c r="K1460">
        <v>6232</v>
      </c>
      <c r="L1460">
        <v>218</v>
      </c>
      <c r="M1460">
        <v>78.02</v>
      </c>
      <c r="N1460">
        <v>8</v>
      </c>
      <c r="O1460">
        <v>88.84</v>
      </c>
      <c r="P1460">
        <f t="shared" si="88"/>
        <v>3.4980744544287547E-2</v>
      </c>
      <c r="Q1460">
        <f t="shared" si="88"/>
        <v>0.35788990825688072</v>
      </c>
      <c r="R1460">
        <f t="shared" si="89"/>
        <v>9.7524999999999995</v>
      </c>
      <c r="S1460">
        <f t="shared" si="90"/>
        <v>1.1386823891309921</v>
      </c>
      <c r="T1460">
        <f t="shared" si="91"/>
        <v>3.669724770642202E-2</v>
      </c>
      <c r="U1460" t="str">
        <f>YEAR('Campaign Data'!$A1460)&amp;"-"&amp;TEXT(MONTH('Campaign Data'!$A1460),"00")</f>
        <v>2026-03</v>
      </c>
    </row>
    <row r="1461" spans="1:21" x14ac:dyDescent="0.25">
      <c r="A1461">
        <v>46101</v>
      </c>
      <c r="B1461" t="s">
        <v>78</v>
      </c>
      <c r="C1461" t="s">
        <v>79</v>
      </c>
      <c r="D1461" t="s">
        <v>80</v>
      </c>
      <c r="E1461" t="s">
        <v>24</v>
      </c>
      <c r="F1461" t="s">
        <v>81</v>
      </c>
      <c r="G1461" t="s">
        <v>66</v>
      </c>
      <c r="H1461" t="s">
        <v>60</v>
      </c>
      <c r="I1461" t="s">
        <v>37</v>
      </c>
      <c r="J1461" t="s">
        <v>45</v>
      </c>
      <c r="K1461">
        <v>43823</v>
      </c>
      <c r="L1461">
        <v>761</v>
      </c>
      <c r="M1461">
        <v>580.23</v>
      </c>
      <c r="N1461">
        <v>6</v>
      </c>
      <c r="O1461">
        <v>81.39</v>
      </c>
      <c r="P1461">
        <f t="shared" si="88"/>
        <v>1.7365310453414873E-2</v>
      </c>
      <c r="Q1461">
        <f t="shared" si="88"/>
        <v>0.76245729303547971</v>
      </c>
      <c r="R1461">
        <f t="shared" si="89"/>
        <v>96.704999999999998</v>
      </c>
      <c r="S1461">
        <f t="shared" si="90"/>
        <v>0.14027196111886664</v>
      </c>
      <c r="T1461">
        <f t="shared" si="91"/>
        <v>7.8843626806833107E-3</v>
      </c>
      <c r="U1461" t="str">
        <f>YEAR('Campaign Data'!$A1461)&amp;"-"&amp;TEXT(MONTH('Campaign Data'!$A1461),"00")</f>
        <v>2026-03</v>
      </c>
    </row>
    <row r="1462" spans="1:21" x14ac:dyDescent="0.25">
      <c r="A1462">
        <v>46101</v>
      </c>
      <c r="B1462" t="s">
        <v>120</v>
      </c>
      <c r="C1462" t="s">
        <v>121</v>
      </c>
      <c r="D1462" t="s">
        <v>23</v>
      </c>
      <c r="E1462" t="s">
        <v>49</v>
      </c>
      <c r="F1462" t="s">
        <v>75</v>
      </c>
      <c r="G1462" t="s">
        <v>70</v>
      </c>
      <c r="H1462" t="s">
        <v>51</v>
      </c>
      <c r="I1462" t="s">
        <v>37</v>
      </c>
      <c r="J1462" t="s">
        <v>38</v>
      </c>
      <c r="K1462">
        <v>4612</v>
      </c>
      <c r="L1462">
        <v>194</v>
      </c>
      <c r="M1462">
        <v>263.99</v>
      </c>
      <c r="N1462">
        <v>15</v>
      </c>
      <c r="O1462">
        <v>665.19</v>
      </c>
      <c r="P1462">
        <f t="shared" si="88"/>
        <v>4.2064180398959233E-2</v>
      </c>
      <c r="Q1462">
        <f t="shared" si="88"/>
        <v>1.3607731958762888</v>
      </c>
      <c r="R1462">
        <f t="shared" si="89"/>
        <v>17.599333333333334</v>
      </c>
      <c r="S1462">
        <f t="shared" si="90"/>
        <v>2.5197545361566727</v>
      </c>
      <c r="T1462">
        <f t="shared" si="91"/>
        <v>7.7319587628865982E-2</v>
      </c>
      <c r="U1462" t="str">
        <f>YEAR('Campaign Data'!$A1462)&amp;"-"&amp;TEXT(MONTH('Campaign Data'!$A1462),"00")</f>
        <v>2026-03</v>
      </c>
    </row>
    <row r="1463" spans="1:21" x14ac:dyDescent="0.25">
      <c r="A1463">
        <v>46102</v>
      </c>
      <c r="B1463" t="s">
        <v>173</v>
      </c>
      <c r="C1463" t="s">
        <v>174</v>
      </c>
      <c r="D1463" t="s">
        <v>48</v>
      </c>
      <c r="E1463" t="s">
        <v>74</v>
      </c>
      <c r="F1463" t="s">
        <v>25</v>
      </c>
      <c r="G1463" t="s">
        <v>9</v>
      </c>
      <c r="H1463" t="s">
        <v>27</v>
      </c>
      <c r="I1463" t="s">
        <v>37</v>
      </c>
      <c r="J1463" t="s">
        <v>45</v>
      </c>
      <c r="K1463">
        <v>7088</v>
      </c>
      <c r="L1463">
        <v>126</v>
      </c>
      <c r="M1463">
        <v>181.36</v>
      </c>
      <c r="N1463">
        <v>8</v>
      </c>
      <c r="O1463">
        <v>1230.3</v>
      </c>
      <c r="P1463">
        <f t="shared" si="88"/>
        <v>1.7776523702031602E-2</v>
      </c>
      <c r="Q1463">
        <f t="shared" si="88"/>
        <v>1.4393650793650794</v>
      </c>
      <c r="R1463">
        <f t="shared" si="89"/>
        <v>22.67</v>
      </c>
      <c r="S1463">
        <f t="shared" si="90"/>
        <v>6.7837450374944854</v>
      </c>
      <c r="T1463">
        <f t="shared" si="91"/>
        <v>6.3492063492063489E-2</v>
      </c>
      <c r="U1463" t="str">
        <f>YEAR('Campaign Data'!$A1463)&amp;"-"&amp;TEXT(MONTH('Campaign Data'!$A1463),"00")</f>
        <v>2026-03</v>
      </c>
    </row>
    <row r="1464" spans="1:21" x14ac:dyDescent="0.25">
      <c r="A1464">
        <v>46102</v>
      </c>
      <c r="B1464" t="s">
        <v>125</v>
      </c>
      <c r="C1464" t="s">
        <v>126</v>
      </c>
      <c r="D1464" t="s">
        <v>41</v>
      </c>
      <c r="E1464" t="s">
        <v>42</v>
      </c>
      <c r="F1464" t="s">
        <v>81</v>
      </c>
      <c r="G1464" t="s">
        <v>44</v>
      </c>
      <c r="H1464" t="s">
        <v>71</v>
      </c>
      <c r="I1464" t="s">
        <v>37</v>
      </c>
      <c r="J1464" t="s">
        <v>29</v>
      </c>
      <c r="K1464">
        <v>4685</v>
      </c>
      <c r="L1464">
        <v>39</v>
      </c>
      <c r="M1464">
        <v>194.87</v>
      </c>
      <c r="N1464">
        <v>1</v>
      </c>
      <c r="O1464">
        <v>21.95</v>
      </c>
      <c r="P1464">
        <f t="shared" si="88"/>
        <v>8.3244397011739586E-3</v>
      </c>
      <c r="Q1464">
        <f t="shared" si="88"/>
        <v>4.996666666666667</v>
      </c>
      <c r="R1464">
        <f t="shared" si="89"/>
        <v>194.87</v>
      </c>
      <c r="S1464">
        <f t="shared" si="90"/>
        <v>0.1126391953610099</v>
      </c>
      <c r="T1464">
        <f t="shared" si="91"/>
        <v>2.564102564102564E-2</v>
      </c>
      <c r="U1464" t="str">
        <f>YEAR('Campaign Data'!$A1464)&amp;"-"&amp;TEXT(MONTH('Campaign Data'!$A1464),"00")</f>
        <v>2026-03</v>
      </c>
    </row>
    <row r="1465" spans="1:21" x14ac:dyDescent="0.25">
      <c r="A1465">
        <v>46102</v>
      </c>
      <c r="B1465" t="s">
        <v>95</v>
      </c>
      <c r="C1465" t="s">
        <v>96</v>
      </c>
      <c r="D1465" t="s">
        <v>23</v>
      </c>
      <c r="E1465" t="s">
        <v>49</v>
      </c>
      <c r="F1465" t="s">
        <v>43</v>
      </c>
      <c r="G1465" t="s">
        <v>97</v>
      </c>
      <c r="H1465" t="s">
        <v>36</v>
      </c>
      <c r="I1465" t="s">
        <v>37</v>
      </c>
      <c r="J1465" t="s">
        <v>45</v>
      </c>
      <c r="K1465">
        <v>8165</v>
      </c>
      <c r="L1465">
        <v>240</v>
      </c>
      <c r="M1465">
        <v>413.73</v>
      </c>
      <c r="N1465">
        <v>28</v>
      </c>
      <c r="O1465">
        <v>536.07000000000005</v>
      </c>
      <c r="P1465">
        <f t="shared" si="88"/>
        <v>2.9393753827311696E-2</v>
      </c>
      <c r="Q1465">
        <f t="shared" si="88"/>
        <v>1.723875</v>
      </c>
      <c r="R1465">
        <f t="shared" si="89"/>
        <v>14.776071428571429</v>
      </c>
      <c r="S1465">
        <f t="shared" si="90"/>
        <v>1.2957000942643755</v>
      </c>
      <c r="T1465">
        <f t="shared" si="91"/>
        <v>0.11666666666666667</v>
      </c>
      <c r="U1465" t="str">
        <f>YEAR('Campaign Data'!$A1465)&amp;"-"&amp;TEXT(MONTH('Campaign Data'!$A1465),"00")</f>
        <v>2026-03</v>
      </c>
    </row>
    <row r="1466" spans="1:21" x14ac:dyDescent="0.25">
      <c r="A1466">
        <v>46102</v>
      </c>
      <c r="B1466" t="s">
        <v>52</v>
      </c>
      <c r="C1466" t="s">
        <v>53</v>
      </c>
      <c r="D1466" t="s">
        <v>32</v>
      </c>
      <c r="E1466" t="s">
        <v>42</v>
      </c>
      <c r="F1466" t="s">
        <v>25</v>
      </c>
      <c r="G1466" t="s">
        <v>54</v>
      </c>
      <c r="H1466" t="s">
        <v>27</v>
      </c>
      <c r="I1466" t="s">
        <v>37</v>
      </c>
      <c r="J1466" t="s">
        <v>62</v>
      </c>
      <c r="K1466">
        <v>15436</v>
      </c>
      <c r="L1466">
        <v>160</v>
      </c>
      <c r="M1466">
        <v>1283.3900000000001</v>
      </c>
      <c r="N1466">
        <v>1</v>
      </c>
      <c r="O1466">
        <v>151.22999999999999</v>
      </c>
      <c r="P1466">
        <f t="shared" si="88"/>
        <v>1.0365379632029024E-2</v>
      </c>
      <c r="Q1466">
        <f t="shared" si="88"/>
        <v>8.0211874999999999</v>
      </c>
      <c r="R1466">
        <f t="shared" si="89"/>
        <v>1283.3900000000001</v>
      </c>
      <c r="S1466">
        <f t="shared" si="90"/>
        <v>0.11783635527781888</v>
      </c>
      <c r="T1466">
        <f t="shared" si="91"/>
        <v>6.2500000000000003E-3</v>
      </c>
      <c r="U1466" t="str">
        <f>YEAR('Campaign Data'!$A1466)&amp;"-"&amp;TEXT(MONTH('Campaign Data'!$A1466),"00")</f>
        <v>2026-03</v>
      </c>
    </row>
    <row r="1467" spans="1:21" x14ac:dyDescent="0.25">
      <c r="A1467">
        <v>46102</v>
      </c>
      <c r="B1467" t="s">
        <v>100</v>
      </c>
      <c r="C1467" t="s">
        <v>101</v>
      </c>
      <c r="D1467" t="s">
        <v>80</v>
      </c>
      <c r="E1467" t="s">
        <v>33</v>
      </c>
      <c r="F1467" t="s">
        <v>25</v>
      </c>
      <c r="G1467" t="s">
        <v>102</v>
      </c>
      <c r="H1467" t="s">
        <v>51</v>
      </c>
      <c r="I1467" t="s">
        <v>37</v>
      </c>
      <c r="J1467" t="s">
        <v>38</v>
      </c>
      <c r="K1467">
        <v>2844</v>
      </c>
      <c r="L1467">
        <v>32</v>
      </c>
      <c r="M1467">
        <v>19.98</v>
      </c>
      <c r="N1467">
        <v>1</v>
      </c>
      <c r="O1467">
        <v>160.68</v>
      </c>
      <c r="P1467">
        <f t="shared" si="88"/>
        <v>1.1251758087201125E-2</v>
      </c>
      <c r="Q1467">
        <f t="shared" si="88"/>
        <v>0.62437500000000001</v>
      </c>
      <c r="R1467">
        <f t="shared" si="89"/>
        <v>19.98</v>
      </c>
      <c r="S1467">
        <f t="shared" si="90"/>
        <v>8.0420420420420431</v>
      </c>
      <c r="T1467">
        <f t="shared" si="91"/>
        <v>3.125E-2</v>
      </c>
      <c r="U1467" t="str">
        <f>YEAR('Campaign Data'!$A1467)&amp;"-"&amp;TEXT(MONTH('Campaign Data'!$A1467),"00")</f>
        <v>2026-03</v>
      </c>
    </row>
    <row r="1468" spans="1:21" x14ac:dyDescent="0.25">
      <c r="A1468">
        <v>46102</v>
      </c>
      <c r="B1468" t="s">
        <v>100</v>
      </c>
      <c r="C1468" t="s">
        <v>101</v>
      </c>
      <c r="D1468" t="s">
        <v>80</v>
      </c>
      <c r="E1468" t="s">
        <v>33</v>
      </c>
      <c r="F1468" t="s">
        <v>25</v>
      </c>
      <c r="G1468" t="s">
        <v>102</v>
      </c>
      <c r="H1468" t="s">
        <v>90</v>
      </c>
      <c r="I1468" t="s">
        <v>37</v>
      </c>
      <c r="J1468" t="s">
        <v>87</v>
      </c>
      <c r="K1468">
        <v>2797</v>
      </c>
      <c r="L1468">
        <v>21</v>
      </c>
      <c r="M1468">
        <v>2.62</v>
      </c>
      <c r="N1468">
        <v>0</v>
      </c>
      <c r="O1468">
        <v>0</v>
      </c>
      <c r="P1468">
        <f t="shared" si="88"/>
        <v>7.5080443332141578E-3</v>
      </c>
      <c r="Q1468">
        <f t="shared" si="88"/>
        <v>0.12476190476190477</v>
      </c>
      <c r="R1468">
        <f t="shared" si="89"/>
        <v>0</v>
      </c>
      <c r="S1468">
        <f t="shared" si="90"/>
        <v>0</v>
      </c>
      <c r="T1468">
        <f t="shared" si="91"/>
        <v>0</v>
      </c>
      <c r="U1468" t="str">
        <f>YEAR('Campaign Data'!$A1468)&amp;"-"&amp;TEXT(MONTH('Campaign Data'!$A1468),"00")</f>
        <v>2026-03</v>
      </c>
    </row>
    <row r="1469" spans="1:21" x14ac:dyDescent="0.25">
      <c r="A1469">
        <v>46102</v>
      </c>
      <c r="B1469" t="s">
        <v>132</v>
      </c>
      <c r="C1469" t="s">
        <v>133</v>
      </c>
      <c r="D1469" t="s">
        <v>23</v>
      </c>
      <c r="E1469" t="s">
        <v>42</v>
      </c>
      <c r="F1469" t="s">
        <v>75</v>
      </c>
      <c r="G1469" t="s">
        <v>84</v>
      </c>
      <c r="H1469" t="s">
        <v>90</v>
      </c>
      <c r="I1469" t="s">
        <v>28</v>
      </c>
      <c r="J1469" t="s">
        <v>38</v>
      </c>
      <c r="K1469">
        <v>5285</v>
      </c>
      <c r="L1469">
        <v>12</v>
      </c>
      <c r="M1469">
        <v>18.41</v>
      </c>
      <c r="N1469">
        <v>0</v>
      </c>
      <c r="O1469">
        <v>0</v>
      </c>
      <c r="P1469">
        <f t="shared" si="88"/>
        <v>2.2705771050141911E-3</v>
      </c>
      <c r="Q1469">
        <f t="shared" si="88"/>
        <v>1.5341666666666667</v>
      </c>
      <c r="R1469">
        <f t="shared" si="89"/>
        <v>0</v>
      </c>
      <c r="S1469">
        <f t="shared" si="90"/>
        <v>0</v>
      </c>
      <c r="T1469">
        <f t="shared" si="91"/>
        <v>0</v>
      </c>
      <c r="U1469" t="str">
        <f>YEAR('Campaign Data'!$A1469)&amp;"-"&amp;TEXT(MONTH('Campaign Data'!$A1469),"00")</f>
        <v>2026-03</v>
      </c>
    </row>
    <row r="1470" spans="1:21" x14ac:dyDescent="0.25">
      <c r="A1470">
        <v>46102</v>
      </c>
      <c r="B1470" t="s">
        <v>179</v>
      </c>
      <c r="C1470" t="s">
        <v>180</v>
      </c>
      <c r="D1470" t="s">
        <v>58</v>
      </c>
      <c r="E1470" t="s">
        <v>42</v>
      </c>
      <c r="F1470" t="s">
        <v>25</v>
      </c>
      <c r="G1470" t="s">
        <v>54</v>
      </c>
      <c r="H1470" t="s">
        <v>90</v>
      </c>
      <c r="I1470" t="s">
        <v>37</v>
      </c>
      <c r="J1470" t="s">
        <v>38</v>
      </c>
      <c r="K1470">
        <v>1570</v>
      </c>
      <c r="L1470">
        <v>7</v>
      </c>
      <c r="M1470">
        <v>13.01</v>
      </c>
      <c r="N1470">
        <v>0</v>
      </c>
      <c r="O1470">
        <v>0</v>
      </c>
      <c r="P1470">
        <f t="shared" si="88"/>
        <v>4.4585987261146496E-3</v>
      </c>
      <c r="Q1470">
        <f t="shared" si="88"/>
        <v>1.8585714285714285</v>
      </c>
      <c r="R1470">
        <f t="shared" si="89"/>
        <v>0</v>
      </c>
      <c r="S1470">
        <f t="shared" si="90"/>
        <v>0</v>
      </c>
      <c r="T1470">
        <f t="shared" si="91"/>
        <v>0</v>
      </c>
      <c r="U1470" t="str">
        <f>YEAR('Campaign Data'!$A1470)&amp;"-"&amp;TEXT(MONTH('Campaign Data'!$A1470),"00")</f>
        <v>2026-03</v>
      </c>
    </row>
    <row r="1471" spans="1:21" x14ac:dyDescent="0.25">
      <c r="A1471">
        <v>46102</v>
      </c>
      <c r="B1471" t="s">
        <v>110</v>
      </c>
      <c r="C1471" t="s">
        <v>111</v>
      </c>
      <c r="D1471" t="s">
        <v>23</v>
      </c>
      <c r="E1471" t="s">
        <v>49</v>
      </c>
      <c r="F1471" t="s">
        <v>34</v>
      </c>
      <c r="G1471" t="s">
        <v>50</v>
      </c>
      <c r="H1471" t="s">
        <v>27</v>
      </c>
      <c r="I1471" t="s">
        <v>37</v>
      </c>
      <c r="J1471" t="s">
        <v>29</v>
      </c>
      <c r="K1471">
        <v>5897</v>
      </c>
      <c r="L1471">
        <v>289</v>
      </c>
      <c r="M1471">
        <v>710.75</v>
      </c>
      <c r="N1471">
        <v>7</v>
      </c>
      <c r="O1471">
        <v>1243.46</v>
      </c>
      <c r="P1471">
        <f t="shared" si="88"/>
        <v>4.9007970154315753E-2</v>
      </c>
      <c r="Q1471">
        <f t="shared" si="88"/>
        <v>2.4593425605536332</v>
      </c>
      <c r="R1471">
        <f t="shared" si="89"/>
        <v>101.53571428571429</v>
      </c>
      <c r="S1471">
        <f t="shared" si="90"/>
        <v>1.7495040450228632</v>
      </c>
      <c r="T1471">
        <f t="shared" si="91"/>
        <v>2.4221453287197232E-2</v>
      </c>
      <c r="U1471" t="str">
        <f>YEAR('Campaign Data'!$A1471)&amp;"-"&amp;TEXT(MONTH('Campaign Data'!$A1471),"00")</f>
        <v>2026-03</v>
      </c>
    </row>
    <row r="1472" spans="1:21" x14ac:dyDescent="0.25">
      <c r="A1472">
        <v>46102</v>
      </c>
      <c r="B1472" t="s">
        <v>157</v>
      </c>
      <c r="C1472" t="s">
        <v>158</v>
      </c>
      <c r="D1472" t="s">
        <v>58</v>
      </c>
      <c r="E1472" t="s">
        <v>49</v>
      </c>
      <c r="F1472" t="s">
        <v>81</v>
      </c>
      <c r="G1472" t="s">
        <v>50</v>
      </c>
      <c r="H1472" t="s">
        <v>90</v>
      </c>
      <c r="I1472" t="s">
        <v>61</v>
      </c>
      <c r="J1472" t="s">
        <v>62</v>
      </c>
      <c r="K1472">
        <v>4431</v>
      </c>
      <c r="L1472">
        <v>236</v>
      </c>
      <c r="M1472">
        <v>110.4</v>
      </c>
      <c r="N1472">
        <v>7</v>
      </c>
      <c r="O1472">
        <v>42.84</v>
      </c>
      <c r="P1472">
        <f t="shared" si="88"/>
        <v>5.3261114872489281E-2</v>
      </c>
      <c r="Q1472">
        <f t="shared" si="88"/>
        <v>0.46779661016949153</v>
      </c>
      <c r="R1472">
        <f t="shared" si="89"/>
        <v>15.771428571428572</v>
      </c>
      <c r="S1472">
        <f t="shared" si="90"/>
        <v>0.3880434782608696</v>
      </c>
      <c r="T1472">
        <f t="shared" si="91"/>
        <v>2.9661016949152543E-2</v>
      </c>
      <c r="U1472" t="str">
        <f>YEAR('Campaign Data'!$A1472)&amp;"-"&amp;TEXT(MONTH('Campaign Data'!$A1472),"00")</f>
        <v>2026-03</v>
      </c>
    </row>
    <row r="1473" spans="1:21" x14ac:dyDescent="0.25">
      <c r="A1473">
        <v>46102</v>
      </c>
      <c r="B1473" t="s">
        <v>141</v>
      </c>
      <c r="C1473" t="s">
        <v>142</v>
      </c>
      <c r="D1473" t="s">
        <v>80</v>
      </c>
      <c r="E1473" t="s">
        <v>49</v>
      </c>
      <c r="F1473" t="s">
        <v>81</v>
      </c>
      <c r="G1473" t="s">
        <v>97</v>
      </c>
      <c r="H1473" t="s">
        <v>90</v>
      </c>
      <c r="I1473" t="s">
        <v>37</v>
      </c>
      <c r="J1473" t="s">
        <v>45</v>
      </c>
      <c r="K1473">
        <v>12707</v>
      </c>
      <c r="L1473">
        <v>442</v>
      </c>
      <c r="M1473">
        <v>250.55</v>
      </c>
      <c r="N1473">
        <v>25</v>
      </c>
      <c r="O1473">
        <v>125</v>
      </c>
      <c r="P1473">
        <f t="shared" si="88"/>
        <v>3.4783977335326982E-2</v>
      </c>
      <c r="Q1473">
        <f t="shared" si="88"/>
        <v>0.56685520361990949</v>
      </c>
      <c r="R1473">
        <f t="shared" si="89"/>
        <v>10.022</v>
      </c>
      <c r="S1473">
        <f t="shared" si="90"/>
        <v>0.49890241468768709</v>
      </c>
      <c r="T1473">
        <f t="shared" si="91"/>
        <v>5.6561085972850679E-2</v>
      </c>
      <c r="U1473" t="str">
        <f>YEAR('Campaign Data'!$A1473)&amp;"-"&amp;TEXT(MONTH('Campaign Data'!$A1473),"00")</f>
        <v>2026-03</v>
      </c>
    </row>
    <row r="1474" spans="1:21" x14ac:dyDescent="0.25">
      <c r="A1474">
        <v>46102</v>
      </c>
      <c r="B1474" t="s">
        <v>141</v>
      </c>
      <c r="C1474" t="s">
        <v>142</v>
      </c>
      <c r="D1474" t="s">
        <v>80</v>
      </c>
      <c r="E1474" t="s">
        <v>49</v>
      </c>
      <c r="F1474" t="s">
        <v>81</v>
      </c>
      <c r="G1474" t="s">
        <v>97</v>
      </c>
      <c r="H1474" t="s">
        <v>36</v>
      </c>
      <c r="I1474" t="s">
        <v>28</v>
      </c>
      <c r="J1474" t="s">
        <v>45</v>
      </c>
      <c r="K1474">
        <v>4788</v>
      </c>
      <c r="L1474">
        <v>247</v>
      </c>
      <c r="M1474">
        <v>436.98</v>
      </c>
      <c r="N1474">
        <v>6</v>
      </c>
      <c r="O1474">
        <v>147.6</v>
      </c>
      <c r="P1474">
        <f t="shared" ref="P1474:Q1537" si="92">IF(K1474=0,0,L1474/K1474)</f>
        <v>5.1587301587301584E-2</v>
      </c>
      <c r="Q1474">
        <f t="shared" si="92"/>
        <v>1.7691497975708503</v>
      </c>
      <c r="R1474">
        <f t="shared" ref="R1474:R1537" si="93">IF(N1474=0,0,M1474/N1474)</f>
        <v>72.83</v>
      </c>
      <c r="S1474">
        <f t="shared" ref="S1474:S1537" si="94">IF(M1474=0,0,O1474/M1474)</f>
        <v>0.3377728957847041</v>
      </c>
      <c r="T1474">
        <f t="shared" ref="T1474:T1537" si="95">IF(L1474=0,0,N1474/L1474)</f>
        <v>2.4291497975708502E-2</v>
      </c>
      <c r="U1474" t="str">
        <f>YEAR('Campaign Data'!$A1474)&amp;"-"&amp;TEXT(MONTH('Campaign Data'!$A1474),"00")</f>
        <v>2026-03</v>
      </c>
    </row>
    <row r="1475" spans="1:21" x14ac:dyDescent="0.25">
      <c r="A1475">
        <v>46102</v>
      </c>
      <c r="B1475" t="s">
        <v>136</v>
      </c>
      <c r="C1475" t="s">
        <v>137</v>
      </c>
      <c r="D1475" t="s">
        <v>32</v>
      </c>
      <c r="E1475" t="s">
        <v>49</v>
      </c>
      <c r="F1475" t="s">
        <v>75</v>
      </c>
      <c r="G1475" t="s">
        <v>97</v>
      </c>
      <c r="H1475" t="s">
        <v>27</v>
      </c>
      <c r="I1475" t="s">
        <v>37</v>
      </c>
      <c r="J1475" t="s">
        <v>45</v>
      </c>
      <c r="K1475">
        <v>6064</v>
      </c>
      <c r="L1475">
        <v>119</v>
      </c>
      <c r="M1475">
        <v>284.25</v>
      </c>
      <c r="N1475">
        <v>4</v>
      </c>
      <c r="O1475">
        <v>147.99</v>
      </c>
      <c r="P1475">
        <f t="shared" si="92"/>
        <v>1.9624010554089709E-2</v>
      </c>
      <c r="Q1475">
        <f t="shared" si="92"/>
        <v>2.3886554621848739</v>
      </c>
      <c r="R1475">
        <f t="shared" si="93"/>
        <v>71.0625</v>
      </c>
      <c r="S1475">
        <f t="shared" si="94"/>
        <v>0.52063324538258582</v>
      </c>
      <c r="T1475">
        <f t="shared" si="95"/>
        <v>3.3613445378151259E-2</v>
      </c>
      <c r="U1475" t="str">
        <f>YEAR('Campaign Data'!$A1475)&amp;"-"&amp;TEXT(MONTH('Campaign Data'!$A1475),"00")</f>
        <v>2026-03</v>
      </c>
    </row>
    <row r="1476" spans="1:21" x14ac:dyDescent="0.25">
      <c r="A1476">
        <v>46103</v>
      </c>
      <c r="B1476" t="s">
        <v>138</v>
      </c>
      <c r="C1476" t="s">
        <v>139</v>
      </c>
      <c r="D1476" t="s">
        <v>58</v>
      </c>
      <c r="E1476" t="s">
        <v>74</v>
      </c>
      <c r="F1476" t="s">
        <v>34</v>
      </c>
      <c r="G1476" t="s">
        <v>9</v>
      </c>
      <c r="H1476" t="s">
        <v>90</v>
      </c>
      <c r="I1476" t="s">
        <v>28</v>
      </c>
      <c r="J1476" t="s">
        <v>38</v>
      </c>
      <c r="K1476">
        <v>17180</v>
      </c>
      <c r="L1476">
        <v>509</v>
      </c>
      <c r="M1476">
        <v>190.52</v>
      </c>
      <c r="N1476">
        <v>27</v>
      </c>
      <c r="O1476">
        <v>729.72</v>
      </c>
      <c r="P1476">
        <f t="shared" si="92"/>
        <v>2.9627473806752038E-2</v>
      </c>
      <c r="Q1476">
        <f t="shared" si="92"/>
        <v>0.37430255402750495</v>
      </c>
      <c r="R1476">
        <f t="shared" si="93"/>
        <v>7.0562962962962965</v>
      </c>
      <c r="S1476">
        <f t="shared" si="94"/>
        <v>3.8301490657148856</v>
      </c>
      <c r="T1476">
        <f t="shared" si="95"/>
        <v>5.304518664047151E-2</v>
      </c>
      <c r="U1476" t="str">
        <f>YEAR('Campaign Data'!$A1476)&amp;"-"&amp;TEXT(MONTH('Campaign Data'!$A1476),"00")</f>
        <v>2026-03</v>
      </c>
    </row>
    <row r="1477" spans="1:21" x14ac:dyDescent="0.25">
      <c r="A1477">
        <v>46103</v>
      </c>
      <c r="B1477" t="s">
        <v>186</v>
      </c>
      <c r="C1477" t="s">
        <v>187</v>
      </c>
      <c r="D1477" t="s">
        <v>80</v>
      </c>
      <c r="E1477" t="s">
        <v>33</v>
      </c>
      <c r="F1477" t="s">
        <v>43</v>
      </c>
      <c r="G1477" t="s">
        <v>102</v>
      </c>
      <c r="H1477" t="s">
        <v>55</v>
      </c>
      <c r="I1477" t="s">
        <v>37</v>
      </c>
      <c r="J1477" t="s">
        <v>38</v>
      </c>
      <c r="K1477">
        <v>9576</v>
      </c>
      <c r="L1477">
        <v>92</v>
      </c>
      <c r="M1477">
        <v>46.81</v>
      </c>
      <c r="N1477">
        <v>1</v>
      </c>
      <c r="O1477">
        <v>22.83</v>
      </c>
      <c r="P1477">
        <f t="shared" si="92"/>
        <v>9.60735171261487E-3</v>
      </c>
      <c r="Q1477">
        <f t="shared" si="92"/>
        <v>0.50880434782608697</v>
      </c>
      <c r="R1477">
        <f t="shared" si="93"/>
        <v>46.81</v>
      </c>
      <c r="S1477">
        <f t="shared" si="94"/>
        <v>0.48771629993591109</v>
      </c>
      <c r="T1477">
        <f t="shared" si="95"/>
        <v>1.0869565217391304E-2</v>
      </c>
      <c r="U1477" t="str">
        <f>YEAR('Campaign Data'!$A1477)&amp;"-"&amp;TEXT(MONTH('Campaign Data'!$A1477),"00")</f>
        <v>2026-03</v>
      </c>
    </row>
    <row r="1478" spans="1:21" x14ac:dyDescent="0.25">
      <c r="A1478">
        <v>46103</v>
      </c>
      <c r="B1478" t="s">
        <v>30</v>
      </c>
      <c r="C1478" t="s">
        <v>31</v>
      </c>
      <c r="D1478" t="s">
        <v>32</v>
      </c>
      <c r="E1478" t="s">
        <v>33</v>
      </c>
      <c r="F1478" t="s">
        <v>34</v>
      </c>
      <c r="G1478" t="s">
        <v>35</v>
      </c>
      <c r="H1478" t="s">
        <v>36</v>
      </c>
      <c r="I1478" t="s">
        <v>37</v>
      </c>
      <c r="J1478" t="s">
        <v>87</v>
      </c>
      <c r="K1478">
        <v>9386</v>
      </c>
      <c r="L1478">
        <v>42</v>
      </c>
      <c r="M1478">
        <v>25.98</v>
      </c>
      <c r="N1478">
        <v>1</v>
      </c>
      <c r="O1478">
        <v>171</v>
      </c>
      <c r="P1478">
        <f t="shared" si="92"/>
        <v>4.4747496271041977E-3</v>
      </c>
      <c r="Q1478">
        <f t="shared" si="92"/>
        <v>0.61857142857142855</v>
      </c>
      <c r="R1478">
        <f t="shared" si="93"/>
        <v>25.98</v>
      </c>
      <c r="S1478">
        <f t="shared" si="94"/>
        <v>6.5819861431870672</v>
      </c>
      <c r="T1478">
        <f t="shared" si="95"/>
        <v>2.3809523809523808E-2</v>
      </c>
      <c r="U1478" t="str">
        <f>YEAR('Campaign Data'!$A1478)&amp;"-"&amp;TEXT(MONTH('Campaign Data'!$A1478),"00")</f>
        <v>2026-03</v>
      </c>
    </row>
    <row r="1479" spans="1:21" x14ac:dyDescent="0.25">
      <c r="A1479">
        <v>46103</v>
      </c>
      <c r="B1479" t="s">
        <v>105</v>
      </c>
      <c r="C1479" t="s">
        <v>106</v>
      </c>
      <c r="D1479" t="s">
        <v>58</v>
      </c>
      <c r="E1479" t="s">
        <v>49</v>
      </c>
      <c r="F1479" t="s">
        <v>81</v>
      </c>
      <c r="G1479" t="s">
        <v>107</v>
      </c>
      <c r="H1479" t="s">
        <v>27</v>
      </c>
      <c r="I1479" t="s">
        <v>37</v>
      </c>
      <c r="J1479" t="s">
        <v>38</v>
      </c>
      <c r="K1479">
        <v>8985</v>
      </c>
      <c r="L1479">
        <v>398</v>
      </c>
      <c r="M1479">
        <v>901.21</v>
      </c>
      <c r="N1479">
        <v>21</v>
      </c>
      <c r="O1479">
        <v>626.41</v>
      </c>
      <c r="P1479">
        <f t="shared" si="92"/>
        <v>4.4296048970506402E-2</v>
      </c>
      <c r="Q1479">
        <f t="shared" si="92"/>
        <v>2.2643467336683418</v>
      </c>
      <c r="R1479">
        <f t="shared" si="93"/>
        <v>42.914761904761903</v>
      </c>
      <c r="S1479">
        <f t="shared" si="94"/>
        <v>0.6950766192119483</v>
      </c>
      <c r="T1479">
        <f t="shared" si="95"/>
        <v>5.2763819095477386E-2</v>
      </c>
      <c r="U1479" t="str">
        <f>YEAR('Campaign Data'!$A1479)&amp;"-"&amp;TEXT(MONTH('Campaign Data'!$A1479),"00")</f>
        <v>2026-03</v>
      </c>
    </row>
    <row r="1480" spans="1:21" x14ac:dyDescent="0.25">
      <c r="A1480">
        <v>46103</v>
      </c>
      <c r="B1480" t="s">
        <v>105</v>
      </c>
      <c r="C1480" t="s">
        <v>106</v>
      </c>
      <c r="D1480" t="s">
        <v>58</v>
      </c>
      <c r="E1480" t="s">
        <v>49</v>
      </c>
      <c r="F1480" t="s">
        <v>81</v>
      </c>
      <c r="G1480" t="s">
        <v>107</v>
      </c>
      <c r="H1480" t="s">
        <v>90</v>
      </c>
      <c r="I1480" t="s">
        <v>37</v>
      </c>
      <c r="J1480" t="s">
        <v>62</v>
      </c>
      <c r="K1480">
        <v>10731</v>
      </c>
      <c r="L1480">
        <v>734</v>
      </c>
      <c r="M1480">
        <v>397.98</v>
      </c>
      <c r="N1480">
        <v>72</v>
      </c>
      <c r="O1480">
        <v>488.14</v>
      </c>
      <c r="P1480">
        <f t="shared" si="92"/>
        <v>6.8399962724815952E-2</v>
      </c>
      <c r="Q1480">
        <f t="shared" si="92"/>
        <v>0.54220708446866483</v>
      </c>
      <c r="R1480">
        <f t="shared" si="93"/>
        <v>5.5274999999999999</v>
      </c>
      <c r="S1480">
        <f t="shared" si="94"/>
        <v>1.2265440474395697</v>
      </c>
      <c r="T1480">
        <f t="shared" si="95"/>
        <v>9.8092643051771122E-2</v>
      </c>
      <c r="U1480" t="str">
        <f>YEAR('Campaign Data'!$A1480)&amp;"-"&amp;TEXT(MONTH('Campaign Data'!$A1480),"00")</f>
        <v>2026-03</v>
      </c>
    </row>
    <row r="1481" spans="1:21" x14ac:dyDescent="0.25">
      <c r="A1481">
        <v>46103</v>
      </c>
      <c r="B1481" t="s">
        <v>177</v>
      </c>
      <c r="C1481" t="s">
        <v>178</v>
      </c>
      <c r="D1481" t="s">
        <v>41</v>
      </c>
      <c r="E1481" t="s">
        <v>49</v>
      </c>
      <c r="F1481" t="s">
        <v>34</v>
      </c>
      <c r="G1481" t="s">
        <v>107</v>
      </c>
      <c r="H1481" t="s">
        <v>55</v>
      </c>
      <c r="I1481" t="s">
        <v>37</v>
      </c>
      <c r="J1481" t="s">
        <v>45</v>
      </c>
      <c r="K1481">
        <v>22576</v>
      </c>
      <c r="L1481">
        <v>1019</v>
      </c>
      <c r="M1481">
        <v>1313.22</v>
      </c>
      <c r="N1481">
        <v>58</v>
      </c>
      <c r="O1481">
        <v>9349.34</v>
      </c>
      <c r="P1481">
        <f t="shared" si="92"/>
        <v>4.5136428065201982E-2</v>
      </c>
      <c r="Q1481">
        <f t="shared" si="92"/>
        <v>1.2887340529931306</v>
      </c>
      <c r="R1481">
        <f t="shared" si="93"/>
        <v>22.641724137931035</v>
      </c>
      <c r="S1481">
        <f t="shared" si="94"/>
        <v>7.1194011665981325</v>
      </c>
      <c r="T1481">
        <f t="shared" si="95"/>
        <v>5.6918547595682038E-2</v>
      </c>
      <c r="U1481" t="str">
        <f>YEAR('Campaign Data'!$A1481)&amp;"-"&amp;TEXT(MONTH('Campaign Data'!$A1481),"00")</f>
        <v>2026-03</v>
      </c>
    </row>
    <row r="1482" spans="1:21" x14ac:dyDescent="0.25">
      <c r="A1482">
        <v>46103</v>
      </c>
      <c r="B1482" t="s">
        <v>134</v>
      </c>
      <c r="C1482" t="s">
        <v>135</v>
      </c>
      <c r="D1482" t="s">
        <v>32</v>
      </c>
      <c r="E1482" t="s">
        <v>74</v>
      </c>
      <c r="F1482" t="s">
        <v>25</v>
      </c>
      <c r="G1482" t="s">
        <v>107</v>
      </c>
      <c r="H1482" t="s">
        <v>36</v>
      </c>
      <c r="I1482" t="s">
        <v>37</v>
      </c>
      <c r="J1482" t="s">
        <v>29</v>
      </c>
      <c r="K1482">
        <v>9090</v>
      </c>
      <c r="L1482">
        <v>175</v>
      </c>
      <c r="M1482">
        <v>215.64</v>
      </c>
      <c r="N1482">
        <v>9</v>
      </c>
      <c r="O1482">
        <v>616.49</v>
      </c>
      <c r="P1482">
        <f t="shared" si="92"/>
        <v>1.9251925192519254E-2</v>
      </c>
      <c r="Q1482">
        <f t="shared" si="92"/>
        <v>1.2322285714285715</v>
      </c>
      <c r="R1482">
        <f t="shared" si="93"/>
        <v>23.959999999999997</v>
      </c>
      <c r="S1482">
        <f t="shared" si="94"/>
        <v>2.8588851790020406</v>
      </c>
      <c r="T1482">
        <f t="shared" si="95"/>
        <v>5.1428571428571428E-2</v>
      </c>
      <c r="U1482" t="str">
        <f>YEAR('Campaign Data'!$A1482)&amp;"-"&amp;TEXT(MONTH('Campaign Data'!$A1482),"00")</f>
        <v>2026-03</v>
      </c>
    </row>
    <row r="1483" spans="1:21" x14ac:dyDescent="0.25">
      <c r="A1483">
        <v>46103</v>
      </c>
      <c r="B1483" t="s">
        <v>161</v>
      </c>
      <c r="C1483" t="s">
        <v>162</v>
      </c>
      <c r="D1483" t="s">
        <v>48</v>
      </c>
      <c r="E1483" t="s">
        <v>74</v>
      </c>
      <c r="F1483" t="s">
        <v>34</v>
      </c>
      <c r="G1483" t="s">
        <v>107</v>
      </c>
      <c r="H1483" t="s">
        <v>27</v>
      </c>
      <c r="I1483" t="s">
        <v>28</v>
      </c>
      <c r="J1483" t="s">
        <v>87</v>
      </c>
      <c r="K1483">
        <v>8025</v>
      </c>
      <c r="L1483">
        <v>230</v>
      </c>
      <c r="M1483">
        <v>394.16</v>
      </c>
      <c r="N1483">
        <v>6</v>
      </c>
      <c r="O1483">
        <v>1476.52</v>
      </c>
      <c r="P1483">
        <f t="shared" si="92"/>
        <v>2.866043613707165E-2</v>
      </c>
      <c r="Q1483">
        <f t="shared" si="92"/>
        <v>1.7137391304347827</v>
      </c>
      <c r="R1483">
        <f t="shared" si="93"/>
        <v>65.693333333333342</v>
      </c>
      <c r="S1483">
        <f t="shared" si="94"/>
        <v>3.7459914755429264</v>
      </c>
      <c r="T1483">
        <f t="shared" si="95"/>
        <v>2.6086956521739129E-2</v>
      </c>
      <c r="U1483" t="str">
        <f>YEAR('Campaign Data'!$A1483)&amp;"-"&amp;TEXT(MONTH('Campaign Data'!$A1483),"00")</f>
        <v>2026-03</v>
      </c>
    </row>
    <row r="1484" spans="1:21" x14ac:dyDescent="0.25">
      <c r="A1484">
        <v>46103</v>
      </c>
      <c r="B1484" t="s">
        <v>114</v>
      </c>
      <c r="C1484" t="s">
        <v>115</v>
      </c>
      <c r="D1484" t="s">
        <v>69</v>
      </c>
      <c r="E1484" t="s">
        <v>49</v>
      </c>
      <c r="F1484" t="s">
        <v>25</v>
      </c>
      <c r="G1484" t="s">
        <v>107</v>
      </c>
      <c r="H1484" t="s">
        <v>90</v>
      </c>
      <c r="I1484" t="s">
        <v>28</v>
      </c>
      <c r="J1484" t="s">
        <v>62</v>
      </c>
      <c r="K1484">
        <v>4522</v>
      </c>
      <c r="L1484">
        <v>270</v>
      </c>
      <c r="M1484">
        <v>158.19</v>
      </c>
      <c r="N1484">
        <v>11</v>
      </c>
      <c r="O1484">
        <v>692.63</v>
      </c>
      <c r="P1484">
        <f t="shared" si="92"/>
        <v>5.9708093763821316E-2</v>
      </c>
      <c r="Q1484">
        <f t="shared" si="92"/>
        <v>0.5858888888888889</v>
      </c>
      <c r="R1484">
        <f t="shared" si="93"/>
        <v>14.380909090909091</v>
      </c>
      <c r="S1484">
        <f t="shared" si="94"/>
        <v>4.3784689297680002</v>
      </c>
      <c r="T1484">
        <f t="shared" si="95"/>
        <v>4.0740740740740744E-2</v>
      </c>
      <c r="U1484" t="str">
        <f>YEAR('Campaign Data'!$A1484)&amp;"-"&amp;TEXT(MONTH('Campaign Data'!$A1484),"00")</f>
        <v>2026-03</v>
      </c>
    </row>
    <row r="1485" spans="1:21" x14ac:dyDescent="0.25">
      <c r="A1485">
        <v>46103</v>
      </c>
      <c r="B1485" t="s">
        <v>143</v>
      </c>
      <c r="C1485" t="s">
        <v>144</v>
      </c>
      <c r="D1485" t="s">
        <v>48</v>
      </c>
      <c r="E1485" t="s">
        <v>42</v>
      </c>
      <c r="F1485" t="s">
        <v>25</v>
      </c>
      <c r="G1485" t="s">
        <v>84</v>
      </c>
      <c r="H1485" t="s">
        <v>27</v>
      </c>
      <c r="I1485" t="s">
        <v>37</v>
      </c>
      <c r="J1485" t="s">
        <v>29</v>
      </c>
      <c r="K1485">
        <v>3203</v>
      </c>
      <c r="L1485">
        <v>11</v>
      </c>
      <c r="M1485">
        <v>89.31</v>
      </c>
      <c r="N1485">
        <v>1</v>
      </c>
      <c r="O1485">
        <v>286.68</v>
      </c>
      <c r="P1485">
        <f t="shared" si="92"/>
        <v>3.4342803621604744E-3</v>
      </c>
      <c r="Q1485">
        <f t="shared" si="92"/>
        <v>8.1190909090909091</v>
      </c>
      <c r="R1485">
        <f t="shared" si="93"/>
        <v>89.31</v>
      </c>
      <c r="S1485">
        <f t="shared" si="94"/>
        <v>3.2099428955324152</v>
      </c>
      <c r="T1485">
        <f t="shared" si="95"/>
        <v>9.0909090909090912E-2</v>
      </c>
      <c r="U1485" t="str">
        <f>YEAR('Campaign Data'!$A1485)&amp;"-"&amp;TEXT(MONTH('Campaign Data'!$A1485),"00")</f>
        <v>2026-03</v>
      </c>
    </row>
    <row r="1486" spans="1:21" x14ac:dyDescent="0.25">
      <c r="A1486">
        <v>46103</v>
      </c>
      <c r="B1486" t="s">
        <v>67</v>
      </c>
      <c r="C1486" t="s">
        <v>68</v>
      </c>
      <c r="D1486" t="s">
        <v>69</v>
      </c>
      <c r="E1486" t="s">
        <v>49</v>
      </c>
      <c r="F1486" t="s">
        <v>34</v>
      </c>
      <c r="G1486" t="s">
        <v>70</v>
      </c>
      <c r="H1486" t="s">
        <v>71</v>
      </c>
      <c r="I1486" t="s">
        <v>37</v>
      </c>
      <c r="J1486" t="s">
        <v>45</v>
      </c>
      <c r="K1486">
        <v>673</v>
      </c>
      <c r="L1486">
        <v>30</v>
      </c>
      <c r="M1486">
        <v>54.69</v>
      </c>
      <c r="N1486">
        <v>2</v>
      </c>
      <c r="O1486">
        <v>183.11</v>
      </c>
      <c r="P1486">
        <f t="shared" si="92"/>
        <v>4.4576523031203567E-2</v>
      </c>
      <c r="Q1486">
        <f t="shared" si="92"/>
        <v>1.823</v>
      </c>
      <c r="R1486">
        <f t="shared" si="93"/>
        <v>27.344999999999999</v>
      </c>
      <c r="S1486">
        <f t="shared" si="94"/>
        <v>3.3481440848418362</v>
      </c>
      <c r="T1486">
        <f t="shared" si="95"/>
        <v>6.6666666666666666E-2</v>
      </c>
      <c r="U1486" t="str">
        <f>YEAR('Campaign Data'!$A1486)&amp;"-"&amp;TEXT(MONTH('Campaign Data'!$A1486),"00")</f>
        <v>2026-03</v>
      </c>
    </row>
    <row r="1487" spans="1:21" x14ac:dyDescent="0.25">
      <c r="A1487">
        <v>46103</v>
      </c>
      <c r="B1487" t="s">
        <v>116</v>
      </c>
      <c r="C1487" t="s">
        <v>117</v>
      </c>
      <c r="D1487" t="s">
        <v>48</v>
      </c>
      <c r="E1487" t="s">
        <v>24</v>
      </c>
      <c r="F1487" t="s">
        <v>43</v>
      </c>
      <c r="G1487" t="s">
        <v>26</v>
      </c>
      <c r="H1487" t="s">
        <v>27</v>
      </c>
      <c r="I1487" t="s">
        <v>28</v>
      </c>
      <c r="J1487" t="s">
        <v>87</v>
      </c>
      <c r="K1487">
        <v>24381</v>
      </c>
      <c r="L1487">
        <v>210</v>
      </c>
      <c r="M1487">
        <v>220.33</v>
      </c>
      <c r="N1487">
        <v>4</v>
      </c>
      <c r="O1487">
        <v>142.41999999999999</v>
      </c>
      <c r="P1487">
        <f t="shared" si="92"/>
        <v>8.6132644272179162E-3</v>
      </c>
      <c r="Q1487">
        <f t="shared" si="92"/>
        <v>1.0491904761904762</v>
      </c>
      <c r="R1487">
        <f t="shared" si="93"/>
        <v>55.082500000000003</v>
      </c>
      <c r="S1487">
        <f t="shared" si="94"/>
        <v>0.64639404529569278</v>
      </c>
      <c r="T1487">
        <f t="shared" si="95"/>
        <v>1.9047619047619049E-2</v>
      </c>
      <c r="U1487" t="str">
        <f>YEAR('Campaign Data'!$A1487)&amp;"-"&amp;TEXT(MONTH('Campaign Data'!$A1487),"00")</f>
        <v>2026-03</v>
      </c>
    </row>
    <row r="1488" spans="1:21" x14ac:dyDescent="0.25">
      <c r="A1488">
        <v>46103</v>
      </c>
      <c r="B1488" t="s">
        <v>145</v>
      </c>
      <c r="C1488" t="s">
        <v>146</v>
      </c>
      <c r="D1488" t="s">
        <v>41</v>
      </c>
      <c r="E1488" t="s">
        <v>49</v>
      </c>
      <c r="F1488" t="s">
        <v>75</v>
      </c>
      <c r="G1488" t="s">
        <v>70</v>
      </c>
      <c r="H1488" t="s">
        <v>60</v>
      </c>
      <c r="I1488" t="s">
        <v>37</v>
      </c>
      <c r="J1488" t="s">
        <v>29</v>
      </c>
      <c r="K1488">
        <v>9599</v>
      </c>
      <c r="L1488">
        <v>562</v>
      </c>
      <c r="M1488">
        <v>786.83</v>
      </c>
      <c r="N1488">
        <v>19</v>
      </c>
      <c r="O1488">
        <v>617.32000000000005</v>
      </c>
      <c r="P1488">
        <f t="shared" si="92"/>
        <v>5.8547765392228356E-2</v>
      </c>
      <c r="Q1488">
        <f t="shared" si="92"/>
        <v>1.4000533807829183</v>
      </c>
      <c r="R1488">
        <f t="shared" si="93"/>
        <v>41.412105263157898</v>
      </c>
      <c r="S1488">
        <f t="shared" si="94"/>
        <v>0.78456591639871387</v>
      </c>
      <c r="T1488">
        <f t="shared" si="95"/>
        <v>3.3807829181494664E-2</v>
      </c>
      <c r="U1488" t="str">
        <f>YEAR('Campaign Data'!$A1488)&amp;"-"&amp;TEXT(MONTH('Campaign Data'!$A1488),"00")</f>
        <v>2026-03</v>
      </c>
    </row>
    <row r="1489" spans="1:21" x14ac:dyDescent="0.25">
      <c r="A1489">
        <v>46103</v>
      </c>
      <c r="B1489" t="s">
        <v>76</v>
      </c>
      <c r="C1489" t="s">
        <v>77</v>
      </c>
      <c r="D1489" t="s">
        <v>65</v>
      </c>
      <c r="E1489" t="s">
        <v>42</v>
      </c>
      <c r="F1489" t="s">
        <v>43</v>
      </c>
      <c r="G1489" t="s">
        <v>44</v>
      </c>
      <c r="H1489" t="s">
        <v>55</v>
      </c>
      <c r="I1489" t="s">
        <v>28</v>
      </c>
      <c r="J1489" t="s">
        <v>87</v>
      </c>
      <c r="K1489">
        <v>2906</v>
      </c>
      <c r="L1489">
        <v>17</v>
      </c>
      <c r="M1489">
        <v>93.62</v>
      </c>
      <c r="N1489">
        <v>0</v>
      </c>
      <c r="O1489">
        <v>0</v>
      </c>
      <c r="P1489">
        <f t="shared" si="92"/>
        <v>5.8499655884377147E-3</v>
      </c>
      <c r="Q1489">
        <f t="shared" si="92"/>
        <v>5.5070588235294125</v>
      </c>
      <c r="R1489">
        <f t="shared" si="93"/>
        <v>0</v>
      </c>
      <c r="S1489">
        <f t="shared" si="94"/>
        <v>0</v>
      </c>
      <c r="T1489">
        <f t="shared" si="95"/>
        <v>0</v>
      </c>
      <c r="U1489" t="str">
        <f>YEAR('Campaign Data'!$A1489)&amp;"-"&amp;TEXT(MONTH('Campaign Data'!$A1489),"00")</f>
        <v>2026-03</v>
      </c>
    </row>
    <row r="1490" spans="1:21" x14ac:dyDescent="0.25">
      <c r="A1490">
        <v>46103</v>
      </c>
      <c r="B1490" t="s">
        <v>78</v>
      </c>
      <c r="C1490" t="s">
        <v>79</v>
      </c>
      <c r="D1490" t="s">
        <v>80</v>
      </c>
      <c r="E1490" t="s">
        <v>24</v>
      </c>
      <c r="F1490" t="s">
        <v>81</v>
      </c>
      <c r="G1490" t="s">
        <v>66</v>
      </c>
      <c r="H1490" t="s">
        <v>36</v>
      </c>
      <c r="I1490" t="s">
        <v>37</v>
      </c>
      <c r="J1490" t="s">
        <v>38</v>
      </c>
      <c r="K1490">
        <v>1341</v>
      </c>
      <c r="L1490">
        <v>16</v>
      </c>
      <c r="M1490">
        <v>17.59</v>
      </c>
      <c r="N1490">
        <v>0</v>
      </c>
      <c r="O1490">
        <v>0</v>
      </c>
      <c r="P1490">
        <f t="shared" si="92"/>
        <v>1.1931394481730051E-2</v>
      </c>
      <c r="Q1490">
        <f t="shared" si="92"/>
        <v>1.099375</v>
      </c>
      <c r="R1490">
        <f t="shared" si="93"/>
        <v>0</v>
      </c>
      <c r="S1490">
        <f t="shared" si="94"/>
        <v>0</v>
      </c>
      <c r="T1490">
        <f t="shared" si="95"/>
        <v>0</v>
      </c>
      <c r="U1490" t="str">
        <f>YEAR('Campaign Data'!$A1490)&amp;"-"&amp;TEXT(MONTH('Campaign Data'!$A1490),"00")</f>
        <v>2026-03</v>
      </c>
    </row>
    <row r="1491" spans="1:21" x14ac:dyDescent="0.25">
      <c r="A1491">
        <v>46103</v>
      </c>
      <c r="B1491" t="s">
        <v>82</v>
      </c>
      <c r="C1491" t="s">
        <v>83</v>
      </c>
      <c r="D1491" t="s">
        <v>80</v>
      </c>
      <c r="E1491" t="s">
        <v>42</v>
      </c>
      <c r="F1491" t="s">
        <v>34</v>
      </c>
      <c r="G1491" t="s">
        <v>84</v>
      </c>
      <c r="H1491" t="s">
        <v>36</v>
      </c>
      <c r="I1491" t="s">
        <v>37</v>
      </c>
      <c r="J1491" t="s">
        <v>62</v>
      </c>
      <c r="K1491">
        <v>3693</v>
      </c>
      <c r="L1491">
        <v>25</v>
      </c>
      <c r="M1491">
        <v>129.24</v>
      </c>
      <c r="N1491">
        <v>0</v>
      </c>
      <c r="O1491">
        <v>0</v>
      </c>
      <c r="P1491">
        <f t="shared" si="92"/>
        <v>6.769564040075819E-3</v>
      </c>
      <c r="Q1491">
        <f t="shared" si="92"/>
        <v>5.1696</v>
      </c>
      <c r="R1491">
        <f t="shared" si="93"/>
        <v>0</v>
      </c>
      <c r="S1491">
        <f t="shared" si="94"/>
        <v>0</v>
      </c>
      <c r="T1491">
        <f t="shared" si="95"/>
        <v>0</v>
      </c>
      <c r="U1491" t="str">
        <f>YEAR('Campaign Data'!$A1491)&amp;"-"&amp;TEXT(MONTH('Campaign Data'!$A1491),"00")</f>
        <v>2026-03</v>
      </c>
    </row>
    <row r="1492" spans="1:21" x14ac:dyDescent="0.25">
      <c r="A1492">
        <v>46104</v>
      </c>
      <c r="B1492" t="s">
        <v>165</v>
      </c>
      <c r="C1492" t="s">
        <v>166</v>
      </c>
      <c r="D1492" t="s">
        <v>41</v>
      </c>
      <c r="E1492" t="s">
        <v>33</v>
      </c>
      <c r="F1492" t="s">
        <v>43</v>
      </c>
      <c r="G1492" t="s">
        <v>59</v>
      </c>
      <c r="H1492" t="s">
        <v>60</v>
      </c>
      <c r="I1492" t="s">
        <v>37</v>
      </c>
      <c r="J1492" t="s">
        <v>87</v>
      </c>
      <c r="K1492">
        <v>14977</v>
      </c>
      <c r="L1492">
        <v>133</v>
      </c>
      <c r="M1492">
        <v>63.23</v>
      </c>
      <c r="N1492">
        <v>3</v>
      </c>
      <c r="O1492">
        <v>65.89</v>
      </c>
      <c r="P1492">
        <f t="shared" si="92"/>
        <v>8.8802831007544908E-3</v>
      </c>
      <c r="Q1492">
        <f t="shared" si="92"/>
        <v>0.47541353383458645</v>
      </c>
      <c r="R1492">
        <f t="shared" si="93"/>
        <v>21.076666666666664</v>
      </c>
      <c r="S1492">
        <f t="shared" si="94"/>
        <v>1.0420686383046023</v>
      </c>
      <c r="T1492">
        <f t="shared" si="95"/>
        <v>2.2556390977443608E-2</v>
      </c>
      <c r="U1492" t="str">
        <f>YEAR('Campaign Data'!$A1492)&amp;"-"&amp;TEXT(MONTH('Campaign Data'!$A1492),"00")</f>
        <v>2026-03</v>
      </c>
    </row>
    <row r="1493" spans="1:21" x14ac:dyDescent="0.25">
      <c r="A1493">
        <v>46104</v>
      </c>
      <c r="B1493" t="s">
        <v>21</v>
      </c>
      <c r="C1493" t="s">
        <v>124</v>
      </c>
      <c r="D1493" t="s">
        <v>23</v>
      </c>
      <c r="E1493" t="s">
        <v>24</v>
      </c>
      <c r="F1493" t="s">
        <v>25</v>
      </c>
      <c r="G1493" t="s">
        <v>26</v>
      </c>
      <c r="H1493" t="s">
        <v>55</v>
      </c>
      <c r="I1493" t="s">
        <v>37</v>
      </c>
      <c r="J1493" t="s">
        <v>38</v>
      </c>
      <c r="K1493">
        <v>5823</v>
      </c>
      <c r="L1493">
        <v>72</v>
      </c>
      <c r="M1493">
        <v>67.510000000000005</v>
      </c>
      <c r="N1493">
        <v>1</v>
      </c>
      <c r="O1493">
        <v>145.33000000000001</v>
      </c>
      <c r="P1493">
        <f t="shared" si="92"/>
        <v>1.2364760432766615E-2</v>
      </c>
      <c r="Q1493">
        <f t="shared" si="92"/>
        <v>0.93763888888888891</v>
      </c>
      <c r="R1493">
        <f t="shared" si="93"/>
        <v>67.510000000000005</v>
      </c>
      <c r="S1493">
        <f t="shared" si="94"/>
        <v>2.1527181158346913</v>
      </c>
      <c r="T1493">
        <f t="shared" si="95"/>
        <v>1.3888888888888888E-2</v>
      </c>
      <c r="U1493" t="str">
        <f>YEAR('Campaign Data'!$A1493)&amp;"-"&amp;TEXT(MONTH('Campaign Data'!$A1493),"00")</f>
        <v>2026-03</v>
      </c>
    </row>
    <row r="1494" spans="1:21" x14ac:dyDescent="0.25">
      <c r="A1494">
        <v>46104</v>
      </c>
      <c r="B1494" t="s">
        <v>147</v>
      </c>
      <c r="C1494" t="s">
        <v>148</v>
      </c>
      <c r="D1494" t="s">
        <v>23</v>
      </c>
      <c r="E1494" t="s">
        <v>42</v>
      </c>
      <c r="F1494" t="s">
        <v>75</v>
      </c>
      <c r="G1494" t="s">
        <v>44</v>
      </c>
      <c r="H1494" t="s">
        <v>27</v>
      </c>
      <c r="I1494" t="s">
        <v>28</v>
      </c>
      <c r="J1494" t="s">
        <v>62</v>
      </c>
      <c r="K1494">
        <v>13737</v>
      </c>
      <c r="L1494">
        <v>87</v>
      </c>
      <c r="M1494">
        <v>542.9</v>
      </c>
      <c r="N1494">
        <v>4</v>
      </c>
      <c r="O1494">
        <v>207.74</v>
      </c>
      <c r="P1494">
        <f t="shared" si="92"/>
        <v>6.3332605372352045E-3</v>
      </c>
      <c r="Q1494">
        <f t="shared" si="92"/>
        <v>6.2402298850574711</v>
      </c>
      <c r="R1494">
        <f t="shared" si="93"/>
        <v>135.72499999999999</v>
      </c>
      <c r="S1494">
        <f t="shared" si="94"/>
        <v>0.382648738257506</v>
      </c>
      <c r="T1494">
        <f t="shared" si="95"/>
        <v>4.5977011494252873E-2</v>
      </c>
      <c r="U1494" t="str">
        <f>YEAR('Campaign Data'!$A1494)&amp;"-"&amp;TEXT(MONTH('Campaign Data'!$A1494),"00")</f>
        <v>2026-03</v>
      </c>
    </row>
    <row r="1495" spans="1:21" x14ac:dyDescent="0.25">
      <c r="A1495">
        <v>46104</v>
      </c>
      <c r="B1495" t="s">
        <v>147</v>
      </c>
      <c r="C1495" t="s">
        <v>148</v>
      </c>
      <c r="D1495" t="s">
        <v>23</v>
      </c>
      <c r="E1495" t="s">
        <v>42</v>
      </c>
      <c r="F1495" t="s">
        <v>75</v>
      </c>
      <c r="G1495" t="s">
        <v>44</v>
      </c>
      <c r="H1495" t="s">
        <v>51</v>
      </c>
      <c r="I1495" t="s">
        <v>28</v>
      </c>
      <c r="J1495" t="s">
        <v>87</v>
      </c>
      <c r="K1495">
        <v>5394</v>
      </c>
      <c r="L1495">
        <v>26</v>
      </c>
      <c r="M1495">
        <v>113.75</v>
      </c>
      <c r="N1495">
        <v>1</v>
      </c>
      <c r="O1495">
        <v>18.7</v>
      </c>
      <c r="P1495">
        <f t="shared" si="92"/>
        <v>4.82017055988135E-3</v>
      </c>
      <c r="Q1495">
        <f t="shared" si="92"/>
        <v>4.375</v>
      </c>
      <c r="R1495">
        <f t="shared" si="93"/>
        <v>113.75</v>
      </c>
      <c r="S1495">
        <f t="shared" si="94"/>
        <v>0.16439560439560438</v>
      </c>
      <c r="T1495">
        <f t="shared" si="95"/>
        <v>3.8461538461538464E-2</v>
      </c>
      <c r="U1495" t="str">
        <f>YEAR('Campaign Data'!$A1495)&amp;"-"&amp;TEXT(MONTH('Campaign Data'!$A1495),"00")</f>
        <v>2026-03</v>
      </c>
    </row>
    <row r="1496" spans="1:21" x14ac:dyDescent="0.25">
      <c r="A1496">
        <v>46104</v>
      </c>
      <c r="B1496" t="s">
        <v>130</v>
      </c>
      <c r="C1496" t="s">
        <v>131</v>
      </c>
      <c r="D1496" t="s">
        <v>48</v>
      </c>
      <c r="E1496" t="s">
        <v>33</v>
      </c>
      <c r="F1496" t="s">
        <v>34</v>
      </c>
      <c r="G1496" t="s">
        <v>35</v>
      </c>
      <c r="H1496" t="s">
        <v>90</v>
      </c>
      <c r="I1496" t="s">
        <v>37</v>
      </c>
      <c r="J1496" t="s">
        <v>62</v>
      </c>
      <c r="K1496">
        <v>13074</v>
      </c>
      <c r="L1496">
        <v>114</v>
      </c>
      <c r="M1496">
        <v>13.72</v>
      </c>
      <c r="N1496">
        <v>0</v>
      </c>
      <c r="O1496">
        <v>0</v>
      </c>
      <c r="P1496">
        <f t="shared" si="92"/>
        <v>8.7195961450206513E-3</v>
      </c>
      <c r="Q1496">
        <f t="shared" si="92"/>
        <v>0.12035087719298246</v>
      </c>
      <c r="R1496">
        <f t="shared" si="93"/>
        <v>0</v>
      </c>
      <c r="S1496">
        <f t="shared" si="94"/>
        <v>0</v>
      </c>
      <c r="T1496">
        <f t="shared" si="95"/>
        <v>0</v>
      </c>
      <c r="U1496" t="str">
        <f>YEAR('Campaign Data'!$A1496)&amp;"-"&amp;TEXT(MONTH('Campaign Data'!$A1496),"00")</f>
        <v>2026-03</v>
      </c>
    </row>
    <row r="1497" spans="1:21" x14ac:dyDescent="0.25">
      <c r="A1497">
        <v>46104</v>
      </c>
      <c r="B1497" t="s">
        <v>130</v>
      </c>
      <c r="C1497" t="s">
        <v>131</v>
      </c>
      <c r="D1497" t="s">
        <v>48</v>
      </c>
      <c r="E1497" t="s">
        <v>33</v>
      </c>
      <c r="F1497" t="s">
        <v>34</v>
      </c>
      <c r="G1497" t="s">
        <v>35</v>
      </c>
      <c r="H1497" t="s">
        <v>27</v>
      </c>
      <c r="I1497" t="s">
        <v>28</v>
      </c>
      <c r="J1497" t="s">
        <v>38</v>
      </c>
      <c r="K1497">
        <v>12643</v>
      </c>
      <c r="L1497">
        <v>71</v>
      </c>
      <c r="M1497">
        <v>77.349999999999994</v>
      </c>
      <c r="N1497">
        <v>2</v>
      </c>
      <c r="O1497">
        <v>476.22</v>
      </c>
      <c r="P1497">
        <f t="shared" si="92"/>
        <v>5.615755754172269E-3</v>
      </c>
      <c r="Q1497">
        <f t="shared" si="92"/>
        <v>1.0894366197183099</v>
      </c>
      <c r="R1497">
        <f t="shared" si="93"/>
        <v>38.674999999999997</v>
      </c>
      <c r="S1497">
        <f t="shared" si="94"/>
        <v>6.1566903684550756</v>
      </c>
      <c r="T1497">
        <f t="shared" si="95"/>
        <v>2.8169014084507043E-2</v>
      </c>
      <c r="U1497" t="str">
        <f>YEAR('Campaign Data'!$A1497)&amp;"-"&amp;TEXT(MONTH('Campaign Data'!$A1497),"00")</f>
        <v>2026-03</v>
      </c>
    </row>
    <row r="1498" spans="1:21" x14ac:dyDescent="0.25">
      <c r="A1498">
        <v>46104</v>
      </c>
      <c r="B1498" t="s">
        <v>177</v>
      </c>
      <c r="C1498" t="s">
        <v>178</v>
      </c>
      <c r="D1498" t="s">
        <v>41</v>
      </c>
      <c r="E1498" t="s">
        <v>49</v>
      </c>
      <c r="F1498" t="s">
        <v>34</v>
      </c>
      <c r="G1498" t="s">
        <v>107</v>
      </c>
      <c r="H1498" t="s">
        <v>27</v>
      </c>
      <c r="I1498" t="s">
        <v>37</v>
      </c>
      <c r="J1498" t="s">
        <v>38</v>
      </c>
      <c r="K1498">
        <v>2904</v>
      </c>
      <c r="L1498">
        <v>91</v>
      </c>
      <c r="M1498">
        <v>150.77000000000001</v>
      </c>
      <c r="N1498">
        <v>5</v>
      </c>
      <c r="O1498">
        <v>740.72</v>
      </c>
      <c r="P1498">
        <f t="shared" si="92"/>
        <v>3.133608815426997E-2</v>
      </c>
      <c r="Q1498">
        <f t="shared" si="92"/>
        <v>1.656813186813187</v>
      </c>
      <c r="R1498">
        <f t="shared" si="93"/>
        <v>30.154000000000003</v>
      </c>
      <c r="S1498">
        <f t="shared" si="94"/>
        <v>4.9129137096239299</v>
      </c>
      <c r="T1498">
        <f t="shared" si="95"/>
        <v>5.4945054945054944E-2</v>
      </c>
      <c r="U1498" t="str">
        <f>YEAR('Campaign Data'!$A1498)&amp;"-"&amp;TEXT(MONTH('Campaign Data'!$A1498),"00")</f>
        <v>2026-03</v>
      </c>
    </row>
    <row r="1499" spans="1:21" x14ac:dyDescent="0.25">
      <c r="A1499">
        <v>46104</v>
      </c>
      <c r="B1499" t="s">
        <v>177</v>
      </c>
      <c r="C1499" t="s">
        <v>178</v>
      </c>
      <c r="D1499" t="s">
        <v>41</v>
      </c>
      <c r="E1499" t="s">
        <v>49</v>
      </c>
      <c r="F1499" t="s">
        <v>34</v>
      </c>
      <c r="G1499" t="s">
        <v>107</v>
      </c>
      <c r="H1499" t="s">
        <v>51</v>
      </c>
      <c r="I1499" t="s">
        <v>37</v>
      </c>
      <c r="J1499" t="s">
        <v>38</v>
      </c>
      <c r="K1499">
        <v>5270</v>
      </c>
      <c r="L1499">
        <v>203</v>
      </c>
      <c r="M1499">
        <v>417.78</v>
      </c>
      <c r="N1499">
        <v>11</v>
      </c>
      <c r="O1499">
        <v>1496.42</v>
      </c>
      <c r="P1499">
        <f t="shared" si="92"/>
        <v>3.8519924098671728E-2</v>
      </c>
      <c r="Q1499">
        <f t="shared" si="92"/>
        <v>2.0580295566502462</v>
      </c>
      <c r="R1499">
        <f t="shared" si="93"/>
        <v>37.979999999999997</v>
      </c>
      <c r="S1499">
        <f t="shared" si="94"/>
        <v>3.5818373306524971</v>
      </c>
      <c r="T1499">
        <f t="shared" si="95"/>
        <v>5.4187192118226604E-2</v>
      </c>
      <c r="U1499" t="str">
        <f>YEAR('Campaign Data'!$A1499)&amp;"-"&amp;TEXT(MONTH('Campaign Data'!$A1499),"00")</f>
        <v>2026-03</v>
      </c>
    </row>
    <row r="1500" spans="1:21" x14ac:dyDescent="0.25">
      <c r="A1500">
        <v>46104</v>
      </c>
      <c r="B1500" t="s">
        <v>153</v>
      </c>
      <c r="C1500" t="s">
        <v>154</v>
      </c>
      <c r="D1500" t="s">
        <v>48</v>
      </c>
      <c r="E1500" t="s">
        <v>33</v>
      </c>
      <c r="F1500" t="s">
        <v>43</v>
      </c>
      <c r="G1500" t="s">
        <v>59</v>
      </c>
      <c r="H1500" t="s">
        <v>71</v>
      </c>
      <c r="I1500" t="s">
        <v>37</v>
      </c>
      <c r="J1500" t="s">
        <v>87</v>
      </c>
      <c r="K1500">
        <v>13356</v>
      </c>
      <c r="L1500">
        <v>113</v>
      </c>
      <c r="M1500">
        <v>45.82</v>
      </c>
      <c r="N1500">
        <v>2</v>
      </c>
      <c r="O1500">
        <v>44.26</v>
      </c>
      <c r="P1500">
        <f t="shared" si="92"/>
        <v>8.4606169511829889E-3</v>
      </c>
      <c r="Q1500">
        <f t="shared" si="92"/>
        <v>0.4054867256637168</v>
      </c>
      <c r="R1500">
        <f t="shared" si="93"/>
        <v>22.91</v>
      </c>
      <c r="S1500">
        <f t="shared" si="94"/>
        <v>0.96595373199476209</v>
      </c>
      <c r="T1500">
        <f t="shared" si="95"/>
        <v>1.7699115044247787E-2</v>
      </c>
      <c r="U1500" t="str">
        <f>YEAR('Campaign Data'!$A1500)&amp;"-"&amp;TEXT(MONTH('Campaign Data'!$A1500),"00")</f>
        <v>2026-03</v>
      </c>
    </row>
    <row r="1501" spans="1:21" x14ac:dyDescent="0.25">
      <c r="A1501">
        <v>46104</v>
      </c>
      <c r="B1501" t="s">
        <v>134</v>
      </c>
      <c r="C1501" t="s">
        <v>135</v>
      </c>
      <c r="D1501" t="s">
        <v>32</v>
      </c>
      <c r="E1501" t="s">
        <v>74</v>
      </c>
      <c r="F1501" t="s">
        <v>25</v>
      </c>
      <c r="G1501" t="s">
        <v>107</v>
      </c>
      <c r="H1501" t="s">
        <v>51</v>
      </c>
      <c r="I1501" t="s">
        <v>37</v>
      </c>
      <c r="J1501" t="s">
        <v>62</v>
      </c>
      <c r="K1501">
        <v>3312</v>
      </c>
      <c r="L1501">
        <v>101</v>
      </c>
      <c r="M1501">
        <v>128.94</v>
      </c>
      <c r="N1501">
        <v>5</v>
      </c>
      <c r="O1501">
        <v>914.08</v>
      </c>
      <c r="P1501">
        <f t="shared" si="92"/>
        <v>3.0495169082125604E-2</v>
      </c>
      <c r="Q1501">
        <f t="shared" si="92"/>
        <v>1.2766336633663367</v>
      </c>
      <c r="R1501">
        <f t="shared" si="93"/>
        <v>25.788</v>
      </c>
      <c r="S1501">
        <f t="shared" si="94"/>
        <v>7.0891887699705292</v>
      </c>
      <c r="T1501">
        <f t="shared" si="95"/>
        <v>4.9504950495049507E-2</v>
      </c>
      <c r="U1501" t="str">
        <f>YEAR('Campaign Data'!$A1501)&amp;"-"&amp;TEXT(MONTH('Campaign Data'!$A1501),"00")</f>
        <v>2026-03</v>
      </c>
    </row>
    <row r="1502" spans="1:21" x14ac:dyDescent="0.25">
      <c r="A1502">
        <v>46104</v>
      </c>
      <c r="B1502" t="s">
        <v>161</v>
      </c>
      <c r="C1502" t="s">
        <v>162</v>
      </c>
      <c r="D1502" t="s">
        <v>48</v>
      </c>
      <c r="E1502" t="s">
        <v>74</v>
      </c>
      <c r="F1502" t="s">
        <v>34</v>
      </c>
      <c r="G1502" t="s">
        <v>107</v>
      </c>
      <c r="H1502" t="s">
        <v>60</v>
      </c>
      <c r="I1502" t="s">
        <v>37</v>
      </c>
      <c r="J1502" t="s">
        <v>62</v>
      </c>
      <c r="K1502">
        <v>4104</v>
      </c>
      <c r="L1502">
        <v>198</v>
      </c>
      <c r="M1502">
        <v>218.54</v>
      </c>
      <c r="N1502">
        <v>16</v>
      </c>
      <c r="O1502">
        <v>2228.98</v>
      </c>
      <c r="P1502">
        <f t="shared" si="92"/>
        <v>4.8245614035087717E-2</v>
      </c>
      <c r="Q1502">
        <f t="shared" si="92"/>
        <v>1.1037373737373737</v>
      </c>
      <c r="R1502">
        <f t="shared" si="93"/>
        <v>13.65875</v>
      </c>
      <c r="S1502">
        <f t="shared" si="94"/>
        <v>10.199414294865928</v>
      </c>
      <c r="T1502">
        <f t="shared" si="95"/>
        <v>8.0808080808080815E-2</v>
      </c>
      <c r="U1502" t="str">
        <f>YEAR('Campaign Data'!$A1502)&amp;"-"&amp;TEXT(MONTH('Campaign Data'!$A1502),"00")</f>
        <v>2026-03</v>
      </c>
    </row>
    <row r="1503" spans="1:21" x14ac:dyDescent="0.25">
      <c r="A1503">
        <v>46104</v>
      </c>
      <c r="B1503" t="s">
        <v>161</v>
      </c>
      <c r="C1503" t="s">
        <v>162</v>
      </c>
      <c r="D1503" t="s">
        <v>48</v>
      </c>
      <c r="E1503" t="s">
        <v>74</v>
      </c>
      <c r="F1503" t="s">
        <v>34</v>
      </c>
      <c r="G1503" t="s">
        <v>107</v>
      </c>
      <c r="H1503" t="s">
        <v>71</v>
      </c>
      <c r="I1503" t="s">
        <v>61</v>
      </c>
      <c r="J1503" t="s">
        <v>87</v>
      </c>
      <c r="K1503">
        <v>7184</v>
      </c>
      <c r="L1503">
        <v>167</v>
      </c>
      <c r="M1503">
        <v>219.37</v>
      </c>
      <c r="N1503">
        <v>10</v>
      </c>
      <c r="O1503">
        <v>1286.4000000000001</v>
      </c>
      <c r="P1503">
        <f t="shared" si="92"/>
        <v>2.3246102449888641E-2</v>
      </c>
      <c r="Q1503">
        <f t="shared" si="92"/>
        <v>1.3135928143712574</v>
      </c>
      <c r="R1503">
        <f t="shared" si="93"/>
        <v>21.937000000000001</v>
      </c>
      <c r="S1503">
        <f t="shared" si="94"/>
        <v>5.8640652778410907</v>
      </c>
      <c r="T1503">
        <f t="shared" si="95"/>
        <v>5.9880239520958084E-2</v>
      </c>
      <c r="U1503" t="str">
        <f>YEAR('Campaign Data'!$A1503)&amp;"-"&amp;TEXT(MONTH('Campaign Data'!$A1503),"00")</f>
        <v>2026-03</v>
      </c>
    </row>
    <row r="1504" spans="1:21" x14ac:dyDescent="0.25">
      <c r="A1504">
        <v>46104</v>
      </c>
      <c r="B1504" t="s">
        <v>56</v>
      </c>
      <c r="C1504" t="s">
        <v>57</v>
      </c>
      <c r="D1504" t="s">
        <v>58</v>
      </c>
      <c r="E1504" t="s">
        <v>33</v>
      </c>
      <c r="F1504" t="s">
        <v>43</v>
      </c>
      <c r="G1504" t="s">
        <v>59</v>
      </c>
      <c r="H1504" t="s">
        <v>71</v>
      </c>
      <c r="I1504" t="s">
        <v>37</v>
      </c>
      <c r="J1504" t="s">
        <v>38</v>
      </c>
      <c r="K1504">
        <v>9447</v>
      </c>
      <c r="L1504">
        <v>109</v>
      </c>
      <c r="M1504">
        <v>49.39</v>
      </c>
      <c r="N1504">
        <v>0</v>
      </c>
      <c r="O1504">
        <v>0</v>
      </c>
      <c r="P1504">
        <f t="shared" si="92"/>
        <v>1.1538054408807029E-2</v>
      </c>
      <c r="Q1504">
        <f t="shared" si="92"/>
        <v>0.45311926605504588</v>
      </c>
      <c r="R1504">
        <f t="shared" si="93"/>
        <v>0</v>
      </c>
      <c r="S1504">
        <f t="shared" si="94"/>
        <v>0</v>
      </c>
      <c r="T1504">
        <f t="shared" si="95"/>
        <v>0</v>
      </c>
      <c r="U1504" t="str">
        <f>YEAR('Campaign Data'!$A1504)&amp;"-"&amp;TEXT(MONTH('Campaign Data'!$A1504),"00")</f>
        <v>2026-03</v>
      </c>
    </row>
    <row r="1505" spans="1:21" x14ac:dyDescent="0.25">
      <c r="A1505">
        <v>46104</v>
      </c>
      <c r="B1505" t="s">
        <v>136</v>
      </c>
      <c r="C1505" t="s">
        <v>137</v>
      </c>
      <c r="D1505" t="s">
        <v>32</v>
      </c>
      <c r="E1505" t="s">
        <v>49</v>
      </c>
      <c r="F1505" t="s">
        <v>75</v>
      </c>
      <c r="G1505" t="s">
        <v>97</v>
      </c>
      <c r="H1505" t="s">
        <v>90</v>
      </c>
      <c r="I1505" t="s">
        <v>61</v>
      </c>
      <c r="J1505" t="s">
        <v>87</v>
      </c>
      <c r="K1505">
        <v>14090</v>
      </c>
      <c r="L1505">
        <v>930</v>
      </c>
      <c r="M1505">
        <v>343.8</v>
      </c>
      <c r="N1505">
        <v>66</v>
      </c>
      <c r="O1505">
        <v>714.8</v>
      </c>
      <c r="P1505">
        <f t="shared" si="92"/>
        <v>6.6004258339247696E-2</v>
      </c>
      <c r="Q1505">
        <f t="shared" si="92"/>
        <v>0.36967741935483872</v>
      </c>
      <c r="R1505">
        <f t="shared" si="93"/>
        <v>5.209090909090909</v>
      </c>
      <c r="S1505">
        <f t="shared" si="94"/>
        <v>2.079115764979639</v>
      </c>
      <c r="T1505">
        <f t="shared" si="95"/>
        <v>7.0967741935483872E-2</v>
      </c>
      <c r="U1505" t="str">
        <f>YEAR('Campaign Data'!$A1505)&amp;"-"&amp;TEXT(MONTH('Campaign Data'!$A1505),"00")</f>
        <v>2026-03</v>
      </c>
    </row>
    <row r="1506" spans="1:21" x14ac:dyDescent="0.25">
      <c r="A1506">
        <v>46104</v>
      </c>
      <c r="B1506" t="s">
        <v>143</v>
      </c>
      <c r="C1506" t="s">
        <v>144</v>
      </c>
      <c r="D1506" t="s">
        <v>48</v>
      </c>
      <c r="E1506" t="s">
        <v>42</v>
      </c>
      <c r="F1506" t="s">
        <v>25</v>
      </c>
      <c r="G1506" t="s">
        <v>84</v>
      </c>
      <c r="H1506" t="s">
        <v>27</v>
      </c>
      <c r="I1506" t="s">
        <v>37</v>
      </c>
      <c r="J1506" t="s">
        <v>87</v>
      </c>
      <c r="K1506">
        <v>5801</v>
      </c>
      <c r="L1506">
        <v>44</v>
      </c>
      <c r="M1506">
        <v>253.14</v>
      </c>
      <c r="N1506">
        <v>0</v>
      </c>
      <c r="O1506">
        <v>0</v>
      </c>
      <c r="P1506">
        <f t="shared" si="92"/>
        <v>7.5848991553180483E-3</v>
      </c>
      <c r="Q1506">
        <f t="shared" si="92"/>
        <v>5.753181818181818</v>
      </c>
      <c r="R1506">
        <f t="shared" si="93"/>
        <v>0</v>
      </c>
      <c r="S1506">
        <f t="shared" si="94"/>
        <v>0</v>
      </c>
      <c r="T1506">
        <f t="shared" si="95"/>
        <v>0</v>
      </c>
      <c r="U1506" t="str">
        <f>YEAR('Campaign Data'!$A1506)&amp;"-"&amp;TEXT(MONTH('Campaign Data'!$A1506),"00")</f>
        <v>2026-03</v>
      </c>
    </row>
    <row r="1507" spans="1:21" x14ac:dyDescent="0.25">
      <c r="A1507">
        <v>46104</v>
      </c>
      <c r="B1507" t="s">
        <v>67</v>
      </c>
      <c r="C1507" t="s">
        <v>68</v>
      </c>
      <c r="D1507" t="s">
        <v>69</v>
      </c>
      <c r="E1507" t="s">
        <v>49</v>
      </c>
      <c r="F1507" t="s">
        <v>34</v>
      </c>
      <c r="G1507" t="s">
        <v>70</v>
      </c>
      <c r="H1507" t="s">
        <v>51</v>
      </c>
      <c r="I1507" t="s">
        <v>37</v>
      </c>
      <c r="J1507" t="s">
        <v>87</v>
      </c>
      <c r="K1507">
        <v>2501</v>
      </c>
      <c r="L1507">
        <v>130</v>
      </c>
      <c r="M1507">
        <v>140.61000000000001</v>
      </c>
      <c r="N1507">
        <v>3</v>
      </c>
      <c r="O1507">
        <v>396.85</v>
      </c>
      <c r="P1507">
        <f t="shared" si="92"/>
        <v>5.1979208316673332E-2</v>
      </c>
      <c r="Q1507">
        <f t="shared" si="92"/>
        <v>1.0816153846153846</v>
      </c>
      <c r="R1507">
        <f t="shared" si="93"/>
        <v>46.870000000000005</v>
      </c>
      <c r="S1507">
        <f t="shared" si="94"/>
        <v>2.8223454946305382</v>
      </c>
      <c r="T1507">
        <f t="shared" si="95"/>
        <v>2.3076923076923078E-2</v>
      </c>
      <c r="U1507" t="str">
        <f>YEAR('Campaign Data'!$A1507)&amp;"-"&amp;TEXT(MONTH('Campaign Data'!$A1507),"00")</f>
        <v>2026-03</v>
      </c>
    </row>
    <row r="1508" spans="1:21" x14ac:dyDescent="0.25">
      <c r="A1508">
        <v>46104</v>
      </c>
      <c r="B1508" t="s">
        <v>122</v>
      </c>
      <c r="C1508" t="s">
        <v>123</v>
      </c>
      <c r="D1508" t="s">
        <v>41</v>
      </c>
      <c r="E1508" t="s">
        <v>33</v>
      </c>
      <c r="F1508" t="s">
        <v>75</v>
      </c>
      <c r="G1508" t="s">
        <v>35</v>
      </c>
      <c r="H1508" t="s">
        <v>90</v>
      </c>
      <c r="I1508" t="s">
        <v>61</v>
      </c>
      <c r="J1508" t="s">
        <v>29</v>
      </c>
      <c r="K1508">
        <v>8035</v>
      </c>
      <c r="L1508">
        <v>98</v>
      </c>
      <c r="M1508">
        <v>17.14</v>
      </c>
      <c r="N1508">
        <v>2</v>
      </c>
      <c r="O1508">
        <v>19.13</v>
      </c>
      <c r="P1508">
        <f t="shared" si="92"/>
        <v>1.2196639701306782E-2</v>
      </c>
      <c r="Q1508">
        <f t="shared" si="92"/>
        <v>0.17489795918367348</v>
      </c>
      <c r="R1508">
        <f t="shared" si="93"/>
        <v>8.57</v>
      </c>
      <c r="S1508">
        <f t="shared" si="94"/>
        <v>1.11610268378063</v>
      </c>
      <c r="T1508">
        <f t="shared" si="95"/>
        <v>2.0408163265306121E-2</v>
      </c>
      <c r="U1508" t="str">
        <f>YEAR('Campaign Data'!$A1508)&amp;"-"&amp;TEXT(MONTH('Campaign Data'!$A1508),"00")</f>
        <v>2026-03</v>
      </c>
    </row>
    <row r="1509" spans="1:21" x14ac:dyDescent="0.25">
      <c r="A1509">
        <v>46105</v>
      </c>
      <c r="B1509" t="s">
        <v>167</v>
      </c>
      <c r="C1509" t="s">
        <v>168</v>
      </c>
      <c r="D1509" t="s">
        <v>58</v>
      </c>
      <c r="E1509" t="s">
        <v>33</v>
      </c>
      <c r="F1509" t="s">
        <v>75</v>
      </c>
      <c r="G1509" t="s">
        <v>35</v>
      </c>
      <c r="H1509" t="s">
        <v>55</v>
      </c>
      <c r="I1509" t="s">
        <v>37</v>
      </c>
      <c r="J1509" t="s">
        <v>87</v>
      </c>
      <c r="K1509">
        <v>50008</v>
      </c>
      <c r="L1509">
        <v>353</v>
      </c>
      <c r="M1509">
        <v>279.45999999999998</v>
      </c>
      <c r="N1509">
        <v>9</v>
      </c>
      <c r="O1509">
        <v>248.29</v>
      </c>
      <c r="P1509">
        <f t="shared" si="92"/>
        <v>7.0588705807070867E-3</v>
      </c>
      <c r="Q1509">
        <f t="shared" si="92"/>
        <v>0.7916713881019829</v>
      </c>
      <c r="R1509">
        <f t="shared" si="93"/>
        <v>31.051111111111108</v>
      </c>
      <c r="S1509">
        <f t="shared" si="94"/>
        <v>0.88846346525441933</v>
      </c>
      <c r="T1509">
        <f t="shared" si="95"/>
        <v>2.5495750708215296E-2</v>
      </c>
      <c r="U1509" t="str">
        <f>YEAR('Campaign Data'!$A1509)&amp;"-"&amp;TEXT(MONTH('Campaign Data'!$A1509),"00")</f>
        <v>2026-03</v>
      </c>
    </row>
    <row r="1510" spans="1:21" x14ac:dyDescent="0.25">
      <c r="A1510">
        <v>46105</v>
      </c>
      <c r="B1510" t="s">
        <v>149</v>
      </c>
      <c r="C1510" t="s">
        <v>150</v>
      </c>
      <c r="D1510" t="s">
        <v>65</v>
      </c>
      <c r="E1510" t="s">
        <v>33</v>
      </c>
      <c r="F1510" t="s">
        <v>43</v>
      </c>
      <c r="G1510" t="s">
        <v>59</v>
      </c>
      <c r="H1510" t="s">
        <v>90</v>
      </c>
      <c r="I1510" t="s">
        <v>37</v>
      </c>
      <c r="J1510" t="s">
        <v>45</v>
      </c>
      <c r="K1510">
        <v>3115</v>
      </c>
      <c r="L1510">
        <v>20</v>
      </c>
      <c r="M1510">
        <v>3.23</v>
      </c>
      <c r="N1510">
        <v>0</v>
      </c>
      <c r="O1510">
        <v>0</v>
      </c>
      <c r="P1510">
        <f t="shared" si="92"/>
        <v>6.420545746388443E-3</v>
      </c>
      <c r="Q1510">
        <f t="shared" si="92"/>
        <v>0.1615</v>
      </c>
      <c r="R1510">
        <f t="shared" si="93"/>
        <v>0</v>
      </c>
      <c r="S1510">
        <f t="shared" si="94"/>
        <v>0</v>
      </c>
      <c r="T1510">
        <f t="shared" si="95"/>
        <v>0</v>
      </c>
      <c r="U1510" t="str">
        <f>YEAR('Campaign Data'!$A1510)&amp;"-"&amp;TEXT(MONTH('Campaign Data'!$A1510),"00")</f>
        <v>2026-03</v>
      </c>
    </row>
    <row r="1511" spans="1:21" x14ac:dyDescent="0.25">
      <c r="A1511">
        <v>46105</v>
      </c>
      <c r="B1511" t="s">
        <v>93</v>
      </c>
      <c r="C1511" t="s">
        <v>94</v>
      </c>
      <c r="D1511" t="s">
        <v>69</v>
      </c>
      <c r="E1511" t="s">
        <v>42</v>
      </c>
      <c r="F1511" t="s">
        <v>75</v>
      </c>
      <c r="G1511" t="s">
        <v>44</v>
      </c>
      <c r="H1511" t="s">
        <v>90</v>
      </c>
      <c r="I1511" t="s">
        <v>61</v>
      </c>
      <c r="J1511" t="s">
        <v>45</v>
      </c>
      <c r="K1511">
        <v>7197</v>
      </c>
      <c r="L1511">
        <v>40</v>
      </c>
      <c r="M1511">
        <v>45.87</v>
      </c>
      <c r="N1511">
        <v>0</v>
      </c>
      <c r="O1511">
        <v>0</v>
      </c>
      <c r="P1511">
        <f t="shared" si="92"/>
        <v>5.5578713352785886E-3</v>
      </c>
      <c r="Q1511">
        <f t="shared" si="92"/>
        <v>1.1467499999999999</v>
      </c>
      <c r="R1511">
        <f t="shared" si="93"/>
        <v>0</v>
      </c>
      <c r="S1511">
        <f t="shared" si="94"/>
        <v>0</v>
      </c>
      <c r="T1511">
        <f t="shared" si="95"/>
        <v>0</v>
      </c>
      <c r="U1511" t="str">
        <f>YEAR('Campaign Data'!$A1511)&amp;"-"&amp;TEXT(MONTH('Campaign Data'!$A1511),"00")</f>
        <v>2026-03</v>
      </c>
    </row>
    <row r="1512" spans="1:21" x14ac:dyDescent="0.25">
      <c r="A1512">
        <v>46105</v>
      </c>
      <c r="B1512" t="s">
        <v>93</v>
      </c>
      <c r="C1512" t="s">
        <v>94</v>
      </c>
      <c r="D1512" t="s">
        <v>69</v>
      </c>
      <c r="E1512" t="s">
        <v>42</v>
      </c>
      <c r="F1512" t="s">
        <v>75</v>
      </c>
      <c r="G1512" t="s">
        <v>44</v>
      </c>
      <c r="H1512" t="s">
        <v>51</v>
      </c>
      <c r="I1512" t="s">
        <v>61</v>
      </c>
      <c r="J1512" t="s">
        <v>45</v>
      </c>
      <c r="K1512">
        <v>981</v>
      </c>
      <c r="L1512">
        <v>5</v>
      </c>
      <c r="M1512">
        <v>27.03</v>
      </c>
      <c r="N1512">
        <v>0</v>
      </c>
      <c r="O1512">
        <v>0</v>
      </c>
      <c r="P1512">
        <f t="shared" si="92"/>
        <v>5.0968399592252805E-3</v>
      </c>
      <c r="Q1512">
        <f t="shared" si="92"/>
        <v>5.4060000000000006</v>
      </c>
      <c r="R1512">
        <f t="shared" si="93"/>
        <v>0</v>
      </c>
      <c r="S1512">
        <f t="shared" si="94"/>
        <v>0</v>
      </c>
      <c r="T1512">
        <f t="shared" si="95"/>
        <v>0</v>
      </c>
      <c r="U1512" t="str">
        <f>YEAR('Campaign Data'!$A1512)&amp;"-"&amp;TEXT(MONTH('Campaign Data'!$A1512),"00")</f>
        <v>2026-03</v>
      </c>
    </row>
    <row r="1513" spans="1:21" x14ac:dyDescent="0.25">
      <c r="A1513">
        <v>46105</v>
      </c>
      <c r="B1513" t="s">
        <v>95</v>
      </c>
      <c r="C1513" t="s">
        <v>96</v>
      </c>
      <c r="D1513" t="s">
        <v>23</v>
      </c>
      <c r="E1513" t="s">
        <v>49</v>
      </c>
      <c r="F1513" t="s">
        <v>43</v>
      </c>
      <c r="G1513" t="s">
        <v>97</v>
      </c>
      <c r="H1513" t="s">
        <v>60</v>
      </c>
      <c r="I1513" t="s">
        <v>37</v>
      </c>
      <c r="J1513" t="s">
        <v>62</v>
      </c>
      <c r="K1513">
        <v>3844</v>
      </c>
      <c r="L1513">
        <v>228</v>
      </c>
      <c r="M1513">
        <v>409.28</v>
      </c>
      <c r="N1513">
        <v>24</v>
      </c>
      <c r="O1513">
        <v>971.16</v>
      </c>
      <c r="P1513">
        <f t="shared" si="92"/>
        <v>5.9313215400624349E-2</v>
      </c>
      <c r="Q1513">
        <f t="shared" si="92"/>
        <v>1.7950877192982455</v>
      </c>
      <c r="R1513">
        <f t="shared" si="93"/>
        <v>17.053333333333331</v>
      </c>
      <c r="S1513">
        <f t="shared" si="94"/>
        <v>2.3728498827208759</v>
      </c>
      <c r="T1513">
        <f t="shared" si="95"/>
        <v>0.10526315789473684</v>
      </c>
      <c r="U1513" t="str">
        <f>YEAR('Campaign Data'!$A1513)&amp;"-"&amp;TEXT(MONTH('Campaign Data'!$A1513),"00")</f>
        <v>2026-03</v>
      </c>
    </row>
    <row r="1514" spans="1:21" x14ac:dyDescent="0.25">
      <c r="A1514">
        <v>46105</v>
      </c>
      <c r="B1514" t="s">
        <v>151</v>
      </c>
      <c r="C1514" t="s">
        <v>152</v>
      </c>
      <c r="D1514" t="s">
        <v>48</v>
      </c>
      <c r="E1514" t="s">
        <v>24</v>
      </c>
      <c r="F1514" t="s">
        <v>81</v>
      </c>
      <c r="G1514" t="s">
        <v>129</v>
      </c>
      <c r="H1514" t="s">
        <v>90</v>
      </c>
      <c r="I1514" t="s">
        <v>28</v>
      </c>
      <c r="J1514" t="s">
        <v>29</v>
      </c>
      <c r="K1514">
        <v>7571</v>
      </c>
      <c r="L1514">
        <v>134</v>
      </c>
      <c r="M1514">
        <v>32.57</v>
      </c>
      <c r="N1514">
        <v>0</v>
      </c>
      <c r="O1514">
        <v>0</v>
      </c>
      <c r="P1514">
        <f t="shared" si="92"/>
        <v>1.7699115044247787E-2</v>
      </c>
      <c r="Q1514">
        <f t="shared" si="92"/>
        <v>0.24305970149253731</v>
      </c>
      <c r="R1514">
        <f t="shared" si="93"/>
        <v>0</v>
      </c>
      <c r="S1514">
        <f t="shared" si="94"/>
        <v>0</v>
      </c>
      <c r="T1514">
        <f t="shared" si="95"/>
        <v>0</v>
      </c>
      <c r="U1514" t="str">
        <f>YEAR('Campaign Data'!$A1514)&amp;"-"&amp;TEXT(MONTH('Campaign Data'!$A1514),"00")</f>
        <v>2026-03</v>
      </c>
    </row>
    <row r="1515" spans="1:21" x14ac:dyDescent="0.25">
      <c r="A1515">
        <v>46105</v>
      </c>
      <c r="B1515" t="s">
        <v>108</v>
      </c>
      <c r="C1515" t="s">
        <v>109</v>
      </c>
      <c r="D1515" t="s">
        <v>58</v>
      </c>
      <c r="E1515" t="s">
        <v>33</v>
      </c>
      <c r="F1515" t="s">
        <v>43</v>
      </c>
      <c r="G1515" t="s">
        <v>59</v>
      </c>
      <c r="H1515" t="s">
        <v>90</v>
      </c>
      <c r="I1515" t="s">
        <v>28</v>
      </c>
      <c r="J1515" t="s">
        <v>62</v>
      </c>
      <c r="K1515">
        <v>4684</v>
      </c>
      <c r="L1515">
        <v>67</v>
      </c>
      <c r="M1515">
        <v>12.6</v>
      </c>
      <c r="N1515">
        <v>0</v>
      </c>
      <c r="O1515">
        <v>0</v>
      </c>
      <c r="P1515">
        <f t="shared" si="92"/>
        <v>1.4304013663535439E-2</v>
      </c>
      <c r="Q1515">
        <f t="shared" si="92"/>
        <v>0.18805970149253731</v>
      </c>
      <c r="R1515">
        <f t="shared" si="93"/>
        <v>0</v>
      </c>
      <c r="S1515">
        <f t="shared" si="94"/>
        <v>0</v>
      </c>
      <c r="T1515">
        <f t="shared" si="95"/>
        <v>0</v>
      </c>
      <c r="U1515" t="str">
        <f>YEAR('Campaign Data'!$A1515)&amp;"-"&amp;TEXT(MONTH('Campaign Data'!$A1515),"00")</f>
        <v>2026-03</v>
      </c>
    </row>
    <row r="1516" spans="1:21" x14ac:dyDescent="0.25">
      <c r="A1516">
        <v>46105</v>
      </c>
      <c r="B1516" t="s">
        <v>130</v>
      </c>
      <c r="C1516" t="s">
        <v>131</v>
      </c>
      <c r="D1516" t="s">
        <v>48</v>
      </c>
      <c r="E1516" t="s">
        <v>33</v>
      </c>
      <c r="F1516" t="s">
        <v>34</v>
      </c>
      <c r="G1516" t="s">
        <v>35</v>
      </c>
      <c r="H1516" t="s">
        <v>90</v>
      </c>
      <c r="I1516" t="s">
        <v>28</v>
      </c>
      <c r="J1516" t="s">
        <v>62</v>
      </c>
      <c r="K1516">
        <v>8262</v>
      </c>
      <c r="L1516">
        <v>82</v>
      </c>
      <c r="M1516">
        <v>13.18</v>
      </c>
      <c r="N1516">
        <v>1</v>
      </c>
      <c r="O1516">
        <v>30.13</v>
      </c>
      <c r="P1516">
        <f t="shared" si="92"/>
        <v>9.9249576373759384E-3</v>
      </c>
      <c r="Q1516">
        <f t="shared" si="92"/>
        <v>0.16073170731707317</v>
      </c>
      <c r="R1516">
        <f t="shared" si="93"/>
        <v>13.18</v>
      </c>
      <c r="S1516">
        <f t="shared" si="94"/>
        <v>2.2860394537177542</v>
      </c>
      <c r="T1516">
        <f t="shared" si="95"/>
        <v>1.2195121951219513E-2</v>
      </c>
      <c r="U1516" t="str">
        <f>YEAR('Campaign Data'!$A1516)&amp;"-"&amp;TEXT(MONTH('Campaign Data'!$A1516),"00")</f>
        <v>2026-03</v>
      </c>
    </row>
    <row r="1517" spans="1:21" x14ac:dyDescent="0.25">
      <c r="A1517">
        <v>46105</v>
      </c>
      <c r="B1517" t="s">
        <v>134</v>
      </c>
      <c r="C1517" t="s">
        <v>135</v>
      </c>
      <c r="D1517" t="s">
        <v>32</v>
      </c>
      <c r="E1517" t="s">
        <v>74</v>
      </c>
      <c r="F1517" t="s">
        <v>25</v>
      </c>
      <c r="G1517" t="s">
        <v>107</v>
      </c>
      <c r="H1517" t="s">
        <v>90</v>
      </c>
      <c r="I1517" t="s">
        <v>61</v>
      </c>
      <c r="J1517" t="s">
        <v>45</v>
      </c>
      <c r="K1517">
        <v>9612</v>
      </c>
      <c r="L1517">
        <v>326</v>
      </c>
      <c r="M1517">
        <v>81.790000000000006</v>
      </c>
      <c r="N1517">
        <v>16</v>
      </c>
      <c r="O1517">
        <v>648.9</v>
      </c>
      <c r="P1517">
        <f t="shared" si="92"/>
        <v>3.391593841032043E-2</v>
      </c>
      <c r="Q1517">
        <f t="shared" si="92"/>
        <v>0.25088957055214728</v>
      </c>
      <c r="R1517">
        <f t="shared" si="93"/>
        <v>5.1118750000000004</v>
      </c>
      <c r="S1517">
        <f t="shared" si="94"/>
        <v>7.9337327301626104</v>
      </c>
      <c r="T1517">
        <f t="shared" si="95"/>
        <v>4.9079754601226995E-2</v>
      </c>
      <c r="U1517" t="str">
        <f>YEAR('Campaign Data'!$A1517)&amp;"-"&amp;TEXT(MONTH('Campaign Data'!$A1517),"00")</f>
        <v>2026-03</v>
      </c>
    </row>
    <row r="1518" spans="1:21" x14ac:dyDescent="0.25">
      <c r="A1518">
        <v>46105</v>
      </c>
      <c r="B1518" t="s">
        <v>134</v>
      </c>
      <c r="C1518" t="s">
        <v>135</v>
      </c>
      <c r="D1518" t="s">
        <v>32</v>
      </c>
      <c r="E1518" t="s">
        <v>74</v>
      </c>
      <c r="F1518" t="s">
        <v>25</v>
      </c>
      <c r="G1518" t="s">
        <v>107</v>
      </c>
      <c r="H1518" t="s">
        <v>71</v>
      </c>
      <c r="I1518" t="s">
        <v>37</v>
      </c>
      <c r="J1518" t="s">
        <v>29</v>
      </c>
      <c r="K1518">
        <v>4674</v>
      </c>
      <c r="L1518">
        <v>116</v>
      </c>
      <c r="M1518">
        <v>111.08</v>
      </c>
      <c r="N1518">
        <v>11</v>
      </c>
      <c r="O1518">
        <v>1060.8499999999999</v>
      </c>
      <c r="P1518">
        <f t="shared" si="92"/>
        <v>2.4818142918271287E-2</v>
      </c>
      <c r="Q1518">
        <f t="shared" si="92"/>
        <v>0.95758620689655172</v>
      </c>
      <c r="R1518">
        <f t="shared" si="93"/>
        <v>10.098181818181818</v>
      </c>
      <c r="S1518">
        <f t="shared" si="94"/>
        <v>9.5503240907454074</v>
      </c>
      <c r="T1518">
        <f t="shared" si="95"/>
        <v>9.4827586206896547E-2</v>
      </c>
      <c r="U1518" t="str">
        <f>YEAR('Campaign Data'!$A1518)&amp;"-"&amp;TEXT(MONTH('Campaign Data'!$A1518),"00")</f>
        <v>2026-03</v>
      </c>
    </row>
    <row r="1519" spans="1:21" x14ac:dyDescent="0.25">
      <c r="A1519">
        <v>46105</v>
      </c>
      <c r="B1519" t="s">
        <v>157</v>
      </c>
      <c r="C1519" t="s">
        <v>158</v>
      </c>
      <c r="D1519" t="s">
        <v>58</v>
      </c>
      <c r="E1519" t="s">
        <v>49</v>
      </c>
      <c r="F1519" t="s">
        <v>81</v>
      </c>
      <c r="G1519" t="s">
        <v>50</v>
      </c>
      <c r="H1519" t="s">
        <v>36</v>
      </c>
      <c r="I1519" t="s">
        <v>28</v>
      </c>
      <c r="J1519" t="s">
        <v>45</v>
      </c>
      <c r="K1519">
        <v>10120</v>
      </c>
      <c r="L1519">
        <v>476</v>
      </c>
      <c r="M1519">
        <v>1016.63</v>
      </c>
      <c r="N1519">
        <v>20</v>
      </c>
      <c r="O1519">
        <v>256.87</v>
      </c>
      <c r="P1519">
        <f t="shared" si="92"/>
        <v>4.7035573122529643E-2</v>
      </c>
      <c r="Q1519">
        <f t="shared" si="92"/>
        <v>2.1357773109243698</v>
      </c>
      <c r="R1519">
        <f t="shared" si="93"/>
        <v>50.831499999999998</v>
      </c>
      <c r="S1519">
        <f t="shared" si="94"/>
        <v>0.25266812901448904</v>
      </c>
      <c r="T1519">
        <f t="shared" si="95"/>
        <v>4.2016806722689079E-2</v>
      </c>
      <c r="U1519" t="str">
        <f>YEAR('Campaign Data'!$A1519)&amp;"-"&amp;TEXT(MONTH('Campaign Data'!$A1519),"00")</f>
        <v>2026-03</v>
      </c>
    </row>
    <row r="1520" spans="1:21" x14ac:dyDescent="0.25">
      <c r="A1520">
        <v>46105</v>
      </c>
      <c r="B1520" t="s">
        <v>56</v>
      </c>
      <c r="C1520" t="s">
        <v>57</v>
      </c>
      <c r="D1520" t="s">
        <v>58</v>
      </c>
      <c r="E1520" t="s">
        <v>33</v>
      </c>
      <c r="F1520" t="s">
        <v>43</v>
      </c>
      <c r="G1520" t="s">
        <v>59</v>
      </c>
      <c r="H1520" t="s">
        <v>90</v>
      </c>
      <c r="I1520" t="s">
        <v>28</v>
      </c>
      <c r="J1520" t="s">
        <v>29</v>
      </c>
      <c r="K1520">
        <v>10144</v>
      </c>
      <c r="L1520">
        <v>83</v>
      </c>
      <c r="M1520">
        <v>12.89</v>
      </c>
      <c r="N1520">
        <v>0</v>
      </c>
      <c r="O1520">
        <v>0</v>
      </c>
      <c r="P1520">
        <f t="shared" si="92"/>
        <v>8.182176656151419E-3</v>
      </c>
      <c r="Q1520">
        <f t="shared" si="92"/>
        <v>0.15530120481927712</v>
      </c>
      <c r="R1520">
        <f t="shared" si="93"/>
        <v>0</v>
      </c>
      <c r="S1520">
        <f t="shared" si="94"/>
        <v>0</v>
      </c>
      <c r="T1520">
        <f t="shared" si="95"/>
        <v>0</v>
      </c>
      <c r="U1520" t="str">
        <f>YEAR('Campaign Data'!$A1520)&amp;"-"&amp;TEXT(MONTH('Campaign Data'!$A1520),"00")</f>
        <v>2026-03</v>
      </c>
    </row>
    <row r="1521" spans="1:21" x14ac:dyDescent="0.25">
      <c r="A1521">
        <v>46105</v>
      </c>
      <c r="B1521" t="s">
        <v>116</v>
      </c>
      <c r="C1521" t="s">
        <v>117</v>
      </c>
      <c r="D1521" t="s">
        <v>48</v>
      </c>
      <c r="E1521" t="s">
        <v>24</v>
      </c>
      <c r="F1521" t="s">
        <v>43</v>
      </c>
      <c r="G1521" t="s">
        <v>26</v>
      </c>
      <c r="H1521" t="s">
        <v>90</v>
      </c>
      <c r="I1521" t="s">
        <v>61</v>
      </c>
      <c r="J1521" t="s">
        <v>62</v>
      </c>
      <c r="K1521">
        <v>4955</v>
      </c>
      <c r="L1521">
        <v>68</v>
      </c>
      <c r="M1521">
        <v>15.79</v>
      </c>
      <c r="N1521">
        <v>3</v>
      </c>
      <c r="O1521">
        <v>15</v>
      </c>
      <c r="P1521">
        <f t="shared" si="92"/>
        <v>1.3723511604439959E-2</v>
      </c>
      <c r="Q1521">
        <f t="shared" si="92"/>
        <v>0.23220588235294115</v>
      </c>
      <c r="R1521">
        <f t="shared" si="93"/>
        <v>5.2633333333333328</v>
      </c>
      <c r="S1521">
        <f t="shared" si="94"/>
        <v>0.94996833438885375</v>
      </c>
      <c r="T1521">
        <f t="shared" si="95"/>
        <v>4.4117647058823532E-2</v>
      </c>
      <c r="U1521" t="str">
        <f>YEAR('Campaign Data'!$A1521)&amp;"-"&amp;TEXT(MONTH('Campaign Data'!$A1521),"00")</f>
        <v>2026-03</v>
      </c>
    </row>
    <row r="1522" spans="1:21" x14ac:dyDescent="0.25">
      <c r="A1522">
        <v>46105</v>
      </c>
      <c r="B1522" t="s">
        <v>118</v>
      </c>
      <c r="C1522" t="s">
        <v>119</v>
      </c>
      <c r="D1522" t="s">
        <v>69</v>
      </c>
      <c r="E1522" t="s">
        <v>33</v>
      </c>
      <c r="F1522" t="s">
        <v>34</v>
      </c>
      <c r="G1522" t="s">
        <v>35</v>
      </c>
      <c r="H1522" t="s">
        <v>27</v>
      </c>
      <c r="I1522" t="s">
        <v>28</v>
      </c>
      <c r="J1522" t="s">
        <v>62</v>
      </c>
      <c r="K1522">
        <v>15903</v>
      </c>
      <c r="L1522">
        <v>262</v>
      </c>
      <c r="M1522">
        <v>157.9</v>
      </c>
      <c r="N1522">
        <v>8</v>
      </c>
      <c r="O1522">
        <v>1080.92</v>
      </c>
      <c r="P1522">
        <f t="shared" si="92"/>
        <v>1.6474878953656544E-2</v>
      </c>
      <c r="Q1522">
        <f t="shared" si="92"/>
        <v>0.60267175572519083</v>
      </c>
      <c r="R1522">
        <f t="shared" si="93"/>
        <v>19.737500000000001</v>
      </c>
      <c r="S1522">
        <f t="shared" si="94"/>
        <v>6.8455984800506648</v>
      </c>
      <c r="T1522">
        <f t="shared" si="95"/>
        <v>3.0534351145038167E-2</v>
      </c>
      <c r="U1522" t="str">
        <f>YEAR('Campaign Data'!$A1522)&amp;"-"&amp;TEXT(MONTH('Campaign Data'!$A1522),"00")</f>
        <v>2026-03</v>
      </c>
    </row>
    <row r="1523" spans="1:21" x14ac:dyDescent="0.25">
      <c r="A1523">
        <v>46105</v>
      </c>
      <c r="B1523" t="s">
        <v>118</v>
      </c>
      <c r="C1523" t="s">
        <v>119</v>
      </c>
      <c r="D1523" t="s">
        <v>69</v>
      </c>
      <c r="E1523" t="s">
        <v>33</v>
      </c>
      <c r="F1523" t="s">
        <v>34</v>
      </c>
      <c r="G1523" t="s">
        <v>35</v>
      </c>
      <c r="H1523" t="s">
        <v>27</v>
      </c>
      <c r="I1523" t="s">
        <v>37</v>
      </c>
      <c r="J1523" t="s">
        <v>45</v>
      </c>
      <c r="K1523">
        <v>5583</v>
      </c>
      <c r="L1523">
        <v>55</v>
      </c>
      <c r="M1523">
        <v>32.840000000000003</v>
      </c>
      <c r="N1523">
        <v>1</v>
      </c>
      <c r="O1523">
        <v>264.67</v>
      </c>
      <c r="P1523">
        <f t="shared" si="92"/>
        <v>9.8513344080243589E-3</v>
      </c>
      <c r="Q1523">
        <f t="shared" si="92"/>
        <v>0.59709090909090912</v>
      </c>
      <c r="R1523">
        <f t="shared" si="93"/>
        <v>32.840000000000003</v>
      </c>
      <c r="S1523">
        <f t="shared" si="94"/>
        <v>8.0593788063337382</v>
      </c>
      <c r="T1523">
        <f t="shared" si="95"/>
        <v>1.8181818181818181E-2</v>
      </c>
      <c r="U1523" t="str">
        <f>YEAR('Campaign Data'!$A1523)&amp;"-"&amp;TEXT(MONTH('Campaign Data'!$A1523),"00")</f>
        <v>2026-03</v>
      </c>
    </row>
    <row r="1524" spans="1:21" x14ac:dyDescent="0.25">
      <c r="A1524">
        <v>46105</v>
      </c>
      <c r="B1524" t="s">
        <v>120</v>
      </c>
      <c r="C1524" t="s">
        <v>121</v>
      </c>
      <c r="D1524" t="s">
        <v>23</v>
      </c>
      <c r="E1524" t="s">
        <v>49</v>
      </c>
      <c r="F1524" t="s">
        <v>75</v>
      </c>
      <c r="G1524" t="s">
        <v>70</v>
      </c>
      <c r="H1524" t="s">
        <v>90</v>
      </c>
      <c r="I1524" t="s">
        <v>37</v>
      </c>
      <c r="J1524" t="s">
        <v>45</v>
      </c>
      <c r="K1524">
        <v>48903</v>
      </c>
      <c r="L1524">
        <v>1872</v>
      </c>
      <c r="M1524">
        <v>1089.25</v>
      </c>
      <c r="N1524">
        <v>64</v>
      </c>
      <c r="O1524">
        <v>933.74</v>
      </c>
      <c r="P1524">
        <f t="shared" si="92"/>
        <v>3.8279860131280291E-2</v>
      </c>
      <c r="Q1524">
        <f t="shared" si="92"/>
        <v>0.58186431623931623</v>
      </c>
      <c r="R1524">
        <f t="shared" si="93"/>
        <v>17.01953125</v>
      </c>
      <c r="S1524">
        <f t="shared" si="94"/>
        <v>0.85723204039476708</v>
      </c>
      <c r="T1524">
        <f t="shared" si="95"/>
        <v>3.4188034188034191E-2</v>
      </c>
      <c r="U1524" t="str">
        <f>YEAR('Campaign Data'!$A1524)&amp;"-"&amp;TEXT(MONTH('Campaign Data'!$A1524),"00")</f>
        <v>2026-03</v>
      </c>
    </row>
    <row r="1525" spans="1:21" x14ac:dyDescent="0.25">
      <c r="A1525">
        <v>46105</v>
      </c>
      <c r="B1525" t="s">
        <v>82</v>
      </c>
      <c r="C1525" t="s">
        <v>83</v>
      </c>
      <c r="D1525" t="s">
        <v>80</v>
      </c>
      <c r="E1525" t="s">
        <v>42</v>
      </c>
      <c r="F1525" t="s">
        <v>34</v>
      </c>
      <c r="G1525" t="s">
        <v>84</v>
      </c>
      <c r="H1525" t="s">
        <v>27</v>
      </c>
      <c r="I1525" t="s">
        <v>28</v>
      </c>
      <c r="J1525" t="s">
        <v>87</v>
      </c>
      <c r="K1525">
        <v>20313</v>
      </c>
      <c r="L1525">
        <v>84</v>
      </c>
      <c r="M1525">
        <v>531.91</v>
      </c>
      <c r="N1525">
        <v>3</v>
      </c>
      <c r="O1525">
        <v>249.32</v>
      </c>
      <c r="P1525">
        <f t="shared" si="92"/>
        <v>4.1352828238074143E-3</v>
      </c>
      <c r="Q1525">
        <f t="shared" si="92"/>
        <v>6.3322619047619044</v>
      </c>
      <c r="R1525">
        <f t="shared" si="93"/>
        <v>177.30333333333331</v>
      </c>
      <c r="S1525">
        <f t="shared" si="94"/>
        <v>0.468725912278393</v>
      </c>
      <c r="T1525">
        <f t="shared" si="95"/>
        <v>3.5714285714285712E-2</v>
      </c>
      <c r="U1525" t="str">
        <f>YEAR('Campaign Data'!$A1525)&amp;"-"&amp;TEXT(MONTH('Campaign Data'!$A1525),"00")</f>
        <v>2026-03</v>
      </c>
    </row>
    <row r="1526" spans="1:21" x14ac:dyDescent="0.25">
      <c r="A1526">
        <v>46106</v>
      </c>
      <c r="B1526" t="s">
        <v>175</v>
      </c>
      <c r="C1526" t="s">
        <v>176</v>
      </c>
      <c r="D1526" t="s">
        <v>65</v>
      </c>
      <c r="E1526" t="s">
        <v>49</v>
      </c>
      <c r="F1526" t="s">
        <v>75</v>
      </c>
      <c r="G1526" t="s">
        <v>70</v>
      </c>
      <c r="H1526" t="s">
        <v>90</v>
      </c>
      <c r="I1526" t="s">
        <v>37</v>
      </c>
      <c r="J1526" t="s">
        <v>29</v>
      </c>
      <c r="K1526">
        <v>3067</v>
      </c>
      <c r="L1526">
        <v>123</v>
      </c>
      <c r="M1526">
        <v>71.38</v>
      </c>
      <c r="N1526">
        <v>6</v>
      </c>
      <c r="O1526">
        <v>70</v>
      </c>
      <c r="P1526">
        <f t="shared" si="92"/>
        <v>4.0104336485164656E-2</v>
      </c>
      <c r="Q1526">
        <f t="shared" si="92"/>
        <v>0.58032520325203252</v>
      </c>
      <c r="R1526">
        <f t="shared" si="93"/>
        <v>11.896666666666667</v>
      </c>
      <c r="S1526">
        <f t="shared" si="94"/>
        <v>0.98066685346035309</v>
      </c>
      <c r="T1526">
        <f t="shared" si="95"/>
        <v>4.878048780487805E-2</v>
      </c>
      <c r="U1526" t="str">
        <f>YEAR('Campaign Data'!$A1526)&amp;"-"&amp;TEXT(MONTH('Campaign Data'!$A1526),"00")</f>
        <v>2026-03</v>
      </c>
    </row>
    <row r="1527" spans="1:21" x14ac:dyDescent="0.25">
      <c r="A1527">
        <v>46106</v>
      </c>
      <c r="B1527" t="s">
        <v>88</v>
      </c>
      <c r="C1527" t="s">
        <v>89</v>
      </c>
      <c r="D1527" t="s">
        <v>23</v>
      </c>
      <c r="E1527" t="s">
        <v>49</v>
      </c>
      <c r="F1527" t="s">
        <v>81</v>
      </c>
      <c r="G1527" t="s">
        <v>50</v>
      </c>
      <c r="H1527" t="s">
        <v>90</v>
      </c>
      <c r="I1527" t="s">
        <v>37</v>
      </c>
      <c r="J1527" t="s">
        <v>29</v>
      </c>
      <c r="K1527">
        <v>13697</v>
      </c>
      <c r="L1527">
        <v>508</v>
      </c>
      <c r="M1527">
        <v>243.95</v>
      </c>
      <c r="N1527">
        <v>32</v>
      </c>
      <c r="O1527">
        <v>228.89</v>
      </c>
      <c r="P1527">
        <f t="shared" si="92"/>
        <v>3.7088413521209021E-2</v>
      </c>
      <c r="Q1527">
        <f t="shared" si="92"/>
        <v>0.48021653543307086</v>
      </c>
      <c r="R1527">
        <f t="shared" si="93"/>
        <v>7.6234374999999996</v>
      </c>
      <c r="S1527">
        <f t="shared" si="94"/>
        <v>0.93826603812256604</v>
      </c>
      <c r="T1527">
        <f t="shared" si="95"/>
        <v>6.2992125984251968E-2</v>
      </c>
      <c r="U1527" t="str">
        <f>YEAR('Campaign Data'!$A1527)&amp;"-"&amp;TEXT(MONTH('Campaign Data'!$A1527),"00")</f>
        <v>2026-03</v>
      </c>
    </row>
    <row r="1528" spans="1:21" x14ac:dyDescent="0.25">
      <c r="A1528">
        <v>46106</v>
      </c>
      <c r="B1528" t="s">
        <v>167</v>
      </c>
      <c r="C1528" t="s">
        <v>168</v>
      </c>
      <c r="D1528" t="s">
        <v>58</v>
      </c>
      <c r="E1528" t="s">
        <v>33</v>
      </c>
      <c r="F1528" t="s">
        <v>75</v>
      </c>
      <c r="G1528" t="s">
        <v>35</v>
      </c>
      <c r="H1528" t="s">
        <v>27</v>
      </c>
      <c r="I1528" t="s">
        <v>37</v>
      </c>
      <c r="J1528" t="s">
        <v>87</v>
      </c>
      <c r="K1528">
        <v>7421</v>
      </c>
      <c r="L1528">
        <v>50</v>
      </c>
      <c r="M1528">
        <v>49.07</v>
      </c>
      <c r="N1528">
        <v>0</v>
      </c>
      <c r="O1528">
        <v>0</v>
      </c>
      <c r="P1528">
        <f t="shared" si="92"/>
        <v>6.7376364371378519E-3</v>
      </c>
      <c r="Q1528">
        <f t="shared" si="92"/>
        <v>0.98140000000000005</v>
      </c>
      <c r="R1528">
        <f t="shared" si="93"/>
        <v>0</v>
      </c>
      <c r="S1528">
        <f t="shared" si="94"/>
        <v>0</v>
      </c>
      <c r="T1528">
        <f t="shared" si="95"/>
        <v>0</v>
      </c>
      <c r="U1528" t="str">
        <f>YEAR('Campaign Data'!$A1528)&amp;"-"&amp;TEXT(MONTH('Campaign Data'!$A1528),"00")</f>
        <v>2026-03</v>
      </c>
    </row>
    <row r="1529" spans="1:21" x14ac:dyDescent="0.25">
      <c r="A1529">
        <v>46106</v>
      </c>
      <c r="B1529" t="s">
        <v>138</v>
      </c>
      <c r="C1529" t="s">
        <v>139</v>
      </c>
      <c r="D1529" t="s">
        <v>58</v>
      </c>
      <c r="E1529" t="s">
        <v>74</v>
      </c>
      <c r="F1529" t="s">
        <v>34</v>
      </c>
      <c r="G1529" t="s">
        <v>9</v>
      </c>
      <c r="H1529" t="s">
        <v>36</v>
      </c>
      <c r="I1529" t="s">
        <v>28</v>
      </c>
      <c r="J1529" t="s">
        <v>87</v>
      </c>
      <c r="K1529">
        <v>40138</v>
      </c>
      <c r="L1529">
        <v>1076</v>
      </c>
      <c r="M1529">
        <v>1665.44</v>
      </c>
      <c r="N1529">
        <v>43</v>
      </c>
      <c r="O1529">
        <v>6881.31</v>
      </c>
      <c r="P1529">
        <f t="shared" si="92"/>
        <v>2.6807514076436296E-2</v>
      </c>
      <c r="Q1529">
        <f t="shared" si="92"/>
        <v>1.5478066914498141</v>
      </c>
      <c r="R1529">
        <f t="shared" si="93"/>
        <v>38.731162790697674</v>
      </c>
      <c r="S1529">
        <f t="shared" si="94"/>
        <v>4.131827024690172</v>
      </c>
      <c r="T1529">
        <f t="shared" si="95"/>
        <v>3.9962825278810406E-2</v>
      </c>
      <c r="U1529" t="str">
        <f>YEAR('Campaign Data'!$A1529)&amp;"-"&amp;TEXT(MONTH('Campaign Data'!$A1529),"00")</f>
        <v>2026-03</v>
      </c>
    </row>
    <row r="1530" spans="1:21" x14ac:dyDescent="0.25">
      <c r="A1530">
        <v>46106</v>
      </c>
      <c r="B1530" t="s">
        <v>151</v>
      </c>
      <c r="C1530" t="s">
        <v>152</v>
      </c>
      <c r="D1530" t="s">
        <v>48</v>
      </c>
      <c r="E1530" t="s">
        <v>24</v>
      </c>
      <c r="F1530" t="s">
        <v>81</v>
      </c>
      <c r="G1530" t="s">
        <v>129</v>
      </c>
      <c r="H1530" t="s">
        <v>60</v>
      </c>
      <c r="I1530" t="s">
        <v>28</v>
      </c>
      <c r="J1530" t="s">
        <v>38</v>
      </c>
      <c r="K1530">
        <v>4283</v>
      </c>
      <c r="L1530">
        <v>65</v>
      </c>
      <c r="M1530">
        <v>71.47</v>
      </c>
      <c r="N1530">
        <v>2</v>
      </c>
      <c r="O1530">
        <v>20.99</v>
      </c>
      <c r="P1530">
        <f t="shared" si="92"/>
        <v>1.5176278309596078E-2</v>
      </c>
      <c r="Q1530">
        <f t="shared" si="92"/>
        <v>1.0995384615384616</v>
      </c>
      <c r="R1530">
        <f t="shared" si="93"/>
        <v>35.734999999999999</v>
      </c>
      <c r="S1530">
        <f t="shared" si="94"/>
        <v>0.29368965999720159</v>
      </c>
      <c r="T1530">
        <f t="shared" si="95"/>
        <v>3.0769230769230771E-2</v>
      </c>
      <c r="U1530" t="str">
        <f>YEAR('Campaign Data'!$A1530)&amp;"-"&amp;TEXT(MONTH('Campaign Data'!$A1530),"00")</f>
        <v>2026-03</v>
      </c>
    </row>
    <row r="1531" spans="1:21" x14ac:dyDescent="0.25">
      <c r="A1531">
        <v>46106</v>
      </c>
      <c r="B1531" t="s">
        <v>39</v>
      </c>
      <c r="C1531" t="s">
        <v>40</v>
      </c>
      <c r="D1531" t="s">
        <v>41</v>
      </c>
      <c r="E1531" t="s">
        <v>42</v>
      </c>
      <c r="F1531" t="s">
        <v>43</v>
      </c>
      <c r="G1531" t="s">
        <v>44</v>
      </c>
      <c r="H1531" t="s">
        <v>36</v>
      </c>
      <c r="I1531" t="s">
        <v>37</v>
      </c>
      <c r="J1531" t="s">
        <v>45</v>
      </c>
      <c r="K1531">
        <v>9395</v>
      </c>
      <c r="L1531">
        <v>41</v>
      </c>
      <c r="M1531">
        <v>249.12</v>
      </c>
      <c r="N1531">
        <v>0</v>
      </c>
      <c r="O1531">
        <v>0</v>
      </c>
      <c r="P1531">
        <f t="shared" si="92"/>
        <v>4.3640234167110162E-3</v>
      </c>
      <c r="Q1531">
        <f t="shared" si="92"/>
        <v>6.0760975609756098</v>
      </c>
      <c r="R1531">
        <f t="shared" si="93"/>
        <v>0</v>
      </c>
      <c r="S1531">
        <f t="shared" si="94"/>
        <v>0</v>
      </c>
      <c r="T1531">
        <f t="shared" si="95"/>
        <v>0</v>
      </c>
      <c r="U1531" t="str">
        <f>YEAR('Campaign Data'!$A1531)&amp;"-"&amp;TEXT(MONTH('Campaign Data'!$A1531),"00")</f>
        <v>2026-03</v>
      </c>
    </row>
    <row r="1532" spans="1:21" x14ac:dyDescent="0.25">
      <c r="A1532">
        <v>46106</v>
      </c>
      <c r="B1532" t="s">
        <v>98</v>
      </c>
      <c r="C1532" t="s">
        <v>99</v>
      </c>
      <c r="D1532" t="s">
        <v>69</v>
      </c>
      <c r="E1532" t="s">
        <v>24</v>
      </c>
      <c r="F1532" t="s">
        <v>75</v>
      </c>
      <c r="G1532" t="s">
        <v>66</v>
      </c>
      <c r="H1532" t="s">
        <v>60</v>
      </c>
      <c r="I1532" t="s">
        <v>28</v>
      </c>
      <c r="J1532" t="s">
        <v>38</v>
      </c>
      <c r="K1532">
        <v>9628</v>
      </c>
      <c r="L1532">
        <v>139</v>
      </c>
      <c r="M1532">
        <v>183.35</v>
      </c>
      <c r="N1532">
        <v>4</v>
      </c>
      <c r="O1532">
        <v>108.05</v>
      </c>
      <c r="P1532">
        <f t="shared" si="92"/>
        <v>1.4437058579144162E-2</v>
      </c>
      <c r="Q1532">
        <f t="shared" si="92"/>
        <v>1.3190647482014388</v>
      </c>
      <c r="R1532">
        <f t="shared" si="93"/>
        <v>45.837499999999999</v>
      </c>
      <c r="S1532">
        <f t="shared" si="94"/>
        <v>0.58931006272157072</v>
      </c>
      <c r="T1532">
        <f t="shared" si="95"/>
        <v>2.8776978417266189E-2</v>
      </c>
      <c r="U1532" t="str">
        <f>YEAR('Campaign Data'!$A1532)&amp;"-"&amp;TEXT(MONTH('Campaign Data'!$A1532),"00")</f>
        <v>2026-03</v>
      </c>
    </row>
    <row r="1533" spans="1:21" x14ac:dyDescent="0.25">
      <c r="A1533">
        <v>46106</v>
      </c>
      <c r="B1533" t="s">
        <v>108</v>
      </c>
      <c r="C1533" t="s">
        <v>109</v>
      </c>
      <c r="D1533" t="s">
        <v>58</v>
      </c>
      <c r="E1533" t="s">
        <v>33</v>
      </c>
      <c r="F1533" t="s">
        <v>43</v>
      </c>
      <c r="G1533" t="s">
        <v>59</v>
      </c>
      <c r="H1533" t="s">
        <v>90</v>
      </c>
      <c r="I1533" t="s">
        <v>37</v>
      </c>
      <c r="J1533" t="s">
        <v>38</v>
      </c>
      <c r="K1533">
        <v>8543</v>
      </c>
      <c r="L1533">
        <v>13</v>
      </c>
      <c r="M1533">
        <v>2.42</v>
      </c>
      <c r="N1533">
        <v>0</v>
      </c>
      <c r="O1533">
        <v>0</v>
      </c>
      <c r="P1533">
        <f t="shared" si="92"/>
        <v>1.5217136837176635E-3</v>
      </c>
      <c r="Q1533">
        <f t="shared" si="92"/>
        <v>0.18615384615384614</v>
      </c>
      <c r="R1533">
        <f t="shared" si="93"/>
        <v>0</v>
      </c>
      <c r="S1533">
        <f t="shared" si="94"/>
        <v>0</v>
      </c>
      <c r="T1533">
        <f t="shared" si="95"/>
        <v>0</v>
      </c>
      <c r="U1533" t="str">
        <f>YEAR('Campaign Data'!$A1533)&amp;"-"&amp;TEXT(MONTH('Campaign Data'!$A1533),"00")</f>
        <v>2026-03</v>
      </c>
    </row>
    <row r="1534" spans="1:21" x14ac:dyDescent="0.25">
      <c r="A1534">
        <v>46106</v>
      </c>
      <c r="B1534" t="s">
        <v>108</v>
      </c>
      <c r="C1534" t="s">
        <v>109</v>
      </c>
      <c r="D1534" t="s">
        <v>58</v>
      </c>
      <c r="E1534" t="s">
        <v>33</v>
      </c>
      <c r="F1534" t="s">
        <v>43</v>
      </c>
      <c r="G1534" t="s">
        <v>59</v>
      </c>
      <c r="H1534" t="s">
        <v>55</v>
      </c>
      <c r="I1534" t="s">
        <v>37</v>
      </c>
      <c r="J1534" t="s">
        <v>62</v>
      </c>
      <c r="K1534">
        <v>35164</v>
      </c>
      <c r="L1534">
        <v>264</v>
      </c>
      <c r="M1534">
        <v>120.53</v>
      </c>
      <c r="N1534">
        <v>3</v>
      </c>
      <c r="O1534">
        <v>63.34</v>
      </c>
      <c r="P1534">
        <f t="shared" si="92"/>
        <v>7.5076783073598002E-3</v>
      </c>
      <c r="Q1534">
        <f t="shared" si="92"/>
        <v>0.45655303030303029</v>
      </c>
      <c r="R1534">
        <f t="shared" si="93"/>
        <v>40.176666666666669</v>
      </c>
      <c r="S1534">
        <f t="shared" si="94"/>
        <v>0.52551232058408692</v>
      </c>
      <c r="T1534">
        <f t="shared" si="95"/>
        <v>1.1363636363636364E-2</v>
      </c>
      <c r="U1534" t="str">
        <f>YEAR('Campaign Data'!$A1534)&amp;"-"&amp;TEXT(MONTH('Campaign Data'!$A1534),"00")</f>
        <v>2026-03</v>
      </c>
    </row>
    <row r="1535" spans="1:21" x14ac:dyDescent="0.25">
      <c r="A1535">
        <v>46106</v>
      </c>
      <c r="B1535" t="s">
        <v>130</v>
      </c>
      <c r="C1535" t="s">
        <v>131</v>
      </c>
      <c r="D1535" t="s">
        <v>48</v>
      </c>
      <c r="E1535" t="s">
        <v>33</v>
      </c>
      <c r="F1535" t="s">
        <v>34</v>
      </c>
      <c r="G1535" t="s">
        <v>35</v>
      </c>
      <c r="H1535" t="s">
        <v>90</v>
      </c>
      <c r="I1535" t="s">
        <v>28</v>
      </c>
      <c r="J1535" t="s">
        <v>29</v>
      </c>
      <c r="K1535">
        <v>21058</v>
      </c>
      <c r="L1535">
        <v>143</v>
      </c>
      <c r="M1535">
        <v>21.86</v>
      </c>
      <c r="N1535">
        <v>3</v>
      </c>
      <c r="O1535">
        <v>67.989999999999995</v>
      </c>
      <c r="P1535">
        <f t="shared" si="92"/>
        <v>6.7907683540697119E-3</v>
      </c>
      <c r="Q1535">
        <f t="shared" si="92"/>
        <v>0.15286713286713285</v>
      </c>
      <c r="R1535">
        <f t="shared" si="93"/>
        <v>7.2866666666666662</v>
      </c>
      <c r="S1535">
        <f t="shared" si="94"/>
        <v>3.1102470265324791</v>
      </c>
      <c r="T1535">
        <f t="shared" si="95"/>
        <v>2.097902097902098E-2</v>
      </c>
      <c r="U1535" t="str">
        <f>YEAR('Campaign Data'!$A1535)&amp;"-"&amp;TEXT(MONTH('Campaign Data'!$A1535),"00")</f>
        <v>2026-03</v>
      </c>
    </row>
    <row r="1536" spans="1:21" x14ac:dyDescent="0.25">
      <c r="A1536">
        <v>46106</v>
      </c>
      <c r="B1536" t="s">
        <v>177</v>
      </c>
      <c r="C1536" t="s">
        <v>178</v>
      </c>
      <c r="D1536" t="s">
        <v>41</v>
      </c>
      <c r="E1536" t="s">
        <v>49</v>
      </c>
      <c r="F1536" t="s">
        <v>34</v>
      </c>
      <c r="G1536" t="s">
        <v>107</v>
      </c>
      <c r="H1536" t="s">
        <v>27</v>
      </c>
      <c r="I1536" t="s">
        <v>37</v>
      </c>
      <c r="J1536" t="s">
        <v>62</v>
      </c>
      <c r="K1536">
        <v>24783</v>
      </c>
      <c r="L1536">
        <v>878</v>
      </c>
      <c r="M1536">
        <v>2473.6799999999998</v>
      </c>
      <c r="N1536">
        <v>76</v>
      </c>
      <c r="O1536">
        <v>12655.1</v>
      </c>
      <c r="P1536">
        <f t="shared" si="92"/>
        <v>3.5427510793689221E-2</v>
      </c>
      <c r="Q1536">
        <f t="shared" si="92"/>
        <v>2.8174031890660589</v>
      </c>
      <c r="R1536">
        <f t="shared" si="93"/>
        <v>32.548421052631575</v>
      </c>
      <c r="S1536">
        <f t="shared" si="94"/>
        <v>5.1159001972769325</v>
      </c>
      <c r="T1536">
        <f t="shared" si="95"/>
        <v>8.656036446469248E-2</v>
      </c>
      <c r="U1536" t="str">
        <f>YEAR('Campaign Data'!$A1536)&amp;"-"&amp;TEXT(MONTH('Campaign Data'!$A1536),"00")</f>
        <v>2026-03</v>
      </c>
    </row>
    <row r="1537" spans="1:21" x14ac:dyDescent="0.25">
      <c r="A1537">
        <v>46106</v>
      </c>
      <c r="B1537" t="s">
        <v>177</v>
      </c>
      <c r="C1537" t="s">
        <v>178</v>
      </c>
      <c r="D1537" t="s">
        <v>41</v>
      </c>
      <c r="E1537" t="s">
        <v>49</v>
      </c>
      <c r="F1537" t="s">
        <v>34</v>
      </c>
      <c r="G1537" t="s">
        <v>107</v>
      </c>
      <c r="H1537" t="s">
        <v>27</v>
      </c>
      <c r="I1537" t="s">
        <v>28</v>
      </c>
      <c r="J1537" t="s">
        <v>62</v>
      </c>
      <c r="K1537">
        <v>17519</v>
      </c>
      <c r="L1537">
        <v>1108</v>
      </c>
      <c r="M1537">
        <v>2896.37</v>
      </c>
      <c r="N1537">
        <v>58</v>
      </c>
      <c r="O1537">
        <v>6821.44</v>
      </c>
      <c r="P1537">
        <f t="shared" si="92"/>
        <v>6.3245619042182774E-2</v>
      </c>
      <c r="Q1537">
        <f t="shared" si="92"/>
        <v>2.6140523465703969</v>
      </c>
      <c r="R1537">
        <f t="shared" si="93"/>
        <v>49.937413793103445</v>
      </c>
      <c r="S1537">
        <f t="shared" si="94"/>
        <v>2.3551687111798563</v>
      </c>
      <c r="T1537">
        <f t="shared" si="95"/>
        <v>5.2346570397111915E-2</v>
      </c>
      <c r="U1537" t="str">
        <f>YEAR('Campaign Data'!$A1537)&amp;"-"&amp;TEXT(MONTH('Campaign Data'!$A1537),"00")</f>
        <v>2026-03</v>
      </c>
    </row>
    <row r="1538" spans="1:21" x14ac:dyDescent="0.25">
      <c r="A1538">
        <v>46106</v>
      </c>
      <c r="B1538" t="s">
        <v>140</v>
      </c>
      <c r="C1538" t="s">
        <v>40</v>
      </c>
      <c r="D1538" t="s">
        <v>41</v>
      </c>
      <c r="E1538" t="s">
        <v>42</v>
      </c>
      <c r="F1538" t="s">
        <v>43</v>
      </c>
      <c r="G1538" t="s">
        <v>44</v>
      </c>
      <c r="H1538" t="s">
        <v>27</v>
      </c>
      <c r="I1538" t="s">
        <v>37</v>
      </c>
      <c r="J1538" t="s">
        <v>45</v>
      </c>
      <c r="K1538">
        <v>9269</v>
      </c>
      <c r="L1538">
        <v>30</v>
      </c>
      <c r="M1538">
        <v>182.79</v>
      </c>
      <c r="N1538">
        <v>0</v>
      </c>
      <c r="O1538">
        <v>0</v>
      </c>
      <c r="P1538">
        <f t="shared" ref="P1538:Q1601" si="96">IF(K1538=0,0,L1538/K1538)</f>
        <v>3.2365951019527458E-3</v>
      </c>
      <c r="Q1538">
        <f t="shared" si="96"/>
        <v>6.093</v>
      </c>
      <c r="R1538">
        <f t="shared" ref="R1538:R1601" si="97">IF(N1538=0,0,M1538/N1538)</f>
        <v>0</v>
      </c>
      <c r="S1538">
        <f t="shared" ref="S1538:S1601" si="98">IF(M1538=0,0,O1538/M1538)</f>
        <v>0</v>
      </c>
      <c r="T1538">
        <f t="shared" ref="T1538:T1601" si="99">IF(L1538=0,0,N1538/L1538)</f>
        <v>0</v>
      </c>
      <c r="U1538" t="str">
        <f>YEAR('Campaign Data'!$A1538)&amp;"-"&amp;TEXT(MONTH('Campaign Data'!$A1538),"00")</f>
        <v>2026-03</v>
      </c>
    </row>
    <row r="1539" spans="1:21" x14ac:dyDescent="0.25">
      <c r="A1539">
        <v>46106</v>
      </c>
      <c r="B1539" t="s">
        <v>155</v>
      </c>
      <c r="C1539" t="s">
        <v>156</v>
      </c>
      <c r="D1539" t="s">
        <v>32</v>
      </c>
      <c r="E1539" t="s">
        <v>24</v>
      </c>
      <c r="F1539" t="s">
        <v>34</v>
      </c>
      <c r="G1539" t="s">
        <v>129</v>
      </c>
      <c r="H1539" t="s">
        <v>60</v>
      </c>
      <c r="I1539" t="s">
        <v>28</v>
      </c>
      <c r="J1539" t="s">
        <v>38</v>
      </c>
      <c r="K1539">
        <v>10739</v>
      </c>
      <c r="L1539">
        <v>112</v>
      </c>
      <c r="M1539">
        <v>117.11</v>
      </c>
      <c r="N1539">
        <v>1</v>
      </c>
      <c r="O1539">
        <v>155.41</v>
      </c>
      <c r="P1539">
        <f t="shared" si="96"/>
        <v>1.0429276468944967E-2</v>
      </c>
      <c r="Q1539">
        <f t="shared" si="96"/>
        <v>1.045625</v>
      </c>
      <c r="R1539">
        <f t="shared" si="97"/>
        <v>117.11</v>
      </c>
      <c r="S1539">
        <f t="shared" si="98"/>
        <v>1.3270429510716419</v>
      </c>
      <c r="T1539">
        <f t="shared" si="99"/>
        <v>8.9285714285714281E-3</v>
      </c>
      <c r="U1539" t="str">
        <f>YEAR('Campaign Data'!$A1539)&amp;"-"&amp;TEXT(MONTH('Campaign Data'!$A1539),"00")</f>
        <v>2026-03</v>
      </c>
    </row>
    <row r="1540" spans="1:21" x14ac:dyDescent="0.25">
      <c r="A1540">
        <v>46106</v>
      </c>
      <c r="B1540" t="s">
        <v>161</v>
      </c>
      <c r="C1540" t="s">
        <v>162</v>
      </c>
      <c r="D1540" t="s">
        <v>48</v>
      </c>
      <c r="E1540" t="s">
        <v>74</v>
      </c>
      <c r="F1540" t="s">
        <v>34</v>
      </c>
      <c r="G1540" t="s">
        <v>107</v>
      </c>
      <c r="H1540" t="s">
        <v>27</v>
      </c>
      <c r="I1540" t="s">
        <v>37</v>
      </c>
      <c r="J1540" t="s">
        <v>38</v>
      </c>
      <c r="K1540">
        <v>1663</v>
      </c>
      <c r="L1540">
        <v>62</v>
      </c>
      <c r="M1540">
        <v>85.37</v>
      </c>
      <c r="N1540">
        <v>0</v>
      </c>
      <c r="O1540">
        <v>0</v>
      </c>
      <c r="P1540">
        <f t="shared" si="96"/>
        <v>3.7282020444978956E-2</v>
      </c>
      <c r="Q1540">
        <f t="shared" si="96"/>
        <v>1.3769354838709678</v>
      </c>
      <c r="R1540">
        <f t="shared" si="97"/>
        <v>0</v>
      </c>
      <c r="S1540">
        <f t="shared" si="98"/>
        <v>0</v>
      </c>
      <c r="T1540">
        <f t="shared" si="99"/>
        <v>0</v>
      </c>
      <c r="U1540" t="str">
        <f>YEAR('Campaign Data'!$A1540)&amp;"-"&amp;TEXT(MONTH('Campaign Data'!$A1540),"00")</f>
        <v>2026-03</v>
      </c>
    </row>
    <row r="1541" spans="1:21" x14ac:dyDescent="0.25">
      <c r="A1541">
        <v>46106</v>
      </c>
      <c r="B1541" t="s">
        <v>183</v>
      </c>
      <c r="C1541" t="s">
        <v>184</v>
      </c>
      <c r="D1541" t="s">
        <v>23</v>
      </c>
      <c r="E1541" t="s">
        <v>24</v>
      </c>
      <c r="F1541" t="s">
        <v>81</v>
      </c>
      <c r="G1541" t="s">
        <v>185</v>
      </c>
      <c r="H1541" t="s">
        <v>60</v>
      </c>
      <c r="I1541" t="s">
        <v>37</v>
      </c>
      <c r="J1541" t="s">
        <v>87</v>
      </c>
      <c r="K1541">
        <v>6138</v>
      </c>
      <c r="L1541">
        <v>63</v>
      </c>
      <c r="M1541">
        <v>60.12</v>
      </c>
      <c r="N1541">
        <v>2</v>
      </c>
      <c r="O1541">
        <v>54.75</v>
      </c>
      <c r="P1541">
        <f t="shared" si="96"/>
        <v>1.0263929618768328E-2</v>
      </c>
      <c r="Q1541">
        <f t="shared" si="96"/>
        <v>0.95428571428571429</v>
      </c>
      <c r="R1541">
        <f t="shared" si="97"/>
        <v>30.06</v>
      </c>
      <c r="S1541">
        <f t="shared" si="98"/>
        <v>0.91067864271457089</v>
      </c>
      <c r="T1541">
        <f t="shared" si="99"/>
        <v>3.1746031746031744E-2</v>
      </c>
      <c r="U1541" t="str">
        <f>YEAR('Campaign Data'!$A1541)&amp;"-"&amp;TEXT(MONTH('Campaign Data'!$A1541),"00")</f>
        <v>2026-03</v>
      </c>
    </row>
    <row r="1542" spans="1:21" x14ac:dyDescent="0.25">
      <c r="A1542">
        <v>46106</v>
      </c>
      <c r="B1542" t="s">
        <v>72</v>
      </c>
      <c r="C1542" t="s">
        <v>73</v>
      </c>
      <c r="D1542" t="s">
        <v>69</v>
      </c>
      <c r="E1542" t="s">
        <v>74</v>
      </c>
      <c r="F1542" t="s">
        <v>75</v>
      </c>
      <c r="G1542" t="s">
        <v>9</v>
      </c>
      <c r="H1542" t="s">
        <v>36</v>
      </c>
      <c r="I1542" t="s">
        <v>28</v>
      </c>
      <c r="J1542" t="s">
        <v>45</v>
      </c>
      <c r="K1542">
        <v>2671</v>
      </c>
      <c r="L1542">
        <v>79</v>
      </c>
      <c r="M1542">
        <v>108.22</v>
      </c>
      <c r="N1542">
        <v>6</v>
      </c>
      <c r="O1542">
        <v>216.64</v>
      </c>
      <c r="P1542">
        <f t="shared" si="96"/>
        <v>2.9576937476600524E-2</v>
      </c>
      <c r="Q1542">
        <f t="shared" si="96"/>
        <v>1.369873417721519</v>
      </c>
      <c r="R1542">
        <f t="shared" si="97"/>
        <v>18.036666666666665</v>
      </c>
      <c r="S1542">
        <f t="shared" si="98"/>
        <v>2.0018480872297171</v>
      </c>
      <c r="T1542">
        <f t="shared" si="99"/>
        <v>7.5949367088607597E-2</v>
      </c>
      <c r="U1542" t="str">
        <f>YEAR('Campaign Data'!$A1542)&amp;"-"&amp;TEXT(MONTH('Campaign Data'!$A1542),"00")</f>
        <v>2026-03</v>
      </c>
    </row>
    <row r="1543" spans="1:21" x14ac:dyDescent="0.25">
      <c r="A1543">
        <v>46106</v>
      </c>
      <c r="B1543" t="s">
        <v>116</v>
      </c>
      <c r="C1543" t="s">
        <v>117</v>
      </c>
      <c r="D1543" t="s">
        <v>48</v>
      </c>
      <c r="E1543" t="s">
        <v>24</v>
      </c>
      <c r="F1543" t="s">
        <v>43</v>
      </c>
      <c r="G1543" t="s">
        <v>26</v>
      </c>
      <c r="H1543" t="s">
        <v>36</v>
      </c>
      <c r="I1543" t="s">
        <v>28</v>
      </c>
      <c r="J1543" t="s">
        <v>38</v>
      </c>
      <c r="K1543">
        <v>25659</v>
      </c>
      <c r="L1543">
        <v>348</v>
      </c>
      <c r="M1543">
        <v>260.66000000000003</v>
      </c>
      <c r="N1543">
        <v>8</v>
      </c>
      <c r="O1543">
        <v>187.24</v>
      </c>
      <c r="P1543">
        <f t="shared" si="96"/>
        <v>1.3562492692622472E-2</v>
      </c>
      <c r="Q1543">
        <f t="shared" si="96"/>
        <v>0.74902298850574722</v>
      </c>
      <c r="R1543">
        <f t="shared" si="97"/>
        <v>32.582500000000003</v>
      </c>
      <c r="S1543">
        <f t="shared" si="98"/>
        <v>0.71833039208163885</v>
      </c>
      <c r="T1543">
        <f t="shared" si="99"/>
        <v>2.2988505747126436E-2</v>
      </c>
      <c r="U1543" t="str">
        <f>YEAR('Campaign Data'!$A1543)&amp;"-"&amp;TEXT(MONTH('Campaign Data'!$A1543),"00")</f>
        <v>2026-03</v>
      </c>
    </row>
    <row r="1544" spans="1:21" x14ac:dyDescent="0.25">
      <c r="A1544">
        <v>46106</v>
      </c>
      <c r="B1544" t="s">
        <v>163</v>
      </c>
      <c r="C1544" t="s">
        <v>164</v>
      </c>
      <c r="D1544" t="s">
        <v>58</v>
      </c>
      <c r="E1544" t="s">
        <v>42</v>
      </c>
      <c r="F1544" t="s">
        <v>43</v>
      </c>
      <c r="G1544" t="s">
        <v>44</v>
      </c>
      <c r="H1544" t="s">
        <v>60</v>
      </c>
      <c r="I1544" t="s">
        <v>28</v>
      </c>
      <c r="J1544" t="s">
        <v>62</v>
      </c>
      <c r="K1544">
        <v>2018</v>
      </c>
      <c r="L1544">
        <v>14</v>
      </c>
      <c r="M1544">
        <v>79.540000000000006</v>
      </c>
      <c r="N1544">
        <v>0</v>
      </c>
      <c r="O1544">
        <v>0</v>
      </c>
      <c r="P1544">
        <f t="shared" si="96"/>
        <v>6.9375619425173438E-3</v>
      </c>
      <c r="Q1544">
        <f t="shared" si="96"/>
        <v>5.6814285714285715</v>
      </c>
      <c r="R1544">
        <f t="shared" si="97"/>
        <v>0</v>
      </c>
      <c r="S1544">
        <f t="shared" si="98"/>
        <v>0</v>
      </c>
      <c r="T1544">
        <f t="shared" si="99"/>
        <v>0</v>
      </c>
      <c r="U1544" t="str">
        <f>YEAR('Campaign Data'!$A1544)&amp;"-"&amp;TEXT(MONTH('Campaign Data'!$A1544),"00")</f>
        <v>2026-03</v>
      </c>
    </row>
    <row r="1545" spans="1:21" x14ac:dyDescent="0.25">
      <c r="A1545">
        <v>46106</v>
      </c>
      <c r="B1545" t="s">
        <v>76</v>
      </c>
      <c r="C1545" t="s">
        <v>77</v>
      </c>
      <c r="D1545" t="s">
        <v>65</v>
      </c>
      <c r="E1545" t="s">
        <v>42</v>
      </c>
      <c r="F1545" t="s">
        <v>43</v>
      </c>
      <c r="G1545" t="s">
        <v>44</v>
      </c>
      <c r="H1545" t="s">
        <v>36</v>
      </c>
      <c r="I1545" t="s">
        <v>37</v>
      </c>
      <c r="J1545" t="s">
        <v>45</v>
      </c>
      <c r="K1545">
        <v>8923</v>
      </c>
      <c r="L1545">
        <v>61</v>
      </c>
      <c r="M1545">
        <v>284.16000000000003</v>
      </c>
      <c r="N1545">
        <v>2</v>
      </c>
      <c r="O1545">
        <v>65.17</v>
      </c>
      <c r="P1545">
        <f t="shared" si="96"/>
        <v>6.8362658298778438E-3</v>
      </c>
      <c r="Q1545">
        <f t="shared" si="96"/>
        <v>4.6583606557377051</v>
      </c>
      <c r="R1545">
        <f t="shared" si="97"/>
        <v>142.08000000000001</v>
      </c>
      <c r="S1545">
        <f t="shared" si="98"/>
        <v>0.22934262387387386</v>
      </c>
      <c r="T1545">
        <f t="shared" si="99"/>
        <v>3.2786885245901641E-2</v>
      </c>
      <c r="U1545" t="str">
        <f>YEAR('Campaign Data'!$A1545)&amp;"-"&amp;TEXT(MONTH('Campaign Data'!$A1545),"00")</f>
        <v>2026-03</v>
      </c>
    </row>
    <row r="1546" spans="1:21" x14ac:dyDescent="0.25">
      <c r="A1546">
        <v>46106</v>
      </c>
      <c r="B1546" t="s">
        <v>120</v>
      </c>
      <c r="C1546" t="s">
        <v>121</v>
      </c>
      <c r="D1546" t="s">
        <v>23</v>
      </c>
      <c r="E1546" t="s">
        <v>49</v>
      </c>
      <c r="F1546" t="s">
        <v>75</v>
      </c>
      <c r="G1546" t="s">
        <v>70</v>
      </c>
      <c r="H1546" t="s">
        <v>36</v>
      </c>
      <c r="I1546" t="s">
        <v>61</v>
      </c>
      <c r="J1546" t="s">
        <v>87</v>
      </c>
      <c r="K1546">
        <v>12090</v>
      </c>
      <c r="L1546">
        <v>466</v>
      </c>
      <c r="M1546">
        <v>960.98</v>
      </c>
      <c r="N1546">
        <v>14</v>
      </c>
      <c r="O1546">
        <v>490.95</v>
      </c>
      <c r="P1546">
        <f t="shared" si="96"/>
        <v>3.8544251447477251E-2</v>
      </c>
      <c r="Q1546">
        <f t="shared" si="96"/>
        <v>2.0621888412017166</v>
      </c>
      <c r="R1546">
        <f t="shared" si="97"/>
        <v>68.641428571428577</v>
      </c>
      <c r="S1546">
        <f t="shared" si="98"/>
        <v>0.5108847218464484</v>
      </c>
      <c r="T1546">
        <f t="shared" si="99"/>
        <v>3.0042918454935622E-2</v>
      </c>
      <c r="U1546" t="str">
        <f>YEAR('Campaign Data'!$A1546)&amp;"-"&amp;TEXT(MONTH('Campaign Data'!$A1546),"00")</f>
        <v>2026-03</v>
      </c>
    </row>
    <row r="1547" spans="1:21" x14ac:dyDescent="0.25">
      <c r="A1547">
        <v>46106</v>
      </c>
      <c r="B1547" t="s">
        <v>122</v>
      </c>
      <c r="C1547" t="s">
        <v>123</v>
      </c>
      <c r="D1547" t="s">
        <v>41</v>
      </c>
      <c r="E1547" t="s">
        <v>33</v>
      </c>
      <c r="F1547" t="s">
        <v>75</v>
      </c>
      <c r="G1547" t="s">
        <v>35</v>
      </c>
      <c r="H1547" t="s">
        <v>51</v>
      </c>
      <c r="I1547" t="s">
        <v>37</v>
      </c>
      <c r="J1547" t="s">
        <v>87</v>
      </c>
      <c r="K1547">
        <v>6484</v>
      </c>
      <c r="L1547">
        <v>45</v>
      </c>
      <c r="M1547">
        <v>22.87</v>
      </c>
      <c r="N1547">
        <v>0</v>
      </c>
      <c r="O1547">
        <v>0</v>
      </c>
      <c r="P1547">
        <f t="shared" si="96"/>
        <v>6.9401603948180133E-3</v>
      </c>
      <c r="Q1547">
        <f t="shared" si="96"/>
        <v>0.50822222222222224</v>
      </c>
      <c r="R1547">
        <f t="shared" si="97"/>
        <v>0</v>
      </c>
      <c r="S1547">
        <f t="shared" si="98"/>
        <v>0</v>
      </c>
      <c r="T1547">
        <f t="shared" si="99"/>
        <v>0</v>
      </c>
      <c r="U1547" t="str">
        <f>YEAR('Campaign Data'!$A1547)&amp;"-"&amp;TEXT(MONTH('Campaign Data'!$A1547),"00")</f>
        <v>2026-03</v>
      </c>
    </row>
    <row r="1548" spans="1:21" x14ac:dyDescent="0.25">
      <c r="A1548">
        <v>46107</v>
      </c>
      <c r="B1548" t="s">
        <v>167</v>
      </c>
      <c r="C1548" t="s">
        <v>168</v>
      </c>
      <c r="D1548" t="s">
        <v>58</v>
      </c>
      <c r="E1548" t="s">
        <v>33</v>
      </c>
      <c r="F1548" t="s">
        <v>75</v>
      </c>
      <c r="G1548" t="s">
        <v>35</v>
      </c>
      <c r="H1548" t="s">
        <v>55</v>
      </c>
      <c r="I1548" t="s">
        <v>28</v>
      </c>
      <c r="J1548" t="s">
        <v>29</v>
      </c>
      <c r="K1548">
        <v>5645</v>
      </c>
      <c r="L1548">
        <v>37</v>
      </c>
      <c r="M1548">
        <v>19.100000000000001</v>
      </c>
      <c r="N1548">
        <v>0</v>
      </c>
      <c r="O1548">
        <v>0</v>
      </c>
      <c r="P1548">
        <f t="shared" si="96"/>
        <v>6.5544729849424267E-3</v>
      </c>
      <c r="Q1548">
        <f t="shared" si="96"/>
        <v>0.51621621621621627</v>
      </c>
      <c r="R1548">
        <f t="shared" si="97"/>
        <v>0</v>
      </c>
      <c r="S1548">
        <f t="shared" si="98"/>
        <v>0</v>
      </c>
      <c r="T1548">
        <f t="shared" si="99"/>
        <v>0</v>
      </c>
      <c r="U1548" t="str">
        <f>YEAR('Campaign Data'!$A1548)&amp;"-"&amp;TEXT(MONTH('Campaign Data'!$A1548),"00")</f>
        <v>2026-03</v>
      </c>
    </row>
    <row r="1549" spans="1:21" x14ac:dyDescent="0.25">
      <c r="A1549">
        <v>46107</v>
      </c>
      <c r="B1549" t="s">
        <v>167</v>
      </c>
      <c r="C1549" t="s">
        <v>168</v>
      </c>
      <c r="D1549" t="s">
        <v>58</v>
      </c>
      <c r="E1549" t="s">
        <v>33</v>
      </c>
      <c r="F1549" t="s">
        <v>75</v>
      </c>
      <c r="G1549" t="s">
        <v>35</v>
      </c>
      <c r="H1549" t="s">
        <v>55</v>
      </c>
      <c r="I1549" t="s">
        <v>37</v>
      </c>
      <c r="J1549" t="s">
        <v>29</v>
      </c>
      <c r="K1549">
        <v>25470</v>
      </c>
      <c r="L1549">
        <v>204</v>
      </c>
      <c r="M1549">
        <v>86.8</v>
      </c>
      <c r="N1549">
        <v>1</v>
      </c>
      <c r="O1549">
        <v>34.86</v>
      </c>
      <c r="P1549">
        <f t="shared" si="96"/>
        <v>8.0094228504122497E-3</v>
      </c>
      <c r="Q1549">
        <f t="shared" si="96"/>
        <v>0.42549019607843136</v>
      </c>
      <c r="R1549">
        <f t="shared" si="97"/>
        <v>86.8</v>
      </c>
      <c r="S1549">
        <f t="shared" si="98"/>
        <v>0.40161290322580645</v>
      </c>
      <c r="T1549">
        <f t="shared" si="99"/>
        <v>4.9019607843137254E-3</v>
      </c>
      <c r="U1549" t="str">
        <f>YEAR('Campaign Data'!$A1549)&amp;"-"&amp;TEXT(MONTH('Campaign Data'!$A1549),"00")</f>
        <v>2026-03</v>
      </c>
    </row>
    <row r="1550" spans="1:21" x14ac:dyDescent="0.25">
      <c r="A1550">
        <v>46107</v>
      </c>
      <c r="B1550" t="s">
        <v>138</v>
      </c>
      <c r="C1550" t="s">
        <v>139</v>
      </c>
      <c r="D1550" t="s">
        <v>58</v>
      </c>
      <c r="E1550" t="s">
        <v>74</v>
      </c>
      <c r="F1550" t="s">
        <v>34</v>
      </c>
      <c r="G1550" t="s">
        <v>9</v>
      </c>
      <c r="H1550" t="s">
        <v>71</v>
      </c>
      <c r="I1550" t="s">
        <v>37</v>
      </c>
      <c r="J1550" t="s">
        <v>38</v>
      </c>
      <c r="K1550">
        <v>5396</v>
      </c>
      <c r="L1550">
        <v>125</v>
      </c>
      <c r="M1550">
        <v>125.66</v>
      </c>
      <c r="N1550">
        <v>11</v>
      </c>
      <c r="O1550">
        <v>1700.9</v>
      </c>
      <c r="P1550">
        <f t="shared" si="96"/>
        <v>2.3165307635285397E-2</v>
      </c>
      <c r="Q1550">
        <f t="shared" si="96"/>
        <v>1.00528</v>
      </c>
      <c r="R1550">
        <f t="shared" si="97"/>
        <v>11.423636363636364</v>
      </c>
      <c r="S1550">
        <f t="shared" si="98"/>
        <v>13.53573133853255</v>
      </c>
      <c r="T1550">
        <f t="shared" si="99"/>
        <v>8.7999999999999995E-2</v>
      </c>
      <c r="U1550" t="str">
        <f>YEAR('Campaign Data'!$A1550)&amp;"-"&amp;TEXT(MONTH('Campaign Data'!$A1550),"00")</f>
        <v>2026-03</v>
      </c>
    </row>
    <row r="1551" spans="1:21" x14ac:dyDescent="0.25">
      <c r="A1551">
        <v>46107</v>
      </c>
      <c r="B1551" t="s">
        <v>138</v>
      </c>
      <c r="C1551" t="s">
        <v>139</v>
      </c>
      <c r="D1551" t="s">
        <v>58</v>
      </c>
      <c r="E1551" t="s">
        <v>74</v>
      </c>
      <c r="F1551" t="s">
        <v>34</v>
      </c>
      <c r="G1551" t="s">
        <v>9</v>
      </c>
      <c r="H1551" t="s">
        <v>51</v>
      </c>
      <c r="I1551" t="s">
        <v>28</v>
      </c>
      <c r="J1551" t="s">
        <v>62</v>
      </c>
      <c r="K1551">
        <v>7106</v>
      </c>
      <c r="L1551">
        <v>181</v>
      </c>
      <c r="M1551">
        <v>216.77</v>
      </c>
      <c r="N1551">
        <v>3</v>
      </c>
      <c r="O1551">
        <v>328.87</v>
      </c>
      <c r="P1551">
        <f t="shared" si="96"/>
        <v>2.5471432592175627E-2</v>
      </c>
      <c r="Q1551">
        <f t="shared" si="96"/>
        <v>1.1976243093922652</v>
      </c>
      <c r="R1551">
        <f t="shared" si="97"/>
        <v>72.256666666666675</v>
      </c>
      <c r="S1551">
        <f t="shared" si="98"/>
        <v>1.517137980347834</v>
      </c>
      <c r="T1551">
        <f t="shared" si="99"/>
        <v>1.6574585635359115E-2</v>
      </c>
      <c r="U1551" t="str">
        <f>YEAR('Campaign Data'!$A1551)&amp;"-"&amp;TEXT(MONTH('Campaign Data'!$A1551),"00")</f>
        <v>2026-03</v>
      </c>
    </row>
    <row r="1552" spans="1:21" x14ac:dyDescent="0.25">
      <c r="A1552">
        <v>46107</v>
      </c>
      <c r="B1552" t="s">
        <v>91</v>
      </c>
      <c r="C1552" t="s">
        <v>92</v>
      </c>
      <c r="D1552" t="s">
        <v>41</v>
      </c>
      <c r="E1552" t="s">
        <v>74</v>
      </c>
      <c r="F1552" t="s">
        <v>75</v>
      </c>
      <c r="G1552" t="s">
        <v>9</v>
      </c>
      <c r="H1552" t="s">
        <v>60</v>
      </c>
      <c r="I1552" t="s">
        <v>61</v>
      </c>
      <c r="J1552" t="s">
        <v>45</v>
      </c>
      <c r="K1552">
        <v>3908</v>
      </c>
      <c r="L1552">
        <v>143</v>
      </c>
      <c r="M1552">
        <v>198.8</v>
      </c>
      <c r="N1552">
        <v>8</v>
      </c>
      <c r="O1552">
        <v>258.19</v>
      </c>
      <c r="P1552">
        <f t="shared" si="96"/>
        <v>3.6591606960081881E-2</v>
      </c>
      <c r="Q1552">
        <f t="shared" si="96"/>
        <v>1.3902097902097903</v>
      </c>
      <c r="R1552">
        <f t="shared" si="97"/>
        <v>24.85</v>
      </c>
      <c r="S1552">
        <f t="shared" si="98"/>
        <v>1.2987424547283701</v>
      </c>
      <c r="T1552">
        <f t="shared" si="99"/>
        <v>5.5944055944055944E-2</v>
      </c>
      <c r="U1552" t="str">
        <f>YEAR('Campaign Data'!$A1552)&amp;"-"&amp;TEXT(MONTH('Campaign Data'!$A1552),"00")</f>
        <v>2026-03</v>
      </c>
    </row>
    <row r="1553" spans="1:21" x14ac:dyDescent="0.25">
      <c r="A1553">
        <v>46107</v>
      </c>
      <c r="B1553" t="s">
        <v>95</v>
      </c>
      <c r="C1553" t="s">
        <v>96</v>
      </c>
      <c r="D1553" t="s">
        <v>23</v>
      </c>
      <c r="E1553" t="s">
        <v>49</v>
      </c>
      <c r="F1553" t="s">
        <v>43</v>
      </c>
      <c r="G1553" t="s">
        <v>97</v>
      </c>
      <c r="H1553" t="s">
        <v>90</v>
      </c>
      <c r="I1553" t="s">
        <v>28</v>
      </c>
      <c r="J1553" t="s">
        <v>29</v>
      </c>
      <c r="K1553">
        <v>10643</v>
      </c>
      <c r="L1553">
        <v>610</v>
      </c>
      <c r="M1553">
        <v>269.83999999999997</v>
      </c>
      <c r="N1553">
        <v>41</v>
      </c>
      <c r="O1553">
        <v>302.33</v>
      </c>
      <c r="P1553">
        <f t="shared" si="96"/>
        <v>5.731466691722259E-2</v>
      </c>
      <c r="Q1553">
        <f t="shared" si="96"/>
        <v>0.44236065573770489</v>
      </c>
      <c r="R1553">
        <f t="shared" si="97"/>
        <v>6.581463414634146</v>
      </c>
      <c r="S1553">
        <f t="shared" si="98"/>
        <v>1.1204046842573376</v>
      </c>
      <c r="T1553">
        <f t="shared" si="99"/>
        <v>6.7213114754098358E-2</v>
      </c>
      <c r="U1553" t="str">
        <f>YEAR('Campaign Data'!$A1553)&amp;"-"&amp;TEXT(MONTH('Campaign Data'!$A1553),"00")</f>
        <v>2026-03</v>
      </c>
    </row>
    <row r="1554" spans="1:21" x14ac:dyDescent="0.25">
      <c r="A1554">
        <v>46107</v>
      </c>
      <c r="B1554" t="s">
        <v>100</v>
      </c>
      <c r="C1554" t="s">
        <v>101</v>
      </c>
      <c r="D1554" t="s">
        <v>80</v>
      </c>
      <c r="E1554" t="s">
        <v>33</v>
      </c>
      <c r="F1554" t="s">
        <v>25</v>
      </c>
      <c r="G1554" t="s">
        <v>102</v>
      </c>
      <c r="H1554" t="s">
        <v>90</v>
      </c>
      <c r="I1554" t="s">
        <v>37</v>
      </c>
      <c r="J1554" t="s">
        <v>45</v>
      </c>
      <c r="K1554">
        <v>35017</v>
      </c>
      <c r="L1554">
        <v>478</v>
      </c>
      <c r="M1554">
        <v>80.45</v>
      </c>
      <c r="N1554">
        <v>6</v>
      </c>
      <c r="O1554">
        <v>290.32</v>
      </c>
      <c r="P1554">
        <f t="shared" si="96"/>
        <v>1.365051260816175E-2</v>
      </c>
      <c r="Q1554">
        <f t="shared" si="96"/>
        <v>0.16830543933054393</v>
      </c>
      <c r="R1554">
        <f t="shared" si="97"/>
        <v>13.408333333333333</v>
      </c>
      <c r="S1554">
        <f t="shared" si="98"/>
        <v>3.6087010565568676</v>
      </c>
      <c r="T1554">
        <f t="shared" si="99"/>
        <v>1.2552301255230125E-2</v>
      </c>
      <c r="U1554" t="str">
        <f>YEAR('Campaign Data'!$A1554)&amp;"-"&amp;TEXT(MONTH('Campaign Data'!$A1554),"00")</f>
        <v>2026-03</v>
      </c>
    </row>
    <row r="1555" spans="1:21" x14ac:dyDescent="0.25">
      <c r="A1555">
        <v>46107</v>
      </c>
      <c r="B1555" t="s">
        <v>100</v>
      </c>
      <c r="C1555" t="s">
        <v>101</v>
      </c>
      <c r="D1555" t="s">
        <v>80</v>
      </c>
      <c r="E1555" t="s">
        <v>33</v>
      </c>
      <c r="F1555" t="s">
        <v>25</v>
      </c>
      <c r="G1555" t="s">
        <v>102</v>
      </c>
      <c r="H1555" t="s">
        <v>27</v>
      </c>
      <c r="I1555" t="s">
        <v>37</v>
      </c>
      <c r="J1555" t="s">
        <v>87</v>
      </c>
      <c r="K1555">
        <v>8605</v>
      </c>
      <c r="L1555">
        <v>57</v>
      </c>
      <c r="M1555">
        <v>39.08</v>
      </c>
      <c r="N1555">
        <v>2</v>
      </c>
      <c r="O1555">
        <v>541.87</v>
      </c>
      <c r="P1555">
        <f t="shared" si="96"/>
        <v>6.6240557815223705E-3</v>
      </c>
      <c r="Q1555">
        <f t="shared" si="96"/>
        <v>0.68561403508771923</v>
      </c>
      <c r="R1555">
        <f t="shared" si="97"/>
        <v>19.54</v>
      </c>
      <c r="S1555">
        <f t="shared" si="98"/>
        <v>13.865660184237463</v>
      </c>
      <c r="T1555">
        <f t="shared" si="99"/>
        <v>3.5087719298245612E-2</v>
      </c>
      <c r="U1555" t="str">
        <f>YEAR('Campaign Data'!$A1555)&amp;"-"&amp;TEXT(MONTH('Campaign Data'!$A1555),"00")</f>
        <v>2026-03</v>
      </c>
    </row>
    <row r="1556" spans="1:21" x14ac:dyDescent="0.25">
      <c r="A1556">
        <v>46107</v>
      </c>
      <c r="B1556" t="s">
        <v>108</v>
      </c>
      <c r="C1556" t="s">
        <v>109</v>
      </c>
      <c r="D1556" t="s">
        <v>58</v>
      </c>
      <c r="E1556" t="s">
        <v>33</v>
      </c>
      <c r="F1556" t="s">
        <v>43</v>
      </c>
      <c r="G1556" t="s">
        <v>59</v>
      </c>
      <c r="H1556" t="s">
        <v>60</v>
      </c>
      <c r="I1556" t="s">
        <v>37</v>
      </c>
      <c r="J1556" t="s">
        <v>29</v>
      </c>
      <c r="K1556">
        <v>19353</v>
      </c>
      <c r="L1556">
        <v>152</v>
      </c>
      <c r="M1556">
        <v>99.14</v>
      </c>
      <c r="N1556">
        <v>1</v>
      </c>
      <c r="O1556">
        <v>32.75</v>
      </c>
      <c r="P1556">
        <f t="shared" si="96"/>
        <v>7.8540794708830668E-3</v>
      </c>
      <c r="Q1556">
        <f t="shared" si="96"/>
        <v>0.65223684210526311</v>
      </c>
      <c r="R1556">
        <f t="shared" si="97"/>
        <v>99.14</v>
      </c>
      <c r="S1556">
        <f t="shared" si="98"/>
        <v>0.33034093201533188</v>
      </c>
      <c r="T1556">
        <f t="shared" si="99"/>
        <v>6.5789473684210523E-3</v>
      </c>
      <c r="U1556" t="str">
        <f>YEAR('Campaign Data'!$A1556)&amp;"-"&amp;TEXT(MONTH('Campaign Data'!$A1556),"00")</f>
        <v>2026-03</v>
      </c>
    </row>
    <row r="1557" spans="1:21" x14ac:dyDescent="0.25">
      <c r="A1557">
        <v>46107</v>
      </c>
      <c r="B1557" t="s">
        <v>130</v>
      </c>
      <c r="C1557" t="s">
        <v>131</v>
      </c>
      <c r="D1557" t="s">
        <v>48</v>
      </c>
      <c r="E1557" t="s">
        <v>33</v>
      </c>
      <c r="F1557" t="s">
        <v>34</v>
      </c>
      <c r="G1557" t="s">
        <v>35</v>
      </c>
      <c r="H1557" t="s">
        <v>60</v>
      </c>
      <c r="I1557" t="s">
        <v>37</v>
      </c>
      <c r="J1557" t="s">
        <v>45</v>
      </c>
      <c r="K1557">
        <v>8756</v>
      </c>
      <c r="L1557">
        <v>72</v>
      </c>
      <c r="M1557">
        <v>52.05</v>
      </c>
      <c r="N1557">
        <v>1</v>
      </c>
      <c r="O1557">
        <v>205.5</v>
      </c>
      <c r="P1557">
        <f t="shared" si="96"/>
        <v>8.2229328460484245E-3</v>
      </c>
      <c r="Q1557">
        <f t="shared" si="96"/>
        <v>0.72291666666666665</v>
      </c>
      <c r="R1557">
        <f t="shared" si="97"/>
        <v>52.05</v>
      </c>
      <c r="S1557">
        <f t="shared" si="98"/>
        <v>3.9481268011527382</v>
      </c>
      <c r="T1557">
        <f t="shared" si="99"/>
        <v>1.3888888888888888E-2</v>
      </c>
      <c r="U1557" t="str">
        <f>YEAR('Campaign Data'!$A1557)&amp;"-"&amp;TEXT(MONTH('Campaign Data'!$A1557),"00")</f>
        <v>2026-03</v>
      </c>
    </row>
    <row r="1558" spans="1:21" x14ac:dyDescent="0.25">
      <c r="A1558">
        <v>46107</v>
      </c>
      <c r="B1558" t="s">
        <v>132</v>
      </c>
      <c r="C1558" t="s">
        <v>133</v>
      </c>
      <c r="D1558" t="s">
        <v>23</v>
      </c>
      <c r="E1558" t="s">
        <v>42</v>
      </c>
      <c r="F1558" t="s">
        <v>75</v>
      </c>
      <c r="G1558" t="s">
        <v>84</v>
      </c>
      <c r="H1558" t="s">
        <v>27</v>
      </c>
      <c r="I1558" t="s">
        <v>28</v>
      </c>
      <c r="J1558" t="s">
        <v>45</v>
      </c>
      <c r="K1558">
        <v>4424</v>
      </c>
      <c r="L1558">
        <v>16</v>
      </c>
      <c r="M1558">
        <v>123</v>
      </c>
      <c r="N1558">
        <v>2</v>
      </c>
      <c r="O1558">
        <v>58.36</v>
      </c>
      <c r="P1558">
        <f t="shared" si="96"/>
        <v>3.616636528028933E-3</v>
      </c>
      <c r="Q1558">
        <f t="shared" si="96"/>
        <v>7.6875</v>
      </c>
      <c r="R1558">
        <f t="shared" si="97"/>
        <v>61.5</v>
      </c>
      <c r="S1558">
        <f t="shared" si="98"/>
        <v>0.47447154471544717</v>
      </c>
      <c r="T1558">
        <f t="shared" si="99"/>
        <v>0.125</v>
      </c>
      <c r="U1558" t="str">
        <f>YEAR('Campaign Data'!$A1558)&amp;"-"&amp;TEXT(MONTH('Campaign Data'!$A1558),"00")</f>
        <v>2026-03</v>
      </c>
    </row>
    <row r="1559" spans="1:21" x14ac:dyDescent="0.25">
      <c r="A1559">
        <v>46107</v>
      </c>
      <c r="B1559" t="s">
        <v>110</v>
      </c>
      <c r="C1559" t="s">
        <v>111</v>
      </c>
      <c r="D1559" t="s">
        <v>23</v>
      </c>
      <c r="E1559" t="s">
        <v>49</v>
      </c>
      <c r="F1559" t="s">
        <v>34</v>
      </c>
      <c r="G1559" t="s">
        <v>50</v>
      </c>
      <c r="H1559" t="s">
        <v>90</v>
      </c>
      <c r="I1559" t="s">
        <v>28</v>
      </c>
      <c r="J1559" t="s">
        <v>45</v>
      </c>
      <c r="K1559">
        <v>4844</v>
      </c>
      <c r="L1559">
        <v>204</v>
      </c>
      <c r="M1559">
        <v>101.31</v>
      </c>
      <c r="N1559">
        <v>9</v>
      </c>
      <c r="O1559">
        <v>364.79</v>
      </c>
      <c r="P1559">
        <f t="shared" si="96"/>
        <v>4.2113955408753095E-2</v>
      </c>
      <c r="Q1559">
        <f t="shared" si="96"/>
        <v>0.49661764705882355</v>
      </c>
      <c r="R1559">
        <f t="shared" si="97"/>
        <v>11.256666666666668</v>
      </c>
      <c r="S1559">
        <f t="shared" si="98"/>
        <v>3.6007304313493238</v>
      </c>
      <c r="T1559">
        <f t="shared" si="99"/>
        <v>4.4117647058823532E-2</v>
      </c>
      <c r="U1559" t="str">
        <f>YEAR('Campaign Data'!$A1559)&amp;"-"&amp;TEXT(MONTH('Campaign Data'!$A1559),"00")</f>
        <v>2026-03</v>
      </c>
    </row>
    <row r="1560" spans="1:21" x14ac:dyDescent="0.25">
      <c r="A1560">
        <v>46107</v>
      </c>
      <c r="B1560" t="s">
        <v>181</v>
      </c>
      <c r="C1560" t="s">
        <v>182</v>
      </c>
      <c r="D1560" t="s">
        <v>32</v>
      </c>
      <c r="E1560" t="s">
        <v>33</v>
      </c>
      <c r="F1560" t="s">
        <v>75</v>
      </c>
      <c r="G1560" t="s">
        <v>59</v>
      </c>
      <c r="H1560" t="s">
        <v>36</v>
      </c>
      <c r="I1560" t="s">
        <v>28</v>
      </c>
      <c r="J1560" t="s">
        <v>87</v>
      </c>
      <c r="K1560">
        <v>4373</v>
      </c>
      <c r="L1560">
        <v>34</v>
      </c>
      <c r="M1560">
        <v>18.59</v>
      </c>
      <c r="N1560">
        <v>1</v>
      </c>
      <c r="O1560">
        <v>36.409999999999997</v>
      </c>
      <c r="P1560">
        <f t="shared" si="96"/>
        <v>7.7749828493025386E-3</v>
      </c>
      <c r="Q1560">
        <f t="shared" si="96"/>
        <v>0.54676470588235293</v>
      </c>
      <c r="R1560">
        <f t="shared" si="97"/>
        <v>18.59</v>
      </c>
      <c r="S1560">
        <f t="shared" si="98"/>
        <v>1.9585798816568045</v>
      </c>
      <c r="T1560">
        <f t="shared" si="99"/>
        <v>2.9411764705882353E-2</v>
      </c>
      <c r="U1560" t="str">
        <f>YEAR('Campaign Data'!$A1560)&amp;"-"&amp;TEXT(MONTH('Campaign Data'!$A1560),"00")</f>
        <v>2026-03</v>
      </c>
    </row>
    <row r="1561" spans="1:21" x14ac:dyDescent="0.25">
      <c r="A1561">
        <v>46107</v>
      </c>
      <c r="B1561" t="s">
        <v>118</v>
      </c>
      <c r="C1561" t="s">
        <v>119</v>
      </c>
      <c r="D1561" t="s">
        <v>69</v>
      </c>
      <c r="E1561" t="s">
        <v>33</v>
      </c>
      <c r="F1561" t="s">
        <v>34</v>
      </c>
      <c r="G1561" t="s">
        <v>35</v>
      </c>
      <c r="H1561" t="s">
        <v>90</v>
      </c>
      <c r="I1561" t="s">
        <v>37</v>
      </c>
      <c r="J1561" t="s">
        <v>38</v>
      </c>
      <c r="K1561">
        <v>3447</v>
      </c>
      <c r="L1561">
        <v>46</v>
      </c>
      <c r="M1561">
        <v>7.26</v>
      </c>
      <c r="N1561">
        <v>0</v>
      </c>
      <c r="O1561">
        <v>0</v>
      </c>
      <c r="P1561">
        <f t="shared" si="96"/>
        <v>1.3344937626921962E-2</v>
      </c>
      <c r="Q1561">
        <f t="shared" si="96"/>
        <v>0.15782608695652173</v>
      </c>
      <c r="R1561">
        <f t="shared" si="97"/>
        <v>0</v>
      </c>
      <c r="S1561">
        <f t="shared" si="98"/>
        <v>0</v>
      </c>
      <c r="T1561">
        <f t="shared" si="99"/>
        <v>0</v>
      </c>
      <c r="U1561" t="str">
        <f>YEAR('Campaign Data'!$A1561)&amp;"-"&amp;TEXT(MONTH('Campaign Data'!$A1561),"00")</f>
        <v>2026-03</v>
      </c>
    </row>
    <row r="1562" spans="1:21" x14ac:dyDescent="0.25">
      <c r="A1562">
        <v>46107</v>
      </c>
      <c r="B1562" t="s">
        <v>78</v>
      </c>
      <c r="C1562" t="s">
        <v>79</v>
      </c>
      <c r="D1562" t="s">
        <v>80</v>
      </c>
      <c r="E1562" t="s">
        <v>24</v>
      </c>
      <c r="F1562" t="s">
        <v>81</v>
      </c>
      <c r="G1562" t="s">
        <v>66</v>
      </c>
      <c r="H1562" t="s">
        <v>36</v>
      </c>
      <c r="I1562" t="s">
        <v>37</v>
      </c>
      <c r="J1562" t="s">
        <v>38</v>
      </c>
      <c r="K1562">
        <v>9507</v>
      </c>
      <c r="L1562">
        <v>92</v>
      </c>
      <c r="M1562">
        <v>89.92</v>
      </c>
      <c r="N1562">
        <v>3</v>
      </c>
      <c r="O1562">
        <v>63.35</v>
      </c>
      <c r="P1562">
        <f t="shared" si="96"/>
        <v>9.6770800462816879E-3</v>
      </c>
      <c r="Q1562">
        <f t="shared" si="96"/>
        <v>0.97739130434782606</v>
      </c>
      <c r="R1562">
        <f t="shared" si="97"/>
        <v>29.973333333333333</v>
      </c>
      <c r="S1562">
        <f t="shared" si="98"/>
        <v>0.70451512455516019</v>
      </c>
      <c r="T1562">
        <f t="shared" si="99"/>
        <v>3.2608695652173912E-2</v>
      </c>
      <c r="U1562" t="str">
        <f>YEAR('Campaign Data'!$A1562)&amp;"-"&amp;TEXT(MONTH('Campaign Data'!$A1562),"00")</f>
        <v>2026-03</v>
      </c>
    </row>
    <row r="1563" spans="1:21" x14ac:dyDescent="0.25">
      <c r="A1563">
        <v>46108</v>
      </c>
      <c r="B1563" t="s">
        <v>138</v>
      </c>
      <c r="C1563" t="s">
        <v>139</v>
      </c>
      <c r="D1563" t="s">
        <v>58</v>
      </c>
      <c r="E1563" t="s">
        <v>74</v>
      </c>
      <c r="F1563" t="s">
        <v>34</v>
      </c>
      <c r="G1563" t="s">
        <v>9</v>
      </c>
      <c r="H1563" t="s">
        <v>51</v>
      </c>
      <c r="I1563" t="s">
        <v>28</v>
      </c>
      <c r="J1563" t="s">
        <v>87</v>
      </c>
      <c r="K1563">
        <v>7940</v>
      </c>
      <c r="L1563">
        <v>259</v>
      </c>
      <c r="M1563">
        <v>366.99</v>
      </c>
      <c r="N1563">
        <v>14</v>
      </c>
      <c r="O1563">
        <v>2367.23</v>
      </c>
      <c r="P1563">
        <f t="shared" si="96"/>
        <v>3.2619647355163726E-2</v>
      </c>
      <c r="Q1563">
        <f t="shared" si="96"/>
        <v>1.416949806949807</v>
      </c>
      <c r="R1563">
        <f t="shared" si="97"/>
        <v>26.213571428571431</v>
      </c>
      <c r="S1563">
        <f t="shared" si="98"/>
        <v>6.4503937436987382</v>
      </c>
      <c r="T1563">
        <f t="shared" si="99"/>
        <v>5.4054054054054057E-2</v>
      </c>
      <c r="U1563" t="str">
        <f>YEAR('Campaign Data'!$A1563)&amp;"-"&amp;TEXT(MONTH('Campaign Data'!$A1563),"00")</f>
        <v>2026-03</v>
      </c>
    </row>
    <row r="1564" spans="1:21" x14ac:dyDescent="0.25">
      <c r="A1564">
        <v>46108</v>
      </c>
      <c r="B1564" t="s">
        <v>30</v>
      </c>
      <c r="C1564" t="s">
        <v>31</v>
      </c>
      <c r="D1564" t="s">
        <v>32</v>
      </c>
      <c r="E1564" t="s">
        <v>33</v>
      </c>
      <c r="F1564" t="s">
        <v>34</v>
      </c>
      <c r="G1564" t="s">
        <v>35</v>
      </c>
      <c r="H1564" t="s">
        <v>90</v>
      </c>
      <c r="I1564" t="s">
        <v>61</v>
      </c>
      <c r="J1564" t="s">
        <v>62</v>
      </c>
      <c r="K1564">
        <v>13055</v>
      </c>
      <c r="L1564">
        <v>144</v>
      </c>
      <c r="M1564">
        <v>25.78</v>
      </c>
      <c r="N1564">
        <v>2</v>
      </c>
      <c r="O1564">
        <v>98.06</v>
      </c>
      <c r="P1564">
        <f t="shared" si="96"/>
        <v>1.1030256606664113E-2</v>
      </c>
      <c r="Q1564">
        <f t="shared" si="96"/>
        <v>0.17902777777777779</v>
      </c>
      <c r="R1564">
        <f t="shared" si="97"/>
        <v>12.89</v>
      </c>
      <c r="S1564">
        <f t="shared" si="98"/>
        <v>3.8037238169123349</v>
      </c>
      <c r="T1564">
        <f t="shared" si="99"/>
        <v>1.3888888888888888E-2</v>
      </c>
      <c r="U1564" t="str">
        <f>YEAR('Campaign Data'!$A1564)&amp;"-"&amp;TEXT(MONTH('Campaign Data'!$A1564),"00")</f>
        <v>2026-03</v>
      </c>
    </row>
    <row r="1565" spans="1:21" x14ac:dyDescent="0.25">
      <c r="A1565">
        <v>46108</v>
      </c>
      <c r="B1565" t="s">
        <v>39</v>
      </c>
      <c r="C1565" t="s">
        <v>40</v>
      </c>
      <c r="D1565" t="s">
        <v>41</v>
      </c>
      <c r="E1565" t="s">
        <v>42</v>
      </c>
      <c r="F1565" t="s">
        <v>43</v>
      </c>
      <c r="G1565" t="s">
        <v>44</v>
      </c>
      <c r="H1565" t="s">
        <v>55</v>
      </c>
      <c r="I1565" t="s">
        <v>37</v>
      </c>
      <c r="J1565" t="s">
        <v>29</v>
      </c>
      <c r="K1565">
        <v>3199</v>
      </c>
      <c r="L1565">
        <v>20</v>
      </c>
      <c r="M1565">
        <v>108.88</v>
      </c>
      <c r="N1565">
        <v>2</v>
      </c>
      <c r="O1565">
        <v>52.63</v>
      </c>
      <c r="P1565">
        <f t="shared" si="96"/>
        <v>6.2519537355423573E-3</v>
      </c>
      <c r="Q1565">
        <f t="shared" si="96"/>
        <v>5.444</v>
      </c>
      <c r="R1565">
        <f t="shared" si="97"/>
        <v>54.44</v>
      </c>
      <c r="S1565">
        <f t="shared" si="98"/>
        <v>0.48337619397501841</v>
      </c>
      <c r="T1565">
        <f t="shared" si="99"/>
        <v>0.1</v>
      </c>
      <c r="U1565" t="str">
        <f>YEAR('Campaign Data'!$A1565)&amp;"-"&amp;TEXT(MONTH('Campaign Data'!$A1565),"00")</f>
        <v>2026-03</v>
      </c>
    </row>
    <row r="1566" spans="1:21" x14ac:dyDescent="0.25">
      <c r="A1566">
        <v>46108</v>
      </c>
      <c r="B1566" t="s">
        <v>171</v>
      </c>
      <c r="C1566" t="s">
        <v>172</v>
      </c>
      <c r="D1566" t="s">
        <v>23</v>
      </c>
      <c r="E1566" t="s">
        <v>33</v>
      </c>
      <c r="F1566" t="s">
        <v>75</v>
      </c>
      <c r="G1566" t="s">
        <v>59</v>
      </c>
      <c r="H1566" t="s">
        <v>71</v>
      </c>
      <c r="I1566" t="s">
        <v>37</v>
      </c>
      <c r="J1566" t="s">
        <v>87</v>
      </c>
      <c r="K1566">
        <v>6497</v>
      </c>
      <c r="L1566">
        <v>83</v>
      </c>
      <c r="M1566">
        <v>40.93</v>
      </c>
      <c r="N1566">
        <v>3</v>
      </c>
      <c r="O1566">
        <v>95.83</v>
      </c>
      <c r="P1566">
        <f t="shared" si="96"/>
        <v>1.2775126981683853E-2</v>
      </c>
      <c r="Q1566">
        <f t="shared" si="96"/>
        <v>0.49313253012048192</v>
      </c>
      <c r="R1566">
        <f t="shared" si="97"/>
        <v>13.643333333333333</v>
      </c>
      <c r="S1566">
        <f t="shared" si="98"/>
        <v>2.3413144392865868</v>
      </c>
      <c r="T1566">
        <f t="shared" si="99"/>
        <v>3.614457831325301E-2</v>
      </c>
      <c r="U1566" t="str">
        <f>YEAR('Campaign Data'!$A1566)&amp;"-"&amp;TEXT(MONTH('Campaign Data'!$A1566),"00")</f>
        <v>2026-03</v>
      </c>
    </row>
    <row r="1567" spans="1:21" x14ac:dyDescent="0.25">
      <c r="A1567">
        <v>46108</v>
      </c>
      <c r="B1567" t="s">
        <v>134</v>
      </c>
      <c r="C1567" t="s">
        <v>135</v>
      </c>
      <c r="D1567" t="s">
        <v>32</v>
      </c>
      <c r="E1567" t="s">
        <v>74</v>
      </c>
      <c r="F1567" t="s">
        <v>25</v>
      </c>
      <c r="G1567" t="s">
        <v>107</v>
      </c>
      <c r="H1567" t="s">
        <v>36</v>
      </c>
      <c r="I1567" t="s">
        <v>28</v>
      </c>
      <c r="J1567" t="s">
        <v>29</v>
      </c>
      <c r="K1567">
        <v>13336</v>
      </c>
      <c r="L1567">
        <v>416</v>
      </c>
      <c r="M1567">
        <v>344.22</v>
      </c>
      <c r="N1567">
        <v>8</v>
      </c>
      <c r="O1567">
        <v>1249.32</v>
      </c>
      <c r="P1567">
        <f t="shared" si="96"/>
        <v>3.1193761247750449E-2</v>
      </c>
      <c r="Q1567">
        <f t="shared" si="96"/>
        <v>0.82745192307692317</v>
      </c>
      <c r="R1567">
        <f t="shared" si="97"/>
        <v>43.027500000000003</v>
      </c>
      <c r="S1567">
        <f t="shared" si="98"/>
        <v>3.6294230434024746</v>
      </c>
      <c r="T1567">
        <f t="shared" si="99"/>
        <v>1.9230769230769232E-2</v>
      </c>
      <c r="U1567" t="str">
        <f>YEAR('Campaign Data'!$A1567)&amp;"-"&amp;TEXT(MONTH('Campaign Data'!$A1567),"00")</f>
        <v>2026-03</v>
      </c>
    </row>
    <row r="1568" spans="1:21" x14ac:dyDescent="0.25">
      <c r="A1568">
        <v>46108</v>
      </c>
      <c r="B1568" t="s">
        <v>114</v>
      </c>
      <c r="C1568" t="s">
        <v>115</v>
      </c>
      <c r="D1568" t="s">
        <v>69</v>
      </c>
      <c r="E1568" t="s">
        <v>49</v>
      </c>
      <c r="F1568" t="s">
        <v>25</v>
      </c>
      <c r="G1568" t="s">
        <v>107</v>
      </c>
      <c r="H1568" t="s">
        <v>51</v>
      </c>
      <c r="I1568" t="s">
        <v>37</v>
      </c>
      <c r="J1568" t="s">
        <v>45</v>
      </c>
      <c r="K1568">
        <v>7391</v>
      </c>
      <c r="L1568">
        <v>467</v>
      </c>
      <c r="M1568">
        <v>604.71</v>
      </c>
      <c r="N1568">
        <v>16</v>
      </c>
      <c r="O1568">
        <v>3428.58</v>
      </c>
      <c r="P1568">
        <f t="shared" si="96"/>
        <v>6.3184954674604249E-2</v>
      </c>
      <c r="Q1568">
        <f t="shared" si="96"/>
        <v>1.2948822269807281</v>
      </c>
      <c r="R1568">
        <f t="shared" si="97"/>
        <v>37.794375000000002</v>
      </c>
      <c r="S1568">
        <f t="shared" si="98"/>
        <v>5.6697921317656395</v>
      </c>
      <c r="T1568">
        <f t="shared" si="99"/>
        <v>3.4261241970021415E-2</v>
      </c>
      <c r="U1568" t="str">
        <f>YEAR('Campaign Data'!$A1568)&amp;"-"&amp;TEXT(MONTH('Campaign Data'!$A1568),"00")</f>
        <v>2026-03</v>
      </c>
    </row>
    <row r="1569" spans="1:21" x14ac:dyDescent="0.25">
      <c r="A1569">
        <v>46108</v>
      </c>
      <c r="B1569" t="s">
        <v>56</v>
      </c>
      <c r="C1569" t="s">
        <v>57</v>
      </c>
      <c r="D1569" t="s">
        <v>58</v>
      </c>
      <c r="E1569" t="s">
        <v>33</v>
      </c>
      <c r="F1569" t="s">
        <v>43</v>
      </c>
      <c r="G1569" t="s">
        <v>59</v>
      </c>
      <c r="H1569" t="s">
        <v>51</v>
      </c>
      <c r="I1569" t="s">
        <v>28</v>
      </c>
      <c r="J1569" t="s">
        <v>87</v>
      </c>
      <c r="K1569">
        <v>11695</v>
      </c>
      <c r="L1569">
        <v>59</v>
      </c>
      <c r="M1569">
        <v>31.44</v>
      </c>
      <c r="N1569">
        <v>0</v>
      </c>
      <c r="O1569">
        <v>0</v>
      </c>
      <c r="P1569">
        <f t="shared" si="96"/>
        <v>5.0448909790508766E-3</v>
      </c>
      <c r="Q1569">
        <f t="shared" si="96"/>
        <v>0.53288135593220343</v>
      </c>
      <c r="R1569">
        <f t="shared" si="97"/>
        <v>0</v>
      </c>
      <c r="S1569">
        <f t="shared" si="98"/>
        <v>0</v>
      </c>
      <c r="T1569">
        <f t="shared" si="99"/>
        <v>0</v>
      </c>
      <c r="U1569" t="str">
        <f>YEAR('Campaign Data'!$A1569)&amp;"-"&amp;TEXT(MONTH('Campaign Data'!$A1569),"00")</f>
        <v>2026-03</v>
      </c>
    </row>
    <row r="1570" spans="1:21" x14ac:dyDescent="0.25">
      <c r="A1570">
        <v>46108</v>
      </c>
      <c r="B1570" t="s">
        <v>118</v>
      </c>
      <c r="C1570" t="s">
        <v>119</v>
      </c>
      <c r="D1570" t="s">
        <v>69</v>
      </c>
      <c r="E1570" t="s">
        <v>33</v>
      </c>
      <c r="F1570" t="s">
        <v>34</v>
      </c>
      <c r="G1570" t="s">
        <v>35</v>
      </c>
      <c r="H1570" t="s">
        <v>27</v>
      </c>
      <c r="I1570" t="s">
        <v>37</v>
      </c>
      <c r="J1570" t="s">
        <v>87</v>
      </c>
      <c r="K1570">
        <v>17964</v>
      </c>
      <c r="L1570">
        <v>116</v>
      </c>
      <c r="M1570">
        <v>59.52</v>
      </c>
      <c r="N1570">
        <v>2</v>
      </c>
      <c r="O1570">
        <v>298.93</v>
      </c>
      <c r="P1570">
        <f t="shared" si="96"/>
        <v>6.4573591627699843E-3</v>
      </c>
      <c r="Q1570">
        <f t="shared" si="96"/>
        <v>0.51310344827586207</v>
      </c>
      <c r="R1570">
        <f t="shared" si="97"/>
        <v>29.76</v>
      </c>
      <c r="S1570">
        <f t="shared" si="98"/>
        <v>5.022345430107527</v>
      </c>
      <c r="T1570">
        <f t="shared" si="99"/>
        <v>1.7241379310344827E-2</v>
      </c>
      <c r="U1570" t="str">
        <f>YEAR('Campaign Data'!$A1570)&amp;"-"&amp;TEXT(MONTH('Campaign Data'!$A1570),"00")</f>
        <v>2026-03</v>
      </c>
    </row>
    <row r="1571" spans="1:21" x14ac:dyDescent="0.25">
      <c r="A1571">
        <v>46108</v>
      </c>
      <c r="B1571" t="s">
        <v>118</v>
      </c>
      <c r="C1571" t="s">
        <v>119</v>
      </c>
      <c r="D1571" t="s">
        <v>69</v>
      </c>
      <c r="E1571" t="s">
        <v>33</v>
      </c>
      <c r="F1571" t="s">
        <v>34</v>
      </c>
      <c r="G1571" t="s">
        <v>35</v>
      </c>
      <c r="H1571" t="s">
        <v>51</v>
      </c>
      <c r="I1571" t="s">
        <v>37</v>
      </c>
      <c r="J1571" t="s">
        <v>45</v>
      </c>
      <c r="K1571">
        <v>11675</v>
      </c>
      <c r="L1571">
        <v>180</v>
      </c>
      <c r="M1571">
        <v>115.04</v>
      </c>
      <c r="N1571">
        <v>1</v>
      </c>
      <c r="O1571">
        <v>94.93</v>
      </c>
      <c r="P1571">
        <f t="shared" si="96"/>
        <v>1.5417558886509636E-2</v>
      </c>
      <c r="Q1571">
        <f t="shared" si="96"/>
        <v>0.63911111111111119</v>
      </c>
      <c r="R1571">
        <f t="shared" si="97"/>
        <v>115.04</v>
      </c>
      <c r="S1571">
        <f t="shared" si="98"/>
        <v>0.82519123783031989</v>
      </c>
      <c r="T1571">
        <f t="shared" si="99"/>
        <v>5.5555555555555558E-3</v>
      </c>
      <c r="U1571" t="str">
        <f>YEAR('Campaign Data'!$A1571)&amp;"-"&amp;TEXT(MONTH('Campaign Data'!$A1571),"00")</f>
        <v>2026-03</v>
      </c>
    </row>
    <row r="1572" spans="1:21" x14ac:dyDescent="0.25">
      <c r="A1572">
        <v>46109</v>
      </c>
      <c r="B1572" t="s">
        <v>147</v>
      </c>
      <c r="C1572" t="s">
        <v>148</v>
      </c>
      <c r="D1572" t="s">
        <v>23</v>
      </c>
      <c r="E1572" t="s">
        <v>42</v>
      </c>
      <c r="F1572" t="s">
        <v>75</v>
      </c>
      <c r="G1572" t="s">
        <v>44</v>
      </c>
      <c r="H1572" t="s">
        <v>90</v>
      </c>
      <c r="I1572" t="s">
        <v>61</v>
      </c>
      <c r="J1572" t="s">
        <v>38</v>
      </c>
      <c r="K1572">
        <v>13536</v>
      </c>
      <c r="L1572">
        <v>87</v>
      </c>
      <c r="M1572">
        <v>71.72</v>
      </c>
      <c r="N1572">
        <v>2</v>
      </c>
      <c r="O1572">
        <v>10</v>
      </c>
      <c r="P1572">
        <f t="shared" si="96"/>
        <v>6.4273049645390068E-3</v>
      </c>
      <c r="Q1572">
        <f t="shared" si="96"/>
        <v>0.82436781609195398</v>
      </c>
      <c r="R1572">
        <f t="shared" si="97"/>
        <v>35.86</v>
      </c>
      <c r="S1572">
        <f t="shared" si="98"/>
        <v>0.13943112102621305</v>
      </c>
      <c r="T1572">
        <f t="shared" si="99"/>
        <v>2.2988505747126436E-2</v>
      </c>
      <c r="U1572" t="str">
        <f>YEAR('Campaign Data'!$A1572)&amp;"-"&amp;TEXT(MONTH('Campaign Data'!$A1572),"00")</f>
        <v>2026-03</v>
      </c>
    </row>
    <row r="1573" spans="1:21" x14ac:dyDescent="0.25">
      <c r="A1573">
        <v>46109</v>
      </c>
      <c r="B1573" t="s">
        <v>125</v>
      </c>
      <c r="C1573" t="s">
        <v>126</v>
      </c>
      <c r="D1573" t="s">
        <v>41</v>
      </c>
      <c r="E1573" t="s">
        <v>42</v>
      </c>
      <c r="F1573" t="s">
        <v>81</v>
      </c>
      <c r="G1573" t="s">
        <v>44</v>
      </c>
      <c r="H1573" t="s">
        <v>60</v>
      </c>
      <c r="I1573" t="s">
        <v>37</v>
      </c>
      <c r="J1573" t="s">
        <v>62</v>
      </c>
      <c r="K1573">
        <v>9739</v>
      </c>
      <c r="L1573">
        <v>92</v>
      </c>
      <c r="M1573">
        <v>338.52</v>
      </c>
      <c r="N1573">
        <v>2</v>
      </c>
      <c r="O1573">
        <v>23.85</v>
      </c>
      <c r="P1573">
        <f t="shared" si="96"/>
        <v>9.4465550877913546E-3</v>
      </c>
      <c r="Q1573">
        <f t="shared" si="96"/>
        <v>3.6795652173913043</v>
      </c>
      <c r="R1573">
        <f t="shared" si="97"/>
        <v>169.26</v>
      </c>
      <c r="S1573">
        <f t="shared" si="98"/>
        <v>7.0453739808578525E-2</v>
      </c>
      <c r="T1573">
        <f t="shared" si="99"/>
        <v>2.1739130434782608E-2</v>
      </c>
      <c r="U1573" t="str">
        <f>YEAR('Campaign Data'!$A1573)&amp;"-"&amp;TEXT(MONTH('Campaign Data'!$A1573),"00")</f>
        <v>2026-03</v>
      </c>
    </row>
    <row r="1574" spans="1:21" x14ac:dyDescent="0.25">
      <c r="A1574">
        <v>46109</v>
      </c>
      <c r="B1574" t="s">
        <v>125</v>
      </c>
      <c r="C1574" t="s">
        <v>126</v>
      </c>
      <c r="D1574" t="s">
        <v>41</v>
      </c>
      <c r="E1574" t="s">
        <v>42</v>
      </c>
      <c r="F1574" t="s">
        <v>81</v>
      </c>
      <c r="G1574" t="s">
        <v>44</v>
      </c>
      <c r="H1574" t="s">
        <v>27</v>
      </c>
      <c r="I1574" t="s">
        <v>37</v>
      </c>
      <c r="J1574" t="s">
        <v>38</v>
      </c>
      <c r="K1574">
        <v>12346</v>
      </c>
      <c r="L1574">
        <v>40</v>
      </c>
      <c r="M1574">
        <v>281.17</v>
      </c>
      <c r="N1574">
        <v>3</v>
      </c>
      <c r="O1574">
        <v>108.57</v>
      </c>
      <c r="P1574">
        <f t="shared" si="96"/>
        <v>3.2399157621901833E-3</v>
      </c>
      <c r="Q1574">
        <f t="shared" si="96"/>
        <v>7.0292500000000002</v>
      </c>
      <c r="R1574">
        <f t="shared" si="97"/>
        <v>93.723333333333343</v>
      </c>
      <c r="S1574">
        <f t="shared" si="98"/>
        <v>0.38613650104918729</v>
      </c>
      <c r="T1574">
        <f t="shared" si="99"/>
        <v>7.4999999999999997E-2</v>
      </c>
      <c r="U1574" t="str">
        <f>YEAR('Campaign Data'!$A1574)&amp;"-"&amp;TEXT(MONTH('Campaign Data'!$A1574),"00")</f>
        <v>2026-03</v>
      </c>
    </row>
    <row r="1575" spans="1:21" x14ac:dyDescent="0.25">
      <c r="A1575">
        <v>46109</v>
      </c>
      <c r="B1575" t="s">
        <v>138</v>
      </c>
      <c r="C1575" t="s">
        <v>139</v>
      </c>
      <c r="D1575" t="s">
        <v>58</v>
      </c>
      <c r="E1575" t="s">
        <v>74</v>
      </c>
      <c r="F1575" t="s">
        <v>34</v>
      </c>
      <c r="G1575" t="s">
        <v>9</v>
      </c>
      <c r="H1575" t="s">
        <v>55</v>
      </c>
      <c r="I1575" t="s">
        <v>28</v>
      </c>
      <c r="J1575" t="s">
        <v>62</v>
      </c>
      <c r="K1575">
        <v>3079</v>
      </c>
      <c r="L1575">
        <v>105</v>
      </c>
      <c r="M1575">
        <v>142.96</v>
      </c>
      <c r="N1575">
        <v>11</v>
      </c>
      <c r="O1575">
        <v>1777.92</v>
      </c>
      <c r="P1575">
        <f t="shared" si="96"/>
        <v>3.4101981162715164E-2</v>
      </c>
      <c r="Q1575">
        <f t="shared" si="96"/>
        <v>1.3615238095238096</v>
      </c>
      <c r="R1575">
        <f t="shared" si="97"/>
        <v>12.996363636363638</v>
      </c>
      <c r="S1575">
        <f t="shared" si="98"/>
        <v>12.436485730274203</v>
      </c>
      <c r="T1575">
        <f t="shared" si="99"/>
        <v>0.10476190476190476</v>
      </c>
      <c r="U1575" t="str">
        <f>YEAR('Campaign Data'!$A1575)&amp;"-"&amp;TEXT(MONTH('Campaign Data'!$A1575),"00")</f>
        <v>2026-03</v>
      </c>
    </row>
    <row r="1576" spans="1:21" x14ac:dyDescent="0.25">
      <c r="A1576">
        <v>46109</v>
      </c>
      <c r="B1576" t="s">
        <v>93</v>
      </c>
      <c r="C1576" t="s">
        <v>94</v>
      </c>
      <c r="D1576" t="s">
        <v>69</v>
      </c>
      <c r="E1576" t="s">
        <v>42</v>
      </c>
      <c r="F1576" t="s">
        <v>75</v>
      </c>
      <c r="G1576" t="s">
        <v>44</v>
      </c>
      <c r="H1576" t="s">
        <v>71</v>
      </c>
      <c r="I1576" t="s">
        <v>37</v>
      </c>
      <c r="J1576" t="s">
        <v>38</v>
      </c>
      <c r="K1576">
        <v>7801</v>
      </c>
      <c r="L1576">
        <v>27</v>
      </c>
      <c r="M1576">
        <v>107.67</v>
      </c>
      <c r="N1576">
        <v>0</v>
      </c>
      <c r="O1576">
        <v>0</v>
      </c>
      <c r="P1576">
        <f t="shared" si="96"/>
        <v>3.4610947314446866E-3</v>
      </c>
      <c r="Q1576">
        <f t="shared" si="96"/>
        <v>3.9877777777777776</v>
      </c>
      <c r="R1576">
        <f t="shared" si="97"/>
        <v>0</v>
      </c>
      <c r="S1576">
        <f t="shared" si="98"/>
        <v>0</v>
      </c>
      <c r="T1576">
        <f t="shared" si="99"/>
        <v>0</v>
      </c>
      <c r="U1576" t="str">
        <f>YEAR('Campaign Data'!$A1576)&amp;"-"&amp;TEXT(MONTH('Campaign Data'!$A1576),"00")</f>
        <v>2026-03</v>
      </c>
    </row>
    <row r="1577" spans="1:21" x14ac:dyDescent="0.25">
      <c r="A1577">
        <v>46109</v>
      </c>
      <c r="B1577" t="s">
        <v>100</v>
      </c>
      <c r="C1577" t="s">
        <v>101</v>
      </c>
      <c r="D1577" t="s">
        <v>80</v>
      </c>
      <c r="E1577" t="s">
        <v>33</v>
      </c>
      <c r="F1577" t="s">
        <v>25</v>
      </c>
      <c r="G1577" t="s">
        <v>102</v>
      </c>
      <c r="H1577" t="s">
        <v>60</v>
      </c>
      <c r="I1577" t="s">
        <v>28</v>
      </c>
      <c r="J1577" t="s">
        <v>45</v>
      </c>
      <c r="K1577">
        <v>17980</v>
      </c>
      <c r="L1577">
        <v>200</v>
      </c>
      <c r="M1577">
        <v>139.18</v>
      </c>
      <c r="N1577">
        <v>2</v>
      </c>
      <c r="O1577">
        <v>452.26</v>
      </c>
      <c r="P1577">
        <f t="shared" si="96"/>
        <v>1.1123470522803115E-2</v>
      </c>
      <c r="Q1577">
        <f t="shared" si="96"/>
        <v>0.69590000000000007</v>
      </c>
      <c r="R1577">
        <f t="shared" si="97"/>
        <v>69.59</v>
      </c>
      <c r="S1577">
        <f t="shared" si="98"/>
        <v>3.2494611294726252</v>
      </c>
      <c r="T1577">
        <f t="shared" si="99"/>
        <v>0.01</v>
      </c>
      <c r="U1577" t="str">
        <f>YEAR('Campaign Data'!$A1577)&amp;"-"&amp;TEXT(MONTH('Campaign Data'!$A1577),"00")</f>
        <v>2026-03</v>
      </c>
    </row>
    <row r="1578" spans="1:21" x14ac:dyDescent="0.25">
      <c r="A1578">
        <v>46109</v>
      </c>
      <c r="B1578" t="s">
        <v>100</v>
      </c>
      <c r="C1578" t="s">
        <v>101</v>
      </c>
      <c r="D1578" t="s">
        <v>80</v>
      </c>
      <c r="E1578" t="s">
        <v>33</v>
      </c>
      <c r="F1578" t="s">
        <v>25</v>
      </c>
      <c r="G1578" t="s">
        <v>102</v>
      </c>
      <c r="H1578" t="s">
        <v>36</v>
      </c>
      <c r="I1578" t="s">
        <v>28</v>
      </c>
      <c r="J1578" t="s">
        <v>29</v>
      </c>
      <c r="K1578">
        <v>3459</v>
      </c>
      <c r="L1578">
        <v>32</v>
      </c>
      <c r="M1578">
        <v>17.420000000000002</v>
      </c>
      <c r="N1578">
        <v>0</v>
      </c>
      <c r="O1578">
        <v>0</v>
      </c>
      <c r="P1578">
        <f t="shared" si="96"/>
        <v>9.2512286788089051E-3</v>
      </c>
      <c r="Q1578">
        <f t="shared" si="96"/>
        <v>0.54437500000000005</v>
      </c>
      <c r="R1578">
        <f t="shared" si="97"/>
        <v>0</v>
      </c>
      <c r="S1578">
        <f t="shared" si="98"/>
        <v>0</v>
      </c>
      <c r="T1578">
        <f t="shared" si="99"/>
        <v>0</v>
      </c>
      <c r="U1578" t="str">
        <f>YEAR('Campaign Data'!$A1578)&amp;"-"&amp;TEXT(MONTH('Campaign Data'!$A1578),"00")</f>
        <v>2026-03</v>
      </c>
    </row>
    <row r="1579" spans="1:21" x14ac:dyDescent="0.25">
      <c r="A1579">
        <v>46109</v>
      </c>
      <c r="B1579" t="s">
        <v>127</v>
      </c>
      <c r="C1579" t="s">
        <v>128</v>
      </c>
      <c r="D1579" t="s">
        <v>58</v>
      </c>
      <c r="E1579" t="s">
        <v>24</v>
      </c>
      <c r="F1579" t="s">
        <v>81</v>
      </c>
      <c r="G1579" t="s">
        <v>129</v>
      </c>
      <c r="H1579" t="s">
        <v>90</v>
      </c>
      <c r="I1579" t="s">
        <v>37</v>
      </c>
      <c r="J1579" t="s">
        <v>62</v>
      </c>
      <c r="K1579">
        <v>5728</v>
      </c>
      <c r="L1579">
        <v>57</v>
      </c>
      <c r="M1579">
        <v>9.58</v>
      </c>
      <c r="N1579">
        <v>2</v>
      </c>
      <c r="O1579">
        <v>10</v>
      </c>
      <c r="P1579">
        <f t="shared" si="96"/>
        <v>9.9511173184357541E-3</v>
      </c>
      <c r="Q1579">
        <f t="shared" si="96"/>
        <v>0.16807017543859648</v>
      </c>
      <c r="R1579">
        <f t="shared" si="97"/>
        <v>4.79</v>
      </c>
      <c r="S1579">
        <f t="shared" si="98"/>
        <v>1.0438413361169103</v>
      </c>
      <c r="T1579">
        <f t="shared" si="99"/>
        <v>3.5087719298245612E-2</v>
      </c>
      <c r="U1579" t="str">
        <f>YEAR('Campaign Data'!$A1579)&amp;"-"&amp;TEXT(MONTH('Campaign Data'!$A1579),"00")</f>
        <v>2026-03</v>
      </c>
    </row>
    <row r="1580" spans="1:21" x14ac:dyDescent="0.25">
      <c r="A1580">
        <v>46109</v>
      </c>
      <c r="B1580" t="s">
        <v>105</v>
      </c>
      <c r="C1580" t="s">
        <v>106</v>
      </c>
      <c r="D1580" t="s">
        <v>58</v>
      </c>
      <c r="E1580" t="s">
        <v>49</v>
      </c>
      <c r="F1580" t="s">
        <v>81</v>
      </c>
      <c r="G1580" t="s">
        <v>107</v>
      </c>
      <c r="H1580" t="s">
        <v>55</v>
      </c>
      <c r="I1580" t="s">
        <v>37</v>
      </c>
      <c r="J1580" t="s">
        <v>29</v>
      </c>
      <c r="K1580">
        <v>1694</v>
      </c>
      <c r="L1580">
        <v>78</v>
      </c>
      <c r="M1580">
        <v>128.12</v>
      </c>
      <c r="N1580">
        <v>2</v>
      </c>
      <c r="O1580">
        <v>36.1</v>
      </c>
      <c r="P1580">
        <f t="shared" si="96"/>
        <v>4.6044864226682407E-2</v>
      </c>
      <c r="Q1580">
        <f t="shared" si="96"/>
        <v>1.6425641025641027</v>
      </c>
      <c r="R1580">
        <f t="shared" si="97"/>
        <v>64.06</v>
      </c>
      <c r="S1580">
        <f t="shared" si="98"/>
        <v>0.2817670933499844</v>
      </c>
      <c r="T1580">
        <f t="shared" si="99"/>
        <v>2.564102564102564E-2</v>
      </c>
      <c r="U1580" t="str">
        <f>YEAR('Campaign Data'!$A1580)&amp;"-"&amp;TEXT(MONTH('Campaign Data'!$A1580),"00")</f>
        <v>2026-03</v>
      </c>
    </row>
    <row r="1581" spans="1:21" x14ac:dyDescent="0.25">
      <c r="A1581">
        <v>46109</v>
      </c>
      <c r="B1581" t="s">
        <v>153</v>
      </c>
      <c r="C1581" t="s">
        <v>154</v>
      </c>
      <c r="D1581" t="s">
        <v>48</v>
      </c>
      <c r="E1581" t="s">
        <v>33</v>
      </c>
      <c r="F1581" t="s">
        <v>43</v>
      </c>
      <c r="G1581" t="s">
        <v>59</v>
      </c>
      <c r="H1581" t="s">
        <v>90</v>
      </c>
      <c r="I1581" t="s">
        <v>28</v>
      </c>
      <c r="J1581" t="s">
        <v>38</v>
      </c>
      <c r="K1581">
        <v>4550</v>
      </c>
      <c r="L1581">
        <v>29</v>
      </c>
      <c r="M1581">
        <v>5.86</v>
      </c>
      <c r="N1581">
        <v>1</v>
      </c>
      <c r="O1581">
        <v>6.23</v>
      </c>
      <c r="P1581">
        <f t="shared" si="96"/>
        <v>6.3736263736263741E-3</v>
      </c>
      <c r="Q1581">
        <f t="shared" si="96"/>
        <v>0.20206896551724138</v>
      </c>
      <c r="R1581">
        <f t="shared" si="97"/>
        <v>5.86</v>
      </c>
      <c r="S1581">
        <f t="shared" si="98"/>
        <v>1.0631399317406143</v>
      </c>
      <c r="T1581">
        <f t="shared" si="99"/>
        <v>3.4482758620689655E-2</v>
      </c>
      <c r="U1581" t="str">
        <f>YEAR('Campaign Data'!$A1581)&amp;"-"&amp;TEXT(MONTH('Campaign Data'!$A1581),"00")</f>
        <v>2026-03</v>
      </c>
    </row>
    <row r="1582" spans="1:21" x14ac:dyDescent="0.25">
      <c r="A1582">
        <v>46109</v>
      </c>
      <c r="B1582" t="s">
        <v>112</v>
      </c>
      <c r="C1582" t="s">
        <v>113</v>
      </c>
      <c r="D1582" t="s">
        <v>32</v>
      </c>
      <c r="E1582" t="s">
        <v>24</v>
      </c>
      <c r="F1582" t="s">
        <v>75</v>
      </c>
      <c r="G1582" t="s">
        <v>66</v>
      </c>
      <c r="H1582" t="s">
        <v>71</v>
      </c>
      <c r="I1582" t="s">
        <v>37</v>
      </c>
      <c r="J1582" t="s">
        <v>29</v>
      </c>
      <c r="K1582">
        <v>1959</v>
      </c>
      <c r="L1582">
        <v>32</v>
      </c>
      <c r="M1582">
        <v>29.84</v>
      </c>
      <c r="N1582">
        <v>0</v>
      </c>
      <c r="O1582">
        <v>0</v>
      </c>
      <c r="P1582">
        <f t="shared" si="96"/>
        <v>1.6334864726901481E-2</v>
      </c>
      <c r="Q1582">
        <f t="shared" si="96"/>
        <v>0.9325</v>
      </c>
      <c r="R1582">
        <f t="shared" si="97"/>
        <v>0</v>
      </c>
      <c r="S1582">
        <f t="shared" si="98"/>
        <v>0</v>
      </c>
      <c r="T1582">
        <f t="shared" si="99"/>
        <v>0</v>
      </c>
      <c r="U1582" t="str">
        <f>YEAR('Campaign Data'!$A1582)&amp;"-"&amp;TEXT(MONTH('Campaign Data'!$A1582),"00")</f>
        <v>2026-03</v>
      </c>
    </row>
    <row r="1583" spans="1:21" x14ac:dyDescent="0.25">
      <c r="A1583">
        <v>46109</v>
      </c>
      <c r="B1583" t="s">
        <v>56</v>
      </c>
      <c r="C1583" t="s">
        <v>57</v>
      </c>
      <c r="D1583" t="s">
        <v>58</v>
      </c>
      <c r="E1583" t="s">
        <v>33</v>
      </c>
      <c r="F1583" t="s">
        <v>43</v>
      </c>
      <c r="G1583" t="s">
        <v>59</v>
      </c>
      <c r="H1583" t="s">
        <v>27</v>
      </c>
      <c r="I1583" t="s">
        <v>37</v>
      </c>
      <c r="J1583" t="s">
        <v>29</v>
      </c>
      <c r="K1583">
        <v>7626</v>
      </c>
      <c r="L1583">
        <v>66</v>
      </c>
      <c r="M1583">
        <v>49.89</v>
      </c>
      <c r="N1583">
        <v>1</v>
      </c>
      <c r="O1583">
        <v>43.81</v>
      </c>
      <c r="P1583">
        <f t="shared" si="96"/>
        <v>8.6546026750590095E-3</v>
      </c>
      <c r="Q1583">
        <f t="shared" si="96"/>
        <v>0.75590909090909086</v>
      </c>
      <c r="R1583">
        <f t="shared" si="97"/>
        <v>49.89</v>
      </c>
      <c r="S1583">
        <f t="shared" si="98"/>
        <v>0.87813189015834836</v>
      </c>
      <c r="T1583">
        <f t="shared" si="99"/>
        <v>1.5151515151515152E-2</v>
      </c>
      <c r="U1583" t="str">
        <f>YEAR('Campaign Data'!$A1583)&amp;"-"&amp;TEXT(MONTH('Campaign Data'!$A1583),"00")</f>
        <v>2026-03</v>
      </c>
    </row>
    <row r="1584" spans="1:21" x14ac:dyDescent="0.25">
      <c r="A1584">
        <v>46109</v>
      </c>
      <c r="B1584" t="s">
        <v>63</v>
      </c>
      <c r="C1584" t="s">
        <v>64</v>
      </c>
      <c r="D1584" t="s">
        <v>65</v>
      </c>
      <c r="E1584" t="s">
        <v>24</v>
      </c>
      <c r="F1584" t="s">
        <v>43</v>
      </c>
      <c r="G1584" t="s">
        <v>66</v>
      </c>
      <c r="H1584" t="s">
        <v>27</v>
      </c>
      <c r="I1584" t="s">
        <v>37</v>
      </c>
      <c r="J1584" t="s">
        <v>38</v>
      </c>
      <c r="K1584">
        <v>1001</v>
      </c>
      <c r="L1584">
        <v>11</v>
      </c>
      <c r="M1584">
        <v>10.45</v>
      </c>
      <c r="N1584">
        <v>0</v>
      </c>
      <c r="O1584">
        <v>0</v>
      </c>
      <c r="P1584">
        <f t="shared" si="96"/>
        <v>1.098901098901099E-2</v>
      </c>
      <c r="Q1584">
        <f t="shared" si="96"/>
        <v>0.95</v>
      </c>
      <c r="R1584">
        <f t="shared" si="97"/>
        <v>0</v>
      </c>
      <c r="S1584">
        <f t="shared" si="98"/>
        <v>0</v>
      </c>
      <c r="T1584">
        <f t="shared" si="99"/>
        <v>0</v>
      </c>
      <c r="U1584" t="str">
        <f>YEAR('Campaign Data'!$A1584)&amp;"-"&amp;TEXT(MONTH('Campaign Data'!$A1584),"00")</f>
        <v>2026-03</v>
      </c>
    </row>
    <row r="1585" spans="1:21" x14ac:dyDescent="0.25">
      <c r="A1585">
        <v>46109</v>
      </c>
      <c r="B1585" t="s">
        <v>72</v>
      </c>
      <c r="C1585" t="s">
        <v>73</v>
      </c>
      <c r="D1585" t="s">
        <v>69</v>
      </c>
      <c r="E1585" t="s">
        <v>74</v>
      </c>
      <c r="F1585" t="s">
        <v>75</v>
      </c>
      <c r="G1585" t="s">
        <v>9</v>
      </c>
      <c r="H1585" t="s">
        <v>55</v>
      </c>
      <c r="I1585" t="s">
        <v>28</v>
      </c>
      <c r="J1585" t="s">
        <v>38</v>
      </c>
      <c r="K1585">
        <v>1863</v>
      </c>
      <c r="L1585">
        <v>63</v>
      </c>
      <c r="M1585">
        <v>76.94</v>
      </c>
      <c r="N1585">
        <v>4</v>
      </c>
      <c r="O1585">
        <v>108.34</v>
      </c>
      <c r="P1585">
        <f t="shared" si="96"/>
        <v>3.3816425120772944E-2</v>
      </c>
      <c r="Q1585">
        <f t="shared" si="96"/>
        <v>1.2212698412698413</v>
      </c>
      <c r="R1585">
        <f t="shared" si="97"/>
        <v>19.234999999999999</v>
      </c>
      <c r="S1585">
        <f t="shared" si="98"/>
        <v>1.4081102157525345</v>
      </c>
      <c r="T1585">
        <f t="shared" si="99"/>
        <v>6.3492063492063489E-2</v>
      </c>
      <c r="U1585" t="str">
        <f>YEAR('Campaign Data'!$A1585)&amp;"-"&amp;TEXT(MONTH('Campaign Data'!$A1585),"00")</f>
        <v>2026-03</v>
      </c>
    </row>
    <row r="1586" spans="1:21" x14ac:dyDescent="0.25">
      <c r="A1586">
        <v>46109</v>
      </c>
      <c r="B1586" t="s">
        <v>118</v>
      </c>
      <c r="C1586" t="s">
        <v>119</v>
      </c>
      <c r="D1586" t="s">
        <v>69</v>
      </c>
      <c r="E1586" t="s">
        <v>33</v>
      </c>
      <c r="F1586" t="s">
        <v>34</v>
      </c>
      <c r="G1586" t="s">
        <v>35</v>
      </c>
      <c r="H1586" t="s">
        <v>55</v>
      </c>
      <c r="I1586" t="s">
        <v>37</v>
      </c>
      <c r="J1586" t="s">
        <v>29</v>
      </c>
      <c r="K1586">
        <v>16930</v>
      </c>
      <c r="L1586">
        <v>188</v>
      </c>
      <c r="M1586">
        <v>99.2</v>
      </c>
      <c r="N1586">
        <v>5</v>
      </c>
      <c r="O1586">
        <v>560.85</v>
      </c>
      <c r="P1586">
        <f t="shared" si="96"/>
        <v>1.1104548139397518E-2</v>
      </c>
      <c r="Q1586">
        <f t="shared" si="96"/>
        <v>0.52765957446808509</v>
      </c>
      <c r="R1586">
        <f t="shared" si="97"/>
        <v>19.84</v>
      </c>
      <c r="S1586">
        <f t="shared" si="98"/>
        <v>5.653729838709677</v>
      </c>
      <c r="T1586">
        <f t="shared" si="99"/>
        <v>2.6595744680851064E-2</v>
      </c>
      <c r="U1586" t="str">
        <f>YEAR('Campaign Data'!$A1586)&amp;"-"&amp;TEXT(MONTH('Campaign Data'!$A1586),"00")</f>
        <v>2026-03</v>
      </c>
    </row>
    <row r="1587" spans="1:21" x14ac:dyDescent="0.25">
      <c r="A1587">
        <v>46109</v>
      </c>
      <c r="B1587" t="s">
        <v>163</v>
      </c>
      <c r="C1587" t="s">
        <v>164</v>
      </c>
      <c r="D1587" t="s">
        <v>58</v>
      </c>
      <c r="E1587" t="s">
        <v>42</v>
      </c>
      <c r="F1587" t="s">
        <v>43</v>
      </c>
      <c r="G1587" t="s">
        <v>44</v>
      </c>
      <c r="H1587" t="s">
        <v>90</v>
      </c>
      <c r="I1587" t="s">
        <v>37</v>
      </c>
      <c r="J1587" t="s">
        <v>38</v>
      </c>
      <c r="K1587">
        <v>3326</v>
      </c>
      <c r="L1587">
        <v>10</v>
      </c>
      <c r="M1587">
        <v>14.37</v>
      </c>
      <c r="N1587">
        <v>0</v>
      </c>
      <c r="O1587">
        <v>0</v>
      </c>
      <c r="P1587">
        <f t="shared" si="96"/>
        <v>3.0066145520144319E-3</v>
      </c>
      <c r="Q1587">
        <f t="shared" si="96"/>
        <v>1.4369999999999998</v>
      </c>
      <c r="R1587">
        <f t="shared" si="97"/>
        <v>0</v>
      </c>
      <c r="S1587">
        <f t="shared" si="98"/>
        <v>0</v>
      </c>
      <c r="T1587">
        <f t="shared" si="99"/>
        <v>0</v>
      </c>
      <c r="U1587" t="str">
        <f>YEAR('Campaign Data'!$A1587)&amp;"-"&amp;TEXT(MONTH('Campaign Data'!$A1587),"00")</f>
        <v>2026-03</v>
      </c>
    </row>
    <row r="1588" spans="1:21" x14ac:dyDescent="0.25">
      <c r="A1588">
        <v>46110</v>
      </c>
      <c r="B1588" t="s">
        <v>165</v>
      </c>
      <c r="C1588" t="s">
        <v>166</v>
      </c>
      <c r="D1588" t="s">
        <v>41</v>
      </c>
      <c r="E1588" t="s">
        <v>33</v>
      </c>
      <c r="F1588" t="s">
        <v>43</v>
      </c>
      <c r="G1588" t="s">
        <v>59</v>
      </c>
      <c r="H1588" t="s">
        <v>55</v>
      </c>
      <c r="I1588" t="s">
        <v>37</v>
      </c>
      <c r="J1588" t="s">
        <v>29</v>
      </c>
      <c r="K1588">
        <v>5292</v>
      </c>
      <c r="L1588">
        <v>41</v>
      </c>
      <c r="M1588">
        <v>17.48</v>
      </c>
      <c r="N1588">
        <v>1</v>
      </c>
      <c r="O1588">
        <v>20.95</v>
      </c>
      <c r="P1588">
        <f t="shared" si="96"/>
        <v>7.7475434618291764E-3</v>
      </c>
      <c r="Q1588">
        <f t="shared" si="96"/>
        <v>0.42634146341463414</v>
      </c>
      <c r="R1588">
        <f t="shared" si="97"/>
        <v>17.48</v>
      </c>
      <c r="S1588">
        <f t="shared" si="98"/>
        <v>1.1985125858123569</v>
      </c>
      <c r="T1588">
        <f t="shared" si="99"/>
        <v>2.4390243902439025E-2</v>
      </c>
      <c r="U1588" t="str">
        <f>YEAR('Campaign Data'!$A1588)&amp;"-"&amp;TEXT(MONTH('Campaign Data'!$A1588),"00")</f>
        <v>2026-03</v>
      </c>
    </row>
    <row r="1589" spans="1:21" x14ac:dyDescent="0.25">
      <c r="A1589">
        <v>46110</v>
      </c>
      <c r="B1589" t="s">
        <v>175</v>
      </c>
      <c r="C1589" t="s">
        <v>176</v>
      </c>
      <c r="D1589" t="s">
        <v>65</v>
      </c>
      <c r="E1589" t="s">
        <v>49</v>
      </c>
      <c r="F1589" t="s">
        <v>75</v>
      </c>
      <c r="G1589" t="s">
        <v>70</v>
      </c>
      <c r="H1589" t="s">
        <v>55</v>
      </c>
      <c r="I1589" t="s">
        <v>37</v>
      </c>
      <c r="J1589" t="s">
        <v>45</v>
      </c>
      <c r="K1589">
        <v>20022</v>
      </c>
      <c r="L1589">
        <v>991</v>
      </c>
      <c r="M1589">
        <v>1572.93</v>
      </c>
      <c r="N1589">
        <v>67</v>
      </c>
      <c r="O1589">
        <v>3446.73</v>
      </c>
      <c r="P1589">
        <f t="shared" si="96"/>
        <v>4.9495554889621415E-2</v>
      </c>
      <c r="Q1589">
        <f t="shared" si="96"/>
        <v>1.5872149344096873</v>
      </c>
      <c r="R1589">
        <f t="shared" si="97"/>
        <v>23.476567164179105</v>
      </c>
      <c r="S1589">
        <f t="shared" si="98"/>
        <v>2.1912799679578874</v>
      </c>
      <c r="T1589">
        <f t="shared" si="99"/>
        <v>6.7608476286579219E-2</v>
      </c>
      <c r="U1589" t="str">
        <f>YEAR('Campaign Data'!$A1589)&amp;"-"&amp;TEXT(MONTH('Campaign Data'!$A1589),"00")</f>
        <v>2026-03</v>
      </c>
    </row>
    <row r="1590" spans="1:21" x14ac:dyDescent="0.25">
      <c r="A1590">
        <v>46110</v>
      </c>
      <c r="B1590" t="s">
        <v>147</v>
      </c>
      <c r="C1590" t="s">
        <v>148</v>
      </c>
      <c r="D1590" t="s">
        <v>23</v>
      </c>
      <c r="E1590" t="s">
        <v>42</v>
      </c>
      <c r="F1590" t="s">
        <v>75</v>
      </c>
      <c r="G1590" t="s">
        <v>44</v>
      </c>
      <c r="H1590" t="s">
        <v>36</v>
      </c>
      <c r="I1590" t="s">
        <v>37</v>
      </c>
      <c r="J1590" t="s">
        <v>87</v>
      </c>
      <c r="K1590">
        <v>1902</v>
      </c>
      <c r="L1590">
        <v>13</v>
      </c>
      <c r="M1590">
        <v>85.46</v>
      </c>
      <c r="N1590">
        <v>1</v>
      </c>
      <c r="O1590">
        <v>26.86</v>
      </c>
      <c r="P1590">
        <f t="shared" si="96"/>
        <v>6.8349106203995794E-3</v>
      </c>
      <c r="Q1590">
        <f t="shared" si="96"/>
        <v>6.5738461538461532</v>
      </c>
      <c r="R1590">
        <f t="shared" si="97"/>
        <v>85.46</v>
      </c>
      <c r="S1590">
        <f t="shared" si="98"/>
        <v>0.31429908729230049</v>
      </c>
      <c r="T1590">
        <f t="shared" si="99"/>
        <v>7.6923076923076927E-2</v>
      </c>
      <c r="U1590" t="str">
        <f>YEAR('Campaign Data'!$A1590)&amp;"-"&amp;TEXT(MONTH('Campaign Data'!$A1590),"00")</f>
        <v>2026-03</v>
      </c>
    </row>
    <row r="1591" spans="1:21" x14ac:dyDescent="0.25">
      <c r="A1591">
        <v>46110</v>
      </c>
      <c r="B1591" t="s">
        <v>125</v>
      </c>
      <c r="C1591" t="s">
        <v>126</v>
      </c>
      <c r="D1591" t="s">
        <v>41</v>
      </c>
      <c r="E1591" t="s">
        <v>42</v>
      </c>
      <c r="F1591" t="s">
        <v>81</v>
      </c>
      <c r="G1591" t="s">
        <v>44</v>
      </c>
      <c r="H1591" t="s">
        <v>27</v>
      </c>
      <c r="I1591" t="s">
        <v>37</v>
      </c>
      <c r="J1591" t="s">
        <v>62</v>
      </c>
      <c r="K1591">
        <v>1934</v>
      </c>
      <c r="L1591">
        <v>9</v>
      </c>
      <c r="M1591">
        <v>84.12</v>
      </c>
      <c r="N1591">
        <v>0</v>
      </c>
      <c r="O1591">
        <v>0</v>
      </c>
      <c r="P1591">
        <f t="shared" si="96"/>
        <v>4.6535677352637023E-3</v>
      </c>
      <c r="Q1591">
        <f t="shared" si="96"/>
        <v>9.3466666666666676</v>
      </c>
      <c r="R1591">
        <f t="shared" si="97"/>
        <v>0</v>
      </c>
      <c r="S1591">
        <f t="shared" si="98"/>
        <v>0</v>
      </c>
      <c r="T1591">
        <f t="shared" si="99"/>
        <v>0</v>
      </c>
      <c r="U1591" t="str">
        <f>YEAR('Campaign Data'!$A1591)&amp;"-"&amp;TEXT(MONTH('Campaign Data'!$A1591),"00")</f>
        <v>2026-03</v>
      </c>
    </row>
    <row r="1592" spans="1:21" x14ac:dyDescent="0.25">
      <c r="A1592">
        <v>46110</v>
      </c>
      <c r="B1592" t="s">
        <v>149</v>
      </c>
      <c r="C1592" t="s">
        <v>150</v>
      </c>
      <c r="D1592" t="s">
        <v>65</v>
      </c>
      <c r="E1592" t="s">
        <v>33</v>
      </c>
      <c r="F1592" t="s">
        <v>43</v>
      </c>
      <c r="G1592" t="s">
        <v>59</v>
      </c>
      <c r="H1592" t="s">
        <v>51</v>
      </c>
      <c r="I1592" t="s">
        <v>28</v>
      </c>
      <c r="J1592" t="s">
        <v>38</v>
      </c>
      <c r="K1592">
        <v>5122</v>
      </c>
      <c r="L1592">
        <v>73</v>
      </c>
      <c r="M1592">
        <v>42.1</v>
      </c>
      <c r="N1592">
        <v>1</v>
      </c>
      <c r="O1592">
        <v>34.31</v>
      </c>
      <c r="P1592">
        <f t="shared" si="96"/>
        <v>1.4252245216712221E-2</v>
      </c>
      <c r="Q1592">
        <f t="shared" si="96"/>
        <v>0.57671232876712331</v>
      </c>
      <c r="R1592">
        <f t="shared" si="97"/>
        <v>42.1</v>
      </c>
      <c r="S1592">
        <f t="shared" si="98"/>
        <v>0.81496437054631832</v>
      </c>
      <c r="T1592">
        <f t="shared" si="99"/>
        <v>1.3698630136986301E-2</v>
      </c>
      <c r="U1592" t="str">
        <f>YEAR('Campaign Data'!$A1592)&amp;"-"&amp;TEXT(MONTH('Campaign Data'!$A1592),"00")</f>
        <v>2026-03</v>
      </c>
    </row>
    <row r="1593" spans="1:21" x14ac:dyDescent="0.25">
      <c r="A1593">
        <v>46110</v>
      </c>
      <c r="B1593" t="s">
        <v>91</v>
      </c>
      <c r="C1593" t="s">
        <v>92</v>
      </c>
      <c r="D1593" t="s">
        <v>41</v>
      </c>
      <c r="E1593" t="s">
        <v>74</v>
      </c>
      <c r="F1593" t="s">
        <v>75</v>
      </c>
      <c r="G1593" t="s">
        <v>9</v>
      </c>
      <c r="H1593" t="s">
        <v>36</v>
      </c>
      <c r="I1593" t="s">
        <v>37</v>
      </c>
      <c r="J1593" t="s">
        <v>87</v>
      </c>
      <c r="K1593">
        <v>3411</v>
      </c>
      <c r="L1593">
        <v>98</v>
      </c>
      <c r="M1593">
        <v>124.45</v>
      </c>
      <c r="N1593">
        <v>4</v>
      </c>
      <c r="O1593">
        <v>105.5</v>
      </c>
      <c r="P1593">
        <f t="shared" si="96"/>
        <v>2.8730577543242451E-2</v>
      </c>
      <c r="Q1593">
        <f t="shared" si="96"/>
        <v>1.2698979591836734</v>
      </c>
      <c r="R1593">
        <f t="shared" si="97"/>
        <v>31.112500000000001</v>
      </c>
      <c r="S1593">
        <f t="shared" si="98"/>
        <v>0.84773001205303333</v>
      </c>
      <c r="T1593">
        <f t="shared" si="99"/>
        <v>4.0816326530612242E-2</v>
      </c>
      <c r="U1593" t="str">
        <f>YEAR('Campaign Data'!$A1593)&amp;"-"&amp;TEXT(MONTH('Campaign Data'!$A1593),"00")</f>
        <v>2026-03</v>
      </c>
    </row>
    <row r="1594" spans="1:21" x14ac:dyDescent="0.25">
      <c r="A1594">
        <v>46110</v>
      </c>
      <c r="B1594" t="s">
        <v>30</v>
      </c>
      <c r="C1594" t="s">
        <v>31</v>
      </c>
      <c r="D1594" t="s">
        <v>32</v>
      </c>
      <c r="E1594" t="s">
        <v>33</v>
      </c>
      <c r="F1594" t="s">
        <v>34</v>
      </c>
      <c r="G1594" t="s">
        <v>35</v>
      </c>
      <c r="H1594" t="s">
        <v>90</v>
      </c>
      <c r="I1594" t="s">
        <v>37</v>
      </c>
      <c r="J1594" t="s">
        <v>38</v>
      </c>
      <c r="K1594">
        <v>19939</v>
      </c>
      <c r="L1594">
        <v>93</v>
      </c>
      <c r="M1594">
        <v>11.53</v>
      </c>
      <c r="N1594">
        <v>3</v>
      </c>
      <c r="O1594">
        <v>102.03</v>
      </c>
      <c r="P1594">
        <f t="shared" si="96"/>
        <v>4.6642258889613318E-3</v>
      </c>
      <c r="Q1594">
        <f t="shared" si="96"/>
        <v>0.12397849462365591</v>
      </c>
      <c r="R1594">
        <f t="shared" si="97"/>
        <v>3.8433333333333333</v>
      </c>
      <c r="S1594">
        <f t="shared" si="98"/>
        <v>8.8490893321769306</v>
      </c>
      <c r="T1594">
        <f t="shared" si="99"/>
        <v>3.2258064516129031E-2</v>
      </c>
      <c r="U1594" t="str">
        <f>YEAR('Campaign Data'!$A1594)&amp;"-"&amp;TEXT(MONTH('Campaign Data'!$A1594),"00")</f>
        <v>2026-03</v>
      </c>
    </row>
    <row r="1595" spans="1:21" x14ac:dyDescent="0.25">
      <c r="A1595">
        <v>46110</v>
      </c>
      <c r="B1595" t="s">
        <v>30</v>
      </c>
      <c r="C1595" t="s">
        <v>31</v>
      </c>
      <c r="D1595" t="s">
        <v>32</v>
      </c>
      <c r="E1595" t="s">
        <v>33</v>
      </c>
      <c r="F1595" t="s">
        <v>34</v>
      </c>
      <c r="G1595" t="s">
        <v>35</v>
      </c>
      <c r="H1595" t="s">
        <v>36</v>
      </c>
      <c r="I1595" t="s">
        <v>28</v>
      </c>
      <c r="J1595" t="s">
        <v>45</v>
      </c>
      <c r="K1595">
        <v>27244</v>
      </c>
      <c r="L1595">
        <v>303</v>
      </c>
      <c r="M1595">
        <v>239.44</v>
      </c>
      <c r="N1595">
        <v>4</v>
      </c>
      <c r="O1595">
        <v>427</v>
      </c>
      <c r="P1595">
        <f t="shared" si="96"/>
        <v>1.1121714872999559E-2</v>
      </c>
      <c r="Q1595">
        <f t="shared" si="96"/>
        <v>0.79023102310231019</v>
      </c>
      <c r="R1595">
        <f t="shared" si="97"/>
        <v>59.86</v>
      </c>
      <c r="S1595">
        <f t="shared" si="98"/>
        <v>1.7833277647844972</v>
      </c>
      <c r="T1595">
        <f t="shared" si="99"/>
        <v>1.3201320132013201E-2</v>
      </c>
      <c r="U1595" t="str">
        <f>YEAR('Campaign Data'!$A1595)&amp;"-"&amp;TEXT(MONTH('Campaign Data'!$A1595),"00")</f>
        <v>2026-03</v>
      </c>
    </row>
    <row r="1596" spans="1:21" x14ac:dyDescent="0.25">
      <c r="A1596">
        <v>46110</v>
      </c>
      <c r="B1596" t="s">
        <v>46</v>
      </c>
      <c r="C1596" t="s">
        <v>47</v>
      </c>
      <c r="D1596" t="s">
        <v>48</v>
      </c>
      <c r="E1596" t="s">
        <v>49</v>
      </c>
      <c r="F1596" t="s">
        <v>43</v>
      </c>
      <c r="G1596" t="s">
        <v>50</v>
      </c>
      <c r="H1596" t="s">
        <v>60</v>
      </c>
      <c r="I1596" t="s">
        <v>37</v>
      </c>
      <c r="J1596" t="s">
        <v>62</v>
      </c>
      <c r="K1596">
        <v>4560</v>
      </c>
      <c r="L1596">
        <v>311</v>
      </c>
      <c r="M1596">
        <v>584.44000000000005</v>
      </c>
      <c r="N1596">
        <v>22</v>
      </c>
      <c r="O1596">
        <v>750.44</v>
      </c>
      <c r="P1596">
        <f t="shared" si="96"/>
        <v>6.8201754385964916E-2</v>
      </c>
      <c r="Q1596">
        <f t="shared" si="96"/>
        <v>1.8792282958199358</v>
      </c>
      <c r="R1596">
        <f t="shared" si="97"/>
        <v>26.565454545454546</v>
      </c>
      <c r="S1596">
        <f t="shared" si="98"/>
        <v>1.284032578194511</v>
      </c>
      <c r="T1596">
        <f t="shared" si="99"/>
        <v>7.0739549839228297E-2</v>
      </c>
      <c r="U1596" t="str">
        <f>YEAR('Campaign Data'!$A1596)&amp;"-"&amp;TEXT(MONTH('Campaign Data'!$A1596),"00")</f>
        <v>2026-03</v>
      </c>
    </row>
    <row r="1597" spans="1:21" x14ac:dyDescent="0.25">
      <c r="A1597">
        <v>46110</v>
      </c>
      <c r="B1597" t="s">
        <v>98</v>
      </c>
      <c r="C1597" t="s">
        <v>99</v>
      </c>
      <c r="D1597" t="s">
        <v>69</v>
      </c>
      <c r="E1597" t="s">
        <v>24</v>
      </c>
      <c r="F1597" t="s">
        <v>75</v>
      </c>
      <c r="G1597" t="s">
        <v>66</v>
      </c>
      <c r="H1597" t="s">
        <v>27</v>
      </c>
      <c r="I1597" t="s">
        <v>28</v>
      </c>
      <c r="J1597" t="s">
        <v>62</v>
      </c>
      <c r="K1597">
        <v>5307</v>
      </c>
      <c r="L1597">
        <v>70</v>
      </c>
      <c r="M1597">
        <v>106.19</v>
      </c>
      <c r="N1597">
        <v>3</v>
      </c>
      <c r="O1597">
        <v>170.58</v>
      </c>
      <c r="P1597">
        <f t="shared" si="96"/>
        <v>1.3190126248351234E-2</v>
      </c>
      <c r="Q1597">
        <f t="shared" si="96"/>
        <v>1.5169999999999999</v>
      </c>
      <c r="R1597">
        <f t="shared" si="97"/>
        <v>35.396666666666668</v>
      </c>
      <c r="S1597">
        <f t="shared" si="98"/>
        <v>1.6063659478293626</v>
      </c>
      <c r="T1597">
        <f t="shared" si="99"/>
        <v>4.2857142857142858E-2</v>
      </c>
      <c r="U1597" t="str">
        <f>YEAR('Campaign Data'!$A1597)&amp;"-"&amp;TEXT(MONTH('Campaign Data'!$A1597),"00")</f>
        <v>2026-03</v>
      </c>
    </row>
    <row r="1598" spans="1:21" x14ac:dyDescent="0.25">
      <c r="A1598">
        <v>46110</v>
      </c>
      <c r="B1598" t="s">
        <v>98</v>
      </c>
      <c r="C1598" t="s">
        <v>99</v>
      </c>
      <c r="D1598" t="s">
        <v>69</v>
      </c>
      <c r="E1598" t="s">
        <v>24</v>
      </c>
      <c r="F1598" t="s">
        <v>75</v>
      </c>
      <c r="G1598" t="s">
        <v>66</v>
      </c>
      <c r="H1598" t="s">
        <v>27</v>
      </c>
      <c r="I1598" t="s">
        <v>37</v>
      </c>
      <c r="J1598" t="s">
        <v>62</v>
      </c>
      <c r="K1598">
        <v>3435</v>
      </c>
      <c r="L1598">
        <v>73</v>
      </c>
      <c r="M1598">
        <v>74.84</v>
      </c>
      <c r="N1598">
        <v>5</v>
      </c>
      <c r="O1598">
        <v>248.65</v>
      </c>
      <c r="P1598">
        <f t="shared" si="96"/>
        <v>2.1251819505094614E-2</v>
      </c>
      <c r="Q1598">
        <f t="shared" si="96"/>
        <v>1.0252054794520549</v>
      </c>
      <c r="R1598">
        <f t="shared" si="97"/>
        <v>14.968</v>
      </c>
      <c r="S1598">
        <f t="shared" si="98"/>
        <v>3.322421165152325</v>
      </c>
      <c r="T1598">
        <f t="shared" si="99"/>
        <v>6.8493150684931503E-2</v>
      </c>
      <c r="U1598" t="str">
        <f>YEAR('Campaign Data'!$A1598)&amp;"-"&amp;TEXT(MONTH('Campaign Data'!$A1598),"00")</f>
        <v>2026-03</v>
      </c>
    </row>
    <row r="1599" spans="1:21" x14ac:dyDescent="0.25">
      <c r="A1599">
        <v>46110</v>
      </c>
      <c r="B1599" t="s">
        <v>52</v>
      </c>
      <c r="C1599" t="s">
        <v>53</v>
      </c>
      <c r="D1599" t="s">
        <v>32</v>
      </c>
      <c r="E1599" t="s">
        <v>42</v>
      </c>
      <c r="F1599" t="s">
        <v>25</v>
      </c>
      <c r="G1599" t="s">
        <v>54</v>
      </c>
      <c r="H1599" t="s">
        <v>71</v>
      </c>
      <c r="I1599" t="s">
        <v>37</v>
      </c>
      <c r="J1599" t="s">
        <v>62</v>
      </c>
      <c r="K1599">
        <v>6085</v>
      </c>
      <c r="L1599">
        <v>50</v>
      </c>
      <c r="M1599">
        <v>257.94</v>
      </c>
      <c r="N1599">
        <v>3</v>
      </c>
      <c r="O1599">
        <v>172.49</v>
      </c>
      <c r="P1599">
        <f t="shared" si="96"/>
        <v>8.2169268693508633E-3</v>
      </c>
      <c r="Q1599">
        <f t="shared" si="96"/>
        <v>5.1588000000000003</v>
      </c>
      <c r="R1599">
        <f t="shared" si="97"/>
        <v>85.98</v>
      </c>
      <c r="S1599">
        <f t="shared" si="98"/>
        <v>0.66872140807939839</v>
      </c>
      <c r="T1599">
        <f t="shared" si="99"/>
        <v>0.06</v>
      </c>
      <c r="U1599" t="str">
        <f>YEAR('Campaign Data'!$A1599)&amp;"-"&amp;TEXT(MONTH('Campaign Data'!$A1599),"00")</f>
        <v>2026-03</v>
      </c>
    </row>
    <row r="1600" spans="1:21" x14ac:dyDescent="0.25">
      <c r="A1600">
        <v>46110</v>
      </c>
      <c r="B1600" t="s">
        <v>100</v>
      </c>
      <c r="C1600" t="s">
        <v>101</v>
      </c>
      <c r="D1600" t="s">
        <v>80</v>
      </c>
      <c r="E1600" t="s">
        <v>33</v>
      </c>
      <c r="F1600" t="s">
        <v>25</v>
      </c>
      <c r="G1600" t="s">
        <v>102</v>
      </c>
      <c r="H1600" t="s">
        <v>27</v>
      </c>
      <c r="I1600" t="s">
        <v>28</v>
      </c>
      <c r="J1600" t="s">
        <v>62</v>
      </c>
      <c r="K1600">
        <v>3393</v>
      </c>
      <c r="L1600">
        <v>35</v>
      </c>
      <c r="M1600">
        <v>27.7</v>
      </c>
      <c r="N1600">
        <v>0</v>
      </c>
      <c r="O1600">
        <v>0</v>
      </c>
      <c r="P1600">
        <f t="shared" si="96"/>
        <v>1.031535514294135E-2</v>
      </c>
      <c r="Q1600">
        <f t="shared" si="96"/>
        <v>0.79142857142857137</v>
      </c>
      <c r="R1600">
        <f t="shared" si="97"/>
        <v>0</v>
      </c>
      <c r="S1600">
        <f t="shared" si="98"/>
        <v>0</v>
      </c>
      <c r="T1600">
        <f t="shared" si="99"/>
        <v>0</v>
      </c>
      <c r="U1600" t="str">
        <f>YEAR('Campaign Data'!$A1600)&amp;"-"&amp;TEXT(MONTH('Campaign Data'!$A1600),"00")</f>
        <v>2026-03</v>
      </c>
    </row>
    <row r="1601" spans="1:21" x14ac:dyDescent="0.25">
      <c r="A1601">
        <v>46110</v>
      </c>
      <c r="B1601" t="s">
        <v>177</v>
      </c>
      <c r="C1601" t="s">
        <v>178</v>
      </c>
      <c r="D1601" t="s">
        <v>41</v>
      </c>
      <c r="E1601" t="s">
        <v>49</v>
      </c>
      <c r="F1601" t="s">
        <v>34</v>
      </c>
      <c r="G1601" t="s">
        <v>107</v>
      </c>
      <c r="H1601" t="s">
        <v>27</v>
      </c>
      <c r="I1601" t="s">
        <v>37</v>
      </c>
      <c r="J1601" t="s">
        <v>29</v>
      </c>
      <c r="K1601">
        <v>5340</v>
      </c>
      <c r="L1601">
        <v>215</v>
      </c>
      <c r="M1601">
        <v>472.86</v>
      </c>
      <c r="N1601">
        <v>13</v>
      </c>
      <c r="O1601">
        <v>2398.91</v>
      </c>
      <c r="P1601">
        <f t="shared" si="96"/>
        <v>4.0262172284644196E-2</v>
      </c>
      <c r="Q1601">
        <f t="shared" si="96"/>
        <v>2.1993488372093024</v>
      </c>
      <c r="R1601">
        <f t="shared" si="97"/>
        <v>36.373846153846152</v>
      </c>
      <c r="S1601">
        <f t="shared" si="98"/>
        <v>5.0731929112210796</v>
      </c>
      <c r="T1601">
        <f t="shared" si="99"/>
        <v>6.0465116279069767E-2</v>
      </c>
      <c r="U1601" t="str">
        <f>YEAR('Campaign Data'!$A1601)&amp;"-"&amp;TEXT(MONTH('Campaign Data'!$A1601),"00")</f>
        <v>2026-03</v>
      </c>
    </row>
    <row r="1602" spans="1:21" x14ac:dyDescent="0.25">
      <c r="A1602">
        <v>46110</v>
      </c>
      <c r="B1602" t="s">
        <v>177</v>
      </c>
      <c r="C1602" t="s">
        <v>178</v>
      </c>
      <c r="D1602" t="s">
        <v>41</v>
      </c>
      <c r="E1602" t="s">
        <v>49</v>
      </c>
      <c r="F1602" t="s">
        <v>34</v>
      </c>
      <c r="G1602" t="s">
        <v>107</v>
      </c>
      <c r="H1602" t="s">
        <v>51</v>
      </c>
      <c r="I1602" t="s">
        <v>28</v>
      </c>
      <c r="J1602" t="s">
        <v>29</v>
      </c>
      <c r="K1602">
        <v>9841</v>
      </c>
      <c r="L1602">
        <v>414</v>
      </c>
      <c r="M1602">
        <v>646.38</v>
      </c>
      <c r="N1602">
        <v>20</v>
      </c>
      <c r="O1602">
        <v>2548.1999999999998</v>
      </c>
      <c r="P1602">
        <f t="shared" ref="P1602:Q1665" si="100">IF(K1602=0,0,L1602/K1602)</f>
        <v>4.2068895437455546E-2</v>
      </c>
      <c r="Q1602">
        <f t="shared" si="100"/>
        <v>1.5613043478260868</v>
      </c>
      <c r="R1602">
        <f t="shared" ref="R1602:R1665" si="101">IF(N1602=0,0,M1602/N1602)</f>
        <v>32.319000000000003</v>
      </c>
      <c r="S1602">
        <f t="shared" ref="S1602:S1665" si="102">IF(M1602=0,0,O1602/M1602)</f>
        <v>3.9422630650700823</v>
      </c>
      <c r="T1602">
        <f t="shared" ref="T1602:T1665" si="103">IF(L1602=0,0,N1602/L1602)</f>
        <v>4.8309178743961352E-2</v>
      </c>
      <c r="U1602" t="str">
        <f>YEAR('Campaign Data'!$A1602)&amp;"-"&amp;TEXT(MONTH('Campaign Data'!$A1602),"00")</f>
        <v>2026-03</v>
      </c>
    </row>
    <row r="1603" spans="1:21" x14ac:dyDescent="0.25">
      <c r="A1603">
        <v>46110</v>
      </c>
      <c r="B1603" t="s">
        <v>179</v>
      </c>
      <c r="C1603" t="s">
        <v>180</v>
      </c>
      <c r="D1603" t="s">
        <v>58</v>
      </c>
      <c r="E1603" t="s">
        <v>42</v>
      </c>
      <c r="F1603" t="s">
        <v>25</v>
      </c>
      <c r="G1603" t="s">
        <v>54</v>
      </c>
      <c r="H1603" t="s">
        <v>36</v>
      </c>
      <c r="I1603" t="s">
        <v>61</v>
      </c>
      <c r="J1603" t="s">
        <v>62</v>
      </c>
      <c r="K1603">
        <v>16542</v>
      </c>
      <c r="L1603">
        <v>153</v>
      </c>
      <c r="M1603">
        <v>829.89</v>
      </c>
      <c r="N1603">
        <v>4</v>
      </c>
      <c r="O1603">
        <v>624.30999999999995</v>
      </c>
      <c r="P1603">
        <f t="shared" si="100"/>
        <v>9.2491838955386287E-3</v>
      </c>
      <c r="Q1603">
        <f t="shared" si="100"/>
        <v>5.4241176470588233</v>
      </c>
      <c r="R1603">
        <f t="shared" si="101"/>
        <v>207.4725</v>
      </c>
      <c r="S1603">
        <f t="shared" si="102"/>
        <v>0.75228042270662376</v>
      </c>
      <c r="T1603">
        <f t="shared" si="103"/>
        <v>2.6143790849673203E-2</v>
      </c>
      <c r="U1603" t="str">
        <f>YEAR('Campaign Data'!$A1603)&amp;"-"&amp;TEXT(MONTH('Campaign Data'!$A1603),"00")</f>
        <v>2026-03</v>
      </c>
    </row>
    <row r="1604" spans="1:21" x14ac:dyDescent="0.25">
      <c r="A1604">
        <v>46110</v>
      </c>
      <c r="B1604" t="s">
        <v>63</v>
      </c>
      <c r="C1604" t="s">
        <v>64</v>
      </c>
      <c r="D1604" t="s">
        <v>65</v>
      </c>
      <c r="E1604" t="s">
        <v>24</v>
      </c>
      <c r="F1604" t="s">
        <v>43</v>
      </c>
      <c r="G1604" t="s">
        <v>66</v>
      </c>
      <c r="H1604" t="s">
        <v>36</v>
      </c>
      <c r="I1604" t="s">
        <v>37</v>
      </c>
      <c r="J1604" t="s">
        <v>38</v>
      </c>
      <c r="K1604">
        <v>2232</v>
      </c>
      <c r="L1604">
        <v>18</v>
      </c>
      <c r="M1604">
        <v>20.07</v>
      </c>
      <c r="N1604">
        <v>0</v>
      </c>
      <c r="O1604">
        <v>0</v>
      </c>
      <c r="P1604">
        <f t="shared" si="100"/>
        <v>8.0645161290322578E-3</v>
      </c>
      <c r="Q1604">
        <f t="shared" si="100"/>
        <v>1.115</v>
      </c>
      <c r="R1604">
        <f t="shared" si="101"/>
        <v>0</v>
      </c>
      <c r="S1604">
        <f t="shared" si="102"/>
        <v>0</v>
      </c>
      <c r="T1604">
        <f t="shared" si="103"/>
        <v>0</v>
      </c>
      <c r="U1604" t="str">
        <f>YEAR('Campaign Data'!$A1604)&amp;"-"&amp;TEXT(MONTH('Campaign Data'!$A1604),"00")</f>
        <v>2026-03</v>
      </c>
    </row>
    <row r="1605" spans="1:21" x14ac:dyDescent="0.25">
      <c r="A1605">
        <v>46110</v>
      </c>
      <c r="B1605" t="s">
        <v>116</v>
      </c>
      <c r="C1605" t="s">
        <v>117</v>
      </c>
      <c r="D1605" t="s">
        <v>48</v>
      </c>
      <c r="E1605" t="s">
        <v>24</v>
      </c>
      <c r="F1605" t="s">
        <v>43</v>
      </c>
      <c r="G1605" t="s">
        <v>26</v>
      </c>
      <c r="H1605" t="s">
        <v>51</v>
      </c>
      <c r="I1605" t="s">
        <v>37</v>
      </c>
      <c r="J1605" t="s">
        <v>29</v>
      </c>
      <c r="K1605">
        <v>3120</v>
      </c>
      <c r="L1605">
        <v>34</v>
      </c>
      <c r="M1605">
        <v>33.18</v>
      </c>
      <c r="N1605">
        <v>0</v>
      </c>
      <c r="O1605">
        <v>0</v>
      </c>
      <c r="P1605">
        <f t="shared" si="100"/>
        <v>1.0897435897435897E-2</v>
      </c>
      <c r="Q1605">
        <f t="shared" si="100"/>
        <v>0.97588235294117642</v>
      </c>
      <c r="R1605">
        <f t="shared" si="101"/>
        <v>0</v>
      </c>
      <c r="S1605">
        <f t="shared" si="102"/>
        <v>0</v>
      </c>
      <c r="T1605">
        <f t="shared" si="103"/>
        <v>0</v>
      </c>
      <c r="U1605" t="str">
        <f>YEAR('Campaign Data'!$A1605)&amp;"-"&amp;TEXT(MONTH('Campaign Data'!$A1605),"00")</f>
        <v>2026-03</v>
      </c>
    </row>
    <row r="1606" spans="1:21" x14ac:dyDescent="0.25">
      <c r="A1606">
        <v>46110</v>
      </c>
      <c r="B1606" t="s">
        <v>118</v>
      </c>
      <c r="C1606" t="s">
        <v>119</v>
      </c>
      <c r="D1606" t="s">
        <v>69</v>
      </c>
      <c r="E1606" t="s">
        <v>33</v>
      </c>
      <c r="F1606" t="s">
        <v>34</v>
      </c>
      <c r="G1606" t="s">
        <v>35</v>
      </c>
      <c r="H1606" t="s">
        <v>27</v>
      </c>
      <c r="I1606" t="s">
        <v>28</v>
      </c>
      <c r="J1606" t="s">
        <v>87</v>
      </c>
      <c r="K1606">
        <v>2950</v>
      </c>
      <c r="L1606">
        <v>31</v>
      </c>
      <c r="M1606">
        <v>25.02</v>
      </c>
      <c r="N1606">
        <v>1</v>
      </c>
      <c r="O1606">
        <v>200.65</v>
      </c>
      <c r="P1606">
        <f t="shared" si="100"/>
        <v>1.0508474576271187E-2</v>
      </c>
      <c r="Q1606">
        <f t="shared" si="100"/>
        <v>0.80709677419354842</v>
      </c>
      <c r="R1606">
        <f t="shared" si="101"/>
        <v>25.02</v>
      </c>
      <c r="S1606">
        <f t="shared" si="102"/>
        <v>8.0195843325339737</v>
      </c>
      <c r="T1606">
        <f t="shared" si="103"/>
        <v>3.2258064516129031E-2</v>
      </c>
      <c r="U1606" t="str">
        <f>YEAR('Campaign Data'!$A1606)&amp;"-"&amp;TEXT(MONTH('Campaign Data'!$A1606),"00")</f>
        <v>2026-03</v>
      </c>
    </row>
    <row r="1607" spans="1:21" x14ac:dyDescent="0.25">
      <c r="A1607">
        <v>46110</v>
      </c>
      <c r="B1607" t="s">
        <v>163</v>
      </c>
      <c r="C1607" t="s">
        <v>164</v>
      </c>
      <c r="D1607" t="s">
        <v>58</v>
      </c>
      <c r="E1607" t="s">
        <v>42</v>
      </c>
      <c r="F1607" t="s">
        <v>43</v>
      </c>
      <c r="G1607" t="s">
        <v>44</v>
      </c>
      <c r="H1607" t="s">
        <v>71</v>
      </c>
      <c r="I1607" t="s">
        <v>28</v>
      </c>
      <c r="J1607" t="s">
        <v>45</v>
      </c>
      <c r="K1607">
        <v>1548</v>
      </c>
      <c r="L1607">
        <v>7</v>
      </c>
      <c r="M1607">
        <v>39.659999999999997</v>
      </c>
      <c r="N1607">
        <v>0</v>
      </c>
      <c r="O1607">
        <v>0</v>
      </c>
      <c r="P1607">
        <f t="shared" si="100"/>
        <v>4.5219638242894053E-3</v>
      </c>
      <c r="Q1607">
        <f t="shared" si="100"/>
        <v>5.6657142857142855</v>
      </c>
      <c r="R1607">
        <f t="shared" si="101"/>
        <v>0</v>
      </c>
      <c r="S1607">
        <f t="shared" si="102"/>
        <v>0</v>
      </c>
      <c r="T1607">
        <f t="shared" si="103"/>
        <v>0</v>
      </c>
      <c r="U1607" t="str">
        <f>YEAR('Campaign Data'!$A1607)&amp;"-"&amp;TEXT(MONTH('Campaign Data'!$A1607),"00")</f>
        <v>2026-03</v>
      </c>
    </row>
    <row r="1608" spans="1:21" x14ac:dyDescent="0.25">
      <c r="A1608">
        <v>46110</v>
      </c>
      <c r="B1608" t="s">
        <v>78</v>
      </c>
      <c r="C1608" t="s">
        <v>79</v>
      </c>
      <c r="D1608" t="s">
        <v>80</v>
      </c>
      <c r="E1608" t="s">
        <v>24</v>
      </c>
      <c r="F1608" t="s">
        <v>81</v>
      </c>
      <c r="G1608" t="s">
        <v>66</v>
      </c>
      <c r="H1608" t="s">
        <v>71</v>
      </c>
      <c r="I1608" t="s">
        <v>37</v>
      </c>
      <c r="J1608" t="s">
        <v>29</v>
      </c>
      <c r="K1608">
        <v>4332</v>
      </c>
      <c r="L1608">
        <v>77</v>
      </c>
      <c r="M1608">
        <v>74.489999999999995</v>
      </c>
      <c r="N1608">
        <v>2</v>
      </c>
      <c r="O1608">
        <v>41.06</v>
      </c>
      <c r="P1608">
        <f t="shared" si="100"/>
        <v>1.7774699907663897E-2</v>
      </c>
      <c r="Q1608">
        <f t="shared" si="100"/>
        <v>0.96740259740259738</v>
      </c>
      <c r="R1608">
        <f t="shared" si="101"/>
        <v>37.244999999999997</v>
      </c>
      <c r="S1608">
        <f t="shared" si="102"/>
        <v>0.551214928178279</v>
      </c>
      <c r="T1608">
        <f t="shared" si="103"/>
        <v>2.5974025974025976E-2</v>
      </c>
      <c r="U1608" t="str">
        <f>YEAR('Campaign Data'!$A1608)&amp;"-"&amp;TEXT(MONTH('Campaign Data'!$A1608),"00")</f>
        <v>2026-03</v>
      </c>
    </row>
    <row r="1609" spans="1:21" x14ac:dyDescent="0.25">
      <c r="A1609">
        <v>46110</v>
      </c>
      <c r="B1609" t="s">
        <v>78</v>
      </c>
      <c r="C1609" t="s">
        <v>79</v>
      </c>
      <c r="D1609" t="s">
        <v>80</v>
      </c>
      <c r="E1609" t="s">
        <v>24</v>
      </c>
      <c r="F1609" t="s">
        <v>81</v>
      </c>
      <c r="G1609" t="s">
        <v>66</v>
      </c>
      <c r="H1609" t="s">
        <v>60</v>
      </c>
      <c r="I1609" t="s">
        <v>28</v>
      </c>
      <c r="J1609" t="s">
        <v>62</v>
      </c>
      <c r="K1609">
        <v>4602</v>
      </c>
      <c r="L1609">
        <v>40</v>
      </c>
      <c r="M1609">
        <v>20.21</v>
      </c>
      <c r="N1609">
        <v>3</v>
      </c>
      <c r="O1609">
        <v>52.56</v>
      </c>
      <c r="P1609">
        <f t="shared" si="100"/>
        <v>8.6918730986527588E-3</v>
      </c>
      <c r="Q1609">
        <f t="shared" si="100"/>
        <v>0.50524999999999998</v>
      </c>
      <c r="R1609">
        <f t="shared" si="101"/>
        <v>6.7366666666666672</v>
      </c>
      <c r="S1609">
        <f t="shared" si="102"/>
        <v>2.6006927263730826</v>
      </c>
      <c r="T1609">
        <f t="shared" si="103"/>
        <v>7.4999999999999997E-2</v>
      </c>
      <c r="U1609" t="str">
        <f>YEAR('Campaign Data'!$A1609)&amp;"-"&amp;TEXT(MONTH('Campaign Data'!$A1609),"00")</f>
        <v>2026-03</v>
      </c>
    </row>
    <row r="1610" spans="1:21" x14ac:dyDescent="0.25">
      <c r="A1610">
        <v>46111</v>
      </c>
      <c r="B1610" t="s">
        <v>175</v>
      </c>
      <c r="C1610" t="s">
        <v>176</v>
      </c>
      <c r="D1610" t="s">
        <v>65</v>
      </c>
      <c r="E1610" t="s">
        <v>49</v>
      </c>
      <c r="F1610" t="s">
        <v>75</v>
      </c>
      <c r="G1610" t="s">
        <v>70</v>
      </c>
      <c r="H1610" t="s">
        <v>55</v>
      </c>
      <c r="I1610" t="s">
        <v>37</v>
      </c>
      <c r="J1610" t="s">
        <v>45</v>
      </c>
      <c r="K1610">
        <v>8666</v>
      </c>
      <c r="L1610">
        <v>386</v>
      </c>
      <c r="M1610">
        <v>832.94</v>
      </c>
      <c r="N1610">
        <v>28</v>
      </c>
      <c r="O1610">
        <v>583.92999999999995</v>
      </c>
      <c r="P1610">
        <f t="shared" si="100"/>
        <v>4.4541887837525961E-2</v>
      </c>
      <c r="Q1610">
        <f t="shared" si="100"/>
        <v>2.1578756476683938</v>
      </c>
      <c r="R1610">
        <f t="shared" si="101"/>
        <v>29.747857142857146</v>
      </c>
      <c r="S1610">
        <f t="shared" si="102"/>
        <v>0.70104689413403121</v>
      </c>
      <c r="T1610">
        <f t="shared" si="103"/>
        <v>7.2538860103626937E-2</v>
      </c>
      <c r="U1610" t="str">
        <f>YEAR('Campaign Data'!$A1610)&amp;"-"&amp;TEXT(MONTH('Campaign Data'!$A1610),"00")</f>
        <v>2026-03</v>
      </c>
    </row>
    <row r="1611" spans="1:21" x14ac:dyDescent="0.25">
      <c r="A1611">
        <v>46111</v>
      </c>
      <c r="B1611" t="s">
        <v>88</v>
      </c>
      <c r="C1611" t="s">
        <v>89</v>
      </c>
      <c r="D1611" t="s">
        <v>23</v>
      </c>
      <c r="E1611" t="s">
        <v>49</v>
      </c>
      <c r="F1611" t="s">
        <v>81</v>
      </c>
      <c r="G1611" t="s">
        <v>50</v>
      </c>
      <c r="H1611" t="s">
        <v>71</v>
      </c>
      <c r="I1611" t="s">
        <v>37</v>
      </c>
      <c r="J1611" t="s">
        <v>87</v>
      </c>
      <c r="K1611">
        <v>12289</v>
      </c>
      <c r="L1611">
        <v>591</v>
      </c>
      <c r="M1611">
        <v>722.29</v>
      </c>
      <c r="N1611">
        <v>45</v>
      </c>
      <c r="O1611">
        <v>780.66</v>
      </c>
      <c r="P1611">
        <f t="shared" si="100"/>
        <v>4.8091789405159083E-2</v>
      </c>
      <c r="Q1611">
        <f t="shared" si="100"/>
        <v>1.2221489001692047</v>
      </c>
      <c r="R1611">
        <f t="shared" si="101"/>
        <v>16.050888888888888</v>
      </c>
      <c r="S1611">
        <f t="shared" si="102"/>
        <v>1.0808124160655692</v>
      </c>
      <c r="T1611">
        <f t="shared" si="103"/>
        <v>7.6142131979695438E-2</v>
      </c>
      <c r="U1611" t="str">
        <f>YEAR('Campaign Data'!$A1611)&amp;"-"&amp;TEXT(MONTH('Campaign Data'!$A1611),"00")</f>
        <v>2026-03</v>
      </c>
    </row>
    <row r="1612" spans="1:21" x14ac:dyDescent="0.25">
      <c r="A1612">
        <v>46111</v>
      </c>
      <c r="B1612" t="s">
        <v>91</v>
      </c>
      <c r="C1612" t="s">
        <v>92</v>
      </c>
      <c r="D1612" t="s">
        <v>41</v>
      </c>
      <c r="E1612" t="s">
        <v>74</v>
      </c>
      <c r="F1612" t="s">
        <v>75</v>
      </c>
      <c r="G1612" t="s">
        <v>9</v>
      </c>
      <c r="H1612" t="s">
        <v>27</v>
      </c>
      <c r="I1612" t="s">
        <v>37</v>
      </c>
      <c r="J1612" t="s">
        <v>38</v>
      </c>
      <c r="K1612">
        <v>4463</v>
      </c>
      <c r="L1612">
        <v>77</v>
      </c>
      <c r="M1612">
        <v>112.96</v>
      </c>
      <c r="N1612">
        <v>1</v>
      </c>
      <c r="O1612">
        <v>41.28</v>
      </c>
      <c r="P1612">
        <f t="shared" si="100"/>
        <v>1.7252968855030248E-2</v>
      </c>
      <c r="Q1612">
        <f t="shared" si="100"/>
        <v>1.4670129870129869</v>
      </c>
      <c r="R1612">
        <f t="shared" si="101"/>
        <v>112.96</v>
      </c>
      <c r="S1612">
        <f t="shared" si="102"/>
        <v>0.36543909348441928</v>
      </c>
      <c r="T1612">
        <f t="shared" si="103"/>
        <v>1.2987012987012988E-2</v>
      </c>
      <c r="U1612" t="str">
        <f>YEAR('Campaign Data'!$A1612)&amp;"-"&amp;TEXT(MONTH('Campaign Data'!$A1612),"00")</f>
        <v>2026-03</v>
      </c>
    </row>
    <row r="1613" spans="1:21" x14ac:dyDescent="0.25">
      <c r="A1613">
        <v>46111</v>
      </c>
      <c r="B1613" t="s">
        <v>98</v>
      </c>
      <c r="C1613" t="s">
        <v>99</v>
      </c>
      <c r="D1613" t="s">
        <v>69</v>
      </c>
      <c r="E1613" t="s">
        <v>24</v>
      </c>
      <c r="F1613" t="s">
        <v>75</v>
      </c>
      <c r="G1613" t="s">
        <v>66</v>
      </c>
      <c r="H1613" t="s">
        <v>27</v>
      </c>
      <c r="I1613" t="s">
        <v>28</v>
      </c>
      <c r="J1613" t="s">
        <v>29</v>
      </c>
      <c r="K1613">
        <v>11470</v>
      </c>
      <c r="L1613">
        <v>104</v>
      </c>
      <c r="M1613">
        <v>114.2</v>
      </c>
      <c r="N1613">
        <v>6</v>
      </c>
      <c r="O1613">
        <v>260.22000000000003</v>
      </c>
      <c r="P1613">
        <f t="shared" si="100"/>
        <v>9.0671316477768087E-3</v>
      </c>
      <c r="Q1613">
        <f t="shared" si="100"/>
        <v>1.0980769230769232</v>
      </c>
      <c r="R1613">
        <f t="shared" si="101"/>
        <v>19.033333333333335</v>
      </c>
      <c r="S1613">
        <f t="shared" si="102"/>
        <v>2.2786339754816112</v>
      </c>
      <c r="T1613">
        <f t="shared" si="103"/>
        <v>5.7692307692307696E-2</v>
      </c>
      <c r="U1613" t="str">
        <f>YEAR('Campaign Data'!$A1613)&amp;"-"&amp;TEXT(MONTH('Campaign Data'!$A1613),"00")</f>
        <v>2026-03</v>
      </c>
    </row>
    <row r="1614" spans="1:21" x14ac:dyDescent="0.25">
      <c r="A1614">
        <v>46111</v>
      </c>
      <c r="B1614" t="s">
        <v>52</v>
      </c>
      <c r="C1614" t="s">
        <v>53</v>
      </c>
      <c r="D1614" t="s">
        <v>32</v>
      </c>
      <c r="E1614" t="s">
        <v>42</v>
      </c>
      <c r="F1614" t="s">
        <v>25</v>
      </c>
      <c r="G1614" t="s">
        <v>54</v>
      </c>
      <c r="H1614" t="s">
        <v>51</v>
      </c>
      <c r="I1614" t="s">
        <v>37</v>
      </c>
      <c r="J1614" t="s">
        <v>62</v>
      </c>
      <c r="K1614">
        <v>5257</v>
      </c>
      <c r="L1614">
        <v>44</v>
      </c>
      <c r="M1614">
        <v>264.88</v>
      </c>
      <c r="N1614">
        <v>1</v>
      </c>
      <c r="O1614">
        <v>54.43</v>
      </c>
      <c r="P1614">
        <f t="shared" si="100"/>
        <v>8.3697926574091679E-3</v>
      </c>
      <c r="Q1614">
        <f t="shared" si="100"/>
        <v>6.02</v>
      </c>
      <c r="R1614">
        <f t="shared" si="101"/>
        <v>264.88</v>
      </c>
      <c r="S1614">
        <f t="shared" si="102"/>
        <v>0.20548927816369678</v>
      </c>
      <c r="T1614">
        <f t="shared" si="103"/>
        <v>2.2727272727272728E-2</v>
      </c>
      <c r="U1614" t="str">
        <f>YEAR('Campaign Data'!$A1614)&amp;"-"&amp;TEXT(MONTH('Campaign Data'!$A1614),"00")</f>
        <v>2026-03</v>
      </c>
    </row>
    <row r="1615" spans="1:21" x14ac:dyDescent="0.25">
      <c r="A1615">
        <v>46111</v>
      </c>
      <c r="B1615" t="s">
        <v>177</v>
      </c>
      <c r="C1615" t="s">
        <v>178</v>
      </c>
      <c r="D1615" t="s">
        <v>41</v>
      </c>
      <c r="E1615" t="s">
        <v>49</v>
      </c>
      <c r="F1615" t="s">
        <v>34</v>
      </c>
      <c r="G1615" t="s">
        <v>107</v>
      </c>
      <c r="H1615" t="s">
        <v>60</v>
      </c>
      <c r="I1615" t="s">
        <v>28</v>
      </c>
      <c r="J1615" t="s">
        <v>62</v>
      </c>
      <c r="K1615">
        <v>2287</v>
      </c>
      <c r="L1615">
        <v>149</v>
      </c>
      <c r="M1615">
        <v>281.79000000000002</v>
      </c>
      <c r="N1615">
        <v>6</v>
      </c>
      <c r="O1615">
        <v>431.28</v>
      </c>
      <c r="P1615">
        <f t="shared" si="100"/>
        <v>6.5150852645386975E-2</v>
      </c>
      <c r="Q1615">
        <f t="shared" si="100"/>
        <v>1.8912080536912752</v>
      </c>
      <c r="R1615">
        <f t="shared" si="101"/>
        <v>46.965000000000003</v>
      </c>
      <c r="S1615">
        <f t="shared" si="102"/>
        <v>1.5305014372404981</v>
      </c>
      <c r="T1615">
        <f t="shared" si="103"/>
        <v>4.0268456375838924E-2</v>
      </c>
      <c r="U1615" t="str">
        <f>YEAR('Campaign Data'!$A1615)&amp;"-"&amp;TEXT(MONTH('Campaign Data'!$A1615),"00")</f>
        <v>2026-03</v>
      </c>
    </row>
    <row r="1616" spans="1:21" x14ac:dyDescent="0.25">
      <c r="A1616">
        <v>46111</v>
      </c>
      <c r="B1616" t="s">
        <v>153</v>
      </c>
      <c r="C1616" t="s">
        <v>154</v>
      </c>
      <c r="D1616" t="s">
        <v>48</v>
      </c>
      <c r="E1616" t="s">
        <v>33</v>
      </c>
      <c r="F1616" t="s">
        <v>43</v>
      </c>
      <c r="G1616" t="s">
        <v>59</v>
      </c>
      <c r="H1616" t="s">
        <v>90</v>
      </c>
      <c r="I1616" t="s">
        <v>37</v>
      </c>
      <c r="J1616" t="s">
        <v>38</v>
      </c>
      <c r="K1616">
        <v>15045</v>
      </c>
      <c r="L1616">
        <v>114</v>
      </c>
      <c r="M1616">
        <v>17.559999999999999</v>
      </c>
      <c r="N1616">
        <v>3</v>
      </c>
      <c r="O1616">
        <v>18.309999999999999</v>
      </c>
      <c r="P1616">
        <f t="shared" si="100"/>
        <v>7.5772681954137588E-3</v>
      </c>
      <c r="Q1616">
        <f t="shared" si="100"/>
        <v>0.15403508771929825</v>
      </c>
      <c r="R1616">
        <f t="shared" si="101"/>
        <v>5.8533333333333326</v>
      </c>
      <c r="S1616">
        <f t="shared" si="102"/>
        <v>1.0427107061503418</v>
      </c>
      <c r="T1616">
        <f t="shared" si="103"/>
        <v>2.6315789473684209E-2</v>
      </c>
      <c r="U1616" t="str">
        <f>YEAR('Campaign Data'!$A1616)&amp;"-"&amp;TEXT(MONTH('Campaign Data'!$A1616),"00")</f>
        <v>2026-03</v>
      </c>
    </row>
    <row r="1617" spans="1:21" x14ac:dyDescent="0.25">
      <c r="A1617">
        <v>46111</v>
      </c>
      <c r="B1617" t="s">
        <v>140</v>
      </c>
      <c r="C1617" t="s">
        <v>40</v>
      </c>
      <c r="D1617" t="s">
        <v>41</v>
      </c>
      <c r="E1617" t="s">
        <v>42</v>
      </c>
      <c r="F1617" t="s">
        <v>43</v>
      </c>
      <c r="G1617" t="s">
        <v>44</v>
      </c>
      <c r="H1617" t="s">
        <v>51</v>
      </c>
      <c r="I1617" t="s">
        <v>37</v>
      </c>
      <c r="J1617" t="s">
        <v>87</v>
      </c>
      <c r="K1617">
        <v>13640</v>
      </c>
      <c r="L1617">
        <v>92</v>
      </c>
      <c r="M1617">
        <v>614.21</v>
      </c>
      <c r="N1617">
        <v>5</v>
      </c>
      <c r="O1617">
        <v>134.97999999999999</v>
      </c>
      <c r="P1617">
        <f t="shared" si="100"/>
        <v>6.7448680351906163E-3</v>
      </c>
      <c r="Q1617">
        <f t="shared" si="100"/>
        <v>6.6761956521739139</v>
      </c>
      <c r="R1617">
        <f t="shared" si="101"/>
        <v>122.84200000000001</v>
      </c>
      <c r="S1617">
        <f t="shared" si="102"/>
        <v>0.21976197066150011</v>
      </c>
      <c r="T1617">
        <f t="shared" si="103"/>
        <v>5.434782608695652E-2</v>
      </c>
      <c r="U1617" t="str">
        <f>YEAR('Campaign Data'!$A1617)&amp;"-"&amp;TEXT(MONTH('Campaign Data'!$A1617),"00")</f>
        <v>2026-03</v>
      </c>
    </row>
    <row r="1618" spans="1:21" x14ac:dyDescent="0.25">
      <c r="A1618">
        <v>46111</v>
      </c>
      <c r="B1618" t="s">
        <v>112</v>
      </c>
      <c r="C1618" t="s">
        <v>113</v>
      </c>
      <c r="D1618" t="s">
        <v>32</v>
      </c>
      <c r="E1618" t="s">
        <v>24</v>
      </c>
      <c r="F1618" t="s">
        <v>75</v>
      </c>
      <c r="G1618" t="s">
        <v>66</v>
      </c>
      <c r="H1618" t="s">
        <v>27</v>
      </c>
      <c r="I1618" t="s">
        <v>61</v>
      </c>
      <c r="J1618" t="s">
        <v>38</v>
      </c>
      <c r="K1618">
        <v>13550</v>
      </c>
      <c r="L1618">
        <v>211</v>
      </c>
      <c r="M1618">
        <v>313.47000000000003</v>
      </c>
      <c r="N1618">
        <v>3</v>
      </c>
      <c r="O1618">
        <v>187.54</v>
      </c>
      <c r="P1618">
        <f t="shared" si="100"/>
        <v>1.5571955719557195E-2</v>
      </c>
      <c r="Q1618">
        <f t="shared" si="100"/>
        <v>1.4856398104265405</v>
      </c>
      <c r="R1618">
        <f t="shared" si="101"/>
        <v>104.49000000000001</v>
      </c>
      <c r="S1618">
        <f t="shared" si="102"/>
        <v>0.59827096691868431</v>
      </c>
      <c r="T1618">
        <f t="shared" si="103"/>
        <v>1.4218009478672985E-2</v>
      </c>
      <c r="U1618" t="str">
        <f>YEAR('Campaign Data'!$A1618)&amp;"-"&amp;TEXT(MONTH('Campaign Data'!$A1618),"00")</f>
        <v>2026-03</v>
      </c>
    </row>
    <row r="1619" spans="1:21" x14ac:dyDescent="0.25">
      <c r="A1619">
        <v>46111</v>
      </c>
      <c r="B1619" t="s">
        <v>112</v>
      </c>
      <c r="C1619" t="s">
        <v>113</v>
      </c>
      <c r="D1619" t="s">
        <v>32</v>
      </c>
      <c r="E1619" t="s">
        <v>24</v>
      </c>
      <c r="F1619" t="s">
        <v>75</v>
      </c>
      <c r="G1619" t="s">
        <v>66</v>
      </c>
      <c r="H1619" t="s">
        <v>55</v>
      </c>
      <c r="I1619" t="s">
        <v>61</v>
      </c>
      <c r="J1619" t="s">
        <v>29</v>
      </c>
      <c r="K1619">
        <v>11739</v>
      </c>
      <c r="L1619">
        <v>136</v>
      </c>
      <c r="M1619">
        <v>121.45</v>
      </c>
      <c r="N1619">
        <v>1</v>
      </c>
      <c r="O1619">
        <v>40.700000000000003</v>
      </c>
      <c r="P1619">
        <f t="shared" si="100"/>
        <v>1.1585313910895307E-2</v>
      </c>
      <c r="Q1619">
        <f t="shared" si="100"/>
        <v>0.89301470588235299</v>
      </c>
      <c r="R1619">
        <f t="shared" si="101"/>
        <v>121.45</v>
      </c>
      <c r="S1619">
        <f t="shared" si="102"/>
        <v>0.3351173322354879</v>
      </c>
      <c r="T1619">
        <f t="shared" si="103"/>
        <v>7.3529411764705881E-3</v>
      </c>
      <c r="U1619" t="str">
        <f>YEAR('Campaign Data'!$A1619)&amp;"-"&amp;TEXT(MONTH('Campaign Data'!$A1619),"00")</f>
        <v>2026-03</v>
      </c>
    </row>
    <row r="1620" spans="1:21" x14ac:dyDescent="0.25">
      <c r="A1620">
        <v>46111</v>
      </c>
      <c r="B1620" t="s">
        <v>181</v>
      </c>
      <c r="C1620" t="s">
        <v>182</v>
      </c>
      <c r="D1620" t="s">
        <v>32</v>
      </c>
      <c r="E1620" t="s">
        <v>33</v>
      </c>
      <c r="F1620" t="s">
        <v>75</v>
      </c>
      <c r="G1620" t="s">
        <v>59</v>
      </c>
      <c r="H1620" t="s">
        <v>27</v>
      </c>
      <c r="I1620" t="s">
        <v>28</v>
      </c>
      <c r="J1620" t="s">
        <v>38</v>
      </c>
      <c r="K1620">
        <v>21616</v>
      </c>
      <c r="L1620">
        <v>227</v>
      </c>
      <c r="M1620">
        <v>203.12</v>
      </c>
      <c r="N1620">
        <v>0</v>
      </c>
      <c r="O1620">
        <v>0</v>
      </c>
      <c r="P1620">
        <f t="shared" si="100"/>
        <v>1.0501480384900074E-2</v>
      </c>
      <c r="Q1620">
        <f t="shared" si="100"/>
        <v>0.89480176211453744</v>
      </c>
      <c r="R1620">
        <f t="shared" si="101"/>
        <v>0</v>
      </c>
      <c r="S1620">
        <f t="shared" si="102"/>
        <v>0</v>
      </c>
      <c r="T1620">
        <f t="shared" si="103"/>
        <v>0</v>
      </c>
      <c r="U1620" t="str">
        <f>YEAR('Campaign Data'!$A1620)&amp;"-"&amp;TEXT(MONTH('Campaign Data'!$A1620),"00")</f>
        <v>2026-03</v>
      </c>
    </row>
    <row r="1621" spans="1:21" x14ac:dyDescent="0.25">
      <c r="A1621">
        <v>46111</v>
      </c>
      <c r="B1621" t="s">
        <v>63</v>
      </c>
      <c r="C1621" t="s">
        <v>64</v>
      </c>
      <c r="D1621" t="s">
        <v>65</v>
      </c>
      <c r="E1621" t="s">
        <v>24</v>
      </c>
      <c r="F1621" t="s">
        <v>43</v>
      </c>
      <c r="G1621" t="s">
        <v>66</v>
      </c>
      <c r="H1621" t="s">
        <v>90</v>
      </c>
      <c r="I1621" t="s">
        <v>28</v>
      </c>
      <c r="J1621" t="s">
        <v>45</v>
      </c>
      <c r="K1621">
        <v>4753</v>
      </c>
      <c r="L1621">
        <v>79</v>
      </c>
      <c r="M1621">
        <v>26.38</v>
      </c>
      <c r="N1621">
        <v>1</v>
      </c>
      <c r="O1621">
        <v>8.16</v>
      </c>
      <c r="P1621">
        <f t="shared" si="100"/>
        <v>1.6621081422259626E-2</v>
      </c>
      <c r="Q1621">
        <f t="shared" si="100"/>
        <v>0.33392405063291136</v>
      </c>
      <c r="R1621">
        <f t="shared" si="101"/>
        <v>26.38</v>
      </c>
      <c r="S1621">
        <f t="shared" si="102"/>
        <v>0.309325246398787</v>
      </c>
      <c r="T1621">
        <f t="shared" si="103"/>
        <v>1.2658227848101266E-2</v>
      </c>
      <c r="U1621" t="str">
        <f>YEAR('Campaign Data'!$A1621)&amp;"-"&amp;TEXT(MONTH('Campaign Data'!$A1621),"00")</f>
        <v>2026-03</v>
      </c>
    </row>
    <row r="1622" spans="1:21" x14ac:dyDescent="0.25">
      <c r="A1622">
        <v>46111</v>
      </c>
      <c r="B1622" t="s">
        <v>67</v>
      </c>
      <c r="C1622" t="s">
        <v>68</v>
      </c>
      <c r="D1622" t="s">
        <v>69</v>
      </c>
      <c r="E1622" t="s">
        <v>49</v>
      </c>
      <c r="F1622" t="s">
        <v>34</v>
      </c>
      <c r="G1622" t="s">
        <v>70</v>
      </c>
      <c r="H1622" t="s">
        <v>27</v>
      </c>
      <c r="I1622" t="s">
        <v>37</v>
      </c>
      <c r="J1622" t="s">
        <v>87</v>
      </c>
      <c r="K1622">
        <v>6088</v>
      </c>
      <c r="L1622">
        <v>277</v>
      </c>
      <c r="M1622">
        <v>564.77</v>
      </c>
      <c r="N1622">
        <v>18</v>
      </c>
      <c r="O1622">
        <v>4834.8</v>
      </c>
      <c r="P1622">
        <f t="shared" si="100"/>
        <v>4.5499342969776611E-2</v>
      </c>
      <c r="Q1622">
        <f t="shared" si="100"/>
        <v>2.0388808664259925</v>
      </c>
      <c r="R1622">
        <f t="shared" si="101"/>
        <v>31.376111111111111</v>
      </c>
      <c r="S1622">
        <f t="shared" si="102"/>
        <v>8.5606530091895827</v>
      </c>
      <c r="T1622">
        <f t="shared" si="103"/>
        <v>6.4981949458483748E-2</v>
      </c>
      <c r="U1622" t="str">
        <f>YEAR('Campaign Data'!$A1622)&amp;"-"&amp;TEXT(MONTH('Campaign Data'!$A1622),"00")</f>
        <v>2026-03</v>
      </c>
    </row>
    <row r="1623" spans="1:21" x14ac:dyDescent="0.25">
      <c r="A1623">
        <v>46111</v>
      </c>
      <c r="B1623" t="s">
        <v>82</v>
      </c>
      <c r="C1623" t="s">
        <v>83</v>
      </c>
      <c r="D1623" t="s">
        <v>80</v>
      </c>
      <c r="E1623" t="s">
        <v>42</v>
      </c>
      <c r="F1623" t="s">
        <v>34</v>
      </c>
      <c r="G1623" t="s">
        <v>84</v>
      </c>
      <c r="H1623" t="s">
        <v>36</v>
      </c>
      <c r="I1623" t="s">
        <v>28</v>
      </c>
      <c r="J1623" t="s">
        <v>38</v>
      </c>
      <c r="K1623">
        <v>14008</v>
      </c>
      <c r="L1623">
        <v>53</v>
      </c>
      <c r="M1623">
        <v>306.05</v>
      </c>
      <c r="N1623">
        <v>2</v>
      </c>
      <c r="O1623">
        <v>222.65</v>
      </c>
      <c r="P1623">
        <f t="shared" si="100"/>
        <v>3.7835522558537977E-3</v>
      </c>
      <c r="Q1623">
        <f t="shared" si="100"/>
        <v>5.774528301886793</v>
      </c>
      <c r="R1623">
        <f t="shared" si="101"/>
        <v>153.02500000000001</v>
      </c>
      <c r="S1623">
        <f t="shared" si="102"/>
        <v>0.72749550727005385</v>
      </c>
      <c r="T1623">
        <f t="shared" si="103"/>
        <v>3.7735849056603772E-2</v>
      </c>
      <c r="U1623" t="str">
        <f>YEAR('Campaign Data'!$A1623)&amp;"-"&amp;TEXT(MONTH('Campaign Data'!$A1623),"00")</f>
        <v>2026-03</v>
      </c>
    </row>
    <row r="1624" spans="1:21" x14ac:dyDescent="0.25">
      <c r="A1624">
        <v>46112</v>
      </c>
      <c r="B1624" t="s">
        <v>85</v>
      </c>
      <c r="C1624" t="s">
        <v>86</v>
      </c>
      <c r="D1624" t="s">
        <v>80</v>
      </c>
      <c r="E1624" t="s">
        <v>33</v>
      </c>
      <c r="F1624" t="s">
        <v>43</v>
      </c>
      <c r="G1624" t="s">
        <v>35</v>
      </c>
      <c r="H1624" t="s">
        <v>90</v>
      </c>
      <c r="I1624" t="s">
        <v>28</v>
      </c>
      <c r="J1624" t="s">
        <v>45</v>
      </c>
      <c r="K1624">
        <v>13413</v>
      </c>
      <c r="L1624">
        <v>90</v>
      </c>
      <c r="M1624">
        <v>14.93</v>
      </c>
      <c r="N1624">
        <v>2</v>
      </c>
      <c r="O1624">
        <v>16.95</v>
      </c>
      <c r="P1624">
        <f t="shared" si="100"/>
        <v>6.7099082979199288E-3</v>
      </c>
      <c r="Q1624">
        <f t="shared" si="100"/>
        <v>0.16588888888888889</v>
      </c>
      <c r="R1624">
        <f t="shared" si="101"/>
        <v>7.4649999999999999</v>
      </c>
      <c r="S1624">
        <f t="shared" si="102"/>
        <v>1.1352980576021434</v>
      </c>
      <c r="T1624">
        <f t="shared" si="103"/>
        <v>2.2222222222222223E-2</v>
      </c>
      <c r="U1624" t="str">
        <f>YEAR('Campaign Data'!$A1624)&amp;"-"&amp;TEXT(MONTH('Campaign Data'!$A1624),"00")</f>
        <v>2026-03</v>
      </c>
    </row>
    <row r="1625" spans="1:21" x14ac:dyDescent="0.25">
      <c r="A1625">
        <v>46112</v>
      </c>
      <c r="B1625" t="s">
        <v>147</v>
      </c>
      <c r="C1625" t="s">
        <v>148</v>
      </c>
      <c r="D1625" t="s">
        <v>23</v>
      </c>
      <c r="E1625" t="s">
        <v>42</v>
      </c>
      <c r="F1625" t="s">
        <v>75</v>
      </c>
      <c r="G1625" t="s">
        <v>44</v>
      </c>
      <c r="H1625" t="s">
        <v>27</v>
      </c>
      <c r="I1625" t="s">
        <v>37</v>
      </c>
      <c r="J1625" t="s">
        <v>45</v>
      </c>
      <c r="K1625">
        <v>5950</v>
      </c>
      <c r="L1625">
        <v>24</v>
      </c>
      <c r="M1625">
        <v>155.75</v>
      </c>
      <c r="N1625">
        <v>2</v>
      </c>
      <c r="O1625">
        <v>58.86</v>
      </c>
      <c r="P1625">
        <f t="shared" si="100"/>
        <v>4.0336134453781512E-3</v>
      </c>
      <c r="Q1625">
        <f t="shared" si="100"/>
        <v>6.489583333333333</v>
      </c>
      <c r="R1625">
        <f t="shared" si="101"/>
        <v>77.875</v>
      </c>
      <c r="S1625">
        <f t="shared" si="102"/>
        <v>0.37791332263242378</v>
      </c>
      <c r="T1625">
        <f t="shared" si="103"/>
        <v>8.3333333333333329E-2</v>
      </c>
      <c r="U1625" t="str">
        <f>YEAR('Campaign Data'!$A1625)&amp;"-"&amp;TEXT(MONTH('Campaign Data'!$A1625),"00")</f>
        <v>2026-03</v>
      </c>
    </row>
    <row r="1626" spans="1:21" x14ac:dyDescent="0.25">
      <c r="A1626">
        <v>46112</v>
      </c>
      <c r="B1626" t="s">
        <v>186</v>
      </c>
      <c r="C1626" t="s">
        <v>187</v>
      </c>
      <c r="D1626" t="s">
        <v>80</v>
      </c>
      <c r="E1626" t="s">
        <v>33</v>
      </c>
      <c r="F1626" t="s">
        <v>43</v>
      </c>
      <c r="G1626" t="s">
        <v>102</v>
      </c>
      <c r="H1626" t="s">
        <v>55</v>
      </c>
      <c r="I1626" t="s">
        <v>28</v>
      </c>
      <c r="J1626" t="s">
        <v>29</v>
      </c>
      <c r="K1626">
        <v>14135</v>
      </c>
      <c r="L1626">
        <v>116</v>
      </c>
      <c r="M1626">
        <v>77.040000000000006</v>
      </c>
      <c r="N1626">
        <v>1</v>
      </c>
      <c r="O1626">
        <v>11.63</v>
      </c>
      <c r="P1626">
        <f t="shared" si="100"/>
        <v>8.2065794128050942E-3</v>
      </c>
      <c r="Q1626">
        <f t="shared" si="100"/>
        <v>0.66413793103448282</v>
      </c>
      <c r="R1626">
        <f t="shared" si="101"/>
        <v>77.040000000000006</v>
      </c>
      <c r="S1626">
        <f t="shared" si="102"/>
        <v>0.15096053997923156</v>
      </c>
      <c r="T1626">
        <f t="shared" si="103"/>
        <v>8.6206896551724137E-3</v>
      </c>
      <c r="U1626" t="str">
        <f>YEAR('Campaign Data'!$A1626)&amp;"-"&amp;TEXT(MONTH('Campaign Data'!$A1626),"00")</f>
        <v>2026-03</v>
      </c>
    </row>
    <row r="1627" spans="1:21" x14ac:dyDescent="0.25">
      <c r="A1627">
        <v>46112</v>
      </c>
      <c r="B1627" t="s">
        <v>93</v>
      </c>
      <c r="C1627" t="s">
        <v>94</v>
      </c>
      <c r="D1627" t="s">
        <v>69</v>
      </c>
      <c r="E1627" t="s">
        <v>42</v>
      </c>
      <c r="F1627" t="s">
        <v>75</v>
      </c>
      <c r="G1627" t="s">
        <v>44</v>
      </c>
      <c r="H1627" t="s">
        <v>27</v>
      </c>
      <c r="I1627" t="s">
        <v>28</v>
      </c>
      <c r="J1627" t="s">
        <v>38</v>
      </c>
      <c r="K1627">
        <v>10146</v>
      </c>
      <c r="L1627">
        <v>89</v>
      </c>
      <c r="M1627">
        <v>588.14</v>
      </c>
      <c r="N1627">
        <v>5</v>
      </c>
      <c r="O1627">
        <v>273.52</v>
      </c>
      <c r="P1627">
        <f t="shared" si="100"/>
        <v>8.771929824561403E-3</v>
      </c>
      <c r="Q1627">
        <f t="shared" si="100"/>
        <v>6.6083146067415726</v>
      </c>
      <c r="R1627">
        <f t="shared" si="101"/>
        <v>117.628</v>
      </c>
      <c r="S1627">
        <f t="shared" si="102"/>
        <v>0.46505933961301726</v>
      </c>
      <c r="T1627">
        <f t="shared" si="103"/>
        <v>5.6179775280898875E-2</v>
      </c>
      <c r="U1627" t="str">
        <f>YEAR('Campaign Data'!$A1627)&amp;"-"&amp;TEXT(MONTH('Campaign Data'!$A1627),"00")</f>
        <v>2026-03</v>
      </c>
    </row>
    <row r="1628" spans="1:21" x14ac:dyDescent="0.25">
      <c r="A1628">
        <v>46112</v>
      </c>
      <c r="B1628" t="s">
        <v>30</v>
      </c>
      <c r="C1628" t="s">
        <v>31</v>
      </c>
      <c r="D1628" t="s">
        <v>32</v>
      </c>
      <c r="E1628" t="s">
        <v>33</v>
      </c>
      <c r="F1628" t="s">
        <v>34</v>
      </c>
      <c r="G1628" t="s">
        <v>35</v>
      </c>
      <c r="H1628" t="s">
        <v>51</v>
      </c>
      <c r="I1628" t="s">
        <v>37</v>
      </c>
      <c r="J1628" t="s">
        <v>38</v>
      </c>
      <c r="K1628">
        <v>4433</v>
      </c>
      <c r="L1628">
        <v>53</v>
      </c>
      <c r="M1628">
        <v>41.39</v>
      </c>
      <c r="N1628">
        <v>2</v>
      </c>
      <c r="O1628">
        <v>111.03</v>
      </c>
      <c r="P1628">
        <f t="shared" si="100"/>
        <v>1.1955786149334537E-2</v>
      </c>
      <c r="Q1628">
        <f t="shared" si="100"/>
        <v>0.78094339622641507</v>
      </c>
      <c r="R1628">
        <f t="shared" si="101"/>
        <v>20.695</v>
      </c>
      <c r="S1628">
        <f t="shared" si="102"/>
        <v>2.6825320125634211</v>
      </c>
      <c r="T1628">
        <f t="shared" si="103"/>
        <v>3.7735849056603772E-2</v>
      </c>
      <c r="U1628" t="str">
        <f>YEAR('Campaign Data'!$A1628)&amp;"-"&amp;TEXT(MONTH('Campaign Data'!$A1628),"00")</f>
        <v>2026-03</v>
      </c>
    </row>
    <row r="1629" spans="1:21" x14ac:dyDescent="0.25">
      <c r="A1629">
        <v>46112</v>
      </c>
      <c r="B1629" t="s">
        <v>52</v>
      </c>
      <c r="C1629" t="s">
        <v>53</v>
      </c>
      <c r="D1629" t="s">
        <v>32</v>
      </c>
      <c r="E1629" t="s">
        <v>42</v>
      </c>
      <c r="F1629" t="s">
        <v>25</v>
      </c>
      <c r="G1629" t="s">
        <v>54</v>
      </c>
      <c r="H1629" t="s">
        <v>90</v>
      </c>
      <c r="I1629" t="s">
        <v>28</v>
      </c>
      <c r="J1629" t="s">
        <v>62</v>
      </c>
      <c r="K1629">
        <v>6883</v>
      </c>
      <c r="L1629">
        <v>28</v>
      </c>
      <c r="M1629">
        <v>42.09</v>
      </c>
      <c r="N1629">
        <v>1</v>
      </c>
      <c r="O1629">
        <v>36.03</v>
      </c>
      <c r="P1629">
        <f t="shared" si="100"/>
        <v>4.0679936074386166E-3</v>
      </c>
      <c r="Q1629">
        <f t="shared" si="100"/>
        <v>1.5032142857142858</v>
      </c>
      <c r="R1629">
        <f t="shared" si="101"/>
        <v>42.09</v>
      </c>
      <c r="S1629">
        <f t="shared" si="102"/>
        <v>0.85602280826799715</v>
      </c>
      <c r="T1629">
        <f t="shared" si="103"/>
        <v>3.5714285714285712E-2</v>
      </c>
      <c r="U1629" t="str">
        <f>YEAR('Campaign Data'!$A1629)&amp;"-"&amp;TEXT(MONTH('Campaign Data'!$A1629),"00")</f>
        <v>2026-03</v>
      </c>
    </row>
    <row r="1630" spans="1:21" x14ac:dyDescent="0.25">
      <c r="A1630">
        <v>46112</v>
      </c>
      <c r="B1630" t="s">
        <v>100</v>
      </c>
      <c r="C1630" t="s">
        <v>101</v>
      </c>
      <c r="D1630" t="s">
        <v>80</v>
      </c>
      <c r="E1630" t="s">
        <v>33</v>
      </c>
      <c r="F1630" t="s">
        <v>25</v>
      </c>
      <c r="G1630" t="s">
        <v>102</v>
      </c>
      <c r="H1630" t="s">
        <v>36</v>
      </c>
      <c r="I1630" t="s">
        <v>37</v>
      </c>
      <c r="J1630" t="s">
        <v>38</v>
      </c>
      <c r="K1630">
        <v>19453</v>
      </c>
      <c r="L1630">
        <v>178</v>
      </c>
      <c r="M1630">
        <v>116.05</v>
      </c>
      <c r="N1630">
        <v>3</v>
      </c>
      <c r="O1630">
        <v>375.23</v>
      </c>
      <c r="P1630">
        <f t="shared" si="100"/>
        <v>9.150259600061687E-3</v>
      </c>
      <c r="Q1630">
        <f t="shared" si="100"/>
        <v>0.65196629213483148</v>
      </c>
      <c r="R1630">
        <f t="shared" si="101"/>
        <v>38.68333333333333</v>
      </c>
      <c r="S1630">
        <f t="shared" si="102"/>
        <v>3.2333476949590696</v>
      </c>
      <c r="T1630">
        <f t="shared" si="103"/>
        <v>1.6853932584269662E-2</v>
      </c>
      <c r="U1630" t="str">
        <f>YEAR('Campaign Data'!$A1630)&amp;"-"&amp;TEXT(MONTH('Campaign Data'!$A1630),"00")</f>
        <v>2026-03</v>
      </c>
    </row>
    <row r="1631" spans="1:21" x14ac:dyDescent="0.25">
      <c r="A1631">
        <v>46112</v>
      </c>
      <c r="B1631" t="s">
        <v>103</v>
      </c>
      <c r="C1631" t="s">
        <v>104</v>
      </c>
      <c r="D1631" t="s">
        <v>65</v>
      </c>
      <c r="E1631" t="s">
        <v>33</v>
      </c>
      <c r="F1631" t="s">
        <v>43</v>
      </c>
      <c r="G1631" t="s">
        <v>102</v>
      </c>
      <c r="H1631" t="s">
        <v>27</v>
      </c>
      <c r="I1631" t="s">
        <v>37</v>
      </c>
      <c r="J1631" t="s">
        <v>38</v>
      </c>
      <c r="K1631">
        <v>17713</v>
      </c>
      <c r="L1631">
        <v>146</v>
      </c>
      <c r="M1631">
        <v>150.97</v>
      </c>
      <c r="N1631">
        <v>2</v>
      </c>
      <c r="O1631">
        <v>56.04</v>
      </c>
      <c r="P1631">
        <f t="shared" si="100"/>
        <v>8.2425337322870208E-3</v>
      </c>
      <c r="Q1631">
        <f t="shared" si="100"/>
        <v>1.0340410958904109</v>
      </c>
      <c r="R1631">
        <f t="shared" si="101"/>
        <v>75.484999999999999</v>
      </c>
      <c r="S1631">
        <f t="shared" si="102"/>
        <v>0.37119957607471682</v>
      </c>
      <c r="T1631">
        <f t="shared" si="103"/>
        <v>1.3698630136986301E-2</v>
      </c>
      <c r="U1631" t="str">
        <f>YEAR('Campaign Data'!$A1631)&amp;"-"&amp;TEXT(MONTH('Campaign Data'!$A1631),"00")</f>
        <v>2026-03</v>
      </c>
    </row>
    <row r="1632" spans="1:21" x14ac:dyDescent="0.25">
      <c r="A1632">
        <v>46112</v>
      </c>
      <c r="B1632" t="s">
        <v>130</v>
      </c>
      <c r="C1632" t="s">
        <v>131</v>
      </c>
      <c r="D1632" t="s">
        <v>48</v>
      </c>
      <c r="E1632" t="s">
        <v>33</v>
      </c>
      <c r="F1632" t="s">
        <v>34</v>
      </c>
      <c r="G1632" t="s">
        <v>35</v>
      </c>
      <c r="H1632" t="s">
        <v>27</v>
      </c>
      <c r="I1632" t="s">
        <v>37</v>
      </c>
      <c r="J1632" t="s">
        <v>29</v>
      </c>
      <c r="K1632">
        <v>2825</v>
      </c>
      <c r="L1632">
        <v>23</v>
      </c>
      <c r="M1632">
        <v>20.7</v>
      </c>
      <c r="N1632">
        <v>0</v>
      </c>
      <c r="O1632">
        <v>0</v>
      </c>
      <c r="P1632">
        <f t="shared" si="100"/>
        <v>8.1415929203539818E-3</v>
      </c>
      <c r="Q1632">
        <f t="shared" si="100"/>
        <v>0.9</v>
      </c>
      <c r="R1632">
        <f t="shared" si="101"/>
        <v>0</v>
      </c>
      <c r="S1632">
        <f t="shared" si="102"/>
        <v>0</v>
      </c>
      <c r="T1632">
        <f t="shared" si="103"/>
        <v>0</v>
      </c>
      <c r="U1632" t="str">
        <f>YEAR('Campaign Data'!$A1632)&amp;"-"&amp;TEXT(MONTH('Campaign Data'!$A1632),"00")</f>
        <v>2026-03</v>
      </c>
    </row>
    <row r="1633" spans="1:21" x14ac:dyDescent="0.25">
      <c r="A1633">
        <v>46112</v>
      </c>
      <c r="B1633" t="s">
        <v>132</v>
      </c>
      <c r="C1633" t="s">
        <v>133</v>
      </c>
      <c r="D1633" t="s">
        <v>23</v>
      </c>
      <c r="E1633" t="s">
        <v>42</v>
      </c>
      <c r="F1633" t="s">
        <v>75</v>
      </c>
      <c r="G1633" t="s">
        <v>84</v>
      </c>
      <c r="H1633" t="s">
        <v>36</v>
      </c>
      <c r="I1633" t="s">
        <v>37</v>
      </c>
      <c r="J1633" t="s">
        <v>62</v>
      </c>
      <c r="K1633">
        <v>6104</v>
      </c>
      <c r="L1633">
        <v>66</v>
      </c>
      <c r="M1633">
        <v>399.72</v>
      </c>
      <c r="N1633">
        <v>0</v>
      </c>
      <c r="O1633">
        <v>0</v>
      </c>
      <c r="P1633">
        <f t="shared" si="100"/>
        <v>1.0812581913499346E-2</v>
      </c>
      <c r="Q1633">
        <f t="shared" si="100"/>
        <v>6.0563636363636366</v>
      </c>
      <c r="R1633">
        <f t="shared" si="101"/>
        <v>0</v>
      </c>
      <c r="S1633">
        <f t="shared" si="102"/>
        <v>0</v>
      </c>
      <c r="T1633">
        <f t="shared" si="103"/>
        <v>0</v>
      </c>
      <c r="U1633" t="str">
        <f>YEAR('Campaign Data'!$A1633)&amp;"-"&amp;TEXT(MONTH('Campaign Data'!$A1633),"00")</f>
        <v>2026-03</v>
      </c>
    </row>
    <row r="1634" spans="1:21" x14ac:dyDescent="0.25">
      <c r="A1634">
        <v>46112</v>
      </c>
      <c r="B1634" t="s">
        <v>177</v>
      </c>
      <c r="C1634" t="s">
        <v>178</v>
      </c>
      <c r="D1634" t="s">
        <v>41</v>
      </c>
      <c r="E1634" t="s">
        <v>49</v>
      </c>
      <c r="F1634" t="s">
        <v>34</v>
      </c>
      <c r="G1634" t="s">
        <v>107</v>
      </c>
      <c r="H1634" t="s">
        <v>71</v>
      </c>
      <c r="I1634" t="s">
        <v>37</v>
      </c>
      <c r="J1634" t="s">
        <v>38</v>
      </c>
      <c r="K1634">
        <v>20555</v>
      </c>
      <c r="L1634">
        <v>764</v>
      </c>
      <c r="M1634">
        <v>1548.85</v>
      </c>
      <c r="N1634">
        <v>29</v>
      </c>
      <c r="O1634">
        <v>2106.3200000000002</v>
      </c>
      <c r="P1634">
        <f t="shared" si="100"/>
        <v>3.7168572123570907E-2</v>
      </c>
      <c r="Q1634">
        <f t="shared" si="100"/>
        <v>2.0272905759162301</v>
      </c>
      <c r="R1634">
        <f t="shared" si="101"/>
        <v>53.408620689655166</v>
      </c>
      <c r="S1634">
        <f t="shared" si="102"/>
        <v>1.3599251057236015</v>
      </c>
      <c r="T1634">
        <f t="shared" si="103"/>
        <v>3.7958115183246072E-2</v>
      </c>
      <c r="U1634" t="str">
        <f>YEAR('Campaign Data'!$A1634)&amp;"-"&amp;TEXT(MONTH('Campaign Data'!$A1634),"00")</f>
        <v>2026-03</v>
      </c>
    </row>
    <row r="1635" spans="1:21" x14ac:dyDescent="0.25">
      <c r="A1635">
        <v>46112</v>
      </c>
      <c r="B1635" t="s">
        <v>157</v>
      </c>
      <c r="C1635" t="s">
        <v>158</v>
      </c>
      <c r="D1635" t="s">
        <v>58</v>
      </c>
      <c r="E1635" t="s">
        <v>49</v>
      </c>
      <c r="F1635" t="s">
        <v>81</v>
      </c>
      <c r="G1635" t="s">
        <v>50</v>
      </c>
      <c r="H1635" t="s">
        <v>71</v>
      </c>
      <c r="I1635" t="s">
        <v>37</v>
      </c>
      <c r="J1635" t="s">
        <v>38</v>
      </c>
      <c r="K1635">
        <v>11971</v>
      </c>
      <c r="L1635">
        <v>573</v>
      </c>
      <c r="M1635">
        <v>1019.97</v>
      </c>
      <c r="N1635">
        <v>29</v>
      </c>
      <c r="O1635">
        <v>575.38</v>
      </c>
      <c r="P1635">
        <f t="shared" si="100"/>
        <v>4.7865675382173588E-2</v>
      </c>
      <c r="Q1635">
        <f t="shared" si="100"/>
        <v>1.7800523560209425</v>
      </c>
      <c r="R1635">
        <f t="shared" si="101"/>
        <v>35.171379310344825</v>
      </c>
      <c r="S1635">
        <f t="shared" si="102"/>
        <v>0.56411463082247515</v>
      </c>
      <c r="T1635">
        <f t="shared" si="103"/>
        <v>5.06108202443281E-2</v>
      </c>
      <c r="U1635" t="str">
        <f>YEAR('Campaign Data'!$A1635)&amp;"-"&amp;TEXT(MONTH('Campaign Data'!$A1635),"00")</f>
        <v>2026-03</v>
      </c>
    </row>
    <row r="1636" spans="1:21" x14ac:dyDescent="0.25">
      <c r="A1636">
        <v>46112</v>
      </c>
      <c r="B1636" t="s">
        <v>136</v>
      </c>
      <c r="C1636" t="s">
        <v>137</v>
      </c>
      <c r="D1636" t="s">
        <v>32</v>
      </c>
      <c r="E1636" t="s">
        <v>49</v>
      </c>
      <c r="F1636" t="s">
        <v>75</v>
      </c>
      <c r="G1636" t="s">
        <v>97</v>
      </c>
      <c r="H1636" t="s">
        <v>71</v>
      </c>
      <c r="I1636" t="s">
        <v>28</v>
      </c>
      <c r="J1636" t="s">
        <v>87</v>
      </c>
      <c r="K1636">
        <v>7474</v>
      </c>
      <c r="L1636">
        <v>406</v>
      </c>
      <c r="M1636">
        <v>535.70000000000005</v>
      </c>
      <c r="N1636">
        <v>18</v>
      </c>
      <c r="O1636">
        <v>528.49</v>
      </c>
      <c r="P1636">
        <f t="shared" si="100"/>
        <v>5.432164838105432E-2</v>
      </c>
      <c r="Q1636">
        <f t="shared" si="100"/>
        <v>1.3194581280788178</v>
      </c>
      <c r="R1636">
        <f t="shared" si="101"/>
        <v>29.761111111111113</v>
      </c>
      <c r="S1636">
        <f t="shared" si="102"/>
        <v>0.98654097442598465</v>
      </c>
      <c r="T1636">
        <f t="shared" si="103"/>
        <v>4.4334975369458129E-2</v>
      </c>
      <c r="U1636" t="str">
        <f>YEAR('Campaign Data'!$A1636)&amp;"-"&amp;TEXT(MONTH('Campaign Data'!$A1636),"00")</f>
        <v>2026-03</v>
      </c>
    </row>
    <row r="1637" spans="1:21" x14ac:dyDescent="0.25">
      <c r="A1637">
        <v>46112</v>
      </c>
      <c r="B1637" t="s">
        <v>143</v>
      </c>
      <c r="C1637" t="s">
        <v>144</v>
      </c>
      <c r="D1637" t="s">
        <v>48</v>
      </c>
      <c r="E1637" t="s">
        <v>42</v>
      </c>
      <c r="F1637" t="s">
        <v>25</v>
      </c>
      <c r="G1637" t="s">
        <v>84</v>
      </c>
      <c r="H1637" t="s">
        <v>51</v>
      </c>
      <c r="I1637" t="s">
        <v>37</v>
      </c>
      <c r="J1637" t="s">
        <v>87</v>
      </c>
      <c r="K1637">
        <v>8458</v>
      </c>
      <c r="L1637">
        <v>59</v>
      </c>
      <c r="M1637">
        <v>399.66</v>
      </c>
      <c r="N1637">
        <v>2</v>
      </c>
      <c r="O1637">
        <v>100.2</v>
      </c>
      <c r="P1637">
        <f t="shared" si="100"/>
        <v>6.9756443603688819E-3</v>
      </c>
      <c r="Q1637">
        <f t="shared" si="100"/>
        <v>6.7738983050847459</v>
      </c>
      <c r="R1637">
        <f t="shared" si="101"/>
        <v>199.83</v>
      </c>
      <c r="S1637">
        <f t="shared" si="102"/>
        <v>0.25071310614021919</v>
      </c>
      <c r="T1637">
        <f t="shared" si="103"/>
        <v>3.3898305084745763E-2</v>
      </c>
      <c r="U1637" t="str">
        <f>YEAR('Campaign Data'!$A1637)&amp;"-"&amp;TEXT(MONTH('Campaign Data'!$A1637),"00")</f>
        <v>2026-03</v>
      </c>
    </row>
    <row r="1638" spans="1:21" x14ac:dyDescent="0.25">
      <c r="A1638">
        <v>46112</v>
      </c>
      <c r="B1638" t="s">
        <v>183</v>
      </c>
      <c r="C1638" t="s">
        <v>184</v>
      </c>
      <c r="D1638" t="s">
        <v>23</v>
      </c>
      <c r="E1638" t="s">
        <v>24</v>
      </c>
      <c r="F1638" t="s">
        <v>81</v>
      </c>
      <c r="G1638" t="s">
        <v>185</v>
      </c>
      <c r="H1638" t="s">
        <v>27</v>
      </c>
      <c r="I1638" t="s">
        <v>37</v>
      </c>
      <c r="J1638" t="s">
        <v>87</v>
      </c>
      <c r="K1638">
        <v>12391</v>
      </c>
      <c r="L1638">
        <v>53</v>
      </c>
      <c r="M1638">
        <v>74.09</v>
      </c>
      <c r="N1638">
        <v>0</v>
      </c>
      <c r="O1638">
        <v>0</v>
      </c>
      <c r="P1638">
        <f t="shared" si="100"/>
        <v>4.2772980388992013E-3</v>
      </c>
      <c r="Q1638">
        <f t="shared" si="100"/>
        <v>1.3979245283018868</v>
      </c>
      <c r="R1638">
        <f t="shared" si="101"/>
        <v>0</v>
      </c>
      <c r="S1638">
        <f t="shared" si="102"/>
        <v>0</v>
      </c>
      <c r="T1638">
        <f t="shared" si="103"/>
        <v>0</v>
      </c>
      <c r="U1638" t="str">
        <f>YEAR('Campaign Data'!$A1638)&amp;"-"&amp;TEXT(MONTH('Campaign Data'!$A1638),"00")</f>
        <v>2026-03</v>
      </c>
    </row>
    <row r="1639" spans="1:21" x14ac:dyDescent="0.25">
      <c r="A1639">
        <v>46112</v>
      </c>
      <c r="B1639" t="s">
        <v>183</v>
      </c>
      <c r="C1639" t="s">
        <v>184</v>
      </c>
      <c r="D1639" t="s">
        <v>23</v>
      </c>
      <c r="E1639" t="s">
        <v>24</v>
      </c>
      <c r="F1639" t="s">
        <v>81</v>
      </c>
      <c r="G1639" t="s">
        <v>185</v>
      </c>
      <c r="H1639" t="s">
        <v>51</v>
      </c>
      <c r="I1639" t="s">
        <v>37</v>
      </c>
      <c r="J1639" t="s">
        <v>45</v>
      </c>
      <c r="K1639">
        <v>35428</v>
      </c>
      <c r="L1639">
        <v>424</v>
      </c>
      <c r="M1639">
        <v>372.61</v>
      </c>
      <c r="N1639">
        <v>3</v>
      </c>
      <c r="O1639">
        <v>56.8</v>
      </c>
      <c r="P1639">
        <f t="shared" si="100"/>
        <v>1.1967934966693012E-2</v>
      </c>
      <c r="Q1639">
        <f t="shared" si="100"/>
        <v>0.87879716981132083</v>
      </c>
      <c r="R1639">
        <f t="shared" si="101"/>
        <v>124.20333333333333</v>
      </c>
      <c r="S1639">
        <f t="shared" si="102"/>
        <v>0.15243820616730627</v>
      </c>
      <c r="T1639">
        <f t="shared" si="103"/>
        <v>7.0754716981132077E-3</v>
      </c>
      <c r="U1639" t="str">
        <f>YEAR('Campaign Data'!$A1639)&amp;"-"&amp;TEXT(MONTH('Campaign Data'!$A1639),"00")</f>
        <v>2026-03</v>
      </c>
    </row>
    <row r="1640" spans="1:21" x14ac:dyDescent="0.25">
      <c r="A1640">
        <v>46112</v>
      </c>
      <c r="B1640" t="s">
        <v>67</v>
      </c>
      <c r="C1640" t="s">
        <v>68</v>
      </c>
      <c r="D1640" t="s">
        <v>69</v>
      </c>
      <c r="E1640" t="s">
        <v>49</v>
      </c>
      <c r="F1640" t="s">
        <v>34</v>
      </c>
      <c r="G1640" t="s">
        <v>70</v>
      </c>
      <c r="H1640" t="s">
        <v>27</v>
      </c>
      <c r="I1640" t="s">
        <v>37</v>
      </c>
      <c r="J1640" t="s">
        <v>45</v>
      </c>
      <c r="K1640">
        <v>15507</v>
      </c>
      <c r="L1640">
        <v>784</v>
      </c>
      <c r="M1640">
        <v>2151.9499999999998</v>
      </c>
      <c r="N1640">
        <v>38</v>
      </c>
      <c r="O1640">
        <v>5650.33</v>
      </c>
      <c r="P1640">
        <f t="shared" si="100"/>
        <v>5.0557812600760949E-2</v>
      </c>
      <c r="Q1640">
        <f t="shared" si="100"/>
        <v>2.7448341836734693</v>
      </c>
      <c r="R1640">
        <f t="shared" si="101"/>
        <v>56.630263157894731</v>
      </c>
      <c r="S1640">
        <f t="shared" si="102"/>
        <v>2.6256790352935711</v>
      </c>
      <c r="T1640">
        <f t="shared" si="103"/>
        <v>4.8469387755102039E-2</v>
      </c>
      <c r="U1640" t="str">
        <f>YEAR('Campaign Data'!$A1640)&amp;"-"&amp;TEXT(MONTH('Campaign Data'!$A1640),"00")</f>
        <v>2026-03</v>
      </c>
    </row>
    <row r="1641" spans="1:21" x14ac:dyDescent="0.25">
      <c r="A1641">
        <v>46112</v>
      </c>
      <c r="B1641" t="s">
        <v>82</v>
      </c>
      <c r="C1641" t="s">
        <v>83</v>
      </c>
      <c r="D1641" t="s">
        <v>80</v>
      </c>
      <c r="E1641" t="s">
        <v>42</v>
      </c>
      <c r="F1641" t="s">
        <v>34</v>
      </c>
      <c r="G1641" t="s">
        <v>84</v>
      </c>
      <c r="H1641" t="s">
        <v>27</v>
      </c>
      <c r="I1641" t="s">
        <v>37</v>
      </c>
      <c r="J1641" t="s">
        <v>62</v>
      </c>
      <c r="K1641">
        <v>3360</v>
      </c>
      <c r="L1641">
        <v>25</v>
      </c>
      <c r="M1641">
        <v>199.51</v>
      </c>
      <c r="N1641">
        <v>0</v>
      </c>
      <c r="O1641">
        <v>0</v>
      </c>
      <c r="P1641">
        <f t="shared" si="100"/>
        <v>7.4404761904761901E-3</v>
      </c>
      <c r="Q1641">
        <f t="shared" si="100"/>
        <v>7.9803999999999995</v>
      </c>
      <c r="R1641">
        <f t="shared" si="101"/>
        <v>0</v>
      </c>
      <c r="S1641">
        <f t="shared" si="102"/>
        <v>0</v>
      </c>
      <c r="T1641">
        <f t="shared" si="103"/>
        <v>0</v>
      </c>
      <c r="U1641" t="str">
        <f>YEAR('Campaign Data'!$A1641)&amp;"-"&amp;TEXT(MONTH('Campaign Data'!$A1641),"00")</f>
        <v>2026-03</v>
      </c>
    </row>
    <row r="1642" spans="1:21" x14ac:dyDescent="0.25">
      <c r="A1642">
        <v>46113</v>
      </c>
      <c r="B1642" t="s">
        <v>175</v>
      </c>
      <c r="C1642" t="s">
        <v>176</v>
      </c>
      <c r="D1642" t="s">
        <v>65</v>
      </c>
      <c r="E1642" t="s">
        <v>49</v>
      </c>
      <c r="F1642" t="s">
        <v>75</v>
      </c>
      <c r="G1642" t="s">
        <v>70</v>
      </c>
      <c r="H1642" t="s">
        <v>27</v>
      </c>
      <c r="I1642" t="s">
        <v>28</v>
      </c>
      <c r="J1642" t="s">
        <v>45</v>
      </c>
      <c r="K1642">
        <v>9086</v>
      </c>
      <c r="L1642">
        <v>477</v>
      </c>
      <c r="M1642">
        <v>874.8</v>
      </c>
      <c r="N1642">
        <v>26</v>
      </c>
      <c r="O1642">
        <v>814.88</v>
      </c>
      <c r="P1642">
        <f t="shared" si="100"/>
        <v>5.2498349108518597E-2</v>
      </c>
      <c r="Q1642">
        <f t="shared" si="100"/>
        <v>1.8339622641509432</v>
      </c>
      <c r="R1642">
        <f t="shared" si="101"/>
        <v>33.646153846153844</v>
      </c>
      <c r="S1642">
        <f t="shared" si="102"/>
        <v>0.9315043438500229</v>
      </c>
      <c r="T1642">
        <f t="shared" si="103"/>
        <v>5.450733752620545E-2</v>
      </c>
      <c r="U1642" t="str">
        <f>YEAR('Campaign Data'!$A1642)&amp;"-"&amp;TEXT(MONTH('Campaign Data'!$A1642),"00")</f>
        <v>2026-04</v>
      </c>
    </row>
    <row r="1643" spans="1:21" x14ac:dyDescent="0.25">
      <c r="A1643">
        <v>46113</v>
      </c>
      <c r="B1643" t="s">
        <v>175</v>
      </c>
      <c r="C1643" t="s">
        <v>176</v>
      </c>
      <c r="D1643" t="s">
        <v>65</v>
      </c>
      <c r="E1643" t="s">
        <v>49</v>
      </c>
      <c r="F1643" t="s">
        <v>75</v>
      </c>
      <c r="G1643" t="s">
        <v>70</v>
      </c>
      <c r="H1643" t="s">
        <v>90</v>
      </c>
      <c r="I1643" t="s">
        <v>37</v>
      </c>
      <c r="J1643" t="s">
        <v>87</v>
      </c>
      <c r="K1643">
        <v>1025</v>
      </c>
      <c r="L1643">
        <v>42</v>
      </c>
      <c r="M1643">
        <v>18.28</v>
      </c>
      <c r="N1643">
        <v>1</v>
      </c>
      <c r="O1643">
        <v>8.4600000000000009</v>
      </c>
      <c r="P1643">
        <f t="shared" si="100"/>
        <v>4.0975609756097563E-2</v>
      </c>
      <c r="Q1643">
        <f t="shared" si="100"/>
        <v>0.43523809523809526</v>
      </c>
      <c r="R1643">
        <f t="shared" si="101"/>
        <v>18.28</v>
      </c>
      <c r="S1643">
        <f t="shared" si="102"/>
        <v>0.46280087527352298</v>
      </c>
      <c r="T1643">
        <f t="shared" si="103"/>
        <v>2.3809523809523808E-2</v>
      </c>
      <c r="U1643" t="str">
        <f>YEAR('Campaign Data'!$A1643)&amp;"-"&amp;TEXT(MONTH('Campaign Data'!$A1643),"00")</f>
        <v>2026-04</v>
      </c>
    </row>
    <row r="1644" spans="1:21" x14ac:dyDescent="0.25">
      <c r="A1644">
        <v>46113</v>
      </c>
      <c r="B1644" t="s">
        <v>93</v>
      </c>
      <c r="C1644" t="s">
        <v>94</v>
      </c>
      <c r="D1644" t="s">
        <v>69</v>
      </c>
      <c r="E1644" t="s">
        <v>42</v>
      </c>
      <c r="F1644" t="s">
        <v>75</v>
      </c>
      <c r="G1644" t="s">
        <v>44</v>
      </c>
      <c r="H1644" t="s">
        <v>27</v>
      </c>
      <c r="I1644" t="s">
        <v>37</v>
      </c>
      <c r="J1644" t="s">
        <v>62</v>
      </c>
      <c r="K1644">
        <v>7881</v>
      </c>
      <c r="L1644">
        <v>41</v>
      </c>
      <c r="M1644">
        <v>345.95</v>
      </c>
      <c r="N1644">
        <v>0</v>
      </c>
      <c r="O1644">
        <v>0</v>
      </c>
      <c r="P1644">
        <f t="shared" si="100"/>
        <v>5.2023854840756245E-3</v>
      </c>
      <c r="Q1644">
        <f t="shared" si="100"/>
        <v>8.4378048780487802</v>
      </c>
      <c r="R1644">
        <f t="shared" si="101"/>
        <v>0</v>
      </c>
      <c r="S1644">
        <f t="shared" si="102"/>
        <v>0</v>
      </c>
      <c r="T1644">
        <f t="shared" si="103"/>
        <v>0</v>
      </c>
      <c r="U1644" t="str">
        <f>YEAR('Campaign Data'!$A1644)&amp;"-"&amp;TEXT(MONTH('Campaign Data'!$A1644),"00")</f>
        <v>2026-04</v>
      </c>
    </row>
    <row r="1645" spans="1:21" x14ac:dyDescent="0.25">
      <c r="A1645">
        <v>46113</v>
      </c>
      <c r="B1645" t="s">
        <v>30</v>
      </c>
      <c r="C1645" t="s">
        <v>31</v>
      </c>
      <c r="D1645" t="s">
        <v>32</v>
      </c>
      <c r="E1645" t="s">
        <v>33</v>
      </c>
      <c r="F1645" t="s">
        <v>34</v>
      </c>
      <c r="G1645" t="s">
        <v>35</v>
      </c>
      <c r="H1645" t="s">
        <v>51</v>
      </c>
      <c r="I1645" t="s">
        <v>28</v>
      </c>
      <c r="J1645" t="s">
        <v>45</v>
      </c>
      <c r="K1645">
        <v>7237</v>
      </c>
      <c r="L1645">
        <v>57</v>
      </c>
      <c r="M1645">
        <v>42.5</v>
      </c>
      <c r="N1645">
        <v>0</v>
      </c>
      <c r="O1645">
        <v>0</v>
      </c>
      <c r="P1645">
        <f t="shared" si="100"/>
        <v>7.8761917921790804E-3</v>
      </c>
      <c r="Q1645">
        <f t="shared" si="100"/>
        <v>0.74561403508771928</v>
      </c>
      <c r="R1645">
        <f t="shared" si="101"/>
        <v>0</v>
      </c>
      <c r="S1645">
        <f t="shared" si="102"/>
        <v>0</v>
      </c>
      <c r="T1645">
        <f t="shared" si="103"/>
        <v>0</v>
      </c>
      <c r="U1645" t="str">
        <f>YEAR('Campaign Data'!$A1645)&amp;"-"&amp;TEXT(MONTH('Campaign Data'!$A1645),"00")</f>
        <v>2026-04</v>
      </c>
    </row>
    <row r="1646" spans="1:21" x14ac:dyDescent="0.25">
      <c r="A1646">
        <v>46113</v>
      </c>
      <c r="B1646" t="s">
        <v>151</v>
      </c>
      <c r="C1646" t="s">
        <v>152</v>
      </c>
      <c r="D1646" t="s">
        <v>48</v>
      </c>
      <c r="E1646" t="s">
        <v>24</v>
      </c>
      <c r="F1646" t="s">
        <v>81</v>
      </c>
      <c r="G1646" t="s">
        <v>129</v>
      </c>
      <c r="H1646" t="s">
        <v>36</v>
      </c>
      <c r="I1646" t="s">
        <v>37</v>
      </c>
      <c r="J1646" t="s">
        <v>45</v>
      </c>
      <c r="K1646">
        <v>3176</v>
      </c>
      <c r="L1646">
        <v>37</v>
      </c>
      <c r="M1646">
        <v>47.94</v>
      </c>
      <c r="N1646">
        <v>1</v>
      </c>
      <c r="O1646">
        <v>23.75</v>
      </c>
      <c r="P1646">
        <f t="shared" si="100"/>
        <v>1.1649874055415618E-2</v>
      </c>
      <c r="Q1646">
        <f t="shared" si="100"/>
        <v>1.2956756756756755</v>
      </c>
      <c r="R1646">
        <f t="shared" si="101"/>
        <v>47.94</v>
      </c>
      <c r="S1646">
        <f t="shared" si="102"/>
        <v>0.49541093032957867</v>
      </c>
      <c r="T1646">
        <f t="shared" si="103"/>
        <v>2.7027027027027029E-2</v>
      </c>
      <c r="U1646" t="str">
        <f>YEAR('Campaign Data'!$A1646)&amp;"-"&amp;TEXT(MONTH('Campaign Data'!$A1646),"00")</f>
        <v>2026-04</v>
      </c>
    </row>
    <row r="1647" spans="1:21" x14ac:dyDescent="0.25">
      <c r="A1647">
        <v>46113</v>
      </c>
      <c r="B1647" t="s">
        <v>100</v>
      </c>
      <c r="C1647" t="s">
        <v>101</v>
      </c>
      <c r="D1647" t="s">
        <v>80</v>
      </c>
      <c r="E1647" t="s">
        <v>33</v>
      </c>
      <c r="F1647" t="s">
        <v>25</v>
      </c>
      <c r="G1647" t="s">
        <v>102</v>
      </c>
      <c r="H1647" t="s">
        <v>27</v>
      </c>
      <c r="I1647" t="s">
        <v>28</v>
      </c>
      <c r="J1647" t="s">
        <v>38</v>
      </c>
      <c r="K1647">
        <v>8251</v>
      </c>
      <c r="L1647">
        <v>108</v>
      </c>
      <c r="M1647">
        <v>56.39</v>
      </c>
      <c r="N1647">
        <v>0</v>
      </c>
      <c r="O1647">
        <v>0</v>
      </c>
      <c r="P1647">
        <f t="shared" si="100"/>
        <v>1.3089322506362865E-2</v>
      </c>
      <c r="Q1647">
        <f t="shared" si="100"/>
        <v>0.52212962962962961</v>
      </c>
      <c r="R1647">
        <f t="shared" si="101"/>
        <v>0</v>
      </c>
      <c r="S1647">
        <f t="shared" si="102"/>
        <v>0</v>
      </c>
      <c r="T1647">
        <f t="shared" si="103"/>
        <v>0</v>
      </c>
      <c r="U1647" t="str">
        <f>YEAR('Campaign Data'!$A1647)&amp;"-"&amp;TEXT(MONTH('Campaign Data'!$A1647),"00")</f>
        <v>2026-04</v>
      </c>
    </row>
    <row r="1648" spans="1:21" x14ac:dyDescent="0.25">
      <c r="A1648">
        <v>46113</v>
      </c>
      <c r="B1648" t="s">
        <v>127</v>
      </c>
      <c r="C1648" t="s">
        <v>128</v>
      </c>
      <c r="D1648" t="s">
        <v>58</v>
      </c>
      <c r="E1648" t="s">
        <v>24</v>
      </c>
      <c r="F1648" t="s">
        <v>81</v>
      </c>
      <c r="G1648" t="s">
        <v>129</v>
      </c>
      <c r="H1648" t="s">
        <v>60</v>
      </c>
      <c r="I1648" t="s">
        <v>37</v>
      </c>
      <c r="J1648" t="s">
        <v>29</v>
      </c>
      <c r="K1648">
        <v>7265</v>
      </c>
      <c r="L1648">
        <v>83</v>
      </c>
      <c r="M1648">
        <v>95.82</v>
      </c>
      <c r="N1648">
        <v>7</v>
      </c>
      <c r="O1648">
        <v>152.63999999999999</v>
      </c>
      <c r="P1648">
        <f t="shared" si="100"/>
        <v>1.1424638678596008E-2</v>
      </c>
      <c r="Q1648">
        <f t="shared" si="100"/>
        <v>1.1544578313253011</v>
      </c>
      <c r="R1648">
        <f t="shared" si="101"/>
        <v>13.688571428571427</v>
      </c>
      <c r="S1648">
        <f t="shared" si="102"/>
        <v>1.5929868503443958</v>
      </c>
      <c r="T1648">
        <f t="shared" si="103"/>
        <v>8.4337349397590355E-2</v>
      </c>
      <c r="U1648" t="str">
        <f>YEAR('Campaign Data'!$A1648)&amp;"-"&amp;TEXT(MONTH('Campaign Data'!$A1648),"00")</f>
        <v>2026-04</v>
      </c>
    </row>
    <row r="1649" spans="1:21" x14ac:dyDescent="0.25">
      <c r="A1649">
        <v>46113</v>
      </c>
      <c r="B1649" t="s">
        <v>103</v>
      </c>
      <c r="C1649" t="s">
        <v>104</v>
      </c>
      <c r="D1649" t="s">
        <v>65</v>
      </c>
      <c r="E1649" t="s">
        <v>33</v>
      </c>
      <c r="F1649" t="s">
        <v>43</v>
      </c>
      <c r="G1649" t="s">
        <v>102</v>
      </c>
      <c r="H1649" t="s">
        <v>90</v>
      </c>
      <c r="I1649" t="s">
        <v>37</v>
      </c>
      <c r="J1649" t="s">
        <v>62</v>
      </c>
      <c r="K1649">
        <v>18268</v>
      </c>
      <c r="L1649">
        <v>26</v>
      </c>
      <c r="M1649">
        <v>4.47</v>
      </c>
      <c r="N1649">
        <v>1</v>
      </c>
      <c r="O1649">
        <v>7.12</v>
      </c>
      <c r="P1649">
        <f t="shared" si="100"/>
        <v>1.4232537770965622E-3</v>
      </c>
      <c r="Q1649">
        <f t="shared" si="100"/>
        <v>0.1719230769230769</v>
      </c>
      <c r="R1649">
        <f t="shared" si="101"/>
        <v>4.47</v>
      </c>
      <c r="S1649">
        <f t="shared" si="102"/>
        <v>1.592841163310962</v>
      </c>
      <c r="T1649">
        <f t="shared" si="103"/>
        <v>3.8461538461538464E-2</v>
      </c>
      <c r="U1649" t="str">
        <f>YEAR('Campaign Data'!$A1649)&amp;"-"&amp;TEXT(MONTH('Campaign Data'!$A1649),"00")</f>
        <v>2026-04</v>
      </c>
    </row>
    <row r="1650" spans="1:21" x14ac:dyDescent="0.25">
      <c r="A1650">
        <v>46113</v>
      </c>
      <c r="B1650" t="s">
        <v>140</v>
      </c>
      <c r="C1650" t="s">
        <v>40</v>
      </c>
      <c r="D1650" t="s">
        <v>41</v>
      </c>
      <c r="E1650" t="s">
        <v>42</v>
      </c>
      <c r="F1650" t="s">
        <v>43</v>
      </c>
      <c r="G1650" t="s">
        <v>44</v>
      </c>
      <c r="H1650" t="s">
        <v>51</v>
      </c>
      <c r="I1650" t="s">
        <v>37</v>
      </c>
      <c r="J1650" t="s">
        <v>29</v>
      </c>
      <c r="K1650">
        <v>10073</v>
      </c>
      <c r="L1650">
        <v>50</v>
      </c>
      <c r="M1650">
        <v>217.9</v>
      </c>
      <c r="N1650">
        <v>1</v>
      </c>
      <c r="O1650">
        <v>32.14</v>
      </c>
      <c r="P1650">
        <f t="shared" si="100"/>
        <v>4.9637645190112184E-3</v>
      </c>
      <c r="Q1650">
        <f t="shared" si="100"/>
        <v>4.3580000000000005</v>
      </c>
      <c r="R1650">
        <f t="shared" si="101"/>
        <v>217.9</v>
      </c>
      <c r="S1650">
        <f t="shared" si="102"/>
        <v>0.14749885268471777</v>
      </c>
      <c r="T1650">
        <f t="shared" si="103"/>
        <v>0.02</v>
      </c>
      <c r="U1650" t="str">
        <f>YEAR('Campaign Data'!$A1650)&amp;"-"&amp;TEXT(MONTH('Campaign Data'!$A1650),"00")</f>
        <v>2026-04</v>
      </c>
    </row>
    <row r="1651" spans="1:21" x14ac:dyDescent="0.25">
      <c r="A1651">
        <v>46113</v>
      </c>
      <c r="B1651" t="s">
        <v>110</v>
      </c>
      <c r="C1651" t="s">
        <v>111</v>
      </c>
      <c r="D1651" t="s">
        <v>23</v>
      </c>
      <c r="E1651" t="s">
        <v>49</v>
      </c>
      <c r="F1651" t="s">
        <v>34</v>
      </c>
      <c r="G1651" t="s">
        <v>50</v>
      </c>
      <c r="H1651" t="s">
        <v>51</v>
      </c>
      <c r="I1651" t="s">
        <v>28</v>
      </c>
      <c r="J1651" t="s">
        <v>38</v>
      </c>
      <c r="K1651">
        <v>20559</v>
      </c>
      <c r="L1651">
        <v>952</v>
      </c>
      <c r="M1651">
        <v>1827.07</v>
      </c>
      <c r="N1651">
        <v>47</v>
      </c>
      <c r="O1651">
        <v>7692.69</v>
      </c>
      <c r="P1651">
        <f t="shared" si="100"/>
        <v>4.6305754170922711E-2</v>
      </c>
      <c r="Q1651">
        <f t="shared" si="100"/>
        <v>1.9191911764705882</v>
      </c>
      <c r="R1651">
        <f t="shared" si="101"/>
        <v>38.873829787234044</v>
      </c>
      <c r="S1651">
        <f t="shared" si="102"/>
        <v>4.210396974390691</v>
      </c>
      <c r="T1651">
        <f t="shared" si="103"/>
        <v>4.9369747899159662E-2</v>
      </c>
      <c r="U1651" t="str">
        <f>YEAR('Campaign Data'!$A1651)&amp;"-"&amp;TEXT(MONTH('Campaign Data'!$A1651),"00")</f>
        <v>2026-04</v>
      </c>
    </row>
    <row r="1652" spans="1:21" x14ac:dyDescent="0.25">
      <c r="A1652">
        <v>46113</v>
      </c>
      <c r="B1652" t="s">
        <v>134</v>
      </c>
      <c r="C1652" t="s">
        <v>135</v>
      </c>
      <c r="D1652" t="s">
        <v>32</v>
      </c>
      <c r="E1652" t="s">
        <v>74</v>
      </c>
      <c r="F1652" t="s">
        <v>25</v>
      </c>
      <c r="G1652" t="s">
        <v>107</v>
      </c>
      <c r="H1652" t="s">
        <v>36</v>
      </c>
      <c r="I1652" t="s">
        <v>37</v>
      </c>
      <c r="J1652" t="s">
        <v>38</v>
      </c>
      <c r="K1652">
        <v>8969</v>
      </c>
      <c r="L1652">
        <v>238</v>
      </c>
      <c r="M1652">
        <v>324.31</v>
      </c>
      <c r="N1652">
        <v>8</v>
      </c>
      <c r="O1652">
        <v>1194.79</v>
      </c>
      <c r="P1652">
        <f t="shared" si="100"/>
        <v>2.6535845690712455E-2</v>
      </c>
      <c r="Q1652">
        <f t="shared" si="100"/>
        <v>1.3626470588235293</v>
      </c>
      <c r="R1652">
        <f t="shared" si="101"/>
        <v>40.53875</v>
      </c>
      <c r="S1652">
        <f t="shared" si="102"/>
        <v>3.6840985476858559</v>
      </c>
      <c r="T1652">
        <f t="shared" si="103"/>
        <v>3.3613445378151259E-2</v>
      </c>
      <c r="U1652" t="str">
        <f>YEAR('Campaign Data'!$A1652)&amp;"-"&amp;TEXT(MONTH('Campaign Data'!$A1652),"00")</f>
        <v>2026-04</v>
      </c>
    </row>
    <row r="1653" spans="1:21" x14ac:dyDescent="0.25">
      <c r="A1653">
        <v>46113</v>
      </c>
      <c r="B1653" t="s">
        <v>134</v>
      </c>
      <c r="C1653" t="s">
        <v>135</v>
      </c>
      <c r="D1653" t="s">
        <v>32</v>
      </c>
      <c r="E1653" t="s">
        <v>74</v>
      </c>
      <c r="F1653" t="s">
        <v>25</v>
      </c>
      <c r="G1653" t="s">
        <v>107</v>
      </c>
      <c r="H1653" t="s">
        <v>27</v>
      </c>
      <c r="I1653" t="s">
        <v>37</v>
      </c>
      <c r="J1653" t="s">
        <v>87</v>
      </c>
      <c r="K1653">
        <v>4987</v>
      </c>
      <c r="L1653">
        <v>80</v>
      </c>
      <c r="M1653">
        <v>115.37</v>
      </c>
      <c r="N1653">
        <v>4</v>
      </c>
      <c r="O1653">
        <v>613.16</v>
      </c>
      <c r="P1653">
        <f t="shared" si="100"/>
        <v>1.6041708441949066E-2</v>
      </c>
      <c r="Q1653">
        <f t="shared" si="100"/>
        <v>1.4421250000000001</v>
      </c>
      <c r="R1653">
        <f t="shared" si="101"/>
        <v>28.842500000000001</v>
      </c>
      <c r="S1653">
        <f t="shared" si="102"/>
        <v>5.3147265320273895</v>
      </c>
      <c r="T1653">
        <f t="shared" si="103"/>
        <v>0.05</v>
      </c>
      <c r="U1653" t="str">
        <f>YEAR('Campaign Data'!$A1653)&amp;"-"&amp;TEXT(MONTH('Campaign Data'!$A1653),"00")</f>
        <v>2026-04</v>
      </c>
    </row>
    <row r="1654" spans="1:21" x14ac:dyDescent="0.25">
      <c r="A1654">
        <v>46113</v>
      </c>
      <c r="B1654" t="s">
        <v>112</v>
      </c>
      <c r="C1654" t="s">
        <v>113</v>
      </c>
      <c r="D1654" t="s">
        <v>32</v>
      </c>
      <c r="E1654" t="s">
        <v>24</v>
      </c>
      <c r="F1654" t="s">
        <v>75</v>
      </c>
      <c r="G1654" t="s">
        <v>66</v>
      </c>
      <c r="H1654" t="s">
        <v>55</v>
      </c>
      <c r="I1654" t="s">
        <v>37</v>
      </c>
      <c r="J1654" t="s">
        <v>87</v>
      </c>
      <c r="K1654">
        <v>4248</v>
      </c>
      <c r="L1654">
        <v>56</v>
      </c>
      <c r="M1654">
        <v>56.8</v>
      </c>
      <c r="N1654">
        <v>1</v>
      </c>
      <c r="O1654">
        <v>33.630000000000003</v>
      </c>
      <c r="P1654">
        <f t="shared" si="100"/>
        <v>1.3182674199623353E-2</v>
      </c>
      <c r="Q1654">
        <f t="shared" si="100"/>
        <v>1.0142857142857142</v>
      </c>
      <c r="R1654">
        <f t="shared" si="101"/>
        <v>56.8</v>
      </c>
      <c r="S1654">
        <f t="shared" si="102"/>
        <v>0.59207746478873247</v>
      </c>
      <c r="T1654">
        <f t="shared" si="103"/>
        <v>1.7857142857142856E-2</v>
      </c>
      <c r="U1654" t="str">
        <f>YEAR('Campaign Data'!$A1654)&amp;"-"&amp;TEXT(MONTH('Campaign Data'!$A1654),"00")</f>
        <v>2026-04</v>
      </c>
    </row>
    <row r="1655" spans="1:21" x14ac:dyDescent="0.25">
      <c r="A1655">
        <v>46113</v>
      </c>
      <c r="B1655" t="s">
        <v>181</v>
      </c>
      <c r="C1655" t="s">
        <v>182</v>
      </c>
      <c r="D1655" t="s">
        <v>32</v>
      </c>
      <c r="E1655" t="s">
        <v>33</v>
      </c>
      <c r="F1655" t="s">
        <v>75</v>
      </c>
      <c r="G1655" t="s">
        <v>59</v>
      </c>
      <c r="H1655" t="s">
        <v>90</v>
      </c>
      <c r="I1655" t="s">
        <v>37</v>
      </c>
      <c r="J1655" t="s">
        <v>45</v>
      </c>
      <c r="K1655">
        <v>8994</v>
      </c>
      <c r="L1655">
        <v>100</v>
      </c>
      <c r="M1655">
        <v>20.56</v>
      </c>
      <c r="N1655">
        <v>2</v>
      </c>
      <c r="O1655">
        <v>25.59</v>
      </c>
      <c r="P1655">
        <f t="shared" si="100"/>
        <v>1.11185234600845E-2</v>
      </c>
      <c r="Q1655">
        <f t="shared" si="100"/>
        <v>0.20559999999999998</v>
      </c>
      <c r="R1655">
        <f t="shared" si="101"/>
        <v>10.28</v>
      </c>
      <c r="S1655">
        <f t="shared" si="102"/>
        <v>1.2446498054474708</v>
      </c>
      <c r="T1655">
        <f t="shared" si="103"/>
        <v>0.02</v>
      </c>
      <c r="U1655" t="str">
        <f>YEAR('Campaign Data'!$A1655)&amp;"-"&amp;TEXT(MONTH('Campaign Data'!$A1655),"00")</f>
        <v>2026-04</v>
      </c>
    </row>
    <row r="1656" spans="1:21" x14ac:dyDescent="0.25">
      <c r="A1656">
        <v>46113</v>
      </c>
      <c r="B1656" t="s">
        <v>143</v>
      </c>
      <c r="C1656" t="s">
        <v>144</v>
      </c>
      <c r="D1656" t="s">
        <v>48</v>
      </c>
      <c r="E1656" t="s">
        <v>42</v>
      </c>
      <c r="F1656" t="s">
        <v>25</v>
      </c>
      <c r="G1656" t="s">
        <v>84</v>
      </c>
      <c r="H1656" t="s">
        <v>71</v>
      </c>
      <c r="I1656" t="s">
        <v>37</v>
      </c>
      <c r="J1656" t="s">
        <v>29</v>
      </c>
      <c r="K1656">
        <v>4708</v>
      </c>
      <c r="L1656">
        <v>34</v>
      </c>
      <c r="M1656">
        <v>229.38</v>
      </c>
      <c r="N1656">
        <v>3</v>
      </c>
      <c r="O1656">
        <v>428.24</v>
      </c>
      <c r="P1656">
        <f t="shared" si="100"/>
        <v>7.2217502124044177E-3</v>
      </c>
      <c r="Q1656">
        <f t="shared" si="100"/>
        <v>6.7464705882352938</v>
      </c>
      <c r="R1656">
        <f t="shared" si="101"/>
        <v>76.459999999999994</v>
      </c>
      <c r="S1656">
        <f t="shared" si="102"/>
        <v>1.8669456796582091</v>
      </c>
      <c r="T1656">
        <f t="shared" si="103"/>
        <v>8.8235294117647065E-2</v>
      </c>
      <c r="U1656" t="str">
        <f>YEAR('Campaign Data'!$A1656)&amp;"-"&amp;TEXT(MONTH('Campaign Data'!$A1656),"00")</f>
        <v>2026-04</v>
      </c>
    </row>
    <row r="1657" spans="1:21" x14ac:dyDescent="0.25">
      <c r="A1657">
        <v>46113</v>
      </c>
      <c r="B1657" t="s">
        <v>143</v>
      </c>
      <c r="C1657" t="s">
        <v>144</v>
      </c>
      <c r="D1657" t="s">
        <v>48</v>
      </c>
      <c r="E1657" t="s">
        <v>42</v>
      </c>
      <c r="F1657" t="s">
        <v>25</v>
      </c>
      <c r="G1657" t="s">
        <v>84</v>
      </c>
      <c r="H1657" t="s">
        <v>51</v>
      </c>
      <c r="I1657" t="s">
        <v>28</v>
      </c>
      <c r="J1657" t="s">
        <v>29</v>
      </c>
      <c r="K1657">
        <v>15005</v>
      </c>
      <c r="L1657">
        <v>106</v>
      </c>
      <c r="M1657">
        <v>532.24</v>
      </c>
      <c r="N1657">
        <v>4</v>
      </c>
      <c r="O1657">
        <v>384.38</v>
      </c>
      <c r="P1657">
        <f t="shared" si="100"/>
        <v>7.0643118960346555E-3</v>
      </c>
      <c r="Q1657">
        <f t="shared" si="100"/>
        <v>5.0211320754716979</v>
      </c>
      <c r="R1657">
        <f t="shared" si="101"/>
        <v>133.06</v>
      </c>
      <c r="S1657">
        <f t="shared" si="102"/>
        <v>0.72219299564106421</v>
      </c>
      <c r="T1657">
        <f t="shared" si="103"/>
        <v>3.7735849056603772E-2</v>
      </c>
      <c r="U1657" t="str">
        <f>YEAR('Campaign Data'!$A1657)&amp;"-"&amp;TEXT(MONTH('Campaign Data'!$A1657),"00")</f>
        <v>2026-04</v>
      </c>
    </row>
    <row r="1658" spans="1:21" x14ac:dyDescent="0.25">
      <c r="A1658">
        <v>46113</v>
      </c>
      <c r="B1658" t="s">
        <v>143</v>
      </c>
      <c r="C1658" t="s">
        <v>144</v>
      </c>
      <c r="D1658" t="s">
        <v>48</v>
      </c>
      <c r="E1658" t="s">
        <v>42</v>
      </c>
      <c r="F1658" t="s">
        <v>25</v>
      </c>
      <c r="G1658" t="s">
        <v>84</v>
      </c>
      <c r="H1658" t="s">
        <v>55</v>
      </c>
      <c r="I1658" t="s">
        <v>28</v>
      </c>
      <c r="J1658" t="s">
        <v>45</v>
      </c>
      <c r="K1658">
        <v>8531</v>
      </c>
      <c r="L1658">
        <v>25</v>
      </c>
      <c r="M1658">
        <v>158.22999999999999</v>
      </c>
      <c r="N1658">
        <v>0</v>
      </c>
      <c r="O1658">
        <v>0</v>
      </c>
      <c r="P1658">
        <f t="shared" si="100"/>
        <v>2.9304888055327631E-3</v>
      </c>
      <c r="Q1658">
        <f t="shared" si="100"/>
        <v>6.3291999999999993</v>
      </c>
      <c r="R1658">
        <f t="shared" si="101"/>
        <v>0</v>
      </c>
      <c r="S1658">
        <f t="shared" si="102"/>
        <v>0</v>
      </c>
      <c r="T1658">
        <f t="shared" si="103"/>
        <v>0</v>
      </c>
      <c r="U1658" t="str">
        <f>YEAR('Campaign Data'!$A1658)&amp;"-"&amp;TEXT(MONTH('Campaign Data'!$A1658),"00")</f>
        <v>2026-04</v>
      </c>
    </row>
    <row r="1659" spans="1:21" x14ac:dyDescent="0.25">
      <c r="A1659">
        <v>46113</v>
      </c>
      <c r="B1659" t="s">
        <v>116</v>
      </c>
      <c r="C1659" t="s">
        <v>117</v>
      </c>
      <c r="D1659" t="s">
        <v>48</v>
      </c>
      <c r="E1659" t="s">
        <v>24</v>
      </c>
      <c r="F1659" t="s">
        <v>43</v>
      </c>
      <c r="G1659" t="s">
        <v>26</v>
      </c>
      <c r="H1659" t="s">
        <v>27</v>
      </c>
      <c r="I1659" t="s">
        <v>37</v>
      </c>
      <c r="J1659" t="s">
        <v>29</v>
      </c>
      <c r="K1659">
        <v>7466</v>
      </c>
      <c r="L1659">
        <v>105</v>
      </c>
      <c r="M1659">
        <v>185.96</v>
      </c>
      <c r="N1659">
        <v>3</v>
      </c>
      <c r="O1659">
        <v>82.41</v>
      </c>
      <c r="P1659">
        <f t="shared" si="100"/>
        <v>1.4063755692472542E-2</v>
      </c>
      <c r="Q1659">
        <f t="shared" si="100"/>
        <v>1.7710476190476192</v>
      </c>
      <c r="R1659">
        <f t="shared" si="101"/>
        <v>61.986666666666672</v>
      </c>
      <c r="S1659">
        <f t="shared" si="102"/>
        <v>0.44315981931598192</v>
      </c>
      <c r="T1659">
        <f t="shared" si="103"/>
        <v>2.8571428571428571E-2</v>
      </c>
      <c r="U1659" t="str">
        <f>YEAR('Campaign Data'!$A1659)&amp;"-"&amp;TEXT(MONTH('Campaign Data'!$A1659),"00")</f>
        <v>2026-04</v>
      </c>
    </row>
    <row r="1660" spans="1:21" x14ac:dyDescent="0.25">
      <c r="A1660">
        <v>46113</v>
      </c>
      <c r="B1660" t="s">
        <v>163</v>
      </c>
      <c r="C1660" t="s">
        <v>164</v>
      </c>
      <c r="D1660" t="s">
        <v>58</v>
      </c>
      <c r="E1660" t="s">
        <v>42</v>
      </c>
      <c r="F1660" t="s">
        <v>43</v>
      </c>
      <c r="G1660" t="s">
        <v>44</v>
      </c>
      <c r="H1660" t="s">
        <v>55</v>
      </c>
      <c r="I1660" t="s">
        <v>37</v>
      </c>
      <c r="J1660" t="s">
        <v>29</v>
      </c>
      <c r="K1660">
        <v>3111</v>
      </c>
      <c r="L1660">
        <v>15</v>
      </c>
      <c r="M1660">
        <v>76.58</v>
      </c>
      <c r="N1660">
        <v>0</v>
      </c>
      <c r="O1660">
        <v>0</v>
      </c>
      <c r="P1660">
        <f t="shared" si="100"/>
        <v>4.8216007714561235E-3</v>
      </c>
      <c r="Q1660">
        <f t="shared" si="100"/>
        <v>5.1053333333333333</v>
      </c>
      <c r="R1660">
        <f t="shared" si="101"/>
        <v>0</v>
      </c>
      <c r="S1660">
        <f t="shared" si="102"/>
        <v>0</v>
      </c>
      <c r="T1660">
        <f t="shared" si="103"/>
        <v>0</v>
      </c>
      <c r="U1660" t="str">
        <f>YEAR('Campaign Data'!$A1660)&amp;"-"&amp;TEXT(MONTH('Campaign Data'!$A1660),"00")</f>
        <v>2026-04</v>
      </c>
    </row>
    <row r="1661" spans="1:21" x14ac:dyDescent="0.25">
      <c r="A1661">
        <v>46113</v>
      </c>
      <c r="B1661" t="s">
        <v>76</v>
      </c>
      <c r="C1661" t="s">
        <v>77</v>
      </c>
      <c r="D1661" t="s">
        <v>65</v>
      </c>
      <c r="E1661" t="s">
        <v>42</v>
      </c>
      <c r="F1661" t="s">
        <v>43</v>
      </c>
      <c r="G1661" t="s">
        <v>44</v>
      </c>
      <c r="H1661" t="s">
        <v>90</v>
      </c>
      <c r="I1661" t="s">
        <v>37</v>
      </c>
      <c r="J1661" t="s">
        <v>38</v>
      </c>
      <c r="K1661">
        <v>6990</v>
      </c>
      <c r="L1661">
        <v>53</v>
      </c>
      <c r="M1661">
        <v>90.27</v>
      </c>
      <c r="N1661">
        <v>0</v>
      </c>
      <c r="O1661">
        <v>0</v>
      </c>
      <c r="P1661">
        <f t="shared" si="100"/>
        <v>7.5822603719599424E-3</v>
      </c>
      <c r="Q1661">
        <f t="shared" si="100"/>
        <v>1.7032075471698112</v>
      </c>
      <c r="R1661">
        <f t="shared" si="101"/>
        <v>0</v>
      </c>
      <c r="S1661">
        <f t="shared" si="102"/>
        <v>0</v>
      </c>
      <c r="T1661">
        <f t="shared" si="103"/>
        <v>0</v>
      </c>
      <c r="U1661" t="str">
        <f>YEAR('Campaign Data'!$A1661)&amp;"-"&amp;TEXT(MONTH('Campaign Data'!$A1661),"00")</f>
        <v>2026-04</v>
      </c>
    </row>
    <row r="1662" spans="1:21" x14ac:dyDescent="0.25">
      <c r="A1662">
        <v>46113</v>
      </c>
      <c r="B1662" t="s">
        <v>76</v>
      </c>
      <c r="C1662" t="s">
        <v>77</v>
      </c>
      <c r="D1662" t="s">
        <v>65</v>
      </c>
      <c r="E1662" t="s">
        <v>42</v>
      </c>
      <c r="F1662" t="s">
        <v>43</v>
      </c>
      <c r="G1662" t="s">
        <v>44</v>
      </c>
      <c r="H1662" t="s">
        <v>71</v>
      </c>
      <c r="I1662" t="s">
        <v>28</v>
      </c>
      <c r="J1662" t="s">
        <v>87</v>
      </c>
      <c r="K1662">
        <v>11825</v>
      </c>
      <c r="L1662">
        <v>78</v>
      </c>
      <c r="M1662">
        <v>316.79000000000002</v>
      </c>
      <c r="N1662">
        <v>3</v>
      </c>
      <c r="O1662">
        <v>28.94</v>
      </c>
      <c r="P1662">
        <f t="shared" si="100"/>
        <v>6.5961945031712474E-3</v>
      </c>
      <c r="Q1662">
        <f t="shared" si="100"/>
        <v>4.061410256410257</v>
      </c>
      <c r="R1662">
        <f t="shared" si="101"/>
        <v>105.59666666666668</v>
      </c>
      <c r="S1662">
        <f t="shared" si="102"/>
        <v>9.1353893746646042E-2</v>
      </c>
      <c r="T1662">
        <f t="shared" si="103"/>
        <v>3.8461538461538464E-2</v>
      </c>
      <c r="U1662" t="str">
        <f>YEAR('Campaign Data'!$A1662)&amp;"-"&amp;TEXT(MONTH('Campaign Data'!$A1662),"00")</f>
        <v>2026-04</v>
      </c>
    </row>
    <row r="1663" spans="1:21" x14ac:dyDescent="0.25">
      <c r="A1663">
        <v>46114</v>
      </c>
      <c r="B1663" t="s">
        <v>165</v>
      </c>
      <c r="C1663" t="s">
        <v>166</v>
      </c>
      <c r="D1663" t="s">
        <v>41</v>
      </c>
      <c r="E1663" t="s">
        <v>33</v>
      </c>
      <c r="F1663" t="s">
        <v>43</v>
      </c>
      <c r="G1663" t="s">
        <v>59</v>
      </c>
      <c r="H1663" t="s">
        <v>51</v>
      </c>
      <c r="I1663" t="s">
        <v>37</v>
      </c>
      <c r="J1663" t="s">
        <v>87</v>
      </c>
      <c r="K1663">
        <v>18267</v>
      </c>
      <c r="L1663">
        <v>173</v>
      </c>
      <c r="M1663">
        <v>106.08</v>
      </c>
      <c r="N1663">
        <v>3</v>
      </c>
      <c r="O1663">
        <v>86.99</v>
      </c>
      <c r="P1663">
        <f t="shared" si="100"/>
        <v>9.470630097990913E-3</v>
      </c>
      <c r="Q1663">
        <f t="shared" si="100"/>
        <v>0.61317919075144511</v>
      </c>
      <c r="R1663">
        <f t="shared" si="101"/>
        <v>35.36</v>
      </c>
      <c r="S1663">
        <f t="shared" si="102"/>
        <v>0.8200414781297134</v>
      </c>
      <c r="T1663">
        <f t="shared" si="103"/>
        <v>1.7341040462427744E-2</v>
      </c>
      <c r="U1663" t="str">
        <f>YEAR('Campaign Data'!$A1663)&amp;"-"&amp;TEXT(MONTH('Campaign Data'!$A1663),"00")</f>
        <v>2026-04</v>
      </c>
    </row>
    <row r="1664" spans="1:21" x14ac:dyDescent="0.25">
      <c r="A1664">
        <v>46114</v>
      </c>
      <c r="B1664" t="s">
        <v>88</v>
      </c>
      <c r="C1664" t="s">
        <v>89</v>
      </c>
      <c r="D1664" t="s">
        <v>23</v>
      </c>
      <c r="E1664" t="s">
        <v>49</v>
      </c>
      <c r="F1664" t="s">
        <v>81</v>
      </c>
      <c r="G1664" t="s">
        <v>50</v>
      </c>
      <c r="H1664" t="s">
        <v>71</v>
      </c>
      <c r="I1664" t="s">
        <v>37</v>
      </c>
      <c r="J1664" t="s">
        <v>87</v>
      </c>
      <c r="K1664">
        <v>22228</v>
      </c>
      <c r="L1664">
        <v>921</v>
      </c>
      <c r="M1664">
        <v>1288.6199999999999</v>
      </c>
      <c r="N1664">
        <v>38</v>
      </c>
      <c r="O1664">
        <v>899.77</v>
      </c>
      <c r="P1664">
        <f t="shared" si="100"/>
        <v>4.1434227100953749E-2</v>
      </c>
      <c r="Q1664">
        <f t="shared" si="100"/>
        <v>1.3991530944625405</v>
      </c>
      <c r="R1664">
        <f t="shared" si="101"/>
        <v>33.911052631578947</v>
      </c>
      <c r="S1664">
        <f t="shared" si="102"/>
        <v>0.6982430817463644</v>
      </c>
      <c r="T1664">
        <f t="shared" si="103"/>
        <v>4.1259500542888163E-2</v>
      </c>
      <c r="U1664" t="str">
        <f>YEAR('Campaign Data'!$A1664)&amp;"-"&amp;TEXT(MONTH('Campaign Data'!$A1664),"00")</f>
        <v>2026-04</v>
      </c>
    </row>
    <row r="1665" spans="1:21" x14ac:dyDescent="0.25">
      <c r="A1665">
        <v>46114</v>
      </c>
      <c r="B1665" t="s">
        <v>88</v>
      </c>
      <c r="C1665" t="s">
        <v>89</v>
      </c>
      <c r="D1665" t="s">
        <v>23</v>
      </c>
      <c r="E1665" t="s">
        <v>49</v>
      </c>
      <c r="F1665" t="s">
        <v>81</v>
      </c>
      <c r="G1665" t="s">
        <v>50</v>
      </c>
      <c r="H1665" t="s">
        <v>60</v>
      </c>
      <c r="I1665" t="s">
        <v>37</v>
      </c>
      <c r="J1665" t="s">
        <v>38</v>
      </c>
      <c r="K1665">
        <v>14966</v>
      </c>
      <c r="L1665">
        <v>567</v>
      </c>
      <c r="M1665">
        <v>839.44</v>
      </c>
      <c r="N1665">
        <v>13</v>
      </c>
      <c r="O1665">
        <v>288.54000000000002</v>
      </c>
      <c r="P1665">
        <f t="shared" si="100"/>
        <v>3.7885874649204863E-2</v>
      </c>
      <c r="Q1665">
        <f t="shared" si="100"/>
        <v>1.4804938271604939</v>
      </c>
      <c r="R1665">
        <f t="shared" si="101"/>
        <v>64.572307692307703</v>
      </c>
      <c r="S1665">
        <f t="shared" si="102"/>
        <v>0.34372915276851235</v>
      </c>
      <c r="T1665">
        <f t="shared" si="103"/>
        <v>2.292768959435626E-2</v>
      </c>
      <c r="U1665" t="str">
        <f>YEAR('Campaign Data'!$A1665)&amp;"-"&amp;TEXT(MONTH('Campaign Data'!$A1665),"00")</f>
        <v>2026-04</v>
      </c>
    </row>
    <row r="1666" spans="1:21" x14ac:dyDescent="0.25">
      <c r="A1666">
        <v>46114</v>
      </c>
      <c r="B1666" t="s">
        <v>186</v>
      </c>
      <c r="C1666" t="s">
        <v>187</v>
      </c>
      <c r="D1666" t="s">
        <v>80</v>
      </c>
      <c r="E1666" t="s">
        <v>33</v>
      </c>
      <c r="F1666" t="s">
        <v>43</v>
      </c>
      <c r="G1666" t="s">
        <v>102</v>
      </c>
      <c r="H1666" t="s">
        <v>60</v>
      </c>
      <c r="I1666" t="s">
        <v>37</v>
      </c>
      <c r="J1666" t="s">
        <v>87</v>
      </c>
      <c r="K1666">
        <v>2310</v>
      </c>
      <c r="L1666">
        <v>27</v>
      </c>
      <c r="M1666">
        <v>18.11</v>
      </c>
      <c r="N1666">
        <v>1</v>
      </c>
      <c r="O1666">
        <v>17.87</v>
      </c>
      <c r="P1666">
        <f t="shared" ref="P1666:Q1729" si="104">IF(K1666=0,0,L1666/K1666)</f>
        <v>1.1688311688311689E-2</v>
      </c>
      <c r="Q1666">
        <f t="shared" si="104"/>
        <v>0.67074074074074075</v>
      </c>
      <c r="R1666">
        <f t="shared" ref="R1666:R1729" si="105">IF(N1666=0,0,M1666/N1666)</f>
        <v>18.11</v>
      </c>
      <c r="S1666">
        <f t="shared" ref="S1666:S1729" si="106">IF(M1666=0,0,O1666/M1666)</f>
        <v>0.98674765323025959</v>
      </c>
      <c r="T1666">
        <f t="shared" ref="T1666:T1729" si="107">IF(L1666=0,0,N1666/L1666)</f>
        <v>3.7037037037037035E-2</v>
      </c>
      <c r="U1666" t="str">
        <f>YEAR('Campaign Data'!$A1666)&amp;"-"&amp;TEXT(MONTH('Campaign Data'!$A1666),"00")</f>
        <v>2026-04</v>
      </c>
    </row>
    <row r="1667" spans="1:21" x14ac:dyDescent="0.25">
      <c r="A1667">
        <v>46114</v>
      </c>
      <c r="B1667" t="s">
        <v>30</v>
      </c>
      <c r="C1667" t="s">
        <v>31</v>
      </c>
      <c r="D1667" t="s">
        <v>32</v>
      </c>
      <c r="E1667" t="s">
        <v>33</v>
      </c>
      <c r="F1667" t="s">
        <v>34</v>
      </c>
      <c r="G1667" t="s">
        <v>35</v>
      </c>
      <c r="H1667" t="s">
        <v>90</v>
      </c>
      <c r="I1667" t="s">
        <v>28</v>
      </c>
      <c r="J1667" t="s">
        <v>38</v>
      </c>
      <c r="K1667">
        <v>5979</v>
      </c>
      <c r="L1667">
        <v>57</v>
      </c>
      <c r="M1667">
        <v>11.98</v>
      </c>
      <c r="N1667">
        <v>0</v>
      </c>
      <c r="O1667">
        <v>0</v>
      </c>
      <c r="P1667">
        <f t="shared" si="104"/>
        <v>9.5333667837431014E-3</v>
      </c>
      <c r="Q1667">
        <f t="shared" si="104"/>
        <v>0.21017543859649124</v>
      </c>
      <c r="R1667">
        <f t="shared" si="105"/>
        <v>0</v>
      </c>
      <c r="S1667">
        <f t="shared" si="106"/>
        <v>0</v>
      </c>
      <c r="T1667">
        <f t="shared" si="107"/>
        <v>0</v>
      </c>
      <c r="U1667" t="str">
        <f>YEAR('Campaign Data'!$A1667)&amp;"-"&amp;TEXT(MONTH('Campaign Data'!$A1667),"00")</f>
        <v>2026-04</v>
      </c>
    </row>
    <row r="1668" spans="1:21" x14ac:dyDescent="0.25">
      <c r="A1668">
        <v>46114</v>
      </c>
      <c r="B1668" t="s">
        <v>98</v>
      </c>
      <c r="C1668" t="s">
        <v>99</v>
      </c>
      <c r="D1668" t="s">
        <v>69</v>
      </c>
      <c r="E1668" t="s">
        <v>24</v>
      </c>
      <c r="F1668" t="s">
        <v>75</v>
      </c>
      <c r="G1668" t="s">
        <v>66</v>
      </c>
      <c r="H1668" t="s">
        <v>90</v>
      </c>
      <c r="I1668" t="s">
        <v>37</v>
      </c>
      <c r="J1668" t="s">
        <v>45</v>
      </c>
      <c r="K1668">
        <v>11513</v>
      </c>
      <c r="L1668">
        <v>152</v>
      </c>
      <c r="M1668">
        <v>34.299999999999997</v>
      </c>
      <c r="N1668">
        <v>3</v>
      </c>
      <c r="O1668">
        <v>27.04</v>
      </c>
      <c r="P1668">
        <f t="shared" si="104"/>
        <v>1.3202466776687223E-2</v>
      </c>
      <c r="Q1668">
        <f t="shared" si="104"/>
        <v>0.22565789473684209</v>
      </c>
      <c r="R1668">
        <f t="shared" si="105"/>
        <v>11.433333333333332</v>
      </c>
      <c r="S1668">
        <f t="shared" si="106"/>
        <v>0.78833819241982517</v>
      </c>
      <c r="T1668">
        <f t="shared" si="107"/>
        <v>1.9736842105263157E-2</v>
      </c>
      <c r="U1668" t="str">
        <f>YEAR('Campaign Data'!$A1668)&amp;"-"&amp;TEXT(MONTH('Campaign Data'!$A1668),"00")</f>
        <v>2026-04</v>
      </c>
    </row>
    <row r="1669" spans="1:21" x14ac:dyDescent="0.25">
      <c r="A1669">
        <v>46114</v>
      </c>
      <c r="B1669" t="s">
        <v>100</v>
      </c>
      <c r="C1669" t="s">
        <v>101</v>
      </c>
      <c r="D1669" t="s">
        <v>80</v>
      </c>
      <c r="E1669" t="s">
        <v>33</v>
      </c>
      <c r="F1669" t="s">
        <v>25</v>
      </c>
      <c r="G1669" t="s">
        <v>102</v>
      </c>
      <c r="H1669" t="s">
        <v>90</v>
      </c>
      <c r="I1669" t="s">
        <v>37</v>
      </c>
      <c r="J1669" t="s">
        <v>38</v>
      </c>
      <c r="K1669">
        <v>12573</v>
      </c>
      <c r="L1669">
        <v>100</v>
      </c>
      <c r="M1669">
        <v>21.3</v>
      </c>
      <c r="N1669">
        <v>1</v>
      </c>
      <c r="O1669">
        <v>58.19</v>
      </c>
      <c r="P1669">
        <f t="shared" si="104"/>
        <v>7.9535512606378755E-3</v>
      </c>
      <c r="Q1669">
        <f t="shared" si="104"/>
        <v>0.21299999999999999</v>
      </c>
      <c r="R1669">
        <f t="shared" si="105"/>
        <v>21.3</v>
      </c>
      <c r="S1669">
        <f t="shared" si="106"/>
        <v>2.7319248826291078</v>
      </c>
      <c r="T1669">
        <f t="shared" si="107"/>
        <v>0.01</v>
      </c>
      <c r="U1669" t="str">
        <f>YEAR('Campaign Data'!$A1669)&amp;"-"&amp;TEXT(MONTH('Campaign Data'!$A1669),"00")</f>
        <v>2026-04</v>
      </c>
    </row>
    <row r="1670" spans="1:21" x14ac:dyDescent="0.25">
      <c r="A1670">
        <v>46114</v>
      </c>
      <c r="B1670" t="s">
        <v>153</v>
      </c>
      <c r="C1670" t="s">
        <v>154</v>
      </c>
      <c r="D1670" t="s">
        <v>48</v>
      </c>
      <c r="E1670" t="s">
        <v>33</v>
      </c>
      <c r="F1670" t="s">
        <v>43</v>
      </c>
      <c r="G1670" t="s">
        <v>59</v>
      </c>
      <c r="H1670" t="s">
        <v>90</v>
      </c>
      <c r="I1670" t="s">
        <v>28</v>
      </c>
      <c r="J1670" t="s">
        <v>45</v>
      </c>
      <c r="K1670">
        <v>12015</v>
      </c>
      <c r="L1670">
        <v>110</v>
      </c>
      <c r="M1670">
        <v>16.96</v>
      </c>
      <c r="N1670">
        <v>0</v>
      </c>
      <c r="O1670">
        <v>0</v>
      </c>
      <c r="P1670">
        <f t="shared" si="104"/>
        <v>9.1552226383687062E-3</v>
      </c>
      <c r="Q1670">
        <f t="shared" si="104"/>
        <v>0.1541818181818182</v>
      </c>
      <c r="R1670">
        <f t="shared" si="105"/>
        <v>0</v>
      </c>
      <c r="S1670">
        <f t="shared" si="106"/>
        <v>0</v>
      </c>
      <c r="T1670">
        <f t="shared" si="107"/>
        <v>0</v>
      </c>
      <c r="U1670" t="str">
        <f>YEAR('Campaign Data'!$A1670)&amp;"-"&amp;TEXT(MONTH('Campaign Data'!$A1670),"00")</f>
        <v>2026-04</v>
      </c>
    </row>
    <row r="1671" spans="1:21" x14ac:dyDescent="0.25">
      <c r="A1671">
        <v>46114</v>
      </c>
      <c r="B1671" t="s">
        <v>153</v>
      </c>
      <c r="C1671" t="s">
        <v>154</v>
      </c>
      <c r="D1671" t="s">
        <v>48</v>
      </c>
      <c r="E1671" t="s">
        <v>33</v>
      </c>
      <c r="F1671" t="s">
        <v>43</v>
      </c>
      <c r="G1671" t="s">
        <v>59</v>
      </c>
      <c r="H1671" t="s">
        <v>27</v>
      </c>
      <c r="I1671" t="s">
        <v>37</v>
      </c>
      <c r="J1671" t="s">
        <v>38</v>
      </c>
      <c r="K1671">
        <v>10111</v>
      </c>
      <c r="L1671">
        <v>97</v>
      </c>
      <c r="M1671">
        <v>56.08</v>
      </c>
      <c r="N1671">
        <v>2</v>
      </c>
      <c r="O1671">
        <v>92.19</v>
      </c>
      <c r="P1671">
        <f t="shared" si="104"/>
        <v>9.5935120166155668E-3</v>
      </c>
      <c r="Q1671">
        <f t="shared" si="104"/>
        <v>0.57814432989690723</v>
      </c>
      <c r="R1671">
        <f t="shared" si="105"/>
        <v>28.04</v>
      </c>
      <c r="S1671">
        <f t="shared" si="106"/>
        <v>1.6439015691868759</v>
      </c>
      <c r="T1671">
        <f t="shared" si="107"/>
        <v>2.0618556701030927E-2</v>
      </c>
      <c r="U1671" t="str">
        <f>YEAR('Campaign Data'!$A1671)&amp;"-"&amp;TEXT(MONTH('Campaign Data'!$A1671),"00")</f>
        <v>2026-04</v>
      </c>
    </row>
    <row r="1672" spans="1:21" x14ac:dyDescent="0.25">
      <c r="A1672">
        <v>46114</v>
      </c>
      <c r="B1672" t="s">
        <v>161</v>
      </c>
      <c r="C1672" t="s">
        <v>162</v>
      </c>
      <c r="D1672" t="s">
        <v>48</v>
      </c>
      <c r="E1672" t="s">
        <v>74</v>
      </c>
      <c r="F1672" t="s">
        <v>34</v>
      </c>
      <c r="G1672" t="s">
        <v>107</v>
      </c>
      <c r="H1672" t="s">
        <v>36</v>
      </c>
      <c r="I1672" t="s">
        <v>37</v>
      </c>
      <c r="J1672" t="s">
        <v>62</v>
      </c>
      <c r="K1672">
        <v>4896</v>
      </c>
      <c r="L1672">
        <v>219</v>
      </c>
      <c r="M1672">
        <v>304.89</v>
      </c>
      <c r="N1672">
        <v>9</v>
      </c>
      <c r="O1672">
        <v>1528.66</v>
      </c>
      <c r="P1672">
        <f t="shared" si="104"/>
        <v>4.4730392156862746E-2</v>
      </c>
      <c r="Q1672">
        <f t="shared" si="104"/>
        <v>1.3921917808219177</v>
      </c>
      <c r="R1672">
        <f t="shared" si="105"/>
        <v>33.876666666666665</v>
      </c>
      <c r="S1672">
        <f t="shared" si="106"/>
        <v>5.0138082587162591</v>
      </c>
      <c r="T1672">
        <f t="shared" si="107"/>
        <v>4.1095890410958902E-2</v>
      </c>
      <c r="U1672" t="str">
        <f>YEAR('Campaign Data'!$A1672)&amp;"-"&amp;TEXT(MONTH('Campaign Data'!$A1672),"00")</f>
        <v>2026-04</v>
      </c>
    </row>
    <row r="1673" spans="1:21" x14ac:dyDescent="0.25">
      <c r="A1673">
        <v>46114</v>
      </c>
      <c r="B1673" t="s">
        <v>141</v>
      </c>
      <c r="C1673" t="s">
        <v>142</v>
      </c>
      <c r="D1673" t="s">
        <v>80</v>
      </c>
      <c r="E1673" t="s">
        <v>49</v>
      </c>
      <c r="F1673" t="s">
        <v>81</v>
      </c>
      <c r="G1673" t="s">
        <v>97</v>
      </c>
      <c r="H1673" t="s">
        <v>55</v>
      </c>
      <c r="I1673" t="s">
        <v>37</v>
      </c>
      <c r="J1673" t="s">
        <v>87</v>
      </c>
      <c r="K1673">
        <v>18023</v>
      </c>
      <c r="L1673">
        <v>1008</v>
      </c>
      <c r="M1673">
        <v>1805.59</v>
      </c>
      <c r="N1673">
        <v>47</v>
      </c>
      <c r="O1673">
        <v>866.67</v>
      </c>
      <c r="P1673">
        <f t="shared" si="104"/>
        <v>5.5928535759862397E-2</v>
      </c>
      <c r="Q1673">
        <f t="shared" si="104"/>
        <v>1.7912599206349205</v>
      </c>
      <c r="R1673">
        <f t="shared" si="105"/>
        <v>38.416808510638297</v>
      </c>
      <c r="S1673">
        <f t="shared" si="106"/>
        <v>0.47999268937023354</v>
      </c>
      <c r="T1673">
        <f t="shared" si="107"/>
        <v>4.6626984126984128E-2</v>
      </c>
      <c r="U1673" t="str">
        <f>YEAR('Campaign Data'!$A1673)&amp;"-"&amp;TEXT(MONTH('Campaign Data'!$A1673),"00")</f>
        <v>2026-04</v>
      </c>
    </row>
    <row r="1674" spans="1:21" x14ac:dyDescent="0.25">
      <c r="A1674">
        <v>46114</v>
      </c>
      <c r="B1674" t="s">
        <v>136</v>
      </c>
      <c r="C1674" t="s">
        <v>137</v>
      </c>
      <c r="D1674" t="s">
        <v>32</v>
      </c>
      <c r="E1674" t="s">
        <v>49</v>
      </c>
      <c r="F1674" t="s">
        <v>75</v>
      </c>
      <c r="G1674" t="s">
        <v>97</v>
      </c>
      <c r="H1674" t="s">
        <v>27</v>
      </c>
      <c r="I1674" t="s">
        <v>37</v>
      </c>
      <c r="J1674" t="s">
        <v>87</v>
      </c>
      <c r="K1674">
        <v>9630</v>
      </c>
      <c r="L1674">
        <v>460</v>
      </c>
      <c r="M1674">
        <v>979.67</v>
      </c>
      <c r="N1674">
        <v>30</v>
      </c>
      <c r="O1674">
        <v>1325.89</v>
      </c>
      <c r="P1674">
        <f t="shared" si="104"/>
        <v>4.7767393561786088E-2</v>
      </c>
      <c r="Q1674">
        <f t="shared" si="104"/>
        <v>2.1297173913043479</v>
      </c>
      <c r="R1674">
        <f t="shared" si="105"/>
        <v>32.655666666666669</v>
      </c>
      <c r="S1674">
        <f t="shared" si="106"/>
        <v>1.3534047179152164</v>
      </c>
      <c r="T1674">
        <f t="shared" si="107"/>
        <v>6.5217391304347824E-2</v>
      </c>
      <c r="U1674" t="str">
        <f>YEAR('Campaign Data'!$A1674)&amp;"-"&amp;TEXT(MONTH('Campaign Data'!$A1674),"00")</f>
        <v>2026-04</v>
      </c>
    </row>
    <row r="1675" spans="1:21" x14ac:dyDescent="0.25">
      <c r="A1675">
        <v>46114</v>
      </c>
      <c r="B1675" t="s">
        <v>63</v>
      </c>
      <c r="C1675" t="s">
        <v>64</v>
      </c>
      <c r="D1675" t="s">
        <v>65</v>
      </c>
      <c r="E1675" t="s">
        <v>24</v>
      </c>
      <c r="F1675" t="s">
        <v>43</v>
      </c>
      <c r="G1675" t="s">
        <v>66</v>
      </c>
      <c r="H1675" t="s">
        <v>71</v>
      </c>
      <c r="I1675" t="s">
        <v>28</v>
      </c>
      <c r="J1675" t="s">
        <v>38</v>
      </c>
      <c r="K1675">
        <v>10338</v>
      </c>
      <c r="L1675">
        <v>100</v>
      </c>
      <c r="M1675">
        <v>143.74</v>
      </c>
      <c r="N1675">
        <v>0</v>
      </c>
      <c r="O1675">
        <v>0</v>
      </c>
      <c r="P1675">
        <f t="shared" si="104"/>
        <v>9.6730508802476307E-3</v>
      </c>
      <c r="Q1675">
        <f t="shared" si="104"/>
        <v>1.4374</v>
      </c>
      <c r="R1675">
        <f t="shared" si="105"/>
        <v>0</v>
      </c>
      <c r="S1675">
        <f t="shared" si="106"/>
        <v>0</v>
      </c>
      <c r="T1675">
        <f t="shared" si="107"/>
        <v>0</v>
      </c>
      <c r="U1675" t="str">
        <f>YEAR('Campaign Data'!$A1675)&amp;"-"&amp;TEXT(MONTH('Campaign Data'!$A1675),"00")</f>
        <v>2026-04</v>
      </c>
    </row>
    <row r="1676" spans="1:21" x14ac:dyDescent="0.25">
      <c r="A1676">
        <v>46114</v>
      </c>
      <c r="B1676" t="s">
        <v>183</v>
      </c>
      <c r="C1676" t="s">
        <v>184</v>
      </c>
      <c r="D1676" t="s">
        <v>23</v>
      </c>
      <c r="E1676" t="s">
        <v>24</v>
      </c>
      <c r="F1676" t="s">
        <v>81</v>
      </c>
      <c r="G1676" t="s">
        <v>185</v>
      </c>
      <c r="H1676" t="s">
        <v>60</v>
      </c>
      <c r="I1676" t="s">
        <v>37</v>
      </c>
      <c r="J1676" t="s">
        <v>38</v>
      </c>
      <c r="K1676">
        <v>8903</v>
      </c>
      <c r="L1676">
        <v>99</v>
      </c>
      <c r="M1676">
        <v>107.37</v>
      </c>
      <c r="N1676">
        <v>0</v>
      </c>
      <c r="O1676">
        <v>0</v>
      </c>
      <c r="P1676">
        <f t="shared" si="104"/>
        <v>1.1119847242502527E-2</v>
      </c>
      <c r="Q1676">
        <f t="shared" si="104"/>
        <v>1.0845454545454547</v>
      </c>
      <c r="R1676">
        <f t="shared" si="105"/>
        <v>0</v>
      </c>
      <c r="S1676">
        <f t="shared" si="106"/>
        <v>0</v>
      </c>
      <c r="T1676">
        <f t="shared" si="107"/>
        <v>0</v>
      </c>
      <c r="U1676" t="str">
        <f>YEAR('Campaign Data'!$A1676)&amp;"-"&amp;TEXT(MONTH('Campaign Data'!$A1676),"00")</f>
        <v>2026-04</v>
      </c>
    </row>
    <row r="1677" spans="1:21" x14ac:dyDescent="0.25">
      <c r="A1677">
        <v>46114</v>
      </c>
      <c r="B1677" t="s">
        <v>67</v>
      </c>
      <c r="C1677" t="s">
        <v>68</v>
      </c>
      <c r="D1677" t="s">
        <v>69</v>
      </c>
      <c r="E1677" t="s">
        <v>49</v>
      </c>
      <c r="F1677" t="s">
        <v>34</v>
      </c>
      <c r="G1677" t="s">
        <v>70</v>
      </c>
      <c r="H1677" t="s">
        <v>27</v>
      </c>
      <c r="I1677" t="s">
        <v>37</v>
      </c>
      <c r="J1677" t="s">
        <v>87</v>
      </c>
      <c r="K1677">
        <v>4030</v>
      </c>
      <c r="L1677">
        <v>191</v>
      </c>
      <c r="M1677">
        <v>461.38</v>
      </c>
      <c r="N1677">
        <v>19</v>
      </c>
      <c r="O1677">
        <v>2414.2800000000002</v>
      </c>
      <c r="P1677">
        <f t="shared" si="104"/>
        <v>4.739454094292804E-2</v>
      </c>
      <c r="Q1677">
        <f t="shared" si="104"/>
        <v>2.4156020942408376</v>
      </c>
      <c r="R1677">
        <f t="shared" si="105"/>
        <v>24.283157894736842</v>
      </c>
      <c r="S1677">
        <f t="shared" si="106"/>
        <v>5.2327365728900261</v>
      </c>
      <c r="T1677">
        <f t="shared" si="107"/>
        <v>9.947643979057591E-2</v>
      </c>
      <c r="U1677" t="str">
        <f>YEAR('Campaign Data'!$A1677)&amp;"-"&amp;TEXT(MONTH('Campaign Data'!$A1677),"00")</f>
        <v>2026-04</v>
      </c>
    </row>
    <row r="1678" spans="1:21" x14ac:dyDescent="0.25">
      <c r="A1678">
        <v>46114</v>
      </c>
      <c r="B1678" t="s">
        <v>145</v>
      </c>
      <c r="C1678" t="s">
        <v>146</v>
      </c>
      <c r="D1678" t="s">
        <v>41</v>
      </c>
      <c r="E1678" t="s">
        <v>49</v>
      </c>
      <c r="F1678" t="s">
        <v>75</v>
      </c>
      <c r="G1678" t="s">
        <v>70</v>
      </c>
      <c r="H1678" t="s">
        <v>27</v>
      </c>
      <c r="I1678" t="s">
        <v>37</v>
      </c>
      <c r="J1678" t="s">
        <v>29</v>
      </c>
      <c r="K1678">
        <v>7209</v>
      </c>
      <c r="L1678">
        <v>356</v>
      </c>
      <c r="M1678">
        <v>929.05</v>
      </c>
      <c r="N1678">
        <v>13</v>
      </c>
      <c r="O1678">
        <v>670.79</v>
      </c>
      <c r="P1678">
        <f t="shared" si="104"/>
        <v>4.9382716049382713E-2</v>
      </c>
      <c r="Q1678">
        <f t="shared" si="104"/>
        <v>2.609691011235955</v>
      </c>
      <c r="R1678">
        <f t="shared" si="105"/>
        <v>71.465384615384608</v>
      </c>
      <c r="S1678">
        <f t="shared" si="106"/>
        <v>0.72201711425649862</v>
      </c>
      <c r="T1678">
        <f t="shared" si="107"/>
        <v>3.6516853932584269E-2</v>
      </c>
      <c r="U1678" t="str">
        <f>YEAR('Campaign Data'!$A1678)&amp;"-"&amp;TEXT(MONTH('Campaign Data'!$A1678),"00")</f>
        <v>2026-04</v>
      </c>
    </row>
    <row r="1679" spans="1:21" x14ac:dyDescent="0.25">
      <c r="A1679">
        <v>46114</v>
      </c>
      <c r="B1679" t="s">
        <v>76</v>
      </c>
      <c r="C1679" t="s">
        <v>77</v>
      </c>
      <c r="D1679" t="s">
        <v>65</v>
      </c>
      <c r="E1679" t="s">
        <v>42</v>
      </c>
      <c r="F1679" t="s">
        <v>43</v>
      </c>
      <c r="G1679" t="s">
        <v>44</v>
      </c>
      <c r="H1679" t="s">
        <v>27</v>
      </c>
      <c r="I1679" t="s">
        <v>37</v>
      </c>
      <c r="J1679" t="s">
        <v>87</v>
      </c>
      <c r="K1679">
        <v>11572</v>
      </c>
      <c r="L1679">
        <v>66</v>
      </c>
      <c r="M1679">
        <v>350.79</v>
      </c>
      <c r="N1679">
        <v>1</v>
      </c>
      <c r="O1679">
        <v>26.18</v>
      </c>
      <c r="P1679">
        <f t="shared" si="104"/>
        <v>5.7034220532319393E-3</v>
      </c>
      <c r="Q1679">
        <f t="shared" si="104"/>
        <v>5.3150000000000004</v>
      </c>
      <c r="R1679">
        <f t="shared" si="105"/>
        <v>350.79</v>
      </c>
      <c r="S1679">
        <f t="shared" si="106"/>
        <v>7.4631545939165878E-2</v>
      </c>
      <c r="T1679">
        <f t="shared" si="107"/>
        <v>1.5151515151515152E-2</v>
      </c>
      <c r="U1679" t="str">
        <f>YEAR('Campaign Data'!$A1679)&amp;"-"&amp;TEXT(MONTH('Campaign Data'!$A1679),"00")</f>
        <v>2026-04</v>
      </c>
    </row>
    <row r="1680" spans="1:21" x14ac:dyDescent="0.25">
      <c r="A1680">
        <v>46114</v>
      </c>
      <c r="B1680" t="s">
        <v>78</v>
      </c>
      <c r="C1680" t="s">
        <v>79</v>
      </c>
      <c r="D1680" t="s">
        <v>80</v>
      </c>
      <c r="E1680" t="s">
        <v>24</v>
      </c>
      <c r="F1680" t="s">
        <v>81</v>
      </c>
      <c r="G1680" t="s">
        <v>66</v>
      </c>
      <c r="H1680" t="s">
        <v>90</v>
      </c>
      <c r="I1680" t="s">
        <v>37</v>
      </c>
      <c r="J1680" t="s">
        <v>45</v>
      </c>
      <c r="K1680">
        <v>4993</v>
      </c>
      <c r="L1680">
        <v>63</v>
      </c>
      <c r="M1680">
        <v>14.72</v>
      </c>
      <c r="N1680">
        <v>0</v>
      </c>
      <c r="O1680">
        <v>0</v>
      </c>
      <c r="P1680">
        <f t="shared" si="104"/>
        <v>1.2617664730622872E-2</v>
      </c>
      <c r="Q1680">
        <f t="shared" si="104"/>
        <v>0.23365079365079366</v>
      </c>
      <c r="R1680">
        <f t="shared" si="105"/>
        <v>0</v>
      </c>
      <c r="S1680">
        <f t="shared" si="106"/>
        <v>0</v>
      </c>
      <c r="T1680">
        <f t="shared" si="107"/>
        <v>0</v>
      </c>
      <c r="U1680" t="str">
        <f>YEAR('Campaign Data'!$A1680)&amp;"-"&amp;TEXT(MONTH('Campaign Data'!$A1680),"00")</f>
        <v>2026-04</v>
      </c>
    </row>
    <row r="1681" spans="1:21" x14ac:dyDescent="0.25">
      <c r="A1681">
        <v>46114</v>
      </c>
      <c r="B1681" t="s">
        <v>122</v>
      </c>
      <c r="C1681" t="s">
        <v>123</v>
      </c>
      <c r="D1681" t="s">
        <v>41</v>
      </c>
      <c r="E1681" t="s">
        <v>33</v>
      </c>
      <c r="F1681" t="s">
        <v>75</v>
      </c>
      <c r="G1681" t="s">
        <v>35</v>
      </c>
      <c r="H1681" t="s">
        <v>90</v>
      </c>
      <c r="I1681" t="s">
        <v>28</v>
      </c>
      <c r="J1681" t="s">
        <v>45</v>
      </c>
      <c r="K1681">
        <v>10039</v>
      </c>
      <c r="L1681">
        <v>80</v>
      </c>
      <c r="M1681">
        <v>14.17</v>
      </c>
      <c r="N1681">
        <v>0</v>
      </c>
      <c r="O1681">
        <v>0</v>
      </c>
      <c r="P1681">
        <f t="shared" si="104"/>
        <v>7.9689212072915627E-3</v>
      </c>
      <c r="Q1681">
        <f t="shared" si="104"/>
        <v>0.177125</v>
      </c>
      <c r="R1681">
        <f t="shared" si="105"/>
        <v>0</v>
      </c>
      <c r="S1681">
        <f t="shared" si="106"/>
        <v>0</v>
      </c>
      <c r="T1681">
        <f t="shared" si="107"/>
        <v>0</v>
      </c>
      <c r="U1681" t="str">
        <f>YEAR('Campaign Data'!$A1681)&amp;"-"&amp;TEXT(MONTH('Campaign Data'!$A1681),"00")</f>
        <v>2026-04</v>
      </c>
    </row>
    <row r="1682" spans="1:21" x14ac:dyDescent="0.25">
      <c r="A1682">
        <v>46114</v>
      </c>
      <c r="B1682" t="s">
        <v>122</v>
      </c>
      <c r="C1682" t="s">
        <v>123</v>
      </c>
      <c r="D1682" t="s">
        <v>41</v>
      </c>
      <c r="E1682" t="s">
        <v>33</v>
      </c>
      <c r="F1682" t="s">
        <v>75</v>
      </c>
      <c r="G1682" t="s">
        <v>35</v>
      </c>
      <c r="H1682" t="s">
        <v>60</v>
      </c>
      <c r="I1682" t="s">
        <v>37</v>
      </c>
      <c r="J1682" t="s">
        <v>87</v>
      </c>
      <c r="K1682">
        <v>7151</v>
      </c>
      <c r="L1682">
        <v>57</v>
      </c>
      <c r="M1682">
        <v>26.14</v>
      </c>
      <c r="N1682">
        <v>0</v>
      </c>
      <c r="O1682">
        <v>0</v>
      </c>
      <c r="P1682">
        <f t="shared" si="104"/>
        <v>7.9709131589987409E-3</v>
      </c>
      <c r="Q1682">
        <f t="shared" si="104"/>
        <v>0.45859649122807017</v>
      </c>
      <c r="R1682">
        <f t="shared" si="105"/>
        <v>0</v>
      </c>
      <c r="S1682">
        <f t="shared" si="106"/>
        <v>0</v>
      </c>
      <c r="T1682">
        <f t="shared" si="107"/>
        <v>0</v>
      </c>
      <c r="U1682" t="str">
        <f>YEAR('Campaign Data'!$A1682)&amp;"-"&amp;TEXT(MONTH('Campaign Data'!$A1682),"00")</f>
        <v>2026-04</v>
      </c>
    </row>
    <row r="1683" spans="1:21" x14ac:dyDescent="0.25">
      <c r="A1683">
        <v>46114</v>
      </c>
      <c r="B1683" t="s">
        <v>82</v>
      </c>
      <c r="C1683" t="s">
        <v>83</v>
      </c>
      <c r="D1683" t="s">
        <v>80</v>
      </c>
      <c r="E1683" t="s">
        <v>42</v>
      </c>
      <c r="F1683" t="s">
        <v>34</v>
      </c>
      <c r="G1683" t="s">
        <v>84</v>
      </c>
      <c r="H1683" t="s">
        <v>27</v>
      </c>
      <c r="I1683" t="s">
        <v>28</v>
      </c>
      <c r="J1683" t="s">
        <v>38</v>
      </c>
      <c r="K1683">
        <v>1716</v>
      </c>
      <c r="L1683">
        <v>7</v>
      </c>
      <c r="M1683">
        <v>40.57</v>
      </c>
      <c r="N1683">
        <v>0</v>
      </c>
      <c r="O1683">
        <v>0</v>
      </c>
      <c r="P1683">
        <f t="shared" si="104"/>
        <v>4.079254079254079E-3</v>
      </c>
      <c r="Q1683">
        <f t="shared" si="104"/>
        <v>5.7957142857142854</v>
      </c>
      <c r="R1683">
        <f t="shared" si="105"/>
        <v>0</v>
      </c>
      <c r="S1683">
        <f t="shared" si="106"/>
        <v>0</v>
      </c>
      <c r="T1683">
        <f t="shared" si="107"/>
        <v>0</v>
      </c>
      <c r="U1683" t="str">
        <f>YEAR('Campaign Data'!$A1683)&amp;"-"&amp;TEXT(MONTH('Campaign Data'!$A1683),"00")</f>
        <v>2026-04</v>
      </c>
    </row>
    <row r="1684" spans="1:21" x14ac:dyDescent="0.25">
      <c r="A1684">
        <v>46115</v>
      </c>
      <c r="B1684" t="s">
        <v>21</v>
      </c>
      <c r="C1684" t="s">
        <v>124</v>
      </c>
      <c r="D1684" t="s">
        <v>23</v>
      </c>
      <c r="E1684" t="s">
        <v>24</v>
      </c>
      <c r="F1684" t="s">
        <v>25</v>
      </c>
      <c r="G1684" t="s">
        <v>26</v>
      </c>
      <c r="H1684" t="s">
        <v>90</v>
      </c>
      <c r="I1684" t="s">
        <v>37</v>
      </c>
      <c r="J1684" t="s">
        <v>29</v>
      </c>
      <c r="K1684">
        <v>8173</v>
      </c>
      <c r="L1684">
        <v>84</v>
      </c>
      <c r="M1684">
        <v>27.99</v>
      </c>
      <c r="N1684">
        <v>0</v>
      </c>
      <c r="O1684">
        <v>0</v>
      </c>
      <c r="P1684">
        <f t="shared" si="104"/>
        <v>1.0277743790529793E-2</v>
      </c>
      <c r="Q1684">
        <f t="shared" si="104"/>
        <v>0.33321428571428569</v>
      </c>
      <c r="R1684">
        <f t="shared" si="105"/>
        <v>0</v>
      </c>
      <c r="S1684">
        <f t="shared" si="106"/>
        <v>0</v>
      </c>
      <c r="T1684">
        <f t="shared" si="107"/>
        <v>0</v>
      </c>
      <c r="U1684" t="str">
        <f>YEAR('Campaign Data'!$A1684)&amp;"-"&amp;TEXT(MONTH('Campaign Data'!$A1684),"00")</f>
        <v>2026-04</v>
      </c>
    </row>
    <row r="1685" spans="1:21" x14ac:dyDescent="0.25">
      <c r="A1685">
        <v>46115</v>
      </c>
      <c r="B1685" t="s">
        <v>167</v>
      </c>
      <c r="C1685" t="s">
        <v>168</v>
      </c>
      <c r="D1685" t="s">
        <v>58</v>
      </c>
      <c r="E1685" t="s">
        <v>33</v>
      </c>
      <c r="F1685" t="s">
        <v>75</v>
      </c>
      <c r="G1685" t="s">
        <v>35</v>
      </c>
      <c r="H1685" t="s">
        <v>71</v>
      </c>
      <c r="I1685" t="s">
        <v>37</v>
      </c>
      <c r="J1685" t="s">
        <v>45</v>
      </c>
      <c r="K1685">
        <v>2328</v>
      </c>
      <c r="L1685">
        <v>16</v>
      </c>
      <c r="M1685">
        <v>7.98</v>
      </c>
      <c r="N1685">
        <v>0</v>
      </c>
      <c r="O1685">
        <v>0</v>
      </c>
      <c r="P1685">
        <f t="shared" si="104"/>
        <v>6.8728522336769758E-3</v>
      </c>
      <c r="Q1685">
        <f t="shared" si="104"/>
        <v>0.49875000000000003</v>
      </c>
      <c r="R1685">
        <f t="shared" si="105"/>
        <v>0</v>
      </c>
      <c r="S1685">
        <f t="shared" si="106"/>
        <v>0</v>
      </c>
      <c r="T1685">
        <f t="shared" si="107"/>
        <v>0</v>
      </c>
      <c r="U1685" t="str">
        <f>YEAR('Campaign Data'!$A1685)&amp;"-"&amp;TEXT(MONTH('Campaign Data'!$A1685),"00")</f>
        <v>2026-04</v>
      </c>
    </row>
    <row r="1686" spans="1:21" x14ac:dyDescent="0.25">
      <c r="A1686">
        <v>46115</v>
      </c>
      <c r="B1686" t="s">
        <v>167</v>
      </c>
      <c r="C1686" t="s">
        <v>168</v>
      </c>
      <c r="D1686" t="s">
        <v>58</v>
      </c>
      <c r="E1686" t="s">
        <v>33</v>
      </c>
      <c r="F1686" t="s">
        <v>75</v>
      </c>
      <c r="G1686" t="s">
        <v>35</v>
      </c>
      <c r="H1686" t="s">
        <v>90</v>
      </c>
      <c r="I1686" t="s">
        <v>37</v>
      </c>
      <c r="J1686" t="s">
        <v>38</v>
      </c>
      <c r="K1686">
        <v>7942</v>
      </c>
      <c r="L1686">
        <v>94</v>
      </c>
      <c r="M1686">
        <v>12.74</v>
      </c>
      <c r="N1686">
        <v>1</v>
      </c>
      <c r="O1686">
        <v>12.31</v>
      </c>
      <c r="P1686">
        <f t="shared" si="104"/>
        <v>1.1835809619743138E-2</v>
      </c>
      <c r="Q1686">
        <f t="shared" si="104"/>
        <v>0.13553191489361702</v>
      </c>
      <c r="R1686">
        <f t="shared" si="105"/>
        <v>12.74</v>
      </c>
      <c r="S1686">
        <f t="shared" si="106"/>
        <v>0.96624803767660916</v>
      </c>
      <c r="T1686">
        <f t="shared" si="107"/>
        <v>1.0638297872340425E-2</v>
      </c>
      <c r="U1686" t="str">
        <f>YEAR('Campaign Data'!$A1686)&amp;"-"&amp;TEXT(MONTH('Campaign Data'!$A1686),"00")</f>
        <v>2026-04</v>
      </c>
    </row>
    <row r="1687" spans="1:21" x14ac:dyDescent="0.25">
      <c r="A1687">
        <v>46115</v>
      </c>
      <c r="B1687" t="s">
        <v>39</v>
      </c>
      <c r="C1687" t="s">
        <v>40</v>
      </c>
      <c r="D1687" t="s">
        <v>41</v>
      </c>
      <c r="E1687" t="s">
        <v>42</v>
      </c>
      <c r="F1687" t="s">
        <v>43</v>
      </c>
      <c r="G1687" t="s">
        <v>44</v>
      </c>
      <c r="H1687" t="s">
        <v>27</v>
      </c>
      <c r="I1687" t="s">
        <v>37</v>
      </c>
      <c r="J1687" t="s">
        <v>62</v>
      </c>
      <c r="K1687">
        <v>30907</v>
      </c>
      <c r="L1687">
        <v>234</v>
      </c>
      <c r="M1687">
        <v>1867.21</v>
      </c>
      <c r="N1687">
        <v>16</v>
      </c>
      <c r="O1687">
        <v>718.19</v>
      </c>
      <c r="P1687">
        <f t="shared" si="104"/>
        <v>7.5711003979680976E-3</v>
      </c>
      <c r="Q1687">
        <f t="shared" si="104"/>
        <v>7.9795299145299143</v>
      </c>
      <c r="R1687">
        <f t="shared" si="105"/>
        <v>116.700625</v>
      </c>
      <c r="S1687">
        <f t="shared" si="106"/>
        <v>0.38463268727138356</v>
      </c>
      <c r="T1687">
        <f t="shared" si="107"/>
        <v>6.8376068376068383E-2</v>
      </c>
      <c r="U1687" t="str">
        <f>YEAR('Campaign Data'!$A1687)&amp;"-"&amp;TEXT(MONTH('Campaign Data'!$A1687),"00")</f>
        <v>2026-04</v>
      </c>
    </row>
    <row r="1688" spans="1:21" x14ac:dyDescent="0.25">
      <c r="A1688">
        <v>46115</v>
      </c>
      <c r="B1688" t="s">
        <v>98</v>
      </c>
      <c r="C1688" t="s">
        <v>99</v>
      </c>
      <c r="D1688" t="s">
        <v>69</v>
      </c>
      <c r="E1688" t="s">
        <v>24</v>
      </c>
      <c r="F1688" t="s">
        <v>75</v>
      </c>
      <c r="G1688" t="s">
        <v>66</v>
      </c>
      <c r="H1688" t="s">
        <v>27</v>
      </c>
      <c r="I1688" t="s">
        <v>37</v>
      </c>
      <c r="J1688" t="s">
        <v>45</v>
      </c>
      <c r="K1688">
        <v>7566</v>
      </c>
      <c r="L1688">
        <v>93</v>
      </c>
      <c r="M1688">
        <v>123.69</v>
      </c>
      <c r="N1688">
        <v>0</v>
      </c>
      <c r="O1688">
        <v>0</v>
      </c>
      <c r="P1688">
        <f t="shared" si="104"/>
        <v>1.2291831879460745E-2</v>
      </c>
      <c r="Q1688">
        <f t="shared" si="104"/>
        <v>1.33</v>
      </c>
      <c r="R1688">
        <f t="shared" si="105"/>
        <v>0</v>
      </c>
      <c r="S1688">
        <f t="shared" si="106"/>
        <v>0</v>
      </c>
      <c r="T1688">
        <f t="shared" si="107"/>
        <v>0</v>
      </c>
      <c r="U1688" t="str">
        <f>YEAR('Campaign Data'!$A1688)&amp;"-"&amp;TEXT(MONTH('Campaign Data'!$A1688),"00")</f>
        <v>2026-04</v>
      </c>
    </row>
    <row r="1689" spans="1:21" x14ac:dyDescent="0.25">
      <c r="A1689">
        <v>46115</v>
      </c>
      <c r="B1689" t="s">
        <v>100</v>
      </c>
      <c r="C1689" t="s">
        <v>101</v>
      </c>
      <c r="D1689" t="s">
        <v>80</v>
      </c>
      <c r="E1689" t="s">
        <v>33</v>
      </c>
      <c r="F1689" t="s">
        <v>25</v>
      </c>
      <c r="G1689" t="s">
        <v>102</v>
      </c>
      <c r="H1689" t="s">
        <v>27</v>
      </c>
      <c r="I1689" t="s">
        <v>61</v>
      </c>
      <c r="J1689" t="s">
        <v>62</v>
      </c>
      <c r="K1689">
        <v>8080</v>
      </c>
      <c r="L1689">
        <v>107</v>
      </c>
      <c r="M1689">
        <v>63.12</v>
      </c>
      <c r="N1689">
        <v>2</v>
      </c>
      <c r="O1689">
        <v>410.22</v>
      </c>
      <c r="P1689">
        <f t="shared" si="104"/>
        <v>1.3242574257425742E-2</v>
      </c>
      <c r="Q1689">
        <f t="shared" si="104"/>
        <v>0.58990654205607473</v>
      </c>
      <c r="R1689">
        <f t="shared" si="105"/>
        <v>31.56</v>
      </c>
      <c r="S1689">
        <f t="shared" si="106"/>
        <v>6.499049429657795</v>
      </c>
      <c r="T1689">
        <f t="shared" si="107"/>
        <v>1.8691588785046728E-2</v>
      </c>
      <c r="U1689" t="str">
        <f>YEAR('Campaign Data'!$A1689)&amp;"-"&amp;TEXT(MONTH('Campaign Data'!$A1689),"00")</f>
        <v>2026-04</v>
      </c>
    </row>
    <row r="1690" spans="1:21" x14ac:dyDescent="0.25">
      <c r="A1690">
        <v>46115</v>
      </c>
      <c r="B1690" t="s">
        <v>130</v>
      </c>
      <c r="C1690" t="s">
        <v>131</v>
      </c>
      <c r="D1690" t="s">
        <v>48</v>
      </c>
      <c r="E1690" t="s">
        <v>33</v>
      </c>
      <c r="F1690" t="s">
        <v>34</v>
      </c>
      <c r="G1690" t="s">
        <v>35</v>
      </c>
      <c r="H1690" t="s">
        <v>36</v>
      </c>
      <c r="I1690" t="s">
        <v>28</v>
      </c>
      <c r="J1690" t="s">
        <v>45</v>
      </c>
      <c r="K1690">
        <v>10860</v>
      </c>
      <c r="L1690">
        <v>75</v>
      </c>
      <c r="M1690">
        <v>23.55</v>
      </c>
      <c r="N1690">
        <v>2</v>
      </c>
      <c r="O1690">
        <v>284.24</v>
      </c>
      <c r="P1690">
        <f t="shared" si="104"/>
        <v>6.9060773480662981E-3</v>
      </c>
      <c r="Q1690">
        <f t="shared" si="104"/>
        <v>0.314</v>
      </c>
      <c r="R1690">
        <f t="shared" si="105"/>
        <v>11.775</v>
      </c>
      <c r="S1690">
        <f t="shared" si="106"/>
        <v>12.069639065817411</v>
      </c>
      <c r="T1690">
        <f t="shared" si="107"/>
        <v>2.6666666666666668E-2</v>
      </c>
      <c r="U1690" t="str">
        <f>YEAR('Campaign Data'!$A1690)&amp;"-"&amp;TEXT(MONTH('Campaign Data'!$A1690),"00")</f>
        <v>2026-04</v>
      </c>
    </row>
    <row r="1691" spans="1:21" x14ac:dyDescent="0.25">
      <c r="A1691">
        <v>46115</v>
      </c>
      <c r="B1691" t="s">
        <v>179</v>
      </c>
      <c r="C1691" t="s">
        <v>180</v>
      </c>
      <c r="D1691" t="s">
        <v>58</v>
      </c>
      <c r="E1691" t="s">
        <v>42</v>
      </c>
      <c r="F1691" t="s">
        <v>25</v>
      </c>
      <c r="G1691" t="s">
        <v>54</v>
      </c>
      <c r="H1691" t="s">
        <v>60</v>
      </c>
      <c r="I1691" t="s">
        <v>37</v>
      </c>
      <c r="J1691" t="s">
        <v>38</v>
      </c>
      <c r="K1691">
        <v>21630</v>
      </c>
      <c r="L1691">
        <v>119</v>
      </c>
      <c r="M1691">
        <v>902.26</v>
      </c>
      <c r="N1691">
        <v>2</v>
      </c>
      <c r="O1691">
        <v>292.43</v>
      </c>
      <c r="P1691">
        <f t="shared" si="104"/>
        <v>5.501618122977346E-3</v>
      </c>
      <c r="Q1691">
        <f t="shared" si="104"/>
        <v>7.582016806722689</v>
      </c>
      <c r="R1691">
        <f t="shared" si="105"/>
        <v>451.13</v>
      </c>
      <c r="S1691">
        <f t="shared" si="106"/>
        <v>0.32410835014297434</v>
      </c>
      <c r="T1691">
        <f t="shared" si="107"/>
        <v>1.680672268907563E-2</v>
      </c>
      <c r="U1691" t="str">
        <f>YEAR('Campaign Data'!$A1691)&amp;"-"&amp;TEXT(MONTH('Campaign Data'!$A1691),"00")</f>
        <v>2026-04</v>
      </c>
    </row>
    <row r="1692" spans="1:21" x14ac:dyDescent="0.25">
      <c r="A1692">
        <v>46115</v>
      </c>
      <c r="B1692" t="s">
        <v>140</v>
      </c>
      <c r="C1692" t="s">
        <v>40</v>
      </c>
      <c r="D1692" t="s">
        <v>41</v>
      </c>
      <c r="E1692" t="s">
        <v>42</v>
      </c>
      <c r="F1692" t="s">
        <v>43</v>
      </c>
      <c r="G1692" t="s">
        <v>44</v>
      </c>
      <c r="H1692" t="s">
        <v>27</v>
      </c>
      <c r="I1692" t="s">
        <v>37</v>
      </c>
      <c r="J1692" t="s">
        <v>45</v>
      </c>
      <c r="K1692">
        <v>9094</v>
      </c>
      <c r="L1692">
        <v>40</v>
      </c>
      <c r="M1692">
        <v>207.31</v>
      </c>
      <c r="N1692">
        <v>1</v>
      </c>
      <c r="O1692">
        <v>39.619999999999997</v>
      </c>
      <c r="P1692">
        <f t="shared" si="104"/>
        <v>4.398504508467121E-3</v>
      </c>
      <c r="Q1692">
        <f t="shared" si="104"/>
        <v>5.1827500000000004</v>
      </c>
      <c r="R1692">
        <f t="shared" si="105"/>
        <v>207.31</v>
      </c>
      <c r="S1692">
        <f t="shared" si="106"/>
        <v>0.19111475567989966</v>
      </c>
      <c r="T1692">
        <f t="shared" si="107"/>
        <v>2.5000000000000001E-2</v>
      </c>
      <c r="U1692" t="str">
        <f>YEAR('Campaign Data'!$A1692)&amp;"-"&amp;TEXT(MONTH('Campaign Data'!$A1692),"00")</f>
        <v>2026-04</v>
      </c>
    </row>
    <row r="1693" spans="1:21" x14ac:dyDescent="0.25">
      <c r="A1693">
        <v>46115</v>
      </c>
      <c r="B1693" t="s">
        <v>140</v>
      </c>
      <c r="C1693" t="s">
        <v>40</v>
      </c>
      <c r="D1693" t="s">
        <v>41</v>
      </c>
      <c r="E1693" t="s">
        <v>42</v>
      </c>
      <c r="F1693" t="s">
        <v>43</v>
      </c>
      <c r="G1693" t="s">
        <v>44</v>
      </c>
      <c r="H1693" t="s">
        <v>27</v>
      </c>
      <c r="I1693" t="s">
        <v>37</v>
      </c>
      <c r="J1693" t="s">
        <v>38</v>
      </c>
      <c r="K1693">
        <v>8721</v>
      </c>
      <c r="L1693">
        <v>38</v>
      </c>
      <c r="M1693">
        <v>349.44</v>
      </c>
      <c r="N1693">
        <v>2</v>
      </c>
      <c r="O1693">
        <v>89.06</v>
      </c>
      <c r="P1693">
        <f t="shared" si="104"/>
        <v>4.3572984749455342E-3</v>
      </c>
      <c r="Q1693">
        <f t="shared" si="104"/>
        <v>9.1957894736842096</v>
      </c>
      <c r="R1693">
        <f t="shared" si="105"/>
        <v>174.72</v>
      </c>
      <c r="S1693">
        <f t="shared" si="106"/>
        <v>0.25486492673992672</v>
      </c>
      <c r="T1693">
        <f t="shared" si="107"/>
        <v>5.2631578947368418E-2</v>
      </c>
      <c r="U1693" t="str">
        <f>YEAR('Campaign Data'!$A1693)&amp;"-"&amp;TEXT(MONTH('Campaign Data'!$A1693),"00")</f>
        <v>2026-04</v>
      </c>
    </row>
    <row r="1694" spans="1:21" x14ac:dyDescent="0.25">
      <c r="A1694">
        <v>46115</v>
      </c>
      <c r="B1694" t="s">
        <v>155</v>
      </c>
      <c r="C1694" t="s">
        <v>156</v>
      </c>
      <c r="D1694" t="s">
        <v>32</v>
      </c>
      <c r="E1694" t="s">
        <v>24</v>
      </c>
      <c r="F1694" t="s">
        <v>34</v>
      </c>
      <c r="G1694" t="s">
        <v>129</v>
      </c>
      <c r="H1694" t="s">
        <v>51</v>
      </c>
      <c r="I1694" t="s">
        <v>28</v>
      </c>
      <c r="J1694" t="s">
        <v>45</v>
      </c>
      <c r="K1694">
        <v>10216</v>
      </c>
      <c r="L1694">
        <v>167</v>
      </c>
      <c r="M1694">
        <v>117.46</v>
      </c>
      <c r="N1694">
        <v>4</v>
      </c>
      <c r="O1694">
        <v>624.20000000000005</v>
      </c>
      <c r="P1694">
        <f t="shared" si="104"/>
        <v>1.63469068128426E-2</v>
      </c>
      <c r="Q1694">
        <f t="shared" si="104"/>
        <v>0.70335329341317365</v>
      </c>
      <c r="R1694">
        <f t="shared" si="105"/>
        <v>29.364999999999998</v>
      </c>
      <c r="S1694">
        <f t="shared" si="106"/>
        <v>5.3141494977013455</v>
      </c>
      <c r="T1694">
        <f t="shared" si="107"/>
        <v>2.3952095808383235E-2</v>
      </c>
      <c r="U1694" t="str">
        <f>YEAR('Campaign Data'!$A1694)&amp;"-"&amp;TEXT(MONTH('Campaign Data'!$A1694),"00")</f>
        <v>2026-04</v>
      </c>
    </row>
    <row r="1695" spans="1:21" x14ac:dyDescent="0.25">
      <c r="A1695">
        <v>46115</v>
      </c>
      <c r="B1695" t="s">
        <v>112</v>
      </c>
      <c r="C1695" t="s">
        <v>113</v>
      </c>
      <c r="D1695" t="s">
        <v>32</v>
      </c>
      <c r="E1695" t="s">
        <v>24</v>
      </c>
      <c r="F1695" t="s">
        <v>75</v>
      </c>
      <c r="G1695" t="s">
        <v>66</v>
      </c>
      <c r="H1695" t="s">
        <v>51</v>
      </c>
      <c r="I1695" t="s">
        <v>37</v>
      </c>
      <c r="J1695" t="s">
        <v>38</v>
      </c>
      <c r="K1695">
        <v>7058</v>
      </c>
      <c r="L1695">
        <v>29</v>
      </c>
      <c r="M1695">
        <v>32.81</v>
      </c>
      <c r="N1695">
        <v>1</v>
      </c>
      <c r="O1695">
        <v>39.75</v>
      </c>
      <c r="P1695">
        <f t="shared" si="104"/>
        <v>4.1088126948143951E-3</v>
      </c>
      <c r="Q1695">
        <f t="shared" si="104"/>
        <v>1.1313793103448277</v>
      </c>
      <c r="R1695">
        <f t="shared" si="105"/>
        <v>32.81</v>
      </c>
      <c r="S1695">
        <f t="shared" si="106"/>
        <v>1.2115208777811641</v>
      </c>
      <c r="T1695">
        <f t="shared" si="107"/>
        <v>3.4482758620689655E-2</v>
      </c>
      <c r="U1695" t="str">
        <f>YEAR('Campaign Data'!$A1695)&amp;"-"&amp;TEXT(MONTH('Campaign Data'!$A1695),"00")</f>
        <v>2026-04</v>
      </c>
    </row>
    <row r="1696" spans="1:21" x14ac:dyDescent="0.25">
      <c r="A1696">
        <v>46115</v>
      </c>
      <c r="B1696" t="s">
        <v>114</v>
      </c>
      <c r="C1696" t="s">
        <v>115</v>
      </c>
      <c r="D1696" t="s">
        <v>69</v>
      </c>
      <c r="E1696" t="s">
        <v>49</v>
      </c>
      <c r="F1696" t="s">
        <v>25</v>
      </c>
      <c r="G1696" t="s">
        <v>107</v>
      </c>
      <c r="H1696" t="s">
        <v>60</v>
      </c>
      <c r="I1696" t="s">
        <v>37</v>
      </c>
      <c r="J1696" t="s">
        <v>38</v>
      </c>
      <c r="K1696">
        <v>2588</v>
      </c>
      <c r="L1696">
        <v>140</v>
      </c>
      <c r="M1696">
        <v>210.51</v>
      </c>
      <c r="N1696">
        <v>4</v>
      </c>
      <c r="O1696">
        <v>408.9</v>
      </c>
      <c r="P1696">
        <f t="shared" si="104"/>
        <v>5.4095826893353939E-2</v>
      </c>
      <c r="Q1696">
        <f t="shared" si="104"/>
        <v>1.5036428571428571</v>
      </c>
      <c r="R1696">
        <f t="shared" si="105"/>
        <v>52.627499999999998</v>
      </c>
      <c r="S1696">
        <f t="shared" si="106"/>
        <v>1.9424255379791933</v>
      </c>
      <c r="T1696">
        <f t="shared" si="107"/>
        <v>2.8571428571428571E-2</v>
      </c>
      <c r="U1696" t="str">
        <f>YEAR('Campaign Data'!$A1696)&amp;"-"&amp;TEXT(MONTH('Campaign Data'!$A1696),"00")</f>
        <v>2026-04</v>
      </c>
    </row>
    <row r="1697" spans="1:21" x14ac:dyDescent="0.25">
      <c r="A1697">
        <v>46115</v>
      </c>
      <c r="B1697" t="s">
        <v>114</v>
      </c>
      <c r="C1697" t="s">
        <v>115</v>
      </c>
      <c r="D1697" t="s">
        <v>69</v>
      </c>
      <c r="E1697" t="s">
        <v>49</v>
      </c>
      <c r="F1697" t="s">
        <v>25</v>
      </c>
      <c r="G1697" t="s">
        <v>107</v>
      </c>
      <c r="H1697" t="s">
        <v>36</v>
      </c>
      <c r="I1697" t="s">
        <v>37</v>
      </c>
      <c r="J1697" t="s">
        <v>45</v>
      </c>
      <c r="K1697">
        <v>8410</v>
      </c>
      <c r="L1697">
        <v>354</v>
      </c>
      <c r="M1697">
        <v>533.23</v>
      </c>
      <c r="N1697">
        <v>11</v>
      </c>
      <c r="O1697">
        <v>2107.04</v>
      </c>
      <c r="P1697">
        <f t="shared" si="104"/>
        <v>4.2092746730083237E-2</v>
      </c>
      <c r="Q1697">
        <f t="shared" si="104"/>
        <v>1.5062994350282486</v>
      </c>
      <c r="R1697">
        <f t="shared" si="105"/>
        <v>48.475454545454546</v>
      </c>
      <c r="S1697">
        <f t="shared" si="106"/>
        <v>3.9514655964593137</v>
      </c>
      <c r="T1697">
        <f t="shared" si="107"/>
        <v>3.1073446327683617E-2</v>
      </c>
      <c r="U1697" t="str">
        <f>YEAR('Campaign Data'!$A1697)&amp;"-"&amp;TEXT(MONTH('Campaign Data'!$A1697),"00")</f>
        <v>2026-04</v>
      </c>
    </row>
    <row r="1698" spans="1:21" x14ac:dyDescent="0.25">
      <c r="A1698">
        <v>46115</v>
      </c>
      <c r="B1698" t="s">
        <v>56</v>
      </c>
      <c r="C1698" t="s">
        <v>57</v>
      </c>
      <c r="D1698" t="s">
        <v>58</v>
      </c>
      <c r="E1698" t="s">
        <v>33</v>
      </c>
      <c r="F1698" t="s">
        <v>43</v>
      </c>
      <c r="G1698" t="s">
        <v>59</v>
      </c>
      <c r="H1698" t="s">
        <v>90</v>
      </c>
      <c r="I1698" t="s">
        <v>28</v>
      </c>
      <c r="J1698" t="s">
        <v>62</v>
      </c>
      <c r="K1698">
        <v>20298</v>
      </c>
      <c r="L1698">
        <v>365</v>
      </c>
      <c r="M1698">
        <v>33.28</v>
      </c>
      <c r="N1698">
        <v>5</v>
      </c>
      <c r="O1698">
        <v>26.55</v>
      </c>
      <c r="P1698">
        <f t="shared" si="104"/>
        <v>1.7982067198738794E-2</v>
      </c>
      <c r="Q1698">
        <f t="shared" si="104"/>
        <v>9.1178082191780821E-2</v>
      </c>
      <c r="R1698">
        <f t="shared" si="105"/>
        <v>6.6560000000000006</v>
      </c>
      <c r="S1698">
        <f t="shared" si="106"/>
        <v>0.79777644230769229</v>
      </c>
      <c r="T1698">
        <f t="shared" si="107"/>
        <v>1.3698630136986301E-2</v>
      </c>
      <c r="U1698" t="str">
        <f>YEAR('Campaign Data'!$A1698)&amp;"-"&amp;TEXT(MONTH('Campaign Data'!$A1698),"00")</f>
        <v>2026-04</v>
      </c>
    </row>
    <row r="1699" spans="1:21" x14ac:dyDescent="0.25">
      <c r="A1699">
        <v>46115</v>
      </c>
      <c r="B1699" t="s">
        <v>56</v>
      </c>
      <c r="C1699" t="s">
        <v>57</v>
      </c>
      <c r="D1699" t="s">
        <v>58</v>
      </c>
      <c r="E1699" t="s">
        <v>33</v>
      </c>
      <c r="F1699" t="s">
        <v>43</v>
      </c>
      <c r="G1699" t="s">
        <v>59</v>
      </c>
      <c r="H1699" t="s">
        <v>55</v>
      </c>
      <c r="I1699" t="s">
        <v>37</v>
      </c>
      <c r="J1699" t="s">
        <v>62</v>
      </c>
      <c r="K1699">
        <v>3724</v>
      </c>
      <c r="L1699">
        <v>46</v>
      </c>
      <c r="M1699">
        <v>22.11</v>
      </c>
      <c r="N1699">
        <v>4</v>
      </c>
      <c r="O1699">
        <v>60.72</v>
      </c>
      <c r="P1699">
        <f t="shared" si="104"/>
        <v>1.2352309344790547E-2</v>
      </c>
      <c r="Q1699">
        <f t="shared" si="104"/>
        <v>0.48065217391304349</v>
      </c>
      <c r="R1699">
        <f t="shared" si="105"/>
        <v>5.5274999999999999</v>
      </c>
      <c r="S1699">
        <f t="shared" si="106"/>
        <v>2.7462686567164178</v>
      </c>
      <c r="T1699">
        <f t="shared" si="107"/>
        <v>8.6956521739130432E-2</v>
      </c>
      <c r="U1699" t="str">
        <f>YEAR('Campaign Data'!$A1699)&amp;"-"&amp;TEXT(MONTH('Campaign Data'!$A1699),"00")</f>
        <v>2026-04</v>
      </c>
    </row>
    <row r="1700" spans="1:21" x14ac:dyDescent="0.25">
      <c r="A1700">
        <v>46115</v>
      </c>
      <c r="B1700" t="s">
        <v>118</v>
      </c>
      <c r="C1700" t="s">
        <v>119</v>
      </c>
      <c r="D1700" t="s">
        <v>69</v>
      </c>
      <c r="E1700" t="s">
        <v>33</v>
      </c>
      <c r="F1700" t="s">
        <v>34</v>
      </c>
      <c r="G1700" t="s">
        <v>35</v>
      </c>
      <c r="H1700" t="s">
        <v>90</v>
      </c>
      <c r="I1700" t="s">
        <v>28</v>
      </c>
      <c r="J1700" t="s">
        <v>45</v>
      </c>
      <c r="K1700">
        <v>11998</v>
      </c>
      <c r="L1700">
        <v>111</v>
      </c>
      <c r="M1700">
        <v>19.73</v>
      </c>
      <c r="N1700">
        <v>2</v>
      </c>
      <c r="O1700">
        <v>80.599999999999994</v>
      </c>
      <c r="P1700">
        <f t="shared" si="104"/>
        <v>9.2515419236539418E-3</v>
      </c>
      <c r="Q1700">
        <f t="shared" si="104"/>
        <v>0.17774774774774776</v>
      </c>
      <c r="R1700">
        <f t="shared" si="105"/>
        <v>9.8650000000000002</v>
      </c>
      <c r="S1700">
        <f t="shared" si="106"/>
        <v>4.0851495184997466</v>
      </c>
      <c r="T1700">
        <f t="shared" si="107"/>
        <v>1.8018018018018018E-2</v>
      </c>
      <c r="U1700" t="str">
        <f>YEAR('Campaign Data'!$A1700)&amp;"-"&amp;TEXT(MONTH('Campaign Data'!$A1700),"00")</f>
        <v>2026-04</v>
      </c>
    </row>
    <row r="1701" spans="1:21" x14ac:dyDescent="0.25">
      <c r="A1701">
        <v>46115</v>
      </c>
      <c r="B1701" t="s">
        <v>118</v>
      </c>
      <c r="C1701" t="s">
        <v>119</v>
      </c>
      <c r="D1701" t="s">
        <v>69</v>
      </c>
      <c r="E1701" t="s">
        <v>33</v>
      </c>
      <c r="F1701" t="s">
        <v>34</v>
      </c>
      <c r="G1701" t="s">
        <v>35</v>
      </c>
      <c r="H1701" t="s">
        <v>90</v>
      </c>
      <c r="I1701" t="s">
        <v>37</v>
      </c>
      <c r="J1701" t="s">
        <v>87</v>
      </c>
      <c r="K1701">
        <v>7715</v>
      </c>
      <c r="L1701">
        <v>49</v>
      </c>
      <c r="M1701">
        <v>7.37</v>
      </c>
      <c r="N1701">
        <v>0</v>
      </c>
      <c r="O1701">
        <v>0</v>
      </c>
      <c r="P1701">
        <f t="shared" si="104"/>
        <v>6.3512637718729746E-3</v>
      </c>
      <c r="Q1701">
        <f t="shared" si="104"/>
        <v>0.15040816326530612</v>
      </c>
      <c r="R1701">
        <f t="shared" si="105"/>
        <v>0</v>
      </c>
      <c r="S1701">
        <f t="shared" si="106"/>
        <v>0</v>
      </c>
      <c r="T1701">
        <f t="shared" si="107"/>
        <v>0</v>
      </c>
      <c r="U1701" t="str">
        <f>YEAR('Campaign Data'!$A1701)&amp;"-"&amp;TEXT(MONTH('Campaign Data'!$A1701),"00")</f>
        <v>2026-04</v>
      </c>
    </row>
    <row r="1702" spans="1:21" x14ac:dyDescent="0.25">
      <c r="A1702">
        <v>46115</v>
      </c>
      <c r="B1702" t="s">
        <v>82</v>
      </c>
      <c r="C1702" t="s">
        <v>83</v>
      </c>
      <c r="D1702" t="s">
        <v>80</v>
      </c>
      <c r="E1702" t="s">
        <v>42</v>
      </c>
      <c r="F1702" t="s">
        <v>34</v>
      </c>
      <c r="G1702" t="s">
        <v>84</v>
      </c>
      <c r="H1702" t="s">
        <v>51</v>
      </c>
      <c r="I1702" t="s">
        <v>37</v>
      </c>
      <c r="J1702" t="s">
        <v>29</v>
      </c>
      <c r="K1702">
        <v>14709</v>
      </c>
      <c r="L1702">
        <v>99</v>
      </c>
      <c r="M1702">
        <v>523.95000000000005</v>
      </c>
      <c r="N1702">
        <v>4</v>
      </c>
      <c r="O1702">
        <v>827.98</v>
      </c>
      <c r="P1702">
        <f t="shared" si="104"/>
        <v>6.7305731184988784E-3</v>
      </c>
      <c r="Q1702">
        <f t="shared" si="104"/>
        <v>5.2924242424242429</v>
      </c>
      <c r="R1702">
        <f t="shared" si="105"/>
        <v>130.98750000000001</v>
      </c>
      <c r="S1702">
        <f t="shared" si="106"/>
        <v>1.5802652924897413</v>
      </c>
      <c r="T1702">
        <f t="shared" si="107"/>
        <v>4.0404040404040407E-2</v>
      </c>
      <c r="U1702" t="str">
        <f>YEAR('Campaign Data'!$A1702)&amp;"-"&amp;TEXT(MONTH('Campaign Data'!$A1702),"00")</f>
        <v>2026-04</v>
      </c>
    </row>
    <row r="1703" spans="1:21" x14ac:dyDescent="0.25">
      <c r="A1703">
        <v>46116</v>
      </c>
      <c r="B1703" t="s">
        <v>175</v>
      </c>
      <c r="C1703" t="s">
        <v>176</v>
      </c>
      <c r="D1703" t="s">
        <v>65</v>
      </c>
      <c r="E1703" t="s">
        <v>49</v>
      </c>
      <c r="F1703" t="s">
        <v>75</v>
      </c>
      <c r="G1703" t="s">
        <v>70</v>
      </c>
      <c r="H1703" t="s">
        <v>27</v>
      </c>
      <c r="I1703" t="s">
        <v>37</v>
      </c>
      <c r="J1703" t="s">
        <v>38</v>
      </c>
      <c r="K1703">
        <v>5435</v>
      </c>
      <c r="L1703">
        <v>255</v>
      </c>
      <c r="M1703">
        <v>470.75</v>
      </c>
      <c r="N1703">
        <v>15</v>
      </c>
      <c r="O1703">
        <v>957.79</v>
      </c>
      <c r="P1703">
        <f t="shared" si="104"/>
        <v>4.6918123275068994E-2</v>
      </c>
      <c r="Q1703">
        <f t="shared" si="104"/>
        <v>1.8460784313725491</v>
      </c>
      <c r="R1703">
        <f t="shared" si="105"/>
        <v>31.383333333333333</v>
      </c>
      <c r="S1703">
        <f t="shared" si="106"/>
        <v>2.0346043547530535</v>
      </c>
      <c r="T1703">
        <f t="shared" si="107"/>
        <v>5.8823529411764705E-2</v>
      </c>
      <c r="U1703" t="str">
        <f>YEAR('Campaign Data'!$A1703)&amp;"-"&amp;TEXT(MONTH('Campaign Data'!$A1703),"00")</f>
        <v>2026-04</v>
      </c>
    </row>
    <row r="1704" spans="1:21" x14ac:dyDescent="0.25">
      <c r="A1704">
        <v>46116</v>
      </c>
      <c r="B1704" t="s">
        <v>91</v>
      </c>
      <c r="C1704" t="s">
        <v>92</v>
      </c>
      <c r="D1704" t="s">
        <v>41</v>
      </c>
      <c r="E1704" t="s">
        <v>74</v>
      </c>
      <c r="F1704" t="s">
        <v>75</v>
      </c>
      <c r="G1704" t="s">
        <v>9</v>
      </c>
      <c r="H1704" t="s">
        <v>90</v>
      </c>
      <c r="I1704" t="s">
        <v>37</v>
      </c>
      <c r="J1704" t="s">
        <v>62</v>
      </c>
      <c r="K1704">
        <v>2612</v>
      </c>
      <c r="L1704">
        <v>75</v>
      </c>
      <c r="M1704">
        <v>37.19</v>
      </c>
      <c r="N1704">
        <v>6</v>
      </c>
      <c r="O1704">
        <v>76.540000000000006</v>
      </c>
      <c r="P1704">
        <f t="shared" si="104"/>
        <v>2.871362940275651E-2</v>
      </c>
      <c r="Q1704">
        <f t="shared" si="104"/>
        <v>0.49586666666666662</v>
      </c>
      <c r="R1704">
        <f t="shared" si="105"/>
        <v>6.1983333333333333</v>
      </c>
      <c r="S1704">
        <f t="shared" si="106"/>
        <v>2.0580801290669539</v>
      </c>
      <c r="T1704">
        <f t="shared" si="107"/>
        <v>0.08</v>
      </c>
      <c r="U1704" t="str">
        <f>YEAR('Campaign Data'!$A1704)&amp;"-"&amp;TEXT(MONTH('Campaign Data'!$A1704),"00")</f>
        <v>2026-04</v>
      </c>
    </row>
    <row r="1705" spans="1:21" x14ac:dyDescent="0.25">
      <c r="A1705">
        <v>46116</v>
      </c>
      <c r="B1705" t="s">
        <v>93</v>
      </c>
      <c r="C1705" t="s">
        <v>94</v>
      </c>
      <c r="D1705" t="s">
        <v>69</v>
      </c>
      <c r="E1705" t="s">
        <v>42</v>
      </c>
      <c r="F1705" t="s">
        <v>75</v>
      </c>
      <c r="G1705" t="s">
        <v>44</v>
      </c>
      <c r="H1705" t="s">
        <v>71</v>
      </c>
      <c r="I1705" t="s">
        <v>28</v>
      </c>
      <c r="J1705" t="s">
        <v>45</v>
      </c>
      <c r="K1705">
        <v>2500</v>
      </c>
      <c r="L1705">
        <v>14</v>
      </c>
      <c r="M1705">
        <v>83.76</v>
      </c>
      <c r="N1705">
        <v>0</v>
      </c>
      <c r="O1705">
        <v>0</v>
      </c>
      <c r="P1705">
        <f t="shared" si="104"/>
        <v>5.5999999999999999E-3</v>
      </c>
      <c r="Q1705">
        <f t="shared" si="104"/>
        <v>5.9828571428571431</v>
      </c>
      <c r="R1705">
        <f t="shared" si="105"/>
        <v>0</v>
      </c>
      <c r="S1705">
        <f t="shared" si="106"/>
        <v>0</v>
      </c>
      <c r="T1705">
        <f t="shared" si="107"/>
        <v>0</v>
      </c>
      <c r="U1705" t="str">
        <f>YEAR('Campaign Data'!$A1705)&amp;"-"&amp;TEXT(MONTH('Campaign Data'!$A1705),"00")</f>
        <v>2026-04</v>
      </c>
    </row>
    <row r="1706" spans="1:21" x14ac:dyDescent="0.25">
      <c r="A1706">
        <v>46116</v>
      </c>
      <c r="B1706" t="s">
        <v>30</v>
      </c>
      <c r="C1706" t="s">
        <v>31</v>
      </c>
      <c r="D1706" t="s">
        <v>32</v>
      </c>
      <c r="E1706" t="s">
        <v>33</v>
      </c>
      <c r="F1706" t="s">
        <v>34</v>
      </c>
      <c r="G1706" t="s">
        <v>35</v>
      </c>
      <c r="H1706" t="s">
        <v>27</v>
      </c>
      <c r="I1706" t="s">
        <v>28</v>
      </c>
      <c r="J1706" t="s">
        <v>45</v>
      </c>
      <c r="K1706">
        <v>11615</v>
      </c>
      <c r="L1706">
        <v>53</v>
      </c>
      <c r="M1706">
        <v>43.23</v>
      </c>
      <c r="N1706">
        <v>1</v>
      </c>
      <c r="O1706">
        <v>141.58000000000001</v>
      </c>
      <c r="P1706">
        <f t="shared" si="104"/>
        <v>4.5630650021523892E-3</v>
      </c>
      <c r="Q1706">
        <f t="shared" si="104"/>
        <v>0.81566037735849051</v>
      </c>
      <c r="R1706">
        <f t="shared" si="105"/>
        <v>43.23</v>
      </c>
      <c r="S1706">
        <f t="shared" si="106"/>
        <v>3.2750404811473519</v>
      </c>
      <c r="T1706">
        <f t="shared" si="107"/>
        <v>1.8867924528301886E-2</v>
      </c>
      <c r="U1706" t="str">
        <f>YEAR('Campaign Data'!$A1706)&amp;"-"&amp;TEXT(MONTH('Campaign Data'!$A1706),"00")</f>
        <v>2026-04</v>
      </c>
    </row>
    <row r="1707" spans="1:21" x14ac:dyDescent="0.25">
      <c r="A1707">
        <v>46116</v>
      </c>
      <c r="B1707" t="s">
        <v>100</v>
      </c>
      <c r="C1707" t="s">
        <v>101</v>
      </c>
      <c r="D1707" t="s">
        <v>80</v>
      </c>
      <c r="E1707" t="s">
        <v>33</v>
      </c>
      <c r="F1707" t="s">
        <v>25</v>
      </c>
      <c r="G1707" t="s">
        <v>102</v>
      </c>
      <c r="H1707" t="s">
        <v>51</v>
      </c>
      <c r="I1707" t="s">
        <v>28</v>
      </c>
      <c r="J1707" t="s">
        <v>29</v>
      </c>
      <c r="K1707">
        <v>5182</v>
      </c>
      <c r="L1707">
        <v>29</v>
      </c>
      <c r="M1707">
        <v>14.88</v>
      </c>
      <c r="N1707">
        <v>0</v>
      </c>
      <c r="O1707">
        <v>0</v>
      </c>
      <c r="P1707">
        <f t="shared" si="104"/>
        <v>5.5962948668467774E-3</v>
      </c>
      <c r="Q1707">
        <f t="shared" si="104"/>
        <v>0.51310344827586207</v>
      </c>
      <c r="R1707">
        <f t="shared" si="105"/>
        <v>0</v>
      </c>
      <c r="S1707">
        <f t="shared" si="106"/>
        <v>0</v>
      </c>
      <c r="T1707">
        <f t="shared" si="107"/>
        <v>0</v>
      </c>
      <c r="U1707" t="str">
        <f>YEAR('Campaign Data'!$A1707)&amp;"-"&amp;TEXT(MONTH('Campaign Data'!$A1707),"00")</f>
        <v>2026-04</v>
      </c>
    </row>
    <row r="1708" spans="1:21" x14ac:dyDescent="0.25">
      <c r="A1708">
        <v>46116</v>
      </c>
      <c r="B1708" t="s">
        <v>100</v>
      </c>
      <c r="C1708" t="s">
        <v>101</v>
      </c>
      <c r="D1708" t="s">
        <v>80</v>
      </c>
      <c r="E1708" t="s">
        <v>33</v>
      </c>
      <c r="F1708" t="s">
        <v>25</v>
      </c>
      <c r="G1708" t="s">
        <v>102</v>
      </c>
      <c r="H1708" t="s">
        <v>90</v>
      </c>
      <c r="I1708" t="s">
        <v>37</v>
      </c>
      <c r="J1708" t="s">
        <v>45</v>
      </c>
      <c r="K1708">
        <v>5839</v>
      </c>
      <c r="L1708">
        <v>54</v>
      </c>
      <c r="M1708">
        <v>8.77</v>
      </c>
      <c r="N1708">
        <v>0</v>
      </c>
      <c r="O1708">
        <v>0</v>
      </c>
      <c r="P1708">
        <f t="shared" si="104"/>
        <v>9.2481589313238577E-3</v>
      </c>
      <c r="Q1708">
        <f t="shared" si="104"/>
        <v>0.16240740740740739</v>
      </c>
      <c r="R1708">
        <f t="shared" si="105"/>
        <v>0</v>
      </c>
      <c r="S1708">
        <f t="shared" si="106"/>
        <v>0</v>
      </c>
      <c r="T1708">
        <f t="shared" si="107"/>
        <v>0</v>
      </c>
      <c r="U1708" t="str">
        <f>YEAR('Campaign Data'!$A1708)&amp;"-"&amp;TEXT(MONTH('Campaign Data'!$A1708),"00")</f>
        <v>2026-04</v>
      </c>
    </row>
    <row r="1709" spans="1:21" x14ac:dyDescent="0.25">
      <c r="A1709">
        <v>46116</v>
      </c>
      <c r="B1709" t="s">
        <v>100</v>
      </c>
      <c r="C1709" t="s">
        <v>101</v>
      </c>
      <c r="D1709" t="s">
        <v>80</v>
      </c>
      <c r="E1709" t="s">
        <v>33</v>
      </c>
      <c r="F1709" t="s">
        <v>25</v>
      </c>
      <c r="G1709" t="s">
        <v>102</v>
      </c>
      <c r="H1709" t="s">
        <v>27</v>
      </c>
      <c r="I1709" t="s">
        <v>37</v>
      </c>
      <c r="J1709" t="s">
        <v>45</v>
      </c>
      <c r="K1709">
        <v>6757</v>
      </c>
      <c r="L1709">
        <v>62</v>
      </c>
      <c r="M1709">
        <v>39.46</v>
      </c>
      <c r="N1709">
        <v>3</v>
      </c>
      <c r="O1709">
        <v>603.21</v>
      </c>
      <c r="P1709">
        <f t="shared" si="104"/>
        <v>9.1756696758916682E-3</v>
      </c>
      <c r="Q1709">
        <f t="shared" si="104"/>
        <v>0.63645161290322583</v>
      </c>
      <c r="R1709">
        <f t="shared" si="105"/>
        <v>13.153333333333334</v>
      </c>
      <c r="S1709">
        <f t="shared" si="106"/>
        <v>15.286619361378612</v>
      </c>
      <c r="T1709">
        <f t="shared" si="107"/>
        <v>4.8387096774193547E-2</v>
      </c>
      <c r="U1709" t="str">
        <f>YEAR('Campaign Data'!$A1709)&amp;"-"&amp;TEXT(MONTH('Campaign Data'!$A1709),"00")</f>
        <v>2026-04</v>
      </c>
    </row>
    <row r="1710" spans="1:21" x14ac:dyDescent="0.25">
      <c r="A1710">
        <v>46116</v>
      </c>
      <c r="B1710" t="s">
        <v>103</v>
      </c>
      <c r="C1710" t="s">
        <v>104</v>
      </c>
      <c r="D1710" t="s">
        <v>65</v>
      </c>
      <c r="E1710" t="s">
        <v>33</v>
      </c>
      <c r="F1710" t="s">
        <v>43</v>
      </c>
      <c r="G1710" t="s">
        <v>102</v>
      </c>
      <c r="H1710" t="s">
        <v>27</v>
      </c>
      <c r="I1710" t="s">
        <v>37</v>
      </c>
      <c r="J1710" t="s">
        <v>29</v>
      </c>
      <c r="K1710">
        <v>13707</v>
      </c>
      <c r="L1710">
        <v>184</v>
      </c>
      <c r="M1710">
        <v>158.93</v>
      </c>
      <c r="N1710">
        <v>2</v>
      </c>
      <c r="O1710">
        <v>73.180000000000007</v>
      </c>
      <c r="P1710">
        <f t="shared" si="104"/>
        <v>1.3423798059385716E-2</v>
      </c>
      <c r="Q1710">
        <f t="shared" si="104"/>
        <v>0.86375000000000002</v>
      </c>
      <c r="R1710">
        <f t="shared" si="105"/>
        <v>79.465000000000003</v>
      </c>
      <c r="S1710">
        <f t="shared" si="106"/>
        <v>0.46045428805134336</v>
      </c>
      <c r="T1710">
        <f t="shared" si="107"/>
        <v>1.0869565217391304E-2</v>
      </c>
      <c r="U1710" t="str">
        <f>YEAR('Campaign Data'!$A1710)&amp;"-"&amp;TEXT(MONTH('Campaign Data'!$A1710),"00")</f>
        <v>2026-04</v>
      </c>
    </row>
    <row r="1711" spans="1:21" x14ac:dyDescent="0.25">
      <c r="A1711">
        <v>46116</v>
      </c>
      <c r="B1711" t="s">
        <v>103</v>
      </c>
      <c r="C1711" t="s">
        <v>104</v>
      </c>
      <c r="D1711" t="s">
        <v>65</v>
      </c>
      <c r="E1711" t="s">
        <v>33</v>
      </c>
      <c r="F1711" t="s">
        <v>43</v>
      </c>
      <c r="G1711" t="s">
        <v>102</v>
      </c>
      <c r="H1711" t="s">
        <v>51</v>
      </c>
      <c r="I1711" t="s">
        <v>28</v>
      </c>
      <c r="J1711" t="s">
        <v>38</v>
      </c>
      <c r="K1711">
        <v>7242</v>
      </c>
      <c r="L1711">
        <v>70</v>
      </c>
      <c r="M1711">
        <v>40.89</v>
      </c>
      <c r="N1711">
        <v>1</v>
      </c>
      <c r="O1711">
        <v>12.47</v>
      </c>
      <c r="P1711">
        <f t="shared" si="104"/>
        <v>9.6658381662524159E-3</v>
      </c>
      <c r="Q1711">
        <f t="shared" si="104"/>
        <v>0.58414285714285719</v>
      </c>
      <c r="R1711">
        <f t="shared" si="105"/>
        <v>40.89</v>
      </c>
      <c r="S1711">
        <f t="shared" si="106"/>
        <v>0.30496453900709219</v>
      </c>
      <c r="T1711">
        <f t="shared" si="107"/>
        <v>1.4285714285714285E-2</v>
      </c>
      <c r="U1711" t="str">
        <f>YEAR('Campaign Data'!$A1711)&amp;"-"&amp;TEXT(MONTH('Campaign Data'!$A1711),"00")</f>
        <v>2026-04</v>
      </c>
    </row>
    <row r="1712" spans="1:21" x14ac:dyDescent="0.25">
      <c r="A1712">
        <v>46116</v>
      </c>
      <c r="B1712" t="s">
        <v>108</v>
      </c>
      <c r="C1712" t="s">
        <v>109</v>
      </c>
      <c r="D1712" t="s">
        <v>58</v>
      </c>
      <c r="E1712" t="s">
        <v>33</v>
      </c>
      <c r="F1712" t="s">
        <v>43</v>
      </c>
      <c r="G1712" t="s">
        <v>59</v>
      </c>
      <c r="H1712" t="s">
        <v>27</v>
      </c>
      <c r="I1712" t="s">
        <v>28</v>
      </c>
      <c r="J1712" t="s">
        <v>62</v>
      </c>
      <c r="K1712">
        <v>3358</v>
      </c>
      <c r="L1712">
        <v>31</v>
      </c>
      <c r="M1712">
        <v>23.44</v>
      </c>
      <c r="N1712">
        <v>1</v>
      </c>
      <c r="O1712">
        <v>42.61</v>
      </c>
      <c r="P1712">
        <f t="shared" si="104"/>
        <v>9.2316855270994647E-3</v>
      </c>
      <c r="Q1712">
        <f t="shared" si="104"/>
        <v>0.7561290322580646</v>
      </c>
      <c r="R1712">
        <f t="shared" si="105"/>
        <v>23.44</v>
      </c>
      <c r="S1712">
        <f t="shared" si="106"/>
        <v>1.8178327645051193</v>
      </c>
      <c r="T1712">
        <f t="shared" si="107"/>
        <v>3.2258064516129031E-2</v>
      </c>
      <c r="U1712" t="str">
        <f>YEAR('Campaign Data'!$A1712)&amp;"-"&amp;TEXT(MONTH('Campaign Data'!$A1712),"00")</f>
        <v>2026-04</v>
      </c>
    </row>
    <row r="1713" spans="1:21" x14ac:dyDescent="0.25">
      <c r="A1713">
        <v>46116</v>
      </c>
      <c r="B1713" t="s">
        <v>130</v>
      </c>
      <c r="C1713" t="s">
        <v>131</v>
      </c>
      <c r="D1713" t="s">
        <v>48</v>
      </c>
      <c r="E1713" t="s">
        <v>33</v>
      </c>
      <c r="F1713" t="s">
        <v>34</v>
      </c>
      <c r="G1713" t="s">
        <v>35</v>
      </c>
      <c r="H1713" t="s">
        <v>27</v>
      </c>
      <c r="I1713" t="s">
        <v>28</v>
      </c>
      <c r="J1713" t="s">
        <v>45</v>
      </c>
      <c r="K1713">
        <v>5617</v>
      </c>
      <c r="L1713">
        <v>38</v>
      </c>
      <c r="M1713">
        <v>25.94</v>
      </c>
      <c r="N1713">
        <v>1</v>
      </c>
      <c r="O1713">
        <v>142.34</v>
      </c>
      <c r="P1713">
        <f t="shared" si="104"/>
        <v>6.7651771408225028E-3</v>
      </c>
      <c r="Q1713">
        <f t="shared" si="104"/>
        <v>0.68263157894736848</v>
      </c>
      <c r="R1713">
        <f t="shared" si="105"/>
        <v>25.94</v>
      </c>
      <c r="S1713">
        <f t="shared" si="106"/>
        <v>5.4872783346183498</v>
      </c>
      <c r="T1713">
        <f t="shared" si="107"/>
        <v>2.6315789473684209E-2</v>
      </c>
      <c r="U1713" t="str">
        <f>YEAR('Campaign Data'!$A1713)&amp;"-"&amp;TEXT(MONTH('Campaign Data'!$A1713),"00")</f>
        <v>2026-04</v>
      </c>
    </row>
    <row r="1714" spans="1:21" x14ac:dyDescent="0.25">
      <c r="A1714">
        <v>46116</v>
      </c>
      <c r="B1714" t="s">
        <v>177</v>
      </c>
      <c r="C1714" t="s">
        <v>178</v>
      </c>
      <c r="D1714" t="s">
        <v>41</v>
      </c>
      <c r="E1714" t="s">
        <v>49</v>
      </c>
      <c r="F1714" t="s">
        <v>34</v>
      </c>
      <c r="G1714" t="s">
        <v>107</v>
      </c>
      <c r="H1714" t="s">
        <v>55</v>
      </c>
      <c r="I1714" t="s">
        <v>28</v>
      </c>
      <c r="J1714" t="s">
        <v>62</v>
      </c>
      <c r="K1714">
        <v>7168</v>
      </c>
      <c r="L1714">
        <v>544</v>
      </c>
      <c r="M1714">
        <v>1198.1300000000001</v>
      </c>
      <c r="N1714">
        <v>53</v>
      </c>
      <c r="O1714">
        <v>4842.6000000000004</v>
      </c>
      <c r="P1714">
        <f t="shared" si="104"/>
        <v>7.5892857142857137E-2</v>
      </c>
      <c r="Q1714">
        <f t="shared" si="104"/>
        <v>2.2024448529411766</v>
      </c>
      <c r="R1714">
        <f t="shared" si="105"/>
        <v>22.606226415094341</v>
      </c>
      <c r="S1714">
        <f t="shared" si="106"/>
        <v>4.0417984692812965</v>
      </c>
      <c r="T1714">
        <f t="shared" si="107"/>
        <v>9.7426470588235295E-2</v>
      </c>
      <c r="U1714" t="str">
        <f>YEAR('Campaign Data'!$A1714)&amp;"-"&amp;TEXT(MONTH('Campaign Data'!$A1714),"00")</f>
        <v>2026-04</v>
      </c>
    </row>
    <row r="1715" spans="1:21" x14ac:dyDescent="0.25">
      <c r="A1715">
        <v>46116</v>
      </c>
      <c r="B1715" t="s">
        <v>153</v>
      </c>
      <c r="C1715" t="s">
        <v>154</v>
      </c>
      <c r="D1715" t="s">
        <v>48</v>
      </c>
      <c r="E1715" t="s">
        <v>33</v>
      </c>
      <c r="F1715" t="s">
        <v>43</v>
      </c>
      <c r="G1715" t="s">
        <v>59</v>
      </c>
      <c r="H1715" t="s">
        <v>51</v>
      </c>
      <c r="I1715" t="s">
        <v>37</v>
      </c>
      <c r="J1715" t="s">
        <v>45</v>
      </c>
      <c r="K1715">
        <v>6920</v>
      </c>
      <c r="L1715">
        <v>14</v>
      </c>
      <c r="M1715">
        <v>8.2100000000000009</v>
      </c>
      <c r="N1715">
        <v>0</v>
      </c>
      <c r="O1715">
        <v>0</v>
      </c>
      <c r="P1715">
        <f t="shared" si="104"/>
        <v>2.0231213872832369E-3</v>
      </c>
      <c r="Q1715">
        <f t="shared" si="104"/>
        <v>0.58642857142857152</v>
      </c>
      <c r="R1715">
        <f t="shared" si="105"/>
        <v>0</v>
      </c>
      <c r="S1715">
        <f t="shared" si="106"/>
        <v>0</v>
      </c>
      <c r="T1715">
        <f t="shared" si="107"/>
        <v>0</v>
      </c>
      <c r="U1715" t="str">
        <f>YEAR('Campaign Data'!$A1715)&amp;"-"&amp;TEXT(MONTH('Campaign Data'!$A1715),"00")</f>
        <v>2026-04</v>
      </c>
    </row>
    <row r="1716" spans="1:21" x14ac:dyDescent="0.25">
      <c r="A1716">
        <v>46116</v>
      </c>
      <c r="B1716" t="s">
        <v>171</v>
      </c>
      <c r="C1716" t="s">
        <v>172</v>
      </c>
      <c r="D1716" t="s">
        <v>23</v>
      </c>
      <c r="E1716" t="s">
        <v>33</v>
      </c>
      <c r="F1716" t="s">
        <v>75</v>
      </c>
      <c r="G1716" t="s">
        <v>59</v>
      </c>
      <c r="H1716" t="s">
        <v>71</v>
      </c>
      <c r="I1716" t="s">
        <v>37</v>
      </c>
      <c r="J1716" t="s">
        <v>62</v>
      </c>
      <c r="K1716">
        <v>7369</v>
      </c>
      <c r="L1716">
        <v>68</v>
      </c>
      <c r="M1716">
        <v>30.57</v>
      </c>
      <c r="N1716">
        <v>1</v>
      </c>
      <c r="O1716">
        <v>45.3</v>
      </c>
      <c r="P1716">
        <f t="shared" si="104"/>
        <v>9.2278463834984392E-3</v>
      </c>
      <c r="Q1716">
        <f t="shared" si="104"/>
        <v>0.44955882352941179</v>
      </c>
      <c r="R1716">
        <f t="shared" si="105"/>
        <v>30.57</v>
      </c>
      <c r="S1716">
        <f t="shared" si="106"/>
        <v>1.4818449460255152</v>
      </c>
      <c r="T1716">
        <f t="shared" si="107"/>
        <v>1.4705882352941176E-2</v>
      </c>
      <c r="U1716" t="str">
        <f>YEAR('Campaign Data'!$A1716)&amp;"-"&amp;TEXT(MONTH('Campaign Data'!$A1716),"00")</f>
        <v>2026-04</v>
      </c>
    </row>
    <row r="1717" spans="1:21" x14ac:dyDescent="0.25">
      <c r="A1717">
        <v>46116</v>
      </c>
      <c r="B1717" t="s">
        <v>140</v>
      </c>
      <c r="C1717" t="s">
        <v>40</v>
      </c>
      <c r="D1717" t="s">
        <v>41</v>
      </c>
      <c r="E1717" t="s">
        <v>42</v>
      </c>
      <c r="F1717" t="s">
        <v>43</v>
      </c>
      <c r="G1717" t="s">
        <v>44</v>
      </c>
      <c r="H1717" t="s">
        <v>90</v>
      </c>
      <c r="I1717" t="s">
        <v>37</v>
      </c>
      <c r="J1717" t="s">
        <v>29</v>
      </c>
      <c r="K1717">
        <v>1780</v>
      </c>
      <c r="L1717">
        <v>3</v>
      </c>
      <c r="M1717">
        <v>6.15</v>
      </c>
      <c r="N1717">
        <v>0</v>
      </c>
      <c r="O1717">
        <v>0</v>
      </c>
      <c r="P1717">
        <f t="shared" si="104"/>
        <v>1.6853932584269663E-3</v>
      </c>
      <c r="Q1717">
        <f t="shared" si="104"/>
        <v>2.0500000000000003</v>
      </c>
      <c r="R1717">
        <f t="shared" si="105"/>
        <v>0</v>
      </c>
      <c r="S1717">
        <f t="shared" si="106"/>
        <v>0</v>
      </c>
      <c r="T1717">
        <f t="shared" si="107"/>
        <v>0</v>
      </c>
      <c r="U1717" t="str">
        <f>YEAR('Campaign Data'!$A1717)&amp;"-"&amp;TEXT(MONTH('Campaign Data'!$A1717),"00")</f>
        <v>2026-04</v>
      </c>
    </row>
    <row r="1718" spans="1:21" x14ac:dyDescent="0.25">
      <c r="A1718">
        <v>46116</v>
      </c>
      <c r="B1718" t="s">
        <v>140</v>
      </c>
      <c r="C1718" t="s">
        <v>40</v>
      </c>
      <c r="D1718" t="s">
        <v>41</v>
      </c>
      <c r="E1718" t="s">
        <v>42</v>
      </c>
      <c r="F1718" t="s">
        <v>43</v>
      </c>
      <c r="G1718" t="s">
        <v>44</v>
      </c>
      <c r="H1718" t="s">
        <v>27</v>
      </c>
      <c r="I1718" t="s">
        <v>61</v>
      </c>
      <c r="J1718" t="s">
        <v>62</v>
      </c>
      <c r="K1718">
        <v>8632</v>
      </c>
      <c r="L1718">
        <v>37</v>
      </c>
      <c r="M1718">
        <v>425.79</v>
      </c>
      <c r="N1718">
        <v>0</v>
      </c>
      <c r="O1718">
        <v>0</v>
      </c>
      <c r="P1718">
        <f t="shared" si="104"/>
        <v>4.2863762743280817E-3</v>
      </c>
      <c r="Q1718">
        <f t="shared" si="104"/>
        <v>11.507837837837839</v>
      </c>
      <c r="R1718">
        <f t="shared" si="105"/>
        <v>0</v>
      </c>
      <c r="S1718">
        <f t="shared" si="106"/>
        <v>0</v>
      </c>
      <c r="T1718">
        <f t="shared" si="107"/>
        <v>0</v>
      </c>
      <c r="U1718" t="str">
        <f>YEAR('Campaign Data'!$A1718)&amp;"-"&amp;TEXT(MONTH('Campaign Data'!$A1718),"00")</f>
        <v>2026-04</v>
      </c>
    </row>
    <row r="1719" spans="1:21" x14ac:dyDescent="0.25">
      <c r="A1719">
        <v>46116</v>
      </c>
      <c r="B1719" t="s">
        <v>112</v>
      </c>
      <c r="C1719" t="s">
        <v>113</v>
      </c>
      <c r="D1719" t="s">
        <v>32</v>
      </c>
      <c r="E1719" t="s">
        <v>24</v>
      </c>
      <c r="F1719" t="s">
        <v>75</v>
      </c>
      <c r="G1719" t="s">
        <v>66</v>
      </c>
      <c r="H1719" t="s">
        <v>27</v>
      </c>
      <c r="I1719" t="s">
        <v>28</v>
      </c>
      <c r="J1719" t="s">
        <v>62</v>
      </c>
      <c r="K1719">
        <v>2581</v>
      </c>
      <c r="L1719">
        <v>24</v>
      </c>
      <c r="M1719">
        <v>32.590000000000003</v>
      </c>
      <c r="N1719">
        <v>1</v>
      </c>
      <c r="O1719">
        <v>26.37</v>
      </c>
      <c r="P1719">
        <f t="shared" si="104"/>
        <v>9.2987214258039522E-3</v>
      </c>
      <c r="Q1719">
        <f t="shared" si="104"/>
        <v>1.3579166666666669</v>
      </c>
      <c r="R1719">
        <f t="shared" si="105"/>
        <v>32.590000000000003</v>
      </c>
      <c r="S1719">
        <f t="shared" si="106"/>
        <v>0.80914390917459333</v>
      </c>
      <c r="T1719">
        <f t="shared" si="107"/>
        <v>4.1666666666666664E-2</v>
      </c>
      <c r="U1719" t="str">
        <f>YEAR('Campaign Data'!$A1719)&amp;"-"&amp;TEXT(MONTH('Campaign Data'!$A1719),"00")</f>
        <v>2026-04</v>
      </c>
    </row>
    <row r="1720" spans="1:21" x14ac:dyDescent="0.25">
      <c r="A1720">
        <v>46116</v>
      </c>
      <c r="B1720" t="s">
        <v>112</v>
      </c>
      <c r="C1720" t="s">
        <v>113</v>
      </c>
      <c r="D1720" t="s">
        <v>32</v>
      </c>
      <c r="E1720" t="s">
        <v>24</v>
      </c>
      <c r="F1720" t="s">
        <v>75</v>
      </c>
      <c r="G1720" t="s">
        <v>66</v>
      </c>
      <c r="H1720" t="s">
        <v>27</v>
      </c>
      <c r="I1720" t="s">
        <v>37</v>
      </c>
      <c r="J1720" t="s">
        <v>29</v>
      </c>
      <c r="K1720">
        <v>11377</v>
      </c>
      <c r="L1720">
        <v>149</v>
      </c>
      <c r="M1720">
        <v>209.38</v>
      </c>
      <c r="N1720">
        <v>3</v>
      </c>
      <c r="O1720">
        <v>109.64</v>
      </c>
      <c r="P1720">
        <f t="shared" si="104"/>
        <v>1.3096598400281269E-2</v>
      </c>
      <c r="Q1720">
        <f t="shared" si="104"/>
        <v>1.405234899328859</v>
      </c>
      <c r="R1720">
        <f t="shared" si="105"/>
        <v>69.793333333333337</v>
      </c>
      <c r="S1720">
        <f t="shared" si="106"/>
        <v>0.52364122647817368</v>
      </c>
      <c r="T1720">
        <f t="shared" si="107"/>
        <v>2.0134228187919462E-2</v>
      </c>
      <c r="U1720" t="str">
        <f>YEAR('Campaign Data'!$A1720)&amp;"-"&amp;TEXT(MONTH('Campaign Data'!$A1720),"00")</f>
        <v>2026-04</v>
      </c>
    </row>
    <row r="1721" spans="1:21" x14ac:dyDescent="0.25">
      <c r="A1721">
        <v>46116</v>
      </c>
      <c r="B1721" t="s">
        <v>161</v>
      </c>
      <c r="C1721" t="s">
        <v>162</v>
      </c>
      <c r="D1721" t="s">
        <v>48</v>
      </c>
      <c r="E1721" t="s">
        <v>74</v>
      </c>
      <c r="F1721" t="s">
        <v>34</v>
      </c>
      <c r="G1721" t="s">
        <v>107</v>
      </c>
      <c r="H1721" t="s">
        <v>71</v>
      </c>
      <c r="I1721" t="s">
        <v>37</v>
      </c>
      <c r="J1721" t="s">
        <v>29</v>
      </c>
      <c r="K1721">
        <v>5412</v>
      </c>
      <c r="L1721">
        <v>184</v>
      </c>
      <c r="M1721">
        <v>225.65</v>
      </c>
      <c r="N1721">
        <v>0</v>
      </c>
      <c r="O1721">
        <v>0</v>
      </c>
      <c r="P1721">
        <f t="shared" si="104"/>
        <v>3.399852180339985E-2</v>
      </c>
      <c r="Q1721">
        <f t="shared" si="104"/>
        <v>1.2263586956521739</v>
      </c>
      <c r="R1721">
        <f t="shared" si="105"/>
        <v>0</v>
      </c>
      <c r="S1721">
        <f t="shared" si="106"/>
        <v>0</v>
      </c>
      <c r="T1721">
        <f t="shared" si="107"/>
        <v>0</v>
      </c>
      <c r="U1721" t="str">
        <f>YEAR('Campaign Data'!$A1721)&amp;"-"&amp;TEXT(MONTH('Campaign Data'!$A1721),"00")</f>
        <v>2026-04</v>
      </c>
    </row>
    <row r="1722" spans="1:21" x14ac:dyDescent="0.25">
      <c r="A1722">
        <v>46116</v>
      </c>
      <c r="B1722" t="s">
        <v>56</v>
      </c>
      <c r="C1722" t="s">
        <v>57</v>
      </c>
      <c r="D1722" t="s">
        <v>58</v>
      </c>
      <c r="E1722" t="s">
        <v>33</v>
      </c>
      <c r="F1722" t="s">
        <v>43</v>
      </c>
      <c r="G1722" t="s">
        <v>59</v>
      </c>
      <c r="H1722" t="s">
        <v>71</v>
      </c>
      <c r="I1722" t="s">
        <v>37</v>
      </c>
      <c r="J1722" t="s">
        <v>29</v>
      </c>
      <c r="K1722">
        <v>5024</v>
      </c>
      <c r="L1722">
        <v>17</v>
      </c>
      <c r="M1722">
        <v>8.36</v>
      </c>
      <c r="N1722">
        <v>0</v>
      </c>
      <c r="O1722">
        <v>0</v>
      </c>
      <c r="P1722">
        <f t="shared" si="104"/>
        <v>3.3837579617834396E-3</v>
      </c>
      <c r="Q1722">
        <f t="shared" si="104"/>
        <v>0.49176470588235288</v>
      </c>
      <c r="R1722">
        <f t="shared" si="105"/>
        <v>0</v>
      </c>
      <c r="S1722">
        <f t="shared" si="106"/>
        <v>0</v>
      </c>
      <c r="T1722">
        <f t="shared" si="107"/>
        <v>0</v>
      </c>
      <c r="U1722" t="str">
        <f>YEAR('Campaign Data'!$A1722)&amp;"-"&amp;TEXT(MONTH('Campaign Data'!$A1722),"00")</f>
        <v>2026-04</v>
      </c>
    </row>
    <row r="1723" spans="1:21" x14ac:dyDescent="0.25">
      <c r="A1723">
        <v>46116</v>
      </c>
      <c r="B1723" t="s">
        <v>82</v>
      </c>
      <c r="C1723" t="s">
        <v>83</v>
      </c>
      <c r="D1723" t="s">
        <v>80</v>
      </c>
      <c r="E1723" t="s">
        <v>42</v>
      </c>
      <c r="F1723" t="s">
        <v>34</v>
      </c>
      <c r="G1723" t="s">
        <v>84</v>
      </c>
      <c r="H1723" t="s">
        <v>36</v>
      </c>
      <c r="I1723" t="s">
        <v>37</v>
      </c>
      <c r="J1723" t="s">
        <v>45</v>
      </c>
      <c r="K1723">
        <v>18215</v>
      </c>
      <c r="L1723">
        <v>104</v>
      </c>
      <c r="M1723">
        <v>514.27</v>
      </c>
      <c r="N1723">
        <v>1</v>
      </c>
      <c r="O1723">
        <v>137.77000000000001</v>
      </c>
      <c r="P1723">
        <f t="shared" si="104"/>
        <v>5.7095800164699423E-3</v>
      </c>
      <c r="Q1723">
        <f t="shared" si="104"/>
        <v>4.9449038461538457</v>
      </c>
      <c r="R1723">
        <f t="shared" si="105"/>
        <v>514.27</v>
      </c>
      <c r="S1723">
        <f t="shared" si="106"/>
        <v>0.26789429677017912</v>
      </c>
      <c r="T1723">
        <f t="shared" si="107"/>
        <v>9.6153846153846159E-3</v>
      </c>
      <c r="U1723" t="str">
        <f>YEAR('Campaign Data'!$A1723)&amp;"-"&amp;TEXT(MONTH('Campaign Data'!$A1723),"00")</f>
        <v>2026-04</v>
      </c>
    </row>
    <row r="1724" spans="1:21" x14ac:dyDescent="0.25">
      <c r="A1724">
        <v>46117</v>
      </c>
      <c r="B1724" t="s">
        <v>186</v>
      </c>
      <c r="C1724" t="s">
        <v>187</v>
      </c>
      <c r="D1724" t="s">
        <v>80</v>
      </c>
      <c r="E1724" t="s">
        <v>33</v>
      </c>
      <c r="F1724" t="s">
        <v>43</v>
      </c>
      <c r="G1724" t="s">
        <v>102</v>
      </c>
      <c r="H1724" t="s">
        <v>55</v>
      </c>
      <c r="I1724" t="s">
        <v>28</v>
      </c>
      <c r="J1724" t="s">
        <v>87</v>
      </c>
      <c r="K1724">
        <v>8512</v>
      </c>
      <c r="L1724">
        <v>83</v>
      </c>
      <c r="M1724">
        <v>52.37</v>
      </c>
      <c r="N1724">
        <v>1</v>
      </c>
      <c r="O1724">
        <v>20.440000000000001</v>
      </c>
      <c r="P1724">
        <f t="shared" si="104"/>
        <v>9.7509398496240605E-3</v>
      </c>
      <c r="Q1724">
        <f t="shared" si="104"/>
        <v>0.63096385542168676</v>
      </c>
      <c r="R1724">
        <f t="shared" si="105"/>
        <v>52.37</v>
      </c>
      <c r="S1724">
        <f t="shared" si="106"/>
        <v>0.39029978995608178</v>
      </c>
      <c r="T1724">
        <f t="shared" si="107"/>
        <v>1.2048192771084338E-2</v>
      </c>
      <c r="U1724" t="str">
        <f>YEAR('Campaign Data'!$A1724)&amp;"-"&amp;TEXT(MONTH('Campaign Data'!$A1724),"00")</f>
        <v>2026-04</v>
      </c>
    </row>
    <row r="1725" spans="1:21" x14ac:dyDescent="0.25">
      <c r="A1725">
        <v>46117</v>
      </c>
      <c r="B1725" t="s">
        <v>157</v>
      </c>
      <c r="C1725" t="s">
        <v>158</v>
      </c>
      <c r="D1725" t="s">
        <v>58</v>
      </c>
      <c r="E1725" t="s">
        <v>49</v>
      </c>
      <c r="F1725" t="s">
        <v>81</v>
      </c>
      <c r="G1725" t="s">
        <v>50</v>
      </c>
      <c r="H1725" t="s">
        <v>71</v>
      </c>
      <c r="I1725" t="s">
        <v>37</v>
      </c>
      <c r="J1725" t="s">
        <v>87</v>
      </c>
      <c r="K1725">
        <v>24112</v>
      </c>
      <c r="L1725">
        <v>755</v>
      </c>
      <c r="M1725">
        <v>1479.49</v>
      </c>
      <c r="N1725">
        <v>38</v>
      </c>
      <c r="O1725">
        <v>624.83000000000004</v>
      </c>
      <c r="P1725">
        <f t="shared" si="104"/>
        <v>3.1312209688122095E-2</v>
      </c>
      <c r="Q1725">
        <f t="shared" si="104"/>
        <v>1.95958940397351</v>
      </c>
      <c r="R1725">
        <f t="shared" si="105"/>
        <v>38.933947368421052</v>
      </c>
      <c r="S1725">
        <f t="shared" si="106"/>
        <v>0.42232796436609915</v>
      </c>
      <c r="T1725">
        <f t="shared" si="107"/>
        <v>5.0331125827814571E-2</v>
      </c>
      <c r="U1725" t="str">
        <f>YEAR('Campaign Data'!$A1725)&amp;"-"&amp;TEXT(MONTH('Campaign Data'!$A1725),"00")</f>
        <v>2026-04</v>
      </c>
    </row>
    <row r="1726" spans="1:21" x14ac:dyDescent="0.25">
      <c r="A1726">
        <v>46117</v>
      </c>
      <c r="B1726" t="s">
        <v>136</v>
      </c>
      <c r="C1726" t="s">
        <v>137</v>
      </c>
      <c r="D1726" t="s">
        <v>32</v>
      </c>
      <c r="E1726" t="s">
        <v>49</v>
      </c>
      <c r="F1726" t="s">
        <v>75</v>
      </c>
      <c r="G1726" t="s">
        <v>97</v>
      </c>
      <c r="H1726" t="s">
        <v>27</v>
      </c>
      <c r="I1726" t="s">
        <v>37</v>
      </c>
      <c r="J1726" t="s">
        <v>38</v>
      </c>
      <c r="K1726">
        <v>9145</v>
      </c>
      <c r="L1726">
        <v>439</v>
      </c>
      <c r="M1726">
        <v>1060.46</v>
      </c>
      <c r="N1726">
        <v>25</v>
      </c>
      <c r="O1726">
        <v>971.07</v>
      </c>
      <c r="P1726">
        <f t="shared" si="104"/>
        <v>4.8004373974849641E-2</v>
      </c>
      <c r="Q1726">
        <f t="shared" si="104"/>
        <v>2.4156264236902052</v>
      </c>
      <c r="R1726">
        <f t="shared" si="105"/>
        <v>42.418399999999998</v>
      </c>
      <c r="S1726">
        <f t="shared" si="106"/>
        <v>0.91570639156592426</v>
      </c>
      <c r="T1726">
        <f t="shared" si="107"/>
        <v>5.6947608200455579E-2</v>
      </c>
      <c r="U1726" t="str">
        <f>YEAR('Campaign Data'!$A1726)&amp;"-"&amp;TEXT(MONTH('Campaign Data'!$A1726),"00")</f>
        <v>2026-04</v>
      </c>
    </row>
    <row r="1727" spans="1:21" x14ac:dyDescent="0.25">
      <c r="A1727">
        <v>46117</v>
      </c>
      <c r="B1727" t="s">
        <v>116</v>
      </c>
      <c r="C1727" t="s">
        <v>117</v>
      </c>
      <c r="D1727" t="s">
        <v>48</v>
      </c>
      <c r="E1727" t="s">
        <v>24</v>
      </c>
      <c r="F1727" t="s">
        <v>43</v>
      </c>
      <c r="G1727" t="s">
        <v>26</v>
      </c>
      <c r="H1727" t="s">
        <v>90</v>
      </c>
      <c r="I1727" t="s">
        <v>28</v>
      </c>
      <c r="J1727" t="s">
        <v>29</v>
      </c>
      <c r="K1727">
        <v>8938</v>
      </c>
      <c r="L1727">
        <v>77</v>
      </c>
      <c r="M1727">
        <v>30.59</v>
      </c>
      <c r="N1727">
        <v>1</v>
      </c>
      <c r="O1727">
        <v>7.31</v>
      </c>
      <c r="P1727">
        <f t="shared" si="104"/>
        <v>8.6149026627880959E-3</v>
      </c>
      <c r="Q1727">
        <f t="shared" si="104"/>
        <v>0.39727272727272728</v>
      </c>
      <c r="R1727">
        <f t="shared" si="105"/>
        <v>30.59</v>
      </c>
      <c r="S1727">
        <f t="shared" si="106"/>
        <v>0.23896698267407648</v>
      </c>
      <c r="T1727">
        <f t="shared" si="107"/>
        <v>1.2987012987012988E-2</v>
      </c>
      <c r="U1727" t="str">
        <f>YEAR('Campaign Data'!$A1727)&amp;"-"&amp;TEXT(MONTH('Campaign Data'!$A1727),"00")</f>
        <v>2026-04</v>
      </c>
    </row>
    <row r="1728" spans="1:21" x14ac:dyDescent="0.25">
      <c r="A1728">
        <v>46117</v>
      </c>
      <c r="B1728" t="s">
        <v>116</v>
      </c>
      <c r="C1728" t="s">
        <v>117</v>
      </c>
      <c r="D1728" t="s">
        <v>48</v>
      </c>
      <c r="E1728" t="s">
        <v>24</v>
      </c>
      <c r="F1728" t="s">
        <v>43</v>
      </c>
      <c r="G1728" t="s">
        <v>26</v>
      </c>
      <c r="H1728" t="s">
        <v>90</v>
      </c>
      <c r="I1728" t="s">
        <v>37</v>
      </c>
      <c r="J1728" t="s">
        <v>87</v>
      </c>
      <c r="K1728">
        <v>4013</v>
      </c>
      <c r="L1728">
        <v>44</v>
      </c>
      <c r="M1728">
        <v>13.38</v>
      </c>
      <c r="N1728">
        <v>0</v>
      </c>
      <c r="O1728">
        <v>0</v>
      </c>
      <c r="P1728">
        <f t="shared" si="104"/>
        <v>1.0964365811113879E-2</v>
      </c>
      <c r="Q1728">
        <f t="shared" si="104"/>
        <v>0.30409090909090913</v>
      </c>
      <c r="R1728">
        <f t="shared" si="105"/>
        <v>0</v>
      </c>
      <c r="S1728">
        <f t="shared" si="106"/>
        <v>0</v>
      </c>
      <c r="T1728">
        <f t="shared" si="107"/>
        <v>0</v>
      </c>
      <c r="U1728" t="str">
        <f>YEAR('Campaign Data'!$A1728)&amp;"-"&amp;TEXT(MONTH('Campaign Data'!$A1728),"00")</f>
        <v>2026-04</v>
      </c>
    </row>
    <row r="1729" spans="1:21" x14ac:dyDescent="0.25">
      <c r="A1729">
        <v>46117</v>
      </c>
      <c r="B1729" t="s">
        <v>118</v>
      </c>
      <c r="C1729" t="s">
        <v>119</v>
      </c>
      <c r="D1729" t="s">
        <v>69</v>
      </c>
      <c r="E1729" t="s">
        <v>33</v>
      </c>
      <c r="F1729" t="s">
        <v>34</v>
      </c>
      <c r="G1729" t="s">
        <v>35</v>
      </c>
      <c r="H1729" t="s">
        <v>90</v>
      </c>
      <c r="I1729" t="s">
        <v>37</v>
      </c>
      <c r="J1729" t="s">
        <v>29</v>
      </c>
      <c r="K1729">
        <v>9052</v>
      </c>
      <c r="L1729">
        <v>97</v>
      </c>
      <c r="M1729">
        <v>14.41</v>
      </c>
      <c r="N1729">
        <v>0</v>
      </c>
      <c r="O1729">
        <v>0</v>
      </c>
      <c r="P1729">
        <f t="shared" si="104"/>
        <v>1.071586389748122E-2</v>
      </c>
      <c r="Q1729">
        <f t="shared" si="104"/>
        <v>0.14855670103092783</v>
      </c>
      <c r="R1729">
        <f t="shared" si="105"/>
        <v>0</v>
      </c>
      <c r="S1729">
        <f t="shared" si="106"/>
        <v>0</v>
      </c>
      <c r="T1729">
        <f t="shared" si="107"/>
        <v>0</v>
      </c>
      <c r="U1729" t="str">
        <f>YEAR('Campaign Data'!$A1729)&amp;"-"&amp;TEXT(MONTH('Campaign Data'!$A1729),"00")</f>
        <v>2026-04</v>
      </c>
    </row>
    <row r="1730" spans="1:21" x14ac:dyDescent="0.25">
      <c r="A1730">
        <v>46117</v>
      </c>
      <c r="B1730" t="s">
        <v>118</v>
      </c>
      <c r="C1730" t="s">
        <v>119</v>
      </c>
      <c r="D1730" t="s">
        <v>69</v>
      </c>
      <c r="E1730" t="s">
        <v>33</v>
      </c>
      <c r="F1730" t="s">
        <v>34</v>
      </c>
      <c r="G1730" t="s">
        <v>35</v>
      </c>
      <c r="H1730" t="s">
        <v>90</v>
      </c>
      <c r="I1730" t="s">
        <v>28</v>
      </c>
      <c r="J1730" t="s">
        <v>45</v>
      </c>
      <c r="K1730">
        <v>4996</v>
      </c>
      <c r="L1730">
        <v>33</v>
      </c>
      <c r="M1730">
        <v>4.07</v>
      </c>
      <c r="N1730">
        <v>1</v>
      </c>
      <c r="O1730">
        <v>21.49</v>
      </c>
      <c r="P1730">
        <f t="shared" ref="P1730:Q1793" si="108">IF(K1730=0,0,L1730/K1730)</f>
        <v>6.6052842273819053E-3</v>
      </c>
      <c r="Q1730">
        <f t="shared" si="108"/>
        <v>0.12333333333333334</v>
      </c>
      <c r="R1730">
        <f t="shared" ref="R1730:R1793" si="109">IF(N1730=0,0,M1730/N1730)</f>
        <v>4.07</v>
      </c>
      <c r="S1730">
        <f t="shared" ref="S1730:S1793" si="110">IF(M1730=0,0,O1730/M1730)</f>
        <v>5.2800982800982794</v>
      </c>
      <c r="T1730">
        <f t="shared" ref="T1730:T1793" si="111">IF(L1730=0,0,N1730/L1730)</f>
        <v>3.0303030303030304E-2</v>
      </c>
      <c r="U1730" t="str">
        <f>YEAR('Campaign Data'!$A1730)&amp;"-"&amp;TEXT(MONTH('Campaign Data'!$A1730),"00")</f>
        <v>2026-04</v>
      </c>
    </row>
    <row r="1731" spans="1:21" x14ac:dyDescent="0.25">
      <c r="A1731">
        <v>46117</v>
      </c>
      <c r="B1731" t="s">
        <v>122</v>
      </c>
      <c r="C1731" t="s">
        <v>123</v>
      </c>
      <c r="D1731" t="s">
        <v>41</v>
      </c>
      <c r="E1731" t="s">
        <v>33</v>
      </c>
      <c r="F1731" t="s">
        <v>75</v>
      </c>
      <c r="G1731" t="s">
        <v>35</v>
      </c>
      <c r="H1731" t="s">
        <v>90</v>
      </c>
      <c r="I1731" t="s">
        <v>28</v>
      </c>
      <c r="J1731" t="s">
        <v>87</v>
      </c>
      <c r="K1731">
        <v>10791</v>
      </c>
      <c r="L1731">
        <v>80</v>
      </c>
      <c r="M1731">
        <v>16.88</v>
      </c>
      <c r="N1731">
        <v>0</v>
      </c>
      <c r="O1731">
        <v>0</v>
      </c>
      <c r="P1731">
        <f t="shared" si="108"/>
        <v>7.4135853952367716E-3</v>
      </c>
      <c r="Q1731">
        <f t="shared" si="108"/>
        <v>0.21099999999999999</v>
      </c>
      <c r="R1731">
        <f t="shared" si="109"/>
        <v>0</v>
      </c>
      <c r="S1731">
        <f t="shared" si="110"/>
        <v>0</v>
      </c>
      <c r="T1731">
        <f t="shared" si="111"/>
        <v>0</v>
      </c>
      <c r="U1731" t="str">
        <f>YEAR('Campaign Data'!$A1731)&amp;"-"&amp;TEXT(MONTH('Campaign Data'!$A1731),"00")</f>
        <v>2026-04</v>
      </c>
    </row>
    <row r="1732" spans="1:21" x14ac:dyDescent="0.25">
      <c r="A1732">
        <v>46117</v>
      </c>
      <c r="B1732" t="s">
        <v>122</v>
      </c>
      <c r="C1732" t="s">
        <v>123</v>
      </c>
      <c r="D1732" t="s">
        <v>41</v>
      </c>
      <c r="E1732" t="s">
        <v>33</v>
      </c>
      <c r="F1732" t="s">
        <v>75</v>
      </c>
      <c r="G1732" t="s">
        <v>35</v>
      </c>
      <c r="H1732" t="s">
        <v>36</v>
      </c>
      <c r="I1732" t="s">
        <v>37</v>
      </c>
      <c r="J1732" t="s">
        <v>62</v>
      </c>
      <c r="K1732">
        <v>4360</v>
      </c>
      <c r="L1732">
        <v>36</v>
      </c>
      <c r="M1732">
        <v>25.26</v>
      </c>
      <c r="N1732">
        <v>0</v>
      </c>
      <c r="O1732">
        <v>0</v>
      </c>
      <c r="P1732">
        <f t="shared" si="108"/>
        <v>8.2568807339449546E-3</v>
      </c>
      <c r="Q1732">
        <f t="shared" si="108"/>
        <v>0.70166666666666666</v>
      </c>
      <c r="R1732">
        <f t="shared" si="109"/>
        <v>0</v>
      </c>
      <c r="S1732">
        <f t="shared" si="110"/>
        <v>0</v>
      </c>
      <c r="T1732">
        <f t="shared" si="111"/>
        <v>0</v>
      </c>
      <c r="U1732" t="str">
        <f>YEAR('Campaign Data'!$A1732)&amp;"-"&amp;TEXT(MONTH('Campaign Data'!$A1732),"00")</f>
        <v>2026-04</v>
      </c>
    </row>
    <row r="1733" spans="1:21" x14ac:dyDescent="0.25">
      <c r="A1733">
        <v>46118</v>
      </c>
      <c r="B1733" t="s">
        <v>175</v>
      </c>
      <c r="C1733" t="s">
        <v>176</v>
      </c>
      <c r="D1733" t="s">
        <v>65</v>
      </c>
      <c r="E1733" t="s">
        <v>49</v>
      </c>
      <c r="F1733" t="s">
        <v>75</v>
      </c>
      <c r="G1733" t="s">
        <v>70</v>
      </c>
      <c r="H1733" t="s">
        <v>71</v>
      </c>
      <c r="I1733" t="s">
        <v>61</v>
      </c>
      <c r="J1733" t="s">
        <v>45</v>
      </c>
      <c r="K1733">
        <v>6925</v>
      </c>
      <c r="L1733">
        <v>310</v>
      </c>
      <c r="M1733">
        <v>455.48</v>
      </c>
      <c r="N1733">
        <v>13</v>
      </c>
      <c r="O1733">
        <v>183.43</v>
      </c>
      <c r="P1733">
        <f t="shared" si="108"/>
        <v>4.4765342960288806E-2</v>
      </c>
      <c r="Q1733">
        <f t="shared" si="108"/>
        <v>1.4692903225806453</v>
      </c>
      <c r="R1733">
        <f t="shared" si="109"/>
        <v>35.036923076923081</v>
      </c>
      <c r="S1733">
        <f t="shared" si="110"/>
        <v>0.40271801176780542</v>
      </c>
      <c r="T1733">
        <f t="shared" si="111"/>
        <v>4.1935483870967745E-2</v>
      </c>
      <c r="U1733" t="str">
        <f>YEAR('Campaign Data'!$A1733)&amp;"-"&amp;TEXT(MONTH('Campaign Data'!$A1733),"00")</f>
        <v>2026-04</v>
      </c>
    </row>
    <row r="1734" spans="1:21" x14ac:dyDescent="0.25">
      <c r="A1734">
        <v>46118</v>
      </c>
      <c r="B1734" t="s">
        <v>175</v>
      </c>
      <c r="C1734" t="s">
        <v>176</v>
      </c>
      <c r="D1734" t="s">
        <v>65</v>
      </c>
      <c r="E1734" t="s">
        <v>49</v>
      </c>
      <c r="F1734" t="s">
        <v>75</v>
      </c>
      <c r="G1734" t="s">
        <v>70</v>
      </c>
      <c r="H1734" t="s">
        <v>36</v>
      </c>
      <c r="I1734" t="s">
        <v>28</v>
      </c>
      <c r="J1734" t="s">
        <v>38</v>
      </c>
      <c r="K1734">
        <v>701</v>
      </c>
      <c r="L1734">
        <v>44</v>
      </c>
      <c r="M1734">
        <v>83.02</v>
      </c>
      <c r="N1734">
        <v>3</v>
      </c>
      <c r="O1734">
        <v>126.74</v>
      </c>
      <c r="P1734">
        <f t="shared" si="108"/>
        <v>6.2767475035663337E-2</v>
      </c>
      <c r="Q1734">
        <f t="shared" si="108"/>
        <v>1.8868181818181817</v>
      </c>
      <c r="R1734">
        <f t="shared" si="109"/>
        <v>27.673333333333332</v>
      </c>
      <c r="S1734">
        <f t="shared" si="110"/>
        <v>1.5266200915442063</v>
      </c>
      <c r="T1734">
        <f t="shared" si="111"/>
        <v>6.8181818181818177E-2</v>
      </c>
      <c r="U1734" t="str">
        <f>YEAR('Campaign Data'!$A1734)&amp;"-"&amp;TEXT(MONTH('Campaign Data'!$A1734),"00")</f>
        <v>2026-04</v>
      </c>
    </row>
    <row r="1735" spans="1:21" x14ac:dyDescent="0.25">
      <c r="A1735">
        <v>46118</v>
      </c>
      <c r="B1735" t="s">
        <v>88</v>
      </c>
      <c r="C1735" t="s">
        <v>89</v>
      </c>
      <c r="D1735" t="s">
        <v>23</v>
      </c>
      <c r="E1735" t="s">
        <v>49</v>
      </c>
      <c r="F1735" t="s">
        <v>81</v>
      </c>
      <c r="G1735" t="s">
        <v>50</v>
      </c>
      <c r="H1735" t="s">
        <v>90</v>
      </c>
      <c r="I1735" t="s">
        <v>37</v>
      </c>
      <c r="J1735" t="s">
        <v>87</v>
      </c>
      <c r="K1735">
        <v>12289</v>
      </c>
      <c r="L1735">
        <v>501</v>
      </c>
      <c r="M1735">
        <v>164.85</v>
      </c>
      <c r="N1735">
        <v>13</v>
      </c>
      <c r="O1735">
        <v>65</v>
      </c>
      <c r="P1735">
        <f t="shared" si="108"/>
        <v>4.0768166653104405E-2</v>
      </c>
      <c r="Q1735">
        <f t="shared" si="108"/>
        <v>0.32904191616766465</v>
      </c>
      <c r="R1735">
        <f t="shared" si="109"/>
        <v>12.680769230769231</v>
      </c>
      <c r="S1735">
        <f t="shared" si="110"/>
        <v>0.39429784652714589</v>
      </c>
      <c r="T1735">
        <f t="shared" si="111"/>
        <v>2.5948103792415168E-2</v>
      </c>
      <c r="U1735" t="str">
        <f>YEAR('Campaign Data'!$A1735)&amp;"-"&amp;TEXT(MONTH('Campaign Data'!$A1735),"00")</f>
        <v>2026-04</v>
      </c>
    </row>
    <row r="1736" spans="1:21" x14ac:dyDescent="0.25">
      <c r="A1736">
        <v>46118</v>
      </c>
      <c r="B1736" t="s">
        <v>167</v>
      </c>
      <c r="C1736" t="s">
        <v>168</v>
      </c>
      <c r="D1736" t="s">
        <v>58</v>
      </c>
      <c r="E1736" t="s">
        <v>33</v>
      </c>
      <c r="F1736" t="s">
        <v>75</v>
      </c>
      <c r="G1736" t="s">
        <v>35</v>
      </c>
      <c r="H1736" t="s">
        <v>51</v>
      </c>
      <c r="I1736" t="s">
        <v>37</v>
      </c>
      <c r="J1736" t="s">
        <v>29</v>
      </c>
      <c r="K1736">
        <v>6387</v>
      </c>
      <c r="L1736">
        <v>52</v>
      </c>
      <c r="M1736">
        <v>30.17</v>
      </c>
      <c r="N1736">
        <v>0</v>
      </c>
      <c r="O1736">
        <v>0</v>
      </c>
      <c r="P1736">
        <f t="shared" si="108"/>
        <v>8.1415374980428994E-3</v>
      </c>
      <c r="Q1736">
        <f t="shared" si="108"/>
        <v>0.58019230769230767</v>
      </c>
      <c r="R1736">
        <f t="shared" si="109"/>
        <v>0</v>
      </c>
      <c r="S1736">
        <f t="shared" si="110"/>
        <v>0</v>
      </c>
      <c r="T1736">
        <f t="shared" si="111"/>
        <v>0</v>
      </c>
      <c r="U1736" t="str">
        <f>YEAR('Campaign Data'!$A1736)&amp;"-"&amp;TEXT(MONTH('Campaign Data'!$A1736),"00")</f>
        <v>2026-04</v>
      </c>
    </row>
    <row r="1737" spans="1:21" x14ac:dyDescent="0.25">
      <c r="A1737">
        <v>46118</v>
      </c>
      <c r="B1737" t="s">
        <v>149</v>
      </c>
      <c r="C1737" t="s">
        <v>150</v>
      </c>
      <c r="D1737" t="s">
        <v>65</v>
      </c>
      <c r="E1737" t="s">
        <v>33</v>
      </c>
      <c r="F1737" t="s">
        <v>43</v>
      </c>
      <c r="G1737" t="s">
        <v>59</v>
      </c>
      <c r="H1737" t="s">
        <v>27</v>
      </c>
      <c r="I1737" t="s">
        <v>28</v>
      </c>
      <c r="J1737" t="s">
        <v>45</v>
      </c>
      <c r="K1737">
        <v>13406</v>
      </c>
      <c r="L1737">
        <v>134</v>
      </c>
      <c r="M1737">
        <v>117.23</v>
      </c>
      <c r="N1737">
        <v>7</v>
      </c>
      <c r="O1737">
        <v>187.73</v>
      </c>
      <c r="P1737">
        <f t="shared" si="108"/>
        <v>9.9955243920632555E-3</v>
      </c>
      <c r="Q1737">
        <f t="shared" si="108"/>
        <v>0.87485074626865678</v>
      </c>
      <c r="R1737">
        <f t="shared" si="109"/>
        <v>16.747142857142858</v>
      </c>
      <c r="S1737">
        <f t="shared" si="110"/>
        <v>1.6013818988313571</v>
      </c>
      <c r="T1737">
        <f t="shared" si="111"/>
        <v>5.2238805970149252E-2</v>
      </c>
      <c r="U1737" t="str">
        <f>YEAR('Campaign Data'!$A1737)&amp;"-"&amp;TEXT(MONTH('Campaign Data'!$A1737),"00")</f>
        <v>2026-04</v>
      </c>
    </row>
    <row r="1738" spans="1:21" x14ac:dyDescent="0.25">
      <c r="A1738">
        <v>46118</v>
      </c>
      <c r="B1738" t="s">
        <v>39</v>
      </c>
      <c r="C1738" t="s">
        <v>40</v>
      </c>
      <c r="D1738" t="s">
        <v>41</v>
      </c>
      <c r="E1738" t="s">
        <v>42</v>
      </c>
      <c r="F1738" t="s">
        <v>43</v>
      </c>
      <c r="G1738" t="s">
        <v>44</v>
      </c>
      <c r="H1738" t="s">
        <v>27</v>
      </c>
      <c r="I1738" t="s">
        <v>37</v>
      </c>
      <c r="J1738" t="s">
        <v>38</v>
      </c>
      <c r="K1738">
        <v>10386</v>
      </c>
      <c r="L1738">
        <v>57</v>
      </c>
      <c r="M1738">
        <v>449.85</v>
      </c>
      <c r="N1738">
        <v>4</v>
      </c>
      <c r="O1738">
        <v>131.6</v>
      </c>
      <c r="P1738">
        <f t="shared" si="108"/>
        <v>5.4881571346042752E-3</v>
      </c>
      <c r="Q1738">
        <f t="shared" si="108"/>
        <v>7.8921052631578954</v>
      </c>
      <c r="R1738">
        <f t="shared" si="109"/>
        <v>112.46250000000001</v>
      </c>
      <c r="S1738">
        <f t="shared" si="110"/>
        <v>0.29254195843058795</v>
      </c>
      <c r="T1738">
        <f t="shared" si="111"/>
        <v>7.0175438596491224E-2</v>
      </c>
      <c r="U1738" t="str">
        <f>YEAR('Campaign Data'!$A1738)&amp;"-"&amp;TEXT(MONTH('Campaign Data'!$A1738),"00")</f>
        <v>2026-04</v>
      </c>
    </row>
    <row r="1739" spans="1:21" x14ac:dyDescent="0.25">
      <c r="A1739">
        <v>46118</v>
      </c>
      <c r="B1739" t="s">
        <v>98</v>
      </c>
      <c r="C1739" t="s">
        <v>99</v>
      </c>
      <c r="D1739" t="s">
        <v>69</v>
      </c>
      <c r="E1739" t="s">
        <v>24</v>
      </c>
      <c r="F1739" t="s">
        <v>75</v>
      </c>
      <c r="G1739" t="s">
        <v>66</v>
      </c>
      <c r="H1739" t="s">
        <v>36</v>
      </c>
      <c r="I1739" t="s">
        <v>37</v>
      </c>
      <c r="J1739" t="s">
        <v>38</v>
      </c>
      <c r="K1739">
        <v>10787</v>
      </c>
      <c r="L1739">
        <v>115</v>
      </c>
      <c r="M1739">
        <v>78.72</v>
      </c>
      <c r="N1739">
        <v>2</v>
      </c>
      <c r="O1739">
        <v>83.44</v>
      </c>
      <c r="P1739">
        <f t="shared" si="108"/>
        <v>1.0660980810234541E-2</v>
      </c>
      <c r="Q1739">
        <f t="shared" si="108"/>
        <v>0.68452173913043479</v>
      </c>
      <c r="R1739">
        <f t="shared" si="109"/>
        <v>39.36</v>
      </c>
      <c r="S1739">
        <f t="shared" si="110"/>
        <v>1.059959349593496</v>
      </c>
      <c r="T1739">
        <f t="shared" si="111"/>
        <v>1.7391304347826087E-2</v>
      </c>
      <c r="U1739" t="str">
        <f>YEAR('Campaign Data'!$A1739)&amp;"-"&amp;TEXT(MONTH('Campaign Data'!$A1739),"00")</f>
        <v>2026-04</v>
      </c>
    </row>
    <row r="1740" spans="1:21" x14ac:dyDescent="0.25">
      <c r="A1740">
        <v>46118</v>
      </c>
      <c r="B1740" t="s">
        <v>98</v>
      </c>
      <c r="C1740" t="s">
        <v>99</v>
      </c>
      <c r="D1740" t="s">
        <v>69</v>
      </c>
      <c r="E1740" t="s">
        <v>24</v>
      </c>
      <c r="F1740" t="s">
        <v>75</v>
      </c>
      <c r="G1740" t="s">
        <v>66</v>
      </c>
      <c r="H1740" t="s">
        <v>60</v>
      </c>
      <c r="I1740" t="s">
        <v>28</v>
      </c>
      <c r="J1740" t="s">
        <v>38</v>
      </c>
      <c r="K1740">
        <v>2813</v>
      </c>
      <c r="L1740">
        <v>28</v>
      </c>
      <c r="M1740">
        <v>22.34</v>
      </c>
      <c r="N1740">
        <v>0</v>
      </c>
      <c r="O1740">
        <v>0</v>
      </c>
      <c r="P1740">
        <f t="shared" si="108"/>
        <v>9.9537859936011368E-3</v>
      </c>
      <c r="Q1740">
        <f t="shared" si="108"/>
        <v>0.79785714285714282</v>
      </c>
      <c r="R1740">
        <f t="shared" si="109"/>
        <v>0</v>
      </c>
      <c r="S1740">
        <f t="shared" si="110"/>
        <v>0</v>
      </c>
      <c r="T1740">
        <f t="shared" si="111"/>
        <v>0</v>
      </c>
      <c r="U1740" t="str">
        <f>YEAR('Campaign Data'!$A1740)&amp;"-"&amp;TEXT(MONTH('Campaign Data'!$A1740),"00")</f>
        <v>2026-04</v>
      </c>
    </row>
    <row r="1741" spans="1:21" x14ac:dyDescent="0.25">
      <c r="A1741">
        <v>46118</v>
      </c>
      <c r="B1741" t="s">
        <v>100</v>
      </c>
      <c r="C1741" t="s">
        <v>101</v>
      </c>
      <c r="D1741" t="s">
        <v>80</v>
      </c>
      <c r="E1741" t="s">
        <v>33</v>
      </c>
      <c r="F1741" t="s">
        <v>25</v>
      </c>
      <c r="G1741" t="s">
        <v>102</v>
      </c>
      <c r="H1741" t="s">
        <v>60</v>
      </c>
      <c r="I1741" t="s">
        <v>37</v>
      </c>
      <c r="J1741" t="s">
        <v>29</v>
      </c>
      <c r="K1741">
        <v>5222</v>
      </c>
      <c r="L1741">
        <v>48</v>
      </c>
      <c r="M1741">
        <v>29.92</v>
      </c>
      <c r="N1741">
        <v>1</v>
      </c>
      <c r="O1741">
        <v>115.66</v>
      </c>
      <c r="P1741">
        <f t="shared" si="108"/>
        <v>9.1918805055534285E-3</v>
      </c>
      <c r="Q1741">
        <f t="shared" si="108"/>
        <v>0.62333333333333341</v>
      </c>
      <c r="R1741">
        <f t="shared" si="109"/>
        <v>29.92</v>
      </c>
      <c r="S1741">
        <f t="shared" si="110"/>
        <v>3.8656417112299462</v>
      </c>
      <c r="T1741">
        <f t="shared" si="111"/>
        <v>2.0833333333333332E-2</v>
      </c>
      <c r="U1741" t="str">
        <f>YEAR('Campaign Data'!$A1741)&amp;"-"&amp;TEXT(MONTH('Campaign Data'!$A1741),"00")</f>
        <v>2026-04</v>
      </c>
    </row>
    <row r="1742" spans="1:21" x14ac:dyDescent="0.25">
      <c r="A1742">
        <v>46118</v>
      </c>
      <c r="B1742" t="s">
        <v>169</v>
      </c>
      <c r="C1742" t="s">
        <v>170</v>
      </c>
      <c r="D1742" t="s">
        <v>58</v>
      </c>
      <c r="E1742" t="s">
        <v>74</v>
      </c>
      <c r="F1742" t="s">
        <v>75</v>
      </c>
      <c r="G1742" t="s">
        <v>9</v>
      </c>
      <c r="H1742" t="s">
        <v>27</v>
      </c>
      <c r="I1742" t="s">
        <v>37</v>
      </c>
      <c r="J1742" t="s">
        <v>29</v>
      </c>
      <c r="K1742">
        <v>7799</v>
      </c>
      <c r="L1742">
        <v>117</v>
      </c>
      <c r="M1742">
        <v>132.72</v>
      </c>
      <c r="N1742">
        <v>5</v>
      </c>
      <c r="O1742">
        <v>262.05</v>
      </c>
      <c r="P1742">
        <f t="shared" si="108"/>
        <v>1.5001923323503013E-2</v>
      </c>
      <c r="Q1742">
        <f t="shared" si="108"/>
        <v>1.1343589743589744</v>
      </c>
      <c r="R1742">
        <f t="shared" si="109"/>
        <v>26.544</v>
      </c>
      <c r="S1742">
        <f t="shared" si="110"/>
        <v>1.9744575045207957</v>
      </c>
      <c r="T1742">
        <f t="shared" si="111"/>
        <v>4.2735042735042736E-2</v>
      </c>
      <c r="U1742" t="str">
        <f>YEAR('Campaign Data'!$A1742)&amp;"-"&amp;TEXT(MONTH('Campaign Data'!$A1742),"00")</f>
        <v>2026-04</v>
      </c>
    </row>
    <row r="1743" spans="1:21" x14ac:dyDescent="0.25">
      <c r="A1743">
        <v>46118</v>
      </c>
      <c r="B1743" t="s">
        <v>105</v>
      </c>
      <c r="C1743" t="s">
        <v>106</v>
      </c>
      <c r="D1743" t="s">
        <v>58</v>
      </c>
      <c r="E1743" t="s">
        <v>49</v>
      </c>
      <c r="F1743" t="s">
        <v>81</v>
      </c>
      <c r="G1743" t="s">
        <v>107</v>
      </c>
      <c r="H1743" t="s">
        <v>60</v>
      </c>
      <c r="I1743" t="s">
        <v>37</v>
      </c>
      <c r="J1743" t="s">
        <v>62</v>
      </c>
      <c r="K1743">
        <v>8686</v>
      </c>
      <c r="L1743">
        <v>379</v>
      </c>
      <c r="M1743">
        <v>735.59</v>
      </c>
      <c r="N1743">
        <v>29</v>
      </c>
      <c r="O1743">
        <v>437.35</v>
      </c>
      <c r="P1743">
        <f t="shared" si="108"/>
        <v>4.3633433110752934E-2</v>
      </c>
      <c r="Q1743">
        <f t="shared" si="108"/>
        <v>1.9408707124010556</v>
      </c>
      <c r="R1743">
        <f t="shared" si="109"/>
        <v>25.365172413793104</v>
      </c>
      <c r="S1743">
        <f t="shared" si="110"/>
        <v>0.59455675036365363</v>
      </c>
      <c r="T1743">
        <f t="shared" si="111"/>
        <v>7.6517150395778361E-2</v>
      </c>
      <c r="U1743" t="str">
        <f>YEAR('Campaign Data'!$A1743)&amp;"-"&amp;TEXT(MONTH('Campaign Data'!$A1743),"00")</f>
        <v>2026-04</v>
      </c>
    </row>
    <row r="1744" spans="1:21" x14ac:dyDescent="0.25">
      <c r="A1744">
        <v>46118</v>
      </c>
      <c r="B1744" t="s">
        <v>130</v>
      </c>
      <c r="C1744" t="s">
        <v>131</v>
      </c>
      <c r="D1744" t="s">
        <v>48</v>
      </c>
      <c r="E1744" t="s">
        <v>33</v>
      </c>
      <c r="F1744" t="s">
        <v>34</v>
      </c>
      <c r="G1744" t="s">
        <v>35</v>
      </c>
      <c r="H1744" t="s">
        <v>60</v>
      </c>
      <c r="I1744" t="s">
        <v>37</v>
      </c>
      <c r="J1744" t="s">
        <v>62</v>
      </c>
      <c r="K1744">
        <v>9100</v>
      </c>
      <c r="L1744">
        <v>126</v>
      </c>
      <c r="M1744">
        <v>53.83</v>
      </c>
      <c r="N1744">
        <v>2</v>
      </c>
      <c r="O1744">
        <v>351.53</v>
      </c>
      <c r="P1744">
        <f t="shared" si="108"/>
        <v>1.3846153846153847E-2</v>
      </c>
      <c r="Q1744">
        <f t="shared" si="108"/>
        <v>0.42722222222222223</v>
      </c>
      <c r="R1744">
        <f t="shared" si="109"/>
        <v>26.914999999999999</v>
      </c>
      <c r="S1744">
        <f t="shared" si="110"/>
        <v>6.5303733977336051</v>
      </c>
      <c r="T1744">
        <f t="shared" si="111"/>
        <v>1.5873015873015872E-2</v>
      </c>
      <c r="U1744" t="str">
        <f>YEAR('Campaign Data'!$A1744)&amp;"-"&amp;TEXT(MONTH('Campaign Data'!$A1744),"00")</f>
        <v>2026-04</v>
      </c>
    </row>
    <row r="1745" spans="1:21" x14ac:dyDescent="0.25">
      <c r="A1745">
        <v>46118</v>
      </c>
      <c r="B1745" t="s">
        <v>153</v>
      </c>
      <c r="C1745" t="s">
        <v>154</v>
      </c>
      <c r="D1745" t="s">
        <v>48</v>
      </c>
      <c r="E1745" t="s">
        <v>33</v>
      </c>
      <c r="F1745" t="s">
        <v>43</v>
      </c>
      <c r="G1745" t="s">
        <v>59</v>
      </c>
      <c r="H1745" t="s">
        <v>90</v>
      </c>
      <c r="I1745" t="s">
        <v>28</v>
      </c>
      <c r="J1745" t="s">
        <v>38</v>
      </c>
      <c r="K1745">
        <v>8325</v>
      </c>
      <c r="L1745">
        <v>74</v>
      </c>
      <c r="M1745">
        <v>14.71</v>
      </c>
      <c r="N1745">
        <v>0</v>
      </c>
      <c r="O1745">
        <v>0</v>
      </c>
      <c r="P1745">
        <f t="shared" si="108"/>
        <v>8.8888888888888889E-3</v>
      </c>
      <c r="Q1745">
        <f t="shared" si="108"/>
        <v>0.19878378378378381</v>
      </c>
      <c r="R1745">
        <f t="shared" si="109"/>
        <v>0</v>
      </c>
      <c r="S1745">
        <f t="shared" si="110"/>
        <v>0</v>
      </c>
      <c r="T1745">
        <f t="shared" si="111"/>
        <v>0</v>
      </c>
      <c r="U1745" t="str">
        <f>YEAR('Campaign Data'!$A1745)&amp;"-"&amp;TEXT(MONTH('Campaign Data'!$A1745),"00")</f>
        <v>2026-04</v>
      </c>
    </row>
    <row r="1746" spans="1:21" x14ac:dyDescent="0.25">
      <c r="A1746">
        <v>46118</v>
      </c>
      <c r="B1746" t="s">
        <v>179</v>
      </c>
      <c r="C1746" t="s">
        <v>180</v>
      </c>
      <c r="D1746" t="s">
        <v>58</v>
      </c>
      <c r="E1746" t="s">
        <v>42</v>
      </c>
      <c r="F1746" t="s">
        <v>25</v>
      </c>
      <c r="G1746" t="s">
        <v>54</v>
      </c>
      <c r="H1746" t="s">
        <v>27</v>
      </c>
      <c r="I1746" t="s">
        <v>28</v>
      </c>
      <c r="J1746" t="s">
        <v>62</v>
      </c>
      <c r="K1746">
        <v>5920</v>
      </c>
      <c r="L1746">
        <v>41</v>
      </c>
      <c r="M1746">
        <v>242.39</v>
      </c>
      <c r="N1746">
        <v>0</v>
      </c>
      <c r="O1746">
        <v>0</v>
      </c>
      <c r="P1746">
        <f t="shared" si="108"/>
        <v>6.9256756756756761E-3</v>
      </c>
      <c r="Q1746">
        <f t="shared" si="108"/>
        <v>5.9119512195121944</v>
      </c>
      <c r="R1746">
        <f t="shared" si="109"/>
        <v>0</v>
      </c>
      <c r="S1746">
        <f t="shared" si="110"/>
        <v>0</v>
      </c>
      <c r="T1746">
        <f t="shared" si="111"/>
        <v>0</v>
      </c>
      <c r="U1746" t="str">
        <f>YEAR('Campaign Data'!$A1746)&amp;"-"&amp;TEXT(MONTH('Campaign Data'!$A1746),"00")</f>
        <v>2026-04</v>
      </c>
    </row>
    <row r="1747" spans="1:21" x14ac:dyDescent="0.25">
      <c r="A1747">
        <v>46118</v>
      </c>
      <c r="B1747" t="s">
        <v>159</v>
      </c>
      <c r="C1747" t="s">
        <v>160</v>
      </c>
      <c r="D1747" t="s">
        <v>65</v>
      </c>
      <c r="E1747" t="s">
        <v>42</v>
      </c>
      <c r="F1747" t="s">
        <v>75</v>
      </c>
      <c r="G1747" t="s">
        <v>54</v>
      </c>
      <c r="H1747" t="s">
        <v>27</v>
      </c>
      <c r="I1747" t="s">
        <v>37</v>
      </c>
      <c r="J1747" t="s">
        <v>45</v>
      </c>
      <c r="K1747">
        <v>2891</v>
      </c>
      <c r="L1747">
        <v>29</v>
      </c>
      <c r="M1747">
        <v>202.14</v>
      </c>
      <c r="N1747">
        <v>0</v>
      </c>
      <c r="O1747">
        <v>0</v>
      </c>
      <c r="P1747">
        <f t="shared" si="108"/>
        <v>1.0031131096506399E-2</v>
      </c>
      <c r="Q1747">
        <f t="shared" si="108"/>
        <v>6.9703448275862065</v>
      </c>
      <c r="R1747">
        <f t="shared" si="109"/>
        <v>0</v>
      </c>
      <c r="S1747">
        <f t="shared" si="110"/>
        <v>0</v>
      </c>
      <c r="T1747">
        <f t="shared" si="111"/>
        <v>0</v>
      </c>
      <c r="U1747" t="str">
        <f>YEAR('Campaign Data'!$A1747)&amp;"-"&amp;TEXT(MONTH('Campaign Data'!$A1747),"00")</f>
        <v>2026-04</v>
      </c>
    </row>
    <row r="1748" spans="1:21" x14ac:dyDescent="0.25">
      <c r="A1748">
        <v>46118</v>
      </c>
      <c r="B1748" t="s">
        <v>159</v>
      </c>
      <c r="C1748" t="s">
        <v>160</v>
      </c>
      <c r="D1748" t="s">
        <v>65</v>
      </c>
      <c r="E1748" t="s">
        <v>42</v>
      </c>
      <c r="F1748" t="s">
        <v>75</v>
      </c>
      <c r="G1748" t="s">
        <v>54</v>
      </c>
      <c r="H1748" t="s">
        <v>90</v>
      </c>
      <c r="I1748" t="s">
        <v>37</v>
      </c>
      <c r="J1748" t="s">
        <v>45</v>
      </c>
      <c r="K1748">
        <v>5190</v>
      </c>
      <c r="L1748">
        <v>25</v>
      </c>
      <c r="M1748">
        <v>40.090000000000003</v>
      </c>
      <c r="N1748">
        <v>1</v>
      </c>
      <c r="O1748">
        <v>9.51</v>
      </c>
      <c r="P1748">
        <f t="shared" si="108"/>
        <v>4.8169556840077067E-3</v>
      </c>
      <c r="Q1748">
        <f t="shared" si="108"/>
        <v>1.6036000000000001</v>
      </c>
      <c r="R1748">
        <f t="shared" si="109"/>
        <v>40.090000000000003</v>
      </c>
      <c r="S1748">
        <f t="shared" si="110"/>
        <v>0.23721626340733348</v>
      </c>
      <c r="T1748">
        <f t="shared" si="111"/>
        <v>0.04</v>
      </c>
      <c r="U1748" t="str">
        <f>YEAR('Campaign Data'!$A1748)&amp;"-"&amp;TEXT(MONTH('Campaign Data'!$A1748),"00")</f>
        <v>2026-04</v>
      </c>
    </row>
    <row r="1749" spans="1:21" x14ac:dyDescent="0.25">
      <c r="A1749">
        <v>46118</v>
      </c>
      <c r="B1749" t="s">
        <v>181</v>
      </c>
      <c r="C1749" t="s">
        <v>182</v>
      </c>
      <c r="D1749" t="s">
        <v>32</v>
      </c>
      <c r="E1749" t="s">
        <v>33</v>
      </c>
      <c r="F1749" t="s">
        <v>75</v>
      </c>
      <c r="G1749" t="s">
        <v>59</v>
      </c>
      <c r="H1749" t="s">
        <v>27</v>
      </c>
      <c r="I1749" t="s">
        <v>28</v>
      </c>
      <c r="J1749" t="s">
        <v>38</v>
      </c>
      <c r="K1749">
        <v>6412</v>
      </c>
      <c r="L1749">
        <v>72</v>
      </c>
      <c r="M1749">
        <v>60.48</v>
      </c>
      <c r="N1749">
        <v>2</v>
      </c>
      <c r="O1749">
        <v>54.83</v>
      </c>
      <c r="P1749">
        <f t="shared" si="108"/>
        <v>1.1228945726762321E-2</v>
      </c>
      <c r="Q1749">
        <f t="shared" si="108"/>
        <v>0.84</v>
      </c>
      <c r="R1749">
        <f t="shared" si="109"/>
        <v>30.24</v>
      </c>
      <c r="S1749">
        <f t="shared" si="110"/>
        <v>0.9065806878306879</v>
      </c>
      <c r="T1749">
        <f t="shared" si="111"/>
        <v>2.7777777777777776E-2</v>
      </c>
      <c r="U1749" t="str">
        <f>YEAR('Campaign Data'!$A1749)&amp;"-"&amp;TEXT(MONTH('Campaign Data'!$A1749),"00")</f>
        <v>2026-04</v>
      </c>
    </row>
    <row r="1750" spans="1:21" x14ac:dyDescent="0.25">
      <c r="A1750">
        <v>46118</v>
      </c>
      <c r="B1750" t="s">
        <v>114</v>
      </c>
      <c r="C1750" t="s">
        <v>115</v>
      </c>
      <c r="D1750" t="s">
        <v>69</v>
      </c>
      <c r="E1750" t="s">
        <v>49</v>
      </c>
      <c r="F1750" t="s">
        <v>25</v>
      </c>
      <c r="G1750" t="s">
        <v>107</v>
      </c>
      <c r="H1750" t="s">
        <v>90</v>
      </c>
      <c r="I1750" t="s">
        <v>37</v>
      </c>
      <c r="J1750" t="s">
        <v>62</v>
      </c>
      <c r="K1750">
        <v>8912</v>
      </c>
      <c r="L1750">
        <v>660</v>
      </c>
      <c r="M1750">
        <v>315.69</v>
      </c>
      <c r="N1750">
        <v>32</v>
      </c>
      <c r="O1750">
        <v>618.78</v>
      </c>
      <c r="P1750">
        <f t="shared" si="108"/>
        <v>7.4057450628366245E-2</v>
      </c>
      <c r="Q1750">
        <f t="shared" si="108"/>
        <v>0.47831818181818181</v>
      </c>
      <c r="R1750">
        <f t="shared" si="109"/>
        <v>9.8653124999999999</v>
      </c>
      <c r="S1750">
        <f t="shared" si="110"/>
        <v>1.9600874275396749</v>
      </c>
      <c r="T1750">
        <f t="shared" si="111"/>
        <v>4.8484848484848485E-2</v>
      </c>
      <c r="U1750" t="str">
        <f>YEAR('Campaign Data'!$A1750)&amp;"-"&amp;TEXT(MONTH('Campaign Data'!$A1750),"00")</f>
        <v>2026-04</v>
      </c>
    </row>
    <row r="1751" spans="1:21" x14ac:dyDescent="0.25">
      <c r="A1751">
        <v>46118</v>
      </c>
      <c r="B1751" t="s">
        <v>63</v>
      </c>
      <c r="C1751" t="s">
        <v>64</v>
      </c>
      <c r="D1751" t="s">
        <v>65</v>
      </c>
      <c r="E1751" t="s">
        <v>24</v>
      </c>
      <c r="F1751" t="s">
        <v>43</v>
      </c>
      <c r="G1751" t="s">
        <v>66</v>
      </c>
      <c r="H1751" t="s">
        <v>60</v>
      </c>
      <c r="I1751" t="s">
        <v>37</v>
      </c>
      <c r="J1751" t="s">
        <v>45</v>
      </c>
      <c r="K1751">
        <v>20014</v>
      </c>
      <c r="L1751">
        <v>243</v>
      </c>
      <c r="M1751">
        <v>169.12</v>
      </c>
      <c r="N1751">
        <v>3</v>
      </c>
      <c r="O1751">
        <v>97.31</v>
      </c>
      <c r="P1751">
        <f t="shared" si="108"/>
        <v>1.2141500949335466E-2</v>
      </c>
      <c r="Q1751">
        <f t="shared" si="108"/>
        <v>0.69596707818930048</v>
      </c>
      <c r="R1751">
        <f t="shared" si="109"/>
        <v>56.373333333333335</v>
      </c>
      <c r="S1751">
        <f t="shared" si="110"/>
        <v>0.57539025543992428</v>
      </c>
      <c r="T1751">
        <f t="shared" si="111"/>
        <v>1.2345679012345678E-2</v>
      </c>
      <c r="U1751" t="str">
        <f>YEAR('Campaign Data'!$A1751)&amp;"-"&amp;TEXT(MONTH('Campaign Data'!$A1751),"00")</f>
        <v>2026-04</v>
      </c>
    </row>
    <row r="1752" spans="1:21" x14ac:dyDescent="0.25">
      <c r="A1752">
        <v>46118</v>
      </c>
      <c r="B1752" t="s">
        <v>63</v>
      </c>
      <c r="C1752" t="s">
        <v>64</v>
      </c>
      <c r="D1752" t="s">
        <v>65</v>
      </c>
      <c r="E1752" t="s">
        <v>24</v>
      </c>
      <c r="F1752" t="s">
        <v>43</v>
      </c>
      <c r="G1752" t="s">
        <v>66</v>
      </c>
      <c r="H1752" t="s">
        <v>27</v>
      </c>
      <c r="I1752" t="s">
        <v>37</v>
      </c>
      <c r="J1752" t="s">
        <v>29</v>
      </c>
      <c r="K1752">
        <v>11478</v>
      </c>
      <c r="L1752">
        <v>127</v>
      </c>
      <c r="M1752">
        <v>149.58000000000001</v>
      </c>
      <c r="N1752">
        <v>0</v>
      </c>
      <c r="O1752">
        <v>0</v>
      </c>
      <c r="P1752">
        <f t="shared" si="108"/>
        <v>1.1064645408607771E-2</v>
      </c>
      <c r="Q1752">
        <f t="shared" si="108"/>
        <v>1.1777952755905512</v>
      </c>
      <c r="R1752">
        <f t="shared" si="109"/>
        <v>0</v>
      </c>
      <c r="S1752">
        <f t="shared" si="110"/>
        <v>0</v>
      </c>
      <c r="T1752">
        <f t="shared" si="111"/>
        <v>0</v>
      </c>
      <c r="U1752" t="str">
        <f>YEAR('Campaign Data'!$A1752)&amp;"-"&amp;TEXT(MONTH('Campaign Data'!$A1752),"00")</f>
        <v>2026-04</v>
      </c>
    </row>
    <row r="1753" spans="1:21" x14ac:dyDescent="0.25">
      <c r="A1753">
        <v>46118</v>
      </c>
      <c r="B1753" t="s">
        <v>67</v>
      </c>
      <c r="C1753" t="s">
        <v>68</v>
      </c>
      <c r="D1753" t="s">
        <v>69</v>
      </c>
      <c r="E1753" t="s">
        <v>49</v>
      </c>
      <c r="F1753" t="s">
        <v>34</v>
      </c>
      <c r="G1753" t="s">
        <v>70</v>
      </c>
      <c r="H1753" t="s">
        <v>90</v>
      </c>
      <c r="I1753" t="s">
        <v>37</v>
      </c>
      <c r="J1753" t="s">
        <v>87</v>
      </c>
      <c r="K1753">
        <v>9472</v>
      </c>
      <c r="L1753">
        <v>371</v>
      </c>
      <c r="M1753">
        <v>181.27</v>
      </c>
      <c r="N1753">
        <v>17</v>
      </c>
      <c r="O1753">
        <v>616.84</v>
      </c>
      <c r="P1753">
        <f t="shared" si="108"/>
        <v>3.9168074324324322E-2</v>
      </c>
      <c r="Q1753">
        <f t="shared" si="108"/>
        <v>0.48859838274932615</v>
      </c>
      <c r="R1753">
        <f t="shared" si="109"/>
        <v>10.662941176470589</v>
      </c>
      <c r="S1753">
        <f t="shared" si="110"/>
        <v>3.4028796822419594</v>
      </c>
      <c r="T1753">
        <f t="shared" si="111"/>
        <v>4.5822102425876012E-2</v>
      </c>
      <c r="U1753" t="str">
        <f>YEAR('Campaign Data'!$A1753)&amp;"-"&amp;TEXT(MONTH('Campaign Data'!$A1753),"00")</f>
        <v>2026-04</v>
      </c>
    </row>
    <row r="1754" spans="1:21" x14ac:dyDescent="0.25">
      <c r="A1754">
        <v>46118</v>
      </c>
      <c r="B1754" t="s">
        <v>116</v>
      </c>
      <c r="C1754" t="s">
        <v>117</v>
      </c>
      <c r="D1754" t="s">
        <v>48</v>
      </c>
      <c r="E1754" t="s">
        <v>24</v>
      </c>
      <c r="F1754" t="s">
        <v>43</v>
      </c>
      <c r="G1754" t="s">
        <v>26</v>
      </c>
      <c r="H1754" t="s">
        <v>55</v>
      </c>
      <c r="I1754" t="s">
        <v>28</v>
      </c>
      <c r="J1754" t="s">
        <v>62</v>
      </c>
      <c r="K1754">
        <v>4004</v>
      </c>
      <c r="L1754">
        <v>59</v>
      </c>
      <c r="M1754">
        <v>46.7</v>
      </c>
      <c r="N1754">
        <v>3</v>
      </c>
      <c r="O1754">
        <v>85.46</v>
      </c>
      <c r="P1754">
        <f t="shared" si="108"/>
        <v>1.4735264735264736E-2</v>
      </c>
      <c r="Q1754">
        <f t="shared" si="108"/>
        <v>0.79152542372881363</v>
      </c>
      <c r="R1754">
        <f t="shared" si="109"/>
        <v>15.566666666666668</v>
      </c>
      <c r="S1754">
        <f t="shared" si="110"/>
        <v>1.8299785867237686</v>
      </c>
      <c r="T1754">
        <f t="shared" si="111"/>
        <v>5.0847457627118647E-2</v>
      </c>
      <c r="U1754" t="str">
        <f>YEAR('Campaign Data'!$A1754)&amp;"-"&amp;TEXT(MONTH('Campaign Data'!$A1754),"00")</f>
        <v>2026-04</v>
      </c>
    </row>
    <row r="1755" spans="1:21" x14ac:dyDescent="0.25">
      <c r="A1755">
        <v>46118</v>
      </c>
      <c r="B1755" t="s">
        <v>163</v>
      </c>
      <c r="C1755" t="s">
        <v>164</v>
      </c>
      <c r="D1755" t="s">
        <v>58</v>
      </c>
      <c r="E1755" t="s">
        <v>42</v>
      </c>
      <c r="F1755" t="s">
        <v>43</v>
      </c>
      <c r="G1755" t="s">
        <v>44</v>
      </c>
      <c r="H1755" t="s">
        <v>27</v>
      </c>
      <c r="I1755" t="s">
        <v>37</v>
      </c>
      <c r="J1755" t="s">
        <v>45</v>
      </c>
      <c r="K1755">
        <v>11416</v>
      </c>
      <c r="L1755">
        <v>66</v>
      </c>
      <c r="M1755">
        <v>358.53</v>
      </c>
      <c r="N1755">
        <v>3</v>
      </c>
      <c r="O1755">
        <v>71.989999999999995</v>
      </c>
      <c r="P1755">
        <f t="shared" si="108"/>
        <v>5.7813594954449895E-3</v>
      </c>
      <c r="Q1755">
        <f t="shared" si="108"/>
        <v>5.4322727272727267</v>
      </c>
      <c r="R1755">
        <f t="shared" si="109"/>
        <v>119.50999999999999</v>
      </c>
      <c r="S1755">
        <f t="shared" si="110"/>
        <v>0.20079212339274258</v>
      </c>
      <c r="T1755">
        <f t="shared" si="111"/>
        <v>4.5454545454545456E-2</v>
      </c>
      <c r="U1755" t="str">
        <f>YEAR('Campaign Data'!$A1755)&amp;"-"&amp;TEXT(MONTH('Campaign Data'!$A1755),"00")</f>
        <v>2026-04</v>
      </c>
    </row>
    <row r="1756" spans="1:21" x14ac:dyDescent="0.25">
      <c r="A1756">
        <v>46118</v>
      </c>
      <c r="B1756" t="s">
        <v>76</v>
      </c>
      <c r="C1756" t="s">
        <v>77</v>
      </c>
      <c r="D1756" t="s">
        <v>65</v>
      </c>
      <c r="E1756" t="s">
        <v>42</v>
      </c>
      <c r="F1756" t="s">
        <v>43</v>
      </c>
      <c r="G1756" t="s">
        <v>44</v>
      </c>
      <c r="H1756" t="s">
        <v>71</v>
      </c>
      <c r="I1756" t="s">
        <v>37</v>
      </c>
      <c r="J1756" t="s">
        <v>45</v>
      </c>
      <c r="K1756">
        <v>7786</v>
      </c>
      <c r="L1756">
        <v>33</v>
      </c>
      <c r="M1756">
        <v>144.19999999999999</v>
      </c>
      <c r="N1756">
        <v>0</v>
      </c>
      <c r="O1756">
        <v>0</v>
      </c>
      <c r="P1756">
        <f t="shared" si="108"/>
        <v>4.2383765733367586E-3</v>
      </c>
      <c r="Q1756">
        <f t="shared" si="108"/>
        <v>4.3696969696969692</v>
      </c>
      <c r="R1756">
        <f t="shared" si="109"/>
        <v>0</v>
      </c>
      <c r="S1756">
        <f t="shared" si="110"/>
        <v>0</v>
      </c>
      <c r="T1756">
        <f t="shared" si="111"/>
        <v>0</v>
      </c>
      <c r="U1756" t="str">
        <f>YEAR('Campaign Data'!$A1756)&amp;"-"&amp;TEXT(MONTH('Campaign Data'!$A1756),"00")</f>
        <v>2026-04</v>
      </c>
    </row>
    <row r="1757" spans="1:21" x14ac:dyDescent="0.25">
      <c r="A1757">
        <v>46118</v>
      </c>
      <c r="B1757" t="s">
        <v>76</v>
      </c>
      <c r="C1757" t="s">
        <v>77</v>
      </c>
      <c r="D1757" t="s">
        <v>65</v>
      </c>
      <c r="E1757" t="s">
        <v>42</v>
      </c>
      <c r="F1757" t="s">
        <v>43</v>
      </c>
      <c r="G1757" t="s">
        <v>44</v>
      </c>
      <c r="H1757" t="s">
        <v>60</v>
      </c>
      <c r="I1757" t="s">
        <v>28</v>
      </c>
      <c r="J1757" t="s">
        <v>87</v>
      </c>
      <c r="K1757">
        <v>1600</v>
      </c>
      <c r="L1757">
        <v>4</v>
      </c>
      <c r="M1757">
        <v>27.85</v>
      </c>
      <c r="N1757">
        <v>0</v>
      </c>
      <c r="O1757">
        <v>0</v>
      </c>
      <c r="P1757">
        <f t="shared" si="108"/>
        <v>2.5000000000000001E-3</v>
      </c>
      <c r="Q1757">
        <f t="shared" si="108"/>
        <v>6.9625000000000004</v>
      </c>
      <c r="R1757">
        <f t="shared" si="109"/>
        <v>0</v>
      </c>
      <c r="S1757">
        <f t="shared" si="110"/>
        <v>0</v>
      </c>
      <c r="T1757">
        <f t="shared" si="111"/>
        <v>0</v>
      </c>
      <c r="U1757" t="str">
        <f>YEAR('Campaign Data'!$A1757)&amp;"-"&amp;TEXT(MONTH('Campaign Data'!$A1757),"00")</f>
        <v>2026-04</v>
      </c>
    </row>
    <row r="1758" spans="1:21" x14ac:dyDescent="0.25">
      <c r="A1758">
        <v>46118</v>
      </c>
      <c r="B1758" t="s">
        <v>122</v>
      </c>
      <c r="C1758" t="s">
        <v>123</v>
      </c>
      <c r="D1758" t="s">
        <v>41</v>
      </c>
      <c r="E1758" t="s">
        <v>33</v>
      </c>
      <c r="F1758" t="s">
        <v>75</v>
      </c>
      <c r="G1758" t="s">
        <v>35</v>
      </c>
      <c r="H1758" t="s">
        <v>90</v>
      </c>
      <c r="I1758" t="s">
        <v>37</v>
      </c>
      <c r="J1758" t="s">
        <v>29</v>
      </c>
      <c r="K1758">
        <v>7827</v>
      </c>
      <c r="L1758">
        <v>66</v>
      </c>
      <c r="M1758">
        <v>11.55</v>
      </c>
      <c r="N1758">
        <v>1</v>
      </c>
      <c r="O1758">
        <v>13.93</v>
      </c>
      <c r="P1758">
        <f t="shared" si="108"/>
        <v>8.4323495592180907E-3</v>
      </c>
      <c r="Q1758">
        <f t="shared" si="108"/>
        <v>0.17500000000000002</v>
      </c>
      <c r="R1758">
        <f t="shared" si="109"/>
        <v>11.55</v>
      </c>
      <c r="S1758">
        <f t="shared" si="110"/>
        <v>1.2060606060606061</v>
      </c>
      <c r="T1758">
        <f t="shared" si="111"/>
        <v>1.5151515151515152E-2</v>
      </c>
      <c r="U1758" t="str">
        <f>YEAR('Campaign Data'!$A1758)&amp;"-"&amp;TEXT(MONTH('Campaign Data'!$A1758),"00")</f>
        <v>2026-04</v>
      </c>
    </row>
    <row r="1759" spans="1:21" x14ac:dyDescent="0.25">
      <c r="A1759">
        <v>46119</v>
      </c>
      <c r="B1759" t="s">
        <v>21</v>
      </c>
      <c r="C1759" t="s">
        <v>124</v>
      </c>
      <c r="D1759" t="s">
        <v>23</v>
      </c>
      <c r="E1759" t="s">
        <v>24</v>
      </c>
      <c r="F1759" t="s">
        <v>25</v>
      </c>
      <c r="G1759" t="s">
        <v>26</v>
      </c>
      <c r="H1759" t="s">
        <v>51</v>
      </c>
      <c r="I1759" t="s">
        <v>37</v>
      </c>
      <c r="J1759" t="s">
        <v>38</v>
      </c>
      <c r="K1759">
        <v>3411</v>
      </c>
      <c r="L1759">
        <v>42</v>
      </c>
      <c r="M1759">
        <v>38.58</v>
      </c>
      <c r="N1759">
        <v>0</v>
      </c>
      <c r="O1759">
        <v>0</v>
      </c>
      <c r="P1759">
        <f t="shared" si="108"/>
        <v>1.2313104661389622E-2</v>
      </c>
      <c r="Q1759">
        <f t="shared" si="108"/>
        <v>0.91857142857142848</v>
      </c>
      <c r="R1759">
        <f t="shared" si="109"/>
        <v>0</v>
      </c>
      <c r="S1759">
        <f t="shared" si="110"/>
        <v>0</v>
      </c>
      <c r="T1759">
        <f t="shared" si="111"/>
        <v>0</v>
      </c>
      <c r="U1759" t="str">
        <f>YEAR('Campaign Data'!$A1759)&amp;"-"&amp;TEXT(MONTH('Campaign Data'!$A1759),"00")</f>
        <v>2026-04</v>
      </c>
    </row>
    <row r="1760" spans="1:21" x14ac:dyDescent="0.25">
      <c r="A1760">
        <v>46119</v>
      </c>
      <c r="B1760" t="s">
        <v>147</v>
      </c>
      <c r="C1760" t="s">
        <v>148</v>
      </c>
      <c r="D1760" t="s">
        <v>23</v>
      </c>
      <c r="E1760" t="s">
        <v>42</v>
      </c>
      <c r="F1760" t="s">
        <v>75</v>
      </c>
      <c r="G1760" t="s">
        <v>44</v>
      </c>
      <c r="H1760" t="s">
        <v>90</v>
      </c>
      <c r="I1760" t="s">
        <v>37</v>
      </c>
      <c r="J1760" t="s">
        <v>45</v>
      </c>
      <c r="K1760">
        <v>3471</v>
      </c>
      <c r="L1760">
        <v>17</v>
      </c>
      <c r="M1760">
        <v>30.39</v>
      </c>
      <c r="N1760">
        <v>0</v>
      </c>
      <c r="O1760">
        <v>0</v>
      </c>
      <c r="P1760">
        <f t="shared" si="108"/>
        <v>4.8977239988475946E-3</v>
      </c>
      <c r="Q1760">
        <f t="shared" si="108"/>
        <v>1.7876470588235294</v>
      </c>
      <c r="R1760">
        <f t="shared" si="109"/>
        <v>0</v>
      </c>
      <c r="S1760">
        <f t="shared" si="110"/>
        <v>0</v>
      </c>
      <c r="T1760">
        <f t="shared" si="111"/>
        <v>0</v>
      </c>
      <c r="U1760" t="str">
        <f>YEAR('Campaign Data'!$A1760)&amp;"-"&amp;TEXT(MONTH('Campaign Data'!$A1760),"00")</f>
        <v>2026-04</v>
      </c>
    </row>
    <row r="1761" spans="1:21" x14ac:dyDescent="0.25">
      <c r="A1761">
        <v>46119</v>
      </c>
      <c r="B1761" t="s">
        <v>138</v>
      </c>
      <c r="C1761" t="s">
        <v>139</v>
      </c>
      <c r="D1761" t="s">
        <v>58</v>
      </c>
      <c r="E1761" t="s">
        <v>74</v>
      </c>
      <c r="F1761" t="s">
        <v>34</v>
      </c>
      <c r="G1761" t="s">
        <v>9</v>
      </c>
      <c r="H1761" t="s">
        <v>36</v>
      </c>
      <c r="I1761" t="s">
        <v>37</v>
      </c>
      <c r="J1761" t="s">
        <v>45</v>
      </c>
      <c r="K1761">
        <v>21626</v>
      </c>
      <c r="L1761">
        <v>347</v>
      </c>
      <c r="M1761">
        <v>638.44000000000005</v>
      </c>
      <c r="N1761">
        <v>12</v>
      </c>
      <c r="O1761">
        <v>1329.12</v>
      </c>
      <c r="P1761">
        <f t="shared" si="108"/>
        <v>1.6045500786090818E-2</v>
      </c>
      <c r="Q1761">
        <f t="shared" si="108"/>
        <v>1.8398847262247839</v>
      </c>
      <c r="R1761">
        <f t="shared" si="109"/>
        <v>53.20333333333334</v>
      </c>
      <c r="S1761">
        <f t="shared" si="110"/>
        <v>2.0818244470897809</v>
      </c>
      <c r="T1761">
        <f t="shared" si="111"/>
        <v>3.4582132564841501E-2</v>
      </c>
      <c r="U1761" t="str">
        <f>YEAR('Campaign Data'!$A1761)&amp;"-"&amp;TEXT(MONTH('Campaign Data'!$A1761),"00")</f>
        <v>2026-04</v>
      </c>
    </row>
    <row r="1762" spans="1:21" x14ac:dyDescent="0.25">
      <c r="A1762">
        <v>46119</v>
      </c>
      <c r="B1762" t="s">
        <v>91</v>
      </c>
      <c r="C1762" t="s">
        <v>92</v>
      </c>
      <c r="D1762" t="s">
        <v>41</v>
      </c>
      <c r="E1762" t="s">
        <v>74</v>
      </c>
      <c r="F1762" t="s">
        <v>75</v>
      </c>
      <c r="G1762" t="s">
        <v>9</v>
      </c>
      <c r="H1762" t="s">
        <v>71</v>
      </c>
      <c r="I1762" t="s">
        <v>61</v>
      </c>
      <c r="J1762" t="s">
        <v>45</v>
      </c>
      <c r="K1762">
        <v>6823</v>
      </c>
      <c r="L1762">
        <v>239</v>
      </c>
      <c r="M1762">
        <v>342.8</v>
      </c>
      <c r="N1762">
        <v>13</v>
      </c>
      <c r="O1762">
        <v>319.3</v>
      </c>
      <c r="P1762">
        <f t="shared" si="108"/>
        <v>3.502857980360545E-2</v>
      </c>
      <c r="Q1762">
        <f t="shared" si="108"/>
        <v>1.4343096234309625</v>
      </c>
      <c r="R1762">
        <f t="shared" si="109"/>
        <v>26.369230769230771</v>
      </c>
      <c r="S1762">
        <f t="shared" si="110"/>
        <v>0.93144690781796968</v>
      </c>
      <c r="T1762">
        <f t="shared" si="111"/>
        <v>5.4393305439330547E-2</v>
      </c>
      <c r="U1762" t="str">
        <f>YEAR('Campaign Data'!$A1762)&amp;"-"&amp;TEXT(MONTH('Campaign Data'!$A1762),"00")</f>
        <v>2026-04</v>
      </c>
    </row>
    <row r="1763" spans="1:21" x14ac:dyDescent="0.25">
      <c r="A1763">
        <v>46119</v>
      </c>
      <c r="B1763" t="s">
        <v>30</v>
      </c>
      <c r="C1763" t="s">
        <v>31</v>
      </c>
      <c r="D1763" t="s">
        <v>32</v>
      </c>
      <c r="E1763" t="s">
        <v>33</v>
      </c>
      <c r="F1763" t="s">
        <v>34</v>
      </c>
      <c r="G1763" t="s">
        <v>35</v>
      </c>
      <c r="H1763" t="s">
        <v>27</v>
      </c>
      <c r="I1763" t="s">
        <v>37</v>
      </c>
      <c r="J1763" t="s">
        <v>62</v>
      </c>
      <c r="K1763">
        <v>5854</v>
      </c>
      <c r="L1763">
        <v>69</v>
      </c>
      <c r="M1763">
        <v>52.92</v>
      </c>
      <c r="N1763">
        <v>1</v>
      </c>
      <c r="O1763">
        <v>242.38</v>
      </c>
      <c r="P1763">
        <f t="shared" si="108"/>
        <v>1.1786812435941237E-2</v>
      </c>
      <c r="Q1763">
        <f t="shared" si="108"/>
        <v>0.76695652173913043</v>
      </c>
      <c r="R1763">
        <f t="shared" si="109"/>
        <v>52.92</v>
      </c>
      <c r="S1763">
        <f t="shared" si="110"/>
        <v>4.5801209372637945</v>
      </c>
      <c r="T1763">
        <f t="shared" si="111"/>
        <v>1.4492753623188406E-2</v>
      </c>
      <c r="U1763" t="str">
        <f>YEAR('Campaign Data'!$A1763)&amp;"-"&amp;TEXT(MONTH('Campaign Data'!$A1763),"00")</f>
        <v>2026-04</v>
      </c>
    </row>
    <row r="1764" spans="1:21" x14ac:dyDescent="0.25">
      <c r="A1764">
        <v>46119</v>
      </c>
      <c r="B1764" t="s">
        <v>46</v>
      </c>
      <c r="C1764" t="s">
        <v>47</v>
      </c>
      <c r="D1764" t="s">
        <v>48</v>
      </c>
      <c r="E1764" t="s">
        <v>49</v>
      </c>
      <c r="F1764" t="s">
        <v>43</v>
      </c>
      <c r="G1764" t="s">
        <v>50</v>
      </c>
      <c r="H1764" t="s">
        <v>90</v>
      </c>
      <c r="I1764" t="s">
        <v>28</v>
      </c>
      <c r="J1764" t="s">
        <v>87</v>
      </c>
      <c r="K1764">
        <v>10435</v>
      </c>
      <c r="L1764">
        <v>468</v>
      </c>
      <c r="M1764">
        <v>244.88</v>
      </c>
      <c r="N1764">
        <v>17</v>
      </c>
      <c r="O1764">
        <v>140.80000000000001</v>
      </c>
      <c r="P1764">
        <f t="shared" si="108"/>
        <v>4.4849065644465738E-2</v>
      </c>
      <c r="Q1764">
        <f t="shared" si="108"/>
        <v>0.52324786324786321</v>
      </c>
      <c r="R1764">
        <f t="shared" si="109"/>
        <v>14.404705882352941</v>
      </c>
      <c r="S1764">
        <f t="shared" si="110"/>
        <v>0.5749754982032016</v>
      </c>
      <c r="T1764">
        <f t="shared" si="111"/>
        <v>3.6324786324786328E-2</v>
      </c>
      <c r="U1764" t="str">
        <f>YEAR('Campaign Data'!$A1764)&amp;"-"&amp;TEXT(MONTH('Campaign Data'!$A1764),"00")</f>
        <v>2026-04</v>
      </c>
    </row>
    <row r="1765" spans="1:21" x14ac:dyDescent="0.25">
      <c r="A1765">
        <v>46119</v>
      </c>
      <c r="B1765" t="s">
        <v>179</v>
      </c>
      <c r="C1765" t="s">
        <v>180</v>
      </c>
      <c r="D1765" t="s">
        <v>58</v>
      </c>
      <c r="E1765" t="s">
        <v>42</v>
      </c>
      <c r="F1765" t="s">
        <v>25</v>
      </c>
      <c r="G1765" t="s">
        <v>54</v>
      </c>
      <c r="H1765" t="s">
        <v>60</v>
      </c>
      <c r="I1765" t="s">
        <v>37</v>
      </c>
      <c r="J1765" t="s">
        <v>87</v>
      </c>
      <c r="K1765">
        <v>5999</v>
      </c>
      <c r="L1765">
        <v>34</v>
      </c>
      <c r="M1765">
        <v>268.19</v>
      </c>
      <c r="N1765">
        <v>1</v>
      </c>
      <c r="O1765">
        <v>90.42</v>
      </c>
      <c r="P1765">
        <f t="shared" si="108"/>
        <v>5.6676112685447571E-3</v>
      </c>
      <c r="Q1765">
        <f t="shared" si="108"/>
        <v>7.887941176470588</v>
      </c>
      <c r="R1765">
        <f t="shared" si="109"/>
        <v>268.19</v>
      </c>
      <c r="S1765">
        <f t="shared" si="110"/>
        <v>0.33714903613110109</v>
      </c>
      <c r="T1765">
        <f t="shared" si="111"/>
        <v>2.9411764705882353E-2</v>
      </c>
      <c r="U1765" t="str">
        <f>YEAR('Campaign Data'!$A1765)&amp;"-"&amp;TEXT(MONTH('Campaign Data'!$A1765),"00")</f>
        <v>2026-04</v>
      </c>
    </row>
    <row r="1766" spans="1:21" x14ac:dyDescent="0.25">
      <c r="A1766">
        <v>46119</v>
      </c>
      <c r="B1766" t="s">
        <v>171</v>
      </c>
      <c r="C1766" t="s">
        <v>172</v>
      </c>
      <c r="D1766" t="s">
        <v>23</v>
      </c>
      <c r="E1766" t="s">
        <v>33</v>
      </c>
      <c r="F1766" t="s">
        <v>75</v>
      </c>
      <c r="G1766" t="s">
        <v>59</v>
      </c>
      <c r="H1766" t="s">
        <v>27</v>
      </c>
      <c r="I1766" t="s">
        <v>37</v>
      </c>
      <c r="J1766" t="s">
        <v>38</v>
      </c>
      <c r="K1766">
        <v>5384</v>
      </c>
      <c r="L1766">
        <v>63</v>
      </c>
      <c r="M1766">
        <v>49.92</v>
      </c>
      <c r="N1766">
        <v>0</v>
      </c>
      <c r="O1766">
        <v>0</v>
      </c>
      <c r="P1766">
        <f t="shared" si="108"/>
        <v>1.1701337295690936E-2</v>
      </c>
      <c r="Q1766">
        <f t="shared" si="108"/>
        <v>0.79238095238095241</v>
      </c>
      <c r="R1766">
        <f t="shared" si="109"/>
        <v>0</v>
      </c>
      <c r="S1766">
        <f t="shared" si="110"/>
        <v>0</v>
      </c>
      <c r="T1766">
        <f t="shared" si="111"/>
        <v>0</v>
      </c>
      <c r="U1766" t="str">
        <f>YEAR('Campaign Data'!$A1766)&amp;"-"&amp;TEXT(MONTH('Campaign Data'!$A1766),"00")</f>
        <v>2026-04</v>
      </c>
    </row>
    <row r="1767" spans="1:21" x14ac:dyDescent="0.25">
      <c r="A1767">
        <v>46119</v>
      </c>
      <c r="B1767" t="s">
        <v>140</v>
      </c>
      <c r="C1767" t="s">
        <v>40</v>
      </c>
      <c r="D1767" t="s">
        <v>41</v>
      </c>
      <c r="E1767" t="s">
        <v>42</v>
      </c>
      <c r="F1767" t="s">
        <v>43</v>
      </c>
      <c r="G1767" t="s">
        <v>44</v>
      </c>
      <c r="H1767" t="s">
        <v>90</v>
      </c>
      <c r="I1767" t="s">
        <v>61</v>
      </c>
      <c r="J1767" t="s">
        <v>29</v>
      </c>
      <c r="K1767">
        <v>4982</v>
      </c>
      <c r="L1767">
        <v>28</v>
      </c>
      <c r="M1767">
        <v>44.14</v>
      </c>
      <c r="N1767">
        <v>1</v>
      </c>
      <c r="O1767">
        <v>5</v>
      </c>
      <c r="P1767">
        <f t="shared" si="108"/>
        <v>5.6202328382175832E-3</v>
      </c>
      <c r="Q1767">
        <f t="shared" si="108"/>
        <v>1.5764285714285715</v>
      </c>
      <c r="R1767">
        <f t="shared" si="109"/>
        <v>44.14</v>
      </c>
      <c r="S1767">
        <f t="shared" si="110"/>
        <v>0.11327594019030358</v>
      </c>
      <c r="T1767">
        <f t="shared" si="111"/>
        <v>3.5714285714285712E-2</v>
      </c>
      <c r="U1767" t="str">
        <f>YEAR('Campaign Data'!$A1767)&amp;"-"&amp;TEXT(MONTH('Campaign Data'!$A1767),"00")</f>
        <v>2026-04</v>
      </c>
    </row>
    <row r="1768" spans="1:21" x14ac:dyDescent="0.25">
      <c r="A1768">
        <v>46119</v>
      </c>
      <c r="B1768" t="s">
        <v>110</v>
      </c>
      <c r="C1768" t="s">
        <v>111</v>
      </c>
      <c r="D1768" t="s">
        <v>23</v>
      </c>
      <c r="E1768" t="s">
        <v>49</v>
      </c>
      <c r="F1768" t="s">
        <v>34</v>
      </c>
      <c r="G1768" t="s">
        <v>50</v>
      </c>
      <c r="H1768" t="s">
        <v>27</v>
      </c>
      <c r="I1768" t="s">
        <v>28</v>
      </c>
      <c r="J1768" t="s">
        <v>38</v>
      </c>
      <c r="K1768">
        <v>54507</v>
      </c>
      <c r="L1768">
        <v>1830</v>
      </c>
      <c r="M1768">
        <v>4972.88</v>
      </c>
      <c r="N1768">
        <v>136</v>
      </c>
      <c r="O1768">
        <v>17148.21</v>
      </c>
      <c r="P1768">
        <f t="shared" si="108"/>
        <v>3.3573669436953051E-2</v>
      </c>
      <c r="Q1768">
        <f t="shared" si="108"/>
        <v>2.7174207650273225</v>
      </c>
      <c r="R1768">
        <f t="shared" si="109"/>
        <v>36.565294117647056</v>
      </c>
      <c r="S1768">
        <f t="shared" si="110"/>
        <v>3.4483458277698231</v>
      </c>
      <c r="T1768">
        <f t="shared" si="111"/>
        <v>7.4316939890710379E-2</v>
      </c>
      <c r="U1768" t="str">
        <f>YEAR('Campaign Data'!$A1768)&amp;"-"&amp;TEXT(MONTH('Campaign Data'!$A1768),"00")</f>
        <v>2026-04</v>
      </c>
    </row>
    <row r="1769" spans="1:21" x14ac:dyDescent="0.25">
      <c r="A1769">
        <v>46119</v>
      </c>
      <c r="B1769" t="s">
        <v>155</v>
      </c>
      <c r="C1769" t="s">
        <v>156</v>
      </c>
      <c r="D1769" t="s">
        <v>32</v>
      </c>
      <c r="E1769" t="s">
        <v>24</v>
      </c>
      <c r="F1769" t="s">
        <v>34</v>
      </c>
      <c r="G1769" t="s">
        <v>129</v>
      </c>
      <c r="H1769" t="s">
        <v>60</v>
      </c>
      <c r="I1769" t="s">
        <v>37</v>
      </c>
      <c r="J1769" t="s">
        <v>62</v>
      </c>
      <c r="K1769">
        <v>5884</v>
      </c>
      <c r="L1769">
        <v>93</v>
      </c>
      <c r="M1769">
        <v>86.08</v>
      </c>
      <c r="N1769">
        <v>2</v>
      </c>
      <c r="O1769">
        <v>210.22</v>
      </c>
      <c r="P1769">
        <f t="shared" si="108"/>
        <v>1.5805574439157036E-2</v>
      </c>
      <c r="Q1769">
        <f t="shared" si="108"/>
        <v>0.92559139784946232</v>
      </c>
      <c r="R1769">
        <f t="shared" si="109"/>
        <v>43.04</v>
      </c>
      <c r="S1769">
        <f t="shared" si="110"/>
        <v>2.4421468401486988</v>
      </c>
      <c r="T1769">
        <f t="shared" si="111"/>
        <v>2.1505376344086023E-2</v>
      </c>
      <c r="U1769" t="str">
        <f>YEAR('Campaign Data'!$A1769)&amp;"-"&amp;TEXT(MONTH('Campaign Data'!$A1769),"00")</f>
        <v>2026-04</v>
      </c>
    </row>
    <row r="1770" spans="1:21" x14ac:dyDescent="0.25">
      <c r="A1770">
        <v>46119</v>
      </c>
      <c r="B1770" t="s">
        <v>114</v>
      </c>
      <c r="C1770" t="s">
        <v>115</v>
      </c>
      <c r="D1770" t="s">
        <v>69</v>
      </c>
      <c r="E1770" t="s">
        <v>49</v>
      </c>
      <c r="F1770" t="s">
        <v>25</v>
      </c>
      <c r="G1770" t="s">
        <v>107</v>
      </c>
      <c r="H1770" t="s">
        <v>60</v>
      </c>
      <c r="I1770" t="s">
        <v>37</v>
      </c>
      <c r="J1770" t="s">
        <v>38</v>
      </c>
      <c r="K1770">
        <v>12288</v>
      </c>
      <c r="L1770">
        <v>913</v>
      </c>
      <c r="M1770">
        <v>1378.49</v>
      </c>
      <c r="N1770">
        <v>48</v>
      </c>
      <c r="O1770">
        <v>9123.0300000000007</v>
      </c>
      <c r="P1770">
        <f t="shared" si="108"/>
        <v>7.4300130208333329E-2</v>
      </c>
      <c r="Q1770">
        <f t="shared" si="108"/>
        <v>1.5098466593647317</v>
      </c>
      <c r="R1770">
        <f t="shared" si="109"/>
        <v>28.718541666666667</v>
      </c>
      <c r="S1770">
        <f t="shared" si="110"/>
        <v>6.6181328845330762</v>
      </c>
      <c r="T1770">
        <f t="shared" si="111"/>
        <v>5.257393209200438E-2</v>
      </c>
      <c r="U1770" t="str">
        <f>YEAR('Campaign Data'!$A1770)&amp;"-"&amp;TEXT(MONTH('Campaign Data'!$A1770),"00")</f>
        <v>2026-04</v>
      </c>
    </row>
    <row r="1771" spans="1:21" x14ac:dyDescent="0.25">
      <c r="A1771">
        <v>46119</v>
      </c>
      <c r="B1771" t="s">
        <v>143</v>
      </c>
      <c r="C1771" t="s">
        <v>144</v>
      </c>
      <c r="D1771" t="s">
        <v>48</v>
      </c>
      <c r="E1771" t="s">
        <v>42</v>
      </c>
      <c r="F1771" t="s">
        <v>25</v>
      </c>
      <c r="G1771" t="s">
        <v>84</v>
      </c>
      <c r="H1771" t="s">
        <v>27</v>
      </c>
      <c r="I1771" t="s">
        <v>37</v>
      </c>
      <c r="J1771" t="s">
        <v>29</v>
      </c>
      <c r="K1771">
        <v>25312</v>
      </c>
      <c r="L1771">
        <v>128</v>
      </c>
      <c r="M1771">
        <v>912.25</v>
      </c>
      <c r="N1771">
        <v>2</v>
      </c>
      <c r="O1771">
        <v>386.88</v>
      </c>
      <c r="P1771">
        <f t="shared" si="108"/>
        <v>5.0568900126422255E-3</v>
      </c>
      <c r="Q1771">
        <f t="shared" si="108"/>
        <v>7.126953125</v>
      </c>
      <c r="R1771">
        <f t="shared" si="109"/>
        <v>456.125</v>
      </c>
      <c r="S1771">
        <f t="shared" si="110"/>
        <v>0.4240942724033982</v>
      </c>
      <c r="T1771">
        <f t="shared" si="111"/>
        <v>1.5625E-2</v>
      </c>
      <c r="U1771" t="str">
        <f>YEAR('Campaign Data'!$A1771)&amp;"-"&amp;TEXT(MONTH('Campaign Data'!$A1771),"00")</f>
        <v>2026-04</v>
      </c>
    </row>
    <row r="1772" spans="1:21" x14ac:dyDescent="0.25">
      <c r="A1772">
        <v>46119</v>
      </c>
      <c r="B1772" t="s">
        <v>143</v>
      </c>
      <c r="C1772" t="s">
        <v>144</v>
      </c>
      <c r="D1772" t="s">
        <v>48</v>
      </c>
      <c r="E1772" t="s">
        <v>42</v>
      </c>
      <c r="F1772" t="s">
        <v>25</v>
      </c>
      <c r="G1772" t="s">
        <v>84</v>
      </c>
      <c r="H1772" t="s">
        <v>27</v>
      </c>
      <c r="I1772" t="s">
        <v>37</v>
      </c>
      <c r="J1772" t="s">
        <v>38</v>
      </c>
      <c r="K1772">
        <v>4691</v>
      </c>
      <c r="L1772">
        <v>22</v>
      </c>
      <c r="M1772">
        <v>167.51</v>
      </c>
      <c r="N1772">
        <v>2</v>
      </c>
      <c r="O1772">
        <v>277.2</v>
      </c>
      <c r="P1772">
        <f t="shared" si="108"/>
        <v>4.6898315924109998E-3</v>
      </c>
      <c r="Q1772">
        <f t="shared" si="108"/>
        <v>7.6140909090909084</v>
      </c>
      <c r="R1772">
        <f t="shared" si="109"/>
        <v>83.754999999999995</v>
      </c>
      <c r="S1772">
        <f t="shared" si="110"/>
        <v>1.6548265775177602</v>
      </c>
      <c r="T1772">
        <f t="shared" si="111"/>
        <v>9.0909090909090912E-2</v>
      </c>
      <c r="U1772" t="str">
        <f>YEAR('Campaign Data'!$A1772)&amp;"-"&amp;TEXT(MONTH('Campaign Data'!$A1772),"00")</f>
        <v>2026-04</v>
      </c>
    </row>
    <row r="1773" spans="1:21" x14ac:dyDescent="0.25">
      <c r="A1773">
        <v>46119</v>
      </c>
      <c r="B1773" t="s">
        <v>63</v>
      </c>
      <c r="C1773" t="s">
        <v>64</v>
      </c>
      <c r="D1773" t="s">
        <v>65</v>
      </c>
      <c r="E1773" t="s">
        <v>24</v>
      </c>
      <c r="F1773" t="s">
        <v>43</v>
      </c>
      <c r="G1773" t="s">
        <v>66</v>
      </c>
      <c r="H1773" t="s">
        <v>71</v>
      </c>
      <c r="I1773" t="s">
        <v>37</v>
      </c>
      <c r="J1773" t="s">
        <v>38</v>
      </c>
      <c r="K1773">
        <v>3547</v>
      </c>
      <c r="L1773">
        <v>43</v>
      </c>
      <c r="M1773">
        <v>33.92</v>
      </c>
      <c r="N1773">
        <v>3</v>
      </c>
      <c r="O1773">
        <v>73.900000000000006</v>
      </c>
      <c r="P1773">
        <f t="shared" si="108"/>
        <v>1.2122920778122357E-2</v>
      </c>
      <c r="Q1773">
        <f t="shared" si="108"/>
        <v>0.78883720930232559</v>
      </c>
      <c r="R1773">
        <f t="shared" si="109"/>
        <v>11.306666666666667</v>
      </c>
      <c r="S1773">
        <f t="shared" si="110"/>
        <v>2.1786556603773586</v>
      </c>
      <c r="T1773">
        <f t="shared" si="111"/>
        <v>6.9767441860465115E-2</v>
      </c>
      <c r="U1773" t="str">
        <f>YEAR('Campaign Data'!$A1773)&amp;"-"&amp;TEXT(MONTH('Campaign Data'!$A1773),"00")</f>
        <v>2026-04</v>
      </c>
    </row>
    <row r="1774" spans="1:21" x14ac:dyDescent="0.25">
      <c r="A1774">
        <v>46119</v>
      </c>
      <c r="B1774" t="s">
        <v>67</v>
      </c>
      <c r="C1774" t="s">
        <v>68</v>
      </c>
      <c r="D1774" t="s">
        <v>69</v>
      </c>
      <c r="E1774" t="s">
        <v>49</v>
      </c>
      <c r="F1774" t="s">
        <v>34</v>
      </c>
      <c r="G1774" t="s">
        <v>70</v>
      </c>
      <c r="H1774" t="s">
        <v>36</v>
      </c>
      <c r="I1774" t="s">
        <v>37</v>
      </c>
      <c r="J1774" t="s">
        <v>87</v>
      </c>
      <c r="K1774">
        <v>13743</v>
      </c>
      <c r="L1774">
        <v>692</v>
      </c>
      <c r="M1774">
        <v>1298.44</v>
      </c>
      <c r="N1774">
        <v>24</v>
      </c>
      <c r="O1774">
        <v>2507.83</v>
      </c>
      <c r="P1774">
        <f t="shared" si="108"/>
        <v>5.0352906934439348E-2</v>
      </c>
      <c r="Q1774">
        <f t="shared" si="108"/>
        <v>1.8763583815028904</v>
      </c>
      <c r="R1774">
        <f t="shared" si="109"/>
        <v>54.101666666666667</v>
      </c>
      <c r="S1774">
        <f t="shared" si="110"/>
        <v>1.9314177012414897</v>
      </c>
      <c r="T1774">
        <f t="shared" si="111"/>
        <v>3.4682080924855488E-2</v>
      </c>
      <c r="U1774" t="str">
        <f>YEAR('Campaign Data'!$A1774)&amp;"-"&amp;TEXT(MONTH('Campaign Data'!$A1774),"00")</f>
        <v>2026-04</v>
      </c>
    </row>
    <row r="1775" spans="1:21" x14ac:dyDescent="0.25">
      <c r="A1775">
        <v>46119</v>
      </c>
      <c r="B1775" t="s">
        <v>118</v>
      </c>
      <c r="C1775" t="s">
        <v>119</v>
      </c>
      <c r="D1775" t="s">
        <v>69</v>
      </c>
      <c r="E1775" t="s">
        <v>33</v>
      </c>
      <c r="F1775" t="s">
        <v>34</v>
      </c>
      <c r="G1775" t="s">
        <v>35</v>
      </c>
      <c r="H1775" t="s">
        <v>90</v>
      </c>
      <c r="I1775" t="s">
        <v>37</v>
      </c>
      <c r="J1775" t="s">
        <v>87</v>
      </c>
      <c r="K1775">
        <v>51691</v>
      </c>
      <c r="L1775">
        <v>354</v>
      </c>
      <c r="M1775">
        <v>81.92</v>
      </c>
      <c r="N1775">
        <v>5</v>
      </c>
      <c r="O1775">
        <v>209.04</v>
      </c>
      <c r="P1775">
        <f t="shared" si="108"/>
        <v>6.8483875336132014E-3</v>
      </c>
      <c r="Q1775">
        <f t="shared" si="108"/>
        <v>0.23141242937853107</v>
      </c>
      <c r="R1775">
        <f t="shared" si="109"/>
        <v>16.384</v>
      </c>
      <c r="S1775">
        <f t="shared" si="110"/>
        <v>2.5517578125</v>
      </c>
      <c r="T1775">
        <f t="shared" si="111"/>
        <v>1.4124293785310734E-2</v>
      </c>
      <c r="U1775" t="str">
        <f>YEAR('Campaign Data'!$A1775)&amp;"-"&amp;TEXT(MONTH('Campaign Data'!$A1775),"00")</f>
        <v>2026-04</v>
      </c>
    </row>
    <row r="1776" spans="1:21" x14ac:dyDescent="0.25">
      <c r="A1776">
        <v>46119</v>
      </c>
      <c r="B1776" t="s">
        <v>76</v>
      </c>
      <c r="C1776" t="s">
        <v>77</v>
      </c>
      <c r="D1776" t="s">
        <v>65</v>
      </c>
      <c r="E1776" t="s">
        <v>42</v>
      </c>
      <c r="F1776" t="s">
        <v>43</v>
      </c>
      <c r="G1776" t="s">
        <v>44</v>
      </c>
      <c r="H1776" t="s">
        <v>27</v>
      </c>
      <c r="I1776" t="s">
        <v>37</v>
      </c>
      <c r="J1776" t="s">
        <v>38</v>
      </c>
      <c r="K1776">
        <v>4225</v>
      </c>
      <c r="L1776">
        <v>22</v>
      </c>
      <c r="M1776">
        <v>201.73</v>
      </c>
      <c r="N1776">
        <v>0</v>
      </c>
      <c r="O1776">
        <v>0</v>
      </c>
      <c r="P1776">
        <f t="shared" si="108"/>
        <v>5.2071005917159767E-3</v>
      </c>
      <c r="Q1776">
        <f t="shared" si="108"/>
        <v>9.1695454545454549</v>
      </c>
      <c r="R1776">
        <f t="shared" si="109"/>
        <v>0</v>
      </c>
      <c r="S1776">
        <f t="shared" si="110"/>
        <v>0</v>
      </c>
      <c r="T1776">
        <f t="shared" si="111"/>
        <v>0</v>
      </c>
      <c r="U1776" t="str">
        <f>YEAR('Campaign Data'!$A1776)&amp;"-"&amp;TEXT(MONTH('Campaign Data'!$A1776),"00")</f>
        <v>2026-04</v>
      </c>
    </row>
    <row r="1777" spans="1:21" x14ac:dyDescent="0.25">
      <c r="A1777">
        <v>46119</v>
      </c>
      <c r="B1777" t="s">
        <v>120</v>
      </c>
      <c r="C1777" t="s">
        <v>121</v>
      </c>
      <c r="D1777" t="s">
        <v>23</v>
      </c>
      <c r="E1777" t="s">
        <v>49</v>
      </c>
      <c r="F1777" t="s">
        <v>75</v>
      </c>
      <c r="G1777" t="s">
        <v>70</v>
      </c>
      <c r="H1777" t="s">
        <v>27</v>
      </c>
      <c r="I1777" t="s">
        <v>28</v>
      </c>
      <c r="J1777" t="s">
        <v>45</v>
      </c>
      <c r="K1777">
        <v>27755</v>
      </c>
      <c r="L1777">
        <v>930</v>
      </c>
      <c r="M1777">
        <v>2476.14</v>
      </c>
      <c r="N1777">
        <v>59</v>
      </c>
      <c r="O1777">
        <v>1719.47</v>
      </c>
      <c r="P1777">
        <f t="shared" si="108"/>
        <v>3.3507476130426948E-2</v>
      </c>
      <c r="Q1777">
        <f t="shared" si="108"/>
        <v>2.6625161290322579</v>
      </c>
      <c r="R1777">
        <f t="shared" si="109"/>
        <v>41.968474576271184</v>
      </c>
      <c r="S1777">
        <f t="shared" si="110"/>
        <v>0.69441550154676235</v>
      </c>
      <c r="T1777">
        <f t="shared" si="111"/>
        <v>6.3440860215053768E-2</v>
      </c>
      <c r="U1777" t="str">
        <f>YEAR('Campaign Data'!$A1777)&amp;"-"&amp;TEXT(MONTH('Campaign Data'!$A1777),"00")</f>
        <v>2026-04</v>
      </c>
    </row>
    <row r="1778" spans="1:21" x14ac:dyDescent="0.25">
      <c r="A1778">
        <v>46120</v>
      </c>
      <c r="B1778" t="s">
        <v>138</v>
      </c>
      <c r="C1778" t="s">
        <v>139</v>
      </c>
      <c r="D1778" t="s">
        <v>58</v>
      </c>
      <c r="E1778" t="s">
        <v>74</v>
      </c>
      <c r="F1778" t="s">
        <v>34</v>
      </c>
      <c r="G1778" t="s">
        <v>9</v>
      </c>
      <c r="H1778" t="s">
        <v>90</v>
      </c>
      <c r="I1778" t="s">
        <v>37</v>
      </c>
      <c r="J1778" t="s">
        <v>38</v>
      </c>
      <c r="K1778">
        <v>12793</v>
      </c>
      <c r="L1778">
        <v>414</v>
      </c>
      <c r="M1778">
        <v>164.34</v>
      </c>
      <c r="N1778">
        <v>15</v>
      </c>
      <c r="O1778">
        <v>288.38</v>
      </c>
      <c r="P1778">
        <f t="shared" si="108"/>
        <v>3.2361447666692723E-2</v>
      </c>
      <c r="Q1778">
        <f t="shared" si="108"/>
        <v>0.39695652173913043</v>
      </c>
      <c r="R1778">
        <f t="shared" si="109"/>
        <v>10.956</v>
      </c>
      <c r="S1778">
        <f t="shared" si="110"/>
        <v>1.7547766824875257</v>
      </c>
      <c r="T1778">
        <f t="shared" si="111"/>
        <v>3.6231884057971016E-2</v>
      </c>
      <c r="U1778" t="str">
        <f>YEAR('Campaign Data'!$A1778)&amp;"-"&amp;TEXT(MONTH('Campaign Data'!$A1778),"00")</f>
        <v>2026-04</v>
      </c>
    </row>
    <row r="1779" spans="1:21" x14ac:dyDescent="0.25">
      <c r="A1779">
        <v>46120</v>
      </c>
      <c r="B1779" t="s">
        <v>186</v>
      </c>
      <c r="C1779" t="s">
        <v>187</v>
      </c>
      <c r="D1779" t="s">
        <v>80</v>
      </c>
      <c r="E1779" t="s">
        <v>33</v>
      </c>
      <c r="F1779" t="s">
        <v>43</v>
      </c>
      <c r="G1779" t="s">
        <v>102</v>
      </c>
      <c r="H1779" t="s">
        <v>27</v>
      </c>
      <c r="I1779" t="s">
        <v>28</v>
      </c>
      <c r="J1779" t="s">
        <v>45</v>
      </c>
      <c r="K1779">
        <v>10127</v>
      </c>
      <c r="L1779">
        <v>74</v>
      </c>
      <c r="M1779">
        <v>51.69</v>
      </c>
      <c r="N1779">
        <v>2</v>
      </c>
      <c r="O1779">
        <v>43.7</v>
      </c>
      <c r="P1779">
        <f t="shared" si="108"/>
        <v>7.3071985780586548E-3</v>
      </c>
      <c r="Q1779">
        <f t="shared" si="108"/>
        <v>0.69851351351351343</v>
      </c>
      <c r="R1779">
        <f t="shared" si="109"/>
        <v>25.844999999999999</v>
      </c>
      <c r="S1779">
        <f t="shared" si="110"/>
        <v>0.84542464693364294</v>
      </c>
      <c r="T1779">
        <f t="shared" si="111"/>
        <v>2.7027027027027029E-2</v>
      </c>
      <c r="U1779" t="str">
        <f>YEAR('Campaign Data'!$A1779)&amp;"-"&amp;TEXT(MONTH('Campaign Data'!$A1779),"00")</f>
        <v>2026-04</v>
      </c>
    </row>
    <row r="1780" spans="1:21" x14ac:dyDescent="0.25">
      <c r="A1780">
        <v>46120</v>
      </c>
      <c r="B1780" t="s">
        <v>95</v>
      </c>
      <c r="C1780" t="s">
        <v>96</v>
      </c>
      <c r="D1780" t="s">
        <v>23</v>
      </c>
      <c r="E1780" t="s">
        <v>49</v>
      </c>
      <c r="F1780" t="s">
        <v>43</v>
      </c>
      <c r="G1780" t="s">
        <v>97</v>
      </c>
      <c r="H1780" t="s">
        <v>51</v>
      </c>
      <c r="I1780" t="s">
        <v>37</v>
      </c>
      <c r="J1780" t="s">
        <v>62</v>
      </c>
      <c r="K1780">
        <v>10566</v>
      </c>
      <c r="L1780">
        <v>619</v>
      </c>
      <c r="M1780">
        <v>1087.26</v>
      </c>
      <c r="N1780">
        <v>76</v>
      </c>
      <c r="O1780">
        <v>1140.07</v>
      </c>
      <c r="P1780">
        <f t="shared" si="108"/>
        <v>5.8584137800492146E-2</v>
      </c>
      <c r="Q1780">
        <f t="shared" si="108"/>
        <v>1.7564781906300484</v>
      </c>
      <c r="R1780">
        <f t="shared" si="109"/>
        <v>14.306052631578947</v>
      </c>
      <c r="S1780">
        <f t="shared" si="110"/>
        <v>1.0485716387984474</v>
      </c>
      <c r="T1780">
        <f t="shared" si="111"/>
        <v>0.12277867528271405</v>
      </c>
      <c r="U1780" t="str">
        <f>YEAR('Campaign Data'!$A1780)&amp;"-"&amp;TEXT(MONTH('Campaign Data'!$A1780),"00")</f>
        <v>2026-04</v>
      </c>
    </row>
    <row r="1781" spans="1:21" x14ac:dyDescent="0.25">
      <c r="A1781">
        <v>46120</v>
      </c>
      <c r="B1781" t="s">
        <v>95</v>
      </c>
      <c r="C1781" t="s">
        <v>96</v>
      </c>
      <c r="D1781" t="s">
        <v>23</v>
      </c>
      <c r="E1781" t="s">
        <v>49</v>
      </c>
      <c r="F1781" t="s">
        <v>43</v>
      </c>
      <c r="G1781" t="s">
        <v>97</v>
      </c>
      <c r="H1781" t="s">
        <v>90</v>
      </c>
      <c r="I1781" t="s">
        <v>37</v>
      </c>
      <c r="J1781" t="s">
        <v>29</v>
      </c>
      <c r="K1781">
        <v>11090</v>
      </c>
      <c r="L1781">
        <v>474</v>
      </c>
      <c r="M1781">
        <v>222.83</v>
      </c>
      <c r="N1781">
        <v>14</v>
      </c>
      <c r="O1781">
        <v>70</v>
      </c>
      <c r="P1781">
        <f t="shared" si="108"/>
        <v>4.2741208295761945E-2</v>
      </c>
      <c r="Q1781">
        <f t="shared" si="108"/>
        <v>0.47010548523206752</v>
      </c>
      <c r="R1781">
        <f t="shared" si="109"/>
        <v>15.916428571428572</v>
      </c>
      <c r="S1781">
        <f t="shared" si="110"/>
        <v>0.31414082484405148</v>
      </c>
      <c r="T1781">
        <f t="shared" si="111"/>
        <v>2.9535864978902954E-2</v>
      </c>
      <c r="U1781" t="str">
        <f>YEAR('Campaign Data'!$A1781)&amp;"-"&amp;TEXT(MONTH('Campaign Data'!$A1781),"00")</f>
        <v>2026-04</v>
      </c>
    </row>
    <row r="1782" spans="1:21" x14ac:dyDescent="0.25">
      <c r="A1782">
        <v>46120</v>
      </c>
      <c r="B1782" t="s">
        <v>95</v>
      </c>
      <c r="C1782" t="s">
        <v>96</v>
      </c>
      <c r="D1782" t="s">
        <v>23</v>
      </c>
      <c r="E1782" t="s">
        <v>49</v>
      </c>
      <c r="F1782" t="s">
        <v>43</v>
      </c>
      <c r="G1782" t="s">
        <v>97</v>
      </c>
      <c r="H1782" t="s">
        <v>36</v>
      </c>
      <c r="I1782" t="s">
        <v>37</v>
      </c>
      <c r="J1782" t="s">
        <v>45</v>
      </c>
      <c r="K1782">
        <v>16927</v>
      </c>
      <c r="L1782">
        <v>802</v>
      </c>
      <c r="M1782">
        <v>984.2</v>
      </c>
      <c r="N1782">
        <v>49</v>
      </c>
      <c r="O1782">
        <v>1152.93</v>
      </c>
      <c r="P1782">
        <f t="shared" si="108"/>
        <v>4.7379925562710465E-2</v>
      </c>
      <c r="Q1782">
        <f t="shared" si="108"/>
        <v>1.2271820448877806</v>
      </c>
      <c r="R1782">
        <f t="shared" si="109"/>
        <v>20.085714285714285</v>
      </c>
      <c r="S1782">
        <f t="shared" si="110"/>
        <v>1.1714387319650477</v>
      </c>
      <c r="T1782">
        <f t="shared" si="111"/>
        <v>6.1097256857855359E-2</v>
      </c>
      <c r="U1782" t="str">
        <f>YEAR('Campaign Data'!$A1782)&amp;"-"&amp;TEXT(MONTH('Campaign Data'!$A1782),"00")</f>
        <v>2026-04</v>
      </c>
    </row>
    <row r="1783" spans="1:21" x14ac:dyDescent="0.25">
      <c r="A1783">
        <v>46120</v>
      </c>
      <c r="B1783" t="s">
        <v>95</v>
      </c>
      <c r="C1783" t="s">
        <v>96</v>
      </c>
      <c r="D1783" t="s">
        <v>23</v>
      </c>
      <c r="E1783" t="s">
        <v>49</v>
      </c>
      <c r="F1783" t="s">
        <v>43</v>
      </c>
      <c r="G1783" t="s">
        <v>97</v>
      </c>
      <c r="H1783" t="s">
        <v>90</v>
      </c>
      <c r="I1783" t="s">
        <v>28</v>
      </c>
      <c r="J1783" t="s">
        <v>62</v>
      </c>
      <c r="K1783">
        <v>3157</v>
      </c>
      <c r="L1783">
        <v>261</v>
      </c>
      <c r="M1783">
        <v>150.4</v>
      </c>
      <c r="N1783">
        <v>16</v>
      </c>
      <c r="O1783">
        <v>171.11</v>
      </c>
      <c r="P1783">
        <f t="shared" si="108"/>
        <v>8.2673424136838772E-2</v>
      </c>
      <c r="Q1783">
        <f t="shared" si="108"/>
        <v>0.57624521072796941</v>
      </c>
      <c r="R1783">
        <f t="shared" si="109"/>
        <v>9.4</v>
      </c>
      <c r="S1783">
        <f t="shared" si="110"/>
        <v>1.1376994680851065</v>
      </c>
      <c r="T1783">
        <f t="shared" si="111"/>
        <v>6.1302681992337162E-2</v>
      </c>
      <c r="U1783" t="str">
        <f>YEAR('Campaign Data'!$A1783)&amp;"-"&amp;TEXT(MONTH('Campaign Data'!$A1783),"00")</f>
        <v>2026-04</v>
      </c>
    </row>
    <row r="1784" spans="1:21" x14ac:dyDescent="0.25">
      <c r="A1784">
        <v>46120</v>
      </c>
      <c r="B1784" t="s">
        <v>39</v>
      </c>
      <c r="C1784" t="s">
        <v>40</v>
      </c>
      <c r="D1784" t="s">
        <v>41</v>
      </c>
      <c r="E1784" t="s">
        <v>42</v>
      </c>
      <c r="F1784" t="s">
        <v>43</v>
      </c>
      <c r="G1784" t="s">
        <v>44</v>
      </c>
      <c r="H1784" t="s">
        <v>60</v>
      </c>
      <c r="I1784" t="s">
        <v>28</v>
      </c>
      <c r="J1784" t="s">
        <v>29</v>
      </c>
      <c r="K1784">
        <v>18003</v>
      </c>
      <c r="L1784">
        <v>102</v>
      </c>
      <c r="M1784">
        <v>611.66999999999996</v>
      </c>
      <c r="N1784">
        <v>1</v>
      </c>
      <c r="O1784">
        <v>12.28</v>
      </c>
      <c r="P1784">
        <f t="shared" si="108"/>
        <v>5.6657223796033997E-3</v>
      </c>
      <c r="Q1784">
        <f t="shared" si="108"/>
        <v>5.9967647058823523</v>
      </c>
      <c r="R1784">
        <f t="shared" si="109"/>
        <v>611.66999999999996</v>
      </c>
      <c r="S1784">
        <f t="shared" si="110"/>
        <v>2.0076184870927133E-2</v>
      </c>
      <c r="T1784">
        <f t="shared" si="111"/>
        <v>9.8039215686274508E-3</v>
      </c>
      <c r="U1784" t="str">
        <f>YEAR('Campaign Data'!$A1784)&amp;"-"&amp;TEXT(MONTH('Campaign Data'!$A1784),"00")</f>
        <v>2026-04</v>
      </c>
    </row>
    <row r="1785" spans="1:21" x14ac:dyDescent="0.25">
      <c r="A1785">
        <v>46120</v>
      </c>
      <c r="B1785" t="s">
        <v>39</v>
      </c>
      <c r="C1785" t="s">
        <v>40</v>
      </c>
      <c r="D1785" t="s">
        <v>41</v>
      </c>
      <c r="E1785" t="s">
        <v>42</v>
      </c>
      <c r="F1785" t="s">
        <v>43</v>
      </c>
      <c r="G1785" t="s">
        <v>44</v>
      </c>
      <c r="H1785" t="s">
        <v>51</v>
      </c>
      <c r="I1785" t="s">
        <v>28</v>
      </c>
      <c r="J1785" t="s">
        <v>45</v>
      </c>
      <c r="K1785">
        <v>4928</v>
      </c>
      <c r="L1785">
        <v>26</v>
      </c>
      <c r="M1785">
        <v>170.49</v>
      </c>
      <c r="N1785">
        <v>0</v>
      </c>
      <c r="O1785">
        <v>0</v>
      </c>
      <c r="P1785">
        <f t="shared" si="108"/>
        <v>5.275974025974026E-3</v>
      </c>
      <c r="Q1785">
        <f t="shared" si="108"/>
        <v>6.5573076923076927</v>
      </c>
      <c r="R1785">
        <f t="shared" si="109"/>
        <v>0</v>
      </c>
      <c r="S1785">
        <f t="shared" si="110"/>
        <v>0</v>
      </c>
      <c r="T1785">
        <f t="shared" si="111"/>
        <v>0</v>
      </c>
      <c r="U1785" t="str">
        <f>YEAR('Campaign Data'!$A1785)&amp;"-"&amp;TEXT(MONTH('Campaign Data'!$A1785),"00")</f>
        <v>2026-04</v>
      </c>
    </row>
    <row r="1786" spans="1:21" x14ac:dyDescent="0.25">
      <c r="A1786">
        <v>46120</v>
      </c>
      <c r="B1786" t="s">
        <v>98</v>
      </c>
      <c r="C1786" t="s">
        <v>99</v>
      </c>
      <c r="D1786" t="s">
        <v>69</v>
      </c>
      <c r="E1786" t="s">
        <v>24</v>
      </c>
      <c r="F1786" t="s">
        <v>75</v>
      </c>
      <c r="G1786" t="s">
        <v>66</v>
      </c>
      <c r="H1786" t="s">
        <v>90</v>
      </c>
      <c r="I1786" t="s">
        <v>37</v>
      </c>
      <c r="J1786" t="s">
        <v>29</v>
      </c>
      <c r="K1786">
        <v>7348</v>
      </c>
      <c r="L1786">
        <v>100</v>
      </c>
      <c r="M1786">
        <v>23.99</v>
      </c>
      <c r="N1786">
        <v>4</v>
      </c>
      <c r="O1786">
        <v>39.35</v>
      </c>
      <c r="P1786">
        <f t="shared" si="108"/>
        <v>1.3609145345672292E-2</v>
      </c>
      <c r="Q1786">
        <f t="shared" si="108"/>
        <v>0.23989999999999997</v>
      </c>
      <c r="R1786">
        <f t="shared" si="109"/>
        <v>5.9974999999999996</v>
      </c>
      <c r="S1786">
        <f t="shared" si="110"/>
        <v>1.6402667778240936</v>
      </c>
      <c r="T1786">
        <f t="shared" si="111"/>
        <v>0.04</v>
      </c>
      <c r="U1786" t="str">
        <f>YEAR('Campaign Data'!$A1786)&amp;"-"&amp;TEXT(MONTH('Campaign Data'!$A1786),"00")</f>
        <v>2026-04</v>
      </c>
    </row>
    <row r="1787" spans="1:21" x14ac:dyDescent="0.25">
      <c r="A1787">
        <v>46120</v>
      </c>
      <c r="B1787" t="s">
        <v>105</v>
      </c>
      <c r="C1787" t="s">
        <v>106</v>
      </c>
      <c r="D1787" t="s">
        <v>58</v>
      </c>
      <c r="E1787" t="s">
        <v>49</v>
      </c>
      <c r="F1787" t="s">
        <v>81</v>
      </c>
      <c r="G1787" t="s">
        <v>107</v>
      </c>
      <c r="H1787" t="s">
        <v>90</v>
      </c>
      <c r="I1787" t="s">
        <v>28</v>
      </c>
      <c r="J1787" t="s">
        <v>29</v>
      </c>
      <c r="K1787">
        <v>10162</v>
      </c>
      <c r="L1787">
        <v>834</v>
      </c>
      <c r="M1787">
        <v>339.43</v>
      </c>
      <c r="N1787">
        <v>32</v>
      </c>
      <c r="O1787">
        <v>160</v>
      </c>
      <c r="P1787">
        <f t="shared" si="108"/>
        <v>8.2070458571147406E-2</v>
      </c>
      <c r="Q1787">
        <f t="shared" si="108"/>
        <v>0.40699040767386091</v>
      </c>
      <c r="R1787">
        <f t="shared" si="109"/>
        <v>10.6071875</v>
      </c>
      <c r="S1787">
        <f t="shared" si="110"/>
        <v>0.47137848746427835</v>
      </c>
      <c r="T1787">
        <f t="shared" si="111"/>
        <v>3.8369304556354913E-2</v>
      </c>
      <c r="U1787" t="str">
        <f>YEAR('Campaign Data'!$A1787)&amp;"-"&amp;TEXT(MONTH('Campaign Data'!$A1787),"00")</f>
        <v>2026-04</v>
      </c>
    </row>
    <row r="1788" spans="1:21" x14ac:dyDescent="0.25">
      <c r="A1788">
        <v>46120</v>
      </c>
      <c r="B1788" t="s">
        <v>105</v>
      </c>
      <c r="C1788" t="s">
        <v>106</v>
      </c>
      <c r="D1788" t="s">
        <v>58</v>
      </c>
      <c r="E1788" t="s">
        <v>49</v>
      </c>
      <c r="F1788" t="s">
        <v>81</v>
      </c>
      <c r="G1788" t="s">
        <v>107</v>
      </c>
      <c r="H1788" t="s">
        <v>36</v>
      </c>
      <c r="I1788" t="s">
        <v>28</v>
      </c>
      <c r="J1788" t="s">
        <v>45</v>
      </c>
      <c r="K1788">
        <v>10770</v>
      </c>
      <c r="L1788">
        <v>450</v>
      </c>
      <c r="M1788">
        <v>1013.99</v>
      </c>
      <c r="N1788">
        <v>40</v>
      </c>
      <c r="O1788">
        <v>702.58</v>
      </c>
      <c r="P1788">
        <f t="shared" si="108"/>
        <v>4.1782729805013928E-2</v>
      </c>
      <c r="Q1788">
        <f t="shared" si="108"/>
        <v>2.253311111111111</v>
      </c>
      <c r="R1788">
        <f t="shared" si="109"/>
        <v>25.34975</v>
      </c>
      <c r="S1788">
        <f t="shared" si="110"/>
        <v>0.69288651761851694</v>
      </c>
      <c r="T1788">
        <f t="shared" si="111"/>
        <v>8.8888888888888892E-2</v>
      </c>
      <c r="U1788" t="str">
        <f>YEAR('Campaign Data'!$A1788)&amp;"-"&amp;TEXT(MONTH('Campaign Data'!$A1788),"00")</f>
        <v>2026-04</v>
      </c>
    </row>
    <row r="1789" spans="1:21" x14ac:dyDescent="0.25">
      <c r="A1789">
        <v>46120</v>
      </c>
      <c r="B1789" t="s">
        <v>108</v>
      </c>
      <c r="C1789" t="s">
        <v>109</v>
      </c>
      <c r="D1789" t="s">
        <v>58</v>
      </c>
      <c r="E1789" t="s">
        <v>33</v>
      </c>
      <c r="F1789" t="s">
        <v>43</v>
      </c>
      <c r="G1789" t="s">
        <v>59</v>
      </c>
      <c r="H1789" t="s">
        <v>90</v>
      </c>
      <c r="I1789" t="s">
        <v>28</v>
      </c>
      <c r="J1789" t="s">
        <v>87</v>
      </c>
      <c r="K1789">
        <v>29378</v>
      </c>
      <c r="L1789">
        <v>244</v>
      </c>
      <c r="M1789">
        <v>36.54</v>
      </c>
      <c r="N1789">
        <v>6</v>
      </c>
      <c r="O1789">
        <v>32.270000000000003</v>
      </c>
      <c r="P1789">
        <f t="shared" si="108"/>
        <v>8.3055347538974738E-3</v>
      </c>
      <c r="Q1789">
        <f t="shared" si="108"/>
        <v>0.14975409836065573</v>
      </c>
      <c r="R1789">
        <f t="shared" si="109"/>
        <v>6.09</v>
      </c>
      <c r="S1789">
        <f t="shared" si="110"/>
        <v>0.8831417624521074</v>
      </c>
      <c r="T1789">
        <f t="shared" si="111"/>
        <v>2.4590163934426229E-2</v>
      </c>
      <c r="U1789" t="str">
        <f>YEAR('Campaign Data'!$A1789)&amp;"-"&amp;TEXT(MONTH('Campaign Data'!$A1789),"00")</f>
        <v>2026-04</v>
      </c>
    </row>
    <row r="1790" spans="1:21" x14ac:dyDescent="0.25">
      <c r="A1790">
        <v>46120</v>
      </c>
      <c r="B1790" t="s">
        <v>108</v>
      </c>
      <c r="C1790" t="s">
        <v>109</v>
      </c>
      <c r="D1790" t="s">
        <v>58</v>
      </c>
      <c r="E1790" t="s">
        <v>33</v>
      </c>
      <c r="F1790" t="s">
        <v>43</v>
      </c>
      <c r="G1790" t="s">
        <v>59</v>
      </c>
      <c r="H1790" t="s">
        <v>60</v>
      </c>
      <c r="I1790" t="s">
        <v>37</v>
      </c>
      <c r="J1790" t="s">
        <v>29</v>
      </c>
      <c r="K1790">
        <v>5958</v>
      </c>
      <c r="L1790">
        <v>62</v>
      </c>
      <c r="M1790">
        <v>45.41</v>
      </c>
      <c r="N1790">
        <v>0</v>
      </c>
      <c r="O1790">
        <v>0</v>
      </c>
      <c r="P1790">
        <f t="shared" si="108"/>
        <v>1.0406176569318564E-2</v>
      </c>
      <c r="Q1790">
        <f t="shared" si="108"/>
        <v>0.73241935483870957</v>
      </c>
      <c r="R1790">
        <f t="shared" si="109"/>
        <v>0</v>
      </c>
      <c r="S1790">
        <f t="shared" si="110"/>
        <v>0</v>
      </c>
      <c r="T1790">
        <f t="shared" si="111"/>
        <v>0</v>
      </c>
      <c r="U1790" t="str">
        <f>YEAR('Campaign Data'!$A1790)&amp;"-"&amp;TEXT(MONTH('Campaign Data'!$A1790),"00")</f>
        <v>2026-04</v>
      </c>
    </row>
    <row r="1791" spans="1:21" x14ac:dyDescent="0.25">
      <c r="A1791">
        <v>46120</v>
      </c>
      <c r="B1791" t="s">
        <v>130</v>
      </c>
      <c r="C1791" t="s">
        <v>131</v>
      </c>
      <c r="D1791" t="s">
        <v>48</v>
      </c>
      <c r="E1791" t="s">
        <v>33</v>
      </c>
      <c r="F1791" t="s">
        <v>34</v>
      </c>
      <c r="G1791" t="s">
        <v>35</v>
      </c>
      <c r="H1791" t="s">
        <v>55</v>
      </c>
      <c r="I1791" t="s">
        <v>61</v>
      </c>
      <c r="J1791" t="s">
        <v>87</v>
      </c>
      <c r="K1791">
        <v>17061</v>
      </c>
      <c r="L1791">
        <v>204</v>
      </c>
      <c r="M1791">
        <v>70.42</v>
      </c>
      <c r="N1791">
        <v>9</v>
      </c>
      <c r="O1791">
        <v>1717.37</v>
      </c>
      <c r="P1791">
        <f t="shared" si="108"/>
        <v>1.1957095129242132E-2</v>
      </c>
      <c r="Q1791">
        <f t="shared" si="108"/>
        <v>0.34519607843137257</v>
      </c>
      <c r="R1791">
        <f t="shared" si="109"/>
        <v>7.8244444444444445</v>
      </c>
      <c r="S1791">
        <f t="shared" si="110"/>
        <v>24.38753195115024</v>
      </c>
      <c r="T1791">
        <f t="shared" si="111"/>
        <v>4.4117647058823532E-2</v>
      </c>
      <c r="U1791" t="str">
        <f>YEAR('Campaign Data'!$A1791)&amp;"-"&amp;TEXT(MONTH('Campaign Data'!$A1791),"00")</f>
        <v>2026-04</v>
      </c>
    </row>
    <row r="1792" spans="1:21" x14ac:dyDescent="0.25">
      <c r="A1792">
        <v>46120</v>
      </c>
      <c r="B1792" t="s">
        <v>171</v>
      </c>
      <c r="C1792" t="s">
        <v>172</v>
      </c>
      <c r="D1792" t="s">
        <v>23</v>
      </c>
      <c r="E1792" t="s">
        <v>33</v>
      </c>
      <c r="F1792" t="s">
        <v>75</v>
      </c>
      <c r="G1792" t="s">
        <v>59</v>
      </c>
      <c r="H1792" t="s">
        <v>55</v>
      </c>
      <c r="I1792" t="s">
        <v>28</v>
      </c>
      <c r="J1792" t="s">
        <v>45</v>
      </c>
      <c r="K1792">
        <v>7656</v>
      </c>
      <c r="L1792">
        <v>73</v>
      </c>
      <c r="M1792">
        <v>32.4</v>
      </c>
      <c r="N1792">
        <v>0</v>
      </c>
      <c r="O1792">
        <v>0</v>
      </c>
      <c r="P1792">
        <f t="shared" si="108"/>
        <v>9.5350052246603971E-3</v>
      </c>
      <c r="Q1792">
        <f t="shared" si="108"/>
        <v>0.44383561643835612</v>
      </c>
      <c r="R1792">
        <f t="shared" si="109"/>
        <v>0</v>
      </c>
      <c r="S1792">
        <f t="shared" si="110"/>
        <v>0</v>
      </c>
      <c r="T1792">
        <f t="shared" si="111"/>
        <v>0</v>
      </c>
      <c r="U1792" t="str">
        <f>YEAR('Campaign Data'!$A1792)&amp;"-"&amp;TEXT(MONTH('Campaign Data'!$A1792),"00")</f>
        <v>2026-04</v>
      </c>
    </row>
    <row r="1793" spans="1:21" x14ac:dyDescent="0.25">
      <c r="A1793">
        <v>46120</v>
      </c>
      <c r="B1793" t="s">
        <v>140</v>
      </c>
      <c r="C1793" t="s">
        <v>40</v>
      </c>
      <c r="D1793" t="s">
        <v>41</v>
      </c>
      <c r="E1793" t="s">
        <v>42</v>
      </c>
      <c r="F1793" t="s">
        <v>43</v>
      </c>
      <c r="G1793" t="s">
        <v>44</v>
      </c>
      <c r="H1793" t="s">
        <v>71</v>
      </c>
      <c r="I1793" t="s">
        <v>37</v>
      </c>
      <c r="J1793" t="s">
        <v>62</v>
      </c>
      <c r="K1793">
        <v>9349</v>
      </c>
      <c r="L1793">
        <v>114</v>
      </c>
      <c r="M1793">
        <v>786.6</v>
      </c>
      <c r="N1793">
        <v>4</v>
      </c>
      <c r="O1793">
        <v>90.5</v>
      </c>
      <c r="P1793">
        <f t="shared" si="108"/>
        <v>1.2193817520590438E-2</v>
      </c>
      <c r="Q1793">
        <f t="shared" si="108"/>
        <v>6.9</v>
      </c>
      <c r="R1793">
        <f t="shared" si="109"/>
        <v>196.65</v>
      </c>
      <c r="S1793">
        <f t="shared" si="110"/>
        <v>0.11505212306127638</v>
      </c>
      <c r="T1793">
        <f t="shared" si="111"/>
        <v>3.5087719298245612E-2</v>
      </c>
      <c r="U1793" t="str">
        <f>YEAR('Campaign Data'!$A1793)&amp;"-"&amp;TEXT(MONTH('Campaign Data'!$A1793),"00")</f>
        <v>2026-04</v>
      </c>
    </row>
    <row r="1794" spans="1:21" x14ac:dyDescent="0.25">
      <c r="A1794">
        <v>46120</v>
      </c>
      <c r="B1794" t="s">
        <v>110</v>
      </c>
      <c r="C1794" t="s">
        <v>111</v>
      </c>
      <c r="D1794" t="s">
        <v>23</v>
      </c>
      <c r="E1794" t="s">
        <v>49</v>
      </c>
      <c r="F1794" t="s">
        <v>34</v>
      </c>
      <c r="G1794" t="s">
        <v>50</v>
      </c>
      <c r="H1794" t="s">
        <v>71</v>
      </c>
      <c r="I1794" t="s">
        <v>37</v>
      </c>
      <c r="J1794" t="s">
        <v>29</v>
      </c>
      <c r="K1794">
        <v>8278</v>
      </c>
      <c r="L1794">
        <v>284</v>
      </c>
      <c r="M1794">
        <v>441.45</v>
      </c>
      <c r="N1794">
        <v>19</v>
      </c>
      <c r="O1794">
        <v>2274.19</v>
      </c>
      <c r="P1794">
        <f t="shared" ref="P1794:Q1857" si="112">IF(K1794=0,0,L1794/K1794)</f>
        <v>3.4307803817347188E-2</v>
      </c>
      <c r="Q1794">
        <f t="shared" si="112"/>
        <v>1.5544014084507043</v>
      </c>
      <c r="R1794">
        <f t="shared" ref="R1794:R1857" si="113">IF(N1794=0,0,M1794/N1794)</f>
        <v>23.234210526315788</v>
      </c>
      <c r="S1794">
        <f t="shared" ref="S1794:S1857" si="114">IF(M1794=0,0,O1794/M1794)</f>
        <v>5.1516366519424626</v>
      </c>
      <c r="T1794">
        <f t="shared" ref="T1794:T1857" si="115">IF(L1794=0,0,N1794/L1794)</f>
        <v>6.6901408450704219E-2</v>
      </c>
      <c r="U1794" t="str">
        <f>YEAR('Campaign Data'!$A1794)&amp;"-"&amp;TEXT(MONTH('Campaign Data'!$A1794),"00")</f>
        <v>2026-04</v>
      </c>
    </row>
    <row r="1795" spans="1:21" x14ac:dyDescent="0.25">
      <c r="A1795">
        <v>46120</v>
      </c>
      <c r="B1795" t="s">
        <v>181</v>
      </c>
      <c r="C1795" t="s">
        <v>182</v>
      </c>
      <c r="D1795" t="s">
        <v>32</v>
      </c>
      <c r="E1795" t="s">
        <v>33</v>
      </c>
      <c r="F1795" t="s">
        <v>75</v>
      </c>
      <c r="G1795" t="s">
        <v>59</v>
      </c>
      <c r="H1795" t="s">
        <v>27</v>
      </c>
      <c r="I1795" t="s">
        <v>37</v>
      </c>
      <c r="J1795" t="s">
        <v>87</v>
      </c>
      <c r="K1795">
        <v>2060</v>
      </c>
      <c r="L1795">
        <v>36</v>
      </c>
      <c r="M1795">
        <v>29.94</v>
      </c>
      <c r="N1795">
        <v>0</v>
      </c>
      <c r="O1795">
        <v>0</v>
      </c>
      <c r="P1795">
        <f t="shared" si="112"/>
        <v>1.7475728155339806E-2</v>
      </c>
      <c r="Q1795">
        <f t="shared" si="112"/>
        <v>0.83166666666666667</v>
      </c>
      <c r="R1795">
        <f t="shared" si="113"/>
        <v>0</v>
      </c>
      <c r="S1795">
        <f t="shared" si="114"/>
        <v>0</v>
      </c>
      <c r="T1795">
        <f t="shared" si="115"/>
        <v>0</v>
      </c>
      <c r="U1795" t="str">
        <f>YEAR('Campaign Data'!$A1795)&amp;"-"&amp;TEXT(MONTH('Campaign Data'!$A1795),"00")</f>
        <v>2026-04</v>
      </c>
    </row>
    <row r="1796" spans="1:21" x14ac:dyDescent="0.25">
      <c r="A1796">
        <v>46120</v>
      </c>
      <c r="B1796" t="s">
        <v>161</v>
      </c>
      <c r="C1796" t="s">
        <v>162</v>
      </c>
      <c r="D1796" t="s">
        <v>48</v>
      </c>
      <c r="E1796" t="s">
        <v>74</v>
      </c>
      <c r="F1796" t="s">
        <v>34</v>
      </c>
      <c r="G1796" t="s">
        <v>107</v>
      </c>
      <c r="H1796" t="s">
        <v>90</v>
      </c>
      <c r="I1796" t="s">
        <v>61</v>
      </c>
      <c r="J1796" t="s">
        <v>38</v>
      </c>
      <c r="K1796">
        <v>23572</v>
      </c>
      <c r="L1796">
        <v>659</v>
      </c>
      <c r="M1796">
        <v>177</v>
      </c>
      <c r="N1796">
        <v>37</v>
      </c>
      <c r="O1796">
        <v>1073.05</v>
      </c>
      <c r="P1796">
        <f t="shared" si="112"/>
        <v>2.7956898014593584E-2</v>
      </c>
      <c r="Q1796">
        <f t="shared" si="112"/>
        <v>0.26858877086494687</v>
      </c>
      <c r="R1796">
        <f t="shared" si="113"/>
        <v>4.7837837837837842</v>
      </c>
      <c r="S1796">
        <f t="shared" si="114"/>
        <v>6.062429378531073</v>
      </c>
      <c r="T1796">
        <f t="shared" si="115"/>
        <v>5.614567526555387E-2</v>
      </c>
      <c r="U1796" t="str">
        <f>YEAR('Campaign Data'!$A1796)&amp;"-"&amp;TEXT(MONTH('Campaign Data'!$A1796),"00")</f>
        <v>2026-04</v>
      </c>
    </row>
    <row r="1797" spans="1:21" x14ac:dyDescent="0.25">
      <c r="A1797">
        <v>46120</v>
      </c>
      <c r="B1797" t="s">
        <v>161</v>
      </c>
      <c r="C1797" t="s">
        <v>162</v>
      </c>
      <c r="D1797" t="s">
        <v>48</v>
      </c>
      <c r="E1797" t="s">
        <v>74</v>
      </c>
      <c r="F1797" t="s">
        <v>34</v>
      </c>
      <c r="G1797" t="s">
        <v>107</v>
      </c>
      <c r="H1797" t="s">
        <v>27</v>
      </c>
      <c r="I1797" t="s">
        <v>28</v>
      </c>
      <c r="J1797" t="s">
        <v>29</v>
      </c>
      <c r="K1797">
        <v>5018</v>
      </c>
      <c r="L1797">
        <v>136</v>
      </c>
      <c r="M1797">
        <v>321.14</v>
      </c>
      <c r="N1797">
        <v>7</v>
      </c>
      <c r="O1797">
        <v>1663.73</v>
      </c>
      <c r="P1797">
        <f t="shared" si="112"/>
        <v>2.7102431247508968E-2</v>
      </c>
      <c r="Q1797">
        <f t="shared" si="112"/>
        <v>2.3613235294117647</v>
      </c>
      <c r="R1797">
        <f t="shared" si="113"/>
        <v>45.877142857142857</v>
      </c>
      <c r="S1797">
        <f t="shared" si="114"/>
        <v>5.1807000062278137</v>
      </c>
      <c r="T1797">
        <f t="shared" si="115"/>
        <v>5.1470588235294115E-2</v>
      </c>
      <c r="U1797" t="str">
        <f>YEAR('Campaign Data'!$A1797)&amp;"-"&amp;TEXT(MONTH('Campaign Data'!$A1797),"00")</f>
        <v>2026-04</v>
      </c>
    </row>
    <row r="1798" spans="1:21" x14ac:dyDescent="0.25">
      <c r="A1798">
        <v>46120</v>
      </c>
      <c r="B1798" t="s">
        <v>114</v>
      </c>
      <c r="C1798" t="s">
        <v>115</v>
      </c>
      <c r="D1798" t="s">
        <v>69</v>
      </c>
      <c r="E1798" t="s">
        <v>49</v>
      </c>
      <c r="F1798" t="s">
        <v>25</v>
      </c>
      <c r="G1798" t="s">
        <v>107</v>
      </c>
      <c r="H1798" t="s">
        <v>90</v>
      </c>
      <c r="I1798" t="s">
        <v>61</v>
      </c>
      <c r="J1798" t="s">
        <v>29</v>
      </c>
      <c r="K1798">
        <v>3750</v>
      </c>
      <c r="L1798">
        <v>174</v>
      </c>
      <c r="M1798">
        <v>113.65</v>
      </c>
      <c r="N1798">
        <v>3</v>
      </c>
      <c r="O1798">
        <v>85.21</v>
      </c>
      <c r="P1798">
        <f t="shared" si="112"/>
        <v>4.6399999999999997E-2</v>
      </c>
      <c r="Q1798">
        <f t="shared" si="112"/>
        <v>0.65316091954022992</v>
      </c>
      <c r="R1798">
        <f t="shared" si="113"/>
        <v>37.883333333333333</v>
      </c>
      <c r="S1798">
        <f t="shared" si="114"/>
        <v>0.74975802903651556</v>
      </c>
      <c r="T1798">
        <f t="shared" si="115"/>
        <v>1.7241379310344827E-2</v>
      </c>
      <c r="U1798" t="str">
        <f>YEAR('Campaign Data'!$A1798)&amp;"-"&amp;TEXT(MONTH('Campaign Data'!$A1798),"00")</f>
        <v>2026-04</v>
      </c>
    </row>
    <row r="1799" spans="1:21" x14ac:dyDescent="0.25">
      <c r="A1799">
        <v>46120</v>
      </c>
      <c r="B1799" t="s">
        <v>136</v>
      </c>
      <c r="C1799" t="s">
        <v>137</v>
      </c>
      <c r="D1799" t="s">
        <v>32</v>
      </c>
      <c r="E1799" t="s">
        <v>49</v>
      </c>
      <c r="F1799" t="s">
        <v>75</v>
      </c>
      <c r="G1799" t="s">
        <v>97</v>
      </c>
      <c r="H1799" t="s">
        <v>71</v>
      </c>
      <c r="I1799" t="s">
        <v>37</v>
      </c>
      <c r="J1799" t="s">
        <v>45</v>
      </c>
      <c r="K1799">
        <v>7696</v>
      </c>
      <c r="L1799">
        <v>332</v>
      </c>
      <c r="M1799">
        <v>551.66999999999996</v>
      </c>
      <c r="N1799">
        <v>13</v>
      </c>
      <c r="O1799">
        <v>205.48</v>
      </c>
      <c r="P1799">
        <f t="shared" si="112"/>
        <v>4.3139293139293142E-2</v>
      </c>
      <c r="Q1799">
        <f t="shared" si="112"/>
        <v>1.661656626506024</v>
      </c>
      <c r="R1799">
        <f t="shared" si="113"/>
        <v>42.436153846153843</v>
      </c>
      <c r="S1799">
        <f t="shared" si="114"/>
        <v>0.37246904852538654</v>
      </c>
      <c r="T1799">
        <f t="shared" si="115"/>
        <v>3.9156626506024098E-2</v>
      </c>
      <c r="U1799" t="str">
        <f>YEAR('Campaign Data'!$A1799)&amp;"-"&amp;TEXT(MONTH('Campaign Data'!$A1799),"00")</f>
        <v>2026-04</v>
      </c>
    </row>
    <row r="1800" spans="1:21" x14ac:dyDescent="0.25">
      <c r="A1800">
        <v>46120</v>
      </c>
      <c r="B1800" t="s">
        <v>136</v>
      </c>
      <c r="C1800" t="s">
        <v>137</v>
      </c>
      <c r="D1800" t="s">
        <v>32</v>
      </c>
      <c r="E1800" t="s">
        <v>49</v>
      </c>
      <c r="F1800" t="s">
        <v>75</v>
      </c>
      <c r="G1800" t="s">
        <v>97</v>
      </c>
      <c r="H1800" t="s">
        <v>27</v>
      </c>
      <c r="I1800" t="s">
        <v>28</v>
      </c>
      <c r="J1800" t="s">
        <v>38</v>
      </c>
      <c r="K1800">
        <v>15307</v>
      </c>
      <c r="L1800">
        <v>662</v>
      </c>
      <c r="M1800">
        <v>1740.12</v>
      </c>
      <c r="N1800">
        <v>56</v>
      </c>
      <c r="O1800">
        <v>2329.0700000000002</v>
      </c>
      <c r="P1800">
        <f t="shared" si="112"/>
        <v>4.3248187103939371E-2</v>
      </c>
      <c r="Q1800">
        <f t="shared" si="112"/>
        <v>2.6285800604229608</v>
      </c>
      <c r="R1800">
        <f t="shared" si="113"/>
        <v>31.073571428571427</v>
      </c>
      <c r="S1800">
        <f t="shared" si="114"/>
        <v>1.3384536698618488</v>
      </c>
      <c r="T1800">
        <f t="shared" si="115"/>
        <v>8.4592145015105744E-2</v>
      </c>
      <c r="U1800" t="str">
        <f>YEAR('Campaign Data'!$A1800)&amp;"-"&amp;TEXT(MONTH('Campaign Data'!$A1800),"00")</f>
        <v>2026-04</v>
      </c>
    </row>
    <row r="1801" spans="1:21" x14ac:dyDescent="0.25">
      <c r="A1801">
        <v>46120</v>
      </c>
      <c r="B1801" t="s">
        <v>63</v>
      </c>
      <c r="C1801" t="s">
        <v>64</v>
      </c>
      <c r="D1801" t="s">
        <v>65</v>
      </c>
      <c r="E1801" t="s">
        <v>24</v>
      </c>
      <c r="F1801" t="s">
        <v>43</v>
      </c>
      <c r="G1801" t="s">
        <v>66</v>
      </c>
      <c r="H1801" t="s">
        <v>71</v>
      </c>
      <c r="I1801" t="s">
        <v>37</v>
      </c>
      <c r="J1801" t="s">
        <v>45</v>
      </c>
      <c r="K1801">
        <v>6449</v>
      </c>
      <c r="L1801">
        <v>79</v>
      </c>
      <c r="M1801">
        <v>90.12</v>
      </c>
      <c r="N1801">
        <v>0</v>
      </c>
      <c r="O1801">
        <v>0</v>
      </c>
      <c r="P1801">
        <f t="shared" si="112"/>
        <v>1.2249961234299892E-2</v>
      </c>
      <c r="Q1801">
        <f t="shared" si="112"/>
        <v>1.140759493670886</v>
      </c>
      <c r="R1801">
        <f t="shared" si="113"/>
        <v>0</v>
      </c>
      <c r="S1801">
        <f t="shared" si="114"/>
        <v>0</v>
      </c>
      <c r="T1801">
        <f t="shared" si="115"/>
        <v>0</v>
      </c>
      <c r="U1801" t="str">
        <f>YEAR('Campaign Data'!$A1801)&amp;"-"&amp;TEXT(MONTH('Campaign Data'!$A1801),"00")</f>
        <v>2026-04</v>
      </c>
    </row>
    <row r="1802" spans="1:21" x14ac:dyDescent="0.25">
      <c r="A1802">
        <v>46120</v>
      </c>
      <c r="B1802" t="s">
        <v>183</v>
      </c>
      <c r="C1802" t="s">
        <v>184</v>
      </c>
      <c r="D1802" t="s">
        <v>23</v>
      </c>
      <c r="E1802" t="s">
        <v>24</v>
      </c>
      <c r="F1802" t="s">
        <v>81</v>
      </c>
      <c r="G1802" t="s">
        <v>185</v>
      </c>
      <c r="H1802" t="s">
        <v>36</v>
      </c>
      <c r="I1802" t="s">
        <v>37</v>
      </c>
      <c r="J1802" t="s">
        <v>38</v>
      </c>
      <c r="K1802">
        <v>7791</v>
      </c>
      <c r="L1802">
        <v>147</v>
      </c>
      <c r="M1802">
        <v>111.65</v>
      </c>
      <c r="N1802">
        <v>6</v>
      </c>
      <c r="O1802">
        <v>139.41999999999999</v>
      </c>
      <c r="P1802">
        <f t="shared" si="112"/>
        <v>1.8867924528301886E-2</v>
      </c>
      <c r="Q1802">
        <f t="shared" si="112"/>
        <v>0.7595238095238096</v>
      </c>
      <c r="R1802">
        <f t="shared" si="113"/>
        <v>18.608333333333334</v>
      </c>
      <c r="S1802">
        <f t="shared" si="114"/>
        <v>1.2487236901030003</v>
      </c>
      <c r="T1802">
        <f t="shared" si="115"/>
        <v>4.0816326530612242E-2</v>
      </c>
      <c r="U1802" t="str">
        <f>YEAR('Campaign Data'!$A1802)&amp;"-"&amp;TEXT(MONTH('Campaign Data'!$A1802),"00")</f>
        <v>2026-04</v>
      </c>
    </row>
    <row r="1803" spans="1:21" x14ac:dyDescent="0.25">
      <c r="A1803">
        <v>46120</v>
      </c>
      <c r="B1803" t="s">
        <v>72</v>
      </c>
      <c r="C1803" t="s">
        <v>73</v>
      </c>
      <c r="D1803" t="s">
        <v>69</v>
      </c>
      <c r="E1803" t="s">
        <v>74</v>
      </c>
      <c r="F1803" t="s">
        <v>75</v>
      </c>
      <c r="G1803" t="s">
        <v>9</v>
      </c>
      <c r="H1803" t="s">
        <v>27</v>
      </c>
      <c r="I1803" t="s">
        <v>37</v>
      </c>
      <c r="J1803" t="s">
        <v>45</v>
      </c>
      <c r="K1803">
        <v>3190</v>
      </c>
      <c r="L1803">
        <v>119</v>
      </c>
      <c r="M1803">
        <v>233.38</v>
      </c>
      <c r="N1803">
        <v>8</v>
      </c>
      <c r="O1803">
        <v>300.95</v>
      </c>
      <c r="P1803">
        <f t="shared" si="112"/>
        <v>3.7304075235109715E-2</v>
      </c>
      <c r="Q1803">
        <f t="shared" si="112"/>
        <v>1.9611764705882353</v>
      </c>
      <c r="R1803">
        <f t="shared" si="113"/>
        <v>29.172499999999999</v>
      </c>
      <c r="S1803">
        <f t="shared" si="114"/>
        <v>1.2895278087239694</v>
      </c>
      <c r="T1803">
        <f t="shared" si="115"/>
        <v>6.7226890756302518E-2</v>
      </c>
      <c r="U1803" t="str">
        <f>YEAR('Campaign Data'!$A1803)&amp;"-"&amp;TEXT(MONTH('Campaign Data'!$A1803),"00")</f>
        <v>2026-04</v>
      </c>
    </row>
    <row r="1804" spans="1:21" x14ac:dyDescent="0.25">
      <c r="A1804">
        <v>46120</v>
      </c>
      <c r="B1804" t="s">
        <v>118</v>
      </c>
      <c r="C1804" t="s">
        <v>119</v>
      </c>
      <c r="D1804" t="s">
        <v>69</v>
      </c>
      <c r="E1804" t="s">
        <v>33</v>
      </c>
      <c r="F1804" t="s">
        <v>34</v>
      </c>
      <c r="G1804" t="s">
        <v>35</v>
      </c>
      <c r="H1804" t="s">
        <v>55</v>
      </c>
      <c r="I1804" t="s">
        <v>37</v>
      </c>
      <c r="J1804" t="s">
        <v>62</v>
      </c>
      <c r="K1804">
        <v>5373</v>
      </c>
      <c r="L1804">
        <v>62</v>
      </c>
      <c r="M1804">
        <v>36.700000000000003</v>
      </c>
      <c r="N1804">
        <v>2</v>
      </c>
      <c r="O1804">
        <v>318.7</v>
      </c>
      <c r="P1804">
        <f t="shared" si="112"/>
        <v>1.1539177368323097E-2</v>
      </c>
      <c r="Q1804">
        <f t="shared" si="112"/>
        <v>0.59193548387096784</v>
      </c>
      <c r="R1804">
        <f t="shared" si="113"/>
        <v>18.350000000000001</v>
      </c>
      <c r="S1804">
        <f t="shared" si="114"/>
        <v>8.6839237057220693</v>
      </c>
      <c r="T1804">
        <f t="shared" si="115"/>
        <v>3.2258064516129031E-2</v>
      </c>
      <c r="U1804" t="str">
        <f>YEAR('Campaign Data'!$A1804)&amp;"-"&amp;TEXT(MONTH('Campaign Data'!$A1804),"00")</f>
        <v>2026-04</v>
      </c>
    </row>
    <row r="1805" spans="1:21" x14ac:dyDescent="0.25">
      <c r="A1805">
        <v>46120</v>
      </c>
      <c r="B1805" t="s">
        <v>120</v>
      </c>
      <c r="C1805" t="s">
        <v>121</v>
      </c>
      <c r="D1805" t="s">
        <v>23</v>
      </c>
      <c r="E1805" t="s">
        <v>49</v>
      </c>
      <c r="F1805" t="s">
        <v>75</v>
      </c>
      <c r="G1805" t="s">
        <v>70</v>
      </c>
      <c r="H1805" t="s">
        <v>27</v>
      </c>
      <c r="I1805" t="s">
        <v>37</v>
      </c>
      <c r="J1805" t="s">
        <v>87</v>
      </c>
      <c r="K1805">
        <v>5671</v>
      </c>
      <c r="L1805">
        <v>273</v>
      </c>
      <c r="M1805">
        <v>576.36</v>
      </c>
      <c r="N1805">
        <v>22</v>
      </c>
      <c r="O1805">
        <v>1631.67</v>
      </c>
      <c r="P1805">
        <f t="shared" si="112"/>
        <v>4.8139657908658082E-2</v>
      </c>
      <c r="Q1805">
        <f t="shared" si="112"/>
        <v>2.1112087912087913</v>
      </c>
      <c r="R1805">
        <f t="shared" si="113"/>
        <v>26.198181818181819</v>
      </c>
      <c r="S1805">
        <f t="shared" si="114"/>
        <v>2.830991047262128</v>
      </c>
      <c r="T1805">
        <f t="shared" si="115"/>
        <v>8.0586080586080591E-2</v>
      </c>
      <c r="U1805" t="str">
        <f>YEAR('Campaign Data'!$A1805)&amp;"-"&amp;TEXT(MONTH('Campaign Data'!$A1805),"00")</f>
        <v>2026-04</v>
      </c>
    </row>
    <row r="1806" spans="1:21" x14ac:dyDescent="0.25">
      <c r="A1806">
        <v>46121</v>
      </c>
      <c r="B1806" t="s">
        <v>85</v>
      </c>
      <c r="C1806" t="s">
        <v>86</v>
      </c>
      <c r="D1806" t="s">
        <v>80</v>
      </c>
      <c r="E1806" t="s">
        <v>33</v>
      </c>
      <c r="F1806" t="s">
        <v>43</v>
      </c>
      <c r="G1806" t="s">
        <v>35</v>
      </c>
      <c r="H1806" t="s">
        <v>55</v>
      </c>
      <c r="I1806" t="s">
        <v>28</v>
      </c>
      <c r="J1806" t="s">
        <v>29</v>
      </c>
      <c r="K1806">
        <v>2457</v>
      </c>
      <c r="L1806">
        <v>16</v>
      </c>
      <c r="M1806">
        <v>7.12</v>
      </c>
      <c r="N1806">
        <v>0</v>
      </c>
      <c r="O1806">
        <v>0</v>
      </c>
      <c r="P1806">
        <f t="shared" si="112"/>
        <v>6.5120065120065117E-3</v>
      </c>
      <c r="Q1806">
        <f t="shared" si="112"/>
        <v>0.44500000000000001</v>
      </c>
      <c r="R1806">
        <f t="shared" si="113"/>
        <v>0</v>
      </c>
      <c r="S1806">
        <f t="shared" si="114"/>
        <v>0</v>
      </c>
      <c r="T1806">
        <f t="shared" si="115"/>
        <v>0</v>
      </c>
      <c r="U1806" t="str">
        <f>YEAR('Campaign Data'!$A1806)&amp;"-"&amp;TEXT(MONTH('Campaign Data'!$A1806),"00")</f>
        <v>2026-04</v>
      </c>
    </row>
    <row r="1807" spans="1:21" x14ac:dyDescent="0.25">
      <c r="A1807">
        <v>46121</v>
      </c>
      <c r="B1807" t="s">
        <v>88</v>
      </c>
      <c r="C1807" t="s">
        <v>89</v>
      </c>
      <c r="D1807" t="s">
        <v>23</v>
      </c>
      <c r="E1807" t="s">
        <v>49</v>
      </c>
      <c r="F1807" t="s">
        <v>81</v>
      </c>
      <c r="G1807" t="s">
        <v>50</v>
      </c>
      <c r="H1807" t="s">
        <v>55</v>
      </c>
      <c r="I1807" t="s">
        <v>37</v>
      </c>
      <c r="J1807" t="s">
        <v>29</v>
      </c>
      <c r="K1807">
        <v>8723</v>
      </c>
      <c r="L1807">
        <v>305</v>
      </c>
      <c r="M1807">
        <v>389.52</v>
      </c>
      <c r="N1807">
        <v>19</v>
      </c>
      <c r="O1807">
        <v>340.72</v>
      </c>
      <c r="P1807">
        <f t="shared" si="112"/>
        <v>3.4965034965034968E-2</v>
      </c>
      <c r="Q1807">
        <f t="shared" si="112"/>
        <v>1.2771147540983605</v>
      </c>
      <c r="R1807">
        <f t="shared" si="113"/>
        <v>20.501052631578947</v>
      </c>
      <c r="S1807">
        <f t="shared" si="114"/>
        <v>0.87471760115013364</v>
      </c>
      <c r="T1807">
        <f t="shared" si="115"/>
        <v>6.2295081967213117E-2</v>
      </c>
      <c r="U1807" t="str">
        <f>YEAR('Campaign Data'!$A1807)&amp;"-"&amp;TEXT(MONTH('Campaign Data'!$A1807),"00")</f>
        <v>2026-04</v>
      </c>
    </row>
    <row r="1808" spans="1:21" x14ac:dyDescent="0.25">
      <c r="A1808">
        <v>46121</v>
      </c>
      <c r="B1808" t="s">
        <v>88</v>
      </c>
      <c r="C1808" t="s">
        <v>89</v>
      </c>
      <c r="D1808" t="s">
        <v>23</v>
      </c>
      <c r="E1808" t="s">
        <v>49</v>
      </c>
      <c r="F1808" t="s">
        <v>81</v>
      </c>
      <c r="G1808" t="s">
        <v>50</v>
      </c>
      <c r="H1808" t="s">
        <v>27</v>
      </c>
      <c r="I1808" t="s">
        <v>37</v>
      </c>
      <c r="J1808" t="s">
        <v>38</v>
      </c>
      <c r="K1808">
        <v>9315</v>
      </c>
      <c r="L1808">
        <v>414</v>
      </c>
      <c r="M1808">
        <v>906.88</v>
      </c>
      <c r="N1808">
        <v>22</v>
      </c>
      <c r="O1808">
        <v>283.93</v>
      </c>
      <c r="P1808">
        <f t="shared" si="112"/>
        <v>4.4444444444444446E-2</v>
      </c>
      <c r="Q1808">
        <f t="shared" si="112"/>
        <v>2.1905314009661834</v>
      </c>
      <c r="R1808">
        <f t="shared" si="113"/>
        <v>41.221818181818179</v>
      </c>
      <c r="S1808">
        <f t="shared" si="114"/>
        <v>0.31308442131263231</v>
      </c>
      <c r="T1808">
        <f t="shared" si="115"/>
        <v>5.3140096618357488E-2</v>
      </c>
      <c r="U1808" t="str">
        <f>YEAR('Campaign Data'!$A1808)&amp;"-"&amp;TEXT(MONTH('Campaign Data'!$A1808),"00")</f>
        <v>2026-04</v>
      </c>
    </row>
    <row r="1809" spans="1:21" x14ac:dyDescent="0.25">
      <c r="A1809">
        <v>46121</v>
      </c>
      <c r="B1809" t="s">
        <v>88</v>
      </c>
      <c r="C1809" t="s">
        <v>89</v>
      </c>
      <c r="D1809" t="s">
        <v>23</v>
      </c>
      <c r="E1809" t="s">
        <v>49</v>
      </c>
      <c r="F1809" t="s">
        <v>81</v>
      </c>
      <c r="G1809" t="s">
        <v>50</v>
      </c>
      <c r="H1809" t="s">
        <v>71</v>
      </c>
      <c r="I1809" t="s">
        <v>37</v>
      </c>
      <c r="J1809" t="s">
        <v>45</v>
      </c>
      <c r="K1809">
        <v>6418</v>
      </c>
      <c r="L1809">
        <v>293</v>
      </c>
      <c r="M1809">
        <v>468.47</v>
      </c>
      <c r="N1809">
        <v>11</v>
      </c>
      <c r="O1809">
        <v>299.37</v>
      </c>
      <c r="P1809">
        <f t="shared" si="112"/>
        <v>4.5652851355562483E-2</v>
      </c>
      <c r="Q1809">
        <f t="shared" si="112"/>
        <v>1.5988737201365189</v>
      </c>
      <c r="R1809">
        <f t="shared" si="113"/>
        <v>42.588181818181823</v>
      </c>
      <c r="S1809">
        <f t="shared" si="114"/>
        <v>0.63903771853053559</v>
      </c>
      <c r="T1809">
        <f t="shared" si="115"/>
        <v>3.7542662116040959E-2</v>
      </c>
      <c r="U1809" t="str">
        <f>YEAR('Campaign Data'!$A1809)&amp;"-"&amp;TEXT(MONTH('Campaign Data'!$A1809),"00")</f>
        <v>2026-04</v>
      </c>
    </row>
    <row r="1810" spans="1:21" x14ac:dyDescent="0.25">
      <c r="A1810">
        <v>46121</v>
      </c>
      <c r="B1810" t="s">
        <v>21</v>
      </c>
      <c r="C1810" t="s">
        <v>124</v>
      </c>
      <c r="D1810" t="s">
        <v>23</v>
      </c>
      <c r="E1810" t="s">
        <v>24</v>
      </c>
      <c r="F1810" t="s">
        <v>25</v>
      </c>
      <c r="G1810" t="s">
        <v>26</v>
      </c>
      <c r="H1810" t="s">
        <v>27</v>
      </c>
      <c r="I1810" t="s">
        <v>37</v>
      </c>
      <c r="J1810" t="s">
        <v>38</v>
      </c>
      <c r="K1810">
        <v>6016</v>
      </c>
      <c r="L1810">
        <v>74</v>
      </c>
      <c r="M1810">
        <v>96.33</v>
      </c>
      <c r="N1810">
        <v>1</v>
      </c>
      <c r="O1810">
        <v>173.98</v>
      </c>
      <c r="P1810">
        <f t="shared" si="112"/>
        <v>1.2300531914893617E-2</v>
      </c>
      <c r="Q1810">
        <f t="shared" si="112"/>
        <v>1.3017567567567567</v>
      </c>
      <c r="R1810">
        <f t="shared" si="113"/>
        <v>96.33</v>
      </c>
      <c r="S1810">
        <f t="shared" si="114"/>
        <v>1.806083255475968</v>
      </c>
      <c r="T1810">
        <f t="shared" si="115"/>
        <v>1.3513513513513514E-2</v>
      </c>
      <c r="U1810" t="str">
        <f>YEAR('Campaign Data'!$A1810)&amp;"-"&amp;TEXT(MONTH('Campaign Data'!$A1810),"00")</f>
        <v>2026-04</v>
      </c>
    </row>
    <row r="1811" spans="1:21" x14ac:dyDescent="0.25">
      <c r="A1811">
        <v>46121</v>
      </c>
      <c r="B1811" t="s">
        <v>147</v>
      </c>
      <c r="C1811" t="s">
        <v>148</v>
      </c>
      <c r="D1811" t="s">
        <v>23</v>
      </c>
      <c r="E1811" t="s">
        <v>42</v>
      </c>
      <c r="F1811" t="s">
        <v>75</v>
      </c>
      <c r="G1811" t="s">
        <v>44</v>
      </c>
      <c r="H1811" t="s">
        <v>90</v>
      </c>
      <c r="I1811" t="s">
        <v>37</v>
      </c>
      <c r="J1811" t="s">
        <v>87</v>
      </c>
      <c r="K1811">
        <v>5224</v>
      </c>
      <c r="L1811">
        <v>36</v>
      </c>
      <c r="M1811">
        <v>50.93</v>
      </c>
      <c r="N1811">
        <v>4</v>
      </c>
      <c r="O1811">
        <v>44.1</v>
      </c>
      <c r="P1811">
        <f t="shared" si="112"/>
        <v>6.8912710566615618E-3</v>
      </c>
      <c r="Q1811">
        <f t="shared" si="112"/>
        <v>1.4147222222222222</v>
      </c>
      <c r="R1811">
        <f t="shared" si="113"/>
        <v>12.7325</v>
      </c>
      <c r="S1811">
        <f t="shared" si="114"/>
        <v>0.86589436481445126</v>
      </c>
      <c r="T1811">
        <f t="shared" si="115"/>
        <v>0.1111111111111111</v>
      </c>
      <c r="U1811" t="str">
        <f>YEAR('Campaign Data'!$A1811)&amp;"-"&amp;TEXT(MONTH('Campaign Data'!$A1811),"00")</f>
        <v>2026-04</v>
      </c>
    </row>
    <row r="1812" spans="1:21" x14ac:dyDescent="0.25">
      <c r="A1812">
        <v>46121</v>
      </c>
      <c r="B1812" t="s">
        <v>95</v>
      </c>
      <c r="C1812" t="s">
        <v>96</v>
      </c>
      <c r="D1812" t="s">
        <v>23</v>
      </c>
      <c r="E1812" t="s">
        <v>49</v>
      </c>
      <c r="F1812" t="s">
        <v>43</v>
      </c>
      <c r="G1812" t="s">
        <v>97</v>
      </c>
      <c r="H1812" t="s">
        <v>60</v>
      </c>
      <c r="I1812" t="s">
        <v>37</v>
      </c>
      <c r="J1812" t="s">
        <v>87</v>
      </c>
      <c r="K1812">
        <v>11193</v>
      </c>
      <c r="L1812">
        <v>527</v>
      </c>
      <c r="M1812">
        <v>632.99</v>
      </c>
      <c r="N1812">
        <v>34</v>
      </c>
      <c r="O1812">
        <v>738.38</v>
      </c>
      <c r="P1812">
        <f t="shared" si="112"/>
        <v>4.7082998302510497E-2</v>
      </c>
      <c r="Q1812">
        <f t="shared" si="112"/>
        <v>1.2011195445920304</v>
      </c>
      <c r="R1812">
        <f t="shared" si="113"/>
        <v>18.61735294117647</v>
      </c>
      <c r="S1812">
        <f t="shared" si="114"/>
        <v>1.16649552125626</v>
      </c>
      <c r="T1812">
        <f t="shared" si="115"/>
        <v>6.4516129032258063E-2</v>
      </c>
      <c r="U1812" t="str">
        <f>YEAR('Campaign Data'!$A1812)&amp;"-"&amp;TEXT(MONTH('Campaign Data'!$A1812),"00")</f>
        <v>2026-04</v>
      </c>
    </row>
    <row r="1813" spans="1:21" x14ac:dyDescent="0.25">
      <c r="A1813">
        <v>46121</v>
      </c>
      <c r="B1813" t="s">
        <v>151</v>
      </c>
      <c r="C1813" t="s">
        <v>152</v>
      </c>
      <c r="D1813" t="s">
        <v>48</v>
      </c>
      <c r="E1813" t="s">
        <v>24</v>
      </c>
      <c r="F1813" t="s">
        <v>81</v>
      </c>
      <c r="G1813" t="s">
        <v>129</v>
      </c>
      <c r="H1813" t="s">
        <v>27</v>
      </c>
      <c r="I1813" t="s">
        <v>37</v>
      </c>
      <c r="J1813" t="s">
        <v>87</v>
      </c>
      <c r="K1813">
        <v>1632</v>
      </c>
      <c r="L1813">
        <v>20</v>
      </c>
      <c r="M1813">
        <v>22.25</v>
      </c>
      <c r="N1813">
        <v>0</v>
      </c>
      <c r="O1813">
        <v>0</v>
      </c>
      <c r="P1813">
        <f t="shared" si="112"/>
        <v>1.2254901960784314E-2</v>
      </c>
      <c r="Q1813">
        <f t="shared" si="112"/>
        <v>1.1125</v>
      </c>
      <c r="R1813">
        <f t="shared" si="113"/>
        <v>0</v>
      </c>
      <c r="S1813">
        <f t="shared" si="114"/>
        <v>0</v>
      </c>
      <c r="T1813">
        <f t="shared" si="115"/>
        <v>0</v>
      </c>
      <c r="U1813" t="str">
        <f>YEAR('Campaign Data'!$A1813)&amp;"-"&amp;TEXT(MONTH('Campaign Data'!$A1813),"00")</f>
        <v>2026-04</v>
      </c>
    </row>
    <row r="1814" spans="1:21" x14ac:dyDescent="0.25">
      <c r="A1814">
        <v>46121</v>
      </c>
      <c r="B1814" t="s">
        <v>46</v>
      </c>
      <c r="C1814" t="s">
        <v>47</v>
      </c>
      <c r="D1814" t="s">
        <v>48</v>
      </c>
      <c r="E1814" t="s">
        <v>49</v>
      </c>
      <c r="F1814" t="s">
        <v>43</v>
      </c>
      <c r="G1814" t="s">
        <v>50</v>
      </c>
      <c r="H1814" t="s">
        <v>27</v>
      </c>
      <c r="I1814" t="s">
        <v>37</v>
      </c>
      <c r="J1814" t="s">
        <v>87</v>
      </c>
      <c r="K1814">
        <v>5044</v>
      </c>
      <c r="L1814">
        <v>152</v>
      </c>
      <c r="M1814">
        <v>363.84</v>
      </c>
      <c r="N1814">
        <v>11</v>
      </c>
      <c r="O1814">
        <v>346.28</v>
      </c>
      <c r="P1814">
        <f t="shared" si="112"/>
        <v>3.013481363996828E-2</v>
      </c>
      <c r="Q1814">
        <f t="shared" si="112"/>
        <v>2.3936842105263154</v>
      </c>
      <c r="R1814">
        <f t="shared" si="113"/>
        <v>33.076363636363631</v>
      </c>
      <c r="S1814">
        <f t="shared" si="114"/>
        <v>0.95173702726473175</v>
      </c>
      <c r="T1814">
        <f t="shared" si="115"/>
        <v>7.2368421052631582E-2</v>
      </c>
      <c r="U1814" t="str">
        <f>YEAR('Campaign Data'!$A1814)&amp;"-"&amp;TEXT(MONTH('Campaign Data'!$A1814),"00")</f>
        <v>2026-04</v>
      </c>
    </row>
    <row r="1815" spans="1:21" x14ac:dyDescent="0.25">
      <c r="A1815">
        <v>46121</v>
      </c>
      <c r="B1815" t="s">
        <v>98</v>
      </c>
      <c r="C1815" t="s">
        <v>99</v>
      </c>
      <c r="D1815" t="s">
        <v>69</v>
      </c>
      <c r="E1815" t="s">
        <v>24</v>
      </c>
      <c r="F1815" t="s">
        <v>75</v>
      </c>
      <c r="G1815" t="s">
        <v>66</v>
      </c>
      <c r="H1815" t="s">
        <v>55</v>
      </c>
      <c r="I1815" t="s">
        <v>61</v>
      </c>
      <c r="J1815" t="s">
        <v>87</v>
      </c>
      <c r="K1815">
        <v>6233</v>
      </c>
      <c r="L1815">
        <v>90</v>
      </c>
      <c r="M1815">
        <v>81.94</v>
      </c>
      <c r="N1815">
        <v>1</v>
      </c>
      <c r="O1815">
        <v>37.83</v>
      </c>
      <c r="P1815">
        <f t="shared" si="112"/>
        <v>1.4439274827530884E-2</v>
      </c>
      <c r="Q1815">
        <f t="shared" si="112"/>
        <v>0.91044444444444439</v>
      </c>
      <c r="R1815">
        <f t="shared" si="113"/>
        <v>81.94</v>
      </c>
      <c r="S1815">
        <f t="shared" si="114"/>
        <v>0.46167927752013665</v>
      </c>
      <c r="T1815">
        <f t="shared" si="115"/>
        <v>1.1111111111111112E-2</v>
      </c>
      <c r="U1815" t="str">
        <f>YEAR('Campaign Data'!$A1815)&amp;"-"&amp;TEXT(MONTH('Campaign Data'!$A1815),"00")</f>
        <v>2026-04</v>
      </c>
    </row>
    <row r="1816" spans="1:21" x14ac:dyDescent="0.25">
      <c r="A1816">
        <v>46121</v>
      </c>
      <c r="B1816" t="s">
        <v>127</v>
      </c>
      <c r="C1816" t="s">
        <v>128</v>
      </c>
      <c r="D1816" t="s">
        <v>58</v>
      </c>
      <c r="E1816" t="s">
        <v>24</v>
      </c>
      <c r="F1816" t="s">
        <v>81</v>
      </c>
      <c r="G1816" t="s">
        <v>129</v>
      </c>
      <c r="H1816" t="s">
        <v>27</v>
      </c>
      <c r="I1816" t="s">
        <v>28</v>
      </c>
      <c r="J1816" t="s">
        <v>45</v>
      </c>
      <c r="K1816">
        <v>3498</v>
      </c>
      <c r="L1816">
        <v>33</v>
      </c>
      <c r="M1816">
        <v>38.880000000000003</v>
      </c>
      <c r="N1816">
        <v>1</v>
      </c>
      <c r="O1816">
        <v>11.08</v>
      </c>
      <c r="P1816">
        <f t="shared" si="112"/>
        <v>9.433962264150943E-3</v>
      </c>
      <c r="Q1816">
        <f t="shared" si="112"/>
        <v>1.1781818181818182</v>
      </c>
      <c r="R1816">
        <f t="shared" si="113"/>
        <v>38.880000000000003</v>
      </c>
      <c r="S1816">
        <f t="shared" si="114"/>
        <v>0.28497942386831276</v>
      </c>
      <c r="T1816">
        <f t="shared" si="115"/>
        <v>3.0303030303030304E-2</v>
      </c>
      <c r="U1816" t="str">
        <f>YEAR('Campaign Data'!$A1816)&amp;"-"&amp;TEXT(MONTH('Campaign Data'!$A1816),"00")</f>
        <v>2026-04</v>
      </c>
    </row>
    <row r="1817" spans="1:21" x14ac:dyDescent="0.25">
      <c r="A1817">
        <v>46121</v>
      </c>
      <c r="B1817" t="s">
        <v>127</v>
      </c>
      <c r="C1817" t="s">
        <v>128</v>
      </c>
      <c r="D1817" t="s">
        <v>58</v>
      </c>
      <c r="E1817" t="s">
        <v>24</v>
      </c>
      <c r="F1817" t="s">
        <v>81</v>
      </c>
      <c r="G1817" t="s">
        <v>129</v>
      </c>
      <c r="H1817" t="s">
        <v>27</v>
      </c>
      <c r="I1817" t="s">
        <v>37</v>
      </c>
      <c r="J1817" t="s">
        <v>87</v>
      </c>
      <c r="K1817">
        <v>4444</v>
      </c>
      <c r="L1817">
        <v>20</v>
      </c>
      <c r="M1817">
        <v>28.66</v>
      </c>
      <c r="N1817">
        <v>0</v>
      </c>
      <c r="O1817">
        <v>0</v>
      </c>
      <c r="P1817">
        <f t="shared" si="112"/>
        <v>4.5004500450045006E-3</v>
      </c>
      <c r="Q1817">
        <f t="shared" si="112"/>
        <v>1.4330000000000001</v>
      </c>
      <c r="R1817">
        <f t="shared" si="113"/>
        <v>0</v>
      </c>
      <c r="S1817">
        <f t="shared" si="114"/>
        <v>0</v>
      </c>
      <c r="T1817">
        <f t="shared" si="115"/>
        <v>0</v>
      </c>
      <c r="U1817" t="str">
        <f>YEAR('Campaign Data'!$A1817)&amp;"-"&amp;TEXT(MONTH('Campaign Data'!$A1817),"00")</f>
        <v>2026-04</v>
      </c>
    </row>
    <row r="1818" spans="1:21" x14ac:dyDescent="0.25">
      <c r="A1818">
        <v>46121</v>
      </c>
      <c r="B1818" t="s">
        <v>103</v>
      </c>
      <c r="C1818" t="s">
        <v>104</v>
      </c>
      <c r="D1818" t="s">
        <v>65</v>
      </c>
      <c r="E1818" t="s">
        <v>33</v>
      </c>
      <c r="F1818" t="s">
        <v>43</v>
      </c>
      <c r="G1818" t="s">
        <v>102</v>
      </c>
      <c r="H1818" t="s">
        <v>27</v>
      </c>
      <c r="I1818" t="s">
        <v>37</v>
      </c>
      <c r="J1818" t="s">
        <v>87</v>
      </c>
      <c r="K1818">
        <v>4867</v>
      </c>
      <c r="L1818">
        <v>58</v>
      </c>
      <c r="M1818">
        <v>45.44</v>
      </c>
      <c r="N1818">
        <v>2</v>
      </c>
      <c r="O1818">
        <v>94.39</v>
      </c>
      <c r="P1818">
        <f t="shared" si="112"/>
        <v>1.1916991986850216E-2</v>
      </c>
      <c r="Q1818">
        <f t="shared" si="112"/>
        <v>0.78344827586206889</v>
      </c>
      <c r="R1818">
        <f t="shared" si="113"/>
        <v>22.72</v>
      </c>
      <c r="S1818">
        <f t="shared" si="114"/>
        <v>2.0772447183098595</v>
      </c>
      <c r="T1818">
        <f t="shared" si="115"/>
        <v>3.4482758620689655E-2</v>
      </c>
      <c r="U1818" t="str">
        <f>YEAR('Campaign Data'!$A1818)&amp;"-"&amp;TEXT(MONTH('Campaign Data'!$A1818),"00")</f>
        <v>2026-04</v>
      </c>
    </row>
    <row r="1819" spans="1:21" x14ac:dyDescent="0.25">
      <c r="A1819">
        <v>46121</v>
      </c>
      <c r="B1819" t="s">
        <v>105</v>
      </c>
      <c r="C1819" t="s">
        <v>106</v>
      </c>
      <c r="D1819" t="s">
        <v>58</v>
      </c>
      <c r="E1819" t="s">
        <v>49</v>
      </c>
      <c r="F1819" t="s">
        <v>81</v>
      </c>
      <c r="G1819" t="s">
        <v>107</v>
      </c>
      <c r="H1819" t="s">
        <v>90</v>
      </c>
      <c r="I1819" t="s">
        <v>28</v>
      </c>
      <c r="J1819" t="s">
        <v>87</v>
      </c>
      <c r="K1819">
        <v>8309</v>
      </c>
      <c r="L1819">
        <v>464</v>
      </c>
      <c r="M1819">
        <v>171.24</v>
      </c>
      <c r="N1819">
        <v>12</v>
      </c>
      <c r="O1819">
        <v>73.290000000000006</v>
      </c>
      <c r="P1819">
        <f t="shared" si="112"/>
        <v>5.584306174028162E-2</v>
      </c>
      <c r="Q1819">
        <f t="shared" si="112"/>
        <v>0.36905172413793108</v>
      </c>
      <c r="R1819">
        <f t="shared" si="113"/>
        <v>14.270000000000001</v>
      </c>
      <c r="S1819">
        <f t="shared" si="114"/>
        <v>0.42799579537491239</v>
      </c>
      <c r="T1819">
        <f t="shared" si="115"/>
        <v>2.5862068965517241E-2</v>
      </c>
      <c r="U1819" t="str">
        <f>YEAR('Campaign Data'!$A1819)&amp;"-"&amp;TEXT(MONTH('Campaign Data'!$A1819),"00")</f>
        <v>2026-04</v>
      </c>
    </row>
    <row r="1820" spans="1:21" x14ac:dyDescent="0.25">
      <c r="A1820">
        <v>46121</v>
      </c>
      <c r="B1820" t="s">
        <v>130</v>
      </c>
      <c r="C1820" t="s">
        <v>131</v>
      </c>
      <c r="D1820" t="s">
        <v>48</v>
      </c>
      <c r="E1820" t="s">
        <v>33</v>
      </c>
      <c r="F1820" t="s">
        <v>34</v>
      </c>
      <c r="G1820" t="s">
        <v>35</v>
      </c>
      <c r="H1820" t="s">
        <v>55</v>
      </c>
      <c r="I1820" t="s">
        <v>28</v>
      </c>
      <c r="J1820" t="s">
        <v>87</v>
      </c>
      <c r="K1820">
        <v>21010</v>
      </c>
      <c r="L1820">
        <v>214</v>
      </c>
      <c r="M1820">
        <v>123.91</v>
      </c>
      <c r="N1820">
        <v>8</v>
      </c>
      <c r="O1820">
        <v>1010.55</v>
      </c>
      <c r="P1820">
        <f t="shared" si="112"/>
        <v>1.0185625892432175E-2</v>
      </c>
      <c r="Q1820">
        <f t="shared" si="112"/>
        <v>0.57901869158878505</v>
      </c>
      <c r="R1820">
        <f t="shared" si="113"/>
        <v>15.48875</v>
      </c>
      <c r="S1820">
        <f t="shared" si="114"/>
        <v>8.1555161003954488</v>
      </c>
      <c r="T1820">
        <f t="shared" si="115"/>
        <v>3.7383177570093455E-2</v>
      </c>
      <c r="U1820" t="str">
        <f>YEAR('Campaign Data'!$A1820)&amp;"-"&amp;TEXT(MONTH('Campaign Data'!$A1820),"00")</f>
        <v>2026-04</v>
      </c>
    </row>
    <row r="1821" spans="1:21" x14ac:dyDescent="0.25">
      <c r="A1821">
        <v>46121</v>
      </c>
      <c r="B1821" t="s">
        <v>155</v>
      </c>
      <c r="C1821" t="s">
        <v>156</v>
      </c>
      <c r="D1821" t="s">
        <v>32</v>
      </c>
      <c r="E1821" t="s">
        <v>24</v>
      </c>
      <c r="F1821" t="s">
        <v>34</v>
      </c>
      <c r="G1821" t="s">
        <v>129</v>
      </c>
      <c r="H1821" t="s">
        <v>36</v>
      </c>
      <c r="I1821" t="s">
        <v>61</v>
      </c>
      <c r="J1821" t="s">
        <v>45</v>
      </c>
      <c r="K1821">
        <v>7723</v>
      </c>
      <c r="L1821">
        <v>99</v>
      </c>
      <c r="M1821">
        <v>58.3</v>
      </c>
      <c r="N1821">
        <v>2</v>
      </c>
      <c r="O1821">
        <v>328.33</v>
      </c>
      <c r="P1821">
        <f t="shared" si="112"/>
        <v>1.2818852777418102E-2</v>
      </c>
      <c r="Q1821">
        <f t="shared" si="112"/>
        <v>0.58888888888888891</v>
      </c>
      <c r="R1821">
        <f t="shared" si="113"/>
        <v>29.15</v>
      </c>
      <c r="S1821">
        <f t="shared" si="114"/>
        <v>5.6317324185248712</v>
      </c>
      <c r="T1821">
        <f t="shared" si="115"/>
        <v>2.0202020202020204E-2</v>
      </c>
      <c r="U1821" t="str">
        <f>YEAR('Campaign Data'!$A1821)&amp;"-"&amp;TEXT(MONTH('Campaign Data'!$A1821),"00")</f>
        <v>2026-04</v>
      </c>
    </row>
    <row r="1822" spans="1:21" x14ac:dyDescent="0.25">
      <c r="A1822">
        <v>46121</v>
      </c>
      <c r="B1822" t="s">
        <v>159</v>
      </c>
      <c r="C1822" t="s">
        <v>160</v>
      </c>
      <c r="D1822" t="s">
        <v>65</v>
      </c>
      <c r="E1822" t="s">
        <v>42</v>
      </c>
      <c r="F1822" t="s">
        <v>75</v>
      </c>
      <c r="G1822" t="s">
        <v>54</v>
      </c>
      <c r="H1822" t="s">
        <v>51</v>
      </c>
      <c r="I1822" t="s">
        <v>37</v>
      </c>
      <c r="J1822" t="s">
        <v>62</v>
      </c>
      <c r="K1822">
        <v>4277</v>
      </c>
      <c r="L1822">
        <v>27</v>
      </c>
      <c r="M1822">
        <v>139.36000000000001</v>
      </c>
      <c r="N1822">
        <v>2</v>
      </c>
      <c r="O1822">
        <v>50.6</v>
      </c>
      <c r="P1822">
        <f t="shared" si="112"/>
        <v>6.3128361000701428E-3</v>
      </c>
      <c r="Q1822">
        <f t="shared" si="112"/>
        <v>5.1614814814814816</v>
      </c>
      <c r="R1822">
        <f t="shared" si="113"/>
        <v>69.680000000000007</v>
      </c>
      <c r="S1822">
        <f t="shared" si="114"/>
        <v>0.36308840413318022</v>
      </c>
      <c r="T1822">
        <f t="shared" si="115"/>
        <v>7.407407407407407E-2</v>
      </c>
      <c r="U1822" t="str">
        <f>YEAR('Campaign Data'!$A1822)&amp;"-"&amp;TEXT(MONTH('Campaign Data'!$A1822),"00")</f>
        <v>2026-04</v>
      </c>
    </row>
    <row r="1823" spans="1:21" x14ac:dyDescent="0.25">
      <c r="A1823">
        <v>46121</v>
      </c>
      <c r="B1823" t="s">
        <v>114</v>
      </c>
      <c r="C1823" t="s">
        <v>115</v>
      </c>
      <c r="D1823" t="s">
        <v>69</v>
      </c>
      <c r="E1823" t="s">
        <v>49</v>
      </c>
      <c r="F1823" t="s">
        <v>25</v>
      </c>
      <c r="G1823" t="s">
        <v>107</v>
      </c>
      <c r="H1823" t="s">
        <v>27</v>
      </c>
      <c r="I1823" t="s">
        <v>37</v>
      </c>
      <c r="J1823" t="s">
        <v>62</v>
      </c>
      <c r="K1823">
        <v>10541</v>
      </c>
      <c r="L1823">
        <v>561</v>
      </c>
      <c r="M1823">
        <v>847.88</v>
      </c>
      <c r="N1823">
        <v>49</v>
      </c>
      <c r="O1823">
        <v>9603.56</v>
      </c>
      <c r="P1823">
        <f t="shared" si="112"/>
        <v>5.3220757043923726E-2</v>
      </c>
      <c r="Q1823">
        <f t="shared" si="112"/>
        <v>1.5113725490196079</v>
      </c>
      <c r="R1823">
        <f t="shared" si="113"/>
        <v>17.303673469387753</v>
      </c>
      <c r="S1823">
        <f t="shared" si="114"/>
        <v>11.326555644666698</v>
      </c>
      <c r="T1823">
        <f t="shared" si="115"/>
        <v>8.7344028520499106E-2</v>
      </c>
      <c r="U1823" t="str">
        <f>YEAR('Campaign Data'!$A1823)&amp;"-"&amp;TEXT(MONTH('Campaign Data'!$A1823),"00")</f>
        <v>2026-04</v>
      </c>
    </row>
    <row r="1824" spans="1:21" x14ac:dyDescent="0.25">
      <c r="A1824">
        <v>46121</v>
      </c>
      <c r="B1824" t="s">
        <v>56</v>
      </c>
      <c r="C1824" t="s">
        <v>57</v>
      </c>
      <c r="D1824" t="s">
        <v>58</v>
      </c>
      <c r="E1824" t="s">
        <v>33</v>
      </c>
      <c r="F1824" t="s">
        <v>43</v>
      </c>
      <c r="G1824" t="s">
        <v>59</v>
      </c>
      <c r="H1824" t="s">
        <v>36</v>
      </c>
      <c r="I1824" t="s">
        <v>37</v>
      </c>
      <c r="J1824" t="s">
        <v>45</v>
      </c>
      <c r="K1824">
        <v>5225</v>
      </c>
      <c r="L1824">
        <v>53</v>
      </c>
      <c r="M1824">
        <v>39.549999999999997</v>
      </c>
      <c r="N1824">
        <v>1</v>
      </c>
      <c r="O1824">
        <v>19.43</v>
      </c>
      <c r="P1824">
        <f t="shared" si="112"/>
        <v>1.014354066985646E-2</v>
      </c>
      <c r="Q1824">
        <f t="shared" si="112"/>
        <v>0.74622641509433962</v>
      </c>
      <c r="R1824">
        <f t="shared" si="113"/>
        <v>39.549999999999997</v>
      </c>
      <c r="S1824">
        <f t="shared" si="114"/>
        <v>0.49127686472819221</v>
      </c>
      <c r="T1824">
        <f t="shared" si="115"/>
        <v>1.8867924528301886E-2</v>
      </c>
      <c r="U1824" t="str">
        <f>YEAR('Campaign Data'!$A1824)&amp;"-"&amp;TEXT(MONTH('Campaign Data'!$A1824),"00")</f>
        <v>2026-04</v>
      </c>
    </row>
    <row r="1825" spans="1:21" x14ac:dyDescent="0.25">
      <c r="A1825">
        <v>46121</v>
      </c>
      <c r="B1825" t="s">
        <v>136</v>
      </c>
      <c r="C1825" t="s">
        <v>137</v>
      </c>
      <c r="D1825" t="s">
        <v>32</v>
      </c>
      <c r="E1825" t="s">
        <v>49</v>
      </c>
      <c r="F1825" t="s">
        <v>75</v>
      </c>
      <c r="G1825" t="s">
        <v>97</v>
      </c>
      <c r="H1825" t="s">
        <v>27</v>
      </c>
      <c r="I1825" t="s">
        <v>28</v>
      </c>
      <c r="J1825" t="s">
        <v>87</v>
      </c>
      <c r="K1825">
        <v>11011</v>
      </c>
      <c r="L1825">
        <v>531</v>
      </c>
      <c r="M1825">
        <v>1458.48</v>
      </c>
      <c r="N1825">
        <v>28</v>
      </c>
      <c r="O1825">
        <v>1171.6199999999999</v>
      </c>
      <c r="P1825">
        <f t="shared" si="112"/>
        <v>4.8224502769957316E-2</v>
      </c>
      <c r="Q1825">
        <f t="shared" si="112"/>
        <v>2.7466666666666666</v>
      </c>
      <c r="R1825">
        <f t="shared" si="113"/>
        <v>52.088571428571427</v>
      </c>
      <c r="S1825">
        <f t="shared" si="114"/>
        <v>0.803315780812901</v>
      </c>
      <c r="T1825">
        <f t="shared" si="115"/>
        <v>5.2730696798493411E-2</v>
      </c>
      <c r="U1825" t="str">
        <f>YEAR('Campaign Data'!$A1825)&amp;"-"&amp;TEXT(MONTH('Campaign Data'!$A1825),"00")</f>
        <v>2026-04</v>
      </c>
    </row>
    <row r="1826" spans="1:21" x14ac:dyDescent="0.25">
      <c r="A1826">
        <v>46121</v>
      </c>
      <c r="B1826" t="s">
        <v>143</v>
      </c>
      <c r="C1826" t="s">
        <v>144</v>
      </c>
      <c r="D1826" t="s">
        <v>48</v>
      </c>
      <c r="E1826" t="s">
        <v>42</v>
      </c>
      <c r="F1826" t="s">
        <v>25</v>
      </c>
      <c r="G1826" t="s">
        <v>84</v>
      </c>
      <c r="H1826" t="s">
        <v>27</v>
      </c>
      <c r="I1826" t="s">
        <v>37</v>
      </c>
      <c r="J1826" t="s">
        <v>45</v>
      </c>
      <c r="K1826">
        <v>17596</v>
      </c>
      <c r="L1826">
        <v>66</v>
      </c>
      <c r="M1826">
        <v>535.74</v>
      </c>
      <c r="N1826">
        <v>1</v>
      </c>
      <c r="O1826">
        <v>115.81</v>
      </c>
      <c r="P1826">
        <f t="shared" si="112"/>
        <v>3.7508524664696522E-3</v>
      </c>
      <c r="Q1826">
        <f t="shared" si="112"/>
        <v>8.1172727272727272</v>
      </c>
      <c r="R1826">
        <f t="shared" si="113"/>
        <v>535.74</v>
      </c>
      <c r="S1826">
        <f t="shared" si="114"/>
        <v>0.21616829058871842</v>
      </c>
      <c r="T1826">
        <f t="shared" si="115"/>
        <v>1.5151515151515152E-2</v>
      </c>
      <c r="U1826" t="str">
        <f>YEAR('Campaign Data'!$A1826)&amp;"-"&amp;TEXT(MONTH('Campaign Data'!$A1826),"00")</f>
        <v>2026-04</v>
      </c>
    </row>
    <row r="1827" spans="1:21" x14ac:dyDescent="0.25">
      <c r="A1827">
        <v>46121</v>
      </c>
      <c r="B1827" t="s">
        <v>183</v>
      </c>
      <c r="C1827" t="s">
        <v>184</v>
      </c>
      <c r="D1827" t="s">
        <v>23</v>
      </c>
      <c r="E1827" t="s">
        <v>24</v>
      </c>
      <c r="F1827" t="s">
        <v>81</v>
      </c>
      <c r="G1827" t="s">
        <v>185</v>
      </c>
      <c r="H1827" t="s">
        <v>27</v>
      </c>
      <c r="I1827" t="s">
        <v>28</v>
      </c>
      <c r="J1827" t="s">
        <v>45</v>
      </c>
      <c r="K1827">
        <v>7470</v>
      </c>
      <c r="L1827">
        <v>73</v>
      </c>
      <c r="M1827">
        <v>128.52000000000001</v>
      </c>
      <c r="N1827">
        <v>4</v>
      </c>
      <c r="O1827">
        <v>82.61</v>
      </c>
      <c r="P1827">
        <f t="shared" si="112"/>
        <v>9.772423025435073E-3</v>
      </c>
      <c r="Q1827">
        <f t="shared" si="112"/>
        <v>1.7605479452054795</v>
      </c>
      <c r="R1827">
        <f t="shared" si="113"/>
        <v>32.130000000000003</v>
      </c>
      <c r="S1827">
        <f t="shared" si="114"/>
        <v>0.64277933395580444</v>
      </c>
      <c r="T1827">
        <f t="shared" si="115"/>
        <v>5.4794520547945202E-2</v>
      </c>
      <c r="U1827" t="str">
        <f>YEAR('Campaign Data'!$A1827)&amp;"-"&amp;TEXT(MONTH('Campaign Data'!$A1827),"00")</f>
        <v>2026-04</v>
      </c>
    </row>
    <row r="1828" spans="1:21" x14ac:dyDescent="0.25">
      <c r="A1828">
        <v>46121</v>
      </c>
      <c r="B1828" t="s">
        <v>116</v>
      </c>
      <c r="C1828" t="s">
        <v>117</v>
      </c>
      <c r="D1828" t="s">
        <v>48</v>
      </c>
      <c r="E1828" t="s">
        <v>24</v>
      </c>
      <c r="F1828" t="s">
        <v>43</v>
      </c>
      <c r="G1828" t="s">
        <v>26</v>
      </c>
      <c r="H1828" t="s">
        <v>90</v>
      </c>
      <c r="I1828" t="s">
        <v>28</v>
      </c>
      <c r="J1828" t="s">
        <v>29</v>
      </c>
      <c r="K1828">
        <v>12059</v>
      </c>
      <c r="L1828">
        <v>174</v>
      </c>
      <c r="M1828">
        <v>63.74</v>
      </c>
      <c r="N1828">
        <v>1</v>
      </c>
      <c r="O1828">
        <v>8.1999999999999993</v>
      </c>
      <c r="P1828">
        <f t="shared" si="112"/>
        <v>1.4429057135749233E-2</v>
      </c>
      <c r="Q1828">
        <f t="shared" si="112"/>
        <v>0.36632183908045979</v>
      </c>
      <c r="R1828">
        <f t="shared" si="113"/>
        <v>63.74</v>
      </c>
      <c r="S1828">
        <f t="shared" si="114"/>
        <v>0.12864763100094131</v>
      </c>
      <c r="T1828">
        <f t="shared" si="115"/>
        <v>5.7471264367816091E-3</v>
      </c>
      <c r="U1828" t="str">
        <f>YEAR('Campaign Data'!$A1828)&amp;"-"&amp;TEXT(MONTH('Campaign Data'!$A1828),"00")</f>
        <v>2026-04</v>
      </c>
    </row>
    <row r="1829" spans="1:21" x14ac:dyDescent="0.25">
      <c r="A1829">
        <v>46121</v>
      </c>
      <c r="B1829" t="s">
        <v>76</v>
      </c>
      <c r="C1829" t="s">
        <v>77</v>
      </c>
      <c r="D1829" t="s">
        <v>65</v>
      </c>
      <c r="E1829" t="s">
        <v>42</v>
      </c>
      <c r="F1829" t="s">
        <v>43</v>
      </c>
      <c r="G1829" t="s">
        <v>44</v>
      </c>
      <c r="H1829" t="s">
        <v>51</v>
      </c>
      <c r="I1829" t="s">
        <v>28</v>
      </c>
      <c r="J1829" t="s">
        <v>38</v>
      </c>
      <c r="K1829">
        <v>5294</v>
      </c>
      <c r="L1829">
        <v>38</v>
      </c>
      <c r="M1829">
        <v>183.67</v>
      </c>
      <c r="N1829">
        <v>2</v>
      </c>
      <c r="O1829">
        <v>81.010000000000005</v>
      </c>
      <c r="P1829">
        <f t="shared" si="112"/>
        <v>7.1779372874952773E-3</v>
      </c>
      <c r="Q1829">
        <f t="shared" si="112"/>
        <v>4.8334210526315786</v>
      </c>
      <c r="R1829">
        <f t="shared" si="113"/>
        <v>91.834999999999994</v>
      </c>
      <c r="S1829">
        <f t="shared" si="114"/>
        <v>0.44106277563020641</v>
      </c>
      <c r="T1829">
        <f t="shared" si="115"/>
        <v>5.2631578947368418E-2</v>
      </c>
      <c r="U1829" t="str">
        <f>YEAR('Campaign Data'!$A1829)&amp;"-"&amp;TEXT(MONTH('Campaign Data'!$A1829),"00")</f>
        <v>2026-04</v>
      </c>
    </row>
    <row r="1830" spans="1:21" x14ac:dyDescent="0.25">
      <c r="A1830">
        <v>46121</v>
      </c>
      <c r="B1830" t="s">
        <v>122</v>
      </c>
      <c r="C1830" t="s">
        <v>123</v>
      </c>
      <c r="D1830" t="s">
        <v>41</v>
      </c>
      <c r="E1830" t="s">
        <v>33</v>
      </c>
      <c r="F1830" t="s">
        <v>75</v>
      </c>
      <c r="G1830" t="s">
        <v>35</v>
      </c>
      <c r="H1830" t="s">
        <v>36</v>
      </c>
      <c r="I1830" t="s">
        <v>37</v>
      </c>
      <c r="J1830" t="s">
        <v>38</v>
      </c>
      <c r="K1830">
        <v>19789</v>
      </c>
      <c r="L1830">
        <v>232</v>
      </c>
      <c r="M1830">
        <v>109.69</v>
      </c>
      <c r="N1830">
        <v>2</v>
      </c>
      <c r="O1830">
        <v>94.68</v>
      </c>
      <c r="P1830">
        <f t="shared" si="112"/>
        <v>1.1723684875435849E-2</v>
      </c>
      <c r="Q1830">
        <f t="shared" si="112"/>
        <v>0.47280172413793103</v>
      </c>
      <c r="R1830">
        <f t="shared" si="113"/>
        <v>54.844999999999999</v>
      </c>
      <c r="S1830">
        <f t="shared" si="114"/>
        <v>0.86315981402133291</v>
      </c>
      <c r="T1830">
        <f t="shared" si="115"/>
        <v>8.6206896551724137E-3</v>
      </c>
      <c r="U1830" t="str">
        <f>YEAR('Campaign Data'!$A1830)&amp;"-"&amp;TEXT(MONTH('Campaign Data'!$A1830),"00")</f>
        <v>2026-04</v>
      </c>
    </row>
    <row r="1831" spans="1:21" x14ac:dyDescent="0.25">
      <c r="A1831">
        <v>46121</v>
      </c>
      <c r="B1831" t="s">
        <v>82</v>
      </c>
      <c r="C1831" t="s">
        <v>83</v>
      </c>
      <c r="D1831" t="s">
        <v>80</v>
      </c>
      <c r="E1831" t="s">
        <v>42</v>
      </c>
      <c r="F1831" t="s">
        <v>34</v>
      </c>
      <c r="G1831" t="s">
        <v>84</v>
      </c>
      <c r="H1831" t="s">
        <v>55</v>
      </c>
      <c r="I1831" t="s">
        <v>37</v>
      </c>
      <c r="J1831" t="s">
        <v>38</v>
      </c>
      <c r="K1831">
        <v>8587</v>
      </c>
      <c r="L1831">
        <v>62</v>
      </c>
      <c r="M1831">
        <v>344.3</v>
      </c>
      <c r="N1831">
        <v>1</v>
      </c>
      <c r="O1831">
        <v>156.9</v>
      </c>
      <c r="P1831">
        <f t="shared" si="112"/>
        <v>7.2202166064981952E-3</v>
      </c>
      <c r="Q1831">
        <f t="shared" si="112"/>
        <v>5.5532258064516133</v>
      </c>
      <c r="R1831">
        <f t="shared" si="113"/>
        <v>344.3</v>
      </c>
      <c r="S1831">
        <f t="shared" si="114"/>
        <v>0.45570723206505953</v>
      </c>
      <c r="T1831">
        <f t="shared" si="115"/>
        <v>1.6129032258064516E-2</v>
      </c>
      <c r="U1831" t="str">
        <f>YEAR('Campaign Data'!$A1831)&amp;"-"&amp;TEXT(MONTH('Campaign Data'!$A1831),"00")</f>
        <v>2026-04</v>
      </c>
    </row>
    <row r="1832" spans="1:21" x14ac:dyDescent="0.25">
      <c r="A1832">
        <v>46122</v>
      </c>
      <c r="B1832" t="s">
        <v>85</v>
      </c>
      <c r="C1832" t="s">
        <v>86</v>
      </c>
      <c r="D1832" t="s">
        <v>80</v>
      </c>
      <c r="E1832" t="s">
        <v>33</v>
      </c>
      <c r="F1832" t="s">
        <v>43</v>
      </c>
      <c r="G1832" t="s">
        <v>35</v>
      </c>
      <c r="H1832" t="s">
        <v>27</v>
      </c>
      <c r="I1832" t="s">
        <v>28</v>
      </c>
      <c r="J1832" t="s">
        <v>87</v>
      </c>
      <c r="K1832">
        <v>5360</v>
      </c>
      <c r="L1832">
        <v>45</v>
      </c>
      <c r="M1832">
        <v>34.340000000000003</v>
      </c>
      <c r="N1832">
        <v>1</v>
      </c>
      <c r="O1832">
        <v>42.25</v>
      </c>
      <c r="P1832">
        <f t="shared" si="112"/>
        <v>8.3955223880597014E-3</v>
      </c>
      <c r="Q1832">
        <f t="shared" si="112"/>
        <v>0.76311111111111118</v>
      </c>
      <c r="R1832">
        <f t="shared" si="113"/>
        <v>34.340000000000003</v>
      </c>
      <c r="S1832">
        <f t="shared" si="114"/>
        <v>1.2303436225975537</v>
      </c>
      <c r="T1832">
        <f t="shared" si="115"/>
        <v>2.2222222222222223E-2</v>
      </c>
      <c r="U1832" t="str">
        <f>YEAR('Campaign Data'!$A1832)&amp;"-"&amp;TEXT(MONTH('Campaign Data'!$A1832),"00")</f>
        <v>2026-04</v>
      </c>
    </row>
    <row r="1833" spans="1:21" x14ac:dyDescent="0.25">
      <c r="A1833">
        <v>46122</v>
      </c>
      <c r="B1833" t="s">
        <v>85</v>
      </c>
      <c r="C1833" t="s">
        <v>86</v>
      </c>
      <c r="D1833" t="s">
        <v>80</v>
      </c>
      <c r="E1833" t="s">
        <v>33</v>
      </c>
      <c r="F1833" t="s">
        <v>43</v>
      </c>
      <c r="G1833" t="s">
        <v>35</v>
      </c>
      <c r="H1833" t="s">
        <v>90</v>
      </c>
      <c r="I1833" t="s">
        <v>28</v>
      </c>
      <c r="J1833" t="s">
        <v>62</v>
      </c>
      <c r="K1833">
        <v>7196</v>
      </c>
      <c r="L1833">
        <v>47</v>
      </c>
      <c r="M1833">
        <v>7.56</v>
      </c>
      <c r="N1833">
        <v>0</v>
      </c>
      <c r="O1833">
        <v>0</v>
      </c>
      <c r="P1833">
        <f t="shared" si="112"/>
        <v>6.5314063368538079E-3</v>
      </c>
      <c r="Q1833">
        <f t="shared" si="112"/>
        <v>0.16085106382978723</v>
      </c>
      <c r="R1833">
        <f t="shared" si="113"/>
        <v>0</v>
      </c>
      <c r="S1833">
        <f t="shared" si="114"/>
        <v>0</v>
      </c>
      <c r="T1833">
        <f t="shared" si="115"/>
        <v>0</v>
      </c>
      <c r="U1833" t="str">
        <f>YEAR('Campaign Data'!$A1833)&amp;"-"&amp;TEXT(MONTH('Campaign Data'!$A1833),"00")</f>
        <v>2026-04</v>
      </c>
    </row>
    <row r="1834" spans="1:21" x14ac:dyDescent="0.25">
      <c r="A1834">
        <v>46122</v>
      </c>
      <c r="B1834" t="s">
        <v>21</v>
      </c>
      <c r="C1834" t="s">
        <v>124</v>
      </c>
      <c r="D1834" t="s">
        <v>23</v>
      </c>
      <c r="E1834" t="s">
        <v>24</v>
      </c>
      <c r="F1834" t="s">
        <v>25</v>
      </c>
      <c r="G1834" t="s">
        <v>26</v>
      </c>
      <c r="H1834" t="s">
        <v>90</v>
      </c>
      <c r="I1834" t="s">
        <v>37</v>
      </c>
      <c r="J1834" t="s">
        <v>29</v>
      </c>
      <c r="K1834">
        <v>6337</v>
      </c>
      <c r="L1834">
        <v>55</v>
      </c>
      <c r="M1834">
        <v>9.5</v>
      </c>
      <c r="N1834">
        <v>1</v>
      </c>
      <c r="O1834">
        <v>53.62</v>
      </c>
      <c r="P1834">
        <f t="shared" si="112"/>
        <v>8.6791857345747195E-3</v>
      </c>
      <c r="Q1834">
        <f t="shared" si="112"/>
        <v>0.17272727272727273</v>
      </c>
      <c r="R1834">
        <f t="shared" si="113"/>
        <v>9.5</v>
      </c>
      <c r="S1834">
        <f t="shared" si="114"/>
        <v>5.6442105263157893</v>
      </c>
      <c r="T1834">
        <f t="shared" si="115"/>
        <v>1.8181818181818181E-2</v>
      </c>
      <c r="U1834" t="str">
        <f>YEAR('Campaign Data'!$A1834)&amp;"-"&amp;TEXT(MONTH('Campaign Data'!$A1834),"00")</f>
        <v>2026-04</v>
      </c>
    </row>
    <row r="1835" spans="1:21" x14ac:dyDescent="0.25">
      <c r="A1835">
        <v>46122</v>
      </c>
      <c r="B1835" t="s">
        <v>93</v>
      </c>
      <c r="C1835" t="s">
        <v>94</v>
      </c>
      <c r="D1835" t="s">
        <v>69</v>
      </c>
      <c r="E1835" t="s">
        <v>42</v>
      </c>
      <c r="F1835" t="s">
        <v>75</v>
      </c>
      <c r="G1835" t="s">
        <v>44</v>
      </c>
      <c r="H1835" t="s">
        <v>36</v>
      </c>
      <c r="I1835" t="s">
        <v>28</v>
      </c>
      <c r="J1835" t="s">
        <v>38</v>
      </c>
      <c r="K1835">
        <v>10419</v>
      </c>
      <c r="L1835">
        <v>66</v>
      </c>
      <c r="M1835">
        <v>286.60000000000002</v>
      </c>
      <c r="N1835">
        <v>6</v>
      </c>
      <c r="O1835">
        <v>186.99</v>
      </c>
      <c r="P1835">
        <f t="shared" si="112"/>
        <v>6.3345810538439386E-3</v>
      </c>
      <c r="Q1835">
        <f t="shared" si="112"/>
        <v>4.3424242424242427</v>
      </c>
      <c r="R1835">
        <f t="shared" si="113"/>
        <v>47.766666666666673</v>
      </c>
      <c r="S1835">
        <f t="shared" si="114"/>
        <v>0.65244242847173761</v>
      </c>
      <c r="T1835">
        <f t="shared" si="115"/>
        <v>9.0909090909090912E-2</v>
      </c>
      <c r="U1835" t="str">
        <f>YEAR('Campaign Data'!$A1835)&amp;"-"&amp;TEXT(MONTH('Campaign Data'!$A1835),"00")</f>
        <v>2026-04</v>
      </c>
    </row>
    <row r="1836" spans="1:21" x14ac:dyDescent="0.25">
      <c r="A1836">
        <v>46122</v>
      </c>
      <c r="B1836" t="s">
        <v>95</v>
      </c>
      <c r="C1836" t="s">
        <v>96</v>
      </c>
      <c r="D1836" t="s">
        <v>23</v>
      </c>
      <c r="E1836" t="s">
        <v>49</v>
      </c>
      <c r="F1836" t="s">
        <v>43</v>
      </c>
      <c r="G1836" t="s">
        <v>97</v>
      </c>
      <c r="H1836" t="s">
        <v>90</v>
      </c>
      <c r="I1836" t="s">
        <v>37</v>
      </c>
      <c r="J1836" t="s">
        <v>45</v>
      </c>
      <c r="K1836">
        <v>12082</v>
      </c>
      <c r="L1836">
        <v>743</v>
      </c>
      <c r="M1836">
        <v>404.18</v>
      </c>
      <c r="N1836">
        <v>55</v>
      </c>
      <c r="O1836">
        <v>275</v>
      </c>
      <c r="P1836">
        <f t="shared" si="112"/>
        <v>6.1496440986591627E-2</v>
      </c>
      <c r="Q1836">
        <f t="shared" si="112"/>
        <v>0.54398384925975773</v>
      </c>
      <c r="R1836">
        <f t="shared" si="113"/>
        <v>7.348727272727273</v>
      </c>
      <c r="S1836">
        <f t="shared" si="114"/>
        <v>0.68038992528081543</v>
      </c>
      <c r="T1836">
        <f t="shared" si="115"/>
        <v>7.4024226110363398E-2</v>
      </c>
      <c r="U1836" t="str">
        <f>YEAR('Campaign Data'!$A1836)&amp;"-"&amp;TEXT(MONTH('Campaign Data'!$A1836),"00")</f>
        <v>2026-04</v>
      </c>
    </row>
    <row r="1837" spans="1:21" x14ac:dyDescent="0.25">
      <c r="A1837">
        <v>46122</v>
      </c>
      <c r="B1837" t="s">
        <v>100</v>
      </c>
      <c r="C1837" t="s">
        <v>101</v>
      </c>
      <c r="D1837" t="s">
        <v>80</v>
      </c>
      <c r="E1837" t="s">
        <v>33</v>
      </c>
      <c r="F1837" t="s">
        <v>25</v>
      </c>
      <c r="G1837" t="s">
        <v>102</v>
      </c>
      <c r="H1837" t="s">
        <v>27</v>
      </c>
      <c r="I1837" t="s">
        <v>37</v>
      </c>
      <c r="J1837" t="s">
        <v>29</v>
      </c>
      <c r="K1837">
        <v>13211</v>
      </c>
      <c r="L1837">
        <v>115</v>
      </c>
      <c r="M1837">
        <v>98.02</v>
      </c>
      <c r="N1837">
        <v>1</v>
      </c>
      <c r="O1837">
        <v>234.45</v>
      </c>
      <c r="P1837">
        <f t="shared" si="112"/>
        <v>8.704867156157748E-3</v>
      </c>
      <c r="Q1837">
        <f t="shared" si="112"/>
        <v>0.85234782608695647</v>
      </c>
      <c r="R1837">
        <f t="shared" si="113"/>
        <v>98.02</v>
      </c>
      <c r="S1837">
        <f t="shared" si="114"/>
        <v>2.3918588043256479</v>
      </c>
      <c r="T1837">
        <f t="shared" si="115"/>
        <v>8.6956521739130436E-3</v>
      </c>
      <c r="U1837" t="str">
        <f>YEAR('Campaign Data'!$A1837)&amp;"-"&amp;TEXT(MONTH('Campaign Data'!$A1837),"00")</f>
        <v>2026-04</v>
      </c>
    </row>
    <row r="1838" spans="1:21" x14ac:dyDescent="0.25">
      <c r="A1838">
        <v>46122</v>
      </c>
      <c r="B1838" t="s">
        <v>127</v>
      </c>
      <c r="C1838" t="s">
        <v>128</v>
      </c>
      <c r="D1838" t="s">
        <v>58</v>
      </c>
      <c r="E1838" t="s">
        <v>24</v>
      </c>
      <c r="F1838" t="s">
        <v>81</v>
      </c>
      <c r="G1838" t="s">
        <v>129</v>
      </c>
      <c r="H1838" t="s">
        <v>51</v>
      </c>
      <c r="I1838" t="s">
        <v>37</v>
      </c>
      <c r="J1838" t="s">
        <v>29</v>
      </c>
      <c r="K1838">
        <v>11179</v>
      </c>
      <c r="L1838">
        <v>171</v>
      </c>
      <c r="M1838">
        <v>141.58000000000001</v>
      </c>
      <c r="N1838">
        <v>0</v>
      </c>
      <c r="O1838">
        <v>0</v>
      </c>
      <c r="P1838">
        <f t="shared" si="112"/>
        <v>1.529653815189194E-2</v>
      </c>
      <c r="Q1838">
        <f t="shared" si="112"/>
        <v>0.82795321637426911</v>
      </c>
      <c r="R1838">
        <f t="shared" si="113"/>
        <v>0</v>
      </c>
      <c r="S1838">
        <f t="shared" si="114"/>
        <v>0</v>
      </c>
      <c r="T1838">
        <f t="shared" si="115"/>
        <v>0</v>
      </c>
      <c r="U1838" t="str">
        <f>YEAR('Campaign Data'!$A1838)&amp;"-"&amp;TEXT(MONTH('Campaign Data'!$A1838),"00")</f>
        <v>2026-04</v>
      </c>
    </row>
    <row r="1839" spans="1:21" x14ac:dyDescent="0.25">
      <c r="A1839">
        <v>46122</v>
      </c>
      <c r="B1839" t="s">
        <v>130</v>
      </c>
      <c r="C1839" t="s">
        <v>131</v>
      </c>
      <c r="D1839" t="s">
        <v>48</v>
      </c>
      <c r="E1839" t="s">
        <v>33</v>
      </c>
      <c r="F1839" t="s">
        <v>34</v>
      </c>
      <c r="G1839" t="s">
        <v>35</v>
      </c>
      <c r="H1839" t="s">
        <v>51</v>
      </c>
      <c r="I1839" t="s">
        <v>37</v>
      </c>
      <c r="J1839" t="s">
        <v>45</v>
      </c>
      <c r="K1839">
        <v>7050</v>
      </c>
      <c r="L1839">
        <v>43</v>
      </c>
      <c r="M1839">
        <v>25.26</v>
      </c>
      <c r="N1839">
        <v>1</v>
      </c>
      <c r="O1839">
        <v>131.03</v>
      </c>
      <c r="P1839">
        <f t="shared" si="112"/>
        <v>6.0992907801418438E-3</v>
      </c>
      <c r="Q1839">
        <f t="shared" si="112"/>
        <v>0.58744186046511626</v>
      </c>
      <c r="R1839">
        <f t="shared" si="113"/>
        <v>25.26</v>
      </c>
      <c r="S1839">
        <f t="shared" si="114"/>
        <v>5.1872525732383208</v>
      </c>
      <c r="T1839">
        <f t="shared" si="115"/>
        <v>2.3255813953488372E-2</v>
      </c>
      <c r="U1839" t="str">
        <f>YEAR('Campaign Data'!$A1839)&amp;"-"&amp;TEXT(MONTH('Campaign Data'!$A1839),"00")</f>
        <v>2026-04</v>
      </c>
    </row>
    <row r="1840" spans="1:21" x14ac:dyDescent="0.25">
      <c r="A1840">
        <v>46122</v>
      </c>
      <c r="B1840" t="s">
        <v>177</v>
      </c>
      <c r="C1840" t="s">
        <v>178</v>
      </c>
      <c r="D1840" t="s">
        <v>41</v>
      </c>
      <c r="E1840" t="s">
        <v>49</v>
      </c>
      <c r="F1840" t="s">
        <v>34</v>
      </c>
      <c r="G1840" t="s">
        <v>107</v>
      </c>
      <c r="H1840" t="s">
        <v>27</v>
      </c>
      <c r="I1840" t="s">
        <v>37</v>
      </c>
      <c r="J1840" t="s">
        <v>45</v>
      </c>
      <c r="K1840">
        <v>22245</v>
      </c>
      <c r="L1840">
        <v>1037</v>
      </c>
      <c r="M1840">
        <v>1453.33</v>
      </c>
      <c r="N1840">
        <v>31</v>
      </c>
      <c r="O1840">
        <v>4121.04</v>
      </c>
      <c r="P1840">
        <f t="shared" si="112"/>
        <v>4.6617217352213983E-2</v>
      </c>
      <c r="Q1840">
        <f t="shared" si="112"/>
        <v>1.4014754098360656</v>
      </c>
      <c r="R1840">
        <f t="shared" si="113"/>
        <v>46.881612903225808</v>
      </c>
      <c r="S1840">
        <f t="shared" si="114"/>
        <v>2.835584485285517</v>
      </c>
      <c r="T1840">
        <f t="shared" si="115"/>
        <v>2.9893924783027964E-2</v>
      </c>
      <c r="U1840" t="str">
        <f>YEAR('Campaign Data'!$A1840)&amp;"-"&amp;TEXT(MONTH('Campaign Data'!$A1840),"00")</f>
        <v>2026-04</v>
      </c>
    </row>
    <row r="1841" spans="1:21" x14ac:dyDescent="0.25">
      <c r="A1841">
        <v>46122</v>
      </c>
      <c r="B1841" t="s">
        <v>153</v>
      </c>
      <c r="C1841" t="s">
        <v>154</v>
      </c>
      <c r="D1841" t="s">
        <v>48</v>
      </c>
      <c r="E1841" t="s">
        <v>33</v>
      </c>
      <c r="F1841" t="s">
        <v>43</v>
      </c>
      <c r="G1841" t="s">
        <v>59</v>
      </c>
      <c r="H1841" t="s">
        <v>27</v>
      </c>
      <c r="I1841" t="s">
        <v>28</v>
      </c>
      <c r="J1841" t="s">
        <v>87</v>
      </c>
      <c r="K1841">
        <v>2743</v>
      </c>
      <c r="L1841">
        <v>26</v>
      </c>
      <c r="M1841">
        <v>12.87</v>
      </c>
      <c r="N1841">
        <v>1</v>
      </c>
      <c r="O1841">
        <v>35.56</v>
      </c>
      <c r="P1841">
        <f t="shared" si="112"/>
        <v>9.4786729857819912E-3</v>
      </c>
      <c r="Q1841">
        <f t="shared" si="112"/>
        <v>0.495</v>
      </c>
      <c r="R1841">
        <f t="shared" si="113"/>
        <v>12.87</v>
      </c>
      <c r="S1841">
        <f t="shared" si="114"/>
        <v>2.7630147630147635</v>
      </c>
      <c r="T1841">
        <f t="shared" si="115"/>
        <v>3.8461538461538464E-2</v>
      </c>
      <c r="U1841" t="str">
        <f>YEAR('Campaign Data'!$A1841)&amp;"-"&amp;TEXT(MONTH('Campaign Data'!$A1841),"00")</f>
        <v>2026-04</v>
      </c>
    </row>
    <row r="1842" spans="1:21" x14ac:dyDescent="0.25">
      <c r="A1842">
        <v>46122</v>
      </c>
      <c r="B1842" t="s">
        <v>134</v>
      </c>
      <c r="C1842" t="s">
        <v>135</v>
      </c>
      <c r="D1842" t="s">
        <v>32</v>
      </c>
      <c r="E1842" t="s">
        <v>74</v>
      </c>
      <c r="F1842" t="s">
        <v>25</v>
      </c>
      <c r="G1842" t="s">
        <v>107</v>
      </c>
      <c r="H1842" t="s">
        <v>90</v>
      </c>
      <c r="I1842" t="s">
        <v>61</v>
      </c>
      <c r="J1842" t="s">
        <v>45</v>
      </c>
      <c r="K1842">
        <v>17332</v>
      </c>
      <c r="L1842">
        <v>278</v>
      </c>
      <c r="M1842">
        <v>68.2</v>
      </c>
      <c r="N1842">
        <v>14</v>
      </c>
      <c r="O1842">
        <v>316.52</v>
      </c>
      <c r="P1842">
        <f t="shared" si="112"/>
        <v>1.6039695361181629E-2</v>
      </c>
      <c r="Q1842">
        <f t="shared" si="112"/>
        <v>0.24532374100719426</v>
      </c>
      <c r="R1842">
        <f t="shared" si="113"/>
        <v>4.8714285714285719</v>
      </c>
      <c r="S1842">
        <f t="shared" si="114"/>
        <v>4.6410557184750729</v>
      </c>
      <c r="T1842">
        <f t="shared" si="115"/>
        <v>5.0359712230215826E-2</v>
      </c>
      <c r="U1842" t="str">
        <f>YEAR('Campaign Data'!$A1842)&amp;"-"&amp;TEXT(MONTH('Campaign Data'!$A1842),"00")</f>
        <v>2026-04</v>
      </c>
    </row>
    <row r="1843" spans="1:21" x14ac:dyDescent="0.25">
      <c r="A1843">
        <v>46122</v>
      </c>
      <c r="B1843" t="s">
        <v>181</v>
      </c>
      <c r="C1843" t="s">
        <v>182</v>
      </c>
      <c r="D1843" t="s">
        <v>32</v>
      </c>
      <c r="E1843" t="s">
        <v>33</v>
      </c>
      <c r="F1843" t="s">
        <v>75</v>
      </c>
      <c r="G1843" t="s">
        <v>59</v>
      </c>
      <c r="H1843" t="s">
        <v>90</v>
      </c>
      <c r="I1843" t="s">
        <v>37</v>
      </c>
      <c r="J1843" t="s">
        <v>29</v>
      </c>
      <c r="K1843">
        <v>16659</v>
      </c>
      <c r="L1843">
        <v>198</v>
      </c>
      <c r="M1843">
        <v>32.53</v>
      </c>
      <c r="N1843">
        <v>6</v>
      </c>
      <c r="O1843">
        <v>80.77</v>
      </c>
      <c r="P1843">
        <f t="shared" si="112"/>
        <v>1.1885467314964884E-2</v>
      </c>
      <c r="Q1843">
        <f t="shared" si="112"/>
        <v>0.1642929292929293</v>
      </c>
      <c r="R1843">
        <f t="shared" si="113"/>
        <v>5.4216666666666669</v>
      </c>
      <c r="S1843">
        <f t="shared" si="114"/>
        <v>2.4829388256993541</v>
      </c>
      <c r="T1843">
        <f t="shared" si="115"/>
        <v>3.0303030303030304E-2</v>
      </c>
      <c r="U1843" t="str">
        <f>YEAR('Campaign Data'!$A1843)&amp;"-"&amp;TEXT(MONTH('Campaign Data'!$A1843),"00")</f>
        <v>2026-04</v>
      </c>
    </row>
    <row r="1844" spans="1:21" x14ac:dyDescent="0.25">
      <c r="A1844">
        <v>46122</v>
      </c>
      <c r="B1844" t="s">
        <v>143</v>
      </c>
      <c r="C1844" t="s">
        <v>144</v>
      </c>
      <c r="D1844" t="s">
        <v>48</v>
      </c>
      <c r="E1844" t="s">
        <v>42</v>
      </c>
      <c r="F1844" t="s">
        <v>25</v>
      </c>
      <c r="G1844" t="s">
        <v>84</v>
      </c>
      <c r="H1844" t="s">
        <v>71</v>
      </c>
      <c r="I1844" t="s">
        <v>28</v>
      </c>
      <c r="J1844" t="s">
        <v>45</v>
      </c>
      <c r="K1844">
        <v>8029</v>
      </c>
      <c r="L1844">
        <v>38</v>
      </c>
      <c r="M1844">
        <v>230.33</v>
      </c>
      <c r="N1844">
        <v>2</v>
      </c>
      <c r="O1844">
        <v>316.77999999999997</v>
      </c>
      <c r="P1844">
        <f t="shared" si="112"/>
        <v>4.7328434425208616E-3</v>
      </c>
      <c r="Q1844">
        <f t="shared" si="112"/>
        <v>6.0613157894736842</v>
      </c>
      <c r="R1844">
        <f t="shared" si="113"/>
        <v>115.16500000000001</v>
      </c>
      <c r="S1844">
        <f t="shared" si="114"/>
        <v>1.3753310467589979</v>
      </c>
      <c r="T1844">
        <f t="shared" si="115"/>
        <v>5.2631578947368418E-2</v>
      </c>
      <c r="U1844" t="str">
        <f>YEAR('Campaign Data'!$A1844)&amp;"-"&amp;TEXT(MONTH('Campaign Data'!$A1844),"00")</f>
        <v>2026-04</v>
      </c>
    </row>
    <row r="1845" spans="1:21" x14ac:dyDescent="0.25">
      <c r="A1845">
        <v>46122</v>
      </c>
      <c r="B1845" t="s">
        <v>63</v>
      </c>
      <c r="C1845" t="s">
        <v>64</v>
      </c>
      <c r="D1845" t="s">
        <v>65</v>
      </c>
      <c r="E1845" t="s">
        <v>24</v>
      </c>
      <c r="F1845" t="s">
        <v>43</v>
      </c>
      <c r="G1845" t="s">
        <v>66</v>
      </c>
      <c r="H1845" t="s">
        <v>60</v>
      </c>
      <c r="I1845" t="s">
        <v>37</v>
      </c>
      <c r="J1845" t="s">
        <v>62</v>
      </c>
      <c r="K1845">
        <v>29157</v>
      </c>
      <c r="L1845">
        <v>283</v>
      </c>
      <c r="M1845">
        <v>292.33999999999997</v>
      </c>
      <c r="N1845">
        <v>10</v>
      </c>
      <c r="O1845">
        <v>173.64</v>
      </c>
      <c r="P1845">
        <f t="shared" si="112"/>
        <v>9.7060740131014855E-3</v>
      </c>
      <c r="Q1845">
        <f t="shared" si="112"/>
        <v>1.0330035335689045</v>
      </c>
      <c r="R1845">
        <f t="shared" si="113"/>
        <v>29.233999999999998</v>
      </c>
      <c r="S1845">
        <f t="shared" si="114"/>
        <v>0.59396593008141207</v>
      </c>
      <c r="T1845">
        <f t="shared" si="115"/>
        <v>3.5335689045936397E-2</v>
      </c>
      <c r="U1845" t="str">
        <f>YEAR('Campaign Data'!$A1845)&amp;"-"&amp;TEXT(MONTH('Campaign Data'!$A1845),"00")</f>
        <v>2026-04</v>
      </c>
    </row>
    <row r="1846" spans="1:21" x14ac:dyDescent="0.25">
      <c r="A1846">
        <v>46122</v>
      </c>
      <c r="B1846" t="s">
        <v>145</v>
      </c>
      <c r="C1846" t="s">
        <v>146</v>
      </c>
      <c r="D1846" t="s">
        <v>41</v>
      </c>
      <c r="E1846" t="s">
        <v>49</v>
      </c>
      <c r="F1846" t="s">
        <v>75</v>
      </c>
      <c r="G1846" t="s">
        <v>70</v>
      </c>
      <c r="H1846" t="s">
        <v>90</v>
      </c>
      <c r="I1846" t="s">
        <v>37</v>
      </c>
      <c r="J1846" t="s">
        <v>29</v>
      </c>
      <c r="K1846">
        <v>3841</v>
      </c>
      <c r="L1846">
        <v>153</v>
      </c>
      <c r="M1846">
        <v>83.24</v>
      </c>
      <c r="N1846">
        <v>6</v>
      </c>
      <c r="O1846">
        <v>69.31</v>
      </c>
      <c r="P1846">
        <f t="shared" si="112"/>
        <v>3.9833376724811249E-2</v>
      </c>
      <c r="Q1846">
        <f t="shared" si="112"/>
        <v>0.54405228758169932</v>
      </c>
      <c r="R1846">
        <f t="shared" si="113"/>
        <v>13.873333333333333</v>
      </c>
      <c r="S1846">
        <f t="shared" si="114"/>
        <v>0.83265257087938493</v>
      </c>
      <c r="T1846">
        <f t="shared" si="115"/>
        <v>3.9215686274509803E-2</v>
      </c>
      <c r="U1846" t="str">
        <f>YEAR('Campaign Data'!$A1846)&amp;"-"&amp;TEXT(MONTH('Campaign Data'!$A1846),"00")</f>
        <v>2026-04</v>
      </c>
    </row>
    <row r="1847" spans="1:21" x14ac:dyDescent="0.25">
      <c r="A1847">
        <v>46123</v>
      </c>
      <c r="B1847" t="s">
        <v>173</v>
      </c>
      <c r="C1847" t="s">
        <v>174</v>
      </c>
      <c r="D1847" t="s">
        <v>48</v>
      </c>
      <c r="E1847" t="s">
        <v>74</v>
      </c>
      <c r="F1847" t="s">
        <v>25</v>
      </c>
      <c r="G1847" t="s">
        <v>9</v>
      </c>
      <c r="H1847" t="s">
        <v>51</v>
      </c>
      <c r="I1847" t="s">
        <v>37</v>
      </c>
      <c r="J1847" t="s">
        <v>62</v>
      </c>
      <c r="K1847">
        <v>3441</v>
      </c>
      <c r="L1847">
        <v>100</v>
      </c>
      <c r="M1847">
        <v>179.61</v>
      </c>
      <c r="N1847">
        <v>5</v>
      </c>
      <c r="O1847">
        <v>618.78</v>
      </c>
      <c r="P1847">
        <f t="shared" si="112"/>
        <v>2.9061319383900028E-2</v>
      </c>
      <c r="Q1847">
        <f t="shared" si="112"/>
        <v>1.7961</v>
      </c>
      <c r="R1847">
        <f t="shared" si="113"/>
        <v>35.922000000000004</v>
      </c>
      <c r="S1847">
        <f t="shared" si="114"/>
        <v>3.4451311174210786</v>
      </c>
      <c r="T1847">
        <f t="shared" si="115"/>
        <v>0.05</v>
      </c>
      <c r="U1847" t="str">
        <f>YEAR('Campaign Data'!$A1847)&amp;"-"&amp;TEXT(MONTH('Campaign Data'!$A1847),"00")</f>
        <v>2026-04</v>
      </c>
    </row>
    <row r="1848" spans="1:21" x14ac:dyDescent="0.25">
      <c r="A1848">
        <v>46123</v>
      </c>
      <c r="B1848" t="s">
        <v>167</v>
      </c>
      <c r="C1848" t="s">
        <v>168</v>
      </c>
      <c r="D1848" t="s">
        <v>58</v>
      </c>
      <c r="E1848" t="s">
        <v>33</v>
      </c>
      <c r="F1848" t="s">
        <v>75</v>
      </c>
      <c r="G1848" t="s">
        <v>35</v>
      </c>
      <c r="H1848" t="s">
        <v>27</v>
      </c>
      <c r="I1848" t="s">
        <v>37</v>
      </c>
      <c r="J1848" t="s">
        <v>62</v>
      </c>
      <c r="K1848">
        <v>4502</v>
      </c>
      <c r="L1848">
        <v>62</v>
      </c>
      <c r="M1848">
        <v>57.66</v>
      </c>
      <c r="N1848">
        <v>1</v>
      </c>
      <c r="O1848">
        <v>57.5</v>
      </c>
      <c r="P1848">
        <f t="shared" si="112"/>
        <v>1.3771657041314972E-2</v>
      </c>
      <c r="Q1848">
        <f t="shared" si="112"/>
        <v>0.92999999999999994</v>
      </c>
      <c r="R1848">
        <f t="shared" si="113"/>
        <v>57.66</v>
      </c>
      <c r="S1848">
        <f t="shared" si="114"/>
        <v>0.99722511272979542</v>
      </c>
      <c r="T1848">
        <f t="shared" si="115"/>
        <v>1.6129032258064516E-2</v>
      </c>
      <c r="U1848" t="str">
        <f>YEAR('Campaign Data'!$A1848)&amp;"-"&amp;TEXT(MONTH('Campaign Data'!$A1848),"00")</f>
        <v>2026-04</v>
      </c>
    </row>
    <row r="1849" spans="1:21" x14ac:dyDescent="0.25">
      <c r="A1849">
        <v>46123</v>
      </c>
      <c r="B1849" t="s">
        <v>91</v>
      </c>
      <c r="C1849" t="s">
        <v>92</v>
      </c>
      <c r="D1849" t="s">
        <v>41</v>
      </c>
      <c r="E1849" t="s">
        <v>74</v>
      </c>
      <c r="F1849" t="s">
        <v>75</v>
      </c>
      <c r="G1849" t="s">
        <v>9</v>
      </c>
      <c r="H1849" t="s">
        <v>60</v>
      </c>
      <c r="I1849" t="s">
        <v>37</v>
      </c>
      <c r="J1849" t="s">
        <v>45</v>
      </c>
      <c r="K1849">
        <v>12038</v>
      </c>
      <c r="L1849">
        <v>371</v>
      </c>
      <c r="M1849">
        <v>619.84</v>
      </c>
      <c r="N1849">
        <v>5</v>
      </c>
      <c r="O1849">
        <v>159.03</v>
      </c>
      <c r="P1849">
        <f t="shared" si="112"/>
        <v>3.0819072935703604E-2</v>
      </c>
      <c r="Q1849">
        <f t="shared" si="112"/>
        <v>1.6707277628032347</v>
      </c>
      <c r="R1849">
        <f t="shared" si="113"/>
        <v>123.968</v>
      </c>
      <c r="S1849">
        <f t="shared" si="114"/>
        <v>0.25656621063500257</v>
      </c>
      <c r="T1849">
        <f t="shared" si="115"/>
        <v>1.3477088948787063E-2</v>
      </c>
      <c r="U1849" t="str">
        <f>YEAR('Campaign Data'!$A1849)&amp;"-"&amp;TEXT(MONTH('Campaign Data'!$A1849),"00")</f>
        <v>2026-04</v>
      </c>
    </row>
    <row r="1850" spans="1:21" x14ac:dyDescent="0.25">
      <c r="A1850">
        <v>46123</v>
      </c>
      <c r="B1850" t="s">
        <v>30</v>
      </c>
      <c r="C1850" t="s">
        <v>31</v>
      </c>
      <c r="D1850" t="s">
        <v>32</v>
      </c>
      <c r="E1850" t="s">
        <v>33</v>
      </c>
      <c r="F1850" t="s">
        <v>34</v>
      </c>
      <c r="G1850" t="s">
        <v>35</v>
      </c>
      <c r="H1850" t="s">
        <v>90</v>
      </c>
      <c r="I1850" t="s">
        <v>61</v>
      </c>
      <c r="J1850" t="s">
        <v>38</v>
      </c>
      <c r="K1850">
        <v>2202</v>
      </c>
      <c r="L1850">
        <v>20</v>
      </c>
      <c r="M1850">
        <v>2.2400000000000002</v>
      </c>
      <c r="N1850">
        <v>0</v>
      </c>
      <c r="O1850">
        <v>0</v>
      </c>
      <c r="P1850">
        <f t="shared" si="112"/>
        <v>9.0826521344232521E-3</v>
      </c>
      <c r="Q1850">
        <f t="shared" si="112"/>
        <v>0.11200000000000002</v>
      </c>
      <c r="R1850">
        <f t="shared" si="113"/>
        <v>0</v>
      </c>
      <c r="S1850">
        <f t="shared" si="114"/>
        <v>0</v>
      </c>
      <c r="T1850">
        <f t="shared" si="115"/>
        <v>0</v>
      </c>
      <c r="U1850" t="str">
        <f>YEAR('Campaign Data'!$A1850)&amp;"-"&amp;TEXT(MONTH('Campaign Data'!$A1850),"00")</f>
        <v>2026-04</v>
      </c>
    </row>
    <row r="1851" spans="1:21" x14ac:dyDescent="0.25">
      <c r="A1851">
        <v>46123</v>
      </c>
      <c r="B1851" t="s">
        <v>98</v>
      </c>
      <c r="C1851" t="s">
        <v>99</v>
      </c>
      <c r="D1851" t="s">
        <v>69</v>
      </c>
      <c r="E1851" t="s">
        <v>24</v>
      </c>
      <c r="F1851" t="s">
        <v>75</v>
      </c>
      <c r="G1851" t="s">
        <v>66</v>
      </c>
      <c r="H1851" t="s">
        <v>27</v>
      </c>
      <c r="I1851" t="s">
        <v>37</v>
      </c>
      <c r="J1851" t="s">
        <v>45</v>
      </c>
      <c r="K1851">
        <v>9150</v>
      </c>
      <c r="L1851">
        <v>101</v>
      </c>
      <c r="M1851">
        <v>97.45</v>
      </c>
      <c r="N1851">
        <v>6</v>
      </c>
      <c r="O1851">
        <v>395.74</v>
      </c>
      <c r="P1851">
        <f t="shared" si="112"/>
        <v>1.1038251366120218E-2</v>
      </c>
      <c r="Q1851">
        <f t="shared" si="112"/>
        <v>0.96485148514851493</v>
      </c>
      <c r="R1851">
        <f t="shared" si="113"/>
        <v>16.241666666666667</v>
      </c>
      <c r="S1851">
        <f t="shared" si="114"/>
        <v>4.0609543355566959</v>
      </c>
      <c r="T1851">
        <f t="shared" si="115"/>
        <v>5.9405940594059403E-2</v>
      </c>
      <c r="U1851" t="str">
        <f>YEAR('Campaign Data'!$A1851)&amp;"-"&amp;TEXT(MONTH('Campaign Data'!$A1851),"00")</f>
        <v>2026-04</v>
      </c>
    </row>
    <row r="1852" spans="1:21" x14ac:dyDescent="0.25">
      <c r="A1852">
        <v>46123</v>
      </c>
      <c r="B1852" t="s">
        <v>103</v>
      </c>
      <c r="C1852" t="s">
        <v>104</v>
      </c>
      <c r="D1852" t="s">
        <v>65</v>
      </c>
      <c r="E1852" t="s">
        <v>33</v>
      </c>
      <c r="F1852" t="s">
        <v>43</v>
      </c>
      <c r="G1852" t="s">
        <v>102</v>
      </c>
      <c r="H1852" t="s">
        <v>90</v>
      </c>
      <c r="I1852" t="s">
        <v>28</v>
      </c>
      <c r="J1852" t="s">
        <v>38</v>
      </c>
      <c r="K1852">
        <v>3491</v>
      </c>
      <c r="L1852">
        <v>14</v>
      </c>
      <c r="M1852">
        <v>2.15</v>
      </c>
      <c r="N1852">
        <v>0</v>
      </c>
      <c r="O1852">
        <v>0</v>
      </c>
      <c r="P1852">
        <f t="shared" si="112"/>
        <v>4.0103122314523064E-3</v>
      </c>
      <c r="Q1852">
        <f t="shared" si="112"/>
        <v>0.15357142857142855</v>
      </c>
      <c r="R1852">
        <f t="shared" si="113"/>
        <v>0</v>
      </c>
      <c r="S1852">
        <f t="shared" si="114"/>
        <v>0</v>
      </c>
      <c r="T1852">
        <f t="shared" si="115"/>
        <v>0</v>
      </c>
      <c r="U1852" t="str">
        <f>YEAR('Campaign Data'!$A1852)&amp;"-"&amp;TEXT(MONTH('Campaign Data'!$A1852),"00")</f>
        <v>2026-04</v>
      </c>
    </row>
    <row r="1853" spans="1:21" x14ac:dyDescent="0.25">
      <c r="A1853">
        <v>46123</v>
      </c>
      <c r="B1853" t="s">
        <v>177</v>
      </c>
      <c r="C1853" t="s">
        <v>178</v>
      </c>
      <c r="D1853" t="s">
        <v>41</v>
      </c>
      <c r="E1853" t="s">
        <v>49</v>
      </c>
      <c r="F1853" t="s">
        <v>34</v>
      </c>
      <c r="G1853" t="s">
        <v>107</v>
      </c>
      <c r="H1853" t="s">
        <v>60</v>
      </c>
      <c r="I1853" t="s">
        <v>37</v>
      </c>
      <c r="J1853" t="s">
        <v>29</v>
      </c>
      <c r="K1853">
        <v>7722</v>
      </c>
      <c r="L1853">
        <v>308</v>
      </c>
      <c r="M1853">
        <v>602.28</v>
      </c>
      <c r="N1853">
        <v>15</v>
      </c>
      <c r="O1853">
        <v>1301.79</v>
      </c>
      <c r="P1853">
        <f t="shared" si="112"/>
        <v>3.9886039886039885E-2</v>
      </c>
      <c r="Q1853">
        <f t="shared" si="112"/>
        <v>1.9554545454545453</v>
      </c>
      <c r="R1853">
        <f t="shared" si="113"/>
        <v>40.152000000000001</v>
      </c>
      <c r="S1853">
        <f t="shared" si="114"/>
        <v>2.161436541143654</v>
      </c>
      <c r="T1853">
        <f t="shared" si="115"/>
        <v>4.8701298701298704E-2</v>
      </c>
      <c r="U1853" t="str">
        <f>YEAR('Campaign Data'!$A1853)&amp;"-"&amp;TEXT(MONTH('Campaign Data'!$A1853),"00")</f>
        <v>2026-04</v>
      </c>
    </row>
    <row r="1854" spans="1:21" x14ac:dyDescent="0.25">
      <c r="A1854">
        <v>46123</v>
      </c>
      <c r="B1854" t="s">
        <v>171</v>
      </c>
      <c r="C1854" t="s">
        <v>172</v>
      </c>
      <c r="D1854" t="s">
        <v>23</v>
      </c>
      <c r="E1854" t="s">
        <v>33</v>
      </c>
      <c r="F1854" t="s">
        <v>75</v>
      </c>
      <c r="G1854" t="s">
        <v>59</v>
      </c>
      <c r="H1854" t="s">
        <v>90</v>
      </c>
      <c r="I1854" t="s">
        <v>28</v>
      </c>
      <c r="J1854" t="s">
        <v>38</v>
      </c>
      <c r="K1854">
        <v>5660</v>
      </c>
      <c r="L1854">
        <v>44</v>
      </c>
      <c r="M1854">
        <v>5.92</v>
      </c>
      <c r="N1854">
        <v>0</v>
      </c>
      <c r="O1854">
        <v>0</v>
      </c>
      <c r="P1854">
        <f t="shared" si="112"/>
        <v>7.7738515901060075E-3</v>
      </c>
      <c r="Q1854">
        <f t="shared" si="112"/>
        <v>0.13454545454545455</v>
      </c>
      <c r="R1854">
        <f t="shared" si="113"/>
        <v>0</v>
      </c>
      <c r="S1854">
        <f t="shared" si="114"/>
        <v>0</v>
      </c>
      <c r="T1854">
        <f t="shared" si="115"/>
        <v>0</v>
      </c>
      <c r="U1854" t="str">
        <f>YEAR('Campaign Data'!$A1854)&amp;"-"&amp;TEXT(MONTH('Campaign Data'!$A1854),"00")</f>
        <v>2026-04</v>
      </c>
    </row>
    <row r="1855" spans="1:21" x14ac:dyDescent="0.25">
      <c r="A1855">
        <v>46123</v>
      </c>
      <c r="B1855" t="s">
        <v>155</v>
      </c>
      <c r="C1855" t="s">
        <v>156</v>
      </c>
      <c r="D1855" t="s">
        <v>32</v>
      </c>
      <c r="E1855" t="s">
        <v>24</v>
      </c>
      <c r="F1855" t="s">
        <v>34</v>
      </c>
      <c r="G1855" t="s">
        <v>129</v>
      </c>
      <c r="H1855" t="s">
        <v>51</v>
      </c>
      <c r="I1855" t="s">
        <v>37</v>
      </c>
      <c r="J1855" t="s">
        <v>62</v>
      </c>
      <c r="K1855">
        <v>5787</v>
      </c>
      <c r="L1855">
        <v>96</v>
      </c>
      <c r="M1855">
        <v>114.3</v>
      </c>
      <c r="N1855">
        <v>6</v>
      </c>
      <c r="O1855">
        <v>742.26</v>
      </c>
      <c r="P1855">
        <f t="shared" si="112"/>
        <v>1.6588906168999482E-2</v>
      </c>
      <c r="Q1855">
        <f t="shared" si="112"/>
        <v>1.190625</v>
      </c>
      <c r="R1855">
        <f t="shared" si="113"/>
        <v>19.05</v>
      </c>
      <c r="S1855">
        <f t="shared" si="114"/>
        <v>6.4939632545931758</v>
      </c>
      <c r="T1855">
        <f t="shared" si="115"/>
        <v>6.25E-2</v>
      </c>
      <c r="U1855" t="str">
        <f>YEAR('Campaign Data'!$A1855)&amp;"-"&amp;TEXT(MONTH('Campaign Data'!$A1855),"00")</f>
        <v>2026-04</v>
      </c>
    </row>
    <row r="1856" spans="1:21" x14ac:dyDescent="0.25">
      <c r="A1856">
        <v>46123</v>
      </c>
      <c r="B1856" t="s">
        <v>159</v>
      </c>
      <c r="C1856" t="s">
        <v>160</v>
      </c>
      <c r="D1856" t="s">
        <v>65</v>
      </c>
      <c r="E1856" t="s">
        <v>42</v>
      </c>
      <c r="F1856" t="s">
        <v>75</v>
      </c>
      <c r="G1856" t="s">
        <v>54</v>
      </c>
      <c r="H1856" t="s">
        <v>55</v>
      </c>
      <c r="I1856" t="s">
        <v>28</v>
      </c>
      <c r="J1856" t="s">
        <v>45</v>
      </c>
      <c r="K1856">
        <v>4644</v>
      </c>
      <c r="L1856">
        <v>41</v>
      </c>
      <c r="M1856">
        <v>272.38</v>
      </c>
      <c r="N1856">
        <v>2</v>
      </c>
      <c r="O1856">
        <v>62.79</v>
      </c>
      <c r="P1856">
        <f t="shared" si="112"/>
        <v>8.8285960378983643E-3</v>
      </c>
      <c r="Q1856">
        <f t="shared" si="112"/>
        <v>6.6434146341463416</v>
      </c>
      <c r="R1856">
        <f t="shared" si="113"/>
        <v>136.19</v>
      </c>
      <c r="S1856">
        <f t="shared" si="114"/>
        <v>0.23052353329906747</v>
      </c>
      <c r="T1856">
        <f t="shared" si="115"/>
        <v>4.878048780487805E-2</v>
      </c>
      <c r="U1856" t="str">
        <f>YEAR('Campaign Data'!$A1856)&amp;"-"&amp;TEXT(MONTH('Campaign Data'!$A1856),"00")</f>
        <v>2026-04</v>
      </c>
    </row>
    <row r="1857" spans="1:21" x14ac:dyDescent="0.25">
      <c r="A1857">
        <v>46123</v>
      </c>
      <c r="B1857" t="s">
        <v>114</v>
      </c>
      <c r="C1857" t="s">
        <v>115</v>
      </c>
      <c r="D1857" t="s">
        <v>69</v>
      </c>
      <c r="E1857" t="s">
        <v>49</v>
      </c>
      <c r="F1857" t="s">
        <v>25</v>
      </c>
      <c r="G1857" t="s">
        <v>107</v>
      </c>
      <c r="H1857" t="s">
        <v>60</v>
      </c>
      <c r="I1857" t="s">
        <v>37</v>
      </c>
      <c r="J1857" t="s">
        <v>87</v>
      </c>
      <c r="K1857">
        <v>10651</v>
      </c>
      <c r="L1857">
        <v>525</v>
      </c>
      <c r="M1857">
        <v>913.04</v>
      </c>
      <c r="N1857">
        <v>19</v>
      </c>
      <c r="O1857">
        <v>3283.45</v>
      </c>
      <c r="P1857">
        <f t="shared" si="112"/>
        <v>4.9291146371232747E-2</v>
      </c>
      <c r="Q1857">
        <f t="shared" si="112"/>
        <v>1.7391238095238095</v>
      </c>
      <c r="R1857">
        <f t="shared" si="113"/>
        <v>48.054736842105264</v>
      </c>
      <c r="S1857">
        <f t="shared" si="114"/>
        <v>3.5961732235170421</v>
      </c>
      <c r="T1857">
        <f t="shared" si="115"/>
        <v>3.619047619047619E-2</v>
      </c>
      <c r="U1857" t="str">
        <f>YEAR('Campaign Data'!$A1857)&amp;"-"&amp;TEXT(MONTH('Campaign Data'!$A1857),"00")</f>
        <v>2026-04</v>
      </c>
    </row>
    <row r="1858" spans="1:21" x14ac:dyDescent="0.25">
      <c r="A1858">
        <v>46123</v>
      </c>
      <c r="B1858" t="s">
        <v>114</v>
      </c>
      <c r="C1858" t="s">
        <v>115</v>
      </c>
      <c r="D1858" t="s">
        <v>69</v>
      </c>
      <c r="E1858" t="s">
        <v>49</v>
      </c>
      <c r="F1858" t="s">
        <v>25</v>
      </c>
      <c r="G1858" t="s">
        <v>107</v>
      </c>
      <c r="H1858" t="s">
        <v>27</v>
      </c>
      <c r="I1858" t="s">
        <v>37</v>
      </c>
      <c r="J1858" t="s">
        <v>29</v>
      </c>
      <c r="K1858">
        <v>8858</v>
      </c>
      <c r="L1858">
        <v>509</v>
      </c>
      <c r="M1858">
        <v>925.25</v>
      </c>
      <c r="N1858">
        <v>36</v>
      </c>
      <c r="O1858">
        <v>3886.35</v>
      </c>
      <c r="P1858">
        <f t="shared" ref="P1858:Q1921" si="116">IF(K1858=0,0,L1858/K1858)</f>
        <v>5.7462181079250392E-2</v>
      </c>
      <c r="Q1858">
        <f t="shared" si="116"/>
        <v>1.8177799607072691</v>
      </c>
      <c r="R1858">
        <f t="shared" ref="R1858:R1921" si="117">IF(N1858=0,0,M1858/N1858)</f>
        <v>25.701388888888889</v>
      </c>
      <c r="S1858">
        <f t="shared" ref="S1858:S1921" si="118">IF(M1858=0,0,O1858/M1858)</f>
        <v>4.2003242366927855</v>
      </c>
      <c r="T1858">
        <f t="shared" ref="T1858:T1921" si="119">IF(L1858=0,0,N1858/L1858)</f>
        <v>7.072691552062868E-2</v>
      </c>
      <c r="U1858" t="str">
        <f>YEAR('Campaign Data'!$A1858)&amp;"-"&amp;TEXT(MONTH('Campaign Data'!$A1858),"00")</f>
        <v>2026-04</v>
      </c>
    </row>
    <row r="1859" spans="1:21" x14ac:dyDescent="0.25">
      <c r="A1859">
        <v>46123</v>
      </c>
      <c r="B1859" t="s">
        <v>143</v>
      </c>
      <c r="C1859" t="s">
        <v>144</v>
      </c>
      <c r="D1859" t="s">
        <v>48</v>
      </c>
      <c r="E1859" t="s">
        <v>42</v>
      </c>
      <c r="F1859" t="s">
        <v>25</v>
      </c>
      <c r="G1859" t="s">
        <v>84</v>
      </c>
      <c r="H1859" t="s">
        <v>60</v>
      </c>
      <c r="I1859" t="s">
        <v>28</v>
      </c>
      <c r="J1859" t="s">
        <v>45</v>
      </c>
      <c r="K1859">
        <v>1250</v>
      </c>
      <c r="L1859">
        <v>10</v>
      </c>
      <c r="M1859">
        <v>45.43</v>
      </c>
      <c r="N1859">
        <v>0</v>
      </c>
      <c r="O1859">
        <v>0</v>
      </c>
      <c r="P1859">
        <f t="shared" si="116"/>
        <v>8.0000000000000002E-3</v>
      </c>
      <c r="Q1859">
        <f t="shared" si="116"/>
        <v>4.5430000000000001</v>
      </c>
      <c r="R1859">
        <f t="shared" si="117"/>
        <v>0</v>
      </c>
      <c r="S1859">
        <f t="shared" si="118"/>
        <v>0</v>
      </c>
      <c r="T1859">
        <f t="shared" si="119"/>
        <v>0</v>
      </c>
      <c r="U1859" t="str">
        <f>YEAR('Campaign Data'!$A1859)&amp;"-"&amp;TEXT(MONTH('Campaign Data'!$A1859),"00")</f>
        <v>2026-04</v>
      </c>
    </row>
    <row r="1860" spans="1:21" x14ac:dyDescent="0.25">
      <c r="A1860">
        <v>46123</v>
      </c>
      <c r="B1860" t="s">
        <v>72</v>
      </c>
      <c r="C1860" t="s">
        <v>73</v>
      </c>
      <c r="D1860" t="s">
        <v>69</v>
      </c>
      <c r="E1860" t="s">
        <v>74</v>
      </c>
      <c r="F1860" t="s">
        <v>75</v>
      </c>
      <c r="G1860" t="s">
        <v>9</v>
      </c>
      <c r="H1860" t="s">
        <v>90</v>
      </c>
      <c r="I1860" t="s">
        <v>37</v>
      </c>
      <c r="J1860" t="s">
        <v>87</v>
      </c>
      <c r="K1860">
        <v>6738</v>
      </c>
      <c r="L1860">
        <v>276</v>
      </c>
      <c r="M1860">
        <v>126.27</v>
      </c>
      <c r="N1860">
        <v>10</v>
      </c>
      <c r="O1860">
        <v>79.78</v>
      </c>
      <c r="P1860">
        <f t="shared" si="116"/>
        <v>4.0961709706144253E-2</v>
      </c>
      <c r="Q1860">
        <f t="shared" si="116"/>
        <v>0.45749999999999996</v>
      </c>
      <c r="R1860">
        <f t="shared" si="117"/>
        <v>12.626999999999999</v>
      </c>
      <c r="S1860">
        <f t="shared" si="118"/>
        <v>0.63182070167102244</v>
      </c>
      <c r="T1860">
        <f t="shared" si="119"/>
        <v>3.6231884057971016E-2</v>
      </c>
      <c r="U1860" t="str">
        <f>YEAR('Campaign Data'!$A1860)&amp;"-"&amp;TEXT(MONTH('Campaign Data'!$A1860),"00")</f>
        <v>2026-04</v>
      </c>
    </row>
    <row r="1861" spans="1:21" x14ac:dyDescent="0.25">
      <c r="A1861">
        <v>46123</v>
      </c>
      <c r="B1861" t="s">
        <v>163</v>
      </c>
      <c r="C1861" t="s">
        <v>164</v>
      </c>
      <c r="D1861" t="s">
        <v>58</v>
      </c>
      <c r="E1861" t="s">
        <v>42</v>
      </c>
      <c r="F1861" t="s">
        <v>43</v>
      </c>
      <c r="G1861" t="s">
        <v>44</v>
      </c>
      <c r="H1861" t="s">
        <v>36</v>
      </c>
      <c r="I1861" t="s">
        <v>28</v>
      </c>
      <c r="J1861" t="s">
        <v>29</v>
      </c>
      <c r="K1861">
        <v>7424</v>
      </c>
      <c r="L1861">
        <v>56</v>
      </c>
      <c r="M1861">
        <v>291.77999999999997</v>
      </c>
      <c r="N1861">
        <v>1</v>
      </c>
      <c r="O1861">
        <v>27.85</v>
      </c>
      <c r="P1861">
        <f t="shared" si="116"/>
        <v>7.5431034482758624E-3</v>
      </c>
      <c r="Q1861">
        <f t="shared" si="116"/>
        <v>5.2103571428571422</v>
      </c>
      <c r="R1861">
        <f t="shared" si="117"/>
        <v>291.77999999999997</v>
      </c>
      <c r="S1861">
        <f t="shared" si="118"/>
        <v>9.5448625676879853E-2</v>
      </c>
      <c r="T1861">
        <f t="shared" si="119"/>
        <v>1.7857142857142856E-2</v>
      </c>
      <c r="U1861" t="str">
        <f>YEAR('Campaign Data'!$A1861)&amp;"-"&amp;TEXT(MONTH('Campaign Data'!$A1861),"00")</f>
        <v>2026-04</v>
      </c>
    </row>
    <row r="1862" spans="1:21" x14ac:dyDescent="0.25">
      <c r="A1862">
        <v>46123</v>
      </c>
      <c r="B1862" t="s">
        <v>78</v>
      </c>
      <c r="C1862" t="s">
        <v>79</v>
      </c>
      <c r="D1862" t="s">
        <v>80</v>
      </c>
      <c r="E1862" t="s">
        <v>24</v>
      </c>
      <c r="F1862" t="s">
        <v>81</v>
      </c>
      <c r="G1862" t="s">
        <v>66</v>
      </c>
      <c r="H1862" t="s">
        <v>36</v>
      </c>
      <c r="I1862" t="s">
        <v>28</v>
      </c>
      <c r="J1862" t="s">
        <v>29</v>
      </c>
      <c r="K1862">
        <v>2827</v>
      </c>
      <c r="L1862">
        <v>40</v>
      </c>
      <c r="M1862">
        <v>48.68</v>
      </c>
      <c r="N1862">
        <v>2</v>
      </c>
      <c r="O1862">
        <v>34.479999999999997</v>
      </c>
      <c r="P1862">
        <f t="shared" si="116"/>
        <v>1.4149274849663955E-2</v>
      </c>
      <c r="Q1862">
        <f t="shared" si="116"/>
        <v>1.2170000000000001</v>
      </c>
      <c r="R1862">
        <f t="shared" si="117"/>
        <v>24.34</v>
      </c>
      <c r="S1862">
        <f t="shared" si="118"/>
        <v>0.70829909613804432</v>
      </c>
      <c r="T1862">
        <f t="shared" si="119"/>
        <v>0.05</v>
      </c>
      <c r="U1862" t="str">
        <f>YEAR('Campaign Data'!$A1862)&amp;"-"&amp;TEXT(MONTH('Campaign Data'!$A1862),"00")</f>
        <v>2026-04</v>
      </c>
    </row>
    <row r="1863" spans="1:21" x14ac:dyDescent="0.25">
      <c r="A1863">
        <v>46124</v>
      </c>
      <c r="B1863" t="s">
        <v>85</v>
      </c>
      <c r="C1863" t="s">
        <v>86</v>
      </c>
      <c r="D1863" t="s">
        <v>80</v>
      </c>
      <c r="E1863" t="s">
        <v>33</v>
      </c>
      <c r="F1863" t="s">
        <v>43</v>
      </c>
      <c r="G1863" t="s">
        <v>35</v>
      </c>
      <c r="H1863" t="s">
        <v>27</v>
      </c>
      <c r="I1863" t="s">
        <v>28</v>
      </c>
      <c r="J1863" t="s">
        <v>45</v>
      </c>
      <c r="K1863">
        <v>8262</v>
      </c>
      <c r="L1863">
        <v>107</v>
      </c>
      <c r="M1863">
        <v>68.599999999999994</v>
      </c>
      <c r="N1863">
        <v>1</v>
      </c>
      <c r="O1863">
        <v>32.42</v>
      </c>
      <c r="P1863">
        <f t="shared" si="116"/>
        <v>1.2950859356088114E-2</v>
      </c>
      <c r="Q1863">
        <f t="shared" si="116"/>
        <v>0.64112149532710272</v>
      </c>
      <c r="R1863">
        <f t="shared" si="117"/>
        <v>68.599999999999994</v>
      </c>
      <c r="S1863">
        <f t="shared" si="118"/>
        <v>0.47259475218658897</v>
      </c>
      <c r="T1863">
        <f t="shared" si="119"/>
        <v>9.3457943925233638E-3</v>
      </c>
      <c r="U1863" t="str">
        <f>YEAR('Campaign Data'!$A1863)&amp;"-"&amp;TEXT(MONTH('Campaign Data'!$A1863),"00")</f>
        <v>2026-04</v>
      </c>
    </row>
    <row r="1864" spans="1:21" x14ac:dyDescent="0.25">
      <c r="A1864">
        <v>46124</v>
      </c>
      <c r="B1864" t="s">
        <v>21</v>
      </c>
      <c r="C1864" t="s">
        <v>124</v>
      </c>
      <c r="D1864" t="s">
        <v>23</v>
      </c>
      <c r="E1864" t="s">
        <v>24</v>
      </c>
      <c r="F1864" t="s">
        <v>25</v>
      </c>
      <c r="G1864" t="s">
        <v>26</v>
      </c>
      <c r="H1864" t="s">
        <v>71</v>
      </c>
      <c r="I1864" t="s">
        <v>28</v>
      </c>
      <c r="J1864" t="s">
        <v>87</v>
      </c>
      <c r="K1864">
        <v>8394</v>
      </c>
      <c r="L1864">
        <v>157</v>
      </c>
      <c r="M1864">
        <v>138.88</v>
      </c>
      <c r="N1864">
        <v>0</v>
      </c>
      <c r="O1864">
        <v>0</v>
      </c>
      <c r="P1864">
        <f t="shared" si="116"/>
        <v>1.870383607338575E-2</v>
      </c>
      <c r="Q1864">
        <f t="shared" si="116"/>
        <v>0.88458598726114646</v>
      </c>
      <c r="R1864">
        <f t="shared" si="117"/>
        <v>0</v>
      </c>
      <c r="S1864">
        <f t="shared" si="118"/>
        <v>0</v>
      </c>
      <c r="T1864">
        <f t="shared" si="119"/>
        <v>0</v>
      </c>
      <c r="U1864" t="str">
        <f>YEAR('Campaign Data'!$A1864)&amp;"-"&amp;TEXT(MONTH('Campaign Data'!$A1864),"00")</f>
        <v>2026-04</v>
      </c>
    </row>
    <row r="1865" spans="1:21" x14ac:dyDescent="0.25">
      <c r="A1865">
        <v>46124</v>
      </c>
      <c r="B1865" t="s">
        <v>147</v>
      </c>
      <c r="C1865" t="s">
        <v>148</v>
      </c>
      <c r="D1865" t="s">
        <v>23</v>
      </c>
      <c r="E1865" t="s">
        <v>42</v>
      </c>
      <c r="F1865" t="s">
        <v>75</v>
      </c>
      <c r="G1865" t="s">
        <v>44</v>
      </c>
      <c r="H1865" t="s">
        <v>55</v>
      </c>
      <c r="I1865" t="s">
        <v>37</v>
      </c>
      <c r="J1865" t="s">
        <v>38</v>
      </c>
      <c r="K1865">
        <v>1257</v>
      </c>
      <c r="L1865">
        <v>10</v>
      </c>
      <c r="M1865">
        <v>57.35</v>
      </c>
      <c r="N1865">
        <v>0</v>
      </c>
      <c r="O1865">
        <v>0</v>
      </c>
      <c r="P1865">
        <f t="shared" si="116"/>
        <v>7.955449482895784E-3</v>
      </c>
      <c r="Q1865">
        <f t="shared" si="116"/>
        <v>5.7350000000000003</v>
      </c>
      <c r="R1865">
        <f t="shared" si="117"/>
        <v>0</v>
      </c>
      <c r="S1865">
        <f t="shared" si="118"/>
        <v>0</v>
      </c>
      <c r="T1865">
        <f t="shared" si="119"/>
        <v>0</v>
      </c>
      <c r="U1865" t="str">
        <f>YEAR('Campaign Data'!$A1865)&amp;"-"&amp;TEXT(MONTH('Campaign Data'!$A1865),"00")</f>
        <v>2026-04</v>
      </c>
    </row>
    <row r="1866" spans="1:21" x14ac:dyDescent="0.25">
      <c r="A1866">
        <v>46124</v>
      </c>
      <c r="B1866" t="s">
        <v>138</v>
      </c>
      <c r="C1866" t="s">
        <v>139</v>
      </c>
      <c r="D1866" t="s">
        <v>58</v>
      </c>
      <c r="E1866" t="s">
        <v>74</v>
      </c>
      <c r="F1866" t="s">
        <v>34</v>
      </c>
      <c r="G1866" t="s">
        <v>9</v>
      </c>
      <c r="H1866" t="s">
        <v>90</v>
      </c>
      <c r="I1866" t="s">
        <v>37</v>
      </c>
      <c r="J1866" t="s">
        <v>29</v>
      </c>
      <c r="K1866">
        <v>2357</v>
      </c>
      <c r="L1866">
        <v>45</v>
      </c>
      <c r="M1866">
        <v>21.31</v>
      </c>
      <c r="N1866">
        <v>2</v>
      </c>
      <c r="O1866">
        <v>97.27</v>
      </c>
      <c r="P1866">
        <f t="shared" si="116"/>
        <v>1.9092066185829443E-2</v>
      </c>
      <c r="Q1866">
        <f t="shared" si="116"/>
        <v>0.47355555555555551</v>
      </c>
      <c r="R1866">
        <f t="shared" si="117"/>
        <v>10.654999999999999</v>
      </c>
      <c r="S1866">
        <f t="shared" si="118"/>
        <v>4.5645236977944625</v>
      </c>
      <c r="T1866">
        <f t="shared" si="119"/>
        <v>4.4444444444444446E-2</v>
      </c>
      <c r="U1866" t="str">
        <f>YEAR('Campaign Data'!$A1866)&amp;"-"&amp;TEXT(MONTH('Campaign Data'!$A1866),"00")</f>
        <v>2026-04</v>
      </c>
    </row>
    <row r="1867" spans="1:21" x14ac:dyDescent="0.25">
      <c r="A1867">
        <v>46124</v>
      </c>
      <c r="B1867" t="s">
        <v>46</v>
      </c>
      <c r="C1867" t="s">
        <v>47</v>
      </c>
      <c r="D1867" t="s">
        <v>48</v>
      </c>
      <c r="E1867" t="s">
        <v>49</v>
      </c>
      <c r="F1867" t="s">
        <v>43</v>
      </c>
      <c r="G1867" t="s">
        <v>50</v>
      </c>
      <c r="H1867" t="s">
        <v>90</v>
      </c>
      <c r="I1867" t="s">
        <v>37</v>
      </c>
      <c r="J1867" t="s">
        <v>38</v>
      </c>
      <c r="K1867">
        <v>6192</v>
      </c>
      <c r="L1867">
        <v>331</v>
      </c>
      <c r="M1867">
        <v>133.05000000000001</v>
      </c>
      <c r="N1867">
        <v>30</v>
      </c>
      <c r="O1867">
        <v>248.59</v>
      </c>
      <c r="P1867">
        <f t="shared" si="116"/>
        <v>5.3456072351421191E-2</v>
      </c>
      <c r="Q1867">
        <f t="shared" si="116"/>
        <v>0.40196374622356501</v>
      </c>
      <c r="R1867">
        <f t="shared" si="117"/>
        <v>4.4350000000000005</v>
      </c>
      <c r="S1867">
        <f t="shared" si="118"/>
        <v>1.8683953400977076</v>
      </c>
      <c r="T1867">
        <f t="shared" si="119"/>
        <v>9.0634441087613288E-2</v>
      </c>
      <c r="U1867" t="str">
        <f>YEAR('Campaign Data'!$A1867)&amp;"-"&amp;TEXT(MONTH('Campaign Data'!$A1867),"00")</f>
        <v>2026-04</v>
      </c>
    </row>
    <row r="1868" spans="1:21" x14ac:dyDescent="0.25">
      <c r="A1868">
        <v>46124</v>
      </c>
      <c r="B1868" t="s">
        <v>105</v>
      </c>
      <c r="C1868" t="s">
        <v>106</v>
      </c>
      <c r="D1868" t="s">
        <v>58</v>
      </c>
      <c r="E1868" t="s">
        <v>49</v>
      </c>
      <c r="F1868" t="s">
        <v>81</v>
      </c>
      <c r="G1868" t="s">
        <v>107</v>
      </c>
      <c r="H1868" t="s">
        <v>71</v>
      </c>
      <c r="I1868" t="s">
        <v>37</v>
      </c>
      <c r="J1868" t="s">
        <v>29</v>
      </c>
      <c r="K1868">
        <v>4045</v>
      </c>
      <c r="L1868">
        <v>102</v>
      </c>
      <c r="M1868">
        <v>150.21</v>
      </c>
      <c r="N1868">
        <v>5</v>
      </c>
      <c r="O1868">
        <v>77.400000000000006</v>
      </c>
      <c r="P1868">
        <f t="shared" si="116"/>
        <v>2.5216316440049444E-2</v>
      </c>
      <c r="Q1868">
        <f t="shared" si="116"/>
        <v>1.4726470588235294</v>
      </c>
      <c r="R1868">
        <f t="shared" si="117"/>
        <v>30.042000000000002</v>
      </c>
      <c r="S1868">
        <f t="shared" si="118"/>
        <v>0.51527860994607555</v>
      </c>
      <c r="T1868">
        <f t="shared" si="119"/>
        <v>4.9019607843137254E-2</v>
      </c>
      <c r="U1868" t="str">
        <f>YEAR('Campaign Data'!$A1868)&amp;"-"&amp;TEXT(MONTH('Campaign Data'!$A1868),"00")</f>
        <v>2026-04</v>
      </c>
    </row>
    <row r="1869" spans="1:21" x14ac:dyDescent="0.25">
      <c r="A1869">
        <v>46124</v>
      </c>
      <c r="B1869" t="s">
        <v>153</v>
      </c>
      <c r="C1869" t="s">
        <v>154</v>
      </c>
      <c r="D1869" t="s">
        <v>48</v>
      </c>
      <c r="E1869" t="s">
        <v>33</v>
      </c>
      <c r="F1869" t="s">
        <v>43</v>
      </c>
      <c r="G1869" t="s">
        <v>59</v>
      </c>
      <c r="H1869" t="s">
        <v>90</v>
      </c>
      <c r="I1869" t="s">
        <v>37</v>
      </c>
      <c r="J1869" t="s">
        <v>38</v>
      </c>
      <c r="K1869">
        <v>4337</v>
      </c>
      <c r="L1869">
        <v>46</v>
      </c>
      <c r="M1869">
        <v>10.71</v>
      </c>
      <c r="N1869">
        <v>0</v>
      </c>
      <c r="O1869">
        <v>0</v>
      </c>
      <c r="P1869">
        <f t="shared" si="116"/>
        <v>1.0606409960802398E-2</v>
      </c>
      <c r="Q1869">
        <f t="shared" si="116"/>
        <v>0.23282608695652177</v>
      </c>
      <c r="R1869">
        <f t="shared" si="117"/>
        <v>0</v>
      </c>
      <c r="S1869">
        <f t="shared" si="118"/>
        <v>0</v>
      </c>
      <c r="T1869">
        <f t="shared" si="119"/>
        <v>0</v>
      </c>
      <c r="U1869" t="str">
        <f>YEAR('Campaign Data'!$A1869)&amp;"-"&amp;TEXT(MONTH('Campaign Data'!$A1869),"00")</f>
        <v>2026-04</v>
      </c>
    </row>
    <row r="1870" spans="1:21" x14ac:dyDescent="0.25">
      <c r="A1870">
        <v>46124</v>
      </c>
      <c r="B1870" t="s">
        <v>179</v>
      </c>
      <c r="C1870" t="s">
        <v>180</v>
      </c>
      <c r="D1870" t="s">
        <v>58</v>
      </c>
      <c r="E1870" t="s">
        <v>42</v>
      </c>
      <c r="F1870" t="s">
        <v>25</v>
      </c>
      <c r="G1870" t="s">
        <v>54</v>
      </c>
      <c r="H1870" t="s">
        <v>90</v>
      </c>
      <c r="I1870" t="s">
        <v>28</v>
      </c>
      <c r="J1870" t="s">
        <v>62</v>
      </c>
      <c r="K1870">
        <v>3066</v>
      </c>
      <c r="L1870">
        <v>32</v>
      </c>
      <c r="M1870">
        <v>60.56</v>
      </c>
      <c r="N1870">
        <v>2</v>
      </c>
      <c r="O1870">
        <v>79.459999999999994</v>
      </c>
      <c r="P1870">
        <f t="shared" si="116"/>
        <v>1.0437051532941943E-2</v>
      </c>
      <c r="Q1870">
        <f t="shared" si="116"/>
        <v>1.8925000000000001</v>
      </c>
      <c r="R1870">
        <f t="shared" si="117"/>
        <v>30.28</v>
      </c>
      <c r="S1870">
        <f t="shared" si="118"/>
        <v>1.3120871862615586</v>
      </c>
      <c r="T1870">
        <f t="shared" si="119"/>
        <v>6.25E-2</v>
      </c>
      <c r="U1870" t="str">
        <f>YEAR('Campaign Data'!$A1870)&amp;"-"&amp;TEXT(MONTH('Campaign Data'!$A1870),"00")</f>
        <v>2026-04</v>
      </c>
    </row>
    <row r="1871" spans="1:21" x14ac:dyDescent="0.25">
      <c r="A1871">
        <v>46124</v>
      </c>
      <c r="B1871" t="s">
        <v>171</v>
      </c>
      <c r="C1871" t="s">
        <v>172</v>
      </c>
      <c r="D1871" t="s">
        <v>23</v>
      </c>
      <c r="E1871" t="s">
        <v>33</v>
      </c>
      <c r="F1871" t="s">
        <v>75</v>
      </c>
      <c r="G1871" t="s">
        <v>59</v>
      </c>
      <c r="H1871" t="s">
        <v>51</v>
      </c>
      <c r="I1871" t="s">
        <v>28</v>
      </c>
      <c r="J1871" t="s">
        <v>87</v>
      </c>
      <c r="K1871">
        <v>11945</v>
      </c>
      <c r="L1871">
        <v>118</v>
      </c>
      <c r="M1871">
        <v>62.04</v>
      </c>
      <c r="N1871">
        <v>0</v>
      </c>
      <c r="O1871">
        <v>0</v>
      </c>
      <c r="P1871">
        <f t="shared" si="116"/>
        <v>9.8786102971954795E-3</v>
      </c>
      <c r="Q1871">
        <f t="shared" si="116"/>
        <v>0.52576271186440682</v>
      </c>
      <c r="R1871">
        <f t="shared" si="117"/>
        <v>0</v>
      </c>
      <c r="S1871">
        <f t="shared" si="118"/>
        <v>0</v>
      </c>
      <c r="T1871">
        <f t="shared" si="119"/>
        <v>0</v>
      </c>
      <c r="U1871" t="str">
        <f>YEAR('Campaign Data'!$A1871)&amp;"-"&amp;TEXT(MONTH('Campaign Data'!$A1871),"00")</f>
        <v>2026-04</v>
      </c>
    </row>
    <row r="1872" spans="1:21" x14ac:dyDescent="0.25">
      <c r="A1872">
        <v>46124</v>
      </c>
      <c r="B1872" t="s">
        <v>171</v>
      </c>
      <c r="C1872" t="s">
        <v>172</v>
      </c>
      <c r="D1872" t="s">
        <v>23</v>
      </c>
      <c r="E1872" t="s">
        <v>33</v>
      </c>
      <c r="F1872" t="s">
        <v>75</v>
      </c>
      <c r="G1872" t="s">
        <v>59</v>
      </c>
      <c r="H1872" t="s">
        <v>27</v>
      </c>
      <c r="I1872" t="s">
        <v>37</v>
      </c>
      <c r="J1872" t="s">
        <v>29</v>
      </c>
      <c r="K1872">
        <v>13731</v>
      </c>
      <c r="L1872">
        <v>125</v>
      </c>
      <c r="M1872">
        <v>78.650000000000006</v>
      </c>
      <c r="N1872">
        <v>4</v>
      </c>
      <c r="O1872">
        <v>159.13</v>
      </c>
      <c r="P1872">
        <f t="shared" si="116"/>
        <v>9.1034884567766372E-3</v>
      </c>
      <c r="Q1872">
        <f t="shared" si="116"/>
        <v>0.62920000000000009</v>
      </c>
      <c r="R1872">
        <f t="shared" si="117"/>
        <v>19.662500000000001</v>
      </c>
      <c r="S1872">
        <f t="shared" si="118"/>
        <v>2.0232676414494595</v>
      </c>
      <c r="T1872">
        <f t="shared" si="119"/>
        <v>3.2000000000000001E-2</v>
      </c>
      <c r="U1872" t="str">
        <f>YEAR('Campaign Data'!$A1872)&amp;"-"&amp;TEXT(MONTH('Campaign Data'!$A1872),"00")</f>
        <v>2026-04</v>
      </c>
    </row>
    <row r="1873" spans="1:21" x14ac:dyDescent="0.25">
      <c r="A1873">
        <v>46124</v>
      </c>
      <c r="B1873" t="s">
        <v>134</v>
      </c>
      <c r="C1873" t="s">
        <v>135</v>
      </c>
      <c r="D1873" t="s">
        <v>32</v>
      </c>
      <c r="E1873" t="s">
        <v>74</v>
      </c>
      <c r="F1873" t="s">
        <v>25</v>
      </c>
      <c r="G1873" t="s">
        <v>107</v>
      </c>
      <c r="H1873" t="s">
        <v>90</v>
      </c>
      <c r="I1873" t="s">
        <v>28</v>
      </c>
      <c r="J1873" t="s">
        <v>45</v>
      </c>
      <c r="K1873">
        <v>3621</v>
      </c>
      <c r="L1873">
        <v>79</v>
      </c>
      <c r="M1873">
        <v>29.78</v>
      </c>
      <c r="N1873">
        <v>4</v>
      </c>
      <c r="O1873">
        <v>156.63</v>
      </c>
      <c r="P1873">
        <f t="shared" si="116"/>
        <v>2.1817177575255454E-2</v>
      </c>
      <c r="Q1873">
        <f t="shared" si="116"/>
        <v>0.37696202531645573</v>
      </c>
      <c r="R1873">
        <f t="shared" si="117"/>
        <v>7.4450000000000003</v>
      </c>
      <c r="S1873">
        <f t="shared" si="118"/>
        <v>5.2595701813297513</v>
      </c>
      <c r="T1873">
        <f t="shared" si="119"/>
        <v>5.0632911392405063E-2</v>
      </c>
      <c r="U1873" t="str">
        <f>YEAR('Campaign Data'!$A1873)&amp;"-"&amp;TEXT(MONTH('Campaign Data'!$A1873),"00")</f>
        <v>2026-04</v>
      </c>
    </row>
    <row r="1874" spans="1:21" x14ac:dyDescent="0.25">
      <c r="A1874">
        <v>46124</v>
      </c>
      <c r="B1874" t="s">
        <v>159</v>
      </c>
      <c r="C1874" t="s">
        <v>160</v>
      </c>
      <c r="D1874" t="s">
        <v>65</v>
      </c>
      <c r="E1874" t="s">
        <v>42</v>
      </c>
      <c r="F1874" t="s">
        <v>75</v>
      </c>
      <c r="G1874" t="s">
        <v>54</v>
      </c>
      <c r="H1874" t="s">
        <v>55</v>
      </c>
      <c r="I1874" t="s">
        <v>28</v>
      </c>
      <c r="J1874" t="s">
        <v>87</v>
      </c>
      <c r="K1874">
        <v>3961</v>
      </c>
      <c r="L1874">
        <v>22</v>
      </c>
      <c r="M1874">
        <v>120.44</v>
      </c>
      <c r="N1874">
        <v>1</v>
      </c>
      <c r="O1874">
        <v>33.619999999999997</v>
      </c>
      <c r="P1874">
        <f t="shared" si="116"/>
        <v>5.5541529916687702E-3</v>
      </c>
      <c r="Q1874">
        <f t="shared" si="116"/>
        <v>5.4745454545454546</v>
      </c>
      <c r="R1874">
        <f t="shared" si="117"/>
        <v>120.44</v>
      </c>
      <c r="S1874">
        <f t="shared" si="118"/>
        <v>0.27914314181335104</v>
      </c>
      <c r="T1874">
        <f t="shared" si="119"/>
        <v>4.5454545454545456E-2</v>
      </c>
      <c r="U1874" t="str">
        <f>YEAR('Campaign Data'!$A1874)&amp;"-"&amp;TEXT(MONTH('Campaign Data'!$A1874),"00")</f>
        <v>2026-04</v>
      </c>
    </row>
    <row r="1875" spans="1:21" x14ac:dyDescent="0.25">
      <c r="A1875">
        <v>46124</v>
      </c>
      <c r="B1875" t="s">
        <v>181</v>
      </c>
      <c r="C1875" t="s">
        <v>182</v>
      </c>
      <c r="D1875" t="s">
        <v>32</v>
      </c>
      <c r="E1875" t="s">
        <v>33</v>
      </c>
      <c r="F1875" t="s">
        <v>75</v>
      </c>
      <c r="G1875" t="s">
        <v>59</v>
      </c>
      <c r="H1875" t="s">
        <v>71</v>
      </c>
      <c r="I1875" t="s">
        <v>28</v>
      </c>
      <c r="J1875" t="s">
        <v>45</v>
      </c>
      <c r="K1875">
        <v>4618</v>
      </c>
      <c r="L1875">
        <v>36</v>
      </c>
      <c r="M1875">
        <v>23.66</v>
      </c>
      <c r="N1875">
        <v>0</v>
      </c>
      <c r="O1875">
        <v>0</v>
      </c>
      <c r="P1875">
        <f t="shared" si="116"/>
        <v>7.795582503248159E-3</v>
      </c>
      <c r="Q1875">
        <f t="shared" si="116"/>
        <v>0.65722222222222226</v>
      </c>
      <c r="R1875">
        <f t="shared" si="117"/>
        <v>0</v>
      </c>
      <c r="S1875">
        <f t="shared" si="118"/>
        <v>0</v>
      </c>
      <c r="T1875">
        <f t="shared" si="119"/>
        <v>0</v>
      </c>
      <c r="U1875" t="str">
        <f>YEAR('Campaign Data'!$A1875)&amp;"-"&amp;TEXT(MONTH('Campaign Data'!$A1875),"00")</f>
        <v>2026-04</v>
      </c>
    </row>
    <row r="1876" spans="1:21" x14ac:dyDescent="0.25">
      <c r="A1876">
        <v>46124</v>
      </c>
      <c r="B1876" t="s">
        <v>141</v>
      </c>
      <c r="C1876" t="s">
        <v>142</v>
      </c>
      <c r="D1876" t="s">
        <v>80</v>
      </c>
      <c r="E1876" t="s">
        <v>49</v>
      </c>
      <c r="F1876" t="s">
        <v>81</v>
      </c>
      <c r="G1876" t="s">
        <v>97</v>
      </c>
      <c r="H1876" t="s">
        <v>36</v>
      </c>
      <c r="I1876" t="s">
        <v>37</v>
      </c>
      <c r="J1876" t="s">
        <v>45</v>
      </c>
      <c r="K1876">
        <v>4530</v>
      </c>
      <c r="L1876">
        <v>201</v>
      </c>
      <c r="M1876">
        <v>312.66000000000003</v>
      </c>
      <c r="N1876">
        <v>3</v>
      </c>
      <c r="O1876">
        <v>56.11</v>
      </c>
      <c r="P1876">
        <f t="shared" si="116"/>
        <v>4.4370860927152318E-2</v>
      </c>
      <c r="Q1876">
        <f t="shared" si="116"/>
        <v>1.5555223880597016</v>
      </c>
      <c r="R1876">
        <f t="shared" si="117"/>
        <v>104.22000000000001</v>
      </c>
      <c r="S1876">
        <f t="shared" si="118"/>
        <v>0.17946011642039275</v>
      </c>
      <c r="T1876">
        <f t="shared" si="119"/>
        <v>1.4925373134328358E-2</v>
      </c>
      <c r="U1876" t="str">
        <f>YEAR('Campaign Data'!$A1876)&amp;"-"&amp;TEXT(MONTH('Campaign Data'!$A1876),"00")</f>
        <v>2026-04</v>
      </c>
    </row>
    <row r="1877" spans="1:21" x14ac:dyDescent="0.25">
      <c r="A1877">
        <v>46124</v>
      </c>
      <c r="B1877" t="s">
        <v>183</v>
      </c>
      <c r="C1877" t="s">
        <v>184</v>
      </c>
      <c r="D1877" t="s">
        <v>23</v>
      </c>
      <c r="E1877" t="s">
        <v>24</v>
      </c>
      <c r="F1877" t="s">
        <v>81</v>
      </c>
      <c r="G1877" t="s">
        <v>185</v>
      </c>
      <c r="H1877" t="s">
        <v>55</v>
      </c>
      <c r="I1877" t="s">
        <v>61</v>
      </c>
      <c r="J1877" t="s">
        <v>38</v>
      </c>
      <c r="K1877">
        <v>2282</v>
      </c>
      <c r="L1877">
        <v>29</v>
      </c>
      <c r="M1877">
        <v>27.78</v>
      </c>
      <c r="N1877">
        <v>2</v>
      </c>
      <c r="O1877">
        <v>24.63</v>
      </c>
      <c r="P1877">
        <f t="shared" si="116"/>
        <v>1.2708150744960562E-2</v>
      </c>
      <c r="Q1877">
        <f t="shared" si="116"/>
        <v>0.95793103448275863</v>
      </c>
      <c r="R1877">
        <f t="shared" si="117"/>
        <v>13.89</v>
      </c>
      <c r="S1877">
        <f t="shared" si="118"/>
        <v>0.886609071274298</v>
      </c>
      <c r="T1877">
        <f t="shared" si="119"/>
        <v>6.8965517241379309E-2</v>
      </c>
      <c r="U1877" t="str">
        <f>YEAR('Campaign Data'!$A1877)&amp;"-"&amp;TEXT(MONTH('Campaign Data'!$A1877),"00")</f>
        <v>2026-04</v>
      </c>
    </row>
    <row r="1878" spans="1:21" x14ac:dyDescent="0.25">
      <c r="A1878">
        <v>46124</v>
      </c>
      <c r="B1878" t="s">
        <v>67</v>
      </c>
      <c r="C1878" t="s">
        <v>68</v>
      </c>
      <c r="D1878" t="s">
        <v>69</v>
      </c>
      <c r="E1878" t="s">
        <v>49</v>
      </c>
      <c r="F1878" t="s">
        <v>34</v>
      </c>
      <c r="G1878" t="s">
        <v>70</v>
      </c>
      <c r="H1878" t="s">
        <v>27</v>
      </c>
      <c r="I1878" t="s">
        <v>37</v>
      </c>
      <c r="J1878" t="s">
        <v>62</v>
      </c>
      <c r="K1878">
        <v>2554</v>
      </c>
      <c r="L1878">
        <v>133</v>
      </c>
      <c r="M1878">
        <v>347.43</v>
      </c>
      <c r="N1878">
        <v>6</v>
      </c>
      <c r="O1878">
        <v>1348.95</v>
      </c>
      <c r="P1878">
        <f t="shared" si="116"/>
        <v>5.2075176194205167E-2</v>
      </c>
      <c r="Q1878">
        <f t="shared" si="116"/>
        <v>2.6122556390977443</v>
      </c>
      <c r="R1878">
        <f t="shared" si="117"/>
        <v>57.905000000000001</v>
      </c>
      <c r="S1878">
        <f t="shared" si="118"/>
        <v>3.8826526206717902</v>
      </c>
      <c r="T1878">
        <f t="shared" si="119"/>
        <v>4.5112781954887216E-2</v>
      </c>
      <c r="U1878" t="str">
        <f>YEAR('Campaign Data'!$A1878)&amp;"-"&amp;TEXT(MONTH('Campaign Data'!$A1878),"00")</f>
        <v>2026-04</v>
      </c>
    </row>
    <row r="1879" spans="1:21" x14ac:dyDescent="0.25">
      <c r="A1879">
        <v>46124</v>
      </c>
      <c r="B1879" t="s">
        <v>118</v>
      </c>
      <c r="C1879" t="s">
        <v>119</v>
      </c>
      <c r="D1879" t="s">
        <v>69</v>
      </c>
      <c r="E1879" t="s">
        <v>33</v>
      </c>
      <c r="F1879" t="s">
        <v>34</v>
      </c>
      <c r="G1879" t="s">
        <v>35</v>
      </c>
      <c r="H1879" t="s">
        <v>51</v>
      </c>
      <c r="I1879" t="s">
        <v>28</v>
      </c>
      <c r="J1879" t="s">
        <v>87</v>
      </c>
      <c r="K1879">
        <v>12604</v>
      </c>
      <c r="L1879">
        <v>137</v>
      </c>
      <c r="M1879">
        <v>82.89</v>
      </c>
      <c r="N1879">
        <v>0</v>
      </c>
      <c r="O1879">
        <v>0</v>
      </c>
      <c r="P1879">
        <f t="shared" si="116"/>
        <v>1.0869565217391304E-2</v>
      </c>
      <c r="Q1879">
        <f t="shared" si="116"/>
        <v>0.60503649635036494</v>
      </c>
      <c r="R1879">
        <f t="shared" si="117"/>
        <v>0</v>
      </c>
      <c r="S1879">
        <f t="shared" si="118"/>
        <v>0</v>
      </c>
      <c r="T1879">
        <f t="shared" si="119"/>
        <v>0</v>
      </c>
      <c r="U1879" t="str">
        <f>YEAR('Campaign Data'!$A1879)&amp;"-"&amp;TEXT(MONTH('Campaign Data'!$A1879),"00")</f>
        <v>2026-04</v>
      </c>
    </row>
    <row r="1880" spans="1:21" x14ac:dyDescent="0.25">
      <c r="A1880">
        <v>46124</v>
      </c>
      <c r="B1880" t="s">
        <v>122</v>
      </c>
      <c r="C1880" t="s">
        <v>123</v>
      </c>
      <c r="D1880" t="s">
        <v>41</v>
      </c>
      <c r="E1880" t="s">
        <v>33</v>
      </c>
      <c r="F1880" t="s">
        <v>75</v>
      </c>
      <c r="G1880" t="s">
        <v>35</v>
      </c>
      <c r="H1880" t="s">
        <v>90</v>
      </c>
      <c r="I1880" t="s">
        <v>37</v>
      </c>
      <c r="J1880" t="s">
        <v>45</v>
      </c>
      <c r="K1880">
        <v>8666</v>
      </c>
      <c r="L1880">
        <v>67</v>
      </c>
      <c r="M1880">
        <v>9.5</v>
      </c>
      <c r="N1880">
        <v>0</v>
      </c>
      <c r="O1880">
        <v>0</v>
      </c>
      <c r="P1880">
        <f t="shared" si="116"/>
        <v>7.7313639510731592E-3</v>
      </c>
      <c r="Q1880">
        <f t="shared" si="116"/>
        <v>0.1417910447761194</v>
      </c>
      <c r="R1880">
        <f t="shared" si="117"/>
        <v>0</v>
      </c>
      <c r="S1880">
        <f t="shared" si="118"/>
        <v>0</v>
      </c>
      <c r="T1880">
        <f t="shared" si="119"/>
        <v>0</v>
      </c>
      <c r="U1880" t="str">
        <f>YEAR('Campaign Data'!$A1880)&amp;"-"&amp;TEXT(MONTH('Campaign Data'!$A1880),"00")</f>
        <v>2026-04</v>
      </c>
    </row>
    <row r="1881" spans="1:21" x14ac:dyDescent="0.25">
      <c r="A1881">
        <v>46125</v>
      </c>
      <c r="B1881" t="s">
        <v>91</v>
      </c>
      <c r="C1881" t="s">
        <v>92</v>
      </c>
      <c r="D1881" t="s">
        <v>41</v>
      </c>
      <c r="E1881" t="s">
        <v>74</v>
      </c>
      <c r="F1881" t="s">
        <v>75</v>
      </c>
      <c r="G1881" t="s">
        <v>9</v>
      </c>
      <c r="H1881" t="s">
        <v>71</v>
      </c>
      <c r="I1881" t="s">
        <v>37</v>
      </c>
      <c r="J1881" t="s">
        <v>62</v>
      </c>
      <c r="K1881">
        <v>2204</v>
      </c>
      <c r="L1881">
        <v>92</v>
      </c>
      <c r="M1881">
        <v>138.43</v>
      </c>
      <c r="N1881">
        <v>7</v>
      </c>
      <c r="O1881">
        <v>194.36</v>
      </c>
      <c r="P1881">
        <f t="shared" si="116"/>
        <v>4.1742286751361164E-2</v>
      </c>
      <c r="Q1881">
        <f t="shared" si="116"/>
        <v>1.5046739130434783</v>
      </c>
      <c r="R1881">
        <f t="shared" si="117"/>
        <v>19.775714285714287</v>
      </c>
      <c r="S1881">
        <f t="shared" si="118"/>
        <v>1.4040309181535795</v>
      </c>
      <c r="T1881">
        <f t="shared" si="119"/>
        <v>7.6086956521739135E-2</v>
      </c>
      <c r="U1881" t="str">
        <f>YEAR('Campaign Data'!$A1881)&amp;"-"&amp;TEXT(MONTH('Campaign Data'!$A1881),"00")</f>
        <v>2026-04</v>
      </c>
    </row>
    <row r="1882" spans="1:21" x14ac:dyDescent="0.25">
      <c r="A1882">
        <v>46125</v>
      </c>
      <c r="B1882" t="s">
        <v>95</v>
      </c>
      <c r="C1882" t="s">
        <v>96</v>
      </c>
      <c r="D1882" t="s">
        <v>23</v>
      </c>
      <c r="E1882" t="s">
        <v>49</v>
      </c>
      <c r="F1882" t="s">
        <v>43</v>
      </c>
      <c r="G1882" t="s">
        <v>97</v>
      </c>
      <c r="H1882" t="s">
        <v>90</v>
      </c>
      <c r="I1882" t="s">
        <v>37</v>
      </c>
      <c r="J1882" t="s">
        <v>38</v>
      </c>
      <c r="K1882">
        <v>39589</v>
      </c>
      <c r="L1882">
        <v>1361</v>
      </c>
      <c r="M1882">
        <v>863.14</v>
      </c>
      <c r="N1882">
        <v>93</v>
      </c>
      <c r="O1882">
        <v>465</v>
      </c>
      <c r="P1882">
        <f t="shared" si="116"/>
        <v>3.4378236378792087E-2</v>
      </c>
      <c r="Q1882">
        <f t="shared" si="116"/>
        <v>0.63419544452608378</v>
      </c>
      <c r="R1882">
        <f t="shared" si="117"/>
        <v>9.2810752688172045</v>
      </c>
      <c r="S1882">
        <f t="shared" si="118"/>
        <v>0.53873068100192323</v>
      </c>
      <c r="T1882">
        <f t="shared" si="119"/>
        <v>6.8332108743570902E-2</v>
      </c>
      <c r="U1882" t="str">
        <f>YEAR('Campaign Data'!$A1882)&amp;"-"&amp;TEXT(MONTH('Campaign Data'!$A1882),"00")</f>
        <v>2026-04</v>
      </c>
    </row>
    <row r="1883" spans="1:21" x14ac:dyDescent="0.25">
      <c r="A1883">
        <v>46125</v>
      </c>
      <c r="B1883" t="s">
        <v>151</v>
      </c>
      <c r="C1883" t="s">
        <v>152</v>
      </c>
      <c r="D1883" t="s">
        <v>48</v>
      </c>
      <c r="E1883" t="s">
        <v>24</v>
      </c>
      <c r="F1883" t="s">
        <v>81</v>
      </c>
      <c r="G1883" t="s">
        <v>129</v>
      </c>
      <c r="H1883" t="s">
        <v>27</v>
      </c>
      <c r="I1883" t="s">
        <v>37</v>
      </c>
      <c r="J1883" t="s">
        <v>45</v>
      </c>
      <c r="K1883">
        <v>10609</v>
      </c>
      <c r="L1883">
        <v>119</v>
      </c>
      <c r="M1883">
        <v>227.02</v>
      </c>
      <c r="N1883">
        <v>0</v>
      </c>
      <c r="O1883">
        <v>0</v>
      </c>
      <c r="P1883">
        <f t="shared" si="116"/>
        <v>1.1216891318691677E-2</v>
      </c>
      <c r="Q1883">
        <f t="shared" si="116"/>
        <v>1.9077310924369748</v>
      </c>
      <c r="R1883">
        <f t="shared" si="117"/>
        <v>0</v>
      </c>
      <c r="S1883">
        <f t="shared" si="118"/>
        <v>0</v>
      </c>
      <c r="T1883">
        <f t="shared" si="119"/>
        <v>0</v>
      </c>
      <c r="U1883" t="str">
        <f>YEAR('Campaign Data'!$A1883)&amp;"-"&amp;TEXT(MONTH('Campaign Data'!$A1883),"00")</f>
        <v>2026-04</v>
      </c>
    </row>
    <row r="1884" spans="1:21" x14ac:dyDescent="0.25">
      <c r="A1884">
        <v>46125</v>
      </c>
      <c r="B1884" t="s">
        <v>151</v>
      </c>
      <c r="C1884" t="s">
        <v>152</v>
      </c>
      <c r="D1884" t="s">
        <v>48</v>
      </c>
      <c r="E1884" t="s">
        <v>24</v>
      </c>
      <c r="F1884" t="s">
        <v>81</v>
      </c>
      <c r="G1884" t="s">
        <v>129</v>
      </c>
      <c r="H1884" t="s">
        <v>90</v>
      </c>
      <c r="I1884" t="s">
        <v>37</v>
      </c>
      <c r="J1884" t="s">
        <v>29</v>
      </c>
      <c r="K1884">
        <v>5110</v>
      </c>
      <c r="L1884">
        <v>63</v>
      </c>
      <c r="M1884">
        <v>12.2</v>
      </c>
      <c r="N1884">
        <v>3</v>
      </c>
      <c r="O1884">
        <v>20.16</v>
      </c>
      <c r="P1884">
        <f t="shared" si="116"/>
        <v>1.2328767123287671E-2</v>
      </c>
      <c r="Q1884">
        <f t="shared" si="116"/>
        <v>0.19365079365079363</v>
      </c>
      <c r="R1884">
        <f t="shared" si="117"/>
        <v>4.0666666666666664</v>
      </c>
      <c r="S1884">
        <f t="shared" si="118"/>
        <v>1.6524590163934427</v>
      </c>
      <c r="T1884">
        <f t="shared" si="119"/>
        <v>4.7619047619047616E-2</v>
      </c>
      <c r="U1884" t="str">
        <f>YEAR('Campaign Data'!$A1884)&amp;"-"&amp;TEXT(MONTH('Campaign Data'!$A1884),"00")</f>
        <v>2026-04</v>
      </c>
    </row>
    <row r="1885" spans="1:21" x14ac:dyDescent="0.25">
      <c r="A1885">
        <v>46125</v>
      </c>
      <c r="B1885" t="s">
        <v>100</v>
      </c>
      <c r="C1885" t="s">
        <v>101</v>
      </c>
      <c r="D1885" t="s">
        <v>80</v>
      </c>
      <c r="E1885" t="s">
        <v>33</v>
      </c>
      <c r="F1885" t="s">
        <v>25</v>
      </c>
      <c r="G1885" t="s">
        <v>102</v>
      </c>
      <c r="H1885" t="s">
        <v>27</v>
      </c>
      <c r="I1885" t="s">
        <v>37</v>
      </c>
      <c r="J1885" t="s">
        <v>62</v>
      </c>
      <c r="K1885">
        <v>7282</v>
      </c>
      <c r="L1885">
        <v>68</v>
      </c>
      <c r="M1885">
        <v>51.05</v>
      </c>
      <c r="N1885">
        <v>0</v>
      </c>
      <c r="O1885">
        <v>0</v>
      </c>
      <c r="P1885">
        <f t="shared" si="116"/>
        <v>9.3380939302389453E-3</v>
      </c>
      <c r="Q1885">
        <f t="shared" si="116"/>
        <v>0.75073529411764706</v>
      </c>
      <c r="R1885">
        <f t="shared" si="117"/>
        <v>0</v>
      </c>
      <c r="S1885">
        <f t="shared" si="118"/>
        <v>0</v>
      </c>
      <c r="T1885">
        <f t="shared" si="119"/>
        <v>0</v>
      </c>
      <c r="U1885" t="str">
        <f>YEAR('Campaign Data'!$A1885)&amp;"-"&amp;TEXT(MONTH('Campaign Data'!$A1885),"00")</f>
        <v>2026-04</v>
      </c>
    </row>
    <row r="1886" spans="1:21" x14ac:dyDescent="0.25">
      <c r="A1886">
        <v>46125</v>
      </c>
      <c r="B1886" t="s">
        <v>105</v>
      </c>
      <c r="C1886" t="s">
        <v>106</v>
      </c>
      <c r="D1886" t="s">
        <v>58</v>
      </c>
      <c r="E1886" t="s">
        <v>49</v>
      </c>
      <c r="F1886" t="s">
        <v>81</v>
      </c>
      <c r="G1886" t="s">
        <v>107</v>
      </c>
      <c r="H1886" t="s">
        <v>60</v>
      </c>
      <c r="I1886" t="s">
        <v>28</v>
      </c>
      <c r="J1886" t="s">
        <v>45</v>
      </c>
      <c r="K1886">
        <v>7002</v>
      </c>
      <c r="L1886">
        <v>480</v>
      </c>
      <c r="M1886">
        <v>939.98</v>
      </c>
      <c r="N1886">
        <v>28</v>
      </c>
      <c r="O1886">
        <v>668.54</v>
      </c>
      <c r="P1886">
        <f t="shared" si="116"/>
        <v>6.8551842330762641E-2</v>
      </c>
      <c r="Q1886">
        <f t="shared" si="116"/>
        <v>1.9582916666666668</v>
      </c>
      <c r="R1886">
        <f t="shared" si="117"/>
        <v>33.570714285714288</v>
      </c>
      <c r="S1886">
        <f t="shared" si="118"/>
        <v>0.71122789846592471</v>
      </c>
      <c r="T1886">
        <f t="shared" si="119"/>
        <v>5.8333333333333334E-2</v>
      </c>
      <c r="U1886" t="str">
        <f>YEAR('Campaign Data'!$A1886)&amp;"-"&amp;TEXT(MONTH('Campaign Data'!$A1886),"00")</f>
        <v>2026-04</v>
      </c>
    </row>
    <row r="1887" spans="1:21" x14ac:dyDescent="0.25">
      <c r="A1887">
        <v>46125</v>
      </c>
      <c r="B1887" t="s">
        <v>105</v>
      </c>
      <c r="C1887" t="s">
        <v>106</v>
      </c>
      <c r="D1887" t="s">
        <v>58</v>
      </c>
      <c r="E1887" t="s">
        <v>49</v>
      </c>
      <c r="F1887" t="s">
        <v>81</v>
      </c>
      <c r="G1887" t="s">
        <v>107</v>
      </c>
      <c r="H1887" t="s">
        <v>27</v>
      </c>
      <c r="I1887" t="s">
        <v>37</v>
      </c>
      <c r="J1887" t="s">
        <v>45</v>
      </c>
      <c r="K1887">
        <v>4461</v>
      </c>
      <c r="L1887">
        <v>245</v>
      </c>
      <c r="M1887">
        <v>484.75</v>
      </c>
      <c r="N1887">
        <v>16</v>
      </c>
      <c r="O1887">
        <v>351.9</v>
      </c>
      <c r="P1887">
        <f t="shared" si="116"/>
        <v>5.492042143017261E-2</v>
      </c>
      <c r="Q1887">
        <f t="shared" si="116"/>
        <v>1.9785714285714286</v>
      </c>
      <c r="R1887">
        <f t="shared" si="117"/>
        <v>30.296875</v>
      </c>
      <c r="S1887">
        <f t="shared" si="118"/>
        <v>0.72594120680763274</v>
      </c>
      <c r="T1887">
        <f t="shared" si="119"/>
        <v>6.5306122448979598E-2</v>
      </c>
      <c r="U1887" t="str">
        <f>YEAR('Campaign Data'!$A1887)&amp;"-"&amp;TEXT(MONTH('Campaign Data'!$A1887),"00")</f>
        <v>2026-04</v>
      </c>
    </row>
    <row r="1888" spans="1:21" x14ac:dyDescent="0.25">
      <c r="A1888">
        <v>46125</v>
      </c>
      <c r="B1888" t="s">
        <v>171</v>
      </c>
      <c r="C1888" t="s">
        <v>172</v>
      </c>
      <c r="D1888" t="s">
        <v>23</v>
      </c>
      <c r="E1888" t="s">
        <v>33</v>
      </c>
      <c r="F1888" t="s">
        <v>75</v>
      </c>
      <c r="G1888" t="s">
        <v>59</v>
      </c>
      <c r="H1888" t="s">
        <v>51</v>
      </c>
      <c r="I1888" t="s">
        <v>37</v>
      </c>
      <c r="J1888" t="s">
        <v>62</v>
      </c>
      <c r="K1888">
        <v>8722</v>
      </c>
      <c r="L1888">
        <v>144</v>
      </c>
      <c r="M1888">
        <v>109.31</v>
      </c>
      <c r="N1888">
        <v>3</v>
      </c>
      <c r="O1888">
        <v>143.26</v>
      </c>
      <c r="P1888">
        <f t="shared" si="116"/>
        <v>1.6509974776427426E-2</v>
      </c>
      <c r="Q1888">
        <f t="shared" si="116"/>
        <v>0.7590972222222222</v>
      </c>
      <c r="R1888">
        <f t="shared" si="117"/>
        <v>36.436666666666667</v>
      </c>
      <c r="S1888">
        <f t="shared" si="118"/>
        <v>1.3105845759765802</v>
      </c>
      <c r="T1888">
        <f t="shared" si="119"/>
        <v>2.0833333333333332E-2</v>
      </c>
      <c r="U1888" t="str">
        <f>YEAR('Campaign Data'!$A1888)&amp;"-"&amp;TEXT(MONTH('Campaign Data'!$A1888),"00")</f>
        <v>2026-04</v>
      </c>
    </row>
    <row r="1889" spans="1:21" x14ac:dyDescent="0.25">
      <c r="A1889">
        <v>46125</v>
      </c>
      <c r="B1889" t="s">
        <v>110</v>
      </c>
      <c r="C1889" t="s">
        <v>111</v>
      </c>
      <c r="D1889" t="s">
        <v>23</v>
      </c>
      <c r="E1889" t="s">
        <v>49</v>
      </c>
      <c r="F1889" t="s">
        <v>34</v>
      </c>
      <c r="G1889" t="s">
        <v>50</v>
      </c>
      <c r="H1889" t="s">
        <v>36</v>
      </c>
      <c r="I1889" t="s">
        <v>28</v>
      </c>
      <c r="J1889" t="s">
        <v>45</v>
      </c>
      <c r="K1889">
        <v>5353</v>
      </c>
      <c r="L1889">
        <v>287</v>
      </c>
      <c r="M1889">
        <v>590.6</v>
      </c>
      <c r="N1889">
        <v>19</v>
      </c>
      <c r="O1889">
        <v>1534.39</v>
      </c>
      <c r="P1889">
        <f t="shared" si="116"/>
        <v>5.3614795441808333E-2</v>
      </c>
      <c r="Q1889">
        <f t="shared" si="116"/>
        <v>2.0578397212543553</v>
      </c>
      <c r="R1889">
        <f t="shared" si="117"/>
        <v>31.08421052631579</v>
      </c>
      <c r="S1889">
        <f t="shared" si="118"/>
        <v>2.5980189637656621</v>
      </c>
      <c r="T1889">
        <f t="shared" si="119"/>
        <v>6.6202090592334492E-2</v>
      </c>
      <c r="U1889" t="str">
        <f>YEAR('Campaign Data'!$A1889)&amp;"-"&amp;TEXT(MONTH('Campaign Data'!$A1889),"00")</f>
        <v>2026-04</v>
      </c>
    </row>
    <row r="1890" spans="1:21" x14ac:dyDescent="0.25">
      <c r="A1890">
        <v>46125</v>
      </c>
      <c r="B1890" t="s">
        <v>110</v>
      </c>
      <c r="C1890" t="s">
        <v>111</v>
      </c>
      <c r="D1890" t="s">
        <v>23</v>
      </c>
      <c r="E1890" t="s">
        <v>49</v>
      </c>
      <c r="F1890" t="s">
        <v>34</v>
      </c>
      <c r="G1890" t="s">
        <v>50</v>
      </c>
      <c r="H1890" t="s">
        <v>90</v>
      </c>
      <c r="I1890" t="s">
        <v>37</v>
      </c>
      <c r="J1890" t="s">
        <v>38</v>
      </c>
      <c r="K1890">
        <v>22727</v>
      </c>
      <c r="L1890">
        <v>953</v>
      </c>
      <c r="M1890">
        <v>378.16</v>
      </c>
      <c r="N1890">
        <v>63</v>
      </c>
      <c r="O1890">
        <v>1378.04</v>
      </c>
      <c r="P1890">
        <f t="shared" si="116"/>
        <v>4.193250319003828E-2</v>
      </c>
      <c r="Q1890">
        <f t="shared" si="116"/>
        <v>0.39681007345225605</v>
      </c>
      <c r="R1890">
        <f t="shared" si="117"/>
        <v>6.0025396825396831</v>
      </c>
      <c r="S1890">
        <f t="shared" si="118"/>
        <v>3.6440660038079118</v>
      </c>
      <c r="T1890">
        <f t="shared" si="119"/>
        <v>6.6107030430220357E-2</v>
      </c>
      <c r="U1890" t="str">
        <f>YEAR('Campaign Data'!$A1890)&amp;"-"&amp;TEXT(MONTH('Campaign Data'!$A1890),"00")</f>
        <v>2026-04</v>
      </c>
    </row>
    <row r="1891" spans="1:21" x14ac:dyDescent="0.25">
      <c r="A1891">
        <v>46125</v>
      </c>
      <c r="B1891" t="s">
        <v>155</v>
      </c>
      <c r="C1891" t="s">
        <v>156</v>
      </c>
      <c r="D1891" t="s">
        <v>32</v>
      </c>
      <c r="E1891" t="s">
        <v>24</v>
      </c>
      <c r="F1891" t="s">
        <v>34</v>
      </c>
      <c r="G1891" t="s">
        <v>129</v>
      </c>
      <c r="H1891" t="s">
        <v>60</v>
      </c>
      <c r="I1891" t="s">
        <v>28</v>
      </c>
      <c r="J1891" t="s">
        <v>62</v>
      </c>
      <c r="K1891">
        <v>4785</v>
      </c>
      <c r="L1891">
        <v>64</v>
      </c>
      <c r="M1891">
        <v>65.89</v>
      </c>
      <c r="N1891">
        <v>1</v>
      </c>
      <c r="O1891">
        <v>131.34</v>
      </c>
      <c r="P1891">
        <f t="shared" si="116"/>
        <v>1.3375130616509927E-2</v>
      </c>
      <c r="Q1891">
        <f t="shared" si="116"/>
        <v>1.02953125</v>
      </c>
      <c r="R1891">
        <f t="shared" si="117"/>
        <v>65.89</v>
      </c>
      <c r="S1891">
        <f t="shared" si="118"/>
        <v>1.993322203672788</v>
      </c>
      <c r="T1891">
        <f t="shared" si="119"/>
        <v>1.5625E-2</v>
      </c>
      <c r="U1891" t="str">
        <f>YEAR('Campaign Data'!$A1891)&amp;"-"&amp;TEXT(MONTH('Campaign Data'!$A1891),"00")</f>
        <v>2026-04</v>
      </c>
    </row>
    <row r="1892" spans="1:21" x14ac:dyDescent="0.25">
      <c r="A1892">
        <v>46125</v>
      </c>
      <c r="B1892" t="s">
        <v>157</v>
      </c>
      <c r="C1892" t="s">
        <v>158</v>
      </c>
      <c r="D1892" t="s">
        <v>58</v>
      </c>
      <c r="E1892" t="s">
        <v>49</v>
      </c>
      <c r="F1892" t="s">
        <v>81</v>
      </c>
      <c r="G1892" t="s">
        <v>50</v>
      </c>
      <c r="H1892" t="s">
        <v>36</v>
      </c>
      <c r="I1892" t="s">
        <v>37</v>
      </c>
      <c r="J1892" t="s">
        <v>45</v>
      </c>
      <c r="K1892">
        <v>11373</v>
      </c>
      <c r="L1892">
        <v>471</v>
      </c>
      <c r="M1892">
        <v>780.13</v>
      </c>
      <c r="N1892">
        <v>22</v>
      </c>
      <c r="O1892">
        <v>663.86</v>
      </c>
      <c r="P1892">
        <f t="shared" si="116"/>
        <v>4.141387496702717E-2</v>
      </c>
      <c r="Q1892">
        <f t="shared" si="116"/>
        <v>1.6563269639065816</v>
      </c>
      <c r="R1892">
        <f t="shared" si="117"/>
        <v>35.460454545454546</v>
      </c>
      <c r="S1892">
        <f t="shared" si="118"/>
        <v>0.85096073731301192</v>
      </c>
      <c r="T1892">
        <f t="shared" si="119"/>
        <v>4.6709129511677279E-2</v>
      </c>
      <c r="U1892" t="str">
        <f>YEAR('Campaign Data'!$A1892)&amp;"-"&amp;TEXT(MONTH('Campaign Data'!$A1892),"00")</f>
        <v>2026-04</v>
      </c>
    </row>
    <row r="1893" spans="1:21" x14ac:dyDescent="0.25">
      <c r="A1893">
        <v>46125</v>
      </c>
      <c r="B1893" t="s">
        <v>112</v>
      </c>
      <c r="C1893" t="s">
        <v>113</v>
      </c>
      <c r="D1893" t="s">
        <v>32</v>
      </c>
      <c r="E1893" t="s">
        <v>24</v>
      </c>
      <c r="F1893" t="s">
        <v>75</v>
      </c>
      <c r="G1893" t="s">
        <v>66</v>
      </c>
      <c r="H1893" t="s">
        <v>36</v>
      </c>
      <c r="I1893" t="s">
        <v>28</v>
      </c>
      <c r="J1893" t="s">
        <v>29</v>
      </c>
      <c r="K1893">
        <v>6414</v>
      </c>
      <c r="L1893">
        <v>44</v>
      </c>
      <c r="M1893">
        <v>49.31</v>
      </c>
      <c r="N1893">
        <v>2</v>
      </c>
      <c r="O1893">
        <v>92.11</v>
      </c>
      <c r="P1893">
        <f t="shared" si="116"/>
        <v>6.8599937636420333E-3</v>
      </c>
      <c r="Q1893">
        <f t="shared" si="116"/>
        <v>1.1206818181818183</v>
      </c>
      <c r="R1893">
        <f t="shared" si="117"/>
        <v>24.655000000000001</v>
      </c>
      <c r="S1893">
        <f t="shared" si="118"/>
        <v>1.8679780977489353</v>
      </c>
      <c r="T1893">
        <f t="shared" si="119"/>
        <v>4.5454545454545456E-2</v>
      </c>
      <c r="U1893" t="str">
        <f>YEAR('Campaign Data'!$A1893)&amp;"-"&amp;TEXT(MONTH('Campaign Data'!$A1893),"00")</f>
        <v>2026-04</v>
      </c>
    </row>
    <row r="1894" spans="1:21" x14ac:dyDescent="0.25">
      <c r="A1894">
        <v>46125</v>
      </c>
      <c r="B1894" t="s">
        <v>78</v>
      </c>
      <c r="C1894" t="s">
        <v>79</v>
      </c>
      <c r="D1894" t="s">
        <v>80</v>
      </c>
      <c r="E1894" t="s">
        <v>24</v>
      </c>
      <c r="F1894" t="s">
        <v>81</v>
      </c>
      <c r="G1894" t="s">
        <v>66</v>
      </c>
      <c r="H1894" t="s">
        <v>71</v>
      </c>
      <c r="I1894" t="s">
        <v>37</v>
      </c>
      <c r="J1894" t="s">
        <v>45</v>
      </c>
      <c r="K1894">
        <v>17529</v>
      </c>
      <c r="L1894">
        <v>285</v>
      </c>
      <c r="M1894">
        <v>278.69</v>
      </c>
      <c r="N1894">
        <v>11</v>
      </c>
      <c r="O1894">
        <v>319.35000000000002</v>
      </c>
      <c r="P1894">
        <f t="shared" si="116"/>
        <v>1.6258771179188773E-2</v>
      </c>
      <c r="Q1894">
        <f t="shared" si="116"/>
        <v>0.97785964912280698</v>
      </c>
      <c r="R1894">
        <f t="shared" si="117"/>
        <v>25.335454545454546</v>
      </c>
      <c r="S1894">
        <f t="shared" si="118"/>
        <v>1.1458968746636049</v>
      </c>
      <c r="T1894">
        <f t="shared" si="119"/>
        <v>3.8596491228070177E-2</v>
      </c>
      <c r="U1894" t="str">
        <f>YEAR('Campaign Data'!$A1894)&amp;"-"&amp;TEXT(MONTH('Campaign Data'!$A1894),"00")</f>
        <v>2026-04</v>
      </c>
    </row>
    <row r="1895" spans="1:21" x14ac:dyDescent="0.25">
      <c r="A1895">
        <v>46126</v>
      </c>
      <c r="B1895" t="s">
        <v>173</v>
      </c>
      <c r="C1895" t="s">
        <v>174</v>
      </c>
      <c r="D1895" t="s">
        <v>48</v>
      </c>
      <c r="E1895" t="s">
        <v>74</v>
      </c>
      <c r="F1895" t="s">
        <v>25</v>
      </c>
      <c r="G1895" t="s">
        <v>9</v>
      </c>
      <c r="H1895" t="s">
        <v>36</v>
      </c>
      <c r="I1895" t="s">
        <v>61</v>
      </c>
      <c r="J1895" t="s">
        <v>62</v>
      </c>
      <c r="K1895">
        <v>5699</v>
      </c>
      <c r="L1895">
        <v>236</v>
      </c>
      <c r="M1895">
        <v>360.76</v>
      </c>
      <c r="N1895">
        <v>17</v>
      </c>
      <c r="O1895">
        <v>3785.28</v>
      </c>
      <c r="P1895">
        <f t="shared" si="116"/>
        <v>4.1410773819968417E-2</v>
      </c>
      <c r="Q1895">
        <f t="shared" si="116"/>
        <v>1.5286440677966102</v>
      </c>
      <c r="R1895">
        <f t="shared" si="117"/>
        <v>21.221176470588233</v>
      </c>
      <c r="S1895">
        <f t="shared" si="118"/>
        <v>10.492515799977825</v>
      </c>
      <c r="T1895">
        <f t="shared" si="119"/>
        <v>7.2033898305084748E-2</v>
      </c>
      <c r="U1895" t="str">
        <f>YEAR('Campaign Data'!$A1895)&amp;"-"&amp;TEXT(MONTH('Campaign Data'!$A1895),"00")</f>
        <v>2026-04</v>
      </c>
    </row>
    <row r="1896" spans="1:21" x14ac:dyDescent="0.25">
      <c r="A1896">
        <v>46126</v>
      </c>
      <c r="B1896" t="s">
        <v>173</v>
      </c>
      <c r="C1896" t="s">
        <v>174</v>
      </c>
      <c r="D1896" t="s">
        <v>48</v>
      </c>
      <c r="E1896" t="s">
        <v>74</v>
      </c>
      <c r="F1896" t="s">
        <v>25</v>
      </c>
      <c r="G1896" t="s">
        <v>9</v>
      </c>
      <c r="H1896" t="s">
        <v>36</v>
      </c>
      <c r="I1896" t="s">
        <v>28</v>
      </c>
      <c r="J1896" t="s">
        <v>38</v>
      </c>
      <c r="K1896">
        <v>7699</v>
      </c>
      <c r="L1896">
        <v>181</v>
      </c>
      <c r="M1896">
        <v>342.13</v>
      </c>
      <c r="N1896">
        <v>3</v>
      </c>
      <c r="O1896">
        <v>329.12</v>
      </c>
      <c r="P1896">
        <f t="shared" si="116"/>
        <v>2.3509546694375893E-2</v>
      </c>
      <c r="Q1896">
        <f t="shared" si="116"/>
        <v>1.890220994475138</v>
      </c>
      <c r="R1896">
        <f t="shared" si="117"/>
        <v>114.04333333333334</v>
      </c>
      <c r="S1896">
        <f t="shared" si="118"/>
        <v>0.96197351883786864</v>
      </c>
      <c r="T1896">
        <f t="shared" si="119"/>
        <v>1.6574585635359115E-2</v>
      </c>
      <c r="U1896" t="str">
        <f>YEAR('Campaign Data'!$A1896)&amp;"-"&amp;TEXT(MONTH('Campaign Data'!$A1896),"00")</f>
        <v>2026-04</v>
      </c>
    </row>
    <row r="1897" spans="1:21" x14ac:dyDescent="0.25">
      <c r="A1897">
        <v>46126</v>
      </c>
      <c r="B1897" t="s">
        <v>88</v>
      </c>
      <c r="C1897" t="s">
        <v>89</v>
      </c>
      <c r="D1897" t="s">
        <v>23</v>
      </c>
      <c r="E1897" t="s">
        <v>49</v>
      </c>
      <c r="F1897" t="s">
        <v>81</v>
      </c>
      <c r="G1897" t="s">
        <v>50</v>
      </c>
      <c r="H1897" t="s">
        <v>27</v>
      </c>
      <c r="I1897" t="s">
        <v>28</v>
      </c>
      <c r="J1897" t="s">
        <v>45</v>
      </c>
      <c r="K1897">
        <v>10206</v>
      </c>
      <c r="L1897">
        <v>607</v>
      </c>
      <c r="M1897">
        <v>797.69</v>
      </c>
      <c r="N1897">
        <v>30</v>
      </c>
      <c r="O1897">
        <v>852.13</v>
      </c>
      <c r="P1897">
        <f t="shared" si="116"/>
        <v>5.9474818734077992E-2</v>
      </c>
      <c r="Q1897">
        <f t="shared" si="116"/>
        <v>1.3141515650741351</v>
      </c>
      <c r="R1897">
        <f t="shared" si="117"/>
        <v>26.58966666666667</v>
      </c>
      <c r="S1897">
        <f t="shared" si="118"/>
        <v>1.0682470633955545</v>
      </c>
      <c r="T1897">
        <f t="shared" si="119"/>
        <v>4.9423393739703461E-2</v>
      </c>
      <c r="U1897" t="str">
        <f>YEAR('Campaign Data'!$A1897)&amp;"-"&amp;TEXT(MONTH('Campaign Data'!$A1897),"00")</f>
        <v>2026-04</v>
      </c>
    </row>
    <row r="1898" spans="1:21" x14ac:dyDescent="0.25">
      <c r="A1898">
        <v>46126</v>
      </c>
      <c r="B1898" t="s">
        <v>149</v>
      </c>
      <c r="C1898" t="s">
        <v>150</v>
      </c>
      <c r="D1898" t="s">
        <v>65</v>
      </c>
      <c r="E1898" t="s">
        <v>33</v>
      </c>
      <c r="F1898" t="s">
        <v>43</v>
      </c>
      <c r="G1898" t="s">
        <v>59</v>
      </c>
      <c r="H1898" t="s">
        <v>90</v>
      </c>
      <c r="I1898" t="s">
        <v>28</v>
      </c>
      <c r="J1898" t="s">
        <v>87</v>
      </c>
      <c r="K1898">
        <v>9987</v>
      </c>
      <c r="L1898">
        <v>112</v>
      </c>
      <c r="M1898">
        <v>19.489999999999998</v>
      </c>
      <c r="N1898">
        <v>0</v>
      </c>
      <c r="O1898">
        <v>0</v>
      </c>
      <c r="P1898">
        <f t="shared" si="116"/>
        <v>1.1214578952638429E-2</v>
      </c>
      <c r="Q1898">
        <f t="shared" si="116"/>
        <v>0.17401785714285714</v>
      </c>
      <c r="R1898">
        <f t="shared" si="117"/>
        <v>0</v>
      </c>
      <c r="S1898">
        <f t="shared" si="118"/>
        <v>0</v>
      </c>
      <c r="T1898">
        <f t="shared" si="119"/>
        <v>0</v>
      </c>
      <c r="U1898" t="str">
        <f>YEAR('Campaign Data'!$A1898)&amp;"-"&amp;TEXT(MONTH('Campaign Data'!$A1898),"00")</f>
        <v>2026-04</v>
      </c>
    </row>
    <row r="1899" spans="1:21" x14ac:dyDescent="0.25">
      <c r="A1899">
        <v>46126</v>
      </c>
      <c r="B1899" t="s">
        <v>149</v>
      </c>
      <c r="C1899" t="s">
        <v>150</v>
      </c>
      <c r="D1899" t="s">
        <v>65</v>
      </c>
      <c r="E1899" t="s">
        <v>33</v>
      </c>
      <c r="F1899" t="s">
        <v>43</v>
      </c>
      <c r="G1899" t="s">
        <v>59</v>
      </c>
      <c r="H1899" t="s">
        <v>27</v>
      </c>
      <c r="I1899" t="s">
        <v>28</v>
      </c>
      <c r="J1899" t="s">
        <v>29</v>
      </c>
      <c r="K1899">
        <v>5207</v>
      </c>
      <c r="L1899">
        <v>44</v>
      </c>
      <c r="M1899">
        <v>46.13</v>
      </c>
      <c r="N1899">
        <v>1</v>
      </c>
      <c r="O1899">
        <v>27.85</v>
      </c>
      <c r="P1899">
        <f t="shared" si="116"/>
        <v>8.450163241789899E-3</v>
      </c>
      <c r="Q1899">
        <f t="shared" si="116"/>
        <v>1.0484090909090911</v>
      </c>
      <c r="R1899">
        <f t="shared" si="117"/>
        <v>46.13</v>
      </c>
      <c r="S1899">
        <f t="shared" si="118"/>
        <v>0.60372859310643834</v>
      </c>
      <c r="T1899">
        <f t="shared" si="119"/>
        <v>2.2727272727272728E-2</v>
      </c>
      <c r="U1899" t="str">
        <f>YEAR('Campaign Data'!$A1899)&amp;"-"&amp;TEXT(MONTH('Campaign Data'!$A1899),"00")</f>
        <v>2026-04</v>
      </c>
    </row>
    <row r="1900" spans="1:21" x14ac:dyDescent="0.25">
      <c r="A1900">
        <v>46126</v>
      </c>
      <c r="B1900" t="s">
        <v>95</v>
      </c>
      <c r="C1900" t="s">
        <v>96</v>
      </c>
      <c r="D1900" t="s">
        <v>23</v>
      </c>
      <c r="E1900" t="s">
        <v>49</v>
      </c>
      <c r="F1900" t="s">
        <v>43</v>
      </c>
      <c r="G1900" t="s">
        <v>97</v>
      </c>
      <c r="H1900" t="s">
        <v>71</v>
      </c>
      <c r="I1900" t="s">
        <v>37</v>
      </c>
      <c r="J1900" t="s">
        <v>29</v>
      </c>
      <c r="K1900">
        <v>4026</v>
      </c>
      <c r="L1900">
        <v>236</v>
      </c>
      <c r="M1900">
        <v>248.06</v>
      </c>
      <c r="N1900">
        <v>9</v>
      </c>
      <c r="O1900">
        <v>239.42</v>
      </c>
      <c r="P1900">
        <f t="shared" si="116"/>
        <v>5.8618976651763535E-2</v>
      </c>
      <c r="Q1900">
        <f t="shared" si="116"/>
        <v>1.0511016949152543</v>
      </c>
      <c r="R1900">
        <f t="shared" si="117"/>
        <v>27.562222222222221</v>
      </c>
      <c r="S1900">
        <f t="shared" si="118"/>
        <v>0.9651697170039506</v>
      </c>
      <c r="T1900">
        <f t="shared" si="119"/>
        <v>3.8135593220338986E-2</v>
      </c>
      <c r="U1900" t="str">
        <f>YEAR('Campaign Data'!$A1900)&amp;"-"&amp;TEXT(MONTH('Campaign Data'!$A1900),"00")</f>
        <v>2026-04</v>
      </c>
    </row>
    <row r="1901" spans="1:21" x14ac:dyDescent="0.25">
      <c r="A1901">
        <v>46126</v>
      </c>
      <c r="B1901" t="s">
        <v>39</v>
      </c>
      <c r="C1901" t="s">
        <v>40</v>
      </c>
      <c r="D1901" t="s">
        <v>41</v>
      </c>
      <c r="E1901" t="s">
        <v>42</v>
      </c>
      <c r="F1901" t="s">
        <v>43</v>
      </c>
      <c r="G1901" t="s">
        <v>44</v>
      </c>
      <c r="H1901" t="s">
        <v>55</v>
      </c>
      <c r="I1901" t="s">
        <v>37</v>
      </c>
      <c r="J1901" t="s">
        <v>45</v>
      </c>
      <c r="K1901">
        <v>2588</v>
      </c>
      <c r="L1901">
        <v>18</v>
      </c>
      <c r="M1901">
        <v>104.52</v>
      </c>
      <c r="N1901">
        <v>0</v>
      </c>
      <c r="O1901">
        <v>0</v>
      </c>
      <c r="P1901">
        <f t="shared" si="116"/>
        <v>6.955177743431221E-3</v>
      </c>
      <c r="Q1901">
        <f t="shared" si="116"/>
        <v>5.8066666666666666</v>
      </c>
      <c r="R1901">
        <f t="shared" si="117"/>
        <v>0</v>
      </c>
      <c r="S1901">
        <f t="shared" si="118"/>
        <v>0</v>
      </c>
      <c r="T1901">
        <f t="shared" si="119"/>
        <v>0</v>
      </c>
      <c r="U1901" t="str">
        <f>YEAR('Campaign Data'!$A1901)&amp;"-"&amp;TEXT(MONTH('Campaign Data'!$A1901),"00")</f>
        <v>2026-04</v>
      </c>
    </row>
    <row r="1902" spans="1:21" x14ac:dyDescent="0.25">
      <c r="A1902">
        <v>46126</v>
      </c>
      <c r="B1902" t="s">
        <v>100</v>
      </c>
      <c r="C1902" t="s">
        <v>101</v>
      </c>
      <c r="D1902" t="s">
        <v>80</v>
      </c>
      <c r="E1902" t="s">
        <v>33</v>
      </c>
      <c r="F1902" t="s">
        <v>25</v>
      </c>
      <c r="G1902" t="s">
        <v>102</v>
      </c>
      <c r="H1902" t="s">
        <v>55</v>
      </c>
      <c r="I1902" t="s">
        <v>37</v>
      </c>
      <c r="J1902" t="s">
        <v>38</v>
      </c>
      <c r="K1902">
        <v>10761</v>
      </c>
      <c r="L1902">
        <v>139</v>
      </c>
      <c r="M1902">
        <v>83.73</v>
      </c>
      <c r="N1902">
        <v>2</v>
      </c>
      <c r="O1902">
        <v>286.83</v>
      </c>
      <c r="P1902">
        <f t="shared" si="116"/>
        <v>1.2917015147291143E-2</v>
      </c>
      <c r="Q1902">
        <f t="shared" si="116"/>
        <v>0.60237410071942454</v>
      </c>
      <c r="R1902">
        <f t="shared" si="117"/>
        <v>41.865000000000002</v>
      </c>
      <c r="S1902">
        <f t="shared" si="118"/>
        <v>3.4256538874955211</v>
      </c>
      <c r="T1902">
        <f t="shared" si="119"/>
        <v>1.4388489208633094E-2</v>
      </c>
      <c r="U1902" t="str">
        <f>YEAR('Campaign Data'!$A1902)&amp;"-"&amp;TEXT(MONTH('Campaign Data'!$A1902),"00")</f>
        <v>2026-04</v>
      </c>
    </row>
    <row r="1903" spans="1:21" x14ac:dyDescent="0.25">
      <c r="A1903">
        <v>46126</v>
      </c>
      <c r="B1903" t="s">
        <v>127</v>
      </c>
      <c r="C1903" t="s">
        <v>128</v>
      </c>
      <c r="D1903" t="s">
        <v>58</v>
      </c>
      <c r="E1903" t="s">
        <v>24</v>
      </c>
      <c r="F1903" t="s">
        <v>81</v>
      </c>
      <c r="G1903" t="s">
        <v>129</v>
      </c>
      <c r="H1903" t="s">
        <v>90</v>
      </c>
      <c r="I1903" t="s">
        <v>37</v>
      </c>
      <c r="J1903" t="s">
        <v>29</v>
      </c>
      <c r="K1903">
        <v>1165</v>
      </c>
      <c r="L1903">
        <v>10</v>
      </c>
      <c r="M1903">
        <v>3.71</v>
      </c>
      <c r="N1903">
        <v>0</v>
      </c>
      <c r="O1903">
        <v>0</v>
      </c>
      <c r="P1903">
        <f t="shared" si="116"/>
        <v>8.5836909871244635E-3</v>
      </c>
      <c r="Q1903">
        <f t="shared" si="116"/>
        <v>0.371</v>
      </c>
      <c r="R1903">
        <f t="shared" si="117"/>
        <v>0</v>
      </c>
      <c r="S1903">
        <f t="shared" si="118"/>
        <v>0</v>
      </c>
      <c r="T1903">
        <f t="shared" si="119"/>
        <v>0</v>
      </c>
      <c r="U1903" t="str">
        <f>YEAR('Campaign Data'!$A1903)&amp;"-"&amp;TEXT(MONTH('Campaign Data'!$A1903),"00")</f>
        <v>2026-04</v>
      </c>
    </row>
    <row r="1904" spans="1:21" x14ac:dyDescent="0.25">
      <c r="A1904">
        <v>46126</v>
      </c>
      <c r="B1904" t="s">
        <v>105</v>
      </c>
      <c r="C1904" t="s">
        <v>106</v>
      </c>
      <c r="D1904" t="s">
        <v>58</v>
      </c>
      <c r="E1904" t="s">
        <v>49</v>
      </c>
      <c r="F1904" t="s">
        <v>81</v>
      </c>
      <c r="G1904" t="s">
        <v>107</v>
      </c>
      <c r="H1904" t="s">
        <v>90</v>
      </c>
      <c r="I1904" t="s">
        <v>28</v>
      </c>
      <c r="J1904" t="s">
        <v>38</v>
      </c>
      <c r="K1904">
        <v>31862</v>
      </c>
      <c r="L1904">
        <v>2114</v>
      </c>
      <c r="M1904">
        <v>1184.71</v>
      </c>
      <c r="N1904">
        <v>102</v>
      </c>
      <c r="O1904">
        <v>710.74</v>
      </c>
      <c r="P1904">
        <f t="shared" si="116"/>
        <v>6.634862846023476E-2</v>
      </c>
      <c r="Q1904">
        <f t="shared" si="116"/>
        <v>0.56041154210028388</v>
      </c>
      <c r="R1904">
        <f t="shared" si="117"/>
        <v>11.614803921568628</v>
      </c>
      <c r="S1904">
        <f t="shared" si="118"/>
        <v>0.59992740839530345</v>
      </c>
      <c r="T1904">
        <f t="shared" si="119"/>
        <v>4.8249763481551564E-2</v>
      </c>
      <c r="U1904" t="str">
        <f>YEAR('Campaign Data'!$A1904)&amp;"-"&amp;TEXT(MONTH('Campaign Data'!$A1904),"00")</f>
        <v>2026-04</v>
      </c>
    </row>
    <row r="1905" spans="1:21" x14ac:dyDescent="0.25">
      <c r="A1905">
        <v>46126</v>
      </c>
      <c r="B1905" t="s">
        <v>132</v>
      </c>
      <c r="C1905" t="s">
        <v>133</v>
      </c>
      <c r="D1905" t="s">
        <v>23</v>
      </c>
      <c r="E1905" t="s">
        <v>42</v>
      </c>
      <c r="F1905" t="s">
        <v>75</v>
      </c>
      <c r="G1905" t="s">
        <v>84</v>
      </c>
      <c r="H1905" t="s">
        <v>90</v>
      </c>
      <c r="I1905" t="s">
        <v>37</v>
      </c>
      <c r="J1905" t="s">
        <v>38</v>
      </c>
      <c r="K1905">
        <v>7873</v>
      </c>
      <c r="L1905">
        <v>46</v>
      </c>
      <c r="M1905">
        <v>72.2</v>
      </c>
      <c r="N1905">
        <v>1</v>
      </c>
      <c r="O1905">
        <v>7.27</v>
      </c>
      <c r="P1905">
        <f t="shared" si="116"/>
        <v>5.8427537152292647E-3</v>
      </c>
      <c r="Q1905">
        <f t="shared" si="116"/>
        <v>1.5695652173913044</v>
      </c>
      <c r="R1905">
        <f t="shared" si="117"/>
        <v>72.2</v>
      </c>
      <c r="S1905">
        <f t="shared" si="118"/>
        <v>0.10069252077562325</v>
      </c>
      <c r="T1905">
        <f t="shared" si="119"/>
        <v>2.1739130434782608E-2</v>
      </c>
      <c r="U1905" t="str">
        <f>YEAR('Campaign Data'!$A1905)&amp;"-"&amp;TEXT(MONTH('Campaign Data'!$A1905),"00")</f>
        <v>2026-04</v>
      </c>
    </row>
    <row r="1906" spans="1:21" x14ac:dyDescent="0.25">
      <c r="A1906">
        <v>46126</v>
      </c>
      <c r="B1906" t="s">
        <v>171</v>
      </c>
      <c r="C1906" t="s">
        <v>172</v>
      </c>
      <c r="D1906" t="s">
        <v>23</v>
      </c>
      <c r="E1906" t="s">
        <v>33</v>
      </c>
      <c r="F1906" t="s">
        <v>75</v>
      </c>
      <c r="G1906" t="s">
        <v>59</v>
      </c>
      <c r="H1906" t="s">
        <v>60</v>
      </c>
      <c r="I1906" t="s">
        <v>37</v>
      </c>
      <c r="J1906" t="s">
        <v>45</v>
      </c>
      <c r="K1906">
        <v>9413</v>
      </c>
      <c r="L1906">
        <v>124</v>
      </c>
      <c r="M1906">
        <v>81.91</v>
      </c>
      <c r="N1906">
        <v>2</v>
      </c>
      <c r="O1906">
        <v>84.44</v>
      </c>
      <c r="P1906">
        <f t="shared" si="116"/>
        <v>1.3173271008180176E-2</v>
      </c>
      <c r="Q1906">
        <f t="shared" si="116"/>
        <v>0.66056451612903222</v>
      </c>
      <c r="R1906">
        <f t="shared" si="117"/>
        <v>40.954999999999998</v>
      </c>
      <c r="S1906">
        <f t="shared" si="118"/>
        <v>1.0308875595165425</v>
      </c>
      <c r="T1906">
        <f t="shared" si="119"/>
        <v>1.6129032258064516E-2</v>
      </c>
      <c r="U1906" t="str">
        <f>YEAR('Campaign Data'!$A1906)&amp;"-"&amp;TEXT(MONTH('Campaign Data'!$A1906),"00")</f>
        <v>2026-04</v>
      </c>
    </row>
    <row r="1907" spans="1:21" x14ac:dyDescent="0.25">
      <c r="A1907">
        <v>46126</v>
      </c>
      <c r="B1907" t="s">
        <v>112</v>
      </c>
      <c r="C1907" t="s">
        <v>113</v>
      </c>
      <c r="D1907" t="s">
        <v>32</v>
      </c>
      <c r="E1907" t="s">
        <v>24</v>
      </c>
      <c r="F1907" t="s">
        <v>75</v>
      </c>
      <c r="G1907" t="s">
        <v>66</v>
      </c>
      <c r="H1907" t="s">
        <v>36</v>
      </c>
      <c r="I1907" t="s">
        <v>28</v>
      </c>
      <c r="J1907" t="s">
        <v>45</v>
      </c>
      <c r="K1907">
        <v>10348</v>
      </c>
      <c r="L1907">
        <v>154</v>
      </c>
      <c r="M1907">
        <v>129.5</v>
      </c>
      <c r="N1907">
        <v>1</v>
      </c>
      <c r="O1907">
        <v>51.85</v>
      </c>
      <c r="P1907">
        <f t="shared" si="116"/>
        <v>1.4882102821801314E-2</v>
      </c>
      <c r="Q1907">
        <f t="shared" si="116"/>
        <v>0.84090909090909094</v>
      </c>
      <c r="R1907">
        <f t="shared" si="117"/>
        <v>129.5</v>
      </c>
      <c r="S1907">
        <f t="shared" si="118"/>
        <v>0.4003861003861004</v>
      </c>
      <c r="T1907">
        <f t="shared" si="119"/>
        <v>6.4935064935064939E-3</v>
      </c>
      <c r="U1907" t="str">
        <f>YEAR('Campaign Data'!$A1907)&amp;"-"&amp;TEXT(MONTH('Campaign Data'!$A1907),"00")</f>
        <v>2026-04</v>
      </c>
    </row>
    <row r="1908" spans="1:21" x14ac:dyDescent="0.25">
      <c r="A1908">
        <v>46126</v>
      </c>
      <c r="B1908" t="s">
        <v>159</v>
      </c>
      <c r="C1908" t="s">
        <v>160</v>
      </c>
      <c r="D1908" t="s">
        <v>65</v>
      </c>
      <c r="E1908" t="s">
        <v>42</v>
      </c>
      <c r="F1908" t="s">
        <v>75</v>
      </c>
      <c r="G1908" t="s">
        <v>54</v>
      </c>
      <c r="H1908" t="s">
        <v>90</v>
      </c>
      <c r="I1908" t="s">
        <v>37</v>
      </c>
      <c r="J1908" t="s">
        <v>29</v>
      </c>
      <c r="K1908">
        <v>11211</v>
      </c>
      <c r="L1908">
        <v>63</v>
      </c>
      <c r="M1908">
        <v>79.33</v>
      </c>
      <c r="N1908">
        <v>2</v>
      </c>
      <c r="O1908">
        <v>15.57</v>
      </c>
      <c r="P1908">
        <f t="shared" si="116"/>
        <v>5.6194808670056197E-3</v>
      </c>
      <c r="Q1908">
        <f t="shared" si="116"/>
        <v>1.2592063492063492</v>
      </c>
      <c r="R1908">
        <f t="shared" si="117"/>
        <v>39.664999999999999</v>
      </c>
      <c r="S1908">
        <f t="shared" si="118"/>
        <v>0.19626875078784822</v>
      </c>
      <c r="T1908">
        <f t="shared" si="119"/>
        <v>3.1746031746031744E-2</v>
      </c>
      <c r="U1908" t="str">
        <f>YEAR('Campaign Data'!$A1908)&amp;"-"&amp;TEXT(MONTH('Campaign Data'!$A1908),"00")</f>
        <v>2026-04</v>
      </c>
    </row>
    <row r="1909" spans="1:21" x14ac:dyDescent="0.25">
      <c r="A1909">
        <v>46126</v>
      </c>
      <c r="B1909" t="s">
        <v>181</v>
      </c>
      <c r="C1909" t="s">
        <v>182</v>
      </c>
      <c r="D1909" t="s">
        <v>32</v>
      </c>
      <c r="E1909" t="s">
        <v>33</v>
      </c>
      <c r="F1909" t="s">
        <v>75</v>
      </c>
      <c r="G1909" t="s">
        <v>59</v>
      </c>
      <c r="H1909" t="s">
        <v>36</v>
      </c>
      <c r="I1909" t="s">
        <v>28</v>
      </c>
      <c r="J1909" t="s">
        <v>87</v>
      </c>
      <c r="K1909">
        <v>6696</v>
      </c>
      <c r="L1909">
        <v>19</v>
      </c>
      <c r="M1909">
        <v>13.68</v>
      </c>
      <c r="N1909">
        <v>0</v>
      </c>
      <c r="O1909">
        <v>0</v>
      </c>
      <c r="P1909">
        <f t="shared" si="116"/>
        <v>2.837514934289128E-3</v>
      </c>
      <c r="Q1909">
        <f t="shared" si="116"/>
        <v>0.72</v>
      </c>
      <c r="R1909">
        <f t="shared" si="117"/>
        <v>0</v>
      </c>
      <c r="S1909">
        <f t="shared" si="118"/>
        <v>0</v>
      </c>
      <c r="T1909">
        <f t="shared" si="119"/>
        <v>0</v>
      </c>
      <c r="U1909" t="str">
        <f>YEAR('Campaign Data'!$A1909)&amp;"-"&amp;TEXT(MONTH('Campaign Data'!$A1909),"00")</f>
        <v>2026-04</v>
      </c>
    </row>
    <row r="1910" spans="1:21" x14ac:dyDescent="0.25">
      <c r="A1910">
        <v>46126</v>
      </c>
      <c r="B1910" t="s">
        <v>67</v>
      </c>
      <c r="C1910" t="s">
        <v>68</v>
      </c>
      <c r="D1910" t="s">
        <v>69</v>
      </c>
      <c r="E1910" t="s">
        <v>49</v>
      </c>
      <c r="F1910" t="s">
        <v>34</v>
      </c>
      <c r="G1910" t="s">
        <v>70</v>
      </c>
      <c r="H1910" t="s">
        <v>27</v>
      </c>
      <c r="I1910" t="s">
        <v>37</v>
      </c>
      <c r="J1910" t="s">
        <v>87</v>
      </c>
      <c r="K1910">
        <v>6252</v>
      </c>
      <c r="L1910">
        <v>359</v>
      </c>
      <c r="M1910">
        <v>613.42999999999995</v>
      </c>
      <c r="N1910">
        <v>17</v>
      </c>
      <c r="O1910">
        <v>3705.33</v>
      </c>
      <c r="P1910">
        <f t="shared" si="116"/>
        <v>5.7421625079974406E-2</v>
      </c>
      <c r="Q1910">
        <f t="shared" si="116"/>
        <v>1.7087186629526461</v>
      </c>
      <c r="R1910">
        <f t="shared" si="117"/>
        <v>36.084117647058818</v>
      </c>
      <c r="S1910">
        <f t="shared" si="118"/>
        <v>6.0403469018469922</v>
      </c>
      <c r="T1910">
        <f t="shared" si="119"/>
        <v>4.7353760445682451E-2</v>
      </c>
      <c r="U1910" t="str">
        <f>YEAR('Campaign Data'!$A1910)&amp;"-"&amp;TEXT(MONTH('Campaign Data'!$A1910),"00")</f>
        <v>2026-04</v>
      </c>
    </row>
    <row r="1911" spans="1:21" x14ac:dyDescent="0.25">
      <c r="A1911">
        <v>46126</v>
      </c>
      <c r="B1911" t="s">
        <v>72</v>
      </c>
      <c r="C1911" t="s">
        <v>73</v>
      </c>
      <c r="D1911" t="s">
        <v>69</v>
      </c>
      <c r="E1911" t="s">
        <v>74</v>
      </c>
      <c r="F1911" t="s">
        <v>75</v>
      </c>
      <c r="G1911" t="s">
        <v>9</v>
      </c>
      <c r="H1911" t="s">
        <v>55</v>
      </c>
      <c r="I1911" t="s">
        <v>37</v>
      </c>
      <c r="J1911" t="s">
        <v>45</v>
      </c>
      <c r="K1911">
        <v>5168</v>
      </c>
      <c r="L1911">
        <v>111</v>
      </c>
      <c r="M1911">
        <v>144.49</v>
      </c>
      <c r="N1911">
        <v>4</v>
      </c>
      <c r="O1911">
        <v>118.87</v>
      </c>
      <c r="P1911">
        <f t="shared" si="116"/>
        <v>2.1478328173374615E-2</v>
      </c>
      <c r="Q1911">
        <f t="shared" si="116"/>
        <v>1.3017117117117118</v>
      </c>
      <c r="R1911">
        <f t="shared" si="117"/>
        <v>36.122500000000002</v>
      </c>
      <c r="S1911">
        <f t="shared" si="118"/>
        <v>0.82268669112049275</v>
      </c>
      <c r="T1911">
        <f t="shared" si="119"/>
        <v>3.6036036036036036E-2</v>
      </c>
      <c r="U1911" t="str">
        <f>YEAR('Campaign Data'!$A1911)&amp;"-"&amp;TEXT(MONTH('Campaign Data'!$A1911),"00")</f>
        <v>2026-04</v>
      </c>
    </row>
    <row r="1912" spans="1:21" x14ac:dyDescent="0.25">
      <c r="A1912">
        <v>46126</v>
      </c>
      <c r="B1912" t="s">
        <v>163</v>
      </c>
      <c r="C1912" t="s">
        <v>164</v>
      </c>
      <c r="D1912" t="s">
        <v>58</v>
      </c>
      <c r="E1912" t="s">
        <v>42</v>
      </c>
      <c r="F1912" t="s">
        <v>43</v>
      </c>
      <c r="G1912" t="s">
        <v>44</v>
      </c>
      <c r="H1912" t="s">
        <v>71</v>
      </c>
      <c r="I1912" t="s">
        <v>28</v>
      </c>
      <c r="J1912" t="s">
        <v>62</v>
      </c>
      <c r="K1912">
        <v>10100</v>
      </c>
      <c r="L1912">
        <v>93</v>
      </c>
      <c r="M1912">
        <v>528.96</v>
      </c>
      <c r="N1912">
        <v>3</v>
      </c>
      <c r="O1912">
        <v>37.729999999999997</v>
      </c>
      <c r="P1912">
        <f t="shared" si="116"/>
        <v>9.2079207920792074E-3</v>
      </c>
      <c r="Q1912">
        <f t="shared" si="116"/>
        <v>5.6877419354838716</v>
      </c>
      <c r="R1912">
        <f t="shared" si="117"/>
        <v>176.32000000000002</v>
      </c>
      <c r="S1912">
        <f t="shared" si="118"/>
        <v>7.1328644888082257E-2</v>
      </c>
      <c r="T1912">
        <f t="shared" si="119"/>
        <v>3.2258064516129031E-2</v>
      </c>
      <c r="U1912" t="str">
        <f>YEAR('Campaign Data'!$A1912)&amp;"-"&amp;TEXT(MONTH('Campaign Data'!$A1912),"00")</f>
        <v>2026-04</v>
      </c>
    </row>
    <row r="1913" spans="1:21" x14ac:dyDescent="0.25">
      <c r="A1913">
        <v>46127</v>
      </c>
      <c r="B1913" t="s">
        <v>85</v>
      </c>
      <c r="C1913" t="s">
        <v>86</v>
      </c>
      <c r="D1913" t="s">
        <v>80</v>
      </c>
      <c r="E1913" t="s">
        <v>33</v>
      </c>
      <c r="F1913" t="s">
        <v>43</v>
      </c>
      <c r="G1913" t="s">
        <v>35</v>
      </c>
      <c r="H1913" t="s">
        <v>60</v>
      </c>
      <c r="I1913" t="s">
        <v>28</v>
      </c>
      <c r="J1913" t="s">
        <v>38</v>
      </c>
      <c r="K1913">
        <v>8749</v>
      </c>
      <c r="L1913">
        <v>68</v>
      </c>
      <c r="M1913">
        <v>36.520000000000003</v>
      </c>
      <c r="N1913">
        <v>1</v>
      </c>
      <c r="O1913">
        <v>16.47</v>
      </c>
      <c r="P1913">
        <f t="shared" si="116"/>
        <v>7.7723168362098527E-3</v>
      </c>
      <c r="Q1913">
        <f t="shared" si="116"/>
        <v>0.53705882352941181</v>
      </c>
      <c r="R1913">
        <f t="shared" si="117"/>
        <v>36.520000000000003</v>
      </c>
      <c r="S1913">
        <f t="shared" si="118"/>
        <v>0.45098576122672501</v>
      </c>
      <c r="T1913">
        <f t="shared" si="119"/>
        <v>1.4705882352941176E-2</v>
      </c>
      <c r="U1913" t="str">
        <f>YEAR('Campaign Data'!$A1913)&amp;"-"&amp;TEXT(MONTH('Campaign Data'!$A1913),"00")</f>
        <v>2026-04</v>
      </c>
    </row>
    <row r="1914" spans="1:21" x14ac:dyDescent="0.25">
      <c r="A1914">
        <v>46127</v>
      </c>
      <c r="B1914" t="s">
        <v>21</v>
      </c>
      <c r="C1914" t="s">
        <v>124</v>
      </c>
      <c r="D1914" t="s">
        <v>23</v>
      </c>
      <c r="E1914" t="s">
        <v>24</v>
      </c>
      <c r="F1914" t="s">
        <v>25</v>
      </c>
      <c r="G1914" t="s">
        <v>26</v>
      </c>
      <c r="H1914" t="s">
        <v>36</v>
      </c>
      <c r="I1914" t="s">
        <v>37</v>
      </c>
      <c r="J1914" t="s">
        <v>45</v>
      </c>
      <c r="K1914">
        <v>18512</v>
      </c>
      <c r="L1914">
        <v>253</v>
      </c>
      <c r="M1914">
        <v>194.75</v>
      </c>
      <c r="N1914">
        <v>0</v>
      </c>
      <c r="O1914">
        <v>0</v>
      </c>
      <c r="P1914">
        <f t="shared" si="116"/>
        <v>1.3666810717372515E-2</v>
      </c>
      <c r="Q1914">
        <f t="shared" si="116"/>
        <v>0.76976284584980237</v>
      </c>
      <c r="R1914">
        <f t="shared" si="117"/>
        <v>0</v>
      </c>
      <c r="S1914">
        <f t="shared" si="118"/>
        <v>0</v>
      </c>
      <c r="T1914">
        <f t="shared" si="119"/>
        <v>0</v>
      </c>
      <c r="U1914" t="str">
        <f>YEAR('Campaign Data'!$A1914)&amp;"-"&amp;TEXT(MONTH('Campaign Data'!$A1914),"00")</f>
        <v>2026-04</v>
      </c>
    </row>
    <row r="1915" spans="1:21" x14ac:dyDescent="0.25">
      <c r="A1915">
        <v>46127</v>
      </c>
      <c r="B1915" t="s">
        <v>167</v>
      </c>
      <c r="C1915" t="s">
        <v>168</v>
      </c>
      <c r="D1915" t="s">
        <v>58</v>
      </c>
      <c r="E1915" t="s">
        <v>33</v>
      </c>
      <c r="F1915" t="s">
        <v>75</v>
      </c>
      <c r="G1915" t="s">
        <v>35</v>
      </c>
      <c r="H1915" t="s">
        <v>27</v>
      </c>
      <c r="I1915" t="s">
        <v>28</v>
      </c>
      <c r="J1915" t="s">
        <v>62</v>
      </c>
      <c r="K1915">
        <v>22875</v>
      </c>
      <c r="L1915">
        <v>276</v>
      </c>
      <c r="M1915">
        <v>249.8</v>
      </c>
      <c r="N1915">
        <v>8</v>
      </c>
      <c r="O1915">
        <v>484.24</v>
      </c>
      <c r="P1915">
        <f t="shared" si="116"/>
        <v>1.2065573770491804E-2</v>
      </c>
      <c r="Q1915">
        <f t="shared" si="116"/>
        <v>0.90507246376811601</v>
      </c>
      <c r="R1915">
        <f t="shared" si="117"/>
        <v>31.225000000000001</v>
      </c>
      <c r="S1915">
        <f t="shared" si="118"/>
        <v>1.9385108086469174</v>
      </c>
      <c r="T1915">
        <f t="shared" si="119"/>
        <v>2.8985507246376812E-2</v>
      </c>
      <c r="U1915" t="str">
        <f>YEAR('Campaign Data'!$A1915)&amp;"-"&amp;TEXT(MONTH('Campaign Data'!$A1915),"00")</f>
        <v>2026-04</v>
      </c>
    </row>
    <row r="1916" spans="1:21" x14ac:dyDescent="0.25">
      <c r="A1916">
        <v>46127</v>
      </c>
      <c r="B1916" t="s">
        <v>149</v>
      </c>
      <c r="C1916" t="s">
        <v>150</v>
      </c>
      <c r="D1916" t="s">
        <v>65</v>
      </c>
      <c r="E1916" t="s">
        <v>33</v>
      </c>
      <c r="F1916" t="s">
        <v>43</v>
      </c>
      <c r="G1916" t="s">
        <v>59</v>
      </c>
      <c r="H1916" t="s">
        <v>60</v>
      </c>
      <c r="I1916" t="s">
        <v>28</v>
      </c>
      <c r="J1916" t="s">
        <v>87</v>
      </c>
      <c r="K1916">
        <v>7868</v>
      </c>
      <c r="L1916">
        <v>52</v>
      </c>
      <c r="M1916">
        <v>27.32</v>
      </c>
      <c r="N1916">
        <v>0</v>
      </c>
      <c r="O1916">
        <v>0</v>
      </c>
      <c r="P1916">
        <f t="shared" si="116"/>
        <v>6.6090493136756485E-3</v>
      </c>
      <c r="Q1916">
        <f t="shared" si="116"/>
        <v>0.52538461538461534</v>
      </c>
      <c r="R1916">
        <f t="shared" si="117"/>
        <v>0</v>
      </c>
      <c r="S1916">
        <f t="shared" si="118"/>
        <v>0</v>
      </c>
      <c r="T1916">
        <f t="shared" si="119"/>
        <v>0</v>
      </c>
      <c r="U1916" t="str">
        <f>YEAR('Campaign Data'!$A1916)&amp;"-"&amp;TEXT(MONTH('Campaign Data'!$A1916),"00")</f>
        <v>2026-04</v>
      </c>
    </row>
    <row r="1917" spans="1:21" x14ac:dyDescent="0.25">
      <c r="A1917">
        <v>46127</v>
      </c>
      <c r="B1917" t="s">
        <v>186</v>
      </c>
      <c r="C1917" t="s">
        <v>187</v>
      </c>
      <c r="D1917" t="s">
        <v>80</v>
      </c>
      <c r="E1917" t="s">
        <v>33</v>
      </c>
      <c r="F1917" t="s">
        <v>43</v>
      </c>
      <c r="G1917" t="s">
        <v>102</v>
      </c>
      <c r="H1917" t="s">
        <v>36</v>
      </c>
      <c r="I1917" t="s">
        <v>28</v>
      </c>
      <c r="J1917" t="s">
        <v>38</v>
      </c>
      <c r="K1917">
        <v>6588</v>
      </c>
      <c r="L1917">
        <v>37</v>
      </c>
      <c r="M1917">
        <v>20.5</v>
      </c>
      <c r="N1917">
        <v>0</v>
      </c>
      <c r="O1917">
        <v>0</v>
      </c>
      <c r="P1917">
        <f t="shared" si="116"/>
        <v>5.616272009714633E-3</v>
      </c>
      <c r="Q1917">
        <f t="shared" si="116"/>
        <v>0.55405405405405406</v>
      </c>
      <c r="R1917">
        <f t="shared" si="117"/>
        <v>0</v>
      </c>
      <c r="S1917">
        <f t="shared" si="118"/>
        <v>0</v>
      </c>
      <c r="T1917">
        <f t="shared" si="119"/>
        <v>0</v>
      </c>
      <c r="U1917" t="str">
        <f>YEAR('Campaign Data'!$A1917)&amp;"-"&amp;TEXT(MONTH('Campaign Data'!$A1917),"00")</f>
        <v>2026-04</v>
      </c>
    </row>
    <row r="1918" spans="1:21" x14ac:dyDescent="0.25">
      <c r="A1918">
        <v>46127</v>
      </c>
      <c r="B1918" t="s">
        <v>39</v>
      </c>
      <c r="C1918" t="s">
        <v>40</v>
      </c>
      <c r="D1918" t="s">
        <v>41</v>
      </c>
      <c r="E1918" t="s">
        <v>42</v>
      </c>
      <c r="F1918" t="s">
        <v>43</v>
      </c>
      <c r="G1918" t="s">
        <v>44</v>
      </c>
      <c r="H1918" t="s">
        <v>27</v>
      </c>
      <c r="I1918" t="s">
        <v>28</v>
      </c>
      <c r="J1918" t="s">
        <v>29</v>
      </c>
      <c r="K1918">
        <v>4736</v>
      </c>
      <c r="L1918">
        <v>39</v>
      </c>
      <c r="M1918">
        <v>345.18</v>
      </c>
      <c r="N1918">
        <v>1</v>
      </c>
      <c r="O1918">
        <v>41.64</v>
      </c>
      <c r="P1918">
        <f t="shared" si="116"/>
        <v>8.2347972972972965E-3</v>
      </c>
      <c r="Q1918">
        <f t="shared" si="116"/>
        <v>8.8507692307692309</v>
      </c>
      <c r="R1918">
        <f t="shared" si="117"/>
        <v>345.18</v>
      </c>
      <c r="S1918">
        <f t="shared" si="118"/>
        <v>0.12063271336693898</v>
      </c>
      <c r="T1918">
        <f t="shared" si="119"/>
        <v>2.564102564102564E-2</v>
      </c>
      <c r="U1918" t="str">
        <f>YEAR('Campaign Data'!$A1918)&amp;"-"&amp;TEXT(MONTH('Campaign Data'!$A1918),"00")</f>
        <v>2026-04</v>
      </c>
    </row>
    <row r="1919" spans="1:21" x14ac:dyDescent="0.25">
      <c r="A1919">
        <v>46127</v>
      </c>
      <c r="B1919" t="s">
        <v>39</v>
      </c>
      <c r="C1919" t="s">
        <v>40</v>
      </c>
      <c r="D1919" t="s">
        <v>41</v>
      </c>
      <c r="E1919" t="s">
        <v>42</v>
      </c>
      <c r="F1919" t="s">
        <v>43</v>
      </c>
      <c r="G1919" t="s">
        <v>44</v>
      </c>
      <c r="H1919" t="s">
        <v>27</v>
      </c>
      <c r="I1919" t="s">
        <v>37</v>
      </c>
      <c r="J1919" t="s">
        <v>45</v>
      </c>
      <c r="K1919">
        <v>21747</v>
      </c>
      <c r="L1919">
        <v>101</v>
      </c>
      <c r="M1919">
        <v>733.76</v>
      </c>
      <c r="N1919">
        <v>4</v>
      </c>
      <c r="O1919">
        <v>109.56</v>
      </c>
      <c r="P1919">
        <f t="shared" si="116"/>
        <v>4.6443187566101067E-3</v>
      </c>
      <c r="Q1919">
        <f t="shared" si="116"/>
        <v>7.2649504950495052</v>
      </c>
      <c r="R1919">
        <f t="shared" si="117"/>
        <v>183.44</v>
      </c>
      <c r="S1919">
        <f t="shared" si="118"/>
        <v>0.14931312690798082</v>
      </c>
      <c r="T1919">
        <f t="shared" si="119"/>
        <v>3.9603960396039604E-2</v>
      </c>
      <c r="U1919" t="str">
        <f>YEAR('Campaign Data'!$A1919)&amp;"-"&amp;TEXT(MONTH('Campaign Data'!$A1919),"00")</f>
        <v>2026-04</v>
      </c>
    </row>
    <row r="1920" spans="1:21" x14ac:dyDescent="0.25">
      <c r="A1920">
        <v>46127</v>
      </c>
      <c r="B1920" t="s">
        <v>39</v>
      </c>
      <c r="C1920" t="s">
        <v>40</v>
      </c>
      <c r="D1920" t="s">
        <v>41</v>
      </c>
      <c r="E1920" t="s">
        <v>42</v>
      </c>
      <c r="F1920" t="s">
        <v>43</v>
      </c>
      <c r="G1920" t="s">
        <v>44</v>
      </c>
      <c r="H1920" t="s">
        <v>51</v>
      </c>
      <c r="I1920" t="s">
        <v>28</v>
      </c>
      <c r="J1920" t="s">
        <v>62</v>
      </c>
      <c r="K1920">
        <v>20591</v>
      </c>
      <c r="L1920">
        <v>196</v>
      </c>
      <c r="M1920">
        <v>892.95</v>
      </c>
      <c r="N1920">
        <v>15</v>
      </c>
      <c r="O1920">
        <v>499.58</v>
      </c>
      <c r="P1920">
        <f t="shared" si="116"/>
        <v>9.5187217716478072E-3</v>
      </c>
      <c r="Q1920">
        <f t="shared" si="116"/>
        <v>4.5558673469387756</v>
      </c>
      <c r="R1920">
        <f t="shared" si="117"/>
        <v>59.53</v>
      </c>
      <c r="S1920">
        <f t="shared" si="118"/>
        <v>0.55947141497284281</v>
      </c>
      <c r="T1920">
        <f t="shared" si="119"/>
        <v>7.6530612244897961E-2</v>
      </c>
      <c r="U1920" t="str">
        <f>YEAR('Campaign Data'!$A1920)&amp;"-"&amp;TEXT(MONTH('Campaign Data'!$A1920),"00")</f>
        <v>2026-04</v>
      </c>
    </row>
    <row r="1921" spans="1:21" x14ac:dyDescent="0.25">
      <c r="A1921">
        <v>46127</v>
      </c>
      <c r="B1921" t="s">
        <v>100</v>
      </c>
      <c r="C1921" t="s">
        <v>101</v>
      </c>
      <c r="D1921" t="s">
        <v>80</v>
      </c>
      <c r="E1921" t="s">
        <v>33</v>
      </c>
      <c r="F1921" t="s">
        <v>25</v>
      </c>
      <c r="G1921" t="s">
        <v>102</v>
      </c>
      <c r="H1921" t="s">
        <v>90</v>
      </c>
      <c r="I1921" t="s">
        <v>37</v>
      </c>
      <c r="J1921" t="s">
        <v>87</v>
      </c>
      <c r="K1921">
        <v>7828</v>
      </c>
      <c r="L1921">
        <v>39</v>
      </c>
      <c r="M1921">
        <v>6.73</v>
      </c>
      <c r="N1921">
        <v>0</v>
      </c>
      <c r="O1921">
        <v>0</v>
      </c>
      <c r="P1921">
        <f t="shared" si="116"/>
        <v>4.9821154828819623E-3</v>
      </c>
      <c r="Q1921">
        <f t="shared" si="116"/>
        <v>0.17256410256410257</v>
      </c>
      <c r="R1921">
        <f t="shared" si="117"/>
        <v>0</v>
      </c>
      <c r="S1921">
        <f t="shared" si="118"/>
        <v>0</v>
      </c>
      <c r="T1921">
        <f t="shared" si="119"/>
        <v>0</v>
      </c>
      <c r="U1921" t="str">
        <f>YEAR('Campaign Data'!$A1921)&amp;"-"&amp;TEXT(MONTH('Campaign Data'!$A1921),"00")</f>
        <v>2026-04</v>
      </c>
    </row>
    <row r="1922" spans="1:21" x14ac:dyDescent="0.25">
      <c r="A1922">
        <v>46127</v>
      </c>
      <c r="B1922" t="s">
        <v>103</v>
      </c>
      <c r="C1922" t="s">
        <v>104</v>
      </c>
      <c r="D1922" t="s">
        <v>65</v>
      </c>
      <c r="E1922" t="s">
        <v>33</v>
      </c>
      <c r="F1922" t="s">
        <v>43</v>
      </c>
      <c r="G1922" t="s">
        <v>102</v>
      </c>
      <c r="H1922" t="s">
        <v>90</v>
      </c>
      <c r="I1922" t="s">
        <v>37</v>
      </c>
      <c r="J1922" t="s">
        <v>62</v>
      </c>
      <c r="K1922">
        <v>21471</v>
      </c>
      <c r="L1922">
        <v>323</v>
      </c>
      <c r="M1922">
        <v>44.64</v>
      </c>
      <c r="N1922">
        <v>4</v>
      </c>
      <c r="O1922">
        <v>22.37</v>
      </c>
      <c r="P1922">
        <f t="shared" ref="P1922:Q1985" si="120">IF(K1922=0,0,L1922/K1922)</f>
        <v>1.5043547110055424E-2</v>
      </c>
      <c r="Q1922">
        <f t="shared" si="120"/>
        <v>0.13820433436532509</v>
      </c>
      <c r="R1922">
        <f t="shared" ref="R1922:R1985" si="121">IF(N1922=0,0,M1922/N1922)</f>
        <v>11.16</v>
      </c>
      <c r="S1922">
        <f t="shared" ref="S1922:S1985" si="122">IF(M1922=0,0,O1922/M1922)</f>
        <v>0.50112007168458783</v>
      </c>
      <c r="T1922">
        <f t="shared" ref="T1922:T1985" si="123">IF(L1922=0,0,N1922/L1922)</f>
        <v>1.238390092879257E-2</v>
      </c>
      <c r="U1922" t="str">
        <f>YEAR('Campaign Data'!$A1922)&amp;"-"&amp;TEXT(MONTH('Campaign Data'!$A1922),"00")</f>
        <v>2026-04</v>
      </c>
    </row>
    <row r="1923" spans="1:21" x14ac:dyDescent="0.25">
      <c r="A1923">
        <v>46127</v>
      </c>
      <c r="B1923" t="s">
        <v>103</v>
      </c>
      <c r="C1923" t="s">
        <v>104</v>
      </c>
      <c r="D1923" t="s">
        <v>65</v>
      </c>
      <c r="E1923" t="s">
        <v>33</v>
      </c>
      <c r="F1923" t="s">
        <v>43</v>
      </c>
      <c r="G1923" t="s">
        <v>102</v>
      </c>
      <c r="H1923" t="s">
        <v>27</v>
      </c>
      <c r="I1923" t="s">
        <v>37</v>
      </c>
      <c r="J1923" t="s">
        <v>45</v>
      </c>
      <c r="K1923">
        <v>9908</v>
      </c>
      <c r="L1923">
        <v>91</v>
      </c>
      <c r="M1923">
        <v>107.28</v>
      </c>
      <c r="N1923">
        <v>0</v>
      </c>
      <c r="O1923">
        <v>0</v>
      </c>
      <c r="P1923">
        <f t="shared" si="120"/>
        <v>9.1844973758578932E-3</v>
      </c>
      <c r="Q1923">
        <f t="shared" si="120"/>
        <v>1.1789010989010988</v>
      </c>
      <c r="R1923">
        <f t="shared" si="121"/>
        <v>0</v>
      </c>
      <c r="S1923">
        <f t="shared" si="122"/>
        <v>0</v>
      </c>
      <c r="T1923">
        <f t="shared" si="123"/>
        <v>0</v>
      </c>
      <c r="U1923" t="str">
        <f>YEAR('Campaign Data'!$A1923)&amp;"-"&amp;TEXT(MONTH('Campaign Data'!$A1923),"00")</f>
        <v>2026-04</v>
      </c>
    </row>
    <row r="1924" spans="1:21" x14ac:dyDescent="0.25">
      <c r="A1924">
        <v>46127</v>
      </c>
      <c r="B1924" t="s">
        <v>105</v>
      </c>
      <c r="C1924" t="s">
        <v>106</v>
      </c>
      <c r="D1924" t="s">
        <v>58</v>
      </c>
      <c r="E1924" t="s">
        <v>49</v>
      </c>
      <c r="F1924" t="s">
        <v>81</v>
      </c>
      <c r="G1924" t="s">
        <v>107</v>
      </c>
      <c r="H1924" t="s">
        <v>51</v>
      </c>
      <c r="I1924" t="s">
        <v>37</v>
      </c>
      <c r="J1924" t="s">
        <v>29</v>
      </c>
      <c r="K1924">
        <v>21607</v>
      </c>
      <c r="L1924">
        <v>1005</v>
      </c>
      <c r="M1924">
        <v>1923.79</v>
      </c>
      <c r="N1924">
        <v>52</v>
      </c>
      <c r="O1924">
        <v>1058.0999999999999</v>
      </c>
      <c r="P1924">
        <f t="shared" si="120"/>
        <v>4.6512704216226226E-2</v>
      </c>
      <c r="Q1924">
        <f t="shared" si="120"/>
        <v>1.9142189054726368</v>
      </c>
      <c r="R1924">
        <f t="shared" si="121"/>
        <v>36.995961538461536</v>
      </c>
      <c r="S1924">
        <f t="shared" si="122"/>
        <v>0.55000805701245969</v>
      </c>
      <c r="T1924">
        <f t="shared" si="123"/>
        <v>5.1741293532338306E-2</v>
      </c>
      <c r="U1924" t="str">
        <f>YEAR('Campaign Data'!$A1924)&amp;"-"&amp;TEXT(MONTH('Campaign Data'!$A1924),"00")</f>
        <v>2026-04</v>
      </c>
    </row>
    <row r="1925" spans="1:21" x14ac:dyDescent="0.25">
      <c r="A1925">
        <v>46127</v>
      </c>
      <c r="B1925" t="s">
        <v>108</v>
      </c>
      <c r="C1925" t="s">
        <v>109</v>
      </c>
      <c r="D1925" t="s">
        <v>58</v>
      </c>
      <c r="E1925" t="s">
        <v>33</v>
      </c>
      <c r="F1925" t="s">
        <v>43</v>
      </c>
      <c r="G1925" t="s">
        <v>59</v>
      </c>
      <c r="H1925" t="s">
        <v>60</v>
      </c>
      <c r="I1925" t="s">
        <v>37</v>
      </c>
      <c r="J1925" t="s">
        <v>29</v>
      </c>
      <c r="K1925">
        <v>14056</v>
      </c>
      <c r="L1925">
        <v>170</v>
      </c>
      <c r="M1925">
        <v>166.79</v>
      </c>
      <c r="N1925">
        <v>5</v>
      </c>
      <c r="O1925">
        <v>84.8</v>
      </c>
      <c r="P1925">
        <f t="shared" si="120"/>
        <v>1.2094479225953329E-2</v>
      </c>
      <c r="Q1925">
        <f t="shared" si="120"/>
        <v>0.98111764705882343</v>
      </c>
      <c r="R1925">
        <f t="shared" si="121"/>
        <v>33.357999999999997</v>
      </c>
      <c r="S1925">
        <f t="shared" si="122"/>
        <v>0.50842376641285447</v>
      </c>
      <c r="T1925">
        <f t="shared" si="123"/>
        <v>2.9411764705882353E-2</v>
      </c>
      <c r="U1925" t="str">
        <f>YEAR('Campaign Data'!$A1925)&amp;"-"&amp;TEXT(MONTH('Campaign Data'!$A1925),"00")</f>
        <v>2026-04</v>
      </c>
    </row>
    <row r="1926" spans="1:21" x14ac:dyDescent="0.25">
      <c r="A1926">
        <v>46127</v>
      </c>
      <c r="B1926" t="s">
        <v>130</v>
      </c>
      <c r="C1926" t="s">
        <v>131</v>
      </c>
      <c r="D1926" t="s">
        <v>48</v>
      </c>
      <c r="E1926" t="s">
        <v>33</v>
      </c>
      <c r="F1926" t="s">
        <v>34</v>
      </c>
      <c r="G1926" t="s">
        <v>35</v>
      </c>
      <c r="H1926" t="s">
        <v>60</v>
      </c>
      <c r="I1926" t="s">
        <v>28</v>
      </c>
      <c r="J1926" t="s">
        <v>45</v>
      </c>
      <c r="K1926">
        <v>14780</v>
      </c>
      <c r="L1926">
        <v>102</v>
      </c>
      <c r="M1926">
        <v>67.89</v>
      </c>
      <c r="N1926">
        <v>0</v>
      </c>
      <c r="O1926">
        <v>0</v>
      </c>
      <c r="P1926">
        <f t="shared" si="120"/>
        <v>6.9012178619756431E-3</v>
      </c>
      <c r="Q1926">
        <f t="shared" si="120"/>
        <v>0.6655882352941177</v>
      </c>
      <c r="R1926">
        <f t="shared" si="121"/>
        <v>0</v>
      </c>
      <c r="S1926">
        <f t="shared" si="122"/>
        <v>0</v>
      </c>
      <c r="T1926">
        <f t="shared" si="123"/>
        <v>0</v>
      </c>
      <c r="U1926" t="str">
        <f>YEAR('Campaign Data'!$A1926)&amp;"-"&amp;TEXT(MONTH('Campaign Data'!$A1926),"00")</f>
        <v>2026-04</v>
      </c>
    </row>
    <row r="1927" spans="1:21" x14ac:dyDescent="0.25">
      <c r="A1927">
        <v>46127</v>
      </c>
      <c r="B1927" t="s">
        <v>134</v>
      </c>
      <c r="C1927" t="s">
        <v>135</v>
      </c>
      <c r="D1927" t="s">
        <v>32</v>
      </c>
      <c r="E1927" t="s">
        <v>74</v>
      </c>
      <c r="F1927" t="s">
        <v>25</v>
      </c>
      <c r="G1927" t="s">
        <v>107</v>
      </c>
      <c r="H1927" t="s">
        <v>60</v>
      </c>
      <c r="I1927" t="s">
        <v>37</v>
      </c>
      <c r="J1927" t="s">
        <v>87</v>
      </c>
      <c r="K1927">
        <v>13536</v>
      </c>
      <c r="L1927">
        <v>361</v>
      </c>
      <c r="M1927">
        <v>455.07</v>
      </c>
      <c r="N1927">
        <v>5</v>
      </c>
      <c r="O1927">
        <v>744.09</v>
      </c>
      <c r="P1927">
        <f t="shared" si="120"/>
        <v>2.6669621749408984E-2</v>
      </c>
      <c r="Q1927">
        <f t="shared" si="120"/>
        <v>1.2605817174515235</v>
      </c>
      <c r="R1927">
        <f t="shared" si="121"/>
        <v>91.013999999999996</v>
      </c>
      <c r="S1927">
        <f t="shared" si="122"/>
        <v>1.6351110818115895</v>
      </c>
      <c r="T1927">
        <f t="shared" si="123"/>
        <v>1.3850415512465374E-2</v>
      </c>
      <c r="U1927" t="str">
        <f>YEAR('Campaign Data'!$A1927)&amp;"-"&amp;TEXT(MONTH('Campaign Data'!$A1927),"00")</f>
        <v>2026-04</v>
      </c>
    </row>
    <row r="1928" spans="1:21" x14ac:dyDescent="0.25">
      <c r="A1928">
        <v>46127</v>
      </c>
      <c r="B1928" t="s">
        <v>112</v>
      </c>
      <c r="C1928" t="s">
        <v>113</v>
      </c>
      <c r="D1928" t="s">
        <v>32</v>
      </c>
      <c r="E1928" t="s">
        <v>24</v>
      </c>
      <c r="F1928" t="s">
        <v>75</v>
      </c>
      <c r="G1928" t="s">
        <v>66</v>
      </c>
      <c r="H1928" t="s">
        <v>27</v>
      </c>
      <c r="I1928" t="s">
        <v>28</v>
      </c>
      <c r="J1928" t="s">
        <v>29</v>
      </c>
      <c r="K1928">
        <v>2619</v>
      </c>
      <c r="L1928">
        <v>33</v>
      </c>
      <c r="M1928">
        <v>39.270000000000003</v>
      </c>
      <c r="N1928">
        <v>0</v>
      </c>
      <c r="O1928">
        <v>0</v>
      </c>
      <c r="P1928">
        <f t="shared" si="120"/>
        <v>1.2600229095074456E-2</v>
      </c>
      <c r="Q1928">
        <f t="shared" si="120"/>
        <v>1.1900000000000002</v>
      </c>
      <c r="R1928">
        <f t="shared" si="121"/>
        <v>0</v>
      </c>
      <c r="S1928">
        <f t="shared" si="122"/>
        <v>0</v>
      </c>
      <c r="T1928">
        <f t="shared" si="123"/>
        <v>0</v>
      </c>
      <c r="U1928" t="str">
        <f>YEAR('Campaign Data'!$A1928)&amp;"-"&amp;TEXT(MONTH('Campaign Data'!$A1928),"00")</f>
        <v>2026-04</v>
      </c>
    </row>
    <row r="1929" spans="1:21" x14ac:dyDescent="0.25">
      <c r="A1929">
        <v>46127</v>
      </c>
      <c r="B1929" t="s">
        <v>159</v>
      </c>
      <c r="C1929" t="s">
        <v>160</v>
      </c>
      <c r="D1929" t="s">
        <v>65</v>
      </c>
      <c r="E1929" t="s">
        <v>42</v>
      </c>
      <c r="F1929" t="s">
        <v>75</v>
      </c>
      <c r="G1929" t="s">
        <v>54</v>
      </c>
      <c r="H1929" t="s">
        <v>71</v>
      </c>
      <c r="I1929" t="s">
        <v>61</v>
      </c>
      <c r="J1929" t="s">
        <v>29</v>
      </c>
      <c r="K1929">
        <v>5282</v>
      </c>
      <c r="L1929">
        <v>20</v>
      </c>
      <c r="M1929">
        <v>129.69999999999999</v>
      </c>
      <c r="N1929">
        <v>2</v>
      </c>
      <c r="O1929">
        <v>57.28</v>
      </c>
      <c r="P1929">
        <f t="shared" si="120"/>
        <v>3.7864445285876562E-3</v>
      </c>
      <c r="Q1929">
        <f t="shared" si="120"/>
        <v>6.4849999999999994</v>
      </c>
      <c r="R1929">
        <f t="shared" si="121"/>
        <v>64.849999999999994</v>
      </c>
      <c r="S1929">
        <f t="shared" si="122"/>
        <v>0.44163454124903628</v>
      </c>
      <c r="T1929">
        <f t="shared" si="123"/>
        <v>0.1</v>
      </c>
      <c r="U1929" t="str">
        <f>YEAR('Campaign Data'!$A1929)&amp;"-"&amp;TEXT(MONTH('Campaign Data'!$A1929),"00")</f>
        <v>2026-04</v>
      </c>
    </row>
    <row r="1930" spans="1:21" x14ac:dyDescent="0.25">
      <c r="A1930">
        <v>46127</v>
      </c>
      <c r="B1930" t="s">
        <v>141</v>
      </c>
      <c r="C1930" t="s">
        <v>142</v>
      </c>
      <c r="D1930" t="s">
        <v>80</v>
      </c>
      <c r="E1930" t="s">
        <v>49</v>
      </c>
      <c r="F1930" t="s">
        <v>81</v>
      </c>
      <c r="G1930" t="s">
        <v>97</v>
      </c>
      <c r="H1930" t="s">
        <v>90</v>
      </c>
      <c r="I1930" t="s">
        <v>37</v>
      </c>
      <c r="J1930" t="s">
        <v>29</v>
      </c>
      <c r="K1930">
        <v>8388</v>
      </c>
      <c r="L1930">
        <v>324</v>
      </c>
      <c r="M1930">
        <v>127.52</v>
      </c>
      <c r="N1930">
        <v>19</v>
      </c>
      <c r="O1930">
        <v>95.32</v>
      </c>
      <c r="P1930">
        <f t="shared" si="120"/>
        <v>3.8626609442060089E-2</v>
      </c>
      <c r="Q1930">
        <f t="shared" si="120"/>
        <v>0.39358024691358023</v>
      </c>
      <c r="R1930">
        <f t="shared" si="121"/>
        <v>6.7115789473684204</v>
      </c>
      <c r="S1930">
        <f t="shared" si="122"/>
        <v>0.7474905897114178</v>
      </c>
      <c r="T1930">
        <f t="shared" si="123"/>
        <v>5.8641975308641972E-2</v>
      </c>
      <c r="U1930" t="str">
        <f>YEAR('Campaign Data'!$A1930)&amp;"-"&amp;TEXT(MONTH('Campaign Data'!$A1930),"00")</f>
        <v>2026-04</v>
      </c>
    </row>
    <row r="1931" spans="1:21" x14ac:dyDescent="0.25">
      <c r="A1931">
        <v>46127</v>
      </c>
      <c r="B1931" t="s">
        <v>183</v>
      </c>
      <c r="C1931" t="s">
        <v>184</v>
      </c>
      <c r="D1931" t="s">
        <v>23</v>
      </c>
      <c r="E1931" t="s">
        <v>24</v>
      </c>
      <c r="F1931" t="s">
        <v>81</v>
      </c>
      <c r="G1931" t="s">
        <v>185</v>
      </c>
      <c r="H1931" t="s">
        <v>90</v>
      </c>
      <c r="I1931" t="s">
        <v>28</v>
      </c>
      <c r="J1931" t="s">
        <v>29</v>
      </c>
      <c r="K1931">
        <v>4332</v>
      </c>
      <c r="L1931">
        <v>55</v>
      </c>
      <c r="M1931">
        <v>16.739999999999998</v>
      </c>
      <c r="N1931">
        <v>3</v>
      </c>
      <c r="O1931">
        <v>20.37</v>
      </c>
      <c r="P1931">
        <f t="shared" si="120"/>
        <v>1.2696214219759926E-2</v>
      </c>
      <c r="Q1931">
        <f t="shared" si="120"/>
        <v>0.30436363636363634</v>
      </c>
      <c r="R1931">
        <f t="shared" si="121"/>
        <v>5.5799999999999992</v>
      </c>
      <c r="S1931">
        <f t="shared" si="122"/>
        <v>1.2168458781362008</v>
      </c>
      <c r="T1931">
        <f t="shared" si="123"/>
        <v>5.4545454545454543E-2</v>
      </c>
      <c r="U1931" t="str">
        <f>YEAR('Campaign Data'!$A1931)&amp;"-"&amp;TEXT(MONTH('Campaign Data'!$A1931),"00")</f>
        <v>2026-04</v>
      </c>
    </row>
    <row r="1932" spans="1:21" x14ac:dyDescent="0.25">
      <c r="A1932">
        <v>46127</v>
      </c>
      <c r="B1932" t="s">
        <v>183</v>
      </c>
      <c r="C1932" t="s">
        <v>184</v>
      </c>
      <c r="D1932" t="s">
        <v>23</v>
      </c>
      <c r="E1932" t="s">
        <v>24</v>
      </c>
      <c r="F1932" t="s">
        <v>81</v>
      </c>
      <c r="G1932" t="s">
        <v>185</v>
      </c>
      <c r="H1932" t="s">
        <v>27</v>
      </c>
      <c r="I1932" t="s">
        <v>37</v>
      </c>
      <c r="J1932" t="s">
        <v>38</v>
      </c>
      <c r="K1932">
        <v>7997</v>
      </c>
      <c r="L1932">
        <v>111</v>
      </c>
      <c r="M1932">
        <v>99.9</v>
      </c>
      <c r="N1932">
        <v>3</v>
      </c>
      <c r="O1932">
        <v>37.630000000000003</v>
      </c>
      <c r="P1932">
        <f t="shared" si="120"/>
        <v>1.3880205076903839E-2</v>
      </c>
      <c r="Q1932">
        <f t="shared" si="120"/>
        <v>0.9</v>
      </c>
      <c r="R1932">
        <f t="shared" si="121"/>
        <v>33.300000000000004</v>
      </c>
      <c r="S1932">
        <f t="shared" si="122"/>
        <v>0.3766766766766767</v>
      </c>
      <c r="T1932">
        <f t="shared" si="123"/>
        <v>2.7027027027027029E-2</v>
      </c>
      <c r="U1932" t="str">
        <f>YEAR('Campaign Data'!$A1932)&amp;"-"&amp;TEXT(MONTH('Campaign Data'!$A1932),"00")</f>
        <v>2026-04</v>
      </c>
    </row>
    <row r="1933" spans="1:21" x14ac:dyDescent="0.25">
      <c r="A1933">
        <v>46127</v>
      </c>
      <c r="B1933" t="s">
        <v>145</v>
      </c>
      <c r="C1933" t="s">
        <v>146</v>
      </c>
      <c r="D1933" t="s">
        <v>41</v>
      </c>
      <c r="E1933" t="s">
        <v>49</v>
      </c>
      <c r="F1933" t="s">
        <v>75</v>
      </c>
      <c r="G1933" t="s">
        <v>70</v>
      </c>
      <c r="H1933" t="s">
        <v>90</v>
      </c>
      <c r="I1933" t="s">
        <v>61</v>
      </c>
      <c r="J1933" t="s">
        <v>29</v>
      </c>
      <c r="K1933">
        <v>2156</v>
      </c>
      <c r="L1933">
        <v>120</v>
      </c>
      <c r="M1933">
        <v>50.78</v>
      </c>
      <c r="N1933">
        <v>2</v>
      </c>
      <c r="O1933">
        <v>10</v>
      </c>
      <c r="P1933">
        <f t="shared" si="120"/>
        <v>5.5658627087198514E-2</v>
      </c>
      <c r="Q1933">
        <f t="shared" si="120"/>
        <v>0.42316666666666669</v>
      </c>
      <c r="R1933">
        <f t="shared" si="121"/>
        <v>25.39</v>
      </c>
      <c r="S1933">
        <f t="shared" si="122"/>
        <v>0.19692792437967704</v>
      </c>
      <c r="T1933">
        <f t="shared" si="123"/>
        <v>1.6666666666666666E-2</v>
      </c>
      <c r="U1933" t="str">
        <f>YEAR('Campaign Data'!$A1933)&amp;"-"&amp;TEXT(MONTH('Campaign Data'!$A1933),"00")</f>
        <v>2026-04</v>
      </c>
    </row>
    <row r="1934" spans="1:21" x14ac:dyDescent="0.25">
      <c r="A1934">
        <v>46127</v>
      </c>
      <c r="B1934" t="s">
        <v>76</v>
      </c>
      <c r="C1934" t="s">
        <v>77</v>
      </c>
      <c r="D1934" t="s">
        <v>65</v>
      </c>
      <c r="E1934" t="s">
        <v>42</v>
      </c>
      <c r="F1934" t="s">
        <v>43</v>
      </c>
      <c r="G1934" t="s">
        <v>44</v>
      </c>
      <c r="H1934" t="s">
        <v>27</v>
      </c>
      <c r="I1934" t="s">
        <v>37</v>
      </c>
      <c r="J1934" t="s">
        <v>29</v>
      </c>
      <c r="K1934">
        <v>3804</v>
      </c>
      <c r="L1934">
        <v>21</v>
      </c>
      <c r="M1934">
        <v>166.52</v>
      </c>
      <c r="N1934">
        <v>0</v>
      </c>
      <c r="O1934">
        <v>0</v>
      </c>
      <c r="P1934">
        <f t="shared" si="120"/>
        <v>5.5205047318611991E-3</v>
      </c>
      <c r="Q1934">
        <f t="shared" si="120"/>
        <v>7.9295238095238103</v>
      </c>
      <c r="R1934">
        <f t="shared" si="121"/>
        <v>0</v>
      </c>
      <c r="S1934">
        <f t="shared" si="122"/>
        <v>0</v>
      </c>
      <c r="T1934">
        <f t="shared" si="123"/>
        <v>0</v>
      </c>
      <c r="U1934" t="str">
        <f>YEAR('Campaign Data'!$A1934)&amp;"-"&amp;TEXT(MONTH('Campaign Data'!$A1934),"00")</f>
        <v>2026-04</v>
      </c>
    </row>
    <row r="1935" spans="1:21" x14ac:dyDescent="0.25">
      <c r="A1935">
        <v>46127</v>
      </c>
      <c r="B1935" t="s">
        <v>78</v>
      </c>
      <c r="C1935" t="s">
        <v>79</v>
      </c>
      <c r="D1935" t="s">
        <v>80</v>
      </c>
      <c r="E1935" t="s">
        <v>24</v>
      </c>
      <c r="F1935" t="s">
        <v>81</v>
      </c>
      <c r="G1935" t="s">
        <v>66</v>
      </c>
      <c r="H1935" t="s">
        <v>60</v>
      </c>
      <c r="I1935" t="s">
        <v>28</v>
      </c>
      <c r="J1935" t="s">
        <v>38</v>
      </c>
      <c r="K1935">
        <v>9500</v>
      </c>
      <c r="L1935">
        <v>91</v>
      </c>
      <c r="M1935">
        <v>71.13</v>
      </c>
      <c r="N1935">
        <v>4</v>
      </c>
      <c r="O1935">
        <v>81.41</v>
      </c>
      <c r="P1935">
        <f t="shared" si="120"/>
        <v>9.5789473684210532E-3</v>
      </c>
      <c r="Q1935">
        <f t="shared" si="120"/>
        <v>0.78164835164835156</v>
      </c>
      <c r="R1935">
        <f t="shared" si="121"/>
        <v>17.782499999999999</v>
      </c>
      <c r="S1935">
        <f t="shared" si="122"/>
        <v>1.1445241107830733</v>
      </c>
      <c r="T1935">
        <f t="shared" si="123"/>
        <v>4.3956043956043959E-2</v>
      </c>
      <c r="U1935" t="str">
        <f>YEAR('Campaign Data'!$A1935)&amp;"-"&amp;TEXT(MONTH('Campaign Data'!$A1935),"00")</f>
        <v>2026-04</v>
      </c>
    </row>
    <row r="1936" spans="1:21" x14ac:dyDescent="0.25">
      <c r="A1936">
        <v>46128</v>
      </c>
      <c r="B1936" t="s">
        <v>173</v>
      </c>
      <c r="C1936" t="s">
        <v>174</v>
      </c>
      <c r="D1936" t="s">
        <v>48</v>
      </c>
      <c r="E1936" t="s">
        <v>74</v>
      </c>
      <c r="F1936" t="s">
        <v>25</v>
      </c>
      <c r="G1936" t="s">
        <v>9</v>
      </c>
      <c r="H1936" t="s">
        <v>51</v>
      </c>
      <c r="I1936" t="s">
        <v>28</v>
      </c>
      <c r="J1936" t="s">
        <v>45</v>
      </c>
      <c r="K1936">
        <v>7545</v>
      </c>
      <c r="L1936">
        <v>144</v>
      </c>
      <c r="M1936">
        <v>204.39</v>
      </c>
      <c r="N1936">
        <v>4</v>
      </c>
      <c r="O1936">
        <v>426.83</v>
      </c>
      <c r="P1936">
        <f t="shared" si="120"/>
        <v>1.9085487077534793E-2</v>
      </c>
      <c r="Q1936">
        <f t="shared" si="120"/>
        <v>1.4193749999999998</v>
      </c>
      <c r="R1936">
        <f t="shared" si="121"/>
        <v>51.097499999999997</v>
      </c>
      <c r="S1936">
        <f t="shared" si="122"/>
        <v>2.0883115612309799</v>
      </c>
      <c r="T1936">
        <f t="shared" si="123"/>
        <v>2.7777777777777776E-2</v>
      </c>
      <c r="U1936" t="str">
        <f>YEAR('Campaign Data'!$A1936)&amp;"-"&amp;TEXT(MONTH('Campaign Data'!$A1936),"00")</f>
        <v>2026-04</v>
      </c>
    </row>
    <row r="1937" spans="1:21" x14ac:dyDescent="0.25">
      <c r="A1937">
        <v>46128</v>
      </c>
      <c r="B1937" t="s">
        <v>21</v>
      </c>
      <c r="C1937" t="s">
        <v>124</v>
      </c>
      <c r="D1937" t="s">
        <v>23</v>
      </c>
      <c r="E1937" t="s">
        <v>24</v>
      </c>
      <c r="F1937" t="s">
        <v>25</v>
      </c>
      <c r="G1937" t="s">
        <v>26</v>
      </c>
      <c r="H1937" t="s">
        <v>60</v>
      </c>
      <c r="I1937" t="s">
        <v>28</v>
      </c>
      <c r="J1937" t="s">
        <v>29</v>
      </c>
      <c r="K1937">
        <v>16661</v>
      </c>
      <c r="L1937">
        <v>158</v>
      </c>
      <c r="M1937">
        <v>83.46</v>
      </c>
      <c r="N1937">
        <v>7</v>
      </c>
      <c r="O1937">
        <v>554.22</v>
      </c>
      <c r="P1937">
        <f t="shared" si="120"/>
        <v>9.4832242962607279E-3</v>
      </c>
      <c r="Q1937">
        <f t="shared" si="120"/>
        <v>0.52822784810126577</v>
      </c>
      <c r="R1937">
        <f t="shared" si="121"/>
        <v>11.922857142857142</v>
      </c>
      <c r="S1937">
        <f t="shared" si="122"/>
        <v>6.6405463695183329</v>
      </c>
      <c r="T1937">
        <f t="shared" si="123"/>
        <v>4.4303797468354431E-2</v>
      </c>
      <c r="U1937" t="str">
        <f>YEAR('Campaign Data'!$A1937)&amp;"-"&amp;TEXT(MONTH('Campaign Data'!$A1937),"00")</f>
        <v>2026-04</v>
      </c>
    </row>
    <row r="1938" spans="1:21" x14ac:dyDescent="0.25">
      <c r="A1938">
        <v>46128</v>
      </c>
      <c r="B1938" t="s">
        <v>147</v>
      </c>
      <c r="C1938" t="s">
        <v>148</v>
      </c>
      <c r="D1938" t="s">
        <v>23</v>
      </c>
      <c r="E1938" t="s">
        <v>42</v>
      </c>
      <c r="F1938" t="s">
        <v>75</v>
      </c>
      <c r="G1938" t="s">
        <v>44</v>
      </c>
      <c r="H1938" t="s">
        <v>71</v>
      </c>
      <c r="I1938" t="s">
        <v>28</v>
      </c>
      <c r="J1938" t="s">
        <v>38</v>
      </c>
      <c r="K1938">
        <v>3948</v>
      </c>
      <c r="L1938">
        <v>49</v>
      </c>
      <c r="M1938">
        <v>281.56</v>
      </c>
      <c r="N1938">
        <v>3</v>
      </c>
      <c r="O1938">
        <v>51.33</v>
      </c>
      <c r="P1938">
        <f t="shared" si="120"/>
        <v>1.2411347517730497E-2</v>
      </c>
      <c r="Q1938">
        <f t="shared" si="120"/>
        <v>5.7461224489795919</v>
      </c>
      <c r="R1938">
        <f t="shared" si="121"/>
        <v>93.853333333333339</v>
      </c>
      <c r="S1938">
        <f t="shared" si="122"/>
        <v>0.18230572524506322</v>
      </c>
      <c r="T1938">
        <f t="shared" si="123"/>
        <v>6.1224489795918366E-2</v>
      </c>
      <c r="U1938" t="str">
        <f>YEAR('Campaign Data'!$A1938)&amp;"-"&amp;TEXT(MONTH('Campaign Data'!$A1938),"00")</f>
        <v>2026-04</v>
      </c>
    </row>
    <row r="1939" spans="1:21" x14ac:dyDescent="0.25">
      <c r="A1939">
        <v>46128</v>
      </c>
      <c r="B1939" t="s">
        <v>147</v>
      </c>
      <c r="C1939" t="s">
        <v>148</v>
      </c>
      <c r="D1939" t="s">
        <v>23</v>
      </c>
      <c r="E1939" t="s">
        <v>42</v>
      </c>
      <c r="F1939" t="s">
        <v>75</v>
      </c>
      <c r="G1939" t="s">
        <v>44</v>
      </c>
      <c r="H1939" t="s">
        <v>36</v>
      </c>
      <c r="I1939" t="s">
        <v>28</v>
      </c>
      <c r="J1939" t="s">
        <v>62</v>
      </c>
      <c r="K1939">
        <v>17601</v>
      </c>
      <c r="L1939">
        <v>164</v>
      </c>
      <c r="M1939">
        <v>703.57</v>
      </c>
      <c r="N1939">
        <v>7</v>
      </c>
      <c r="O1939">
        <v>283.7</v>
      </c>
      <c r="P1939">
        <f t="shared" si="120"/>
        <v>9.3176524061132898E-3</v>
      </c>
      <c r="Q1939">
        <f t="shared" si="120"/>
        <v>4.2900609756097561</v>
      </c>
      <c r="R1939">
        <f t="shared" si="121"/>
        <v>100.51</v>
      </c>
      <c r="S1939">
        <f t="shared" si="122"/>
        <v>0.40322924513552305</v>
      </c>
      <c r="T1939">
        <f t="shared" si="123"/>
        <v>4.2682926829268296E-2</v>
      </c>
      <c r="U1939" t="str">
        <f>YEAR('Campaign Data'!$A1939)&amp;"-"&amp;TEXT(MONTH('Campaign Data'!$A1939),"00")</f>
        <v>2026-04</v>
      </c>
    </row>
    <row r="1940" spans="1:21" x14ac:dyDescent="0.25">
      <c r="A1940">
        <v>46128</v>
      </c>
      <c r="B1940" t="s">
        <v>93</v>
      </c>
      <c r="C1940" t="s">
        <v>94</v>
      </c>
      <c r="D1940" t="s">
        <v>69</v>
      </c>
      <c r="E1940" t="s">
        <v>42</v>
      </c>
      <c r="F1940" t="s">
        <v>75</v>
      </c>
      <c r="G1940" t="s">
        <v>44</v>
      </c>
      <c r="H1940" t="s">
        <v>71</v>
      </c>
      <c r="I1940" t="s">
        <v>37</v>
      </c>
      <c r="J1940" t="s">
        <v>62</v>
      </c>
      <c r="K1940">
        <v>17067</v>
      </c>
      <c r="L1940">
        <v>147</v>
      </c>
      <c r="M1940">
        <v>849.05</v>
      </c>
      <c r="N1940">
        <v>9</v>
      </c>
      <c r="O1940">
        <v>275.24</v>
      </c>
      <c r="P1940">
        <f t="shared" si="120"/>
        <v>8.6131130251362285E-3</v>
      </c>
      <c r="Q1940">
        <f t="shared" si="120"/>
        <v>5.7758503401360537</v>
      </c>
      <c r="R1940">
        <f t="shared" si="121"/>
        <v>94.338888888888889</v>
      </c>
      <c r="S1940">
        <f t="shared" si="122"/>
        <v>0.32417407690948707</v>
      </c>
      <c r="T1940">
        <f t="shared" si="123"/>
        <v>6.1224489795918366E-2</v>
      </c>
      <c r="U1940" t="str">
        <f>YEAR('Campaign Data'!$A1940)&amp;"-"&amp;TEXT(MONTH('Campaign Data'!$A1940),"00")</f>
        <v>2026-04</v>
      </c>
    </row>
    <row r="1941" spans="1:21" x14ac:dyDescent="0.25">
      <c r="A1941">
        <v>46128</v>
      </c>
      <c r="B1941" t="s">
        <v>95</v>
      </c>
      <c r="C1941" t="s">
        <v>96</v>
      </c>
      <c r="D1941" t="s">
        <v>23</v>
      </c>
      <c r="E1941" t="s">
        <v>49</v>
      </c>
      <c r="F1941" t="s">
        <v>43</v>
      </c>
      <c r="G1941" t="s">
        <v>97</v>
      </c>
      <c r="H1941" t="s">
        <v>27</v>
      </c>
      <c r="I1941" t="s">
        <v>37</v>
      </c>
      <c r="J1941" t="s">
        <v>45</v>
      </c>
      <c r="K1941">
        <v>11626</v>
      </c>
      <c r="L1941">
        <v>532</v>
      </c>
      <c r="M1941">
        <v>792.67</v>
      </c>
      <c r="N1941">
        <v>44</v>
      </c>
      <c r="O1941">
        <v>1475.35</v>
      </c>
      <c r="P1941">
        <f t="shared" si="120"/>
        <v>4.5759504558747638E-2</v>
      </c>
      <c r="Q1941">
        <f t="shared" si="120"/>
        <v>1.4899812030075188</v>
      </c>
      <c r="R1941">
        <f t="shared" si="121"/>
        <v>18.015227272727273</v>
      </c>
      <c r="S1941">
        <f t="shared" si="122"/>
        <v>1.8612411217782936</v>
      </c>
      <c r="T1941">
        <f t="shared" si="123"/>
        <v>8.2706766917293228E-2</v>
      </c>
      <c r="U1941" t="str">
        <f>YEAR('Campaign Data'!$A1941)&amp;"-"&amp;TEXT(MONTH('Campaign Data'!$A1941),"00")</f>
        <v>2026-04</v>
      </c>
    </row>
    <row r="1942" spans="1:21" x14ac:dyDescent="0.25">
      <c r="A1942">
        <v>46128</v>
      </c>
      <c r="B1942" t="s">
        <v>39</v>
      </c>
      <c r="C1942" t="s">
        <v>40</v>
      </c>
      <c r="D1942" t="s">
        <v>41</v>
      </c>
      <c r="E1942" t="s">
        <v>42</v>
      </c>
      <c r="F1942" t="s">
        <v>43</v>
      </c>
      <c r="G1942" t="s">
        <v>44</v>
      </c>
      <c r="H1942" t="s">
        <v>90</v>
      </c>
      <c r="I1942" t="s">
        <v>28</v>
      </c>
      <c r="J1942" t="s">
        <v>38</v>
      </c>
      <c r="K1942">
        <v>4478</v>
      </c>
      <c r="L1942">
        <v>42</v>
      </c>
      <c r="M1942">
        <v>68.83</v>
      </c>
      <c r="N1942">
        <v>1</v>
      </c>
      <c r="O1942">
        <v>10.3</v>
      </c>
      <c r="P1942">
        <f t="shared" si="120"/>
        <v>9.3791871371147837E-3</v>
      </c>
      <c r="Q1942">
        <f t="shared" si="120"/>
        <v>1.6388095238095237</v>
      </c>
      <c r="R1942">
        <f t="shared" si="121"/>
        <v>68.83</v>
      </c>
      <c r="S1942">
        <f t="shared" si="122"/>
        <v>0.14964405055934912</v>
      </c>
      <c r="T1942">
        <f t="shared" si="123"/>
        <v>2.3809523809523808E-2</v>
      </c>
      <c r="U1942" t="str">
        <f>YEAR('Campaign Data'!$A1942)&amp;"-"&amp;TEXT(MONTH('Campaign Data'!$A1942),"00")</f>
        <v>2026-04</v>
      </c>
    </row>
    <row r="1943" spans="1:21" x14ac:dyDescent="0.25">
      <c r="A1943">
        <v>46128</v>
      </c>
      <c r="B1943" t="s">
        <v>169</v>
      </c>
      <c r="C1943" t="s">
        <v>170</v>
      </c>
      <c r="D1943" t="s">
        <v>58</v>
      </c>
      <c r="E1943" t="s">
        <v>74</v>
      </c>
      <c r="F1943" t="s">
        <v>75</v>
      </c>
      <c r="G1943" t="s">
        <v>9</v>
      </c>
      <c r="H1943" t="s">
        <v>51</v>
      </c>
      <c r="I1943" t="s">
        <v>37</v>
      </c>
      <c r="J1943" t="s">
        <v>62</v>
      </c>
      <c r="K1943">
        <v>10341</v>
      </c>
      <c r="L1943">
        <v>444</v>
      </c>
      <c r="M1943">
        <v>721.76</v>
      </c>
      <c r="N1943">
        <v>32</v>
      </c>
      <c r="O1943">
        <v>506.18</v>
      </c>
      <c r="P1943">
        <f t="shared" si="120"/>
        <v>4.293588627792283E-2</v>
      </c>
      <c r="Q1943">
        <f t="shared" si="120"/>
        <v>1.6255855855855856</v>
      </c>
      <c r="R1943">
        <f t="shared" si="121"/>
        <v>22.555</v>
      </c>
      <c r="S1943">
        <f t="shared" si="122"/>
        <v>0.70131345599645312</v>
      </c>
      <c r="T1943">
        <f t="shared" si="123"/>
        <v>7.2072072072072071E-2</v>
      </c>
      <c r="U1943" t="str">
        <f>YEAR('Campaign Data'!$A1943)&amp;"-"&amp;TEXT(MONTH('Campaign Data'!$A1943),"00")</f>
        <v>2026-04</v>
      </c>
    </row>
    <row r="1944" spans="1:21" x14ac:dyDescent="0.25">
      <c r="A1944">
        <v>46128</v>
      </c>
      <c r="B1944" t="s">
        <v>169</v>
      </c>
      <c r="C1944" t="s">
        <v>170</v>
      </c>
      <c r="D1944" t="s">
        <v>58</v>
      </c>
      <c r="E1944" t="s">
        <v>74</v>
      </c>
      <c r="F1944" t="s">
        <v>75</v>
      </c>
      <c r="G1944" t="s">
        <v>9</v>
      </c>
      <c r="H1944" t="s">
        <v>71</v>
      </c>
      <c r="I1944" t="s">
        <v>37</v>
      </c>
      <c r="J1944" t="s">
        <v>62</v>
      </c>
      <c r="K1944">
        <v>8539</v>
      </c>
      <c r="L1944">
        <v>415</v>
      </c>
      <c r="M1944">
        <v>421.23</v>
      </c>
      <c r="N1944">
        <v>18</v>
      </c>
      <c r="O1944">
        <v>470.24</v>
      </c>
      <c r="P1944">
        <f t="shared" si="120"/>
        <v>4.8600538704766369E-2</v>
      </c>
      <c r="Q1944">
        <f t="shared" si="120"/>
        <v>1.0150120481927711</v>
      </c>
      <c r="R1944">
        <f t="shared" si="121"/>
        <v>23.401666666666667</v>
      </c>
      <c r="S1944">
        <f t="shared" si="122"/>
        <v>1.1163497376730052</v>
      </c>
      <c r="T1944">
        <f t="shared" si="123"/>
        <v>4.3373493975903614E-2</v>
      </c>
      <c r="U1944" t="str">
        <f>YEAR('Campaign Data'!$A1944)&amp;"-"&amp;TEXT(MONTH('Campaign Data'!$A1944),"00")</f>
        <v>2026-04</v>
      </c>
    </row>
    <row r="1945" spans="1:21" x14ac:dyDescent="0.25">
      <c r="A1945">
        <v>46128</v>
      </c>
      <c r="B1945" t="s">
        <v>105</v>
      </c>
      <c r="C1945" t="s">
        <v>106</v>
      </c>
      <c r="D1945" t="s">
        <v>58</v>
      </c>
      <c r="E1945" t="s">
        <v>49</v>
      </c>
      <c r="F1945" t="s">
        <v>81</v>
      </c>
      <c r="G1945" t="s">
        <v>107</v>
      </c>
      <c r="H1945" t="s">
        <v>27</v>
      </c>
      <c r="I1945" t="s">
        <v>37</v>
      </c>
      <c r="J1945" t="s">
        <v>62</v>
      </c>
      <c r="K1945">
        <v>10269</v>
      </c>
      <c r="L1945">
        <v>464</v>
      </c>
      <c r="M1945">
        <v>942.08</v>
      </c>
      <c r="N1945">
        <v>30</v>
      </c>
      <c r="O1945">
        <v>782.47</v>
      </c>
      <c r="P1945">
        <f t="shared" si="120"/>
        <v>4.5184535982081997E-2</v>
      </c>
      <c r="Q1945">
        <f t="shared" si="120"/>
        <v>2.030344827586207</v>
      </c>
      <c r="R1945">
        <f t="shared" si="121"/>
        <v>31.402666666666669</v>
      </c>
      <c r="S1945">
        <f t="shared" si="122"/>
        <v>0.83057702105978259</v>
      </c>
      <c r="T1945">
        <f t="shared" si="123"/>
        <v>6.4655172413793108E-2</v>
      </c>
      <c r="U1945" t="str">
        <f>YEAR('Campaign Data'!$A1945)&amp;"-"&amp;TEXT(MONTH('Campaign Data'!$A1945),"00")</f>
        <v>2026-04</v>
      </c>
    </row>
    <row r="1946" spans="1:21" x14ac:dyDescent="0.25">
      <c r="A1946">
        <v>46128</v>
      </c>
      <c r="B1946" t="s">
        <v>132</v>
      </c>
      <c r="C1946" t="s">
        <v>133</v>
      </c>
      <c r="D1946" t="s">
        <v>23</v>
      </c>
      <c r="E1946" t="s">
        <v>42</v>
      </c>
      <c r="F1946" t="s">
        <v>75</v>
      </c>
      <c r="G1946" t="s">
        <v>84</v>
      </c>
      <c r="H1946" t="s">
        <v>71</v>
      </c>
      <c r="I1946" t="s">
        <v>61</v>
      </c>
      <c r="J1946" t="s">
        <v>38</v>
      </c>
      <c r="K1946">
        <v>4777</v>
      </c>
      <c r="L1946">
        <v>45</v>
      </c>
      <c r="M1946">
        <v>204.1</v>
      </c>
      <c r="N1946">
        <v>2</v>
      </c>
      <c r="O1946">
        <v>68.569999999999993</v>
      </c>
      <c r="P1946">
        <f t="shared" si="120"/>
        <v>9.4201381620263765E-3</v>
      </c>
      <c r="Q1946">
        <f t="shared" si="120"/>
        <v>4.5355555555555558</v>
      </c>
      <c r="R1946">
        <f t="shared" si="121"/>
        <v>102.05</v>
      </c>
      <c r="S1946">
        <f t="shared" si="122"/>
        <v>0.33596276335129838</v>
      </c>
      <c r="T1946">
        <f t="shared" si="123"/>
        <v>4.4444444444444446E-2</v>
      </c>
      <c r="U1946" t="str">
        <f>YEAR('Campaign Data'!$A1946)&amp;"-"&amp;TEXT(MONTH('Campaign Data'!$A1946),"00")</f>
        <v>2026-04</v>
      </c>
    </row>
    <row r="1947" spans="1:21" x14ac:dyDescent="0.25">
      <c r="A1947">
        <v>46128</v>
      </c>
      <c r="B1947" t="s">
        <v>110</v>
      </c>
      <c r="C1947" t="s">
        <v>111</v>
      </c>
      <c r="D1947" t="s">
        <v>23</v>
      </c>
      <c r="E1947" t="s">
        <v>49</v>
      </c>
      <c r="F1947" t="s">
        <v>34</v>
      </c>
      <c r="G1947" t="s">
        <v>50</v>
      </c>
      <c r="H1947" t="s">
        <v>36</v>
      </c>
      <c r="I1947" t="s">
        <v>37</v>
      </c>
      <c r="J1947" t="s">
        <v>29</v>
      </c>
      <c r="K1947">
        <v>15960</v>
      </c>
      <c r="L1947">
        <v>578</v>
      </c>
      <c r="M1947">
        <v>888.39</v>
      </c>
      <c r="N1947">
        <v>17</v>
      </c>
      <c r="O1947">
        <v>2703.47</v>
      </c>
      <c r="P1947">
        <f t="shared" si="120"/>
        <v>3.6215538847117791E-2</v>
      </c>
      <c r="Q1947">
        <f t="shared" si="120"/>
        <v>1.5370069204152248</v>
      </c>
      <c r="R1947">
        <f t="shared" si="121"/>
        <v>52.258235294117647</v>
      </c>
      <c r="S1947">
        <f t="shared" si="122"/>
        <v>3.0431116964396265</v>
      </c>
      <c r="T1947">
        <f t="shared" si="123"/>
        <v>2.9411764705882353E-2</v>
      </c>
      <c r="U1947" t="str">
        <f>YEAR('Campaign Data'!$A1947)&amp;"-"&amp;TEXT(MONTH('Campaign Data'!$A1947),"00")</f>
        <v>2026-04</v>
      </c>
    </row>
    <row r="1948" spans="1:21" x14ac:dyDescent="0.25">
      <c r="A1948">
        <v>46128</v>
      </c>
      <c r="B1948" t="s">
        <v>159</v>
      </c>
      <c r="C1948" t="s">
        <v>160</v>
      </c>
      <c r="D1948" t="s">
        <v>65</v>
      </c>
      <c r="E1948" t="s">
        <v>42</v>
      </c>
      <c r="F1948" t="s">
        <v>75</v>
      </c>
      <c r="G1948" t="s">
        <v>54</v>
      </c>
      <c r="H1948" t="s">
        <v>90</v>
      </c>
      <c r="I1948" t="s">
        <v>37</v>
      </c>
      <c r="J1948" t="s">
        <v>62</v>
      </c>
      <c r="K1948">
        <v>11461</v>
      </c>
      <c r="L1948">
        <v>85</v>
      </c>
      <c r="M1948">
        <v>204.62</v>
      </c>
      <c r="N1948">
        <v>7</v>
      </c>
      <c r="O1948">
        <v>35</v>
      </c>
      <c r="P1948">
        <f t="shared" si="120"/>
        <v>7.4164558066486348E-3</v>
      </c>
      <c r="Q1948">
        <f t="shared" si="120"/>
        <v>2.407294117647059</v>
      </c>
      <c r="R1948">
        <f t="shared" si="121"/>
        <v>29.231428571428573</v>
      </c>
      <c r="S1948">
        <f t="shared" si="122"/>
        <v>0.17104877333593979</v>
      </c>
      <c r="T1948">
        <f t="shared" si="123"/>
        <v>8.2352941176470587E-2</v>
      </c>
      <c r="U1948" t="str">
        <f>YEAR('Campaign Data'!$A1948)&amp;"-"&amp;TEXT(MONTH('Campaign Data'!$A1948),"00")</f>
        <v>2026-04</v>
      </c>
    </row>
    <row r="1949" spans="1:21" x14ac:dyDescent="0.25">
      <c r="A1949">
        <v>46128</v>
      </c>
      <c r="B1949" t="s">
        <v>141</v>
      </c>
      <c r="C1949" t="s">
        <v>142</v>
      </c>
      <c r="D1949" t="s">
        <v>80</v>
      </c>
      <c r="E1949" t="s">
        <v>49</v>
      </c>
      <c r="F1949" t="s">
        <v>81</v>
      </c>
      <c r="G1949" t="s">
        <v>97</v>
      </c>
      <c r="H1949" t="s">
        <v>71</v>
      </c>
      <c r="I1949" t="s">
        <v>28</v>
      </c>
      <c r="J1949" t="s">
        <v>38</v>
      </c>
      <c r="K1949">
        <v>13148</v>
      </c>
      <c r="L1949">
        <v>701</v>
      </c>
      <c r="M1949">
        <v>1266.27</v>
      </c>
      <c r="N1949">
        <v>34</v>
      </c>
      <c r="O1949">
        <v>378.4</v>
      </c>
      <c r="P1949">
        <f t="shared" si="120"/>
        <v>5.3316093702464255E-2</v>
      </c>
      <c r="Q1949">
        <f t="shared" si="120"/>
        <v>1.8063766048502139</v>
      </c>
      <c r="R1949">
        <f t="shared" si="121"/>
        <v>37.243235294117646</v>
      </c>
      <c r="S1949">
        <f t="shared" si="122"/>
        <v>0.29883042321147935</v>
      </c>
      <c r="T1949">
        <f t="shared" si="123"/>
        <v>4.850213980028531E-2</v>
      </c>
      <c r="U1949" t="str">
        <f>YEAR('Campaign Data'!$A1949)&amp;"-"&amp;TEXT(MONTH('Campaign Data'!$A1949),"00")</f>
        <v>2026-04</v>
      </c>
    </row>
    <row r="1950" spans="1:21" x14ac:dyDescent="0.25">
      <c r="A1950">
        <v>46128</v>
      </c>
      <c r="B1950" t="s">
        <v>118</v>
      </c>
      <c r="C1950" t="s">
        <v>119</v>
      </c>
      <c r="D1950" t="s">
        <v>69</v>
      </c>
      <c r="E1950" t="s">
        <v>33</v>
      </c>
      <c r="F1950" t="s">
        <v>34</v>
      </c>
      <c r="G1950" t="s">
        <v>35</v>
      </c>
      <c r="H1950" t="s">
        <v>27</v>
      </c>
      <c r="I1950" t="s">
        <v>37</v>
      </c>
      <c r="J1950" t="s">
        <v>29</v>
      </c>
      <c r="K1950">
        <v>4531</v>
      </c>
      <c r="L1950">
        <v>28</v>
      </c>
      <c r="M1950">
        <v>16.09</v>
      </c>
      <c r="N1950">
        <v>1</v>
      </c>
      <c r="O1950">
        <v>164.54</v>
      </c>
      <c r="P1950">
        <f t="shared" si="120"/>
        <v>6.1796512911057163E-3</v>
      </c>
      <c r="Q1950">
        <f t="shared" si="120"/>
        <v>0.57464285714285712</v>
      </c>
      <c r="R1950">
        <f t="shared" si="121"/>
        <v>16.09</v>
      </c>
      <c r="S1950">
        <f t="shared" si="122"/>
        <v>10.226227470478557</v>
      </c>
      <c r="T1950">
        <f t="shared" si="123"/>
        <v>3.5714285714285712E-2</v>
      </c>
      <c r="U1950" t="str">
        <f>YEAR('Campaign Data'!$A1950)&amp;"-"&amp;TEXT(MONTH('Campaign Data'!$A1950),"00")</f>
        <v>2026-04</v>
      </c>
    </row>
    <row r="1951" spans="1:21" x14ac:dyDescent="0.25">
      <c r="A1951">
        <v>46128</v>
      </c>
      <c r="B1951" t="s">
        <v>76</v>
      </c>
      <c r="C1951" t="s">
        <v>77</v>
      </c>
      <c r="D1951" t="s">
        <v>65</v>
      </c>
      <c r="E1951" t="s">
        <v>42</v>
      </c>
      <c r="F1951" t="s">
        <v>43</v>
      </c>
      <c r="G1951" t="s">
        <v>44</v>
      </c>
      <c r="H1951" t="s">
        <v>36</v>
      </c>
      <c r="I1951" t="s">
        <v>37</v>
      </c>
      <c r="J1951" t="s">
        <v>45</v>
      </c>
      <c r="K1951">
        <v>11973</v>
      </c>
      <c r="L1951">
        <v>79</v>
      </c>
      <c r="M1951">
        <v>272.52</v>
      </c>
      <c r="N1951">
        <v>3</v>
      </c>
      <c r="O1951">
        <v>57.25</v>
      </c>
      <c r="P1951">
        <f t="shared" si="120"/>
        <v>6.5981792366157184E-3</v>
      </c>
      <c r="Q1951">
        <f t="shared" si="120"/>
        <v>3.4496202531645568</v>
      </c>
      <c r="R1951">
        <f t="shared" si="121"/>
        <v>90.839999999999989</v>
      </c>
      <c r="S1951">
        <f t="shared" si="122"/>
        <v>0.21007632467341847</v>
      </c>
      <c r="T1951">
        <f t="shared" si="123"/>
        <v>3.7974683544303799E-2</v>
      </c>
      <c r="U1951" t="str">
        <f>YEAR('Campaign Data'!$A1951)&amp;"-"&amp;TEXT(MONTH('Campaign Data'!$A1951),"00")</f>
        <v>2026-04</v>
      </c>
    </row>
    <row r="1952" spans="1:21" x14ac:dyDescent="0.25">
      <c r="A1952">
        <v>46128</v>
      </c>
      <c r="B1952" t="s">
        <v>120</v>
      </c>
      <c r="C1952" t="s">
        <v>121</v>
      </c>
      <c r="D1952" t="s">
        <v>23</v>
      </c>
      <c r="E1952" t="s">
        <v>49</v>
      </c>
      <c r="F1952" t="s">
        <v>75</v>
      </c>
      <c r="G1952" t="s">
        <v>70</v>
      </c>
      <c r="H1952" t="s">
        <v>36</v>
      </c>
      <c r="I1952" t="s">
        <v>37</v>
      </c>
      <c r="J1952" t="s">
        <v>62</v>
      </c>
      <c r="K1952">
        <v>6183</v>
      </c>
      <c r="L1952">
        <v>366</v>
      </c>
      <c r="M1952">
        <v>793.63</v>
      </c>
      <c r="N1952">
        <v>17</v>
      </c>
      <c r="O1952">
        <v>420.55</v>
      </c>
      <c r="P1952">
        <f t="shared" si="120"/>
        <v>5.9194565744784086E-2</v>
      </c>
      <c r="Q1952">
        <f t="shared" si="120"/>
        <v>2.1683879781420763</v>
      </c>
      <c r="R1952">
        <f t="shared" si="121"/>
        <v>46.684117647058827</v>
      </c>
      <c r="S1952">
        <f t="shared" si="122"/>
        <v>0.52990688356034932</v>
      </c>
      <c r="T1952">
        <f t="shared" si="123"/>
        <v>4.6448087431693992E-2</v>
      </c>
      <c r="U1952" t="str">
        <f>YEAR('Campaign Data'!$A1952)&amp;"-"&amp;TEXT(MONTH('Campaign Data'!$A1952),"00")</f>
        <v>2026-04</v>
      </c>
    </row>
    <row r="1953" spans="1:21" x14ac:dyDescent="0.25">
      <c r="A1953">
        <v>46129</v>
      </c>
      <c r="B1953" t="s">
        <v>165</v>
      </c>
      <c r="C1953" t="s">
        <v>166</v>
      </c>
      <c r="D1953" t="s">
        <v>41</v>
      </c>
      <c r="E1953" t="s">
        <v>33</v>
      </c>
      <c r="F1953" t="s">
        <v>43</v>
      </c>
      <c r="G1953" t="s">
        <v>59</v>
      </c>
      <c r="H1953" t="s">
        <v>60</v>
      </c>
      <c r="I1953" t="s">
        <v>37</v>
      </c>
      <c r="J1953" t="s">
        <v>38</v>
      </c>
      <c r="K1953">
        <v>8140</v>
      </c>
      <c r="L1953">
        <v>80</v>
      </c>
      <c r="M1953">
        <v>43.01</v>
      </c>
      <c r="N1953">
        <v>1</v>
      </c>
      <c r="O1953">
        <v>18.8</v>
      </c>
      <c r="P1953">
        <f t="shared" si="120"/>
        <v>9.8280098280098278E-3</v>
      </c>
      <c r="Q1953">
        <f t="shared" si="120"/>
        <v>0.53762500000000002</v>
      </c>
      <c r="R1953">
        <f t="shared" si="121"/>
        <v>43.01</v>
      </c>
      <c r="S1953">
        <f t="shared" si="122"/>
        <v>0.43710764938386426</v>
      </c>
      <c r="T1953">
        <f t="shared" si="123"/>
        <v>1.2500000000000001E-2</v>
      </c>
      <c r="U1953" t="str">
        <f>YEAR('Campaign Data'!$A1953)&amp;"-"&amp;TEXT(MONTH('Campaign Data'!$A1953),"00")</f>
        <v>2026-04</v>
      </c>
    </row>
    <row r="1954" spans="1:21" x14ac:dyDescent="0.25">
      <c r="A1954">
        <v>46129</v>
      </c>
      <c r="B1954" t="s">
        <v>21</v>
      </c>
      <c r="C1954" t="s">
        <v>124</v>
      </c>
      <c r="D1954" t="s">
        <v>23</v>
      </c>
      <c r="E1954" t="s">
        <v>24</v>
      </c>
      <c r="F1954" t="s">
        <v>25</v>
      </c>
      <c r="G1954" t="s">
        <v>26</v>
      </c>
      <c r="H1954" t="s">
        <v>27</v>
      </c>
      <c r="I1954" t="s">
        <v>37</v>
      </c>
      <c r="J1954" t="s">
        <v>45</v>
      </c>
      <c r="K1954">
        <v>2633</v>
      </c>
      <c r="L1954">
        <v>31</v>
      </c>
      <c r="M1954">
        <v>59.25</v>
      </c>
      <c r="N1954">
        <v>0</v>
      </c>
      <c r="O1954">
        <v>0</v>
      </c>
      <c r="P1954">
        <f t="shared" si="120"/>
        <v>1.1773642233194076E-2</v>
      </c>
      <c r="Q1954">
        <f t="shared" si="120"/>
        <v>1.9112903225806452</v>
      </c>
      <c r="R1954">
        <f t="shared" si="121"/>
        <v>0</v>
      </c>
      <c r="S1954">
        <f t="shared" si="122"/>
        <v>0</v>
      </c>
      <c r="T1954">
        <f t="shared" si="123"/>
        <v>0</v>
      </c>
      <c r="U1954" t="str">
        <f>YEAR('Campaign Data'!$A1954)&amp;"-"&amp;TEXT(MONTH('Campaign Data'!$A1954),"00")</f>
        <v>2026-04</v>
      </c>
    </row>
    <row r="1955" spans="1:21" x14ac:dyDescent="0.25">
      <c r="A1955">
        <v>46129</v>
      </c>
      <c r="B1955" t="s">
        <v>147</v>
      </c>
      <c r="C1955" t="s">
        <v>148</v>
      </c>
      <c r="D1955" t="s">
        <v>23</v>
      </c>
      <c r="E1955" t="s">
        <v>42</v>
      </c>
      <c r="F1955" t="s">
        <v>75</v>
      </c>
      <c r="G1955" t="s">
        <v>44</v>
      </c>
      <c r="H1955" t="s">
        <v>60</v>
      </c>
      <c r="I1955" t="s">
        <v>61</v>
      </c>
      <c r="J1955" t="s">
        <v>62</v>
      </c>
      <c r="K1955">
        <v>6216</v>
      </c>
      <c r="L1955">
        <v>56</v>
      </c>
      <c r="M1955">
        <v>287.85000000000002</v>
      </c>
      <c r="N1955">
        <v>0</v>
      </c>
      <c r="O1955">
        <v>0</v>
      </c>
      <c r="P1955">
        <f t="shared" si="120"/>
        <v>9.0090090090090089E-3</v>
      </c>
      <c r="Q1955">
        <f t="shared" si="120"/>
        <v>5.1401785714285717</v>
      </c>
      <c r="R1955">
        <f t="shared" si="121"/>
        <v>0</v>
      </c>
      <c r="S1955">
        <f t="shared" si="122"/>
        <v>0</v>
      </c>
      <c r="T1955">
        <f t="shared" si="123"/>
        <v>0</v>
      </c>
      <c r="U1955" t="str">
        <f>YEAR('Campaign Data'!$A1955)&amp;"-"&amp;TEXT(MONTH('Campaign Data'!$A1955),"00")</f>
        <v>2026-04</v>
      </c>
    </row>
    <row r="1956" spans="1:21" x14ac:dyDescent="0.25">
      <c r="A1956">
        <v>46129</v>
      </c>
      <c r="B1956" t="s">
        <v>125</v>
      </c>
      <c r="C1956" t="s">
        <v>126</v>
      </c>
      <c r="D1956" t="s">
        <v>41</v>
      </c>
      <c r="E1956" t="s">
        <v>42</v>
      </c>
      <c r="F1956" t="s">
        <v>81</v>
      </c>
      <c r="G1956" t="s">
        <v>44</v>
      </c>
      <c r="H1956" t="s">
        <v>55</v>
      </c>
      <c r="I1956" t="s">
        <v>37</v>
      </c>
      <c r="J1956" t="s">
        <v>87</v>
      </c>
      <c r="K1956">
        <v>5363</v>
      </c>
      <c r="L1956">
        <v>40</v>
      </c>
      <c r="M1956">
        <v>223.39</v>
      </c>
      <c r="N1956">
        <v>2</v>
      </c>
      <c r="O1956">
        <v>27.05</v>
      </c>
      <c r="P1956">
        <f t="shared" si="120"/>
        <v>7.4585120268506437E-3</v>
      </c>
      <c r="Q1956">
        <f t="shared" si="120"/>
        <v>5.5847499999999997</v>
      </c>
      <c r="R1956">
        <f t="shared" si="121"/>
        <v>111.69499999999999</v>
      </c>
      <c r="S1956">
        <f t="shared" si="122"/>
        <v>0.12108867899189758</v>
      </c>
      <c r="T1956">
        <f t="shared" si="123"/>
        <v>0.05</v>
      </c>
      <c r="U1956" t="str">
        <f>YEAR('Campaign Data'!$A1956)&amp;"-"&amp;TEXT(MONTH('Campaign Data'!$A1956),"00")</f>
        <v>2026-04</v>
      </c>
    </row>
    <row r="1957" spans="1:21" x14ac:dyDescent="0.25">
      <c r="A1957">
        <v>46129</v>
      </c>
      <c r="B1957" t="s">
        <v>103</v>
      </c>
      <c r="C1957" t="s">
        <v>104</v>
      </c>
      <c r="D1957" t="s">
        <v>65</v>
      </c>
      <c r="E1957" t="s">
        <v>33</v>
      </c>
      <c r="F1957" t="s">
        <v>43</v>
      </c>
      <c r="G1957" t="s">
        <v>102</v>
      </c>
      <c r="H1957" t="s">
        <v>55</v>
      </c>
      <c r="I1957" t="s">
        <v>28</v>
      </c>
      <c r="J1957" t="s">
        <v>62</v>
      </c>
      <c r="K1957">
        <v>3163</v>
      </c>
      <c r="L1957">
        <v>30</v>
      </c>
      <c r="M1957">
        <v>15.6</v>
      </c>
      <c r="N1957">
        <v>1</v>
      </c>
      <c r="O1957">
        <v>17.27</v>
      </c>
      <c r="P1957">
        <f t="shared" si="120"/>
        <v>9.4846664558963008E-3</v>
      </c>
      <c r="Q1957">
        <f t="shared" si="120"/>
        <v>0.52</v>
      </c>
      <c r="R1957">
        <f t="shared" si="121"/>
        <v>15.6</v>
      </c>
      <c r="S1957">
        <f t="shared" si="122"/>
        <v>1.1070512820512821</v>
      </c>
      <c r="T1957">
        <f t="shared" si="123"/>
        <v>3.3333333333333333E-2</v>
      </c>
      <c r="U1957" t="str">
        <f>YEAR('Campaign Data'!$A1957)&amp;"-"&amp;TEXT(MONTH('Campaign Data'!$A1957),"00")</f>
        <v>2026-04</v>
      </c>
    </row>
    <row r="1958" spans="1:21" x14ac:dyDescent="0.25">
      <c r="A1958">
        <v>46129</v>
      </c>
      <c r="B1958" t="s">
        <v>130</v>
      </c>
      <c r="C1958" t="s">
        <v>131</v>
      </c>
      <c r="D1958" t="s">
        <v>48</v>
      </c>
      <c r="E1958" t="s">
        <v>33</v>
      </c>
      <c r="F1958" t="s">
        <v>34</v>
      </c>
      <c r="G1958" t="s">
        <v>35</v>
      </c>
      <c r="H1958" t="s">
        <v>27</v>
      </c>
      <c r="I1958" t="s">
        <v>37</v>
      </c>
      <c r="J1958" t="s">
        <v>62</v>
      </c>
      <c r="K1958">
        <v>6604</v>
      </c>
      <c r="L1958">
        <v>66</v>
      </c>
      <c r="M1958">
        <v>29.25</v>
      </c>
      <c r="N1958">
        <v>4</v>
      </c>
      <c r="O1958">
        <v>570.63</v>
      </c>
      <c r="P1958">
        <f t="shared" si="120"/>
        <v>9.9939430648092065E-3</v>
      </c>
      <c r="Q1958">
        <f t="shared" si="120"/>
        <v>0.44318181818181818</v>
      </c>
      <c r="R1958">
        <f t="shared" si="121"/>
        <v>7.3125</v>
      </c>
      <c r="S1958">
        <f t="shared" si="122"/>
        <v>19.508717948717948</v>
      </c>
      <c r="T1958">
        <f t="shared" si="123"/>
        <v>6.0606060606060608E-2</v>
      </c>
      <c r="U1958" t="str">
        <f>YEAR('Campaign Data'!$A1958)&amp;"-"&amp;TEXT(MONTH('Campaign Data'!$A1958),"00")</f>
        <v>2026-04</v>
      </c>
    </row>
    <row r="1959" spans="1:21" x14ac:dyDescent="0.25">
      <c r="A1959">
        <v>46129</v>
      </c>
      <c r="B1959" t="s">
        <v>112</v>
      </c>
      <c r="C1959" t="s">
        <v>113</v>
      </c>
      <c r="D1959" t="s">
        <v>32</v>
      </c>
      <c r="E1959" t="s">
        <v>24</v>
      </c>
      <c r="F1959" t="s">
        <v>75</v>
      </c>
      <c r="G1959" t="s">
        <v>66</v>
      </c>
      <c r="H1959" t="s">
        <v>71</v>
      </c>
      <c r="I1959" t="s">
        <v>37</v>
      </c>
      <c r="J1959" t="s">
        <v>87</v>
      </c>
      <c r="K1959">
        <v>6613</v>
      </c>
      <c r="L1959">
        <v>91</v>
      </c>
      <c r="M1959">
        <v>79.37</v>
      </c>
      <c r="N1959">
        <v>3</v>
      </c>
      <c r="O1959">
        <v>83.95</v>
      </c>
      <c r="P1959">
        <f t="shared" si="120"/>
        <v>1.3760774232572206E-2</v>
      </c>
      <c r="Q1959">
        <f t="shared" si="120"/>
        <v>0.8721978021978023</v>
      </c>
      <c r="R1959">
        <f t="shared" si="121"/>
        <v>26.456666666666667</v>
      </c>
      <c r="S1959">
        <f t="shared" si="122"/>
        <v>1.0577044223258159</v>
      </c>
      <c r="T1959">
        <f t="shared" si="123"/>
        <v>3.2967032967032968E-2</v>
      </c>
      <c r="U1959" t="str">
        <f>YEAR('Campaign Data'!$A1959)&amp;"-"&amp;TEXT(MONTH('Campaign Data'!$A1959),"00")</f>
        <v>2026-04</v>
      </c>
    </row>
    <row r="1960" spans="1:21" x14ac:dyDescent="0.25">
      <c r="A1960">
        <v>46129</v>
      </c>
      <c r="B1960" t="s">
        <v>181</v>
      </c>
      <c r="C1960" t="s">
        <v>182</v>
      </c>
      <c r="D1960" t="s">
        <v>32</v>
      </c>
      <c r="E1960" t="s">
        <v>33</v>
      </c>
      <c r="F1960" t="s">
        <v>75</v>
      </c>
      <c r="G1960" t="s">
        <v>59</v>
      </c>
      <c r="H1960" t="s">
        <v>51</v>
      </c>
      <c r="I1960" t="s">
        <v>37</v>
      </c>
      <c r="J1960" t="s">
        <v>62</v>
      </c>
      <c r="K1960">
        <v>14244</v>
      </c>
      <c r="L1960">
        <v>259</v>
      </c>
      <c r="M1960">
        <v>140.38</v>
      </c>
      <c r="N1960">
        <v>10</v>
      </c>
      <c r="O1960">
        <v>141.97</v>
      </c>
      <c r="P1960">
        <f t="shared" si="120"/>
        <v>1.8183094636338108E-2</v>
      </c>
      <c r="Q1960">
        <f t="shared" si="120"/>
        <v>0.54200772200772196</v>
      </c>
      <c r="R1960">
        <f t="shared" si="121"/>
        <v>14.038</v>
      </c>
      <c r="S1960">
        <f t="shared" si="122"/>
        <v>1.0113263997720474</v>
      </c>
      <c r="T1960">
        <f t="shared" si="123"/>
        <v>3.8610038610038609E-2</v>
      </c>
      <c r="U1960" t="str">
        <f>YEAR('Campaign Data'!$A1960)&amp;"-"&amp;TEXT(MONTH('Campaign Data'!$A1960),"00")</f>
        <v>2026-04</v>
      </c>
    </row>
    <row r="1961" spans="1:21" x14ac:dyDescent="0.25">
      <c r="A1961">
        <v>46129</v>
      </c>
      <c r="B1961" t="s">
        <v>181</v>
      </c>
      <c r="C1961" t="s">
        <v>182</v>
      </c>
      <c r="D1961" t="s">
        <v>32</v>
      </c>
      <c r="E1961" t="s">
        <v>33</v>
      </c>
      <c r="F1961" t="s">
        <v>75</v>
      </c>
      <c r="G1961" t="s">
        <v>59</v>
      </c>
      <c r="H1961" t="s">
        <v>36</v>
      </c>
      <c r="I1961" t="s">
        <v>37</v>
      </c>
      <c r="J1961" t="s">
        <v>45</v>
      </c>
      <c r="K1961">
        <v>23768</v>
      </c>
      <c r="L1961">
        <v>119</v>
      </c>
      <c r="M1961">
        <v>80.39</v>
      </c>
      <c r="N1961">
        <v>2</v>
      </c>
      <c r="O1961">
        <v>80.680000000000007</v>
      </c>
      <c r="P1961">
        <f t="shared" si="120"/>
        <v>5.0067317401548302E-3</v>
      </c>
      <c r="Q1961">
        <f t="shared" si="120"/>
        <v>0.67554621848739493</v>
      </c>
      <c r="R1961">
        <f t="shared" si="121"/>
        <v>40.195</v>
      </c>
      <c r="S1961">
        <f t="shared" si="122"/>
        <v>1.0036074138574451</v>
      </c>
      <c r="T1961">
        <f t="shared" si="123"/>
        <v>1.680672268907563E-2</v>
      </c>
      <c r="U1961" t="str">
        <f>YEAR('Campaign Data'!$A1961)&amp;"-"&amp;TEXT(MONTH('Campaign Data'!$A1961),"00")</f>
        <v>2026-04</v>
      </c>
    </row>
    <row r="1962" spans="1:21" x14ac:dyDescent="0.25">
      <c r="A1962">
        <v>46129</v>
      </c>
      <c r="B1962" t="s">
        <v>56</v>
      </c>
      <c r="C1962" t="s">
        <v>57</v>
      </c>
      <c r="D1962" t="s">
        <v>58</v>
      </c>
      <c r="E1962" t="s">
        <v>33</v>
      </c>
      <c r="F1962" t="s">
        <v>43</v>
      </c>
      <c r="G1962" t="s">
        <v>59</v>
      </c>
      <c r="H1962" t="s">
        <v>90</v>
      </c>
      <c r="I1962" t="s">
        <v>28</v>
      </c>
      <c r="J1962" t="s">
        <v>87</v>
      </c>
      <c r="K1962">
        <v>35244</v>
      </c>
      <c r="L1962">
        <v>335</v>
      </c>
      <c r="M1962">
        <v>66.94</v>
      </c>
      <c r="N1962">
        <v>1</v>
      </c>
      <c r="O1962">
        <v>5.63</v>
      </c>
      <c r="P1962">
        <f t="shared" si="120"/>
        <v>9.5051639995460228E-3</v>
      </c>
      <c r="Q1962">
        <f t="shared" si="120"/>
        <v>0.19982089552238805</v>
      </c>
      <c r="R1962">
        <f t="shared" si="121"/>
        <v>66.94</v>
      </c>
      <c r="S1962">
        <f t="shared" si="122"/>
        <v>8.4105168807887667E-2</v>
      </c>
      <c r="T1962">
        <f t="shared" si="123"/>
        <v>2.9850746268656717E-3</v>
      </c>
      <c r="U1962" t="str">
        <f>YEAR('Campaign Data'!$A1962)&amp;"-"&amp;TEXT(MONTH('Campaign Data'!$A1962),"00")</f>
        <v>2026-04</v>
      </c>
    </row>
    <row r="1963" spans="1:21" x14ac:dyDescent="0.25">
      <c r="A1963">
        <v>46129</v>
      </c>
      <c r="B1963" t="s">
        <v>116</v>
      </c>
      <c r="C1963" t="s">
        <v>117</v>
      </c>
      <c r="D1963" t="s">
        <v>48</v>
      </c>
      <c r="E1963" t="s">
        <v>24</v>
      </c>
      <c r="F1963" t="s">
        <v>43</v>
      </c>
      <c r="G1963" t="s">
        <v>26</v>
      </c>
      <c r="H1963" t="s">
        <v>90</v>
      </c>
      <c r="I1963" t="s">
        <v>28</v>
      </c>
      <c r="J1963" t="s">
        <v>62</v>
      </c>
      <c r="K1963">
        <v>8978</v>
      </c>
      <c r="L1963">
        <v>178</v>
      </c>
      <c r="M1963">
        <v>47.14</v>
      </c>
      <c r="N1963">
        <v>8</v>
      </c>
      <c r="O1963">
        <v>64.760000000000005</v>
      </c>
      <c r="P1963">
        <f t="shared" si="120"/>
        <v>1.9826241924704835E-2</v>
      </c>
      <c r="Q1963">
        <f t="shared" si="120"/>
        <v>0.2648314606741573</v>
      </c>
      <c r="R1963">
        <f t="shared" si="121"/>
        <v>5.8925000000000001</v>
      </c>
      <c r="S1963">
        <f t="shared" si="122"/>
        <v>1.3737802291047942</v>
      </c>
      <c r="T1963">
        <f t="shared" si="123"/>
        <v>4.49438202247191E-2</v>
      </c>
      <c r="U1963" t="str">
        <f>YEAR('Campaign Data'!$A1963)&amp;"-"&amp;TEXT(MONTH('Campaign Data'!$A1963),"00")</f>
        <v>2026-04</v>
      </c>
    </row>
    <row r="1964" spans="1:21" x14ac:dyDescent="0.25">
      <c r="A1964">
        <v>46129</v>
      </c>
      <c r="B1964" t="s">
        <v>118</v>
      </c>
      <c r="C1964" t="s">
        <v>119</v>
      </c>
      <c r="D1964" t="s">
        <v>69</v>
      </c>
      <c r="E1964" t="s">
        <v>33</v>
      </c>
      <c r="F1964" t="s">
        <v>34</v>
      </c>
      <c r="G1964" t="s">
        <v>35</v>
      </c>
      <c r="H1964" t="s">
        <v>90</v>
      </c>
      <c r="I1964" t="s">
        <v>28</v>
      </c>
      <c r="J1964" t="s">
        <v>45</v>
      </c>
      <c r="K1964">
        <v>15150</v>
      </c>
      <c r="L1964">
        <v>72</v>
      </c>
      <c r="M1964">
        <v>10.57</v>
      </c>
      <c r="N1964">
        <v>1</v>
      </c>
      <c r="O1964">
        <v>31.86</v>
      </c>
      <c r="P1964">
        <f t="shared" si="120"/>
        <v>4.7524752475247524E-3</v>
      </c>
      <c r="Q1964">
        <f t="shared" si="120"/>
        <v>0.14680555555555555</v>
      </c>
      <c r="R1964">
        <f t="shared" si="121"/>
        <v>10.57</v>
      </c>
      <c r="S1964">
        <f t="shared" si="122"/>
        <v>3.0141911069063387</v>
      </c>
      <c r="T1964">
        <f t="shared" si="123"/>
        <v>1.3888888888888888E-2</v>
      </c>
      <c r="U1964" t="str">
        <f>YEAR('Campaign Data'!$A1964)&amp;"-"&amp;TEXT(MONTH('Campaign Data'!$A1964),"00")</f>
        <v>2026-04</v>
      </c>
    </row>
    <row r="1965" spans="1:21" x14ac:dyDescent="0.25">
      <c r="A1965">
        <v>46129</v>
      </c>
      <c r="B1965" t="s">
        <v>163</v>
      </c>
      <c r="C1965" t="s">
        <v>164</v>
      </c>
      <c r="D1965" t="s">
        <v>58</v>
      </c>
      <c r="E1965" t="s">
        <v>42</v>
      </c>
      <c r="F1965" t="s">
        <v>43</v>
      </c>
      <c r="G1965" t="s">
        <v>44</v>
      </c>
      <c r="H1965" t="s">
        <v>55</v>
      </c>
      <c r="I1965" t="s">
        <v>28</v>
      </c>
      <c r="J1965" t="s">
        <v>87</v>
      </c>
      <c r="K1965">
        <v>4457</v>
      </c>
      <c r="L1965">
        <v>18</v>
      </c>
      <c r="M1965">
        <v>71.92</v>
      </c>
      <c r="N1965">
        <v>0</v>
      </c>
      <c r="O1965">
        <v>0</v>
      </c>
      <c r="P1965">
        <f t="shared" si="120"/>
        <v>4.038590980480144E-3</v>
      </c>
      <c r="Q1965">
        <f t="shared" si="120"/>
        <v>3.9955555555555557</v>
      </c>
      <c r="R1965">
        <f t="shared" si="121"/>
        <v>0</v>
      </c>
      <c r="S1965">
        <f t="shared" si="122"/>
        <v>0</v>
      </c>
      <c r="T1965">
        <f t="shared" si="123"/>
        <v>0</v>
      </c>
      <c r="U1965" t="str">
        <f>YEAR('Campaign Data'!$A1965)&amp;"-"&amp;TEXT(MONTH('Campaign Data'!$A1965),"00")</f>
        <v>2026-04</v>
      </c>
    </row>
    <row r="1966" spans="1:21" x14ac:dyDescent="0.25">
      <c r="A1966">
        <v>46129</v>
      </c>
      <c r="B1966" t="s">
        <v>145</v>
      </c>
      <c r="C1966" t="s">
        <v>146</v>
      </c>
      <c r="D1966" t="s">
        <v>41</v>
      </c>
      <c r="E1966" t="s">
        <v>49</v>
      </c>
      <c r="F1966" t="s">
        <v>75</v>
      </c>
      <c r="G1966" t="s">
        <v>70</v>
      </c>
      <c r="H1966" t="s">
        <v>27</v>
      </c>
      <c r="I1966" t="s">
        <v>37</v>
      </c>
      <c r="J1966" t="s">
        <v>38</v>
      </c>
      <c r="K1966">
        <v>6998</v>
      </c>
      <c r="L1966">
        <v>275</v>
      </c>
      <c r="M1966">
        <v>437.59</v>
      </c>
      <c r="N1966">
        <v>11</v>
      </c>
      <c r="O1966">
        <v>371.03</v>
      </c>
      <c r="P1966">
        <f t="shared" si="120"/>
        <v>3.9296941983423837E-2</v>
      </c>
      <c r="Q1966">
        <f t="shared" si="120"/>
        <v>1.5912363636363636</v>
      </c>
      <c r="R1966">
        <f t="shared" si="121"/>
        <v>39.780909090909091</v>
      </c>
      <c r="S1966">
        <f t="shared" si="122"/>
        <v>0.8478941474896593</v>
      </c>
      <c r="T1966">
        <f t="shared" si="123"/>
        <v>0.04</v>
      </c>
      <c r="U1966" t="str">
        <f>YEAR('Campaign Data'!$A1966)&amp;"-"&amp;TEXT(MONTH('Campaign Data'!$A1966),"00")</f>
        <v>2026-04</v>
      </c>
    </row>
    <row r="1967" spans="1:21" x14ac:dyDescent="0.25">
      <c r="A1967">
        <v>46129</v>
      </c>
      <c r="B1967" t="s">
        <v>145</v>
      </c>
      <c r="C1967" t="s">
        <v>146</v>
      </c>
      <c r="D1967" t="s">
        <v>41</v>
      </c>
      <c r="E1967" t="s">
        <v>49</v>
      </c>
      <c r="F1967" t="s">
        <v>75</v>
      </c>
      <c r="G1967" t="s">
        <v>70</v>
      </c>
      <c r="H1967" t="s">
        <v>90</v>
      </c>
      <c r="I1967" t="s">
        <v>37</v>
      </c>
      <c r="J1967" t="s">
        <v>38</v>
      </c>
      <c r="K1967">
        <v>5707</v>
      </c>
      <c r="L1967">
        <v>181</v>
      </c>
      <c r="M1967">
        <v>87.68</v>
      </c>
      <c r="N1967">
        <v>6</v>
      </c>
      <c r="O1967">
        <v>38.520000000000003</v>
      </c>
      <c r="P1967">
        <f t="shared" si="120"/>
        <v>3.1715437182407567E-2</v>
      </c>
      <c r="Q1967">
        <f t="shared" si="120"/>
        <v>0.48441988950276249</v>
      </c>
      <c r="R1967">
        <f t="shared" si="121"/>
        <v>14.613333333333335</v>
      </c>
      <c r="S1967">
        <f t="shared" si="122"/>
        <v>0.4393248175182482</v>
      </c>
      <c r="T1967">
        <f t="shared" si="123"/>
        <v>3.3149171270718231E-2</v>
      </c>
      <c r="U1967" t="str">
        <f>YEAR('Campaign Data'!$A1967)&amp;"-"&amp;TEXT(MONTH('Campaign Data'!$A1967),"00")</f>
        <v>2026-04</v>
      </c>
    </row>
    <row r="1968" spans="1:21" x14ac:dyDescent="0.25">
      <c r="A1968">
        <v>46129</v>
      </c>
      <c r="B1968" t="s">
        <v>120</v>
      </c>
      <c r="C1968" t="s">
        <v>121</v>
      </c>
      <c r="D1968" t="s">
        <v>23</v>
      </c>
      <c r="E1968" t="s">
        <v>49</v>
      </c>
      <c r="F1968" t="s">
        <v>75</v>
      </c>
      <c r="G1968" t="s">
        <v>70</v>
      </c>
      <c r="H1968" t="s">
        <v>90</v>
      </c>
      <c r="I1968" t="s">
        <v>37</v>
      </c>
      <c r="J1968" t="s">
        <v>87</v>
      </c>
      <c r="K1968">
        <v>11740</v>
      </c>
      <c r="L1968">
        <v>601</v>
      </c>
      <c r="M1968">
        <v>231.94</v>
      </c>
      <c r="N1968">
        <v>17</v>
      </c>
      <c r="O1968">
        <v>243.91</v>
      </c>
      <c r="P1968">
        <f t="shared" si="120"/>
        <v>5.1192504258943783E-2</v>
      </c>
      <c r="Q1968">
        <f t="shared" si="120"/>
        <v>0.38592346089850249</v>
      </c>
      <c r="R1968">
        <f t="shared" si="121"/>
        <v>13.643529411764705</v>
      </c>
      <c r="S1968">
        <f t="shared" si="122"/>
        <v>1.0516081745278951</v>
      </c>
      <c r="T1968">
        <f t="shared" si="123"/>
        <v>2.8286189683860232E-2</v>
      </c>
      <c r="U1968" t="str">
        <f>YEAR('Campaign Data'!$A1968)&amp;"-"&amp;TEXT(MONTH('Campaign Data'!$A1968),"00")</f>
        <v>2026-04</v>
      </c>
    </row>
    <row r="1969" spans="1:21" x14ac:dyDescent="0.25">
      <c r="A1969">
        <v>46130</v>
      </c>
      <c r="B1969" t="s">
        <v>175</v>
      </c>
      <c r="C1969" t="s">
        <v>176</v>
      </c>
      <c r="D1969" t="s">
        <v>65</v>
      </c>
      <c r="E1969" t="s">
        <v>49</v>
      </c>
      <c r="F1969" t="s">
        <v>75</v>
      </c>
      <c r="G1969" t="s">
        <v>70</v>
      </c>
      <c r="H1969" t="s">
        <v>36</v>
      </c>
      <c r="I1969" t="s">
        <v>37</v>
      </c>
      <c r="J1969" t="s">
        <v>87</v>
      </c>
      <c r="K1969">
        <v>8196</v>
      </c>
      <c r="L1969">
        <v>369</v>
      </c>
      <c r="M1969">
        <v>693.36</v>
      </c>
      <c r="N1969">
        <v>20</v>
      </c>
      <c r="O1969">
        <v>795.41</v>
      </c>
      <c r="P1969">
        <f t="shared" si="120"/>
        <v>4.5021961932650074E-2</v>
      </c>
      <c r="Q1969">
        <f t="shared" si="120"/>
        <v>1.8790243902439026</v>
      </c>
      <c r="R1969">
        <f t="shared" si="121"/>
        <v>34.667999999999999</v>
      </c>
      <c r="S1969">
        <f t="shared" si="122"/>
        <v>1.1471818391600321</v>
      </c>
      <c r="T1969">
        <f t="shared" si="123"/>
        <v>5.4200542005420058E-2</v>
      </c>
      <c r="U1969" t="str">
        <f>YEAR('Campaign Data'!$A1969)&amp;"-"&amp;TEXT(MONTH('Campaign Data'!$A1969),"00")</f>
        <v>2026-04</v>
      </c>
    </row>
    <row r="1970" spans="1:21" x14ac:dyDescent="0.25">
      <c r="A1970">
        <v>46130</v>
      </c>
      <c r="B1970" t="s">
        <v>147</v>
      </c>
      <c r="C1970" t="s">
        <v>148</v>
      </c>
      <c r="D1970" t="s">
        <v>23</v>
      </c>
      <c r="E1970" t="s">
        <v>42</v>
      </c>
      <c r="F1970" t="s">
        <v>75</v>
      </c>
      <c r="G1970" t="s">
        <v>44</v>
      </c>
      <c r="H1970" t="s">
        <v>36</v>
      </c>
      <c r="I1970" t="s">
        <v>37</v>
      </c>
      <c r="J1970" t="s">
        <v>62</v>
      </c>
      <c r="K1970">
        <v>7676</v>
      </c>
      <c r="L1970">
        <v>27</v>
      </c>
      <c r="M1970">
        <v>128.49</v>
      </c>
      <c r="N1970">
        <v>0</v>
      </c>
      <c r="O1970">
        <v>0</v>
      </c>
      <c r="P1970">
        <f t="shared" si="120"/>
        <v>3.5174570088587808E-3</v>
      </c>
      <c r="Q1970">
        <f t="shared" si="120"/>
        <v>4.7588888888888894</v>
      </c>
      <c r="R1970">
        <f t="shared" si="121"/>
        <v>0</v>
      </c>
      <c r="S1970">
        <f t="shared" si="122"/>
        <v>0</v>
      </c>
      <c r="T1970">
        <f t="shared" si="123"/>
        <v>0</v>
      </c>
      <c r="U1970" t="str">
        <f>YEAR('Campaign Data'!$A1970)&amp;"-"&amp;TEXT(MONTH('Campaign Data'!$A1970),"00")</f>
        <v>2026-04</v>
      </c>
    </row>
    <row r="1971" spans="1:21" x14ac:dyDescent="0.25">
      <c r="A1971">
        <v>46130</v>
      </c>
      <c r="B1971" t="s">
        <v>30</v>
      </c>
      <c r="C1971" t="s">
        <v>31</v>
      </c>
      <c r="D1971" t="s">
        <v>32</v>
      </c>
      <c r="E1971" t="s">
        <v>33</v>
      </c>
      <c r="F1971" t="s">
        <v>34</v>
      </c>
      <c r="G1971" t="s">
        <v>35</v>
      </c>
      <c r="H1971" t="s">
        <v>90</v>
      </c>
      <c r="I1971" t="s">
        <v>61</v>
      </c>
      <c r="J1971" t="s">
        <v>45</v>
      </c>
      <c r="K1971">
        <v>4451</v>
      </c>
      <c r="L1971">
        <v>38</v>
      </c>
      <c r="M1971">
        <v>8.58</v>
      </c>
      <c r="N1971">
        <v>0</v>
      </c>
      <c r="O1971">
        <v>0</v>
      </c>
      <c r="P1971">
        <f t="shared" si="120"/>
        <v>8.5374073241968104E-3</v>
      </c>
      <c r="Q1971">
        <f t="shared" si="120"/>
        <v>0.22578947368421054</v>
      </c>
      <c r="R1971">
        <f t="shared" si="121"/>
        <v>0</v>
      </c>
      <c r="S1971">
        <f t="shared" si="122"/>
        <v>0</v>
      </c>
      <c r="T1971">
        <f t="shared" si="123"/>
        <v>0</v>
      </c>
      <c r="U1971" t="str">
        <f>YEAR('Campaign Data'!$A1971)&amp;"-"&amp;TEXT(MONTH('Campaign Data'!$A1971),"00")</f>
        <v>2026-04</v>
      </c>
    </row>
    <row r="1972" spans="1:21" x14ac:dyDescent="0.25">
      <c r="A1972">
        <v>46130</v>
      </c>
      <c r="B1972" t="s">
        <v>108</v>
      </c>
      <c r="C1972" t="s">
        <v>109</v>
      </c>
      <c r="D1972" t="s">
        <v>58</v>
      </c>
      <c r="E1972" t="s">
        <v>33</v>
      </c>
      <c r="F1972" t="s">
        <v>43</v>
      </c>
      <c r="G1972" t="s">
        <v>59</v>
      </c>
      <c r="H1972" t="s">
        <v>27</v>
      </c>
      <c r="I1972" t="s">
        <v>37</v>
      </c>
      <c r="J1972" t="s">
        <v>38</v>
      </c>
      <c r="K1972">
        <v>10714</v>
      </c>
      <c r="L1972">
        <v>112</v>
      </c>
      <c r="M1972">
        <v>69.63</v>
      </c>
      <c r="N1972">
        <v>1</v>
      </c>
      <c r="O1972">
        <v>42.15</v>
      </c>
      <c r="P1972">
        <f t="shared" si="120"/>
        <v>1.0453612096322569E-2</v>
      </c>
      <c r="Q1972">
        <f t="shared" si="120"/>
        <v>0.62169642857142848</v>
      </c>
      <c r="R1972">
        <f t="shared" si="121"/>
        <v>69.63</v>
      </c>
      <c r="S1972">
        <f t="shared" si="122"/>
        <v>0.60534252477380446</v>
      </c>
      <c r="T1972">
        <f t="shared" si="123"/>
        <v>8.9285714285714281E-3</v>
      </c>
      <c r="U1972" t="str">
        <f>YEAR('Campaign Data'!$A1972)&amp;"-"&amp;TEXT(MONTH('Campaign Data'!$A1972),"00")</f>
        <v>2026-04</v>
      </c>
    </row>
    <row r="1973" spans="1:21" x14ac:dyDescent="0.25">
      <c r="A1973">
        <v>46130</v>
      </c>
      <c r="B1973" t="s">
        <v>130</v>
      </c>
      <c r="C1973" t="s">
        <v>131</v>
      </c>
      <c r="D1973" t="s">
        <v>48</v>
      </c>
      <c r="E1973" t="s">
        <v>33</v>
      </c>
      <c r="F1973" t="s">
        <v>34</v>
      </c>
      <c r="G1973" t="s">
        <v>35</v>
      </c>
      <c r="H1973" t="s">
        <v>27</v>
      </c>
      <c r="I1973" t="s">
        <v>37</v>
      </c>
      <c r="J1973" t="s">
        <v>62</v>
      </c>
      <c r="K1973">
        <v>10659</v>
      </c>
      <c r="L1973">
        <v>27</v>
      </c>
      <c r="M1973">
        <v>18.399999999999999</v>
      </c>
      <c r="N1973">
        <v>0</v>
      </c>
      <c r="O1973">
        <v>0</v>
      </c>
      <c r="P1973">
        <f t="shared" si="120"/>
        <v>2.5330706445257528E-3</v>
      </c>
      <c r="Q1973">
        <f t="shared" si="120"/>
        <v>0.68148148148148147</v>
      </c>
      <c r="R1973">
        <f t="shared" si="121"/>
        <v>0</v>
      </c>
      <c r="S1973">
        <f t="shared" si="122"/>
        <v>0</v>
      </c>
      <c r="T1973">
        <f t="shared" si="123"/>
        <v>0</v>
      </c>
      <c r="U1973" t="str">
        <f>YEAR('Campaign Data'!$A1973)&amp;"-"&amp;TEXT(MONTH('Campaign Data'!$A1973),"00")</f>
        <v>2026-04</v>
      </c>
    </row>
    <row r="1974" spans="1:21" x14ac:dyDescent="0.25">
      <c r="A1974">
        <v>46130</v>
      </c>
      <c r="B1974" t="s">
        <v>153</v>
      </c>
      <c r="C1974" t="s">
        <v>154</v>
      </c>
      <c r="D1974" t="s">
        <v>48</v>
      </c>
      <c r="E1974" t="s">
        <v>33</v>
      </c>
      <c r="F1974" t="s">
        <v>43</v>
      </c>
      <c r="G1974" t="s">
        <v>59</v>
      </c>
      <c r="H1974" t="s">
        <v>36</v>
      </c>
      <c r="I1974" t="s">
        <v>28</v>
      </c>
      <c r="J1974" t="s">
        <v>87</v>
      </c>
      <c r="K1974">
        <v>18422</v>
      </c>
      <c r="L1974">
        <v>204</v>
      </c>
      <c r="M1974">
        <v>148.49</v>
      </c>
      <c r="N1974">
        <v>7</v>
      </c>
      <c r="O1974">
        <v>122.74</v>
      </c>
      <c r="P1974">
        <f t="shared" si="120"/>
        <v>1.1073716208880686E-2</v>
      </c>
      <c r="Q1974">
        <f t="shared" si="120"/>
        <v>0.72789215686274511</v>
      </c>
      <c r="R1974">
        <f t="shared" si="121"/>
        <v>21.212857142857143</v>
      </c>
      <c r="S1974">
        <f t="shared" si="122"/>
        <v>0.82658764899993253</v>
      </c>
      <c r="T1974">
        <f t="shared" si="123"/>
        <v>3.4313725490196081E-2</v>
      </c>
      <c r="U1974" t="str">
        <f>YEAR('Campaign Data'!$A1974)&amp;"-"&amp;TEXT(MONTH('Campaign Data'!$A1974),"00")</f>
        <v>2026-04</v>
      </c>
    </row>
    <row r="1975" spans="1:21" x14ac:dyDescent="0.25">
      <c r="A1975">
        <v>46130</v>
      </c>
      <c r="B1975" t="s">
        <v>179</v>
      </c>
      <c r="C1975" t="s">
        <v>180</v>
      </c>
      <c r="D1975" t="s">
        <v>58</v>
      </c>
      <c r="E1975" t="s">
        <v>42</v>
      </c>
      <c r="F1975" t="s">
        <v>25</v>
      </c>
      <c r="G1975" t="s">
        <v>54</v>
      </c>
      <c r="H1975" t="s">
        <v>90</v>
      </c>
      <c r="I1975" t="s">
        <v>28</v>
      </c>
      <c r="J1975" t="s">
        <v>45</v>
      </c>
      <c r="K1975">
        <v>17958</v>
      </c>
      <c r="L1975">
        <v>147</v>
      </c>
      <c r="M1975">
        <v>238.2</v>
      </c>
      <c r="N1975">
        <v>2</v>
      </c>
      <c r="O1975">
        <v>92.12</v>
      </c>
      <c r="P1975">
        <f t="shared" si="120"/>
        <v>8.1857667891747418E-3</v>
      </c>
      <c r="Q1975">
        <f t="shared" si="120"/>
        <v>1.620408163265306</v>
      </c>
      <c r="R1975">
        <f t="shared" si="121"/>
        <v>119.1</v>
      </c>
      <c r="S1975">
        <f t="shared" si="122"/>
        <v>0.38673383711167092</v>
      </c>
      <c r="T1975">
        <f t="shared" si="123"/>
        <v>1.3605442176870748E-2</v>
      </c>
      <c r="U1975" t="str">
        <f>YEAR('Campaign Data'!$A1975)&amp;"-"&amp;TEXT(MONTH('Campaign Data'!$A1975),"00")</f>
        <v>2026-04</v>
      </c>
    </row>
    <row r="1976" spans="1:21" x14ac:dyDescent="0.25">
      <c r="A1976">
        <v>46130</v>
      </c>
      <c r="B1976" t="s">
        <v>179</v>
      </c>
      <c r="C1976" t="s">
        <v>180</v>
      </c>
      <c r="D1976" t="s">
        <v>58</v>
      </c>
      <c r="E1976" t="s">
        <v>42</v>
      </c>
      <c r="F1976" t="s">
        <v>25</v>
      </c>
      <c r="G1976" t="s">
        <v>54</v>
      </c>
      <c r="H1976" t="s">
        <v>90</v>
      </c>
      <c r="I1976" t="s">
        <v>28</v>
      </c>
      <c r="J1976" t="s">
        <v>38</v>
      </c>
      <c r="K1976">
        <v>4133</v>
      </c>
      <c r="L1976">
        <v>19</v>
      </c>
      <c r="M1976">
        <v>20.32</v>
      </c>
      <c r="N1976">
        <v>0</v>
      </c>
      <c r="O1976">
        <v>0</v>
      </c>
      <c r="P1976">
        <f t="shared" si="120"/>
        <v>4.5971449310428262E-3</v>
      </c>
      <c r="Q1976">
        <f t="shared" si="120"/>
        <v>1.0694736842105264</v>
      </c>
      <c r="R1976">
        <f t="shared" si="121"/>
        <v>0</v>
      </c>
      <c r="S1976">
        <f t="shared" si="122"/>
        <v>0</v>
      </c>
      <c r="T1976">
        <f t="shared" si="123"/>
        <v>0</v>
      </c>
      <c r="U1976" t="str">
        <f>YEAR('Campaign Data'!$A1976)&amp;"-"&amp;TEXT(MONTH('Campaign Data'!$A1976),"00")</f>
        <v>2026-04</v>
      </c>
    </row>
    <row r="1977" spans="1:21" x14ac:dyDescent="0.25">
      <c r="A1977">
        <v>46130</v>
      </c>
      <c r="B1977" t="s">
        <v>140</v>
      </c>
      <c r="C1977" t="s">
        <v>40</v>
      </c>
      <c r="D1977" t="s">
        <v>41</v>
      </c>
      <c r="E1977" t="s">
        <v>42</v>
      </c>
      <c r="F1977" t="s">
        <v>43</v>
      </c>
      <c r="G1977" t="s">
        <v>44</v>
      </c>
      <c r="H1977" t="s">
        <v>90</v>
      </c>
      <c r="I1977" t="s">
        <v>37</v>
      </c>
      <c r="J1977" t="s">
        <v>62</v>
      </c>
      <c r="K1977">
        <v>5993</v>
      </c>
      <c r="L1977">
        <v>55</v>
      </c>
      <c r="M1977">
        <v>65.83</v>
      </c>
      <c r="N1977">
        <v>2</v>
      </c>
      <c r="O1977">
        <v>17.59</v>
      </c>
      <c r="P1977">
        <f t="shared" si="120"/>
        <v>9.1773736025362925E-3</v>
      </c>
      <c r="Q1977">
        <f t="shared" si="120"/>
        <v>1.1969090909090909</v>
      </c>
      <c r="R1977">
        <f t="shared" si="121"/>
        <v>32.914999999999999</v>
      </c>
      <c r="S1977">
        <f t="shared" si="122"/>
        <v>0.26720340270393439</v>
      </c>
      <c r="T1977">
        <f t="shared" si="123"/>
        <v>3.6363636363636362E-2</v>
      </c>
      <c r="U1977" t="str">
        <f>YEAR('Campaign Data'!$A1977)&amp;"-"&amp;TEXT(MONTH('Campaign Data'!$A1977),"00")</f>
        <v>2026-04</v>
      </c>
    </row>
    <row r="1978" spans="1:21" x14ac:dyDescent="0.25">
      <c r="A1978">
        <v>46130</v>
      </c>
      <c r="B1978" t="s">
        <v>155</v>
      </c>
      <c r="C1978" t="s">
        <v>156</v>
      </c>
      <c r="D1978" t="s">
        <v>32</v>
      </c>
      <c r="E1978" t="s">
        <v>24</v>
      </c>
      <c r="F1978" t="s">
        <v>34</v>
      </c>
      <c r="G1978" t="s">
        <v>129</v>
      </c>
      <c r="H1978" t="s">
        <v>90</v>
      </c>
      <c r="I1978" t="s">
        <v>28</v>
      </c>
      <c r="J1978" t="s">
        <v>62</v>
      </c>
      <c r="K1978">
        <v>4594</v>
      </c>
      <c r="L1978">
        <v>70</v>
      </c>
      <c r="M1978">
        <v>25.73</v>
      </c>
      <c r="N1978">
        <v>2</v>
      </c>
      <c r="O1978">
        <v>53.02</v>
      </c>
      <c r="P1978">
        <f t="shared" si="120"/>
        <v>1.5237265999129298E-2</v>
      </c>
      <c r="Q1978">
        <f t="shared" si="120"/>
        <v>0.3675714285714286</v>
      </c>
      <c r="R1978">
        <f t="shared" si="121"/>
        <v>12.865</v>
      </c>
      <c r="S1978">
        <f t="shared" si="122"/>
        <v>2.060629615235134</v>
      </c>
      <c r="T1978">
        <f t="shared" si="123"/>
        <v>2.8571428571428571E-2</v>
      </c>
      <c r="U1978" t="str">
        <f>YEAR('Campaign Data'!$A1978)&amp;"-"&amp;TEXT(MONTH('Campaign Data'!$A1978),"00")</f>
        <v>2026-04</v>
      </c>
    </row>
    <row r="1979" spans="1:21" x14ac:dyDescent="0.25">
      <c r="A1979">
        <v>46130</v>
      </c>
      <c r="B1979" t="s">
        <v>159</v>
      </c>
      <c r="C1979" t="s">
        <v>160</v>
      </c>
      <c r="D1979" t="s">
        <v>65</v>
      </c>
      <c r="E1979" t="s">
        <v>42</v>
      </c>
      <c r="F1979" t="s">
        <v>75</v>
      </c>
      <c r="G1979" t="s">
        <v>54</v>
      </c>
      <c r="H1979" t="s">
        <v>90</v>
      </c>
      <c r="I1979" t="s">
        <v>37</v>
      </c>
      <c r="J1979" t="s">
        <v>38</v>
      </c>
      <c r="K1979">
        <v>10854</v>
      </c>
      <c r="L1979">
        <v>94</v>
      </c>
      <c r="M1979">
        <v>105.09</v>
      </c>
      <c r="N1979">
        <v>2</v>
      </c>
      <c r="O1979">
        <v>17.239999999999998</v>
      </c>
      <c r="P1979">
        <f t="shared" si="120"/>
        <v>8.6604016952275664E-3</v>
      </c>
      <c r="Q1979">
        <f t="shared" si="120"/>
        <v>1.1179787234042553</v>
      </c>
      <c r="R1979">
        <f t="shared" si="121"/>
        <v>52.545000000000002</v>
      </c>
      <c r="S1979">
        <f t="shared" si="122"/>
        <v>0.16404986202302785</v>
      </c>
      <c r="T1979">
        <f t="shared" si="123"/>
        <v>2.1276595744680851E-2</v>
      </c>
      <c r="U1979" t="str">
        <f>YEAR('Campaign Data'!$A1979)&amp;"-"&amp;TEXT(MONTH('Campaign Data'!$A1979),"00")</f>
        <v>2026-04</v>
      </c>
    </row>
    <row r="1980" spans="1:21" x14ac:dyDescent="0.25">
      <c r="A1980">
        <v>46130</v>
      </c>
      <c r="B1980" t="s">
        <v>56</v>
      </c>
      <c r="C1980" t="s">
        <v>57</v>
      </c>
      <c r="D1980" t="s">
        <v>58</v>
      </c>
      <c r="E1980" t="s">
        <v>33</v>
      </c>
      <c r="F1980" t="s">
        <v>43</v>
      </c>
      <c r="G1980" t="s">
        <v>59</v>
      </c>
      <c r="H1980" t="s">
        <v>36</v>
      </c>
      <c r="I1980" t="s">
        <v>37</v>
      </c>
      <c r="J1980" t="s">
        <v>62</v>
      </c>
      <c r="K1980">
        <v>2677</v>
      </c>
      <c r="L1980">
        <v>15</v>
      </c>
      <c r="M1980">
        <v>9.66</v>
      </c>
      <c r="N1980">
        <v>0</v>
      </c>
      <c r="O1980">
        <v>0</v>
      </c>
      <c r="P1980">
        <f t="shared" si="120"/>
        <v>5.6032872618602915E-3</v>
      </c>
      <c r="Q1980">
        <f t="shared" si="120"/>
        <v>0.64400000000000002</v>
      </c>
      <c r="R1980">
        <f t="shared" si="121"/>
        <v>0</v>
      </c>
      <c r="S1980">
        <f t="shared" si="122"/>
        <v>0</v>
      </c>
      <c r="T1980">
        <f t="shared" si="123"/>
        <v>0</v>
      </c>
      <c r="U1980" t="str">
        <f>YEAR('Campaign Data'!$A1980)&amp;"-"&amp;TEXT(MONTH('Campaign Data'!$A1980),"00")</f>
        <v>2026-04</v>
      </c>
    </row>
    <row r="1981" spans="1:21" x14ac:dyDescent="0.25">
      <c r="A1981">
        <v>46130</v>
      </c>
      <c r="B1981" t="s">
        <v>63</v>
      </c>
      <c r="C1981" t="s">
        <v>64</v>
      </c>
      <c r="D1981" t="s">
        <v>65</v>
      </c>
      <c r="E1981" t="s">
        <v>24</v>
      </c>
      <c r="F1981" t="s">
        <v>43</v>
      </c>
      <c r="G1981" t="s">
        <v>66</v>
      </c>
      <c r="H1981" t="s">
        <v>27</v>
      </c>
      <c r="I1981" t="s">
        <v>37</v>
      </c>
      <c r="J1981" t="s">
        <v>87</v>
      </c>
      <c r="K1981">
        <v>4148</v>
      </c>
      <c r="L1981">
        <v>57</v>
      </c>
      <c r="M1981">
        <v>33.93</v>
      </c>
      <c r="N1981">
        <v>0</v>
      </c>
      <c r="O1981">
        <v>0</v>
      </c>
      <c r="P1981">
        <f t="shared" si="120"/>
        <v>1.3741562198649951E-2</v>
      </c>
      <c r="Q1981">
        <f t="shared" si="120"/>
        <v>0.59526315789473683</v>
      </c>
      <c r="R1981">
        <f t="shared" si="121"/>
        <v>0</v>
      </c>
      <c r="S1981">
        <f t="shared" si="122"/>
        <v>0</v>
      </c>
      <c r="T1981">
        <f t="shared" si="123"/>
        <v>0</v>
      </c>
      <c r="U1981" t="str">
        <f>YEAR('Campaign Data'!$A1981)&amp;"-"&amp;TEXT(MONTH('Campaign Data'!$A1981),"00")</f>
        <v>2026-04</v>
      </c>
    </row>
    <row r="1982" spans="1:21" x14ac:dyDescent="0.25">
      <c r="A1982">
        <v>46130</v>
      </c>
      <c r="B1982" t="s">
        <v>67</v>
      </c>
      <c r="C1982" t="s">
        <v>68</v>
      </c>
      <c r="D1982" t="s">
        <v>69</v>
      </c>
      <c r="E1982" t="s">
        <v>49</v>
      </c>
      <c r="F1982" t="s">
        <v>34</v>
      </c>
      <c r="G1982" t="s">
        <v>70</v>
      </c>
      <c r="H1982" t="s">
        <v>36</v>
      </c>
      <c r="I1982" t="s">
        <v>37</v>
      </c>
      <c r="J1982" t="s">
        <v>29</v>
      </c>
      <c r="K1982">
        <v>5931</v>
      </c>
      <c r="L1982">
        <v>298</v>
      </c>
      <c r="M1982">
        <v>533.03</v>
      </c>
      <c r="N1982">
        <v>14</v>
      </c>
      <c r="O1982">
        <v>1533.52</v>
      </c>
      <c r="P1982">
        <f t="shared" si="120"/>
        <v>5.0244478165570733E-2</v>
      </c>
      <c r="Q1982">
        <f t="shared" si="120"/>
        <v>1.788691275167785</v>
      </c>
      <c r="R1982">
        <f t="shared" si="121"/>
        <v>38.073571428571427</v>
      </c>
      <c r="S1982">
        <f t="shared" si="122"/>
        <v>2.8769862859501343</v>
      </c>
      <c r="T1982">
        <f t="shared" si="123"/>
        <v>4.6979865771812082E-2</v>
      </c>
      <c r="U1982" t="str">
        <f>YEAR('Campaign Data'!$A1982)&amp;"-"&amp;TEXT(MONTH('Campaign Data'!$A1982),"00")</f>
        <v>2026-04</v>
      </c>
    </row>
    <row r="1983" spans="1:21" x14ac:dyDescent="0.25">
      <c r="A1983">
        <v>46130</v>
      </c>
      <c r="B1983" t="s">
        <v>67</v>
      </c>
      <c r="C1983" t="s">
        <v>68</v>
      </c>
      <c r="D1983" t="s">
        <v>69</v>
      </c>
      <c r="E1983" t="s">
        <v>49</v>
      </c>
      <c r="F1983" t="s">
        <v>34</v>
      </c>
      <c r="G1983" t="s">
        <v>70</v>
      </c>
      <c r="H1983" t="s">
        <v>27</v>
      </c>
      <c r="I1983" t="s">
        <v>37</v>
      </c>
      <c r="J1983" t="s">
        <v>29</v>
      </c>
      <c r="K1983">
        <v>16857</v>
      </c>
      <c r="L1983">
        <v>438</v>
      </c>
      <c r="M1983">
        <v>902.57</v>
      </c>
      <c r="N1983">
        <v>28</v>
      </c>
      <c r="O1983">
        <v>4845.79</v>
      </c>
      <c r="P1983">
        <f t="shared" si="120"/>
        <v>2.5983271044669871E-2</v>
      </c>
      <c r="Q1983">
        <f t="shared" si="120"/>
        <v>2.060662100456621</v>
      </c>
      <c r="R1983">
        <f t="shared" si="121"/>
        <v>32.234642857142859</v>
      </c>
      <c r="S1983">
        <f t="shared" si="122"/>
        <v>5.3688799760683379</v>
      </c>
      <c r="T1983">
        <f t="shared" si="123"/>
        <v>6.3926940639269403E-2</v>
      </c>
      <c r="U1983" t="str">
        <f>YEAR('Campaign Data'!$A1983)&amp;"-"&amp;TEXT(MONTH('Campaign Data'!$A1983),"00")</f>
        <v>2026-04</v>
      </c>
    </row>
    <row r="1984" spans="1:21" x14ac:dyDescent="0.25">
      <c r="A1984">
        <v>46130</v>
      </c>
      <c r="B1984" t="s">
        <v>163</v>
      </c>
      <c r="C1984" t="s">
        <v>164</v>
      </c>
      <c r="D1984" t="s">
        <v>58</v>
      </c>
      <c r="E1984" t="s">
        <v>42</v>
      </c>
      <c r="F1984" t="s">
        <v>43</v>
      </c>
      <c r="G1984" t="s">
        <v>44</v>
      </c>
      <c r="H1984" t="s">
        <v>27</v>
      </c>
      <c r="I1984" t="s">
        <v>28</v>
      </c>
      <c r="J1984" t="s">
        <v>87</v>
      </c>
      <c r="K1984">
        <v>8723</v>
      </c>
      <c r="L1984">
        <v>38</v>
      </c>
      <c r="M1984">
        <v>218.86</v>
      </c>
      <c r="N1984">
        <v>2</v>
      </c>
      <c r="O1984">
        <v>47.65</v>
      </c>
      <c r="P1984">
        <f t="shared" si="120"/>
        <v>4.3562994382666514E-3</v>
      </c>
      <c r="Q1984">
        <f t="shared" si="120"/>
        <v>5.7594736842105263</v>
      </c>
      <c r="R1984">
        <f t="shared" si="121"/>
        <v>109.43</v>
      </c>
      <c r="S1984">
        <f t="shared" si="122"/>
        <v>0.21771908982911448</v>
      </c>
      <c r="T1984">
        <f t="shared" si="123"/>
        <v>5.2631578947368418E-2</v>
      </c>
      <c r="U1984" t="str">
        <f>YEAR('Campaign Data'!$A1984)&amp;"-"&amp;TEXT(MONTH('Campaign Data'!$A1984),"00")</f>
        <v>2026-04</v>
      </c>
    </row>
    <row r="1985" spans="1:21" x14ac:dyDescent="0.25">
      <c r="A1985">
        <v>46131</v>
      </c>
      <c r="B1985" t="s">
        <v>138</v>
      </c>
      <c r="C1985" t="s">
        <v>139</v>
      </c>
      <c r="D1985" t="s">
        <v>58</v>
      </c>
      <c r="E1985" t="s">
        <v>74</v>
      </c>
      <c r="F1985" t="s">
        <v>34</v>
      </c>
      <c r="G1985" t="s">
        <v>9</v>
      </c>
      <c r="H1985" t="s">
        <v>90</v>
      </c>
      <c r="I1985" t="s">
        <v>37</v>
      </c>
      <c r="J1985" t="s">
        <v>62</v>
      </c>
      <c r="K1985">
        <v>1182</v>
      </c>
      <c r="L1985">
        <v>56</v>
      </c>
      <c r="M1985">
        <v>18.899999999999999</v>
      </c>
      <c r="N1985">
        <v>5</v>
      </c>
      <c r="O1985">
        <v>194.57</v>
      </c>
      <c r="P1985">
        <f t="shared" si="120"/>
        <v>4.7377326565143825E-2</v>
      </c>
      <c r="Q1985">
        <f t="shared" si="120"/>
        <v>0.33749999999999997</v>
      </c>
      <c r="R1985">
        <f t="shared" si="121"/>
        <v>3.78</v>
      </c>
      <c r="S1985">
        <f t="shared" si="122"/>
        <v>10.294708994708994</v>
      </c>
      <c r="T1985">
        <f t="shared" si="123"/>
        <v>8.9285714285714288E-2</v>
      </c>
      <c r="U1985" t="str">
        <f>YEAR('Campaign Data'!$A1985)&amp;"-"&amp;TEXT(MONTH('Campaign Data'!$A1985),"00")</f>
        <v>2026-04</v>
      </c>
    </row>
    <row r="1986" spans="1:21" x14ac:dyDescent="0.25">
      <c r="A1986">
        <v>46131</v>
      </c>
      <c r="B1986" t="s">
        <v>177</v>
      </c>
      <c r="C1986" t="s">
        <v>178</v>
      </c>
      <c r="D1986" t="s">
        <v>41</v>
      </c>
      <c r="E1986" t="s">
        <v>49</v>
      </c>
      <c r="F1986" t="s">
        <v>34</v>
      </c>
      <c r="G1986" t="s">
        <v>107</v>
      </c>
      <c r="H1986" t="s">
        <v>60</v>
      </c>
      <c r="I1986" t="s">
        <v>37</v>
      </c>
      <c r="J1986" t="s">
        <v>29</v>
      </c>
      <c r="K1986">
        <v>4628</v>
      </c>
      <c r="L1986">
        <v>266</v>
      </c>
      <c r="M1986">
        <v>235.93</v>
      </c>
      <c r="N1986">
        <v>22</v>
      </c>
      <c r="O1986">
        <v>2123.66</v>
      </c>
      <c r="P1986">
        <f t="shared" ref="P1986:Q2049" si="124">IF(K1986=0,0,L1986/K1986)</f>
        <v>5.7476231633535005E-2</v>
      </c>
      <c r="Q1986">
        <f t="shared" si="124"/>
        <v>0.88695488721804516</v>
      </c>
      <c r="R1986">
        <f t="shared" ref="R1986:R2049" si="125">IF(N1986=0,0,M1986/N1986)</f>
        <v>10.72409090909091</v>
      </c>
      <c r="S1986">
        <f t="shared" ref="S1986:S2049" si="126">IF(M1986=0,0,O1986/M1986)</f>
        <v>9.0012291781460601</v>
      </c>
      <c r="T1986">
        <f t="shared" ref="T1986:T2049" si="127">IF(L1986=0,0,N1986/L1986)</f>
        <v>8.2706766917293228E-2</v>
      </c>
      <c r="U1986" t="str">
        <f>YEAR('Campaign Data'!$A1986)&amp;"-"&amp;TEXT(MONTH('Campaign Data'!$A1986),"00")</f>
        <v>2026-04</v>
      </c>
    </row>
    <row r="1987" spans="1:21" x14ac:dyDescent="0.25">
      <c r="A1987">
        <v>46131</v>
      </c>
      <c r="B1987" t="s">
        <v>153</v>
      </c>
      <c r="C1987" t="s">
        <v>154</v>
      </c>
      <c r="D1987" t="s">
        <v>48</v>
      </c>
      <c r="E1987" t="s">
        <v>33</v>
      </c>
      <c r="F1987" t="s">
        <v>43</v>
      </c>
      <c r="G1987" t="s">
        <v>59</v>
      </c>
      <c r="H1987" t="s">
        <v>27</v>
      </c>
      <c r="I1987" t="s">
        <v>61</v>
      </c>
      <c r="J1987" t="s">
        <v>29</v>
      </c>
      <c r="K1987">
        <v>11376</v>
      </c>
      <c r="L1987">
        <v>86</v>
      </c>
      <c r="M1987">
        <v>64.69</v>
      </c>
      <c r="N1987">
        <v>2</v>
      </c>
      <c r="O1987">
        <v>60.3</v>
      </c>
      <c r="P1987">
        <f t="shared" si="124"/>
        <v>7.5597749648382562E-3</v>
      </c>
      <c r="Q1987">
        <f t="shared" si="124"/>
        <v>0.75220930232558136</v>
      </c>
      <c r="R1987">
        <f t="shared" si="125"/>
        <v>32.344999999999999</v>
      </c>
      <c r="S1987">
        <f t="shared" si="126"/>
        <v>0.93213788839078682</v>
      </c>
      <c r="T1987">
        <f t="shared" si="127"/>
        <v>2.3255813953488372E-2</v>
      </c>
      <c r="U1987" t="str">
        <f>YEAR('Campaign Data'!$A1987)&amp;"-"&amp;TEXT(MONTH('Campaign Data'!$A1987),"00")</f>
        <v>2026-04</v>
      </c>
    </row>
    <row r="1988" spans="1:21" x14ac:dyDescent="0.25">
      <c r="A1988">
        <v>46131</v>
      </c>
      <c r="B1988" t="s">
        <v>153</v>
      </c>
      <c r="C1988" t="s">
        <v>154</v>
      </c>
      <c r="D1988" t="s">
        <v>48</v>
      </c>
      <c r="E1988" t="s">
        <v>33</v>
      </c>
      <c r="F1988" t="s">
        <v>43</v>
      </c>
      <c r="G1988" t="s">
        <v>59</v>
      </c>
      <c r="H1988" t="s">
        <v>36</v>
      </c>
      <c r="I1988" t="s">
        <v>28</v>
      </c>
      <c r="J1988" t="s">
        <v>38</v>
      </c>
      <c r="K1988">
        <v>12547</v>
      </c>
      <c r="L1988">
        <v>105</v>
      </c>
      <c r="M1988">
        <v>43.14</v>
      </c>
      <c r="N1988">
        <v>4</v>
      </c>
      <c r="O1988">
        <v>124.12</v>
      </c>
      <c r="P1988">
        <f t="shared" si="124"/>
        <v>8.3685343109906746E-3</v>
      </c>
      <c r="Q1988">
        <f t="shared" si="124"/>
        <v>0.41085714285714287</v>
      </c>
      <c r="R1988">
        <f t="shared" si="125"/>
        <v>10.785</v>
      </c>
      <c r="S1988">
        <f t="shared" si="126"/>
        <v>2.8771441817338896</v>
      </c>
      <c r="T1988">
        <f t="shared" si="127"/>
        <v>3.8095238095238099E-2</v>
      </c>
      <c r="U1988" t="str">
        <f>YEAR('Campaign Data'!$A1988)&amp;"-"&amp;TEXT(MONTH('Campaign Data'!$A1988),"00")</f>
        <v>2026-04</v>
      </c>
    </row>
    <row r="1989" spans="1:21" x14ac:dyDescent="0.25">
      <c r="A1989">
        <v>46131</v>
      </c>
      <c r="B1989" t="s">
        <v>179</v>
      </c>
      <c r="C1989" t="s">
        <v>180</v>
      </c>
      <c r="D1989" t="s">
        <v>58</v>
      </c>
      <c r="E1989" t="s">
        <v>42</v>
      </c>
      <c r="F1989" t="s">
        <v>25</v>
      </c>
      <c r="G1989" t="s">
        <v>54</v>
      </c>
      <c r="H1989" t="s">
        <v>90</v>
      </c>
      <c r="I1989" t="s">
        <v>37</v>
      </c>
      <c r="J1989" t="s">
        <v>45</v>
      </c>
      <c r="K1989">
        <v>1952</v>
      </c>
      <c r="L1989">
        <v>9</v>
      </c>
      <c r="M1989">
        <v>15.72</v>
      </c>
      <c r="N1989">
        <v>0</v>
      </c>
      <c r="O1989">
        <v>0</v>
      </c>
      <c r="P1989">
        <f t="shared" si="124"/>
        <v>4.6106557377049179E-3</v>
      </c>
      <c r="Q1989">
        <f t="shared" si="124"/>
        <v>1.7466666666666668</v>
      </c>
      <c r="R1989">
        <f t="shared" si="125"/>
        <v>0</v>
      </c>
      <c r="S1989">
        <f t="shared" si="126"/>
        <v>0</v>
      </c>
      <c r="T1989">
        <f t="shared" si="127"/>
        <v>0</v>
      </c>
      <c r="U1989" t="str">
        <f>YEAR('Campaign Data'!$A1989)&amp;"-"&amp;TEXT(MONTH('Campaign Data'!$A1989),"00")</f>
        <v>2026-04</v>
      </c>
    </row>
    <row r="1990" spans="1:21" x14ac:dyDescent="0.25">
      <c r="A1990">
        <v>46131</v>
      </c>
      <c r="B1990" t="s">
        <v>171</v>
      </c>
      <c r="C1990" t="s">
        <v>172</v>
      </c>
      <c r="D1990" t="s">
        <v>23</v>
      </c>
      <c r="E1990" t="s">
        <v>33</v>
      </c>
      <c r="F1990" t="s">
        <v>75</v>
      </c>
      <c r="G1990" t="s">
        <v>59</v>
      </c>
      <c r="H1990" t="s">
        <v>51</v>
      </c>
      <c r="I1990" t="s">
        <v>61</v>
      </c>
      <c r="J1990" t="s">
        <v>38</v>
      </c>
      <c r="K1990">
        <v>26286</v>
      </c>
      <c r="L1990">
        <v>187</v>
      </c>
      <c r="M1990">
        <v>134.18</v>
      </c>
      <c r="N1990">
        <v>2</v>
      </c>
      <c r="O1990">
        <v>56.56</v>
      </c>
      <c r="P1990">
        <f t="shared" si="124"/>
        <v>7.1140531081183896E-3</v>
      </c>
      <c r="Q1990">
        <f t="shared" si="124"/>
        <v>0.71754010695187165</v>
      </c>
      <c r="R1990">
        <f t="shared" si="125"/>
        <v>67.09</v>
      </c>
      <c r="S1990">
        <f t="shared" si="126"/>
        <v>0.4215233268743479</v>
      </c>
      <c r="T1990">
        <f t="shared" si="127"/>
        <v>1.06951871657754E-2</v>
      </c>
      <c r="U1990" t="str">
        <f>YEAR('Campaign Data'!$A1990)&amp;"-"&amp;TEXT(MONTH('Campaign Data'!$A1990),"00")</f>
        <v>2026-04</v>
      </c>
    </row>
    <row r="1991" spans="1:21" x14ac:dyDescent="0.25">
      <c r="A1991">
        <v>46131</v>
      </c>
      <c r="B1991" t="s">
        <v>155</v>
      </c>
      <c r="C1991" t="s">
        <v>156</v>
      </c>
      <c r="D1991" t="s">
        <v>32</v>
      </c>
      <c r="E1991" t="s">
        <v>24</v>
      </c>
      <c r="F1991" t="s">
        <v>34</v>
      </c>
      <c r="G1991" t="s">
        <v>129</v>
      </c>
      <c r="H1991" t="s">
        <v>27</v>
      </c>
      <c r="I1991" t="s">
        <v>28</v>
      </c>
      <c r="J1991" t="s">
        <v>38</v>
      </c>
      <c r="K1991">
        <v>15536</v>
      </c>
      <c r="L1991">
        <v>144</v>
      </c>
      <c r="M1991">
        <v>160.53</v>
      </c>
      <c r="N1991">
        <v>3</v>
      </c>
      <c r="O1991">
        <v>740.23</v>
      </c>
      <c r="P1991">
        <f t="shared" si="124"/>
        <v>9.2687950566426366E-3</v>
      </c>
      <c r="Q1991">
        <f t="shared" si="124"/>
        <v>1.1147916666666666</v>
      </c>
      <c r="R1991">
        <f t="shared" si="125"/>
        <v>53.51</v>
      </c>
      <c r="S1991">
        <f t="shared" si="126"/>
        <v>4.6111630224880082</v>
      </c>
      <c r="T1991">
        <f t="shared" si="127"/>
        <v>2.0833333333333332E-2</v>
      </c>
      <c r="U1991" t="str">
        <f>YEAR('Campaign Data'!$A1991)&amp;"-"&amp;TEXT(MONTH('Campaign Data'!$A1991),"00")</f>
        <v>2026-04</v>
      </c>
    </row>
    <row r="1992" spans="1:21" x14ac:dyDescent="0.25">
      <c r="A1992">
        <v>46131</v>
      </c>
      <c r="B1992" t="s">
        <v>134</v>
      </c>
      <c r="C1992" t="s">
        <v>135</v>
      </c>
      <c r="D1992" t="s">
        <v>32</v>
      </c>
      <c r="E1992" t="s">
        <v>74</v>
      </c>
      <c r="F1992" t="s">
        <v>25</v>
      </c>
      <c r="G1992" t="s">
        <v>107</v>
      </c>
      <c r="H1992" t="s">
        <v>60</v>
      </c>
      <c r="I1992" t="s">
        <v>28</v>
      </c>
      <c r="J1992" t="s">
        <v>62</v>
      </c>
      <c r="K1992">
        <v>3166</v>
      </c>
      <c r="L1992">
        <v>164</v>
      </c>
      <c r="M1992">
        <v>211.29</v>
      </c>
      <c r="N1992">
        <v>3</v>
      </c>
      <c r="O1992">
        <v>334.35</v>
      </c>
      <c r="P1992">
        <f t="shared" si="124"/>
        <v>5.1800379027163612E-2</v>
      </c>
      <c r="Q1992">
        <f t="shared" si="124"/>
        <v>1.2883536585365853</v>
      </c>
      <c r="R1992">
        <f t="shared" si="125"/>
        <v>70.429999999999993</v>
      </c>
      <c r="S1992">
        <f t="shared" si="126"/>
        <v>1.5824222632400968</v>
      </c>
      <c r="T1992">
        <f t="shared" si="127"/>
        <v>1.8292682926829267E-2</v>
      </c>
      <c r="U1992" t="str">
        <f>YEAR('Campaign Data'!$A1992)&amp;"-"&amp;TEXT(MONTH('Campaign Data'!$A1992),"00")</f>
        <v>2026-04</v>
      </c>
    </row>
    <row r="1993" spans="1:21" x14ac:dyDescent="0.25">
      <c r="A1993">
        <v>46131</v>
      </c>
      <c r="B1993" t="s">
        <v>157</v>
      </c>
      <c r="C1993" t="s">
        <v>158</v>
      </c>
      <c r="D1993" t="s">
        <v>58</v>
      </c>
      <c r="E1993" t="s">
        <v>49</v>
      </c>
      <c r="F1993" t="s">
        <v>81</v>
      </c>
      <c r="G1993" t="s">
        <v>50</v>
      </c>
      <c r="H1993" t="s">
        <v>90</v>
      </c>
      <c r="I1993" t="s">
        <v>37</v>
      </c>
      <c r="J1993" t="s">
        <v>87</v>
      </c>
      <c r="K1993">
        <v>17299</v>
      </c>
      <c r="L1993">
        <v>652</v>
      </c>
      <c r="M1993">
        <v>284.63</v>
      </c>
      <c r="N1993">
        <v>34</v>
      </c>
      <c r="O1993">
        <v>170</v>
      </c>
      <c r="P1993">
        <f t="shared" si="124"/>
        <v>3.7690039886698654E-2</v>
      </c>
      <c r="Q1993">
        <f t="shared" si="124"/>
        <v>0.43654907975460122</v>
      </c>
      <c r="R1993">
        <f t="shared" si="125"/>
        <v>8.3714705882352938</v>
      </c>
      <c r="S1993">
        <f t="shared" si="126"/>
        <v>0.59726662684889154</v>
      </c>
      <c r="T1993">
        <f t="shared" si="127"/>
        <v>5.2147239263803678E-2</v>
      </c>
      <c r="U1993" t="str">
        <f>YEAR('Campaign Data'!$A1993)&amp;"-"&amp;TEXT(MONTH('Campaign Data'!$A1993),"00")</f>
        <v>2026-04</v>
      </c>
    </row>
    <row r="1994" spans="1:21" x14ac:dyDescent="0.25">
      <c r="A1994">
        <v>46131</v>
      </c>
      <c r="B1994" t="s">
        <v>112</v>
      </c>
      <c r="C1994" t="s">
        <v>113</v>
      </c>
      <c r="D1994" t="s">
        <v>32</v>
      </c>
      <c r="E1994" t="s">
        <v>24</v>
      </c>
      <c r="F1994" t="s">
        <v>75</v>
      </c>
      <c r="G1994" t="s">
        <v>66</v>
      </c>
      <c r="H1994" t="s">
        <v>90</v>
      </c>
      <c r="I1994" t="s">
        <v>37</v>
      </c>
      <c r="J1994" t="s">
        <v>87</v>
      </c>
      <c r="K1994">
        <v>4567</v>
      </c>
      <c r="L1994">
        <v>34</v>
      </c>
      <c r="M1994">
        <v>7.82</v>
      </c>
      <c r="N1994">
        <v>1</v>
      </c>
      <c r="O1994">
        <v>15.1</v>
      </c>
      <c r="P1994">
        <f t="shared" si="124"/>
        <v>7.4447120648127871E-3</v>
      </c>
      <c r="Q1994">
        <f t="shared" si="124"/>
        <v>0.23</v>
      </c>
      <c r="R1994">
        <f t="shared" si="125"/>
        <v>7.82</v>
      </c>
      <c r="S1994">
        <f t="shared" si="126"/>
        <v>1.9309462915601021</v>
      </c>
      <c r="T1994">
        <f t="shared" si="127"/>
        <v>2.9411764705882353E-2</v>
      </c>
      <c r="U1994" t="str">
        <f>YEAR('Campaign Data'!$A1994)&amp;"-"&amp;TEXT(MONTH('Campaign Data'!$A1994),"00")</f>
        <v>2026-04</v>
      </c>
    </row>
    <row r="1995" spans="1:21" x14ac:dyDescent="0.25">
      <c r="A1995">
        <v>46131</v>
      </c>
      <c r="B1995" t="s">
        <v>181</v>
      </c>
      <c r="C1995" t="s">
        <v>182</v>
      </c>
      <c r="D1995" t="s">
        <v>32</v>
      </c>
      <c r="E1995" t="s">
        <v>33</v>
      </c>
      <c r="F1995" t="s">
        <v>75</v>
      </c>
      <c r="G1995" t="s">
        <v>59</v>
      </c>
      <c r="H1995" t="s">
        <v>90</v>
      </c>
      <c r="I1995" t="s">
        <v>37</v>
      </c>
      <c r="J1995" t="s">
        <v>62</v>
      </c>
      <c r="K1995">
        <v>3357</v>
      </c>
      <c r="L1995">
        <v>35</v>
      </c>
      <c r="M1995">
        <v>6.09</v>
      </c>
      <c r="N1995">
        <v>0</v>
      </c>
      <c r="O1995">
        <v>0</v>
      </c>
      <c r="P1995">
        <f t="shared" si="124"/>
        <v>1.0425975573428656E-2</v>
      </c>
      <c r="Q1995">
        <f t="shared" si="124"/>
        <v>0.17399999999999999</v>
      </c>
      <c r="R1995">
        <f t="shared" si="125"/>
        <v>0</v>
      </c>
      <c r="S1995">
        <f t="shared" si="126"/>
        <v>0</v>
      </c>
      <c r="T1995">
        <f t="shared" si="127"/>
        <v>0</v>
      </c>
      <c r="U1995" t="str">
        <f>YEAR('Campaign Data'!$A1995)&amp;"-"&amp;TEXT(MONTH('Campaign Data'!$A1995),"00")</f>
        <v>2026-04</v>
      </c>
    </row>
    <row r="1996" spans="1:21" x14ac:dyDescent="0.25">
      <c r="A1996">
        <v>46131</v>
      </c>
      <c r="B1996" t="s">
        <v>72</v>
      </c>
      <c r="C1996" t="s">
        <v>73</v>
      </c>
      <c r="D1996" t="s">
        <v>69</v>
      </c>
      <c r="E1996" t="s">
        <v>74</v>
      </c>
      <c r="F1996" t="s">
        <v>75</v>
      </c>
      <c r="G1996" t="s">
        <v>9</v>
      </c>
      <c r="H1996" t="s">
        <v>90</v>
      </c>
      <c r="I1996" t="s">
        <v>61</v>
      </c>
      <c r="J1996" t="s">
        <v>62</v>
      </c>
      <c r="K1996">
        <v>8697</v>
      </c>
      <c r="L1996">
        <v>482</v>
      </c>
      <c r="M1996">
        <v>212.9</v>
      </c>
      <c r="N1996">
        <v>10</v>
      </c>
      <c r="O1996">
        <v>90.94</v>
      </c>
      <c r="P1996">
        <f t="shared" si="124"/>
        <v>5.5421409681499369E-2</v>
      </c>
      <c r="Q1996">
        <f t="shared" si="124"/>
        <v>0.44170124481327799</v>
      </c>
      <c r="R1996">
        <f t="shared" si="125"/>
        <v>21.29</v>
      </c>
      <c r="S1996">
        <f t="shared" si="126"/>
        <v>0.42714889619539687</v>
      </c>
      <c r="T1996">
        <f t="shared" si="127"/>
        <v>2.0746887966804978E-2</v>
      </c>
      <c r="U1996" t="str">
        <f>YEAR('Campaign Data'!$A1996)&amp;"-"&amp;TEXT(MONTH('Campaign Data'!$A1996),"00")</f>
        <v>2026-04</v>
      </c>
    </row>
    <row r="1997" spans="1:21" x14ac:dyDescent="0.25">
      <c r="A1997">
        <v>46131</v>
      </c>
      <c r="B1997" t="s">
        <v>72</v>
      </c>
      <c r="C1997" t="s">
        <v>73</v>
      </c>
      <c r="D1997" t="s">
        <v>69</v>
      </c>
      <c r="E1997" t="s">
        <v>74</v>
      </c>
      <c r="F1997" t="s">
        <v>75</v>
      </c>
      <c r="G1997" t="s">
        <v>9</v>
      </c>
      <c r="H1997" t="s">
        <v>27</v>
      </c>
      <c r="I1997" t="s">
        <v>37</v>
      </c>
      <c r="J1997" t="s">
        <v>87</v>
      </c>
      <c r="K1997">
        <v>4845</v>
      </c>
      <c r="L1997">
        <v>144</v>
      </c>
      <c r="M1997">
        <v>293.42</v>
      </c>
      <c r="N1997">
        <v>9</v>
      </c>
      <c r="O1997">
        <v>313.94</v>
      </c>
      <c r="P1997">
        <f t="shared" si="124"/>
        <v>2.9721362229102165E-2</v>
      </c>
      <c r="Q1997">
        <f t="shared" si="124"/>
        <v>2.037638888888889</v>
      </c>
      <c r="R1997">
        <f t="shared" si="125"/>
        <v>32.602222222222224</v>
      </c>
      <c r="S1997">
        <f t="shared" si="126"/>
        <v>1.0699338831708813</v>
      </c>
      <c r="T1997">
        <f t="shared" si="127"/>
        <v>6.25E-2</v>
      </c>
      <c r="U1997" t="str">
        <f>YEAR('Campaign Data'!$A1997)&amp;"-"&amp;TEXT(MONTH('Campaign Data'!$A1997),"00")</f>
        <v>2026-04</v>
      </c>
    </row>
    <row r="1998" spans="1:21" x14ac:dyDescent="0.25">
      <c r="A1998">
        <v>46131</v>
      </c>
      <c r="B1998" t="s">
        <v>116</v>
      </c>
      <c r="C1998" t="s">
        <v>117</v>
      </c>
      <c r="D1998" t="s">
        <v>48</v>
      </c>
      <c r="E1998" t="s">
        <v>24</v>
      </c>
      <c r="F1998" t="s">
        <v>43</v>
      </c>
      <c r="G1998" t="s">
        <v>26</v>
      </c>
      <c r="H1998" t="s">
        <v>90</v>
      </c>
      <c r="I1998" t="s">
        <v>37</v>
      </c>
      <c r="J1998" t="s">
        <v>87</v>
      </c>
      <c r="K1998">
        <v>7989</v>
      </c>
      <c r="L1998">
        <v>69</v>
      </c>
      <c r="M1998">
        <v>20.48</v>
      </c>
      <c r="N1998">
        <v>0</v>
      </c>
      <c r="O1998">
        <v>0</v>
      </c>
      <c r="P1998">
        <f t="shared" si="124"/>
        <v>8.636875704093128E-3</v>
      </c>
      <c r="Q1998">
        <f t="shared" si="124"/>
        <v>0.29681159420289854</v>
      </c>
      <c r="R1998">
        <f t="shared" si="125"/>
        <v>0</v>
      </c>
      <c r="S1998">
        <f t="shared" si="126"/>
        <v>0</v>
      </c>
      <c r="T1998">
        <f t="shared" si="127"/>
        <v>0</v>
      </c>
      <c r="U1998" t="str">
        <f>YEAR('Campaign Data'!$A1998)&amp;"-"&amp;TEXT(MONTH('Campaign Data'!$A1998),"00")</f>
        <v>2026-04</v>
      </c>
    </row>
    <row r="1999" spans="1:21" x14ac:dyDescent="0.25">
      <c r="A1999">
        <v>46131</v>
      </c>
      <c r="B1999" t="s">
        <v>82</v>
      </c>
      <c r="C1999" t="s">
        <v>83</v>
      </c>
      <c r="D1999" t="s">
        <v>80</v>
      </c>
      <c r="E1999" t="s">
        <v>42</v>
      </c>
      <c r="F1999" t="s">
        <v>34</v>
      </c>
      <c r="G1999" t="s">
        <v>84</v>
      </c>
      <c r="H1999" t="s">
        <v>90</v>
      </c>
      <c r="I1999" t="s">
        <v>37</v>
      </c>
      <c r="J1999" t="s">
        <v>62</v>
      </c>
      <c r="K1999">
        <v>3403</v>
      </c>
      <c r="L1999">
        <v>15</v>
      </c>
      <c r="M1999">
        <v>20.69</v>
      </c>
      <c r="N1999">
        <v>1</v>
      </c>
      <c r="O1999">
        <v>29.13</v>
      </c>
      <c r="P1999">
        <f t="shared" si="124"/>
        <v>4.4078754040552453E-3</v>
      </c>
      <c r="Q1999">
        <f t="shared" si="124"/>
        <v>1.3793333333333335</v>
      </c>
      <c r="R1999">
        <f t="shared" si="125"/>
        <v>20.69</v>
      </c>
      <c r="S1999">
        <f t="shared" si="126"/>
        <v>1.4079265345577572</v>
      </c>
      <c r="T1999">
        <f t="shared" si="127"/>
        <v>6.6666666666666666E-2</v>
      </c>
      <c r="U1999" t="str">
        <f>YEAR('Campaign Data'!$A1999)&amp;"-"&amp;TEXT(MONTH('Campaign Data'!$A1999),"00")</f>
        <v>2026-04</v>
      </c>
    </row>
    <row r="2000" spans="1:21" x14ac:dyDescent="0.25">
      <c r="A2000">
        <v>46132</v>
      </c>
      <c r="B2000" t="s">
        <v>149</v>
      </c>
      <c r="C2000" t="s">
        <v>150</v>
      </c>
      <c r="D2000" t="s">
        <v>65</v>
      </c>
      <c r="E2000" t="s">
        <v>33</v>
      </c>
      <c r="F2000" t="s">
        <v>43</v>
      </c>
      <c r="G2000" t="s">
        <v>59</v>
      </c>
      <c r="H2000" t="s">
        <v>90</v>
      </c>
      <c r="I2000" t="s">
        <v>28</v>
      </c>
      <c r="J2000" t="s">
        <v>29</v>
      </c>
      <c r="K2000">
        <v>4830</v>
      </c>
      <c r="L2000">
        <v>48</v>
      </c>
      <c r="M2000">
        <v>5.26</v>
      </c>
      <c r="N2000">
        <v>3</v>
      </c>
      <c r="O2000">
        <v>24.93</v>
      </c>
      <c r="P2000">
        <f t="shared" si="124"/>
        <v>9.9378881987577643E-3</v>
      </c>
      <c r="Q2000">
        <f t="shared" si="124"/>
        <v>0.10958333333333332</v>
      </c>
      <c r="R2000">
        <f t="shared" si="125"/>
        <v>1.7533333333333332</v>
      </c>
      <c r="S2000">
        <f t="shared" si="126"/>
        <v>4.7395437262357412</v>
      </c>
      <c r="T2000">
        <f t="shared" si="127"/>
        <v>6.25E-2</v>
      </c>
      <c r="U2000" t="str">
        <f>YEAR('Campaign Data'!$A2000)&amp;"-"&amp;TEXT(MONTH('Campaign Data'!$A2000),"00")</f>
        <v>2026-04</v>
      </c>
    </row>
    <row r="2001" spans="1:21" x14ac:dyDescent="0.25">
      <c r="A2001">
        <v>46132</v>
      </c>
      <c r="B2001" t="s">
        <v>149</v>
      </c>
      <c r="C2001" t="s">
        <v>150</v>
      </c>
      <c r="D2001" t="s">
        <v>65</v>
      </c>
      <c r="E2001" t="s">
        <v>33</v>
      </c>
      <c r="F2001" t="s">
        <v>43</v>
      </c>
      <c r="G2001" t="s">
        <v>59</v>
      </c>
      <c r="H2001" t="s">
        <v>90</v>
      </c>
      <c r="I2001" t="s">
        <v>28</v>
      </c>
      <c r="J2001" t="s">
        <v>62</v>
      </c>
      <c r="K2001">
        <v>6374</v>
      </c>
      <c r="L2001">
        <v>67</v>
      </c>
      <c r="M2001">
        <v>14.72</v>
      </c>
      <c r="N2001">
        <v>1</v>
      </c>
      <c r="O2001">
        <v>8.94</v>
      </c>
      <c r="P2001">
        <f t="shared" si="124"/>
        <v>1.0511452776906181E-2</v>
      </c>
      <c r="Q2001">
        <f t="shared" si="124"/>
        <v>0.21970149253731344</v>
      </c>
      <c r="R2001">
        <f t="shared" si="125"/>
        <v>14.72</v>
      </c>
      <c r="S2001">
        <f t="shared" si="126"/>
        <v>0.60733695652173902</v>
      </c>
      <c r="T2001">
        <f t="shared" si="127"/>
        <v>1.4925373134328358E-2</v>
      </c>
      <c r="U2001" t="str">
        <f>YEAR('Campaign Data'!$A2001)&amp;"-"&amp;TEXT(MONTH('Campaign Data'!$A2001),"00")</f>
        <v>2026-04</v>
      </c>
    </row>
    <row r="2002" spans="1:21" x14ac:dyDescent="0.25">
      <c r="A2002">
        <v>46132</v>
      </c>
      <c r="B2002" t="s">
        <v>93</v>
      </c>
      <c r="C2002" t="s">
        <v>94</v>
      </c>
      <c r="D2002" t="s">
        <v>69</v>
      </c>
      <c r="E2002" t="s">
        <v>42</v>
      </c>
      <c r="F2002" t="s">
        <v>75</v>
      </c>
      <c r="G2002" t="s">
        <v>44</v>
      </c>
      <c r="H2002" t="s">
        <v>90</v>
      </c>
      <c r="I2002" t="s">
        <v>37</v>
      </c>
      <c r="J2002" t="s">
        <v>45</v>
      </c>
      <c r="K2002">
        <v>16110</v>
      </c>
      <c r="L2002">
        <v>84</v>
      </c>
      <c r="M2002">
        <v>111.39</v>
      </c>
      <c r="N2002">
        <v>4</v>
      </c>
      <c r="O2002">
        <v>20</v>
      </c>
      <c r="P2002">
        <f t="shared" si="124"/>
        <v>5.2141527001862194E-3</v>
      </c>
      <c r="Q2002">
        <f t="shared" si="124"/>
        <v>1.3260714285714286</v>
      </c>
      <c r="R2002">
        <f t="shared" si="125"/>
        <v>27.8475</v>
      </c>
      <c r="S2002">
        <f t="shared" si="126"/>
        <v>0.17954933117874136</v>
      </c>
      <c r="T2002">
        <f t="shared" si="127"/>
        <v>4.7619047619047616E-2</v>
      </c>
      <c r="U2002" t="str">
        <f>YEAR('Campaign Data'!$A2002)&amp;"-"&amp;TEXT(MONTH('Campaign Data'!$A2002),"00")</f>
        <v>2026-04</v>
      </c>
    </row>
    <row r="2003" spans="1:21" x14ac:dyDescent="0.25">
      <c r="A2003">
        <v>46132</v>
      </c>
      <c r="B2003" t="s">
        <v>151</v>
      </c>
      <c r="C2003" t="s">
        <v>152</v>
      </c>
      <c r="D2003" t="s">
        <v>48</v>
      </c>
      <c r="E2003" t="s">
        <v>24</v>
      </c>
      <c r="F2003" t="s">
        <v>81</v>
      </c>
      <c r="G2003" t="s">
        <v>129</v>
      </c>
      <c r="H2003" t="s">
        <v>36</v>
      </c>
      <c r="I2003" t="s">
        <v>28</v>
      </c>
      <c r="J2003" t="s">
        <v>62</v>
      </c>
      <c r="K2003">
        <v>23466</v>
      </c>
      <c r="L2003">
        <v>233</v>
      </c>
      <c r="M2003">
        <v>110.76</v>
      </c>
      <c r="N2003">
        <v>7</v>
      </c>
      <c r="O2003">
        <v>124.54</v>
      </c>
      <c r="P2003">
        <f t="shared" si="124"/>
        <v>9.9292593539589188E-3</v>
      </c>
      <c r="Q2003">
        <f t="shared" si="124"/>
        <v>0.47536480686695282</v>
      </c>
      <c r="R2003">
        <f t="shared" si="125"/>
        <v>15.822857142857144</v>
      </c>
      <c r="S2003">
        <f t="shared" si="126"/>
        <v>1.124413145539906</v>
      </c>
      <c r="T2003">
        <f t="shared" si="127"/>
        <v>3.0042918454935622E-2</v>
      </c>
      <c r="U2003" t="str">
        <f>YEAR('Campaign Data'!$A2003)&amp;"-"&amp;TEXT(MONTH('Campaign Data'!$A2003),"00")</f>
        <v>2026-04</v>
      </c>
    </row>
    <row r="2004" spans="1:21" x14ac:dyDescent="0.25">
      <c r="A2004">
        <v>46132</v>
      </c>
      <c r="B2004" t="s">
        <v>151</v>
      </c>
      <c r="C2004" t="s">
        <v>152</v>
      </c>
      <c r="D2004" t="s">
        <v>48</v>
      </c>
      <c r="E2004" t="s">
        <v>24</v>
      </c>
      <c r="F2004" t="s">
        <v>81</v>
      </c>
      <c r="G2004" t="s">
        <v>129</v>
      </c>
      <c r="H2004" t="s">
        <v>36</v>
      </c>
      <c r="I2004" t="s">
        <v>37</v>
      </c>
      <c r="J2004" t="s">
        <v>29</v>
      </c>
      <c r="K2004">
        <v>7155</v>
      </c>
      <c r="L2004">
        <v>77</v>
      </c>
      <c r="M2004">
        <v>72.25</v>
      </c>
      <c r="N2004">
        <v>1</v>
      </c>
      <c r="O2004">
        <v>14.43</v>
      </c>
      <c r="P2004">
        <f t="shared" si="124"/>
        <v>1.0761705101327743E-2</v>
      </c>
      <c r="Q2004">
        <f t="shared" si="124"/>
        <v>0.93831168831168832</v>
      </c>
      <c r="R2004">
        <f t="shared" si="125"/>
        <v>72.25</v>
      </c>
      <c r="S2004">
        <f t="shared" si="126"/>
        <v>0.19972318339100345</v>
      </c>
      <c r="T2004">
        <f t="shared" si="127"/>
        <v>1.2987012987012988E-2</v>
      </c>
      <c r="U2004" t="str">
        <f>YEAR('Campaign Data'!$A2004)&amp;"-"&amp;TEXT(MONTH('Campaign Data'!$A2004),"00")</f>
        <v>2026-04</v>
      </c>
    </row>
    <row r="2005" spans="1:21" x14ac:dyDescent="0.25">
      <c r="A2005">
        <v>46132</v>
      </c>
      <c r="B2005" t="s">
        <v>46</v>
      </c>
      <c r="C2005" t="s">
        <v>47</v>
      </c>
      <c r="D2005" t="s">
        <v>48</v>
      </c>
      <c r="E2005" t="s">
        <v>49</v>
      </c>
      <c r="F2005" t="s">
        <v>43</v>
      </c>
      <c r="G2005" t="s">
        <v>50</v>
      </c>
      <c r="H2005" t="s">
        <v>55</v>
      </c>
      <c r="I2005" t="s">
        <v>61</v>
      </c>
      <c r="J2005" t="s">
        <v>45</v>
      </c>
      <c r="K2005">
        <v>19266</v>
      </c>
      <c r="L2005">
        <v>1254</v>
      </c>
      <c r="M2005">
        <v>2111.91</v>
      </c>
      <c r="N2005">
        <v>100</v>
      </c>
      <c r="O2005">
        <v>3658.17</v>
      </c>
      <c r="P2005">
        <f t="shared" si="124"/>
        <v>6.5088757396449703E-2</v>
      </c>
      <c r="Q2005">
        <f t="shared" si="124"/>
        <v>1.6841387559808612</v>
      </c>
      <c r="R2005">
        <f t="shared" si="125"/>
        <v>21.1191</v>
      </c>
      <c r="S2005">
        <f t="shared" si="126"/>
        <v>1.7321618818983766</v>
      </c>
      <c r="T2005">
        <f t="shared" si="127"/>
        <v>7.9744816586921854E-2</v>
      </c>
      <c r="U2005" t="str">
        <f>YEAR('Campaign Data'!$A2005)&amp;"-"&amp;TEXT(MONTH('Campaign Data'!$A2005),"00")</f>
        <v>2026-04</v>
      </c>
    </row>
    <row r="2006" spans="1:21" x14ac:dyDescent="0.25">
      <c r="A2006">
        <v>46132</v>
      </c>
      <c r="B2006" t="s">
        <v>98</v>
      </c>
      <c r="C2006" t="s">
        <v>99</v>
      </c>
      <c r="D2006" t="s">
        <v>69</v>
      </c>
      <c r="E2006" t="s">
        <v>24</v>
      </c>
      <c r="F2006" t="s">
        <v>75</v>
      </c>
      <c r="G2006" t="s">
        <v>66</v>
      </c>
      <c r="H2006" t="s">
        <v>71</v>
      </c>
      <c r="I2006" t="s">
        <v>28</v>
      </c>
      <c r="J2006" t="s">
        <v>87</v>
      </c>
      <c r="K2006">
        <v>29265</v>
      </c>
      <c r="L2006">
        <v>374</v>
      </c>
      <c r="M2006">
        <v>467.51</v>
      </c>
      <c r="N2006">
        <v>9</v>
      </c>
      <c r="O2006">
        <v>206.14</v>
      </c>
      <c r="P2006">
        <f t="shared" si="124"/>
        <v>1.2779771057577312E-2</v>
      </c>
      <c r="Q2006">
        <f t="shared" si="124"/>
        <v>1.2500267379679144</v>
      </c>
      <c r="R2006">
        <f t="shared" si="125"/>
        <v>51.945555555555558</v>
      </c>
      <c r="S2006">
        <f t="shared" si="126"/>
        <v>0.44093174477551278</v>
      </c>
      <c r="T2006">
        <f t="shared" si="127"/>
        <v>2.4064171122994651E-2</v>
      </c>
      <c r="U2006" t="str">
        <f>YEAR('Campaign Data'!$A2006)&amp;"-"&amp;TEXT(MONTH('Campaign Data'!$A2006),"00")</f>
        <v>2026-04</v>
      </c>
    </row>
    <row r="2007" spans="1:21" x14ac:dyDescent="0.25">
      <c r="A2007">
        <v>46132</v>
      </c>
      <c r="B2007" t="s">
        <v>132</v>
      </c>
      <c r="C2007" t="s">
        <v>133</v>
      </c>
      <c r="D2007" t="s">
        <v>23</v>
      </c>
      <c r="E2007" t="s">
        <v>42</v>
      </c>
      <c r="F2007" t="s">
        <v>75</v>
      </c>
      <c r="G2007" t="s">
        <v>84</v>
      </c>
      <c r="H2007" t="s">
        <v>90</v>
      </c>
      <c r="I2007" t="s">
        <v>37</v>
      </c>
      <c r="J2007" t="s">
        <v>62</v>
      </c>
      <c r="K2007">
        <v>3887</v>
      </c>
      <c r="L2007">
        <v>49</v>
      </c>
      <c r="M2007">
        <v>64.06</v>
      </c>
      <c r="N2007">
        <v>1</v>
      </c>
      <c r="O2007">
        <v>5</v>
      </c>
      <c r="P2007">
        <f t="shared" si="124"/>
        <v>1.260612297401595E-2</v>
      </c>
      <c r="Q2007">
        <f t="shared" si="124"/>
        <v>1.3073469387755103</v>
      </c>
      <c r="R2007">
        <f t="shared" si="125"/>
        <v>64.06</v>
      </c>
      <c r="S2007">
        <f t="shared" si="126"/>
        <v>7.8051826412738057E-2</v>
      </c>
      <c r="T2007">
        <f t="shared" si="127"/>
        <v>2.0408163265306121E-2</v>
      </c>
      <c r="U2007" t="str">
        <f>YEAR('Campaign Data'!$A2007)&amp;"-"&amp;TEXT(MONTH('Campaign Data'!$A2007),"00")</f>
        <v>2026-04</v>
      </c>
    </row>
    <row r="2008" spans="1:21" x14ac:dyDescent="0.25">
      <c r="A2008">
        <v>46132</v>
      </c>
      <c r="B2008" t="s">
        <v>153</v>
      </c>
      <c r="C2008" t="s">
        <v>154</v>
      </c>
      <c r="D2008" t="s">
        <v>48</v>
      </c>
      <c r="E2008" t="s">
        <v>33</v>
      </c>
      <c r="F2008" t="s">
        <v>43</v>
      </c>
      <c r="G2008" t="s">
        <v>59</v>
      </c>
      <c r="H2008" t="s">
        <v>90</v>
      </c>
      <c r="I2008" t="s">
        <v>28</v>
      </c>
      <c r="J2008" t="s">
        <v>45</v>
      </c>
      <c r="K2008">
        <v>4584</v>
      </c>
      <c r="L2008">
        <v>38</v>
      </c>
      <c r="M2008">
        <v>7.69</v>
      </c>
      <c r="N2008">
        <v>0</v>
      </c>
      <c r="O2008">
        <v>0</v>
      </c>
      <c r="P2008">
        <f t="shared" si="124"/>
        <v>8.289703315881327E-3</v>
      </c>
      <c r="Q2008">
        <f t="shared" si="124"/>
        <v>0.20236842105263159</v>
      </c>
      <c r="R2008">
        <f t="shared" si="125"/>
        <v>0</v>
      </c>
      <c r="S2008">
        <f t="shared" si="126"/>
        <v>0</v>
      </c>
      <c r="T2008">
        <f t="shared" si="127"/>
        <v>0</v>
      </c>
      <c r="U2008" t="str">
        <f>YEAR('Campaign Data'!$A2008)&amp;"-"&amp;TEXT(MONTH('Campaign Data'!$A2008),"00")</f>
        <v>2026-04</v>
      </c>
    </row>
    <row r="2009" spans="1:21" x14ac:dyDescent="0.25">
      <c r="A2009">
        <v>46132</v>
      </c>
      <c r="B2009" t="s">
        <v>140</v>
      </c>
      <c r="C2009" t="s">
        <v>40</v>
      </c>
      <c r="D2009" t="s">
        <v>41</v>
      </c>
      <c r="E2009" t="s">
        <v>42</v>
      </c>
      <c r="F2009" t="s">
        <v>43</v>
      </c>
      <c r="G2009" t="s">
        <v>44</v>
      </c>
      <c r="H2009" t="s">
        <v>27</v>
      </c>
      <c r="I2009" t="s">
        <v>37</v>
      </c>
      <c r="J2009" t="s">
        <v>45</v>
      </c>
      <c r="K2009">
        <v>9122</v>
      </c>
      <c r="L2009">
        <v>65</v>
      </c>
      <c r="M2009">
        <v>437.93</v>
      </c>
      <c r="N2009">
        <v>2</v>
      </c>
      <c r="O2009">
        <v>63.4</v>
      </c>
      <c r="P2009">
        <f t="shared" si="124"/>
        <v>7.1256303442227579E-3</v>
      </c>
      <c r="Q2009">
        <f t="shared" si="124"/>
        <v>6.7373846153846157</v>
      </c>
      <c r="R2009">
        <f t="shared" si="125"/>
        <v>218.965</v>
      </c>
      <c r="S2009">
        <f t="shared" si="126"/>
        <v>0.14477199552439887</v>
      </c>
      <c r="T2009">
        <f t="shared" si="127"/>
        <v>3.0769230769230771E-2</v>
      </c>
      <c r="U2009" t="str">
        <f>YEAR('Campaign Data'!$A2009)&amp;"-"&amp;TEXT(MONTH('Campaign Data'!$A2009),"00")</f>
        <v>2026-04</v>
      </c>
    </row>
    <row r="2010" spans="1:21" x14ac:dyDescent="0.25">
      <c r="A2010">
        <v>46132</v>
      </c>
      <c r="B2010" t="s">
        <v>134</v>
      </c>
      <c r="C2010" t="s">
        <v>135</v>
      </c>
      <c r="D2010" t="s">
        <v>32</v>
      </c>
      <c r="E2010" t="s">
        <v>74</v>
      </c>
      <c r="F2010" t="s">
        <v>25</v>
      </c>
      <c r="G2010" t="s">
        <v>107</v>
      </c>
      <c r="H2010" t="s">
        <v>90</v>
      </c>
      <c r="I2010" t="s">
        <v>37</v>
      </c>
      <c r="J2010" t="s">
        <v>87</v>
      </c>
      <c r="K2010">
        <v>30081</v>
      </c>
      <c r="L2010">
        <v>1291</v>
      </c>
      <c r="M2010">
        <v>375.91</v>
      </c>
      <c r="N2010">
        <v>38</v>
      </c>
      <c r="O2010">
        <v>746.71</v>
      </c>
      <c r="P2010">
        <f t="shared" si="124"/>
        <v>4.2917456201589044E-2</v>
      </c>
      <c r="Q2010">
        <f t="shared" si="124"/>
        <v>0.29117738187451592</v>
      </c>
      <c r="R2010">
        <f t="shared" si="125"/>
        <v>9.8923684210526321</v>
      </c>
      <c r="S2010">
        <f t="shared" si="126"/>
        <v>1.9864063206618605</v>
      </c>
      <c r="T2010">
        <f t="shared" si="127"/>
        <v>2.9434546862896978E-2</v>
      </c>
      <c r="U2010" t="str">
        <f>YEAR('Campaign Data'!$A2010)&amp;"-"&amp;TEXT(MONTH('Campaign Data'!$A2010),"00")</f>
        <v>2026-04</v>
      </c>
    </row>
    <row r="2011" spans="1:21" x14ac:dyDescent="0.25">
      <c r="A2011">
        <v>46132</v>
      </c>
      <c r="B2011" t="s">
        <v>112</v>
      </c>
      <c r="C2011" t="s">
        <v>113</v>
      </c>
      <c r="D2011" t="s">
        <v>32</v>
      </c>
      <c r="E2011" t="s">
        <v>24</v>
      </c>
      <c r="F2011" t="s">
        <v>75</v>
      </c>
      <c r="G2011" t="s">
        <v>66</v>
      </c>
      <c r="H2011" t="s">
        <v>90</v>
      </c>
      <c r="I2011" t="s">
        <v>28</v>
      </c>
      <c r="J2011" t="s">
        <v>29</v>
      </c>
      <c r="K2011">
        <v>4725</v>
      </c>
      <c r="L2011">
        <v>56</v>
      </c>
      <c r="M2011">
        <v>10.4</v>
      </c>
      <c r="N2011">
        <v>1</v>
      </c>
      <c r="O2011">
        <v>8.4</v>
      </c>
      <c r="P2011">
        <f t="shared" si="124"/>
        <v>1.1851851851851851E-2</v>
      </c>
      <c r="Q2011">
        <f t="shared" si="124"/>
        <v>0.18571428571428572</v>
      </c>
      <c r="R2011">
        <f t="shared" si="125"/>
        <v>10.4</v>
      </c>
      <c r="S2011">
        <f t="shared" si="126"/>
        <v>0.80769230769230771</v>
      </c>
      <c r="T2011">
        <f t="shared" si="127"/>
        <v>1.7857142857142856E-2</v>
      </c>
      <c r="U2011" t="str">
        <f>YEAR('Campaign Data'!$A2011)&amp;"-"&amp;TEXT(MONTH('Campaign Data'!$A2011),"00")</f>
        <v>2026-04</v>
      </c>
    </row>
    <row r="2012" spans="1:21" x14ac:dyDescent="0.25">
      <c r="A2012">
        <v>46132</v>
      </c>
      <c r="B2012" t="s">
        <v>159</v>
      </c>
      <c r="C2012" t="s">
        <v>160</v>
      </c>
      <c r="D2012" t="s">
        <v>65</v>
      </c>
      <c r="E2012" t="s">
        <v>42</v>
      </c>
      <c r="F2012" t="s">
        <v>75</v>
      </c>
      <c r="G2012" t="s">
        <v>54</v>
      </c>
      <c r="H2012" t="s">
        <v>27</v>
      </c>
      <c r="I2012" t="s">
        <v>37</v>
      </c>
      <c r="J2012" t="s">
        <v>45</v>
      </c>
      <c r="K2012">
        <v>3261</v>
      </c>
      <c r="L2012">
        <v>30</v>
      </c>
      <c r="M2012">
        <v>186.33</v>
      </c>
      <c r="N2012">
        <v>1</v>
      </c>
      <c r="O2012">
        <v>42.31</v>
      </c>
      <c r="P2012">
        <f t="shared" si="124"/>
        <v>9.1996320147194107E-3</v>
      </c>
      <c r="Q2012">
        <f t="shared" si="124"/>
        <v>6.2110000000000003</v>
      </c>
      <c r="R2012">
        <f t="shared" si="125"/>
        <v>186.33</v>
      </c>
      <c r="S2012">
        <f t="shared" si="126"/>
        <v>0.22707025170396608</v>
      </c>
      <c r="T2012">
        <f t="shared" si="127"/>
        <v>3.3333333333333333E-2</v>
      </c>
      <c r="U2012" t="str">
        <f>YEAR('Campaign Data'!$A2012)&amp;"-"&amp;TEXT(MONTH('Campaign Data'!$A2012),"00")</f>
        <v>2026-04</v>
      </c>
    </row>
    <row r="2013" spans="1:21" x14ac:dyDescent="0.25">
      <c r="A2013">
        <v>46132</v>
      </c>
      <c r="B2013" t="s">
        <v>161</v>
      </c>
      <c r="C2013" t="s">
        <v>162</v>
      </c>
      <c r="D2013" t="s">
        <v>48</v>
      </c>
      <c r="E2013" t="s">
        <v>74</v>
      </c>
      <c r="F2013" t="s">
        <v>34</v>
      </c>
      <c r="G2013" t="s">
        <v>107</v>
      </c>
      <c r="H2013" t="s">
        <v>60</v>
      </c>
      <c r="I2013" t="s">
        <v>28</v>
      </c>
      <c r="J2013" t="s">
        <v>45</v>
      </c>
      <c r="K2013">
        <v>8374</v>
      </c>
      <c r="L2013">
        <v>294</v>
      </c>
      <c r="M2013">
        <v>455.14</v>
      </c>
      <c r="N2013">
        <v>12</v>
      </c>
      <c r="O2013">
        <v>1725.61</v>
      </c>
      <c r="P2013">
        <f t="shared" si="124"/>
        <v>3.5108669691903509E-2</v>
      </c>
      <c r="Q2013">
        <f t="shared" si="124"/>
        <v>1.548095238095238</v>
      </c>
      <c r="R2013">
        <f t="shared" si="125"/>
        <v>37.928333333333335</v>
      </c>
      <c r="S2013">
        <f t="shared" si="126"/>
        <v>3.7913828712044646</v>
      </c>
      <c r="T2013">
        <f t="shared" si="127"/>
        <v>4.0816326530612242E-2</v>
      </c>
      <c r="U2013" t="str">
        <f>YEAR('Campaign Data'!$A2013)&amp;"-"&amp;TEXT(MONTH('Campaign Data'!$A2013),"00")</f>
        <v>2026-04</v>
      </c>
    </row>
    <row r="2014" spans="1:21" x14ac:dyDescent="0.25">
      <c r="A2014">
        <v>46132</v>
      </c>
      <c r="B2014" t="s">
        <v>56</v>
      </c>
      <c r="C2014" t="s">
        <v>57</v>
      </c>
      <c r="D2014" t="s">
        <v>58</v>
      </c>
      <c r="E2014" t="s">
        <v>33</v>
      </c>
      <c r="F2014" t="s">
        <v>43</v>
      </c>
      <c r="G2014" t="s">
        <v>59</v>
      </c>
      <c r="H2014" t="s">
        <v>71</v>
      </c>
      <c r="I2014" t="s">
        <v>28</v>
      </c>
      <c r="J2014" t="s">
        <v>38</v>
      </c>
      <c r="K2014">
        <v>15155</v>
      </c>
      <c r="L2014">
        <v>165</v>
      </c>
      <c r="M2014">
        <v>130.34</v>
      </c>
      <c r="N2014">
        <v>1</v>
      </c>
      <c r="O2014">
        <v>23.37</v>
      </c>
      <c r="P2014">
        <f t="shared" si="124"/>
        <v>1.0887495875948531E-2</v>
      </c>
      <c r="Q2014">
        <f t="shared" si="124"/>
        <v>0.78993939393939394</v>
      </c>
      <c r="R2014">
        <f t="shared" si="125"/>
        <v>130.34</v>
      </c>
      <c r="S2014">
        <f t="shared" si="126"/>
        <v>0.17930029154518951</v>
      </c>
      <c r="T2014">
        <f t="shared" si="127"/>
        <v>6.0606060606060606E-3</v>
      </c>
      <c r="U2014" t="str">
        <f>YEAR('Campaign Data'!$A2014)&amp;"-"&amp;TEXT(MONTH('Campaign Data'!$A2014),"00")</f>
        <v>2026-04</v>
      </c>
    </row>
    <row r="2015" spans="1:21" x14ac:dyDescent="0.25">
      <c r="A2015">
        <v>46132</v>
      </c>
      <c r="B2015" t="s">
        <v>56</v>
      </c>
      <c r="C2015" t="s">
        <v>57</v>
      </c>
      <c r="D2015" t="s">
        <v>58</v>
      </c>
      <c r="E2015" t="s">
        <v>33</v>
      </c>
      <c r="F2015" t="s">
        <v>43</v>
      </c>
      <c r="G2015" t="s">
        <v>59</v>
      </c>
      <c r="H2015" t="s">
        <v>60</v>
      </c>
      <c r="I2015" t="s">
        <v>37</v>
      </c>
      <c r="J2015" t="s">
        <v>87</v>
      </c>
      <c r="K2015">
        <v>10233</v>
      </c>
      <c r="L2015">
        <v>100</v>
      </c>
      <c r="M2015">
        <v>57.95</v>
      </c>
      <c r="N2015">
        <v>0</v>
      </c>
      <c r="O2015">
        <v>0</v>
      </c>
      <c r="P2015">
        <f t="shared" si="124"/>
        <v>9.7723052868171605E-3</v>
      </c>
      <c r="Q2015">
        <f t="shared" si="124"/>
        <v>0.57950000000000002</v>
      </c>
      <c r="R2015">
        <f t="shared" si="125"/>
        <v>0</v>
      </c>
      <c r="S2015">
        <f t="shared" si="126"/>
        <v>0</v>
      </c>
      <c r="T2015">
        <f t="shared" si="127"/>
        <v>0</v>
      </c>
      <c r="U2015" t="str">
        <f>YEAR('Campaign Data'!$A2015)&amp;"-"&amp;TEXT(MONTH('Campaign Data'!$A2015),"00")</f>
        <v>2026-04</v>
      </c>
    </row>
    <row r="2016" spans="1:21" x14ac:dyDescent="0.25">
      <c r="A2016">
        <v>46132</v>
      </c>
      <c r="B2016" t="s">
        <v>136</v>
      </c>
      <c r="C2016" t="s">
        <v>137</v>
      </c>
      <c r="D2016" t="s">
        <v>32</v>
      </c>
      <c r="E2016" t="s">
        <v>49</v>
      </c>
      <c r="F2016" t="s">
        <v>75</v>
      </c>
      <c r="G2016" t="s">
        <v>97</v>
      </c>
      <c r="H2016" t="s">
        <v>90</v>
      </c>
      <c r="I2016" t="s">
        <v>28</v>
      </c>
      <c r="J2016" t="s">
        <v>45</v>
      </c>
      <c r="K2016">
        <v>3075</v>
      </c>
      <c r="L2016">
        <v>145</v>
      </c>
      <c r="M2016">
        <v>64.56</v>
      </c>
      <c r="N2016">
        <v>9</v>
      </c>
      <c r="O2016">
        <v>126.44</v>
      </c>
      <c r="P2016">
        <f t="shared" si="124"/>
        <v>4.715447154471545E-2</v>
      </c>
      <c r="Q2016">
        <f t="shared" si="124"/>
        <v>0.44524137931034485</v>
      </c>
      <c r="R2016">
        <f t="shared" si="125"/>
        <v>7.1733333333333338</v>
      </c>
      <c r="S2016">
        <f t="shared" si="126"/>
        <v>1.9584882280049565</v>
      </c>
      <c r="T2016">
        <f t="shared" si="127"/>
        <v>6.2068965517241378E-2</v>
      </c>
      <c r="U2016" t="str">
        <f>YEAR('Campaign Data'!$A2016)&amp;"-"&amp;TEXT(MONTH('Campaign Data'!$A2016),"00")</f>
        <v>2026-04</v>
      </c>
    </row>
    <row r="2017" spans="1:21" x14ac:dyDescent="0.25">
      <c r="A2017">
        <v>46132</v>
      </c>
      <c r="B2017" t="s">
        <v>143</v>
      </c>
      <c r="C2017" t="s">
        <v>144</v>
      </c>
      <c r="D2017" t="s">
        <v>48</v>
      </c>
      <c r="E2017" t="s">
        <v>42</v>
      </c>
      <c r="F2017" t="s">
        <v>25</v>
      </c>
      <c r="G2017" t="s">
        <v>84</v>
      </c>
      <c r="H2017" t="s">
        <v>27</v>
      </c>
      <c r="I2017" t="s">
        <v>37</v>
      </c>
      <c r="J2017" t="s">
        <v>29</v>
      </c>
      <c r="K2017">
        <v>15140</v>
      </c>
      <c r="L2017">
        <v>36</v>
      </c>
      <c r="M2017">
        <v>236.93</v>
      </c>
      <c r="N2017">
        <v>2</v>
      </c>
      <c r="O2017">
        <v>205.61</v>
      </c>
      <c r="P2017">
        <f t="shared" si="124"/>
        <v>2.3778071334214002E-3</v>
      </c>
      <c r="Q2017">
        <f t="shared" si="124"/>
        <v>6.5813888888888892</v>
      </c>
      <c r="R2017">
        <f t="shared" si="125"/>
        <v>118.465</v>
      </c>
      <c r="S2017">
        <f t="shared" si="126"/>
        <v>0.86780905752753978</v>
      </c>
      <c r="T2017">
        <f t="shared" si="127"/>
        <v>5.5555555555555552E-2</v>
      </c>
      <c r="U2017" t="str">
        <f>YEAR('Campaign Data'!$A2017)&amp;"-"&amp;TEXT(MONTH('Campaign Data'!$A2017),"00")</f>
        <v>2026-04</v>
      </c>
    </row>
    <row r="2018" spans="1:21" x14ac:dyDescent="0.25">
      <c r="A2018">
        <v>46132</v>
      </c>
      <c r="B2018" t="s">
        <v>183</v>
      </c>
      <c r="C2018" t="s">
        <v>184</v>
      </c>
      <c r="D2018" t="s">
        <v>23</v>
      </c>
      <c r="E2018" t="s">
        <v>24</v>
      </c>
      <c r="F2018" t="s">
        <v>81</v>
      </c>
      <c r="G2018" t="s">
        <v>185</v>
      </c>
      <c r="H2018" t="s">
        <v>90</v>
      </c>
      <c r="I2018" t="s">
        <v>37</v>
      </c>
      <c r="J2018" t="s">
        <v>45</v>
      </c>
      <c r="K2018">
        <v>9454</v>
      </c>
      <c r="L2018">
        <v>104</v>
      </c>
      <c r="M2018">
        <v>25.3</v>
      </c>
      <c r="N2018">
        <v>3</v>
      </c>
      <c r="O2018">
        <v>22.95</v>
      </c>
      <c r="P2018">
        <f t="shared" si="124"/>
        <v>1.1000634651999153E-2</v>
      </c>
      <c r="Q2018">
        <f t="shared" si="124"/>
        <v>0.24326923076923077</v>
      </c>
      <c r="R2018">
        <f t="shared" si="125"/>
        <v>8.4333333333333336</v>
      </c>
      <c r="S2018">
        <f t="shared" si="126"/>
        <v>0.90711462450592883</v>
      </c>
      <c r="T2018">
        <f t="shared" si="127"/>
        <v>2.8846153846153848E-2</v>
      </c>
      <c r="U2018" t="str">
        <f>YEAR('Campaign Data'!$A2018)&amp;"-"&amp;TEXT(MONTH('Campaign Data'!$A2018),"00")</f>
        <v>2026-04</v>
      </c>
    </row>
    <row r="2019" spans="1:21" x14ac:dyDescent="0.25">
      <c r="A2019">
        <v>46133</v>
      </c>
      <c r="B2019" t="s">
        <v>173</v>
      </c>
      <c r="C2019" t="s">
        <v>174</v>
      </c>
      <c r="D2019" t="s">
        <v>48</v>
      </c>
      <c r="E2019" t="s">
        <v>74</v>
      </c>
      <c r="F2019" t="s">
        <v>25</v>
      </c>
      <c r="G2019" t="s">
        <v>9</v>
      </c>
      <c r="H2019" t="s">
        <v>90</v>
      </c>
      <c r="I2019" t="s">
        <v>37</v>
      </c>
      <c r="J2019" t="s">
        <v>62</v>
      </c>
      <c r="K2019">
        <v>3187</v>
      </c>
      <c r="L2019">
        <v>192</v>
      </c>
      <c r="M2019">
        <v>86.2</v>
      </c>
      <c r="N2019">
        <v>14</v>
      </c>
      <c r="O2019">
        <v>600.46</v>
      </c>
      <c r="P2019">
        <f t="shared" si="124"/>
        <v>6.0244744273611546E-2</v>
      </c>
      <c r="Q2019">
        <f t="shared" si="124"/>
        <v>0.44895833333333335</v>
      </c>
      <c r="R2019">
        <f t="shared" si="125"/>
        <v>6.1571428571428575</v>
      </c>
      <c r="S2019">
        <f t="shared" si="126"/>
        <v>6.9658932714617174</v>
      </c>
      <c r="T2019">
        <f t="shared" si="127"/>
        <v>7.2916666666666671E-2</v>
      </c>
      <c r="U2019" t="str">
        <f>YEAR('Campaign Data'!$A2019)&amp;"-"&amp;TEXT(MONTH('Campaign Data'!$A2019),"00")</f>
        <v>2026-04</v>
      </c>
    </row>
    <row r="2020" spans="1:21" x14ac:dyDescent="0.25">
      <c r="A2020">
        <v>46133</v>
      </c>
      <c r="B2020" t="s">
        <v>173</v>
      </c>
      <c r="C2020" t="s">
        <v>174</v>
      </c>
      <c r="D2020" t="s">
        <v>48</v>
      </c>
      <c r="E2020" t="s">
        <v>74</v>
      </c>
      <c r="F2020" t="s">
        <v>25</v>
      </c>
      <c r="G2020" t="s">
        <v>9</v>
      </c>
      <c r="H2020" t="s">
        <v>36</v>
      </c>
      <c r="I2020" t="s">
        <v>28</v>
      </c>
      <c r="J2020" t="s">
        <v>38</v>
      </c>
      <c r="K2020">
        <v>14060</v>
      </c>
      <c r="L2020">
        <v>450</v>
      </c>
      <c r="M2020">
        <v>611.39</v>
      </c>
      <c r="N2020">
        <v>30</v>
      </c>
      <c r="O2020">
        <v>3278.14</v>
      </c>
      <c r="P2020">
        <f t="shared" si="124"/>
        <v>3.2005689900426744E-2</v>
      </c>
      <c r="Q2020">
        <f t="shared" si="124"/>
        <v>1.3586444444444443</v>
      </c>
      <c r="R2020">
        <f t="shared" si="125"/>
        <v>20.379666666666665</v>
      </c>
      <c r="S2020">
        <f t="shared" si="126"/>
        <v>5.3617821685012839</v>
      </c>
      <c r="T2020">
        <f t="shared" si="127"/>
        <v>6.6666666666666666E-2</v>
      </c>
      <c r="U2020" t="str">
        <f>YEAR('Campaign Data'!$A2020)&amp;"-"&amp;TEXT(MONTH('Campaign Data'!$A2020),"00")</f>
        <v>2026-04</v>
      </c>
    </row>
    <row r="2021" spans="1:21" x14ac:dyDescent="0.25">
      <c r="A2021">
        <v>46133</v>
      </c>
      <c r="B2021" t="s">
        <v>88</v>
      </c>
      <c r="C2021" t="s">
        <v>89</v>
      </c>
      <c r="D2021" t="s">
        <v>23</v>
      </c>
      <c r="E2021" t="s">
        <v>49</v>
      </c>
      <c r="F2021" t="s">
        <v>81</v>
      </c>
      <c r="G2021" t="s">
        <v>50</v>
      </c>
      <c r="H2021" t="s">
        <v>55</v>
      </c>
      <c r="I2021" t="s">
        <v>37</v>
      </c>
      <c r="J2021" t="s">
        <v>62</v>
      </c>
      <c r="K2021">
        <v>6228</v>
      </c>
      <c r="L2021">
        <v>348</v>
      </c>
      <c r="M2021">
        <v>458.26</v>
      </c>
      <c r="N2021">
        <v>27</v>
      </c>
      <c r="O2021">
        <v>398.71</v>
      </c>
      <c r="P2021">
        <f t="shared" si="124"/>
        <v>5.5876685934489405E-2</v>
      </c>
      <c r="Q2021">
        <f t="shared" si="124"/>
        <v>1.3168390804597701</v>
      </c>
      <c r="R2021">
        <f t="shared" si="125"/>
        <v>16.972592592592591</v>
      </c>
      <c r="S2021">
        <f t="shared" si="126"/>
        <v>0.87005193558242044</v>
      </c>
      <c r="T2021">
        <f t="shared" si="127"/>
        <v>7.7586206896551727E-2</v>
      </c>
      <c r="U2021" t="str">
        <f>YEAR('Campaign Data'!$A2021)&amp;"-"&amp;TEXT(MONTH('Campaign Data'!$A2021),"00")</f>
        <v>2026-04</v>
      </c>
    </row>
    <row r="2022" spans="1:21" x14ac:dyDescent="0.25">
      <c r="A2022">
        <v>46133</v>
      </c>
      <c r="B2022" t="s">
        <v>93</v>
      </c>
      <c r="C2022" t="s">
        <v>94</v>
      </c>
      <c r="D2022" t="s">
        <v>69</v>
      </c>
      <c r="E2022" t="s">
        <v>42</v>
      </c>
      <c r="F2022" t="s">
        <v>75</v>
      </c>
      <c r="G2022" t="s">
        <v>44</v>
      </c>
      <c r="H2022" t="s">
        <v>27</v>
      </c>
      <c r="I2022" t="s">
        <v>37</v>
      </c>
      <c r="J2022" t="s">
        <v>38</v>
      </c>
      <c r="K2022">
        <v>8612</v>
      </c>
      <c r="L2022">
        <v>50</v>
      </c>
      <c r="M2022">
        <v>385.99</v>
      </c>
      <c r="N2022">
        <v>4</v>
      </c>
      <c r="O2022">
        <v>305.37</v>
      </c>
      <c r="P2022">
        <f t="shared" si="124"/>
        <v>5.8058522991175105E-3</v>
      </c>
      <c r="Q2022">
        <f t="shared" si="124"/>
        <v>7.7198000000000002</v>
      </c>
      <c r="R2022">
        <f t="shared" si="125"/>
        <v>96.497500000000002</v>
      </c>
      <c r="S2022">
        <f t="shared" si="126"/>
        <v>0.79113448534936137</v>
      </c>
      <c r="T2022">
        <f t="shared" si="127"/>
        <v>0.08</v>
      </c>
      <c r="U2022" t="str">
        <f>YEAR('Campaign Data'!$A2022)&amp;"-"&amp;TEXT(MONTH('Campaign Data'!$A2022),"00")</f>
        <v>2026-04</v>
      </c>
    </row>
    <row r="2023" spans="1:21" x14ac:dyDescent="0.25">
      <c r="A2023">
        <v>46133</v>
      </c>
      <c r="B2023" t="s">
        <v>151</v>
      </c>
      <c r="C2023" t="s">
        <v>152</v>
      </c>
      <c r="D2023" t="s">
        <v>48</v>
      </c>
      <c r="E2023" t="s">
        <v>24</v>
      </c>
      <c r="F2023" t="s">
        <v>81</v>
      </c>
      <c r="G2023" t="s">
        <v>129</v>
      </c>
      <c r="H2023" t="s">
        <v>60</v>
      </c>
      <c r="I2023" t="s">
        <v>28</v>
      </c>
      <c r="J2023" t="s">
        <v>38</v>
      </c>
      <c r="K2023">
        <v>8170</v>
      </c>
      <c r="L2023">
        <v>107</v>
      </c>
      <c r="M2023">
        <v>143.28</v>
      </c>
      <c r="N2023">
        <v>3</v>
      </c>
      <c r="O2023">
        <v>26.44</v>
      </c>
      <c r="P2023">
        <f t="shared" si="124"/>
        <v>1.3096695226438188E-2</v>
      </c>
      <c r="Q2023">
        <f t="shared" si="124"/>
        <v>1.3390654205607477</v>
      </c>
      <c r="R2023">
        <f t="shared" si="125"/>
        <v>47.76</v>
      </c>
      <c r="S2023">
        <f t="shared" si="126"/>
        <v>0.18453378001116696</v>
      </c>
      <c r="T2023">
        <f t="shared" si="127"/>
        <v>2.8037383177570093E-2</v>
      </c>
      <c r="U2023" t="str">
        <f>YEAR('Campaign Data'!$A2023)&amp;"-"&amp;TEXT(MONTH('Campaign Data'!$A2023),"00")</f>
        <v>2026-04</v>
      </c>
    </row>
    <row r="2024" spans="1:21" x14ac:dyDescent="0.25">
      <c r="A2024">
        <v>46133</v>
      </c>
      <c r="B2024" t="s">
        <v>169</v>
      </c>
      <c r="C2024" t="s">
        <v>170</v>
      </c>
      <c r="D2024" t="s">
        <v>58</v>
      </c>
      <c r="E2024" t="s">
        <v>74</v>
      </c>
      <c r="F2024" t="s">
        <v>75</v>
      </c>
      <c r="G2024" t="s">
        <v>9</v>
      </c>
      <c r="H2024" t="s">
        <v>90</v>
      </c>
      <c r="I2024" t="s">
        <v>37</v>
      </c>
      <c r="J2024" t="s">
        <v>87</v>
      </c>
      <c r="K2024">
        <v>25817</v>
      </c>
      <c r="L2024">
        <v>893</v>
      </c>
      <c r="M2024">
        <v>212.11</v>
      </c>
      <c r="N2024">
        <v>35</v>
      </c>
      <c r="O2024">
        <v>358.8</v>
      </c>
      <c r="P2024">
        <f t="shared" si="124"/>
        <v>3.4589611496300889E-2</v>
      </c>
      <c r="Q2024">
        <f t="shared" si="124"/>
        <v>0.23752519596864502</v>
      </c>
      <c r="R2024">
        <f t="shared" si="125"/>
        <v>6.0602857142857145</v>
      </c>
      <c r="S2024">
        <f t="shared" si="126"/>
        <v>1.6915751261138088</v>
      </c>
      <c r="T2024">
        <f t="shared" si="127"/>
        <v>3.9193729003359462E-2</v>
      </c>
      <c r="U2024" t="str">
        <f>YEAR('Campaign Data'!$A2024)&amp;"-"&amp;TEXT(MONTH('Campaign Data'!$A2024),"00")</f>
        <v>2026-04</v>
      </c>
    </row>
    <row r="2025" spans="1:21" x14ac:dyDescent="0.25">
      <c r="A2025">
        <v>46133</v>
      </c>
      <c r="B2025" t="s">
        <v>132</v>
      </c>
      <c r="C2025" t="s">
        <v>133</v>
      </c>
      <c r="D2025" t="s">
        <v>23</v>
      </c>
      <c r="E2025" t="s">
        <v>42</v>
      </c>
      <c r="F2025" t="s">
        <v>75</v>
      </c>
      <c r="G2025" t="s">
        <v>84</v>
      </c>
      <c r="H2025" t="s">
        <v>36</v>
      </c>
      <c r="I2025" t="s">
        <v>37</v>
      </c>
      <c r="J2025" t="s">
        <v>62</v>
      </c>
      <c r="K2025">
        <v>15487</v>
      </c>
      <c r="L2025">
        <v>136</v>
      </c>
      <c r="M2025">
        <v>521.6</v>
      </c>
      <c r="N2025">
        <v>6</v>
      </c>
      <c r="O2025">
        <v>62.8</v>
      </c>
      <c r="P2025">
        <f t="shared" si="124"/>
        <v>8.7815587266739849E-3</v>
      </c>
      <c r="Q2025">
        <f t="shared" si="124"/>
        <v>3.835294117647059</v>
      </c>
      <c r="R2025">
        <f t="shared" si="125"/>
        <v>86.933333333333337</v>
      </c>
      <c r="S2025">
        <f t="shared" si="126"/>
        <v>0.12039877300613495</v>
      </c>
      <c r="T2025">
        <f t="shared" si="127"/>
        <v>4.4117647058823532E-2</v>
      </c>
      <c r="U2025" t="str">
        <f>YEAR('Campaign Data'!$A2025)&amp;"-"&amp;TEXT(MONTH('Campaign Data'!$A2025),"00")</f>
        <v>2026-04</v>
      </c>
    </row>
    <row r="2026" spans="1:21" x14ac:dyDescent="0.25">
      <c r="A2026">
        <v>46133</v>
      </c>
      <c r="B2026" t="s">
        <v>132</v>
      </c>
      <c r="C2026" t="s">
        <v>133</v>
      </c>
      <c r="D2026" t="s">
        <v>23</v>
      </c>
      <c r="E2026" t="s">
        <v>42</v>
      </c>
      <c r="F2026" t="s">
        <v>75</v>
      </c>
      <c r="G2026" t="s">
        <v>84</v>
      </c>
      <c r="H2026" t="s">
        <v>27</v>
      </c>
      <c r="I2026" t="s">
        <v>37</v>
      </c>
      <c r="J2026" t="s">
        <v>62</v>
      </c>
      <c r="K2026">
        <v>9265</v>
      </c>
      <c r="L2026">
        <v>79</v>
      </c>
      <c r="M2026">
        <v>652.37</v>
      </c>
      <c r="N2026">
        <v>1</v>
      </c>
      <c r="O2026">
        <v>37.49</v>
      </c>
      <c r="P2026">
        <f t="shared" si="124"/>
        <v>8.5267134376686461E-3</v>
      </c>
      <c r="Q2026">
        <f t="shared" si="124"/>
        <v>8.2578481012658234</v>
      </c>
      <c r="R2026">
        <f t="shared" si="125"/>
        <v>652.37</v>
      </c>
      <c r="S2026">
        <f t="shared" si="126"/>
        <v>5.7467388138632988E-2</v>
      </c>
      <c r="T2026">
        <f t="shared" si="127"/>
        <v>1.2658227848101266E-2</v>
      </c>
      <c r="U2026" t="str">
        <f>YEAR('Campaign Data'!$A2026)&amp;"-"&amp;TEXT(MONTH('Campaign Data'!$A2026),"00")</f>
        <v>2026-04</v>
      </c>
    </row>
    <row r="2027" spans="1:21" x14ac:dyDescent="0.25">
      <c r="A2027">
        <v>46133</v>
      </c>
      <c r="B2027" t="s">
        <v>179</v>
      </c>
      <c r="C2027" t="s">
        <v>180</v>
      </c>
      <c r="D2027" t="s">
        <v>58</v>
      </c>
      <c r="E2027" t="s">
        <v>42</v>
      </c>
      <c r="F2027" t="s">
        <v>25</v>
      </c>
      <c r="G2027" t="s">
        <v>54</v>
      </c>
      <c r="H2027" t="s">
        <v>36</v>
      </c>
      <c r="I2027" t="s">
        <v>28</v>
      </c>
      <c r="J2027" t="s">
        <v>29</v>
      </c>
      <c r="K2027">
        <v>9194</v>
      </c>
      <c r="L2027">
        <v>56</v>
      </c>
      <c r="M2027">
        <v>412</v>
      </c>
      <c r="N2027">
        <v>3</v>
      </c>
      <c r="O2027">
        <v>417.56</v>
      </c>
      <c r="P2027">
        <f t="shared" si="124"/>
        <v>6.0909288666521648E-3</v>
      </c>
      <c r="Q2027">
        <f t="shared" si="124"/>
        <v>7.3571428571428568</v>
      </c>
      <c r="R2027">
        <f t="shared" si="125"/>
        <v>137.33333333333334</v>
      </c>
      <c r="S2027">
        <f t="shared" si="126"/>
        <v>1.0134951456310679</v>
      </c>
      <c r="T2027">
        <f t="shared" si="127"/>
        <v>5.3571428571428568E-2</v>
      </c>
      <c r="U2027" t="str">
        <f>YEAR('Campaign Data'!$A2027)&amp;"-"&amp;TEXT(MONTH('Campaign Data'!$A2027),"00")</f>
        <v>2026-04</v>
      </c>
    </row>
    <row r="2028" spans="1:21" x14ac:dyDescent="0.25">
      <c r="A2028">
        <v>46133</v>
      </c>
      <c r="B2028" t="s">
        <v>171</v>
      </c>
      <c r="C2028" t="s">
        <v>172</v>
      </c>
      <c r="D2028" t="s">
        <v>23</v>
      </c>
      <c r="E2028" t="s">
        <v>33</v>
      </c>
      <c r="F2028" t="s">
        <v>75</v>
      </c>
      <c r="G2028" t="s">
        <v>59</v>
      </c>
      <c r="H2028" t="s">
        <v>55</v>
      </c>
      <c r="I2028" t="s">
        <v>28</v>
      </c>
      <c r="J2028" t="s">
        <v>62</v>
      </c>
      <c r="K2028">
        <v>7713</v>
      </c>
      <c r="L2028">
        <v>82</v>
      </c>
      <c r="M2028">
        <v>41.99</v>
      </c>
      <c r="N2028">
        <v>1</v>
      </c>
      <c r="O2028">
        <v>25.96</v>
      </c>
      <c r="P2028">
        <f t="shared" si="124"/>
        <v>1.0631401529884611E-2</v>
      </c>
      <c r="Q2028">
        <f t="shared" si="124"/>
        <v>0.51207317073170733</v>
      </c>
      <c r="R2028">
        <f t="shared" si="125"/>
        <v>41.99</v>
      </c>
      <c r="S2028">
        <f t="shared" si="126"/>
        <v>0.61824243867587525</v>
      </c>
      <c r="T2028">
        <f t="shared" si="127"/>
        <v>1.2195121951219513E-2</v>
      </c>
      <c r="U2028" t="str">
        <f>YEAR('Campaign Data'!$A2028)&amp;"-"&amp;TEXT(MONTH('Campaign Data'!$A2028),"00")</f>
        <v>2026-04</v>
      </c>
    </row>
    <row r="2029" spans="1:21" x14ac:dyDescent="0.25">
      <c r="A2029">
        <v>46133</v>
      </c>
      <c r="B2029" t="s">
        <v>171</v>
      </c>
      <c r="C2029" t="s">
        <v>172</v>
      </c>
      <c r="D2029" t="s">
        <v>23</v>
      </c>
      <c r="E2029" t="s">
        <v>33</v>
      </c>
      <c r="F2029" t="s">
        <v>75</v>
      </c>
      <c r="G2029" t="s">
        <v>59</v>
      </c>
      <c r="H2029" t="s">
        <v>51</v>
      </c>
      <c r="I2029" t="s">
        <v>37</v>
      </c>
      <c r="J2029" t="s">
        <v>45</v>
      </c>
      <c r="K2029">
        <v>13355</v>
      </c>
      <c r="L2029">
        <v>127</v>
      </c>
      <c r="M2029">
        <v>88.23</v>
      </c>
      <c r="N2029">
        <v>0</v>
      </c>
      <c r="O2029">
        <v>0</v>
      </c>
      <c r="P2029">
        <f t="shared" si="124"/>
        <v>9.5095469861475098E-3</v>
      </c>
      <c r="Q2029">
        <f t="shared" si="124"/>
        <v>0.69472440944881897</v>
      </c>
      <c r="R2029">
        <f t="shared" si="125"/>
        <v>0</v>
      </c>
      <c r="S2029">
        <f t="shared" si="126"/>
        <v>0</v>
      </c>
      <c r="T2029">
        <f t="shared" si="127"/>
        <v>0</v>
      </c>
      <c r="U2029" t="str">
        <f>YEAR('Campaign Data'!$A2029)&amp;"-"&amp;TEXT(MONTH('Campaign Data'!$A2029),"00")</f>
        <v>2026-04</v>
      </c>
    </row>
    <row r="2030" spans="1:21" x14ac:dyDescent="0.25">
      <c r="A2030">
        <v>46133</v>
      </c>
      <c r="B2030" t="s">
        <v>140</v>
      </c>
      <c r="C2030" t="s">
        <v>40</v>
      </c>
      <c r="D2030" t="s">
        <v>41</v>
      </c>
      <c r="E2030" t="s">
        <v>42</v>
      </c>
      <c r="F2030" t="s">
        <v>43</v>
      </c>
      <c r="G2030" t="s">
        <v>44</v>
      </c>
      <c r="H2030" t="s">
        <v>51</v>
      </c>
      <c r="I2030" t="s">
        <v>28</v>
      </c>
      <c r="J2030" t="s">
        <v>45</v>
      </c>
      <c r="K2030">
        <v>12173</v>
      </c>
      <c r="L2030">
        <v>96</v>
      </c>
      <c r="M2030">
        <v>526.17999999999995</v>
      </c>
      <c r="N2030">
        <v>2</v>
      </c>
      <c r="O2030">
        <v>57.17</v>
      </c>
      <c r="P2030">
        <f t="shared" si="124"/>
        <v>7.8863057586461838E-3</v>
      </c>
      <c r="Q2030">
        <f t="shared" si="124"/>
        <v>5.4810416666666661</v>
      </c>
      <c r="R2030">
        <f t="shared" si="125"/>
        <v>263.08999999999997</v>
      </c>
      <c r="S2030">
        <f t="shared" si="126"/>
        <v>0.1086510319662473</v>
      </c>
      <c r="T2030">
        <f t="shared" si="127"/>
        <v>2.0833333333333332E-2</v>
      </c>
      <c r="U2030" t="str">
        <f>YEAR('Campaign Data'!$A2030)&amp;"-"&amp;TEXT(MONTH('Campaign Data'!$A2030),"00")</f>
        <v>2026-04</v>
      </c>
    </row>
    <row r="2031" spans="1:21" x14ac:dyDescent="0.25">
      <c r="A2031">
        <v>46133</v>
      </c>
      <c r="B2031" t="s">
        <v>140</v>
      </c>
      <c r="C2031" t="s">
        <v>40</v>
      </c>
      <c r="D2031" t="s">
        <v>41</v>
      </c>
      <c r="E2031" t="s">
        <v>42</v>
      </c>
      <c r="F2031" t="s">
        <v>43</v>
      </c>
      <c r="G2031" t="s">
        <v>44</v>
      </c>
      <c r="H2031" t="s">
        <v>90</v>
      </c>
      <c r="I2031" t="s">
        <v>37</v>
      </c>
      <c r="J2031" t="s">
        <v>45</v>
      </c>
      <c r="K2031">
        <v>15325</v>
      </c>
      <c r="L2031">
        <v>80</v>
      </c>
      <c r="M2031">
        <v>136.03</v>
      </c>
      <c r="N2031">
        <v>1</v>
      </c>
      <c r="O2031">
        <v>5.17</v>
      </c>
      <c r="P2031">
        <f t="shared" si="124"/>
        <v>5.2202283849918435E-3</v>
      </c>
      <c r="Q2031">
        <f t="shared" si="124"/>
        <v>1.700375</v>
      </c>
      <c r="R2031">
        <f t="shared" si="125"/>
        <v>136.03</v>
      </c>
      <c r="S2031">
        <f t="shared" si="126"/>
        <v>3.8006322134823203E-2</v>
      </c>
      <c r="T2031">
        <f t="shared" si="127"/>
        <v>1.2500000000000001E-2</v>
      </c>
      <c r="U2031" t="str">
        <f>YEAR('Campaign Data'!$A2031)&amp;"-"&amp;TEXT(MONTH('Campaign Data'!$A2031),"00")</f>
        <v>2026-04</v>
      </c>
    </row>
    <row r="2032" spans="1:21" x14ac:dyDescent="0.25">
      <c r="A2032">
        <v>46133</v>
      </c>
      <c r="B2032" t="s">
        <v>134</v>
      </c>
      <c r="C2032" t="s">
        <v>135</v>
      </c>
      <c r="D2032" t="s">
        <v>32</v>
      </c>
      <c r="E2032" t="s">
        <v>74</v>
      </c>
      <c r="F2032" t="s">
        <v>25</v>
      </c>
      <c r="G2032" t="s">
        <v>107</v>
      </c>
      <c r="H2032" t="s">
        <v>36</v>
      </c>
      <c r="I2032" t="s">
        <v>37</v>
      </c>
      <c r="J2032" t="s">
        <v>87</v>
      </c>
      <c r="K2032">
        <v>4950</v>
      </c>
      <c r="L2032">
        <v>182</v>
      </c>
      <c r="M2032">
        <v>311.02999999999997</v>
      </c>
      <c r="N2032">
        <v>6</v>
      </c>
      <c r="O2032">
        <v>370.97</v>
      </c>
      <c r="P2032">
        <f t="shared" si="124"/>
        <v>3.6767676767676769E-2</v>
      </c>
      <c r="Q2032">
        <f t="shared" si="124"/>
        <v>1.7089560439560438</v>
      </c>
      <c r="R2032">
        <f t="shared" si="125"/>
        <v>51.838333333333331</v>
      </c>
      <c r="S2032">
        <f t="shared" si="126"/>
        <v>1.1927145291450987</v>
      </c>
      <c r="T2032">
        <f t="shared" si="127"/>
        <v>3.2967032967032968E-2</v>
      </c>
      <c r="U2032" t="str">
        <f>YEAR('Campaign Data'!$A2032)&amp;"-"&amp;TEXT(MONTH('Campaign Data'!$A2032),"00")</f>
        <v>2026-04</v>
      </c>
    </row>
    <row r="2033" spans="1:21" x14ac:dyDescent="0.25">
      <c r="A2033">
        <v>46133</v>
      </c>
      <c r="B2033" t="s">
        <v>161</v>
      </c>
      <c r="C2033" t="s">
        <v>162</v>
      </c>
      <c r="D2033" t="s">
        <v>48</v>
      </c>
      <c r="E2033" t="s">
        <v>74</v>
      </c>
      <c r="F2033" t="s">
        <v>34</v>
      </c>
      <c r="G2033" t="s">
        <v>107</v>
      </c>
      <c r="H2033" t="s">
        <v>27</v>
      </c>
      <c r="I2033" t="s">
        <v>37</v>
      </c>
      <c r="J2033" t="s">
        <v>62</v>
      </c>
      <c r="K2033">
        <v>5998</v>
      </c>
      <c r="L2033">
        <v>205</v>
      </c>
      <c r="M2033">
        <v>379.03</v>
      </c>
      <c r="N2033">
        <v>18</v>
      </c>
      <c r="O2033">
        <v>1873.28</v>
      </c>
      <c r="P2033">
        <f t="shared" si="124"/>
        <v>3.4178059353117705E-2</v>
      </c>
      <c r="Q2033">
        <f t="shared" si="124"/>
        <v>1.8489268292682925</v>
      </c>
      <c r="R2033">
        <f t="shared" si="125"/>
        <v>21.057222222222222</v>
      </c>
      <c r="S2033">
        <f t="shared" si="126"/>
        <v>4.9423000817877218</v>
      </c>
      <c r="T2033">
        <f t="shared" si="127"/>
        <v>8.7804878048780483E-2</v>
      </c>
      <c r="U2033" t="str">
        <f>YEAR('Campaign Data'!$A2033)&amp;"-"&amp;TEXT(MONTH('Campaign Data'!$A2033),"00")</f>
        <v>2026-04</v>
      </c>
    </row>
    <row r="2034" spans="1:21" x14ac:dyDescent="0.25">
      <c r="A2034">
        <v>46133</v>
      </c>
      <c r="B2034" t="s">
        <v>114</v>
      </c>
      <c r="C2034" t="s">
        <v>115</v>
      </c>
      <c r="D2034" t="s">
        <v>69</v>
      </c>
      <c r="E2034" t="s">
        <v>49</v>
      </c>
      <c r="F2034" t="s">
        <v>25</v>
      </c>
      <c r="G2034" t="s">
        <v>107</v>
      </c>
      <c r="H2034" t="s">
        <v>51</v>
      </c>
      <c r="I2034" t="s">
        <v>37</v>
      </c>
      <c r="J2034" t="s">
        <v>87</v>
      </c>
      <c r="K2034">
        <v>9140</v>
      </c>
      <c r="L2034">
        <v>457</v>
      </c>
      <c r="M2034">
        <v>686.47</v>
      </c>
      <c r="N2034">
        <v>13</v>
      </c>
      <c r="O2034">
        <v>2217.09</v>
      </c>
      <c r="P2034">
        <f t="shared" si="124"/>
        <v>0.05</v>
      </c>
      <c r="Q2034">
        <f t="shared" si="124"/>
        <v>1.5021225382932166</v>
      </c>
      <c r="R2034">
        <f t="shared" si="125"/>
        <v>52.805384615384618</v>
      </c>
      <c r="S2034">
        <f t="shared" si="126"/>
        <v>3.2296968549244687</v>
      </c>
      <c r="T2034">
        <f t="shared" si="127"/>
        <v>2.8446389496717725E-2</v>
      </c>
      <c r="U2034" t="str">
        <f>YEAR('Campaign Data'!$A2034)&amp;"-"&amp;TEXT(MONTH('Campaign Data'!$A2034),"00")</f>
        <v>2026-04</v>
      </c>
    </row>
    <row r="2035" spans="1:21" x14ac:dyDescent="0.25">
      <c r="A2035">
        <v>46133</v>
      </c>
      <c r="B2035" t="s">
        <v>56</v>
      </c>
      <c r="C2035" t="s">
        <v>57</v>
      </c>
      <c r="D2035" t="s">
        <v>58</v>
      </c>
      <c r="E2035" t="s">
        <v>33</v>
      </c>
      <c r="F2035" t="s">
        <v>43</v>
      </c>
      <c r="G2035" t="s">
        <v>59</v>
      </c>
      <c r="H2035" t="s">
        <v>36</v>
      </c>
      <c r="I2035" t="s">
        <v>37</v>
      </c>
      <c r="J2035" t="s">
        <v>38</v>
      </c>
      <c r="K2035">
        <v>4086</v>
      </c>
      <c r="L2035">
        <v>51</v>
      </c>
      <c r="M2035">
        <v>33.700000000000003</v>
      </c>
      <c r="N2035">
        <v>0</v>
      </c>
      <c r="O2035">
        <v>0</v>
      </c>
      <c r="P2035">
        <f t="shared" si="124"/>
        <v>1.2481644640234948E-2</v>
      </c>
      <c r="Q2035">
        <f t="shared" si="124"/>
        <v>0.66078431372549029</v>
      </c>
      <c r="R2035">
        <f t="shared" si="125"/>
        <v>0</v>
      </c>
      <c r="S2035">
        <f t="shared" si="126"/>
        <v>0</v>
      </c>
      <c r="T2035">
        <f t="shared" si="127"/>
        <v>0</v>
      </c>
      <c r="U2035" t="str">
        <f>YEAR('Campaign Data'!$A2035)&amp;"-"&amp;TEXT(MONTH('Campaign Data'!$A2035),"00")</f>
        <v>2026-04</v>
      </c>
    </row>
    <row r="2036" spans="1:21" x14ac:dyDescent="0.25">
      <c r="A2036">
        <v>46133</v>
      </c>
      <c r="B2036" t="s">
        <v>72</v>
      </c>
      <c r="C2036" t="s">
        <v>73</v>
      </c>
      <c r="D2036" t="s">
        <v>69</v>
      </c>
      <c r="E2036" t="s">
        <v>74</v>
      </c>
      <c r="F2036" t="s">
        <v>75</v>
      </c>
      <c r="G2036" t="s">
        <v>9</v>
      </c>
      <c r="H2036" t="s">
        <v>60</v>
      </c>
      <c r="I2036" t="s">
        <v>28</v>
      </c>
      <c r="J2036" t="s">
        <v>45</v>
      </c>
      <c r="K2036">
        <v>18939</v>
      </c>
      <c r="L2036">
        <v>421</v>
      </c>
      <c r="M2036">
        <v>415.81</v>
      </c>
      <c r="N2036">
        <v>18</v>
      </c>
      <c r="O2036">
        <v>436.05</v>
      </c>
      <c r="P2036">
        <f t="shared" si="124"/>
        <v>2.2229262368657268E-2</v>
      </c>
      <c r="Q2036">
        <f t="shared" si="124"/>
        <v>0.98767220902612829</v>
      </c>
      <c r="R2036">
        <f t="shared" si="125"/>
        <v>23.100555555555555</v>
      </c>
      <c r="S2036">
        <f t="shared" si="126"/>
        <v>1.0486760780164017</v>
      </c>
      <c r="T2036">
        <f t="shared" si="127"/>
        <v>4.2755344418052253E-2</v>
      </c>
      <c r="U2036" t="str">
        <f>YEAR('Campaign Data'!$A2036)&amp;"-"&amp;TEXT(MONTH('Campaign Data'!$A2036),"00")</f>
        <v>2026-04</v>
      </c>
    </row>
    <row r="2037" spans="1:21" x14ac:dyDescent="0.25">
      <c r="A2037">
        <v>46133</v>
      </c>
      <c r="B2037" t="s">
        <v>116</v>
      </c>
      <c r="C2037" t="s">
        <v>117</v>
      </c>
      <c r="D2037" t="s">
        <v>48</v>
      </c>
      <c r="E2037" t="s">
        <v>24</v>
      </c>
      <c r="F2037" t="s">
        <v>43</v>
      </c>
      <c r="G2037" t="s">
        <v>26</v>
      </c>
      <c r="H2037" t="s">
        <v>36</v>
      </c>
      <c r="I2037" t="s">
        <v>28</v>
      </c>
      <c r="J2037" t="s">
        <v>62</v>
      </c>
      <c r="K2037">
        <v>7551</v>
      </c>
      <c r="L2037">
        <v>110</v>
      </c>
      <c r="M2037">
        <v>77.900000000000006</v>
      </c>
      <c r="N2037">
        <v>7</v>
      </c>
      <c r="O2037">
        <v>143.80000000000001</v>
      </c>
      <c r="P2037">
        <f t="shared" si="124"/>
        <v>1.4567606939478214E-2</v>
      </c>
      <c r="Q2037">
        <f t="shared" si="124"/>
        <v>0.70818181818181825</v>
      </c>
      <c r="R2037">
        <f t="shared" si="125"/>
        <v>11.12857142857143</v>
      </c>
      <c r="S2037">
        <f t="shared" si="126"/>
        <v>1.8459563543003852</v>
      </c>
      <c r="T2037">
        <f t="shared" si="127"/>
        <v>6.363636363636363E-2</v>
      </c>
      <c r="U2037" t="str">
        <f>YEAR('Campaign Data'!$A2037)&amp;"-"&amp;TEXT(MONTH('Campaign Data'!$A2037),"00")</f>
        <v>2026-04</v>
      </c>
    </row>
    <row r="2038" spans="1:21" x14ac:dyDescent="0.25">
      <c r="A2038">
        <v>46133</v>
      </c>
      <c r="B2038" t="s">
        <v>163</v>
      </c>
      <c r="C2038" t="s">
        <v>164</v>
      </c>
      <c r="D2038" t="s">
        <v>58</v>
      </c>
      <c r="E2038" t="s">
        <v>42</v>
      </c>
      <c r="F2038" t="s">
        <v>43</v>
      </c>
      <c r="G2038" t="s">
        <v>44</v>
      </c>
      <c r="H2038" t="s">
        <v>71</v>
      </c>
      <c r="I2038" t="s">
        <v>37</v>
      </c>
      <c r="J2038" t="s">
        <v>62</v>
      </c>
      <c r="K2038">
        <v>4837</v>
      </c>
      <c r="L2038">
        <v>29</v>
      </c>
      <c r="M2038">
        <v>157.80000000000001</v>
      </c>
      <c r="N2038">
        <v>0</v>
      </c>
      <c r="O2038">
        <v>0</v>
      </c>
      <c r="P2038">
        <f t="shared" si="124"/>
        <v>5.9954517262766176E-3</v>
      </c>
      <c r="Q2038">
        <f t="shared" si="124"/>
        <v>5.4413793103448276</v>
      </c>
      <c r="R2038">
        <f t="shared" si="125"/>
        <v>0</v>
      </c>
      <c r="S2038">
        <f t="shared" si="126"/>
        <v>0</v>
      </c>
      <c r="T2038">
        <f t="shared" si="127"/>
        <v>0</v>
      </c>
      <c r="U2038" t="str">
        <f>YEAR('Campaign Data'!$A2038)&amp;"-"&amp;TEXT(MONTH('Campaign Data'!$A2038),"00")</f>
        <v>2026-04</v>
      </c>
    </row>
    <row r="2039" spans="1:21" x14ac:dyDescent="0.25">
      <c r="A2039">
        <v>46133</v>
      </c>
      <c r="B2039" t="s">
        <v>76</v>
      </c>
      <c r="C2039" t="s">
        <v>77</v>
      </c>
      <c r="D2039" t="s">
        <v>65</v>
      </c>
      <c r="E2039" t="s">
        <v>42</v>
      </c>
      <c r="F2039" t="s">
        <v>43</v>
      </c>
      <c r="G2039" t="s">
        <v>44</v>
      </c>
      <c r="H2039" t="s">
        <v>36</v>
      </c>
      <c r="I2039" t="s">
        <v>28</v>
      </c>
      <c r="J2039" t="s">
        <v>45</v>
      </c>
      <c r="K2039">
        <v>5842</v>
      </c>
      <c r="L2039">
        <v>15</v>
      </c>
      <c r="M2039">
        <v>63.38</v>
      </c>
      <c r="N2039">
        <v>0</v>
      </c>
      <c r="O2039">
        <v>0</v>
      </c>
      <c r="P2039">
        <f t="shared" si="124"/>
        <v>2.5676138308798357E-3</v>
      </c>
      <c r="Q2039">
        <f t="shared" si="124"/>
        <v>4.2253333333333334</v>
      </c>
      <c r="R2039">
        <f t="shared" si="125"/>
        <v>0</v>
      </c>
      <c r="S2039">
        <f t="shared" si="126"/>
        <v>0</v>
      </c>
      <c r="T2039">
        <f t="shared" si="127"/>
        <v>0</v>
      </c>
      <c r="U2039" t="str">
        <f>YEAR('Campaign Data'!$A2039)&amp;"-"&amp;TEXT(MONTH('Campaign Data'!$A2039),"00")</f>
        <v>2026-04</v>
      </c>
    </row>
    <row r="2040" spans="1:21" x14ac:dyDescent="0.25">
      <c r="A2040">
        <v>46133</v>
      </c>
      <c r="B2040" t="s">
        <v>122</v>
      </c>
      <c r="C2040" t="s">
        <v>123</v>
      </c>
      <c r="D2040" t="s">
        <v>41</v>
      </c>
      <c r="E2040" t="s">
        <v>33</v>
      </c>
      <c r="F2040" t="s">
        <v>75</v>
      </c>
      <c r="G2040" t="s">
        <v>35</v>
      </c>
      <c r="H2040" t="s">
        <v>71</v>
      </c>
      <c r="I2040" t="s">
        <v>61</v>
      </c>
      <c r="J2040" t="s">
        <v>45</v>
      </c>
      <c r="K2040">
        <v>23548</v>
      </c>
      <c r="L2040">
        <v>234</v>
      </c>
      <c r="M2040">
        <v>148.37</v>
      </c>
      <c r="N2040">
        <v>1</v>
      </c>
      <c r="O2040">
        <v>35.119999999999997</v>
      </c>
      <c r="P2040">
        <f t="shared" si="124"/>
        <v>9.9371496517750985E-3</v>
      </c>
      <c r="Q2040">
        <f t="shared" si="124"/>
        <v>0.63405982905982905</v>
      </c>
      <c r="R2040">
        <f t="shared" si="125"/>
        <v>148.37</v>
      </c>
      <c r="S2040">
        <f t="shared" si="126"/>
        <v>0.23670553346363818</v>
      </c>
      <c r="T2040">
        <f t="shared" si="127"/>
        <v>4.2735042735042739E-3</v>
      </c>
      <c r="U2040" t="str">
        <f>YEAR('Campaign Data'!$A2040)&amp;"-"&amp;TEXT(MONTH('Campaign Data'!$A2040),"00")</f>
        <v>2026-04</v>
      </c>
    </row>
    <row r="2041" spans="1:21" x14ac:dyDescent="0.25">
      <c r="A2041">
        <v>46134</v>
      </c>
      <c r="B2041" t="s">
        <v>165</v>
      </c>
      <c r="C2041" t="s">
        <v>166</v>
      </c>
      <c r="D2041" t="s">
        <v>41</v>
      </c>
      <c r="E2041" t="s">
        <v>33</v>
      </c>
      <c r="F2041" t="s">
        <v>43</v>
      </c>
      <c r="G2041" t="s">
        <v>59</v>
      </c>
      <c r="H2041" t="s">
        <v>36</v>
      </c>
      <c r="I2041" t="s">
        <v>37</v>
      </c>
      <c r="J2041" t="s">
        <v>29</v>
      </c>
      <c r="K2041">
        <v>6813</v>
      </c>
      <c r="L2041">
        <v>79</v>
      </c>
      <c r="M2041">
        <v>56.59</v>
      </c>
      <c r="N2041">
        <v>0</v>
      </c>
      <c r="O2041">
        <v>0</v>
      </c>
      <c r="P2041">
        <f t="shared" si="124"/>
        <v>1.1595479230882137E-2</v>
      </c>
      <c r="Q2041">
        <f t="shared" si="124"/>
        <v>0.71632911392405063</v>
      </c>
      <c r="R2041">
        <f t="shared" si="125"/>
        <v>0</v>
      </c>
      <c r="S2041">
        <f t="shared" si="126"/>
        <v>0</v>
      </c>
      <c r="T2041">
        <f t="shared" si="127"/>
        <v>0</v>
      </c>
      <c r="U2041" t="str">
        <f>YEAR('Campaign Data'!$A2041)&amp;"-"&amp;TEXT(MONTH('Campaign Data'!$A2041),"00")</f>
        <v>2026-04</v>
      </c>
    </row>
    <row r="2042" spans="1:21" x14ac:dyDescent="0.25">
      <c r="A2042">
        <v>46134</v>
      </c>
      <c r="B2042" t="s">
        <v>85</v>
      </c>
      <c r="C2042" t="s">
        <v>86</v>
      </c>
      <c r="D2042" t="s">
        <v>80</v>
      </c>
      <c r="E2042" t="s">
        <v>33</v>
      </c>
      <c r="F2042" t="s">
        <v>43</v>
      </c>
      <c r="G2042" t="s">
        <v>35</v>
      </c>
      <c r="H2042" t="s">
        <v>90</v>
      </c>
      <c r="I2042" t="s">
        <v>37</v>
      </c>
      <c r="J2042" t="s">
        <v>62</v>
      </c>
      <c r="K2042">
        <v>4350</v>
      </c>
      <c r="L2042">
        <v>48</v>
      </c>
      <c r="M2042">
        <v>7.86</v>
      </c>
      <c r="N2042">
        <v>0</v>
      </c>
      <c r="O2042">
        <v>0</v>
      </c>
      <c r="P2042">
        <f t="shared" si="124"/>
        <v>1.1034482758620689E-2</v>
      </c>
      <c r="Q2042">
        <f t="shared" si="124"/>
        <v>0.16375000000000001</v>
      </c>
      <c r="R2042">
        <f t="shared" si="125"/>
        <v>0</v>
      </c>
      <c r="S2042">
        <f t="shared" si="126"/>
        <v>0</v>
      </c>
      <c r="T2042">
        <f t="shared" si="127"/>
        <v>0</v>
      </c>
      <c r="U2042" t="str">
        <f>YEAR('Campaign Data'!$A2042)&amp;"-"&amp;TEXT(MONTH('Campaign Data'!$A2042),"00")</f>
        <v>2026-04</v>
      </c>
    </row>
    <row r="2043" spans="1:21" x14ac:dyDescent="0.25">
      <c r="A2043">
        <v>46134</v>
      </c>
      <c r="B2043" t="s">
        <v>149</v>
      </c>
      <c r="C2043" t="s">
        <v>150</v>
      </c>
      <c r="D2043" t="s">
        <v>65</v>
      </c>
      <c r="E2043" t="s">
        <v>33</v>
      </c>
      <c r="F2043" t="s">
        <v>43</v>
      </c>
      <c r="G2043" t="s">
        <v>59</v>
      </c>
      <c r="H2043" t="s">
        <v>55</v>
      </c>
      <c r="I2043" t="s">
        <v>37</v>
      </c>
      <c r="J2043" t="s">
        <v>62</v>
      </c>
      <c r="K2043">
        <v>20509</v>
      </c>
      <c r="L2043">
        <v>250</v>
      </c>
      <c r="M2043">
        <v>133.47999999999999</v>
      </c>
      <c r="N2043">
        <v>12</v>
      </c>
      <c r="O2043">
        <v>233.85</v>
      </c>
      <c r="P2043">
        <f t="shared" si="124"/>
        <v>1.2189770344726705E-2</v>
      </c>
      <c r="Q2043">
        <f t="shared" si="124"/>
        <v>0.53391999999999995</v>
      </c>
      <c r="R2043">
        <f t="shared" si="125"/>
        <v>11.123333333333333</v>
      </c>
      <c r="S2043">
        <f t="shared" si="126"/>
        <v>1.7519478573569074</v>
      </c>
      <c r="T2043">
        <f t="shared" si="127"/>
        <v>4.8000000000000001E-2</v>
      </c>
      <c r="U2043" t="str">
        <f>YEAR('Campaign Data'!$A2043)&amp;"-"&amp;TEXT(MONTH('Campaign Data'!$A2043),"00")</f>
        <v>2026-04</v>
      </c>
    </row>
    <row r="2044" spans="1:21" x14ac:dyDescent="0.25">
      <c r="A2044">
        <v>46134</v>
      </c>
      <c r="B2044" t="s">
        <v>52</v>
      </c>
      <c r="C2044" t="s">
        <v>53</v>
      </c>
      <c r="D2044" t="s">
        <v>32</v>
      </c>
      <c r="E2044" t="s">
        <v>42</v>
      </c>
      <c r="F2044" t="s">
        <v>25</v>
      </c>
      <c r="G2044" t="s">
        <v>54</v>
      </c>
      <c r="H2044" t="s">
        <v>36</v>
      </c>
      <c r="I2044" t="s">
        <v>28</v>
      </c>
      <c r="J2044" t="s">
        <v>87</v>
      </c>
      <c r="K2044">
        <v>3631</v>
      </c>
      <c r="L2044">
        <v>22</v>
      </c>
      <c r="M2044">
        <v>125.69</v>
      </c>
      <c r="N2044">
        <v>1</v>
      </c>
      <c r="O2044">
        <v>106.53</v>
      </c>
      <c r="P2044">
        <f t="shared" si="124"/>
        <v>6.0589369319746624E-3</v>
      </c>
      <c r="Q2044">
        <f t="shared" si="124"/>
        <v>5.7131818181818179</v>
      </c>
      <c r="R2044">
        <f t="shared" si="125"/>
        <v>125.69</v>
      </c>
      <c r="S2044">
        <f t="shared" si="126"/>
        <v>0.84756146073673322</v>
      </c>
      <c r="T2044">
        <f t="shared" si="127"/>
        <v>4.5454545454545456E-2</v>
      </c>
      <c r="U2044" t="str">
        <f>YEAR('Campaign Data'!$A2044)&amp;"-"&amp;TEXT(MONTH('Campaign Data'!$A2044),"00")</f>
        <v>2026-04</v>
      </c>
    </row>
    <row r="2045" spans="1:21" x14ac:dyDescent="0.25">
      <c r="A2045">
        <v>46134</v>
      </c>
      <c r="B2045" t="s">
        <v>169</v>
      </c>
      <c r="C2045" t="s">
        <v>170</v>
      </c>
      <c r="D2045" t="s">
        <v>58</v>
      </c>
      <c r="E2045" t="s">
        <v>74</v>
      </c>
      <c r="F2045" t="s">
        <v>75</v>
      </c>
      <c r="G2045" t="s">
        <v>9</v>
      </c>
      <c r="H2045" t="s">
        <v>90</v>
      </c>
      <c r="I2045" t="s">
        <v>37</v>
      </c>
      <c r="J2045" t="s">
        <v>38</v>
      </c>
      <c r="K2045">
        <v>9114</v>
      </c>
      <c r="L2045">
        <v>351</v>
      </c>
      <c r="M2045">
        <v>193.01</v>
      </c>
      <c r="N2045">
        <v>9</v>
      </c>
      <c r="O2045">
        <v>119.73</v>
      </c>
      <c r="P2045">
        <f t="shared" si="124"/>
        <v>3.8512179065174457E-2</v>
      </c>
      <c r="Q2045">
        <f t="shared" si="124"/>
        <v>0.5498860398860399</v>
      </c>
      <c r="R2045">
        <f t="shared" si="125"/>
        <v>21.445555555555554</v>
      </c>
      <c r="S2045">
        <f t="shared" si="126"/>
        <v>0.62033055282109739</v>
      </c>
      <c r="T2045">
        <f t="shared" si="127"/>
        <v>2.564102564102564E-2</v>
      </c>
      <c r="U2045" t="str">
        <f>YEAR('Campaign Data'!$A2045)&amp;"-"&amp;TEXT(MONTH('Campaign Data'!$A2045),"00")</f>
        <v>2026-04</v>
      </c>
    </row>
    <row r="2046" spans="1:21" x14ac:dyDescent="0.25">
      <c r="A2046">
        <v>46134</v>
      </c>
      <c r="B2046" t="s">
        <v>127</v>
      </c>
      <c r="C2046" t="s">
        <v>128</v>
      </c>
      <c r="D2046" t="s">
        <v>58</v>
      </c>
      <c r="E2046" t="s">
        <v>24</v>
      </c>
      <c r="F2046" t="s">
        <v>81</v>
      </c>
      <c r="G2046" t="s">
        <v>129</v>
      </c>
      <c r="H2046" t="s">
        <v>27</v>
      </c>
      <c r="I2046" t="s">
        <v>28</v>
      </c>
      <c r="J2046" t="s">
        <v>87</v>
      </c>
      <c r="K2046">
        <v>6860</v>
      </c>
      <c r="L2046">
        <v>32</v>
      </c>
      <c r="M2046">
        <v>39.42</v>
      </c>
      <c r="N2046">
        <v>1</v>
      </c>
      <c r="O2046">
        <v>32.33</v>
      </c>
      <c r="P2046">
        <f t="shared" si="124"/>
        <v>4.6647230320699708E-3</v>
      </c>
      <c r="Q2046">
        <f t="shared" si="124"/>
        <v>1.2318750000000001</v>
      </c>
      <c r="R2046">
        <f t="shared" si="125"/>
        <v>39.42</v>
      </c>
      <c r="S2046">
        <f t="shared" si="126"/>
        <v>0.82014205986808719</v>
      </c>
      <c r="T2046">
        <f t="shared" si="127"/>
        <v>3.125E-2</v>
      </c>
      <c r="U2046" t="str">
        <f>YEAR('Campaign Data'!$A2046)&amp;"-"&amp;TEXT(MONTH('Campaign Data'!$A2046),"00")</f>
        <v>2026-04</v>
      </c>
    </row>
    <row r="2047" spans="1:21" x14ac:dyDescent="0.25">
      <c r="A2047">
        <v>46134</v>
      </c>
      <c r="B2047" t="s">
        <v>105</v>
      </c>
      <c r="C2047" t="s">
        <v>106</v>
      </c>
      <c r="D2047" t="s">
        <v>58</v>
      </c>
      <c r="E2047" t="s">
        <v>49</v>
      </c>
      <c r="F2047" t="s">
        <v>81</v>
      </c>
      <c r="G2047" t="s">
        <v>107</v>
      </c>
      <c r="H2047" t="s">
        <v>36</v>
      </c>
      <c r="I2047" t="s">
        <v>28</v>
      </c>
      <c r="J2047" t="s">
        <v>45</v>
      </c>
      <c r="K2047">
        <v>3098</v>
      </c>
      <c r="L2047">
        <v>151</v>
      </c>
      <c r="M2047">
        <v>299.29000000000002</v>
      </c>
      <c r="N2047">
        <v>12</v>
      </c>
      <c r="O2047">
        <v>248.71</v>
      </c>
      <c r="P2047">
        <f t="shared" si="124"/>
        <v>4.8741123305358298E-2</v>
      </c>
      <c r="Q2047">
        <f t="shared" si="124"/>
        <v>1.9820529801324505</v>
      </c>
      <c r="R2047">
        <f t="shared" si="125"/>
        <v>24.940833333333334</v>
      </c>
      <c r="S2047">
        <f t="shared" si="126"/>
        <v>0.83100003341240936</v>
      </c>
      <c r="T2047">
        <f t="shared" si="127"/>
        <v>7.9470198675496692E-2</v>
      </c>
      <c r="U2047" t="str">
        <f>YEAR('Campaign Data'!$A2047)&amp;"-"&amp;TEXT(MONTH('Campaign Data'!$A2047),"00")</f>
        <v>2026-04</v>
      </c>
    </row>
    <row r="2048" spans="1:21" x14ac:dyDescent="0.25">
      <c r="A2048">
        <v>46134</v>
      </c>
      <c r="B2048" t="s">
        <v>132</v>
      </c>
      <c r="C2048" t="s">
        <v>133</v>
      </c>
      <c r="D2048" t="s">
        <v>23</v>
      </c>
      <c r="E2048" t="s">
        <v>42</v>
      </c>
      <c r="F2048" t="s">
        <v>75</v>
      </c>
      <c r="G2048" t="s">
        <v>84</v>
      </c>
      <c r="H2048" t="s">
        <v>27</v>
      </c>
      <c r="I2048" t="s">
        <v>37</v>
      </c>
      <c r="J2048" t="s">
        <v>62</v>
      </c>
      <c r="K2048">
        <v>9657</v>
      </c>
      <c r="L2048">
        <v>72</v>
      </c>
      <c r="M2048">
        <v>506.34</v>
      </c>
      <c r="N2048">
        <v>1</v>
      </c>
      <c r="O2048">
        <v>53.34</v>
      </c>
      <c r="P2048">
        <f t="shared" si="124"/>
        <v>7.4557315936626279E-3</v>
      </c>
      <c r="Q2048">
        <f t="shared" si="124"/>
        <v>7.0324999999999998</v>
      </c>
      <c r="R2048">
        <f t="shared" si="125"/>
        <v>506.34</v>
      </c>
      <c r="S2048">
        <f t="shared" si="126"/>
        <v>0.10534423509894539</v>
      </c>
      <c r="T2048">
        <f t="shared" si="127"/>
        <v>1.3888888888888888E-2</v>
      </c>
      <c r="U2048" t="str">
        <f>YEAR('Campaign Data'!$A2048)&amp;"-"&amp;TEXT(MONTH('Campaign Data'!$A2048),"00")</f>
        <v>2026-04</v>
      </c>
    </row>
    <row r="2049" spans="1:21" x14ac:dyDescent="0.25">
      <c r="A2049">
        <v>46134</v>
      </c>
      <c r="B2049" t="s">
        <v>177</v>
      </c>
      <c r="C2049" t="s">
        <v>178</v>
      </c>
      <c r="D2049" t="s">
        <v>41</v>
      </c>
      <c r="E2049" t="s">
        <v>49</v>
      </c>
      <c r="F2049" t="s">
        <v>34</v>
      </c>
      <c r="G2049" t="s">
        <v>107</v>
      </c>
      <c r="H2049" t="s">
        <v>36</v>
      </c>
      <c r="I2049" t="s">
        <v>37</v>
      </c>
      <c r="J2049" t="s">
        <v>45</v>
      </c>
      <c r="K2049">
        <v>31785</v>
      </c>
      <c r="L2049">
        <v>1119</v>
      </c>
      <c r="M2049">
        <v>2062.77</v>
      </c>
      <c r="N2049">
        <v>56</v>
      </c>
      <c r="O2049">
        <v>8686.11</v>
      </c>
      <c r="P2049">
        <f t="shared" si="124"/>
        <v>3.5205285512033981E-2</v>
      </c>
      <c r="Q2049">
        <f t="shared" si="124"/>
        <v>1.8434048257372655</v>
      </c>
      <c r="R2049">
        <f t="shared" si="125"/>
        <v>36.835178571428571</v>
      </c>
      <c r="S2049">
        <f t="shared" si="126"/>
        <v>4.2108960281563146</v>
      </c>
      <c r="T2049">
        <f t="shared" si="127"/>
        <v>5.0044682752457555E-2</v>
      </c>
      <c r="U2049" t="str">
        <f>YEAR('Campaign Data'!$A2049)&amp;"-"&amp;TEXT(MONTH('Campaign Data'!$A2049),"00")</f>
        <v>2026-04</v>
      </c>
    </row>
    <row r="2050" spans="1:21" x14ac:dyDescent="0.25">
      <c r="A2050">
        <v>46134</v>
      </c>
      <c r="B2050" t="s">
        <v>110</v>
      </c>
      <c r="C2050" t="s">
        <v>111</v>
      </c>
      <c r="D2050" t="s">
        <v>23</v>
      </c>
      <c r="E2050" t="s">
        <v>49</v>
      </c>
      <c r="F2050" t="s">
        <v>34</v>
      </c>
      <c r="G2050" t="s">
        <v>50</v>
      </c>
      <c r="H2050" t="s">
        <v>51</v>
      </c>
      <c r="I2050" t="s">
        <v>37</v>
      </c>
      <c r="J2050" t="s">
        <v>38</v>
      </c>
      <c r="K2050">
        <v>17784</v>
      </c>
      <c r="L2050">
        <v>901</v>
      </c>
      <c r="M2050">
        <v>1797.84</v>
      </c>
      <c r="N2050">
        <v>43</v>
      </c>
      <c r="O2050">
        <v>4463.37</v>
      </c>
      <c r="P2050">
        <f t="shared" ref="P2050:Q2113" si="128">IF(K2050=0,0,L2050/K2050)</f>
        <v>5.0663517768780926E-2</v>
      </c>
      <c r="Q2050">
        <f t="shared" si="128"/>
        <v>1.9953829078801331</v>
      </c>
      <c r="R2050">
        <f t="shared" ref="R2050:R2113" si="129">IF(N2050=0,0,M2050/N2050)</f>
        <v>41.810232558139532</v>
      </c>
      <c r="S2050">
        <f t="shared" ref="S2050:S2113" si="130">IF(M2050=0,0,O2050/M2050)</f>
        <v>2.4826291549859834</v>
      </c>
      <c r="T2050">
        <f t="shared" ref="T2050:T2113" si="131">IF(L2050=0,0,N2050/L2050)</f>
        <v>4.7724750277469481E-2</v>
      </c>
      <c r="U2050" t="str">
        <f>YEAR('Campaign Data'!$A2050)&amp;"-"&amp;TEXT(MONTH('Campaign Data'!$A2050),"00")</f>
        <v>2026-04</v>
      </c>
    </row>
    <row r="2051" spans="1:21" x14ac:dyDescent="0.25">
      <c r="A2051">
        <v>46134</v>
      </c>
      <c r="B2051" t="s">
        <v>155</v>
      </c>
      <c r="C2051" t="s">
        <v>156</v>
      </c>
      <c r="D2051" t="s">
        <v>32</v>
      </c>
      <c r="E2051" t="s">
        <v>24</v>
      </c>
      <c r="F2051" t="s">
        <v>34</v>
      </c>
      <c r="G2051" t="s">
        <v>129</v>
      </c>
      <c r="H2051" t="s">
        <v>36</v>
      </c>
      <c r="I2051" t="s">
        <v>37</v>
      </c>
      <c r="J2051" t="s">
        <v>87</v>
      </c>
      <c r="K2051">
        <v>8294</v>
      </c>
      <c r="L2051">
        <v>75</v>
      </c>
      <c r="M2051">
        <v>74.2</v>
      </c>
      <c r="N2051">
        <v>0</v>
      </c>
      <c r="O2051">
        <v>0</v>
      </c>
      <c r="P2051">
        <f t="shared" si="128"/>
        <v>9.0426814564745599E-3</v>
      </c>
      <c r="Q2051">
        <f t="shared" si="128"/>
        <v>0.9893333333333334</v>
      </c>
      <c r="R2051">
        <f t="shared" si="129"/>
        <v>0</v>
      </c>
      <c r="S2051">
        <f t="shared" si="130"/>
        <v>0</v>
      </c>
      <c r="T2051">
        <f t="shared" si="131"/>
        <v>0</v>
      </c>
      <c r="U2051" t="str">
        <f>YEAR('Campaign Data'!$A2051)&amp;"-"&amp;TEXT(MONTH('Campaign Data'!$A2051),"00")</f>
        <v>2026-04</v>
      </c>
    </row>
    <row r="2052" spans="1:21" x14ac:dyDescent="0.25">
      <c r="A2052">
        <v>46134</v>
      </c>
      <c r="B2052" t="s">
        <v>112</v>
      </c>
      <c r="C2052" t="s">
        <v>113</v>
      </c>
      <c r="D2052" t="s">
        <v>32</v>
      </c>
      <c r="E2052" t="s">
        <v>24</v>
      </c>
      <c r="F2052" t="s">
        <v>75</v>
      </c>
      <c r="G2052" t="s">
        <v>66</v>
      </c>
      <c r="H2052" t="s">
        <v>27</v>
      </c>
      <c r="I2052" t="s">
        <v>37</v>
      </c>
      <c r="J2052" t="s">
        <v>38</v>
      </c>
      <c r="K2052">
        <v>4132</v>
      </c>
      <c r="L2052">
        <v>52</v>
      </c>
      <c r="M2052">
        <v>67.52</v>
      </c>
      <c r="N2052">
        <v>2</v>
      </c>
      <c r="O2052">
        <v>49.84</v>
      </c>
      <c r="P2052">
        <f t="shared" si="128"/>
        <v>1.2584704743465635E-2</v>
      </c>
      <c r="Q2052">
        <f t="shared" si="128"/>
        <v>1.2984615384615383</v>
      </c>
      <c r="R2052">
        <f t="shared" si="129"/>
        <v>33.76</v>
      </c>
      <c r="S2052">
        <f t="shared" si="130"/>
        <v>0.73815165876777256</v>
      </c>
      <c r="T2052">
        <f t="shared" si="131"/>
        <v>3.8461538461538464E-2</v>
      </c>
      <c r="U2052" t="str">
        <f>YEAR('Campaign Data'!$A2052)&amp;"-"&amp;TEXT(MONTH('Campaign Data'!$A2052),"00")</f>
        <v>2026-04</v>
      </c>
    </row>
    <row r="2053" spans="1:21" x14ac:dyDescent="0.25">
      <c r="A2053">
        <v>46134</v>
      </c>
      <c r="B2053" t="s">
        <v>159</v>
      </c>
      <c r="C2053" t="s">
        <v>160</v>
      </c>
      <c r="D2053" t="s">
        <v>65</v>
      </c>
      <c r="E2053" t="s">
        <v>42</v>
      </c>
      <c r="F2053" t="s">
        <v>75</v>
      </c>
      <c r="G2053" t="s">
        <v>54</v>
      </c>
      <c r="H2053" t="s">
        <v>90</v>
      </c>
      <c r="I2053" t="s">
        <v>37</v>
      </c>
      <c r="J2053" t="s">
        <v>38</v>
      </c>
      <c r="K2053">
        <v>14376</v>
      </c>
      <c r="L2053">
        <v>132</v>
      </c>
      <c r="M2053">
        <v>155.66</v>
      </c>
      <c r="N2053">
        <v>1</v>
      </c>
      <c r="O2053">
        <v>5.0599999999999996</v>
      </c>
      <c r="P2053">
        <f t="shared" si="128"/>
        <v>9.1819699499165273E-3</v>
      </c>
      <c r="Q2053">
        <f t="shared" si="128"/>
        <v>1.1792424242424242</v>
      </c>
      <c r="R2053">
        <f t="shared" si="129"/>
        <v>155.66</v>
      </c>
      <c r="S2053">
        <f t="shared" si="130"/>
        <v>3.2506745470898109E-2</v>
      </c>
      <c r="T2053">
        <f t="shared" si="131"/>
        <v>7.575757575757576E-3</v>
      </c>
      <c r="U2053" t="str">
        <f>YEAR('Campaign Data'!$A2053)&amp;"-"&amp;TEXT(MONTH('Campaign Data'!$A2053),"00")</f>
        <v>2026-04</v>
      </c>
    </row>
    <row r="2054" spans="1:21" x14ac:dyDescent="0.25">
      <c r="A2054">
        <v>46134</v>
      </c>
      <c r="B2054" t="s">
        <v>181</v>
      </c>
      <c r="C2054" t="s">
        <v>182</v>
      </c>
      <c r="D2054" t="s">
        <v>32</v>
      </c>
      <c r="E2054" t="s">
        <v>33</v>
      </c>
      <c r="F2054" t="s">
        <v>75</v>
      </c>
      <c r="G2054" t="s">
        <v>59</v>
      </c>
      <c r="H2054" t="s">
        <v>51</v>
      </c>
      <c r="I2054" t="s">
        <v>28</v>
      </c>
      <c r="J2054" t="s">
        <v>29</v>
      </c>
      <c r="K2054">
        <v>24225</v>
      </c>
      <c r="L2054">
        <v>152</v>
      </c>
      <c r="M2054">
        <v>103.44</v>
      </c>
      <c r="N2054">
        <v>4</v>
      </c>
      <c r="O2054">
        <v>138.22999999999999</v>
      </c>
      <c r="P2054">
        <f t="shared" si="128"/>
        <v>6.2745098039215684E-3</v>
      </c>
      <c r="Q2054">
        <f t="shared" si="128"/>
        <v>0.68052631578947365</v>
      </c>
      <c r="R2054">
        <f t="shared" si="129"/>
        <v>25.86</v>
      </c>
      <c r="S2054">
        <f t="shared" si="130"/>
        <v>1.3363302397525134</v>
      </c>
      <c r="T2054">
        <f t="shared" si="131"/>
        <v>2.6315789473684209E-2</v>
      </c>
      <c r="U2054" t="str">
        <f>YEAR('Campaign Data'!$A2054)&amp;"-"&amp;TEXT(MONTH('Campaign Data'!$A2054),"00")</f>
        <v>2026-04</v>
      </c>
    </row>
    <row r="2055" spans="1:21" x14ac:dyDescent="0.25">
      <c r="A2055">
        <v>46134</v>
      </c>
      <c r="B2055" t="s">
        <v>56</v>
      </c>
      <c r="C2055" t="s">
        <v>57</v>
      </c>
      <c r="D2055" t="s">
        <v>58</v>
      </c>
      <c r="E2055" t="s">
        <v>33</v>
      </c>
      <c r="F2055" t="s">
        <v>43</v>
      </c>
      <c r="G2055" t="s">
        <v>59</v>
      </c>
      <c r="H2055" t="s">
        <v>36</v>
      </c>
      <c r="I2055" t="s">
        <v>61</v>
      </c>
      <c r="J2055" t="s">
        <v>38</v>
      </c>
      <c r="K2055">
        <v>8313</v>
      </c>
      <c r="L2055">
        <v>94</v>
      </c>
      <c r="M2055">
        <v>66.989999999999995</v>
      </c>
      <c r="N2055">
        <v>0</v>
      </c>
      <c r="O2055">
        <v>0</v>
      </c>
      <c r="P2055">
        <f t="shared" si="128"/>
        <v>1.1307590520870926E-2</v>
      </c>
      <c r="Q2055">
        <f t="shared" si="128"/>
        <v>0.71265957446808503</v>
      </c>
      <c r="R2055">
        <f t="shared" si="129"/>
        <v>0</v>
      </c>
      <c r="S2055">
        <f t="shared" si="130"/>
        <v>0</v>
      </c>
      <c r="T2055">
        <f t="shared" si="131"/>
        <v>0</v>
      </c>
      <c r="U2055" t="str">
        <f>YEAR('Campaign Data'!$A2055)&amp;"-"&amp;TEXT(MONTH('Campaign Data'!$A2055),"00")</f>
        <v>2026-04</v>
      </c>
    </row>
    <row r="2056" spans="1:21" x14ac:dyDescent="0.25">
      <c r="A2056">
        <v>46134</v>
      </c>
      <c r="B2056" t="s">
        <v>183</v>
      </c>
      <c r="C2056" t="s">
        <v>184</v>
      </c>
      <c r="D2056" t="s">
        <v>23</v>
      </c>
      <c r="E2056" t="s">
        <v>24</v>
      </c>
      <c r="F2056" t="s">
        <v>81</v>
      </c>
      <c r="G2056" t="s">
        <v>185</v>
      </c>
      <c r="H2056" t="s">
        <v>51</v>
      </c>
      <c r="I2056" t="s">
        <v>61</v>
      </c>
      <c r="J2056" t="s">
        <v>29</v>
      </c>
      <c r="K2056">
        <v>2337</v>
      </c>
      <c r="L2056">
        <v>26</v>
      </c>
      <c r="M2056">
        <v>24.13</v>
      </c>
      <c r="N2056">
        <v>0</v>
      </c>
      <c r="O2056">
        <v>0</v>
      </c>
      <c r="P2056">
        <f t="shared" si="128"/>
        <v>1.1125374411638854E-2</v>
      </c>
      <c r="Q2056">
        <f t="shared" si="128"/>
        <v>0.92807692307692302</v>
      </c>
      <c r="R2056">
        <f t="shared" si="129"/>
        <v>0</v>
      </c>
      <c r="S2056">
        <f t="shared" si="130"/>
        <v>0</v>
      </c>
      <c r="T2056">
        <f t="shared" si="131"/>
        <v>0</v>
      </c>
      <c r="U2056" t="str">
        <f>YEAR('Campaign Data'!$A2056)&amp;"-"&amp;TEXT(MONTH('Campaign Data'!$A2056),"00")</f>
        <v>2026-04</v>
      </c>
    </row>
    <row r="2057" spans="1:21" x14ac:dyDescent="0.25">
      <c r="A2057">
        <v>46134</v>
      </c>
      <c r="B2057" t="s">
        <v>120</v>
      </c>
      <c r="C2057" t="s">
        <v>121</v>
      </c>
      <c r="D2057" t="s">
        <v>23</v>
      </c>
      <c r="E2057" t="s">
        <v>49</v>
      </c>
      <c r="F2057" t="s">
        <v>75</v>
      </c>
      <c r="G2057" t="s">
        <v>70</v>
      </c>
      <c r="H2057" t="s">
        <v>71</v>
      </c>
      <c r="I2057" t="s">
        <v>28</v>
      </c>
      <c r="J2057" t="s">
        <v>29</v>
      </c>
      <c r="K2057">
        <v>4287</v>
      </c>
      <c r="L2057">
        <v>100</v>
      </c>
      <c r="M2057">
        <v>194.74</v>
      </c>
      <c r="N2057">
        <v>6</v>
      </c>
      <c r="O2057">
        <v>157.6</v>
      </c>
      <c r="P2057">
        <f t="shared" si="128"/>
        <v>2.3326335432703522E-2</v>
      </c>
      <c r="Q2057">
        <f t="shared" si="128"/>
        <v>1.9474</v>
      </c>
      <c r="R2057">
        <f t="shared" si="129"/>
        <v>32.456666666666671</v>
      </c>
      <c r="S2057">
        <f t="shared" si="130"/>
        <v>0.80928417377015505</v>
      </c>
      <c r="T2057">
        <f t="shared" si="131"/>
        <v>0.06</v>
      </c>
      <c r="U2057" t="str">
        <f>YEAR('Campaign Data'!$A2057)&amp;"-"&amp;TEXT(MONTH('Campaign Data'!$A2057),"00")</f>
        <v>2026-04</v>
      </c>
    </row>
    <row r="2058" spans="1:21" x14ac:dyDescent="0.25">
      <c r="A2058">
        <v>46135</v>
      </c>
      <c r="B2058" t="s">
        <v>88</v>
      </c>
      <c r="C2058" t="s">
        <v>89</v>
      </c>
      <c r="D2058" t="s">
        <v>23</v>
      </c>
      <c r="E2058" t="s">
        <v>49</v>
      </c>
      <c r="F2058" t="s">
        <v>81</v>
      </c>
      <c r="G2058" t="s">
        <v>50</v>
      </c>
      <c r="H2058" t="s">
        <v>71</v>
      </c>
      <c r="I2058" t="s">
        <v>37</v>
      </c>
      <c r="J2058" t="s">
        <v>87</v>
      </c>
      <c r="K2058">
        <v>4959</v>
      </c>
      <c r="L2058">
        <v>262</v>
      </c>
      <c r="M2058">
        <v>369.31</v>
      </c>
      <c r="N2058">
        <v>8</v>
      </c>
      <c r="O2058">
        <v>79.95</v>
      </c>
      <c r="P2058">
        <f t="shared" si="128"/>
        <v>5.2833232506553737E-2</v>
      </c>
      <c r="Q2058">
        <f t="shared" si="128"/>
        <v>1.4095801526717557</v>
      </c>
      <c r="R2058">
        <f t="shared" si="129"/>
        <v>46.16375</v>
      </c>
      <c r="S2058">
        <f t="shared" si="130"/>
        <v>0.21648479597086459</v>
      </c>
      <c r="T2058">
        <f t="shared" si="131"/>
        <v>3.0534351145038167E-2</v>
      </c>
      <c r="U2058" t="str">
        <f>YEAR('Campaign Data'!$A2058)&amp;"-"&amp;TEXT(MONTH('Campaign Data'!$A2058),"00")</f>
        <v>2026-04</v>
      </c>
    </row>
    <row r="2059" spans="1:21" x14ac:dyDescent="0.25">
      <c r="A2059">
        <v>46135</v>
      </c>
      <c r="B2059" t="s">
        <v>167</v>
      </c>
      <c r="C2059" t="s">
        <v>168</v>
      </c>
      <c r="D2059" t="s">
        <v>58</v>
      </c>
      <c r="E2059" t="s">
        <v>33</v>
      </c>
      <c r="F2059" t="s">
        <v>75</v>
      </c>
      <c r="G2059" t="s">
        <v>35</v>
      </c>
      <c r="H2059" t="s">
        <v>27</v>
      </c>
      <c r="I2059" t="s">
        <v>37</v>
      </c>
      <c r="J2059" t="s">
        <v>29</v>
      </c>
      <c r="K2059">
        <v>2079</v>
      </c>
      <c r="L2059">
        <v>12</v>
      </c>
      <c r="M2059">
        <v>8.7200000000000006</v>
      </c>
      <c r="N2059">
        <v>0</v>
      </c>
      <c r="O2059">
        <v>0</v>
      </c>
      <c r="P2059">
        <f t="shared" si="128"/>
        <v>5.772005772005772E-3</v>
      </c>
      <c r="Q2059">
        <f t="shared" si="128"/>
        <v>0.72666666666666668</v>
      </c>
      <c r="R2059">
        <f t="shared" si="129"/>
        <v>0</v>
      </c>
      <c r="S2059">
        <f t="shared" si="130"/>
        <v>0</v>
      </c>
      <c r="T2059">
        <f t="shared" si="131"/>
        <v>0</v>
      </c>
      <c r="U2059" t="str">
        <f>YEAR('Campaign Data'!$A2059)&amp;"-"&amp;TEXT(MONTH('Campaign Data'!$A2059),"00")</f>
        <v>2026-04</v>
      </c>
    </row>
    <row r="2060" spans="1:21" x14ac:dyDescent="0.25">
      <c r="A2060">
        <v>46135</v>
      </c>
      <c r="B2060" t="s">
        <v>167</v>
      </c>
      <c r="C2060" t="s">
        <v>168</v>
      </c>
      <c r="D2060" t="s">
        <v>58</v>
      </c>
      <c r="E2060" t="s">
        <v>33</v>
      </c>
      <c r="F2060" t="s">
        <v>75</v>
      </c>
      <c r="G2060" t="s">
        <v>35</v>
      </c>
      <c r="H2060" t="s">
        <v>27</v>
      </c>
      <c r="I2060" t="s">
        <v>37</v>
      </c>
      <c r="J2060" t="s">
        <v>87</v>
      </c>
      <c r="K2060">
        <v>6821</v>
      </c>
      <c r="L2060">
        <v>63</v>
      </c>
      <c r="M2060">
        <v>54.65</v>
      </c>
      <c r="N2060">
        <v>1</v>
      </c>
      <c r="O2060">
        <v>28.72</v>
      </c>
      <c r="P2060">
        <f t="shared" si="128"/>
        <v>9.2361823779504477E-3</v>
      </c>
      <c r="Q2060">
        <f t="shared" si="128"/>
        <v>0.86746031746031749</v>
      </c>
      <c r="R2060">
        <f t="shared" si="129"/>
        <v>54.65</v>
      </c>
      <c r="S2060">
        <f t="shared" si="130"/>
        <v>0.52552607502287285</v>
      </c>
      <c r="T2060">
        <f t="shared" si="131"/>
        <v>1.5873015873015872E-2</v>
      </c>
      <c r="U2060" t="str">
        <f>YEAR('Campaign Data'!$A2060)&amp;"-"&amp;TEXT(MONTH('Campaign Data'!$A2060),"00")</f>
        <v>2026-04</v>
      </c>
    </row>
    <row r="2061" spans="1:21" x14ac:dyDescent="0.25">
      <c r="A2061">
        <v>46135</v>
      </c>
      <c r="B2061" t="s">
        <v>147</v>
      </c>
      <c r="C2061" t="s">
        <v>148</v>
      </c>
      <c r="D2061" t="s">
        <v>23</v>
      </c>
      <c r="E2061" t="s">
        <v>42</v>
      </c>
      <c r="F2061" t="s">
        <v>75</v>
      </c>
      <c r="G2061" t="s">
        <v>44</v>
      </c>
      <c r="H2061" t="s">
        <v>90</v>
      </c>
      <c r="I2061" t="s">
        <v>37</v>
      </c>
      <c r="J2061" t="s">
        <v>29</v>
      </c>
      <c r="K2061">
        <v>15583</v>
      </c>
      <c r="L2061">
        <v>135</v>
      </c>
      <c r="M2061">
        <v>298.52</v>
      </c>
      <c r="N2061">
        <v>6</v>
      </c>
      <c r="O2061">
        <v>48.9</v>
      </c>
      <c r="P2061">
        <f t="shared" si="128"/>
        <v>8.6632869152281338E-3</v>
      </c>
      <c r="Q2061">
        <f t="shared" si="128"/>
        <v>2.211259259259259</v>
      </c>
      <c r="R2061">
        <f t="shared" si="129"/>
        <v>49.75333333333333</v>
      </c>
      <c r="S2061">
        <f t="shared" si="130"/>
        <v>0.16380812005895753</v>
      </c>
      <c r="T2061">
        <f t="shared" si="131"/>
        <v>4.4444444444444446E-2</v>
      </c>
      <c r="U2061" t="str">
        <f>YEAR('Campaign Data'!$A2061)&amp;"-"&amp;TEXT(MONTH('Campaign Data'!$A2061),"00")</f>
        <v>2026-04</v>
      </c>
    </row>
    <row r="2062" spans="1:21" x14ac:dyDescent="0.25">
      <c r="A2062">
        <v>46135</v>
      </c>
      <c r="B2062" t="s">
        <v>138</v>
      </c>
      <c r="C2062" t="s">
        <v>139</v>
      </c>
      <c r="D2062" t="s">
        <v>58</v>
      </c>
      <c r="E2062" t="s">
        <v>74</v>
      </c>
      <c r="F2062" t="s">
        <v>34</v>
      </c>
      <c r="G2062" t="s">
        <v>9</v>
      </c>
      <c r="H2062" t="s">
        <v>71</v>
      </c>
      <c r="I2062" t="s">
        <v>28</v>
      </c>
      <c r="J2062" t="s">
        <v>38</v>
      </c>
      <c r="K2062">
        <v>6012</v>
      </c>
      <c r="L2062">
        <v>232</v>
      </c>
      <c r="M2062">
        <v>265.27999999999997</v>
      </c>
      <c r="N2062">
        <v>13</v>
      </c>
      <c r="O2062">
        <v>1316.92</v>
      </c>
      <c r="P2062">
        <f t="shared" si="128"/>
        <v>3.8589487691284098E-2</v>
      </c>
      <c r="Q2062">
        <f t="shared" si="128"/>
        <v>1.1434482758620688</v>
      </c>
      <c r="R2062">
        <f t="shared" si="129"/>
        <v>20.406153846153845</v>
      </c>
      <c r="S2062">
        <f t="shared" si="130"/>
        <v>4.964264173703258</v>
      </c>
      <c r="T2062">
        <f t="shared" si="131"/>
        <v>5.6034482758620691E-2</v>
      </c>
      <c r="U2062" t="str">
        <f>YEAR('Campaign Data'!$A2062)&amp;"-"&amp;TEXT(MONTH('Campaign Data'!$A2062),"00")</f>
        <v>2026-04</v>
      </c>
    </row>
    <row r="2063" spans="1:21" x14ac:dyDescent="0.25">
      <c r="A2063">
        <v>46135</v>
      </c>
      <c r="B2063" t="s">
        <v>95</v>
      </c>
      <c r="C2063" t="s">
        <v>96</v>
      </c>
      <c r="D2063" t="s">
        <v>23</v>
      </c>
      <c r="E2063" t="s">
        <v>49</v>
      </c>
      <c r="F2063" t="s">
        <v>43</v>
      </c>
      <c r="G2063" t="s">
        <v>97</v>
      </c>
      <c r="H2063" t="s">
        <v>60</v>
      </c>
      <c r="I2063" t="s">
        <v>37</v>
      </c>
      <c r="J2063" t="s">
        <v>62</v>
      </c>
      <c r="K2063">
        <v>4983</v>
      </c>
      <c r="L2063">
        <v>336</v>
      </c>
      <c r="M2063">
        <v>392</v>
      </c>
      <c r="N2063">
        <v>21</v>
      </c>
      <c r="O2063">
        <v>544.07000000000005</v>
      </c>
      <c r="P2063">
        <f t="shared" si="128"/>
        <v>6.7429259482239615E-2</v>
      </c>
      <c r="Q2063">
        <f t="shared" si="128"/>
        <v>1.1666666666666667</v>
      </c>
      <c r="R2063">
        <f t="shared" si="129"/>
        <v>18.666666666666668</v>
      </c>
      <c r="S2063">
        <f t="shared" si="130"/>
        <v>1.3879336734693879</v>
      </c>
      <c r="T2063">
        <f t="shared" si="131"/>
        <v>6.25E-2</v>
      </c>
      <c r="U2063" t="str">
        <f>YEAR('Campaign Data'!$A2063)&amp;"-"&amp;TEXT(MONTH('Campaign Data'!$A2063),"00")</f>
        <v>2026-04</v>
      </c>
    </row>
    <row r="2064" spans="1:21" x14ac:dyDescent="0.25">
      <c r="A2064">
        <v>46135</v>
      </c>
      <c r="B2064" t="s">
        <v>95</v>
      </c>
      <c r="C2064" t="s">
        <v>96</v>
      </c>
      <c r="D2064" t="s">
        <v>23</v>
      </c>
      <c r="E2064" t="s">
        <v>49</v>
      </c>
      <c r="F2064" t="s">
        <v>43</v>
      </c>
      <c r="G2064" t="s">
        <v>97</v>
      </c>
      <c r="H2064" t="s">
        <v>27</v>
      </c>
      <c r="I2064" t="s">
        <v>37</v>
      </c>
      <c r="J2064" t="s">
        <v>87</v>
      </c>
      <c r="K2064">
        <v>17218</v>
      </c>
      <c r="L2064">
        <v>561</v>
      </c>
      <c r="M2064">
        <v>1344.64</v>
      </c>
      <c r="N2064">
        <v>30</v>
      </c>
      <c r="O2064">
        <v>1372.75</v>
      </c>
      <c r="P2064">
        <f t="shared" si="128"/>
        <v>3.2582181438029968E-2</v>
      </c>
      <c r="Q2064">
        <f t="shared" si="128"/>
        <v>2.3968627450980393</v>
      </c>
      <c r="R2064">
        <f t="shared" si="129"/>
        <v>44.821333333333335</v>
      </c>
      <c r="S2064">
        <f t="shared" si="130"/>
        <v>1.0209052237029985</v>
      </c>
      <c r="T2064">
        <f t="shared" si="131"/>
        <v>5.3475935828877004E-2</v>
      </c>
      <c r="U2064" t="str">
        <f>YEAR('Campaign Data'!$A2064)&amp;"-"&amp;TEXT(MONTH('Campaign Data'!$A2064),"00")</f>
        <v>2026-04</v>
      </c>
    </row>
    <row r="2065" spans="1:21" x14ac:dyDescent="0.25">
      <c r="A2065">
        <v>46135</v>
      </c>
      <c r="B2065" t="s">
        <v>95</v>
      </c>
      <c r="C2065" t="s">
        <v>96</v>
      </c>
      <c r="D2065" t="s">
        <v>23</v>
      </c>
      <c r="E2065" t="s">
        <v>49</v>
      </c>
      <c r="F2065" t="s">
        <v>43</v>
      </c>
      <c r="G2065" t="s">
        <v>97</v>
      </c>
      <c r="H2065" t="s">
        <v>60</v>
      </c>
      <c r="I2065" t="s">
        <v>37</v>
      </c>
      <c r="J2065" t="s">
        <v>45</v>
      </c>
      <c r="K2065">
        <v>30002</v>
      </c>
      <c r="L2065">
        <v>1434</v>
      </c>
      <c r="M2065">
        <v>2050.44</v>
      </c>
      <c r="N2065">
        <v>63</v>
      </c>
      <c r="O2065">
        <v>1554.71</v>
      </c>
      <c r="P2065">
        <f t="shared" si="128"/>
        <v>4.7796813545763615E-2</v>
      </c>
      <c r="Q2065">
        <f t="shared" si="128"/>
        <v>1.4298744769874476</v>
      </c>
      <c r="R2065">
        <f t="shared" si="129"/>
        <v>32.546666666666667</v>
      </c>
      <c r="S2065">
        <f t="shared" si="130"/>
        <v>0.75823237939174026</v>
      </c>
      <c r="T2065">
        <f t="shared" si="131"/>
        <v>4.3933054393305436E-2</v>
      </c>
      <c r="U2065" t="str">
        <f>YEAR('Campaign Data'!$A2065)&amp;"-"&amp;TEXT(MONTH('Campaign Data'!$A2065),"00")</f>
        <v>2026-04</v>
      </c>
    </row>
    <row r="2066" spans="1:21" x14ac:dyDescent="0.25">
      <c r="A2066">
        <v>46135</v>
      </c>
      <c r="B2066" t="s">
        <v>46</v>
      </c>
      <c r="C2066" t="s">
        <v>47</v>
      </c>
      <c r="D2066" t="s">
        <v>48</v>
      </c>
      <c r="E2066" t="s">
        <v>49</v>
      </c>
      <c r="F2066" t="s">
        <v>43</v>
      </c>
      <c r="G2066" t="s">
        <v>50</v>
      </c>
      <c r="H2066" t="s">
        <v>51</v>
      </c>
      <c r="I2066" t="s">
        <v>37</v>
      </c>
      <c r="J2066" t="s">
        <v>38</v>
      </c>
      <c r="K2066">
        <v>5433</v>
      </c>
      <c r="L2066">
        <v>317</v>
      </c>
      <c r="M2066">
        <v>359.13</v>
      </c>
      <c r="N2066">
        <v>11</v>
      </c>
      <c r="O2066">
        <v>359.37</v>
      </c>
      <c r="P2066">
        <f t="shared" si="128"/>
        <v>5.8347137861218479E-2</v>
      </c>
      <c r="Q2066">
        <f t="shared" si="128"/>
        <v>1.1329022082018927</v>
      </c>
      <c r="R2066">
        <f t="shared" si="129"/>
        <v>32.648181818181818</v>
      </c>
      <c r="S2066">
        <f t="shared" si="130"/>
        <v>1.0006682816807284</v>
      </c>
      <c r="T2066">
        <f t="shared" si="131"/>
        <v>3.4700315457413249E-2</v>
      </c>
      <c r="U2066" t="str">
        <f>YEAR('Campaign Data'!$A2066)&amp;"-"&amp;TEXT(MONTH('Campaign Data'!$A2066),"00")</f>
        <v>2026-04</v>
      </c>
    </row>
    <row r="2067" spans="1:21" x14ac:dyDescent="0.25">
      <c r="A2067">
        <v>46135</v>
      </c>
      <c r="B2067" t="s">
        <v>127</v>
      </c>
      <c r="C2067" t="s">
        <v>128</v>
      </c>
      <c r="D2067" t="s">
        <v>58</v>
      </c>
      <c r="E2067" t="s">
        <v>24</v>
      </c>
      <c r="F2067" t="s">
        <v>81</v>
      </c>
      <c r="G2067" t="s">
        <v>129</v>
      </c>
      <c r="H2067" t="s">
        <v>27</v>
      </c>
      <c r="I2067" t="s">
        <v>37</v>
      </c>
      <c r="J2067" t="s">
        <v>87</v>
      </c>
      <c r="K2067">
        <v>26107</v>
      </c>
      <c r="L2067">
        <v>353</v>
      </c>
      <c r="M2067">
        <v>475.25</v>
      </c>
      <c r="N2067">
        <v>6</v>
      </c>
      <c r="O2067">
        <v>106.25</v>
      </c>
      <c r="P2067">
        <f t="shared" si="128"/>
        <v>1.3521277818209675E-2</v>
      </c>
      <c r="Q2067">
        <f t="shared" si="128"/>
        <v>1.3463172804532577</v>
      </c>
      <c r="R2067">
        <f t="shared" si="129"/>
        <v>79.208333333333329</v>
      </c>
      <c r="S2067">
        <f t="shared" si="130"/>
        <v>0.2235665439242504</v>
      </c>
      <c r="T2067">
        <f t="shared" si="131"/>
        <v>1.69971671388102E-2</v>
      </c>
      <c r="U2067" t="str">
        <f>YEAR('Campaign Data'!$A2067)&amp;"-"&amp;TEXT(MONTH('Campaign Data'!$A2067),"00")</f>
        <v>2026-04</v>
      </c>
    </row>
    <row r="2068" spans="1:21" x14ac:dyDescent="0.25">
      <c r="A2068">
        <v>46135</v>
      </c>
      <c r="B2068" t="s">
        <v>105</v>
      </c>
      <c r="C2068" t="s">
        <v>106</v>
      </c>
      <c r="D2068" t="s">
        <v>58</v>
      </c>
      <c r="E2068" t="s">
        <v>49</v>
      </c>
      <c r="F2068" t="s">
        <v>81</v>
      </c>
      <c r="G2068" t="s">
        <v>107</v>
      </c>
      <c r="H2068" t="s">
        <v>27</v>
      </c>
      <c r="I2068" t="s">
        <v>28</v>
      </c>
      <c r="J2068" t="s">
        <v>38</v>
      </c>
      <c r="K2068">
        <v>8951</v>
      </c>
      <c r="L2068">
        <v>313</v>
      </c>
      <c r="M2068">
        <v>576.05999999999995</v>
      </c>
      <c r="N2068">
        <v>18</v>
      </c>
      <c r="O2068">
        <v>436.31</v>
      </c>
      <c r="P2068">
        <f t="shared" si="128"/>
        <v>3.4968159982124901E-2</v>
      </c>
      <c r="Q2068">
        <f t="shared" si="128"/>
        <v>1.8404472843450477</v>
      </c>
      <c r="R2068">
        <f t="shared" si="129"/>
        <v>32.00333333333333</v>
      </c>
      <c r="S2068">
        <f t="shared" si="130"/>
        <v>0.75740374266569466</v>
      </c>
      <c r="T2068">
        <f t="shared" si="131"/>
        <v>5.7507987220447282E-2</v>
      </c>
      <c r="U2068" t="str">
        <f>YEAR('Campaign Data'!$A2068)&amp;"-"&amp;TEXT(MONTH('Campaign Data'!$A2068),"00")</f>
        <v>2026-04</v>
      </c>
    </row>
    <row r="2069" spans="1:21" x14ac:dyDescent="0.25">
      <c r="A2069">
        <v>46135</v>
      </c>
      <c r="B2069" t="s">
        <v>132</v>
      </c>
      <c r="C2069" t="s">
        <v>133</v>
      </c>
      <c r="D2069" t="s">
        <v>23</v>
      </c>
      <c r="E2069" t="s">
        <v>42</v>
      </c>
      <c r="F2069" t="s">
        <v>75</v>
      </c>
      <c r="G2069" t="s">
        <v>84</v>
      </c>
      <c r="H2069" t="s">
        <v>71</v>
      </c>
      <c r="I2069" t="s">
        <v>37</v>
      </c>
      <c r="J2069" t="s">
        <v>45</v>
      </c>
      <c r="K2069">
        <v>3898</v>
      </c>
      <c r="L2069">
        <v>21</v>
      </c>
      <c r="M2069">
        <v>130.75</v>
      </c>
      <c r="N2069">
        <v>0</v>
      </c>
      <c r="O2069">
        <v>0</v>
      </c>
      <c r="P2069">
        <f t="shared" si="128"/>
        <v>5.3873781426372501E-3</v>
      </c>
      <c r="Q2069">
        <f t="shared" si="128"/>
        <v>6.2261904761904763</v>
      </c>
      <c r="R2069">
        <f t="shared" si="129"/>
        <v>0</v>
      </c>
      <c r="S2069">
        <f t="shared" si="130"/>
        <v>0</v>
      </c>
      <c r="T2069">
        <f t="shared" si="131"/>
        <v>0</v>
      </c>
      <c r="U2069" t="str">
        <f>YEAR('Campaign Data'!$A2069)&amp;"-"&amp;TEXT(MONTH('Campaign Data'!$A2069),"00")</f>
        <v>2026-04</v>
      </c>
    </row>
    <row r="2070" spans="1:21" x14ac:dyDescent="0.25">
      <c r="A2070">
        <v>46135</v>
      </c>
      <c r="B2070" t="s">
        <v>177</v>
      </c>
      <c r="C2070" t="s">
        <v>178</v>
      </c>
      <c r="D2070" t="s">
        <v>41</v>
      </c>
      <c r="E2070" t="s">
        <v>49</v>
      </c>
      <c r="F2070" t="s">
        <v>34</v>
      </c>
      <c r="G2070" t="s">
        <v>107</v>
      </c>
      <c r="H2070" t="s">
        <v>51</v>
      </c>
      <c r="I2070" t="s">
        <v>28</v>
      </c>
      <c r="J2070" t="s">
        <v>38</v>
      </c>
      <c r="K2070">
        <v>5656</v>
      </c>
      <c r="L2070">
        <v>299</v>
      </c>
      <c r="M2070">
        <v>549.66</v>
      </c>
      <c r="N2070">
        <v>18</v>
      </c>
      <c r="O2070">
        <v>1195.07</v>
      </c>
      <c r="P2070">
        <f t="shared" si="128"/>
        <v>5.2864214992927865E-2</v>
      </c>
      <c r="Q2070">
        <f t="shared" si="128"/>
        <v>1.8383277591973244</v>
      </c>
      <c r="R2070">
        <f t="shared" si="129"/>
        <v>30.536666666666665</v>
      </c>
      <c r="S2070">
        <f t="shared" si="130"/>
        <v>2.1741985954953971</v>
      </c>
      <c r="T2070">
        <f t="shared" si="131"/>
        <v>6.0200668896321072E-2</v>
      </c>
      <c r="U2070" t="str">
        <f>YEAR('Campaign Data'!$A2070)&amp;"-"&amp;TEXT(MONTH('Campaign Data'!$A2070),"00")</f>
        <v>2026-04</v>
      </c>
    </row>
    <row r="2071" spans="1:21" x14ac:dyDescent="0.25">
      <c r="A2071">
        <v>46135</v>
      </c>
      <c r="B2071" t="s">
        <v>153</v>
      </c>
      <c r="C2071" t="s">
        <v>154</v>
      </c>
      <c r="D2071" t="s">
        <v>48</v>
      </c>
      <c r="E2071" t="s">
        <v>33</v>
      </c>
      <c r="F2071" t="s">
        <v>43</v>
      </c>
      <c r="G2071" t="s">
        <v>59</v>
      </c>
      <c r="H2071" t="s">
        <v>27</v>
      </c>
      <c r="I2071" t="s">
        <v>37</v>
      </c>
      <c r="J2071" t="s">
        <v>87</v>
      </c>
      <c r="K2071">
        <v>9825</v>
      </c>
      <c r="L2071">
        <v>39</v>
      </c>
      <c r="M2071">
        <v>30.64</v>
      </c>
      <c r="N2071">
        <v>1</v>
      </c>
      <c r="O2071">
        <v>30.98</v>
      </c>
      <c r="P2071">
        <f t="shared" si="128"/>
        <v>3.9694656488549621E-3</v>
      </c>
      <c r="Q2071">
        <f t="shared" si="128"/>
        <v>0.78564102564102567</v>
      </c>
      <c r="R2071">
        <f t="shared" si="129"/>
        <v>30.64</v>
      </c>
      <c r="S2071">
        <f t="shared" si="130"/>
        <v>1.0110966057441253</v>
      </c>
      <c r="T2071">
        <f t="shared" si="131"/>
        <v>2.564102564102564E-2</v>
      </c>
      <c r="U2071" t="str">
        <f>YEAR('Campaign Data'!$A2071)&amp;"-"&amp;TEXT(MONTH('Campaign Data'!$A2071),"00")</f>
        <v>2026-04</v>
      </c>
    </row>
    <row r="2072" spans="1:21" x14ac:dyDescent="0.25">
      <c r="A2072">
        <v>46135</v>
      </c>
      <c r="B2072" t="s">
        <v>153</v>
      </c>
      <c r="C2072" t="s">
        <v>154</v>
      </c>
      <c r="D2072" t="s">
        <v>48</v>
      </c>
      <c r="E2072" t="s">
        <v>33</v>
      </c>
      <c r="F2072" t="s">
        <v>43</v>
      </c>
      <c r="G2072" t="s">
        <v>59</v>
      </c>
      <c r="H2072" t="s">
        <v>27</v>
      </c>
      <c r="I2072" t="s">
        <v>28</v>
      </c>
      <c r="J2072" t="s">
        <v>29</v>
      </c>
      <c r="K2072">
        <v>8443</v>
      </c>
      <c r="L2072">
        <v>60</v>
      </c>
      <c r="M2072">
        <v>66.459999999999994</v>
      </c>
      <c r="N2072">
        <v>2</v>
      </c>
      <c r="O2072">
        <v>58.23</v>
      </c>
      <c r="P2072">
        <f t="shared" si="128"/>
        <v>7.1064787397844371E-3</v>
      </c>
      <c r="Q2072">
        <f t="shared" si="128"/>
        <v>1.1076666666666666</v>
      </c>
      <c r="R2072">
        <f t="shared" si="129"/>
        <v>33.229999999999997</v>
      </c>
      <c r="S2072">
        <f t="shared" si="130"/>
        <v>0.87616611495636476</v>
      </c>
      <c r="T2072">
        <f t="shared" si="131"/>
        <v>3.3333333333333333E-2</v>
      </c>
      <c r="U2072" t="str">
        <f>YEAR('Campaign Data'!$A2072)&amp;"-"&amp;TEXT(MONTH('Campaign Data'!$A2072),"00")</f>
        <v>2026-04</v>
      </c>
    </row>
    <row r="2073" spans="1:21" x14ac:dyDescent="0.25">
      <c r="A2073">
        <v>46135</v>
      </c>
      <c r="B2073" t="s">
        <v>155</v>
      </c>
      <c r="C2073" t="s">
        <v>156</v>
      </c>
      <c r="D2073" t="s">
        <v>32</v>
      </c>
      <c r="E2073" t="s">
        <v>24</v>
      </c>
      <c r="F2073" t="s">
        <v>34</v>
      </c>
      <c r="G2073" t="s">
        <v>129</v>
      </c>
      <c r="H2073" t="s">
        <v>51</v>
      </c>
      <c r="I2073" t="s">
        <v>37</v>
      </c>
      <c r="J2073" t="s">
        <v>29</v>
      </c>
      <c r="K2073">
        <v>7310</v>
      </c>
      <c r="L2073">
        <v>59</v>
      </c>
      <c r="M2073">
        <v>69.959999999999994</v>
      </c>
      <c r="N2073">
        <v>3</v>
      </c>
      <c r="O2073">
        <v>365.69</v>
      </c>
      <c r="P2073">
        <f t="shared" si="128"/>
        <v>8.0711354309165526E-3</v>
      </c>
      <c r="Q2073">
        <f t="shared" si="128"/>
        <v>1.1857627118644067</v>
      </c>
      <c r="R2073">
        <f t="shared" si="129"/>
        <v>23.319999999999997</v>
      </c>
      <c r="S2073">
        <f t="shared" si="130"/>
        <v>5.2271297884505437</v>
      </c>
      <c r="T2073">
        <f t="shared" si="131"/>
        <v>5.0847457627118647E-2</v>
      </c>
      <c r="U2073" t="str">
        <f>YEAR('Campaign Data'!$A2073)&amp;"-"&amp;TEXT(MONTH('Campaign Data'!$A2073),"00")</f>
        <v>2026-04</v>
      </c>
    </row>
    <row r="2074" spans="1:21" x14ac:dyDescent="0.25">
      <c r="A2074">
        <v>46135</v>
      </c>
      <c r="B2074" t="s">
        <v>155</v>
      </c>
      <c r="C2074" t="s">
        <v>156</v>
      </c>
      <c r="D2074" t="s">
        <v>32</v>
      </c>
      <c r="E2074" t="s">
        <v>24</v>
      </c>
      <c r="F2074" t="s">
        <v>34</v>
      </c>
      <c r="G2074" t="s">
        <v>129</v>
      </c>
      <c r="H2074" t="s">
        <v>36</v>
      </c>
      <c r="I2074" t="s">
        <v>28</v>
      </c>
      <c r="J2074" t="s">
        <v>87</v>
      </c>
      <c r="K2074">
        <v>8650</v>
      </c>
      <c r="L2074">
        <v>142</v>
      </c>
      <c r="M2074">
        <v>129.38999999999999</v>
      </c>
      <c r="N2074">
        <v>5</v>
      </c>
      <c r="O2074">
        <v>843.01</v>
      </c>
      <c r="P2074">
        <f t="shared" si="128"/>
        <v>1.6416184971098265E-2</v>
      </c>
      <c r="Q2074">
        <f t="shared" si="128"/>
        <v>0.91119718309859143</v>
      </c>
      <c r="R2074">
        <f t="shared" si="129"/>
        <v>25.877999999999997</v>
      </c>
      <c r="S2074">
        <f t="shared" si="130"/>
        <v>6.5152639307519911</v>
      </c>
      <c r="T2074">
        <f t="shared" si="131"/>
        <v>3.5211267605633804E-2</v>
      </c>
      <c r="U2074" t="str">
        <f>YEAR('Campaign Data'!$A2074)&amp;"-"&amp;TEXT(MONTH('Campaign Data'!$A2074),"00")</f>
        <v>2026-04</v>
      </c>
    </row>
    <row r="2075" spans="1:21" x14ac:dyDescent="0.25">
      <c r="A2075">
        <v>46135</v>
      </c>
      <c r="B2075" t="s">
        <v>141</v>
      </c>
      <c r="C2075" t="s">
        <v>142</v>
      </c>
      <c r="D2075" t="s">
        <v>80</v>
      </c>
      <c r="E2075" t="s">
        <v>49</v>
      </c>
      <c r="F2075" t="s">
        <v>81</v>
      </c>
      <c r="G2075" t="s">
        <v>97</v>
      </c>
      <c r="H2075" t="s">
        <v>51</v>
      </c>
      <c r="I2075" t="s">
        <v>37</v>
      </c>
      <c r="J2075" t="s">
        <v>45</v>
      </c>
      <c r="K2075">
        <v>22511</v>
      </c>
      <c r="L2075">
        <v>1331</v>
      </c>
      <c r="M2075">
        <v>2163.4699999999998</v>
      </c>
      <c r="N2075">
        <v>73</v>
      </c>
      <c r="O2075">
        <v>1155.5899999999999</v>
      </c>
      <c r="P2075">
        <f t="shared" si="128"/>
        <v>5.912664919372751E-2</v>
      </c>
      <c r="Q2075">
        <f t="shared" si="128"/>
        <v>1.6254470323065362</v>
      </c>
      <c r="R2075">
        <f t="shared" si="129"/>
        <v>29.636575342465751</v>
      </c>
      <c r="S2075">
        <f t="shared" si="130"/>
        <v>0.53413728870749311</v>
      </c>
      <c r="T2075">
        <f t="shared" si="131"/>
        <v>5.4845980465815174E-2</v>
      </c>
      <c r="U2075" t="str">
        <f>YEAR('Campaign Data'!$A2075)&amp;"-"&amp;TEXT(MONTH('Campaign Data'!$A2075),"00")</f>
        <v>2026-04</v>
      </c>
    </row>
    <row r="2076" spans="1:21" x14ac:dyDescent="0.25">
      <c r="A2076">
        <v>46135</v>
      </c>
      <c r="B2076" t="s">
        <v>183</v>
      </c>
      <c r="C2076" t="s">
        <v>184</v>
      </c>
      <c r="D2076" t="s">
        <v>23</v>
      </c>
      <c r="E2076" t="s">
        <v>24</v>
      </c>
      <c r="F2076" t="s">
        <v>81</v>
      </c>
      <c r="G2076" t="s">
        <v>185</v>
      </c>
      <c r="H2076" t="s">
        <v>27</v>
      </c>
      <c r="I2076" t="s">
        <v>37</v>
      </c>
      <c r="J2076" t="s">
        <v>38</v>
      </c>
      <c r="K2076">
        <v>4660</v>
      </c>
      <c r="L2076">
        <v>56</v>
      </c>
      <c r="M2076">
        <v>95.74</v>
      </c>
      <c r="N2076">
        <v>1</v>
      </c>
      <c r="O2076">
        <v>27.87</v>
      </c>
      <c r="P2076">
        <f t="shared" si="128"/>
        <v>1.201716738197425E-2</v>
      </c>
      <c r="Q2076">
        <f t="shared" si="128"/>
        <v>1.709642857142857</v>
      </c>
      <c r="R2076">
        <f t="shared" si="129"/>
        <v>95.74</v>
      </c>
      <c r="S2076">
        <f t="shared" si="130"/>
        <v>0.2911008982661375</v>
      </c>
      <c r="T2076">
        <f t="shared" si="131"/>
        <v>1.7857142857142856E-2</v>
      </c>
      <c r="U2076" t="str">
        <f>YEAR('Campaign Data'!$A2076)&amp;"-"&amp;TEXT(MONTH('Campaign Data'!$A2076),"00")</f>
        <v>2026-04</v>
      </c>
    </row>
    <row r="2077" spans="1:21" x14ac:dyDescent="0.25">
      <c r="A2077">
        <v>46135</v>
      </c>
      <c r="B2077" t="s">
        <v>116</v>
      </c>
      <c r="C2077" t="s">
        <v>117</v>
      </c>
      <c r="D2077" t="s">
        <v>48</v>
      </c>
      <c r="E2077" t="s">
        <v>24</v>
      </c>
      <c r="F2077" t="s">
        <v>43</v>
      </c>
      <c r="G2077" t="s">
        <v>26</v>
      </c>
      <c r="H2077" t="s">
        <v>27</v>
      </c>
      <c r="I2077" t="s">
        <v>37</v>
      </c>
      <c r="J2077" t="s">
        <v>87</v>
      </c>
      <c r="K2077">
        <v>11093</v>
      </c>
      <c r="L2077">
        <v>113</v>
      </c>
      <c r="M2077">
        <v>115.04</v>
      </c>
      <c r="N2077">
        <v>5</v>
      </c>
      <c r="O2077">
        <v>151.11000000000001</v>
      </c>
      <c r="P2077">
        <f t="shared" si="128"/>
        <v>1.0186604164788605E-2</v>
      </c>
      <c r="Q2077">
        <f t="shared" si="128"/>
        <v>1.0180530973451327</v>
      </c>
      <c r="R2077">
        <f t="shared" si="129"/>
        <v>23.008000000000003</v>
      </c>
      <c r="S2077">
        <f t="shared" si="130"/>
        <v>1.3135431154381085</v>
      </c>
      <c r="T2077">
        <f t="shared" si="131"/>
        <v>4.4247787610619468E-2</v>
      </c>
      <c r="U2077" t="str">
        <f>YEAR('Campaign Data'!$A2077)&amp;"-"&amp;TEXT(MONTH('Campaign Data'!$A2077),"00")</f>
        <v>2026-04</v>
      </c>
    </row>
    <row r="2078" spans="1:21" x14ac:dyDescent="0.25">
      <c r="A2078">
        <v>46135</v>
      </c>
      <c r="B2078" t="s">
        <v>163</v>
      </c>
      <c r="C2078" t="s">
        <v>164</v>
      </c>
      <c r="D2078" t="s">
        <v>58</v>
      </c>
      <c r="E2078" t="s">
        <v>42</v>
      </c>
      <c r="F2078" t="s">
        <v>43</v>
      </c>
      <c r="G2078" t="s">
        <v>44</v>
      </c>
      <c r="H2078" t="s">
        <v>71</v>
      </c>
      <c r="I2078" t="s">
        <v>37</v>
      </c>
      <c r="J2078" t="s">
        <v>38</v>
      </c>
      <c r="K2078">
        <v>11413</v>
      </c>
      <c r="L2078">
        <v>36</v>
      </c>
      <c r="M2078">
        <v>170.67</v>
      </c>
      <c r="N2078">
        <v>1</v>
      </c>
      <c r="O2078">
        <v>14.58</v>
      </c>
      <c r="P2078">
        <f t="shared" si="128"/>
        <v>3.1542977306580214E-3</v>
      </c>
      <c r="Q2078">
        <f t="shared" si="128"/>
        <v>4.7408333333333328</v>
      </c>
      <c r="R2078">
        <f t="shared" si="129"/>
        <v>170.67</v>
      </c>
      <c r="S2078">
        <f t="shared" si="130"/>
        <v>8.542801898400422E-2</v>
      </c>
      <c r="T2078">
        <f t="shared" si="131"/>
        <v>2.7777777777777776E-2</v>
      </c>
      <c r="U2078" t="str">
        <f>YEAR('Campaign Data'!$A2078)&amp;"-"&amp;TEXT(MONTH('Campaign Data'!$A2078),"00")</f>
        <v>2026-04</v>
      </c>
    </row>
    <row r="2079" spans="1:21" x14ac:dyDescent="0.25">
      <c r="A2079">
        <v>46135</v>
      </c>
      <c r="B2079" t="s">
        <v>120</v>
      </c>
      <c r="C2079" t="s">
        <v>121</v>
      </c>
      <c r="D2079" t="s">
        <v>23</v>
      </c>
      <c r="E2079" t="s">
        <v>49</v>
      </c>
      <c r="F2079" t="s">
        <v>75</v>
      </c>
      <c r="G2079" t="s">
        <v>70</v>
      </c>
      <c r="H2079" t="s">
        <v>51</v>
      </c>
      <c r="I2079" t="s">
        <v>61</v>
      </c>
      <c r="J2079" t="s">
        <v>38</v>
      </c>
      <c r="K2079">
        <v>33189</v>
      </c>
      <c r="L2079">
        <v>2181</v>
      </c>
      <c r="M2079">
        <v>4320.79</v>
      </c>
      <c r="N2079">
        <v>144</v>
      </c>
      <c r="O2079">
        <v>4673.3900000000003</v>
      </c>
      <c r="P2079">
        <f t="shared" si="128"/>
        <v>6.5714543975413542E-2</v>
      </c>
      <c r="Q2079">
        <f t="shared" si="128"/>
        <v>1.9811049977074737</v>
      </c>
      <c r="R2079">
        <f t="shared" si="129"/>
        <v>30.005486111111111</v>
      </c>
      <c r="S2079">
        <f t="shared" si="130"/>
        <v>1.0816054471520256</v>
      </c>
      <c r="T2079">
        <f t="shared" si="131"/>
        <v>6.6024759284731768E-2</v>
      </c>
      <c r="U2079" t="str">
        <f>YEAR('Campaign Data'!$A2079)&amp;"-"&amp;TEXT(MONTH('Campaign Data'!$A2079),"00")</f>
        <v>2026-04</v>
      </c>
    </row>
    <row r="2080" spans="1:21" x14ac:dyDescent="0.25">
      <c r="A2080">
        <v>46136</v>
      </c>
      <c r="B2080" t="s">
        <v>165</v>
      </c>
      <c r="C2080" t="s">
        <v>166</v>
      </c>
      <c r="D2080" t="s">
        <v>41</v>
      </c>
      <c r="E2080" t="s">
        <v>33</v>
      </c>
      <c r="F2080" t="s">
        <v>43</v>
      </c>
      <c r="G2080" t="s">
        <v>59</v>
      </c>
      <c r="H2080" t="s">
        <v>51</v>
      </c>
      <c r="I2080" t="s">
        <v>28</v>
      </c>
      <c r="J2080" t="s">
        <v>29</v>
      </c>
      <c r="K2080">
        <v>10676</v>
      </c>
      <c r="L2080">
        <v>104</v>
      </c>
      <c r="M2080">
        <v>50.19</v>
      </c>
      <c r="N2080">
        <v>0</v>
      </c>
      <c r="O2080">
        <v>0</v>
      </c>
      <c r="P2080">
        <f t="shared" si="128"/>
        <v>9.7414762083177214E-3</v>
      </c>
      <c r="Q2080">
        <f t="shared" si="128"/>
        <v>0.48259615384615384</v>
      </c>
      <c r="R2080">
        <f t="shared" si="129"/>
        <v>0</v>
      </c>
      <c r="S2080">
        <f t="shared" si="130"/>
        <v>0</v>
      </c>
      <c r="T2080">
        <f t="shared" si="131"/>
        <v>0</v>
      </c>
      <c r="U2080" t="str">
        <f>YEAR('Campaign Data'!$A2080)&amp;"-"&amp;TEXT(MONTH('Campaign Data'!$A2080),"00")</f>
        <v>2026-04</v>
      </c>
    </row>
    <row r="2081" spans="1:21" x14ac:dyDescent="0.25">
      <c r="A2081">
        <v>46136</v>
      </c>
      <c r="B2081" t="s">
        <v>173</v>
      </c>
      <c r="C2081" t="s">
        <v>174</v>
      </c>
      <c r="D2081" t="s">
        <v>48</v>
      </c>
      <c r="E2081" t="s">
        <v>74</v>
      </c>
      <c r="F2081" t="s">
        <v>25</v>
      </c>
      <c r="G2081" t="s">
        <v>9</v>
      </c>
      <c r="H2081" t="s">
        <v>90</v>
      </c>
      <c r="I2081" t="s">
        <v>28</v>
      </c>
      <c r="J2081" t="s">
        <v>87</v>
      </c>
      <c r="K2081">
        <v>23273</v>
      </c>
      <c r="L2081">
        <v>673</v>
      </c>
      <c r="M2081">
        <v>329.89</v>
      </c>
      <c r="N2081">
        <v>36</v>
      </c>
      <c r="O2081">
        <v>1796.53</v>
      </c>
      <c r="P2081">
        <f t="shared" si="128"/>
        <v>2.8917629871524943E-2</v>
      </c>
      <c r="Q2081">
        <f t="shared" si="128"/>
        <v>0.49017830609212482</v>
      </c>
      <c r="R2081">
        <f t="shared" si="129"/>
        <v>9.1636111111111109</v>
      </c>
      <c r="S2081">
        <f t="shared" si="130"/>
        <v>5.4458455848919334</v>
      </c>
      <c r="T2081">
        <f t="shared" si="131"/>
        <v>5.3491827637444277E-2</v>
      </c>
      <c r="U2081" t="str">
        <f>YEAR('Campaign Data'!$A2081)&amp;"-"&amp;TEXT(MONTH('Campaign Data'!$A2081),"00")</f>
        <v>2026-04</v>
      </c>
    </row>
    <row r="2082" spans="1:21" x14ac:dyDescent="0.25">
      <c r="A2082">
        <v>46136</v>
      </c>
      <c r="B2082" t="s">
        <v>88</v>
      </c>
      <c r="C2082" t="s">
        <v>89</v>
      </c>
      <c r="D2082" t="s">
        <v>23</v>
      </c>
      <c r="E2082" t="s">
        <v>49</v>
      </c>
      <c r="F2082" t="s">
        <v>81</v>
      </c>
      <c r="G2082" t="s">
        <v>50</v>
      </c>
      <c r="H2082" t="s">
        <v>51</v>
      </c>
      <c r="I2082" t="s">
        <v>28</v>
      </c>
      <c r="J2082" t="s">
        <v>45</v>
      </c>
      <c r="K2082">
        <v>8459</v>
      </c>
      <c r="L2082">
        <v>415</v>
      </c>
      <c r="M2082">
        <v>753.76</v>
      </c>
      <c r="N2082">
        <v>25</v>
      </c>
      <c r="O2082">
        <v>454.68</v>
      </c>
      <c r="P2082">
        <f t="shared" si="128"/>
        <v>4.9060172597233713E-2</v>
      </c>
      <c r="Q2082">
        <f t="shared" si="128"/>
        <v>1.816289156626506</v>
      </c>
      <c r="R2082">
        <f t="shared" si="129"/>
        <v>30.150400000000001</v>
      </c>
      <c r="S2082">
        <f t="shared" si="130"/>
        <v>0.60321587773296537</v>
      </c>
      <c r="T2082">
        <f t="shared" si="131"/>
        <v>6.0240963855421686E-2</v>
      </c>
      <c r="U2082" t="str">
        <f>YEAR('Campaign Data'!$A2082)&amp;"-"&amp;TEXT(MONTH('Campaign Data'!$A2082),"00")</f>
        <v>2026-04</v>
      </c>
    </row>
    <row r="2083" spans="1:21" x14ac:dyDescent="0.25">
      <c r="A2083">
        <v>46136</v>
      </c>
      <c r="B2083" t="s">
        <v>21</v>
      </c>
      <c r="C2083" t="s">
        <v>124</v>
      </c>
      <c r="D2083" t="s">
        <v>23</v>
      </c>
      <c r="E2083" t="s">
        <v>24</v>
      </c>
      <c r="F2083" t="s">
        <v>25</v>
      </c>
      <c r="G2083" t="s">
        <v>26</v>
      </c>
      <c r="H2083" t="s">
        <v>60</v>
      </c>
      <c r="I2083" t="s">
        <v>28</v>
      </c>
      <c r="J2083" t="s">
        <v>62</v>
      </c>
      <c r="K2083">
        <v>13903</v>
      </c>
      <c r="L2083">
        <v>203</v>
      </c>
      <c r="M2083">
        <v>277.61</v>
      </c>
      <c r="N2083">
        <v>13</v>
      </c>
      <c r="O2083">
        <v>1979.15</v>
      </c>
      <c r="P2083">
        <f t="shared" si="128"/>
        <v>1.4601165216140402E-2</v>
      </c>
      <c r="Q2083">
        <f t="shared" si="128"/>
        <v>1.3675369458128079</v>
      </c>
      <c r="R2083">
        <f t="shared" si="129"/>
        <v>21.354615384615386</v>
      </c>
      <c r="S2083">
        <f t="shared" si="130"/>
        <v>7.1292460646230325</v>
      </c>
      <c r="T2083">
        <f t="shared" si="131"/>
        <v>6.4039408866995079E-2</v>
      </c>
      <c r="U2083" t="str">
        <f>YEAR('Campaign Data'!$A2083)&amp;"-"&amp;TEXT(MONTH('Campaign Data'!$A2083),"00")</f>
        <v>2026-04</v>
      </c>
    </row>
    <row r="2084" spans="1:21" x14ac:dyDescent="0.25">
      <c r="A2084">
        <v>46136</v>
      </c>
      <c r="B2084" t="s">
        <v>167</v>
      </c>
      <c r="C2084" t="s">
        <v>168</v>
      </c>
      <c r="D2084" t="s">
        <v>58</v>
      </c>
      <c r="E2084" t="s">
        <v>33</v>
      </c>
      <c r="F2084" t="s">
        <v>75</v>
      </c>
      <c r="G2084" t="s">
        <v>35</v>
      </c>
      <c r="H2084" t="s">
        <v>27</v>
      </c>
      <c r="I2084" t="s">
        <v>37</v>
      </c>
      <c r="J2084" t="s">
        <v>45</v>
      </c>
      <c r="K2084">
        <v>11852</v>
      </c>
      <c r="L2084">
        <v>57</v>
      </c>
      <c r="M2084">
        <v>47.36</v>
      </c>
      <c r="N2084">
        <v>0</v>
      </c>
      <c r="O2084">
        <v>0</v>
      </c>
      <c r="P2084">
        <f t="shared" si="128"/>
        <v>4.8093148835639558E-3</v>
      </c>
      <c r="Q2084">
        <f t="shared" si="128"/>
        <v>0.8308771929824561</v>
      </c>
      <c r="R2084">
        <f t="shared" si="129"/>
        <v>0</v>
      </c>
      <c r="S2084">
        <f t="shared" si="130"/>
        <v>0</v>
      </c>
      <c r="T2084">
        <f t="shared" si="131"/>
        <v>0</v>
      </c>
      <c r="U2084" t="str">
        <f>YEAR('Campaign Data'!$A2084)&amp;"-"&amp;TEXT(MONTH('Campaign Data'!$A2084),"00")</f>
        <v>2026-04</v>
      </c>
    </row>
    <row r="2085" spans="1:21" x14ac:dyDescent="0.25">
      <c r="A2085">
        <v>46136</v>
      </c>
      <c r="B2085" t="s">
        <v>138</v>
      </c>
      <c r="C2085" t="s">
        <v>139</v>
      </c>
      <c r="D2085" t="s">
        <v>58</v>
      </c>
      <c r="E2085" t="s">
        <v>74</v>
      </c>
      <c r="F2085" t="s">
        <v>34</v>
      </c>
      <c r="G2085" t="s">
        <v>9</v>
      </c>
      <c r="H2085" t="s">
        <v>90</v>
      </c>
      <c r="I2085" t="s">
        <v>28</v>
      </c>
      <c r="J2085" t="s">
        <v>29</v>
      </c>
      <c r="K2085">
        <v>16454</v>
      </c>
      <c r="L2085">
        <v>526</v>
      </c>
      <c r="M2085">
        <v>145.38999999999999</v>
      </c>
      <c r="N2085">
        <v>24</v>
      </c>
      <c r="O2085">
        <v>748.4</v>
      </c>
      <c r="P2085">
        <f t="shared" si="128"/>
        <v>3.1967910538470888E-2</v>
      </c>
      <c r="Q2085">
        <f t="shared" si="128"/>
        <v>0.27640684410646388</v>
      </c>
      <c r="R2085">
        <f t="shared" si="129"/>
        <v>6.0579166666666664</v>
      </c>
      <c r="S2085">
        <f t="shared" si="130"/>
        <v>5.1475342183093753</v>
      </c>
      <c r="T2085">
        <f t="shared" si="131"/>
        <v>4.5627376425855515E-2</v>
      </c>
      <c r="U2085" t="str">
        <f>YEAR('Campaign Data'!$A2085)&amp;"-"&amp;TEXT(MONTH('Campaign Data'!$A2085),"00")</f>
        <v>2026-04</v>
      </c>
    </row>
    <row r="2086" spans="1:21" x14ac:dyDescent="0.25">
      <c r="A2086">
        <v>46136</v>
      </c>
      <c r="B2086" t="s">
        <v>46</v>
      </c>
      <c r="C2086" t="s">
        <v>47</v>
      </c>
      <c r="D2086" t="s">
        <v>48</v>
      </c>
      <c r="E2086" t="s">
        <v>49</v>
      </c>
      <c r="F2086" t="s">
        <v>43</v>
      </c>
      <c r="G2086" t="s">
        <v>50</v>
      </c>
      <c r="H2086" t="s">
        <v>51</v>
      </c>
      <c r="I2086" t="s">
        <v>37</v>
      </c>
      <c r="J2086" t="s">
        <v>87</v>
      </c>
      <c r="K2086">
        <v>22688</v>
      </c>
      <c r="L2086">
        <v>626</v>
      </c>
      <c r="M2086">
        <v>1189.26</v>
      </c>
      <c r="N2086">
        <v>47</v>
      </c>
      <c r="O2086">
        <v>2393.9499999999998</v>
      </c>
      <c r="P2086">
        <f t="shared" si="128"/>
        <v>2.7591678420310295E-2</v>
      </c>
      <c r="Q2086">
        <f t="shared" si="128"/>
        <v>1.899776357827476</v>
      </c>
      <c r="R2086">
        <f t="shared" si="129"/>
        <v>25.303404255319148</v>
      </c>
      <c r="S2086">
        <f t="shared" si="130"/>
        <v>2.0129744547029245</v>
      </c>
      <c r="T2086">
        <f t="shared" si="131"/>
        <v>7.5079872204472847E-2</v>
      </c>
      <c r="U2086" t="str">
        <f>YEAR('Campaign Data'!$A2086)&amp;"-"&amp;TEXT(MONTH('Campaign Data'!$A2086),"00")</f>
        <v>2026-04</v>
      </c>
    </row>
    <row r="2087" spans="1:21" x14ac:dyDescent="0.25">
      <c r="A2087">
        <v>46136</v>
      </c>
      <c r="B2087" t="s">
        <v>52</v>
      </c>
      <c r="C2087" t="s">
        <v>53</v>
      </c>
      <c r="D2087" t="s">
        <v>32</v>
      </c>
      <c r="E2087" t="s">
        <v>42</v>
      </c>
      <c r="F2087" t="s">
        <v>25</v>
      </c>
      <c r="G2087" t="s">
        <v>54</v>
      </c>
      <c r="H2087" t="s">
        <v>27</v>
      </c>
      <c r="I2087" t="s">
        <v>37</v>
      </c>
      <c r="J2087" t="s">
        <v>45</v>
      </c>
      <c r="K2087">
        <v>10268</v>
      </c>
      <c r="L2087">
        <v>41</v>
      </c>
      <c r="M2087">
        <v>358.42</v>
      </c>
      <c r="N2087">
        <v>2</v>
      </c>
      <c r="O2087">
        <v>512.92999999999995</v>
      </c>
      <c r="P2087">
        <f t="shared" si="128"/>
        <v>3.99298792364628E-3</v>
      </c>
      <c r="Q2087">
        <f t="shared" si="128"/>
        <v>8.7419512195121953</v>
      </c>
      <c r="R2087">
        <f t="shared" si="129"/>
        <v>179.21</v>
      </c>
      <c r="S2087">
        <f t="shared" si="130"/>
        <v>1.431086434908766</v>
      </c>
      <c r="T2087">
        <f t="shared" si="131"/>
        <v>4.878048780487805E-2</v>
      </c>
      <c r="U2087" t="str">
        <f>YEAR('Campaign Data'!$A2087)&amp;"-"&amp;TEXT(MONTH('Campaign Data'!$A2087),"00")</f>
        <v>2026-04</v>
      </c>
    </row>
    <row r="2088" spans="1:21" x14ac:dyDescent="0.25">
      <c r="A2088">
        <v>46136</v>
      </c>
      <c r="B2088" t="s">
        <v>169</v>
      </c>
      <c r="C2088" t="s">
        <v>170</v>
      </c>
      <c r="D2088" t="s">
        <v>58</v>
      </c>
      <c r="E2088" t="s">
        <v>74</v>
      </c>
      <c r="F2088" t="s">
        <v>75</v>
      </c>
      <c r="G2088" t="s">
        <v>9</v>
      </c>
      <c r="H2088" t="s">
        <v>60</v>
      </c>
      <c r="I2088" t="s">
        <v>28</v>
      </c>
      <c r="J2088" t="s">
        <v>87</v>
      </c>
      <c r="K2088">
        <v>4726</v>
      </c>
      <c r="L2088">
        <v>116</v>
      </c>
      <c r="M2088">
        <v>194.1</v>
      </c>
      <c r="N2088">
        <v>6</v>
      </c>
      <c r="O2088">
        <v>163.72999999999999</v>
      </c>
      <c r="P2088">
        <f t="shared" si="128"/>
        <v>2.4545069826491749E-2</v>
      </c>
      <c r="Q2088">
        <f t="shared" si="128"/>
        <v>1.6732758620689654</v>
      </c>
      <c r="R2088">
        <f t="shared" si="129"/>
        <v>32.35</v>
      </c>
      <c r="S2088">
        <f t="shared" si="130"/>
        <v>0.84353426069036574</v>
      </c>
      <c r="T2088">
        <f t="shared" si="131"/>
        <v>5.1724137931034482E-2</v>
      </c>
      <c r="U2088" t="str">
        <f>YEAR('Campaign Data'!$A2088)&amp;"-"&amp;TEXT(MONTH('Campaign Data'!$A2088),"00")</f>
        <v>2026-04</v>
      </c>
    </row>
    <row r="2089" spans="1:21" x14ac:dyDescent="0.25">
      <c r="A2089">
        <v>46136</v>
      </c>
      <c r="B2089" t="s">
        <v>103</v>
      </c>
      <c r="C2089" t="s">
        <v>104</v>
      </c>
      <c r="D2089" t="s">
        <v>65</v>
      </c>
      <c r="E2089" t="s">
        <v>33</v>
      </c>
      <c r="F2089" t="s">
        <v>43</v>
      </c>
      <c r="G2089" t="s">
        <v>102</v>
      </c>
      <c r="H2089" t="s">
        <v>90</v>
      </c>
      <c r="I2089" t="s">
        <v>37</v>
      </c>
      <c r="J2089" t="s">
        <v>29</v>
      </c>
      <c r="K2089">
        <v>20112</v>
      </c>
      <c r="L2089">
        <v>209</v>
      </c>
      <c r="M2089">
        <v>32.74</v>
      </c>
      <c r="N2089">
        <v>1</v>
      </c>
      <c r="O2089">
        <v>5.26</v>
      </c>
      <c r="P2089">
        <f t="shared" si="128"/>
        <v>1.0391805887032618E-2</v>
      </c>
      <c r="Q2089">
        <f t="shared" si="128"/>
        <v>0.15665071770334929</v>
      </c>
      <c r="R2089">
        <f t="shared" si="129"/>
        <v>32.74</v>
      </c>
      <c r="S2089">
        <f t="shared" si="130"/>
        <v>0.16065974343310932</v>
      </c>
      <c r="T2089">
        <f t="shared" si="131"/>
        <v>4.7846889952153108E-3</v>
      </c>
      <c r="U2089" t="str">
        <f>YEAR('Campaign Data'!$A2089)&amp;"-"&amp;TEXT(MONTH('Campaign Data'!$A2089),"00")</f>
        <v>2026-04</v>
      </c>
    </row>
    <row r="2090" spans="1:21" x14ac:dyDescent="0.25">
      <c r="A2090">
        <v>46136</v>
      </c>
      <c r="B2090" t="s">
        <v>103</v>
      </c>
      <c r="C2090" t="s">
        <v>104</v>
      </c>
      <c r="D2090" t="s">
        <v>65</v>
      </c>
      <c r="E2090" t="s">
        <v>33</v>
      </c>
      <c r="F2090" t="s">
        <v>43</v>
      </c>
      <c r="G2090" t="s">
        <v>102</v>
      </c>
      <c r="H2090" t="s">
        <v>71</v>
      </c>
      <c r="I2090" t="s">
        <v>37</v>
      </c>
      <c r="J2090" t="s">
        <v>45</v>
      </c>
      <c r="K2090">
        <v>5454</v>
      </c>
      <c r="L2090">
        <v>76</v>
      </c>
      <c r="M2090">
        <v>33.94</v>
      </c>
      <c r="N2090">
        <v>1</v>
      </c>
      <c r="O2090">
        <v>27.01</v>
      </c>
      <c r="P2090">
        <f t="shared" si="128"/>
        <v>1.3934726806013934E-2</v>
      </c>
      <c r="Q2090">
        <f t="shared" si="128"/>
        <v>0.44657894736842102</v>
      </c>
      <c r="R2090">
        <f t="shared" si="129"/>
        <v>33.94</v>
      </c>
      <c r="S2090">
        <f t="shared" si="130"/>
        <v>0.79581614614024765</v>
      </c>
      <c r="T2090">
        <f t="shared" si="131"/>
        <v>1.3157894736842105E-2</v>
      </c>
      <c r="U2090" t="str">
        <f>YEAR('Campaign Data'!$A2090)&amp;"-"&amp;TEXT(MONTH('Campaign Data'!$A2090),"00")</f>
        <v>2026-04</v>
      </c>
    </row>
    <row r="2091" spans="1:21" x14ac:dyDescent="0.25">
      <c r="A2091">
        <v>46136</v>
      </c>
      <c r="B2091" t="s">
        <v>130</v>
      </c>
      <c r="C2091" t="s">
        <v>131</v>
      </c>
      <c r="D2091" t="s">
        <v>48</v>
      </c>
      <c r="E2091" t="s">
        <v>33</v>
      </c>
      <c r="F2091" t="s">
        <v>34</v>
      </c>
      <c r="G2091" t="s">
        <v>35</v>
      </c>
      <c r="H2091" t="s">
        <v>51</v>
      </c>
      <c r="I2091" t="s">
        <v>61</v>
      </c>
      <c r="J2091" t="s">
        <v>29</v>
      </c>
      <c r="K2091">
        <v>19059</v>
      </c>
      <c r="L2091">
        <v>243</v>
      </c>
      <c r="M2091">
        <v>106.29</v>
      </c>
      <c r="N2091">
        <v>6</v>
      </c>
      <c r="O2091">
        <v>849.27</v>
      </c>
      <c r="P2091">
        <f t="shared" si="128"/>
        <v>1.2749881945537542E-2</v>
      </c>
      <c r="Q2091">
        <f t="shared" si="128"/>
        <v>0.43740740740740741</v>
      </c>
      <c r="R2091">
        <f t="shared" si="129"/>
        <v>17.715</v>
      </c>
      <c r="S2091">
        <f t="shared" si="130"/>
        <v>7.9901213660739483</v>
      </c>
      <c r="T2091">
        <f t="shared" si="131"/>
        <v>2.4691358024691357E-2</v>
      </c>
      <c r="U2091" t="str">
        <f>YEAR('Campaign Data'!$A2091)&amp;"-"&amp;TEXT(MONTH('Campaign Data'!$A2091),"00")</f>
        <v>2026-04</v>
      </c>
    </row>
    <row r="2092" spans="1:21" x14ac:dyDescent="0.25">
      <c r="A2092">
        <v>46136</v>
      </c>
      <c r="B2092" t="s">
        <v>177</v>
      </c>
      <c r="C2092" t="s">
        <v>178</v>
      </c>
      <c r="D2092" t="s">
        <v>41</v>
      </c>
      <c r="E2092" t="s">
        <v>49</v>
      </c>
      <c r="F2092" t="s">
        <v>34</v>
      </c>
      <c r="G2092" t="s">
        <v>107</v>
      </c>
      <c r="H2092" t="s">
        <v>90</v>
      </c>
      <c r="I2092" t="s">
        <v>28</v>
      </c>
      <c r="J2092" t="s">
        <v>38</v>
      </c>
      <c r="K2092">
        <v>4478</v>
      </c>
      <c r="L2092">
        <v>167</v>
      </c>
      <c r="M2092">
        <v>71.69</v>
      </c>
      <c r="N2092">
        <v>1</v>
      </c>
      <c r="O2092">
        <v>47.92</v>
      </c>
      <c r="P2092">
        <f t="shared" si="128"/>
        <v>3.7293434569004018E-2</v>
      </c>
      <c r="Q2092">
        <f t="shared" si="128"/>
        <v>0.42928143712574851</v>
      </c>
      <c r="R2092">
        <f t="shared" si="129"/>
        <v>71.69</v>
      </c>
      <c r="S2092">
        <f t="shared" si="130"/>
        <v>0.66843353326823829</v>
      </c>
      <c r="T2092">
        <f t="shared" si="131"/>
        <v>5.9880239520958087E-3</v>
      </c>
      <c r="U2092" t="str">
        <f>YEAR('Campaign Data'!$A2092)&amp;"-"&amp;TEXT(MONTH('Campaign Data'!$A2092),"00")</f>
        <v>2026-04</v>
      </c>
    </row>
    <row r="2093" spans="1:21" x14ac:dyDescent="0.25">
      <c r="A2093">
        <v>46136</v>
      </c>
      <c r="B2093" t="s">
        <v>153</v>
      </c>
      <c r="C2093" t="s">
        <v>154</v>
      </c>
      <c r="D2093" t="s">
        <v>48</v>
      </c>
      <c r="E2093" t="s">
        <v>33</v>
      </c>
      <c r="F2093" t="s">
        <v>43</v>
      </c>
      <c r="G2093" t="s">
        <v>59</v>
      </c>
      <c r="H2093" t="s">
        <v>55</v>
      </c>
      <c r="I2093" t="s">
        <v>28</v>
      </c>
      <c r="J2093" t="s">
        <v>38</v>
      </c>
      <c r="K2093">
        <v>12943</v>
      </c>
      <c r="L2093">
        <v>131</v>
      </c>
      <c r="M2093">
        <v>73.959999999999994</v>
      </c>
      <c r="N2093">
        <v>1</v>
      </c>
      <c r="O2093">
        <v>18.66</v>
      </c>
      <c r="P2093">
        <f t="shared" si="128"/>
        <v>1.012130108939195E-2</v>
      </c>
      <c r="Q2093">
        <f t="shared" si="128"/>
        <v>0.56458015267175565</v>
      </c>
      <c r="R2093">
        <f t="shared" si="129"/>
        <v>73.959999999999994</v>
      </c>
      <c r="S2093">
        <f t="shared" si="130"/>
        <v>0.25229853975121691</v>
      </c>
      <c r="T2093">
        <f t="shared" si="131"/>
        <v>7.6335877862595417E-3</v>
      </c>
      <c r="U2093" t="str">
        <f>YEAR('Campaign Data'!$A2093)&amp;"-"&amp;TEXT(MONTH('Campaign Data'!$A2093),"00")</f>
        <v>2026-04</v>
      </c>
    </row>
    <row r="2094" spans="1:21" x14ac:dyDescent="0.25">
      <c r="A2094">
        <v>46136</v>
      </c>
      <c r="B2094" t="s">
        <v>110</v>
      </c>
      <c r="C2094" t="s">
        <v>111</v>
      </c>
      <c r="D2094" t="s">
        <v>23</v>
      </c>
      <c r="E2094" t="s">
        <v>49</v>
      </c>
      <c r="F2094" t="s">
        <v>34</v>
      </c>
      <c r="G2094" t="s">
        <v>50</v>
      </c>
      <c r="H2094" t="s">
        <v>36</v>
      </c>
      <c r="I2094" t="s">
        <v>28</v>
      </c>
      <c r="J2094" t="s">
        <v>45</v>
      </c>
      <c r="K2094">
        <v>8171</v>
      </c>
      <c r="L2094">
        <v>310</v>
      </c>
      <c r="M2094">
        <v>548.42999999999995</v>
      </c>
      <c r="N2094">
        <v>8</v>
      </c>
      <c r="O2094">
        <v>1298.44</v>
      </c>
      <c r="P2094">
        <f t="shared" si="128"/>
        <v>3.7939052747521726E-2</v>
      </c>
      <c r="Q2094">
        <f t="shared" si="128"/>
        <v>1.7691290322580644</v>
      </c>
      <c r="R2094">
        <f t="shared" si="129"/>
        <v>68.553749999999994</v>
      </c>
      <c r="S2094">
        <f t="shared" si="130"/>
        <v>2.3675583027916054</v>
      </c>
      <c r="T2094">
        <f t="shared" si="131"/>
        <v>2.5806451612903226E-2</v>
      </c>
      <c r="U2094" t="str">
        <f>YEAR('Campaign Data'!$A2094)&amp;"-"&amp;TEXT(MONTH('Campaign Data'!$A2094),"00")</f>
        <v>2026-04</v>
      </c>
    </row>
    <row r="2095" spans="1:21" x14ac:dyDescent="0.25">
      <c r="A2095">
        <v>46136</v>
      </c>
      <c r="B2095" t="s">
        <v>114</v>
      </c>
      <c r="C2095" t="s">
        <v>115</v>
      </c>
      <c r="D2095" t="s">
        <v>69</v>
      </c>
      <c r="E2095" t="s">
        <v>49</v>
      </c>
      <c r="F2095" t="s">
        <v>25</v>
      </c>
      <c r="G2095" t="s">
        <v>107</v>
      </c>
      <c r="H2095" t="s">
        <v>60</v>
      </c>
      <c r="I2095" t="s">
        <v>28</v>
      </c>
      <c r="J2095" t="s">
        <v>38</v>
      </c>
      <c r="K2095">
        <v>5958</v>
      </c>
      <c r="L2095">
        <v>236</v>
      </c>
      <c r="M2095">
        <v>466.38</v>
      </c>
      <c r="N2095">
        <v>11</v>
      </c>
      <c r="O2095">
        <v>1923.88</v>
      </c>
      <c r="P2095">
        <f t="shared" si="128"/>
        <v>3.9610607586438404E-2</v>
      </c>
      <c r="Q2095">
        <f t="shared" si="128"/>
        <v>1.9761864406779661</v>
      </c>
      <c r="R2095">
        <f t="shared" si="129"/>
        <v>42.398181818181818</v>
      </c>
      <c r="S2095">
        <f t="shared" si="130"/>
        <v>4.1251340108924053</v>
      </c>
      <c r="T2095">
        <f t="shared" si="131"/>
        <v>4.6610169491525424E-2</v>
      </c>
      <c r="U2095" t="str">
        <f>YEAR('Campaign Data'!$A2095)&amp;"-"&amp;TEXT(MONTH('Campaign Data'!$A2095),"00")</f>
        <v>2026-04</v>
      </c>
    </row>
    <row r="2096" spans="1:21" x14ac:dyDescent="0.25">
      <c r="A2096">
        <v>46136</v>
      </c>
      <c r="B2096" t="s">
        <v>143</v>
      </c>
      <c r="C2096" t="s">
        <v>144</v>
      </c>
      <c r="D2096" t="s">
        <v>48</v>
      </c>
      <c r="E2096" t="s">
        <v>42</v>
      </c>
      <c r="F2096" t="s">
        <v>25</v>
      </c>
      <c r="G2096" t="s">
        <v>84</v>
      </c>
      <c r="H2096" t="s">
        <v>71</v>
      </c>
      <c r="I2096" t="s">
        <v>28</v>
      </c>
      <c r="J2096" t="s">
        <v>62</v>
      </c>
      <c r="K2096">
        <v>3880</v>
      </c>
      <c r="L2096">
        <v>35</v>
      </c>
      <c r="M2096">
        <v>144.33000000000001</v>
      </c>
      <c r="N2096">
        <v>1</v>
      </c>
      <c r="O2096">
        <v>151.21</v>
      </c>
      <c r="P2096">
        <f t="shared" si="128"/>
        <v>9.0206185567010301E-3</v>
      </c>
      <c r="Q2096">
        <f t="shared" si="128"/>
        <v>4.1237142857142857</v>
      </c>
      <c r="R2096">
        <f t="shared" si="129"/>
        <v>144.33000000000001</v>
      </c>
      <c r="S2096">
        <f t="shared" si="130"/>
        <v>1.0476685373796162</v>
      </c>
      <c r="T2096">
        <f t="shared" si="131"/>
        <v>2.8571428571428571E-2</v>
      </c>
      <c r="U2096" t="str">
        <f>YEAR('Campaign Data'!$A2096)&amp;"-"&amp;TEXT(MONTH('Campaign Data'!$A2096),"00")</f>
        <v>2026-04</v>
      </c>
    </row>
    <row r="2097" spans="1:21" x14ac:dyDescent="0.25">
      <c r="A2097">
        <v>46136</v>
      </c>
      <c r="B2097" t="s">
        <v>67</v>
      </c>
      <c r="C2097" t="s">
        <v>68</v>
      </c>
      <c r="D2097" t="s">
        <v>69</v>
      </c>
      <c r="E2097" t="s">
        <v>49</v>
      </c>
      <c r="F2097" t="s">
        <v>34</v>
      </c>
      <c r="G2097" t="s">
        <v>70</v>
      </c>
      <c r="H2097" t="s">
        <v>27</v>
      </c>
      <c r="I2097" t="s">
        <v>28</v>
      </c>
      <c r="J2097" t="s">
        <v>87</v>
      </c>
      <c r="K2097">
        <v>13183</v>
      </c>
      <c r="L2097">
        <v>860</v>
      </c>
      <c r="M2097">
        <v>1545.22</v>
      </c>
      <c r="N2097">
        <v>31</v>
      </c>
      <c r="O2097">
        <v>7311.93</v>
      </c>
      <c r="P2097">
        <f t="shared" si="128"/>
        <v>6.5235530607600692E-2</v>
      </c>
      <c r="Q2097">
        <f t="shared" si="128"/>
        <v>1.7967674418604651</v>
      </c>
      <c r="R2097">
        <f t="shared" si="129"/>
        <v>49.845806451612901</v>
      </c>
      <c r="S2097">
        <f t="shared" si="130"/>
        <v>4.7319669691047235</v>
      </c>
      <c r="T2097">
        <f t="shared" si="131"/>
        <v>3.604651162790698E-2</v>
      </c>
      <c r="U2097" t="str">
        <f>YEAR('Campaign Data'!$A2097)&amp;"-"&amp;TEXT(MONTH('Campaign Data'!$A2097),"00")</f>
        <v>2026-04</v>
      </c>
    </row>
    <row r="2098" spans="1:21" x14ac:dyDescent="0.25">
      <c r="A2098">
        <v>46136</v>
      </c>
      <c r="B2098" t="s">
        <v>116</v>
      </c>
      <c r="C2098" t="s">
        <v>117</v>
      </c>
      <c r="D2098" t="s">
        <v>48</v>
      </c>
      <c r="E2098" t="s">
        <v>24</v>
      </c>
      <c r="F2098" t="s">
        <v>43</v>
      </c>
      <c r="G2098" t="s">
        <v>26</v>
      </c>
      <c r="H2098" t="s">
        <v>51</v>
      </c>
      <c r="I2098" t="s">
        <v>28</v>
      </c>
      <c r="J2098" t="s">
        <v>38</v>
      </c>
      <c r="K2098">
        <v>3013</v>
      </c>
      <c r="L2098">
        <v>29</v>
      </c>
      <c r="M2098">
        <v>24.94</v>
      </c>
      <c r="N2098">
        <v>0</v>
      </c>
      <c r="O2098">
        <v>0</v>
      </c>
      <c r="P2098">
        <f t="shared" si="128"/>
        <v>9.6249585131098579E-3</v>
      </c>
      <c r="Q2098">
        <f t="shared" si="128"/>
        <v>0.8600000000000001</v>
      </c>
      <c r="R2098">
        <f t="shared" si="129"/>
        <v>0</v>
      </c>
      <c r="S2098">
        <f t="shared" si="130"/>
        <v>0</v>
      </c>
      <c r="T2098">
        <f t="shared" si="131"/>
        <v>0</v>
      </c>
      <c r="U2098" t="str">
        <f>YEAR('Campaign Data'!$A2098)&amp;"-"&amp;TEXT(MONTH('Campaign Data'!$A2098),"00")</f>
        <v>2026-04</v>
      </c>
    </row>
    <row r="2099" spans="1:21" x14ac:dyDescent="0.25">
      <c r="A2099">
        <v>46136</v>
      </c>
      <c r="B2099" t="s">
        <v>118</v>
      </c>
      <c r="C2099" t="s">
        <v>119</v>
      </c>
      <c r="D2099" t="s">
        <v>69</v>
      </c>
      <c r="E2099" t="s">
        <v>33</v>
      </c>
      <c r="F2099" t="s">
        <v>34</v>
      </c>
      <c r="G2099" t="s">
        <v>35</v>
      </c>
      <c r="H2099" t="s">
        <v>71</v>
      </c>
      <c r="I2099" t="s">
        <v>37</v>
      </c>
      <c r="J2099" t="s">
        <v>38</v>
      </c>
      <c r="K2099">
        <v>8410</v>
      </c>
      <c r="L2099">
        <v>86</v>
      </c>
      <c r="M2099">
        <v>46.64</v>
      </c>
      <c r="N2099">
        <v>0</v>
      </c>
      <c r="O2099">
        <v>0</v>
      </c>
      <c r="P2099">
        <f t="shared" si="128"/>
        <v>1.0225921521997621E-2</v>
      </c>
      <c r="Q2099">
        <f t="shared" si="128"/>
        <v>0.54232558139534881</v>
      </c>
      <c r="R2099">
        <f t="shared" si="129"/>
        <v>0</v>
      </c>
      <c r="S2099">
        <f t="shared" si="130"/>
        <v>0</v>
      </c>
      <c r="T2099">
        <f t="shared" si="131"/>
        <v>0</v>
      </c>
      <c r="U2099" t="str">
        <f>YEAR('Campaign Data'!$A2099)&amp;"-"&amp;TEXT(MONTH('Campaign Data'!$A2099),"00")</f>
        <v>2026-04</v>
      </c>
    </row>
    <row r="2100" spans="1:21" x14ac:dyDescent="0.25">
      <c r="A2100">
        <v>46136</v>
      </c>
      <c r="B2100" t="s">
        <v>163</v>
      </c>
      <c r="C2100" t="s">
        <v>164</v>
      </c>
      <c r="D2100" t="s">
        <v>58</v>
      </c>
      <c r="E2100" t="s">
        <v>42</v>
      </c>
      <c r="F2100" t="s">
        <v>43</v>
      </c>
      <c r="G2100" t="s">
        <v>44</v>
      </c>
      <c r="H2100" t="s">
        <v>27</v>
      </c>
      <c r="I2100" t="s">
        <v>37</v>
      </c>
      <c r="J2100" t="s">
        <v>29</v>
      </c>
      <c r="K2100">
        <v>14568</v>
      </c>
      <c r="L2100">
        <v>38</v>
      </c>
      <c r="M2100">
        <v>272.37</v>
      </c>
      <c r="N2100">
        <v>1</v>
      </c>
      <c r="O2100">
        <v>33.590000000000003</v>
      </c>
      <c r="P2100">
        <f t="shared" si="128"/>
        <v>2.6084568918176825E-3</v>
      </c>
      <c r="Q2100">
        <f t="shared" si="128"/>
        <v>7.1676315789473684</v>
      </c>
      <c r="R2100">
        <f t="shared" si="129"/>
        <v>272.37</v>
      </c>
      <c r="S2100">
        <f t="shared" si="130"/>
        <v>0.12332488893784192</v>
      </c>
      <c r="T2100">
        <f t="shared" si="131"/>
        <v>2.6315789473684209E-2</v>
      </c>
      <c r="U2100" t="str">
        <f>YEAR('Campaign Data'!$A2100)&amp;"-"&amp;TEXT(MONTH('Campaign Data'!$A2100),"00")</f>
        <v>2026-04</v>
      </c>
    </row>
    <row r="2101" spans="1:21" x14ac:dyDescent="0.25">
      <c r="A2101">
        <v>46136</v>
      </c>
      <c r="B2101" t="s">
        <v>120</v>
      </c>
      <c r="C2101" t="s">
        <v>121</v>
      </c>
      <c r="D2101" t="s">
        <v>23</v>
      </c>
      <c r="E2101" t="s">
        <v>49</v>
      </c>
      <c r="F2101" t="s">
        <v>75</v>
      </c>
      <c r="G2101" t="s">
        <v>70</v>
      </c>
      <c r="H2101" t="s">
        <v>27</v>
      </c>
      <c r="I2101" t="s">
        <v>37</v>
      </c>
      <c r="J2101" t="s">
        <v>87</v>
      </c>
      <c r="K2101">
        <v>3718</v>
      </c>
      <c r="L2101">
        <v>168</v>
      </c>
      <c r="M2101">
        <v>417.61</v>
      </c>
      <c r="N2101">
        <v>4</v>
      </c>
      <c r="O2101">
        <v>205.21</v>
      </c>
      <c r="P2101">
        <f t="shared" si="128"/>
        <v>4.5185583647122107E-2</v>
      </c>
      <c r="Q2101">
        <f t="shared" si="128"/>
        <v>2.4857738095238098</v>
      </c>
      <c r="R2101">
        <f t="shared" si="129"/>
        <v>104.4025</v>
      </c>
      <c r="S2101">
        <f t="shared" si="130"/>
        <v>0.49139148966739304</v>
      </c>
      <c r="T2101">
        <f t="shared" si="131"/>
        <v>2.3809523809523808E-2</v>
      </c>
      <c r="U2101" t="str">
        <f>YEAR('Campaign Data'!$A2101)&amp;"-"&amp;TEXT(MONTH('Campaign Data'!$A2101),"00")</f>
        <v>2026-04</v>
      </c>
    </row>
    <row r="2102" spans="1:21" x14ac:dyDescent="0.25">
      <c r="A2102">
        <v>46137</v>
      </c>
      <c r="B2102" t="s">
        <v>165</v>
      </c>
      <c r="C2102" t="s">
        <v>166</v>
      </c>
      <c r="D2102" t="s">
        <v>41</v>
      </c>
      <c r="E2102" t="s">
        <v>33</v>
      </c>
      <c r="F2102" t="s">
        <v>43</v>
      </c>
      <c r="G2102" t="s">
        <v>59</v>
      </c>
      <c r="H2102" t="s">
        <v>27</v>
      </c>
      <c r="I2102" t="s">
        <v>37</v>
      </c>
      <c r="J2102" t="s">
        <v>62</v>
      </c>
      <c r="K2102">
        <v>2079</v>
      </c>
      <c r="L2102">
        <v>27</v>
      </c>
      <c r="M2102">
        <v>20.12</v>
      </c>
      <c r="N2102">
        <v>0</v>
      </c>
      <c r="O2102">
        <v>0</v>
      </c>
      <c r="P2102">
        <f t="shared" si="128"/>
        <v>1.2987012987012988E-2</v>
      </c>
      <c r="Q2102">
        <f t="shared" si="128"/>
        <v>0.74518518518518517</v>
      </c>
      <c r="R2102">
        <f t="shared" si="129"/>
        <v>0</v>
      </c>
      <c r="S2102">
        <f t="shared" si="130"/>
        <v>0</v>
      </c>
      <c r="T2102">
        <f t="shared" si="131"/>
        <v>0</v>
      </c>
      <c r="U2102" t="str">
        <f>YEAR('Campaign Data'!$A2102)&amp;"-"&amp;TEXT(MONTH('Campaign Data'!$A2102),"00")</f>
        <v>2026-04</v>
      </c>
    </row>
    <row r="2103" spans="1:21" x14ac:dyDescent="0.25">
      <c r="A2103">
        <v>46137</v>
      </c>
      <c r="B2103" t="s">
        <v>138</v>
      </c>
      <c r="C2103" t="s">
        <v>139</v>
      </c>
      <c r="D2103" t="s">
        <v>58</v>
      </c>
      <c r="E2103" t="s">
        <v>74</v>
      </c>
      <c r="F2103" t="s">
        <v>34</v>
      </c>
      <c r="G2103" t="s">
        <v>9</v>
      </c>
      <c r="H2103" t="s">
        <v>36</v>
      </c>
      <c r="I2103" t="s">
        <v>28</v>
      </c>
      <c r="J2103" t="s">
        <v>45</v>
      </c>
      <c r="K2103">
        <v>7232</v>
      </c>
      <c r="L2103">
        <v>159</v>
      </c>
      <c r="M2103">
        <v>140.09</v>
      </c>
      <c r="N2103">
        <v>3</v>
      </c>
      <c r="O2103">
        <v>273.2</v>
      </c>
      <c r="P2103">
        <f t="shared" si="128"/>
        <v>2.1985619469026548E-2</v>
      </c>
      <c r="Q2103">
        <f t="shared" si="128"/>
        <v>0.88106918238993714</v>
      </c>
      <c r="R2103">
        <f t="shared" si="129"/>
        <v>46.696666666666665</v>
      </c>
      <c r="S2103">
        <f t="shared" si="130"/>
        <v>1.9501748875722749</v>
      </c>
      <c r="T2103">
        <f t="shared" si="131"/>
        <v>1.8867924528301886E-2</v>
      </c>
      <c r="U2103" t="str">
        <f>YEAR('Campaign Data'!$A2103)&amp;"-"&amp;TEXT(MONTH('Campaign Data'!$A2103),"00")</f>
        <v>2026-04</v>
      </c>
    </row>
    <row r="2104" spans="1:21" x14ac:dyDescent="0.25">
      <c r="A2104">
        <v>46137</v>
      </c>
      <c r="B2104" t="s">
        <v>91</v>
      </c>
      <c r="C2104" t="s">
        <v>92</v>
      </c>
      <c r="D2104" t="s">
        <v>41</v>
      </c>
      <c r="E2104" t="s">
        <v>74</v>
      </c>
      <c r="F2104" t="s">
        <v>75</v>
      </c>
      <c r="G2104" t="s">
        <v>9</v>
      </c>
      <c r="H2104" t="s">
        <v>90</v>
      </c>
      <c r="I2104" t="s">
        <v>37</v>
      </c>
      <c r="J2104" t="s">
        <v>29</v>
      </c>
      <c r="K2104">
        <v>1354</v>
      </c>
      <c r="L2104">
        <v>41</v>
      </c>
      <c r="M2104">
        <v>14.81</v>
      </c>
      <c r="N2104">
        <v>0</v>
      </c>
      <c r="O2104">
        <v>0</v>
      </c>
      <c r="P2104">
        <f t="shared" si="128"/>
        <v>3.0280649926144758E-2</v>
      </c>
      <c r="Q2104">
        <f t="shared" si="128"/>
        <v>0.36121951219512194</v>
      </c>
      <c r="R2104">
        <f t="shared" si="129"/>
        <v>0</v>
      </c>
      <c r="S2104">
        <f t="shared" si="130"/>
        <v>0</v>
      </c>
      <c r="T2104">
        <f t="shared" si="131"/>
        <v>0</v>
      </c>
      <c r="U2104" t="str">
        <f>YEAR('Campaign Data'!$A2104)&amp;"-"&amp;TEXT(MONTH('Campaign Data'!$A2104),"00")</f>
        <v>2026-04</v>
      </c>
    </row>
    <row r="2105" spans="1:21" x14ac:dyDescent="0.25">
      <c r="A2105">
        <v>46137</v>
      </c>
      <c r="B2105" t="s">
        <v>93</v>
      </c>
      <c r="C2105" t="s">
        <v>94</v>
      </c>
      <c r="D2105" t="s">
        <v>69</v>
      </c>
      <c r="E2105" t="s">
        <v>42</v>
      </c>
      <c r="F2105" t="s">
        <v>75</v>
      </c>
      <c r="G2105" t="s">
        <v>44</v>
      </c>
      <c r="H2105" t="s">
        <v>36</v>
      </c>
      <c r="I2105" t="s">
        <v>28</v>
      </c>
      <c r="J2105" t="s">
        <v>87</v>
      </c>
      <c r="K2105">
        <v>2162</v>
      </c>
      <c r="L2105">
        <v>15</v>
      </c>
      <c r="M2105">
        <v>101.63</v>
      </c>
      <c r="N2105">
        <v>1</v>
      </c>
      <c r="O2105">
        <v>59.97</v>
      </c>
      <c r="P2105">
        <f t="shared" si="128"/>
        <v>6.938020351526364E-3</v>
      </c>
      <c r="Q2105">
        <f t="shared" si="128"/>
        <v>6.7753333333333332</v>
      </c>
      <c r="R2105">
        <f t="shared" si="129"/>
        <v>101.63</v>
      </c>
      <c r="S2105">
        <f t="shared" si="130"/>
        <v>0.59008166879858315</v>
      </c>
      <c r="T2105">
        <f t="shared" si="131"/>
        <v>6.6666666666666666E-2</v>
      </c>
      <c r="U2105" t="str">
        <f>YEAR('Campaign Data'!$A2105)&amp;"-"&amp;TEXT(MONTH('Campaign Data'!$A2105),"00")</f>
        <v>2026-04</v>
      </c>
    </row>
    <row r="2106" spans="1:21" x14ac:dyDescent="0.25">
      <c r="A2106">
        <v>46137</v>
      </c>
      <c r="B2106" t="s">
        <v>95</v>
      </c>
      <c r="C2106" t="s">
        <v>96</v>
      </c>
      <c r="D2106" t="s">
        <v>23</v>
      </c>
      <c r="E2106" t="s">
        <v>49</v>
      </c>
      <c r="F2106" t="s">
        <v>43</v>
      </c>
      <c r="G2106" t="s">
        <v>97</v>
      </c>
      <c r="H2106" t="s">
        <v>90</v>
      </c>
      <c r="I2106" t="s">
        <v>37</v>
      </c>
      <c r="J2106" t="s">
        <v>38</v>
      </c>
      <c r="K2106">
        <v>4447</v>
      </c>
      <c r="L2106">
        <v>196</v>
      </c>
      <c r="M2106">
        <v>115.03</v>
      </c>
      <c r="N2106">
        <v>5</v>
      </c>
      <c r="O2106">
        <v>40.65</v>
      </c>
      <c r="P2106">
        <f t="shared" si="128"/>
        <v>4.4074657072183492E-2</v>
      </c>
      <c r="Q2106">
        <f t="shared" si="128"/>
        <v>0.58688775510204083</v>
      </c>
      <c r="R2106">
        <f t="shared" si="129"/>
        <v>23.006</v>
      </c>
      <c r="S2106">
        <f t="shared" si="130"/>
        <v>0.35338607319829607</v>
      </c>
      <c r="T2106">
        <f t="shared" si="131"/>
        <v>2.5510204081632654E-2</v>
      </c>
      <c r="U2106" t="str">
        <f>YEAR('Campaign Data'!$A2106)&amp;"-"&amp;TEXT(MONTH('Campaign Data'!$A2106),"00")</f>
        <v>2026-04</v>
      </c>
    </row>
    <row r="2107" spans="1:21" x14ac:dyDescent="0.25">
      <c r="A2107">
        <v>46137</v>
      </c>
      <c r="B2107" t="s">
        <v>46</v>
      </c>
      <c r="C2107" t="s">
        <v>47</v>
      </c>
      <c r="D2107" t="s">
        <v>48</v>
      </c>
      <c r="E2107" t="s">
        <v>49</v>
      </c>
      <c r="F2107" t="s">
        <v>43</v>
      </c>
      <c r="G2107" t="s">
        <v>50</v>
      </c>
      <c r="H2107" t="s">
        <v>90</v>
      </c>
      <c r="I2107" t="s">
        <v>28</v>
      </c>
      <c r="J2107" t="s">
        <v>45</v>
      </c>
      <c r="K2107">
        <v>15106</v>
      </c>
      <c r="L2107">
        <v>829</v>
      </c>
      <c r="M2107">
        <v>421.78</v>
      </c>
      <c r="N2107">
        <v>32</v>
      </c>
      <c r="O2107">
        <v>280.38</v>
      </c>
      <c r="P2107">
        <f t="shared" si="128"/>
        <v>5.4878856083675362E-2</v>
      </c>
      <c r="Q2107">
        <f t="shared" si="128"/>
        <v>0.50878166465621222</v>
      </c>
      <c r="R2107">
        <f t="shared" si="129"/>
        <v>13.180624999999999</v>
      </c>
      <c r="S2107">
        <f t="shared" si="130"/>
        <v>0.66475413722793875</v>
      </c>
      <c r="T2107">
        <f t="shared" si="131"/>
        <v>3.8600723763570564E-2</v>
      </c>
      <c r="U2107" t="str">
        <f>YEAR('Campaign Data'!$A2107)&amp;"-"&amp;TEXT(MONTH('Campaign Data'!$A2107),"00")</f>
        <v>2026-04</v>
      </c>
    </row>
    <row r="2108" spans="1:21" x14ac:dyDescent="0.25">
      <c r="A2108">
        <v>46137</v>
      </c>
      <c r="B2108" t="s">
        <v>52</v>
      </c>
      <c r="C2108" t="s">
        <v>53</v>
      </c>
      <c r="D2108" t="s">
        <v>32</v>
      </c>
      <c r="E2108" t="s">
        <v>42</v>
      </c>
      <c r="F2108" t="s">
        <v>25</v>
      </c>
      <c r="G2108" t="s">
        <v>54</v>
      </c>
      <c r="H2108" t="s">
        <v>36</v>
      </c>
      <c r="I2108" t="s">
        <v>37</v>
      </c>
      <c r="J2108" t="s">
        <v>29</v>
      </c>
      <c r="K2108">
        <v>4162</v>
      </c>
      <c r="L2108">
        <v>35</v>
      </c>
      <c r="M2108">
        <v>183.78</v>
      </c>
      <c r="N2108">
        <v>1</v>
      </c>
      <c r="O2108">
        <v>134.38</v>
      </c>
      <c r="P2108">
        <f t="shared" si="128"/>
        <v>8.4094185487746283E-3</v>
      </c>
      <c r="Q2108">
        <f t="shared" si="128"/>
        <v>5.2508571428571429</v>
      </c>
      <c r="R2108">
        <f t="shared" si="129"/>
        <v>183.78</v>
      </c>
      <c r="S2108">
        <f t="shared" si="130"/>
        <v>0.73120034824246383</v>
      </c>
      <c r="T2108">
        <f t="shared" si="131"/>
        <v>2.8571428571428571E-2</v>
      </c>
      <c r="U2108" t="str">
        <f>YEAR('Campaign Data'!$A2108)&amp;"-"&amp;TEXT(MONTH('Campaign Data'!$A2108),"00")</f>
        <v>2026-04</v>
      </c>
    </row>
    <row r="2109" spans="1:21" x14ac:dyDescent="0.25">
      <c r="A2109">
        <v>46137</v>
      </c>
      <c r="B2109" t="s">
        <v>108</v>
      </c>
      <c r="C2109" t="s">
        <v>109</v>
      </c>
      <c r="D2109" t="s">
        <v>58</v>
      </c>
      <c r="E2109" t="s">
        <v>33</v>
      </c>
      <c r="F2109" t="s">
        <v>43</v>
      </c>
      <c r="G2109" t="s">
        <v>59</v>
      </c>
      <c r="H2109" t="s">
        <v>36</v>
      </c>
      <c r="I2109" t="s">
        <v>37</v>
      </c>
      <c r="J2109" t="s">
        <v>38</v>
      </c>
      <c r="K2109">
        <v>4356</v>
      </c>
      <c r="L2109">
        <v>52</v>
      </c>
      <c r="M2109">
        <v>37.93</v>
      </c>
      <c r="N2109">
        <v>1</v>
      </c>
      <c r="O2109">
        <v>24.21</v>
      </c>
      <c r="P2109">
        <f t="shared" si="128"/>
        <v>1.1937557392102846E-2</v>
      </c>
      <c r="Q2109">
        <f t="shared" si="128"/>
        <v>0.72942307692307695</v>
      </c>
      <c r="R2109">
        <f t="shared" si="129"/>
        <v>37.93</v>
      </c>
      <c r="S2109">
        <f t="shared" si="130"/>
        <v>0.63828104402847352</v>
      </c>
      <c r="T2109">
        <f t="shared" si="131"/>
        <v>1.9230769230769232E-2</v>
      </c>
      <c r="U2109" t="str">
        <f>YEAR('Campaign Data'!$A2109)&amp;"-"&amp;TEXT(MONTH('Campaign Data'!$A2109),"00")</f>
        <v>2026-04</v>
      </c>
    </row>
    <row r="2110" spans="1:21" x14ac:dyDescent="0.25">
      <c r="A2110">
        <v>46137</v>
      </c>
      <c r="B2110" t="s">
        <v>132</v>
      </c>
      <c r="C2110" t="s">
        <v>133</v>
      </c>
      <c r="D2110" t="s">
        <v>23</v>
      </c>
      <c r="E2110" t="s">
        <v>42</v>
      </c>
      <c r="F2110" t="s">
        <v>75</v>
      </c>
      <c r="G2110" t="s">
        <v>84</v>
      </c>
      <c r="H2110" t="s">
        <v>36</v>
      </c>
      <c r="I2110" t="s">
        <v>28</v>
      </c>
      <c r="J2110" t="s">
        <v>87</v>
      </c>
      <c r="K2110">
        <v>6528</v>
      </c>
      <c r="L2110">
        <v>33</v>
      </c>
      <c r="M2110">
        <v>194.08</v>
      </c>
      <c r="N2110">
        <v>3</v>
      </c>
      <c r="O2110">
        <v>110.41</v>
      </c>
      <c r="P2110">
        <f t="shared" si="128"/>
        <v>5.0551470588235297E-3</v>
      </c>
      <c r="Q2110">
        <f t="shared" si="128"/>
        <v>5.8812121212121218</v>
      </c>
      <c r="R2110">
        <f t="shared" si="129"/>
        <v>64.693333333333342</v>
      </c>
      <c r="S2110">
        <f t="shared" si="130"/>
        <v>0.56888911788953</v>
      </c>
      <c r="T2110">
        <f t="shared" si="131"/>
        <v>9.0909090909090912E-2</v>
      </c>
      <c r="U2110" t="str">
        <f>YEAR('Campaign Data'!$A2110)&amp;"-"&amp;TEXT(MONTH('Campaign Data'!$A2110),"00")</f>
        <v>2026-04</v>
      </c>
    </row>
    <row r="2111" spans="1:21" x14ac:dyDescent="0.25">
      <c r="A2111">
        <v>46137</v>
      </c>
      <c r="B2111" t="s">
        <v>177</v>
      </c>
      <c r="C2111" t="s">
        <v>178</v>
      </c>
      <c r="D2111" t="s">
        <v>41</v>
      </c>
      <c r="E2111" t="s">
        <v>49</v>
      </c>
      <c r="F2111" t="s">
        <v>34</v>
      </c>
      <c r="G2111" t="s">
        <v>107</v>
      </c>
      <c r="H2111" t="s">
        <v>36</v>
      </c>
      <c r="I2111" t="s">
        <v>37</v>
      </c>
      <c r="J2111" t="s">
        <v>62</v>
      </c>
      <c r="K2111">
        <v>3575</v>
      </c>
      <c r="L2111">
        <v>123</v>
      </c>
      <c r="M2111">
        <v>138.19</v>
      </c>
      <c r="N2111">
        <v>4</v>
      </c>
      <c r="O2111">
        <v>676.75</v>
      </c>
      <c r="P2111">
        <f t="shared" si="128"/>
        <v>3.4405594405594403E-2</v>
      </c>
      <c r="Q2111">
        <f t="shared" si="128"/>
        <v>1.1234959349593496</v>
      </c>
      <c r="R2111">
        <f t="shared" si="129"/>
        <v>34.547499999999999</v>
      </c>
      <c r="S2111">
        <f t="shared" si="130"/>
        <v>4.8972429264056734</v>
      </c>
      <c r="T2111">
        <f t="shared" si="131"/>
        <v>3.2520325203252036E-2</v>
      </c>
      <c r="U2111" t="str">
        <f>YEAR('Campaign Data'!$A2111)&amp;"-"&amp;TEXT(MONTH('Campaign Data'!$A2111),"00")</f>
        <v>2026-04</v>
      </c>
    </row>
    <row r="2112" spans="1:21" x14ac:dyDescent="0.25">
      <c r="A2112">
        <v>46137</v>
      </c>
      <c r="B2112" t="s">
        <v>181</v>
      </c>
      <c r="C2112" t="s">
        <v>182</v>
      </c>
      <c r="D2112" t="s">
        <v>32</v>
      </c>
      <c r="E2112" t="s">
        <v>33</v>
      </c>
      <c r="F2112" t="s">
        <v>75</v>
      </c>
      <c r="G2112" t="s">
        <v>59</v>
      </c>
      <c r="H2112" t="s">
        <v>90</v>
      </c>
      <c r="I2112" t="s">
        <v>37</v>
      </c>
      <c r="J2112" t="s">
        <v>62</v>
      </c>
      <c r="K2112">
        <v>2429</v>
      </c>
      <c r="L2112">
        <v>36</v>
      </c>
      <c r="M2112">
        <v>4.79</v>
      </c>
      <c r="N2112">
        <v>0</v>
      </c>
      <c r="O2112">
        <v>0</v>
      </c>
      <c r="P2112">
        <f t="shared" si="128"/>
        <v>1.4820913956360642E-2</v>
      </c>
      <c r="Q2112">
        <f t="shared" si="128"/>
        <v>0.13305555555555557</v>
      </c>
      <c r="R2112">
        <f t="shared" si="129"/>
        <v>0</v>
      </c>
      <c r="S2112">
        <f t="shared" si="130"/>
        <v>0</v>
      </c>
      <c r="T2112">
        <f t="shared" si="131"/>
        <v>0</v>
      </c>
      <c r="U2112" t="str">
        <f>YEAR('Campaign Data'!$A2112)&amp;"-"&amp;TEXT(MONTH('Campaign Data'!$A2112),"00")</f>
        <v>2026-04</v>
      </c>
    </row>
    <row r="2113" spans="1:21" x14ac:dyDescent="0.25">
      <c r="A2113">
        <v>46137</v>
      </c>
      <c r="B2113" t="s">
        <v>141</v>
      </c>
      <c r="C2113" t="s">
        <v>142</v>
      </c>
      <c r="D2113" t="s">
        <v>80</v>
      </c>
      <c r="E2113" t="s">
        <v>49</v>
      </c>
      <c r="F2113" t="s">
        <v>81</v>
      </c>
      <c r="G2113" t="s">
        <v>97</v>
      </c>
      <c r="H2113" t="s">
        <v>90</v>
      </c>
      <c r="I2113" t="s">
        <v>28</v>
      </c>
      <c r="J2113" t="s">
        <v>29</v>
      </c>
      <c r="K2113">
        <v>2674</v>
      </c>
      <c r="L2113">
        <v>153</v>
      </c>
      <c r="M2113">
        <v>85.13</v>
      </c>
      <c r="N2113">
        <v>5</v>
      </c>
      <c r="O2113">
        <v>25</v>
      </c>
      <c r="P2113">
        <f t="shared" si="128"/>
        <v>5.7217651458489158E-2</v>
      </c>
      <c r="Q2113">
        <f t="shared" si="128"/>
        <v>0.55640522875816989</v>
      </c>
      <c r="R2113">
        <f t="shared" si="129"/>
        <v>17.026</v>
      </c>
      <c r="S2113">
        <f t="shared" si="130"/>
        <v>0.29366850698931046</v>
      </c>
      <c r="T2113">
        <f t="shared" si="131"/>
        <v>3.2679738562091505E-2</v>
      </c>
      <c r="U2113" t="str">
        <f>YEAR('Campaign Data'!$A2113)&amp;"-"&amp;TEXT(MONTH('Campaign Data'!$A2113),"00")</f>
        <v>2026-04</v>
      </c>
    </row>
    <row r="2114" spans="1:21" x14ac:dyDescent="0.25">
      <c r="A2114">
        <v>46137</v>
      </c>
      <c r="B2114" t="s">
        <v>136</v>
      </c>
      <c r="C2114" t="s">
        <v>137</v>
      </c>
      <c r="D2114" t="s">
        <v>32</v>
      </c>
      <c r="E2114" t="s">
        <v>49</v>
      </c>
      <c r="F2114" t="s">
        <v>75</v>
      </c>
      <c r="G2114" t="s">
        <v>97</v>
      </c>
      <c r="H2114" t="s">
        <v>71</v>
      </c>
      <c r="I2114" t="s">
        <v>61</v>
      </c>
      <c r="J2114" t="s">
        <v>38</v>
      </c>
      <c r="K2114">
        <v>9167</v>
      </c>
      <c r="L2114">
        <v>524</v>
      </c>
      <c r="M2114">
        <v>916.78</v>
      </c>
      <c r="N2114">
        <v>35</v>
      </c>
      <c r="O2114">
        <v>1465.63</v>
      </c>
      <c r="P2114">
        <f t="shared" ref="P2114:Q2177" si="132">IF(K2114=0,0,L2114/K2114)</f>
        <v>5.7161557761535947E-2</v>
      </c>
      <c r="Q2114">
        <f t="shared" si="132"/>
        <v>1.7495801526717556</v>
      </c>
      <c r="R2114">
        <f t="shared" ref="R2114:R2177" si="133">IF(N2114=0,0,M2114/N2114)</f>
        <v>26.193714285714286</v>
      </c>
      <c r="S2114">
        <f t="shared" ref="S2114:S2177" si="134">IF(M2114=0,0,O2114/M2114)</f>
        <v>1.5986714369859729</v>
      </c>
      <c r="T2114">
        <f t="shared" ref="T2114:T2177" si="135">IF(L2114=0,0,N2114/L2114)</f>
        <v>6.6793893129770993E-2</v>
      </c>
      <c r="U2114" t="str">
        <f>YEAR('Campaign Data'!$A2114)&amp;"-"&amp;TEXT(MONTH('Campaign Data'!$A2114),"00")</f>
        <v>2026-04</v>
      </c>
    </row>
    <row r="2115" spans="1:21" x14ac:dyDescent="0.25">
      <c r="A2115">
        <v>46137</v>
      </c>
      <c r="B2115" t="s">
        <v>143</v>
      </c>
      <c r="C2115" t="s">
        <v>144</v>
      </c>
      <c r="D2115" t="s">
        <v>48</v>
      </c>
      <c r="E2115" t="s">
        <v>42</v>
      </c>
      <c r="F2115" t="s">
        <v>25</v>
      </c>
      <c r="G2115" t="s">
        <v>84</v>
      </c>
      <c r="H2115" t="s">
        <v>27</v>
      </c>
      <c r="I2115" t="s">
        <v>28</v>
      </c>
      <c r="J2115" t="s">
        <v>45</v>
      </c>
      <c r="K2115">
        <v>4282</v>
      </c>
      <c r="L2115">
        <v>17</v>
      </c>
      <c r="M2115">
        <v>134.30000000000001</v>
      </c>
      <c r="N2115">
        <v>0</v>
      </c>
      <c r="O2115">
        <v>0</v>
      </c>
      <c r="P2115">
        <f t="shared" si="132"/>
        <v>3.9701074264362445E-3</v>
      </c>
      <c r="Q2115">
        <f t="shared" si="132"/>
        <v>7.9</v>
      </c>
      <c r="R2115">
        <f t="shared" si="133"/>
        <v>0</v>
      </c>
      <c r="S2115">
        <f t="shared" si="134"/>
        <v>0</v>
      </c>
      <c r="T2115">
        <f t="shared" si="135"/>
        <v>0</v>
      </c>
      <c r="U2115" t="str">
        <f>YEAR('Campaign Data'!$A2115)&amp;"-"&amp;TEXT(MONTH('Campaign Data'!$A2115),"00")</f>
        <v>2026-04</v>
      </c>
    </row>
    <row r="2116" spans="1:21" x14ac:dyDescent="0.25">
      <c r="A2116">
        <v>46137</v>
      </c>
      <c r="B2116" t="s">
        <v>72</v>
      </c>
      <c r="C2116" t="s">
        <v>73</v>
      </c>
      <c r="D2116" t="s">
        <v>69</v>
      </c>
      <c r="E2116" t="s">
        <v>74</v>
      </c>
      <c r="F2116" t="s">
        <v>75</v>
      </c>
      <c r="G2116" t="s">
        <v>9</v>
      </c>
      <c r="H2116" t="s">
        <v>27</v>
      </c>
      <c r="I2116" t="s">
        <v>37</v>
      </c>
      <c r="J2116" t="s">
        <v>29</v>
      </c>
      <c r="K2116">
        <v>10628</v>
      </c>
      <c r="L2116">
        <v>372</v>
      </c>
      <c r="M2116">
        <v>866.15</v>
      </c>
      <c r="N2116">
        <v>16</v>
      </c>
      <c r="O2116">
        <v>905.64</v>
      </c>
      <c r="P2116">
        <f t="shared" si="132"/>
        <v>3.5001881821603312E-2</v>
      </c>
      <c r="Q2116">
        <f t="shared" si="132"/>
        <v>2.3283602150537632</v>
      </c>
      <c r="R2116">
        <f t="shared" si="133"/>
        <v>54.134374999999999</v>
      </c>
      <c r="S2116">
        <f t="shared" si="134"/>
        <v>1.0455925647982451</v>
      </c>
      <c r="T2116">
        <f t="shared" si="135"/>
        <v>4.3010752688172046E-2</v>
      </c>
      <c r="U2116" t="str">
        <f>YEAR('Campaign Data'!$A2116)&amp;"-"&amp;TEXT(MONTH('Campaign Data'!$A2116),"00")</f>
        <v>2026-04</v>
      </c>
    </row>
    <row r="2117" spans="1:21" x14ac:dyDescent="0.25">
      <c r="A2117">
        <v>46137</v>
      </c>
      <c r="B2117" t="s">
        <v>72</v>
      </c>
      <c r="C2117" t="s">
        <v>73</v>
      </c>
      <c r="D2117" t="s">
        <v>69</v>
      </c>
      <c r="E2117" t="s">
        <v>74</v>
      </c>
      <c r="F2117" t="s">
        <v>75</v>
      </c>
      <c r="G2117" t="s">
        <v>9</v>
      </c>
      <c r="H2117" t="s">
        <v>27</v>
      </c>
      <c r="I2117" t="s">
        <v>37</v>
      </c>
      <c r="J2117" t="s">
        <v>38</v>
      </c>
      <c r="K2117">
        <v>8890</v>
      </c>
      <c r="L2117">
        <v>239</v>
      </c>
      <c r="M2117">
        <v>329.64</v>
      </c>
      <c r="N2117">
        <v>18</v>
      </c>
      <c r="O2117">
        <v>1140.58</v>
      </c>
      <c r="P2117">
        <f t="shared" si="132"/>
        <v>2.6884139482564681E-2</v>
      </c>
      <c r="Q2117">
        <f t="shared" si="132"/>
        <v>1.379246861924686</v>
      </c>
      <c r="R2117">
        <f t="shared" si="133"/>
        <v>18.313333333333333</v>
      </c>
      <c r="S2117">
        <f t="shared" si="134"/>
        <v>3.4600776604780972</v>
      </c>
      <c r="T2117">
        <f t="shared" si="135"/>
        <v>7.5313807531380755E-2</v>
      </c>
      <c r="U2117" t="str">
        <f>YEAR('Campaign Data'!$A2117)&amp;"-"&amp;TEXT(MONTH('Campaign Data'!$A2117),"00")</f>
        <v>2026-04</v>
      </c>
    </row>
    <row r="2118" spans="1:21" x14ac:dyDescent="0.25">
      <c r="A2118">
        <v>46137</v>
      </c>
      <c r="B2118" t="s">
        <v>116</v>
      </c>
      <c r="C2118" t="s">
        <v>117</v>
      </c>
      <c r="D2118" t="s">
        <v>48</v>
      </c>
      <c r="E2118" t="s">
        <v>24</v>
      </c>
      <c r="F2118" t="s">
        <v>43</v>
      </c>
      <c r="G2118" t="s">
        <v>26</v>
      </c>
      <c r="H2118" t="s">
        <v>36</v>
      </c>
      <c r="I2118" t="s">
        <v>37</v>
      </c>
      <c r="J2118" t="s">
        <v>62</v>
      </c>
      <c r="K2118">
        <v>4237</v>
      </c>
      <c r="L2118">
        <v>85</v>
      </c>
      <c r="M2118">
        <v>75.97</v>
      </c>
      <c r="N2118">
        <v>3</v>
      </c>
      <c r="O2118">
        <v>43.32</v>
      </c>
      <c r="P2118">
        <f t="shared" si="132"/>
        <v>2.0061364172763749E-2</v>
      </c>
      <c r="Q2118">
        <f t="shared" si="132"/>
        <v>0.89376470588235291</v>
      </c>
      <c r="R2118">
        <f t="shared" si="133"/>
        <v>25.323333333333334</v>
      </c>
      <c r="S2118">
        <f t="shared" si="134"/>
        <v>0.57022508885086221</v>
      </c>
      <c r="T2118">
        <f t="shared" si="135"/>
        <v>3.5294117647058823E-2</v>
      </c>
      <c r="U2118" t="str">
        <f>YEAR('Campaign Data'!$A2118)&amp;"-"&amp;TEXT(MONTH('Campaign Data'!$A2118),"00")</f>
        <v>2026-04</v>
      </c>
    </row>
    <row r="2119" spans="1:21" x14ac:dyDescent="0.25">
      <c r="A2119">
        <v>46137</v>
      </c>
      <c r="B2119" t="s">
        <v>76</v>
      </c>
      <c r="C2119" t="s">
        <v>77</v>
      </c>
      <c r="D2119" t="s">
        <v>65</v>
      </c>
      <c r="E2119" t="s">
        <v>42</v>
      </c>
      <c r="F2119" t="s">
        <v>43</v>
      </c>
      <c r="G2119" t="s">
        <v>44</v>
      </c>
      <c r="H2119" t="s">
        <v>55</v>
      </c>
      <c r="I2119" t="s">
        <v>37</v>
      </c>
      <c r="J2119" t="s">
        <v>87</v>
      </c>
      <c r="K2119">
        <v>14807</v>
      </c>
      <c r="L2119">
        <v>61</v>
      </c>
      <c r="M2119">
        <v>325.14999999999998</v>
      </c>
      <c r="N2119">
        <v>4</v>
      </c>
      <c r="O2119">
        <v>70.900000000000006</v>
      </c>
      <c r="P2119">
        <f t="shared" si="132"/>
        <v>4.1196731275747961E-3</v>
      </c>
      <c r="Q2119">
        <f t="shared" si="132"/>
        <v>5.3303278688524589</v>
      </c>
      <c r="R2119">
        <f t="shared" si="133"/>
        <v>81.287499999999994</v>
      </c>
      <c r="S2119">
        <f t="shared" si="134"/>
        <v>0.21805320621251734</v>
      </c>
      <c r="T2119">
        <f t="shared" si="135"/>
        <v>6.5573770491803282E-2</v>
      </c>
      <c r="U2119" t="str">
        <f>YEAR('Campaign Data'!$A2119)&amp;"-"&amp;TEXT(MONTH('Campaign Data'!$A2119),"00")</f>
        <v>2026-04</v>
      </c>
    </row>
    <row r="2120" spans="1:21" x14ac:dyDescent="0.25">
      <c r="A2120">
        <v>46137</v>
      </c>
      <c r="B2120" t="s">
        <v>76</v>
      </c>
      <c r="C2120" t="s">
        <v>77</v>
      </c>
      <c r="D2120" t="s">
        <v>65</v>
      </c>
      <c r="E2120" t="s">
        <v>42</v>
      </c>
      <c r="F2120" t="s">
        <v>43</v>
      </c>
      <c r="G2120" t="s">
        <v>44</v>
      </c>
      <c r="H2120" t="s">
        <v>51</v>
      </c>
      <c r="I2120" t="s">
        <v>28</v>
      </c>
      <c r="J2120" t="s">
        <v>45</v>
      </c>
      <c r="K2120">
        <v>3165</v>
      </c>
      <c r="L2120">
        <v>23</v>
      </c>
      <c r="M2120">
        <v>78.489999999999995</v>
      </c>
      <c r="N2120">
        <v>0</v>
      </c>
      <c r="O2120">
        <v>0</v>
      </c>
      <c r="P2120">
        <f t="shared" si="132"/>
        <v>7.2669826224328595E-3</v>
      </c>
      <c r="Q2120">
        <f t="shared" si="132"/>
        <v>3.4126086956521737</v>
      </c>
      <c r="R2120">
        <f t="shared" si="133"/>
        <v>0</v>
      </c>
      <c r="S2120">
        <f t="shared" si="134"/>
        <v>0</v>
      </c>
      <c r="T2120">
        <f t="shared" si="135"/>
        <v>0</v>
      </c>
      <c r="U2120" t="str">
        <f>YEAR('Campaign Data'!$A2120)&amp;"-"&amp;TEXT(MONTH('Campaign Data'!$A2120),"00")</f>
        <v>2026-04</v>
      </c>
    </row>
    <row r="2121" spans="1:21" x14ac:dyDescent="0.25">
      <c r="A2121">
        <v>46137</v>
      </c>
      <c r="B2121" t="s">
        <v>76</v>
      </c>
      <c r="C2121" t="s">
        <v>77</v>
      </c>
      <c r="D2121" t="s">
        <v>65</v>
      </c>
      <c r="E2121" t="s">
        <v>42</v>
      </c>
      <c r="F2121" t="s">
        <v>43</v>
      </c>
      <c r="G2121" t="s">
        <v>44</v>
      </c>
      <c r="H2121" t="s">
        <v>71</v>
      </c>
      <c r="I2121" t="s">
        <v>37</v>
      </c>
      <c r="J2121" t="s">
        <v>87</v>
      </c>
      <c r="K2121">
        <v>8194</v>
      </c>
      <c r="L2121">
        <v>36</v>
      </c>
      <c r="M2121">
        <v>246.16</v>
      </c>
      <c r="N2121">
        <v>3</v>
      </c>
      <c r="O2121">
        <v>82.93</v>
      </c>
      <c r="P2121">
        <f t="shared" si="132"/>
        <v>4.3934586282645838E-3</v>
      </c>
      <c r="Q2121">
        <f t="shared" si="132"/>
        <v>6.8377777777777773</v>
      </c>
      <c r="R2121">
        <f t="shared" si="133"/>
        <v>82.053333333333327</v>
      </c>
      <c r="S2121">
        <f t="shared" si="134"/>
        <v>0.33689470263243421</v>
      </c>
      <c r="T2121">
        <f t="shared" si="135"/>
        <v>8.3333333333333329E-2</v>
      </c>
      <c r="U2121" t="str">
        <f>YEAR('Campaign Data'!$A2121)&amp;"-"&amp;TEXT(MONTH('Campaign Data'!$A2121),"00")</f>
        <v>2026-04</v>
      </c>
    </row>
    <row r="2122" spans="1:21" x14ac:dyDescent="0.25">
      <c r="A2122">
        <v>46137</v>
      </c>
      <c r="B2122" t="s">
        <v>78</v>
      </c>
      <c r="C2122" t="s">
        <v>79</v>
      </c>
      <c r="D2122" t="s">
        <v>80</v>
      </c>
      <c r="E2122" t="s">
        <v>24</v>
      </c>
      <c r="F2122" t="s">
        <v>81</v>
      </c>
      <c r="G2122" t="s">
        <v>66</v>
      </c>
      <c r="H2122" t="s">
        <v>55</v>
      </c>
      <c r="I2122" t="s">
        <v>37</v>
      </c>
      <c r="J2122" t="s">
        <v>29</v>
      </c>
      <c r="K2122">
        <v>5472</v>
      </c>
      <c r="L2122">
        <v>35</v>
      </c>
      <c r="M2122">
        <v>44.37</v>
      </c>
      <c r="N2122">
        <v>4</v>
      </c>
      <c r="O2122">
        <v>66.75</v>
      </c>
      <c r="P2122">
        <f t="shared" si="132"/>
        <v>6.3961988304093564E-3</v>
      </c>
      <c r="Q2122">
        <f t="shared" si="132"/>
        <v>1.2677142857142856</v>
      </c>
      <c r="R2122">
        <f t="shared" si="133"/>
        <v>11.092499999999999</v>
      </c>
      <c r="S2122">
        <f t="shared" si="134"/>
        <v>1.5043948613928331</v>
      </c>
      <c r="T2122">
        <f t="shared" si="135"/>
        <v>0.11428571428571428</v>
      </c>
      <c r="U2122" t="str">
        <f>YEAR('Campaign Data'!$A2122)&amp;"-"&amp;TEXT(MONTH('Campaign Data'!$A2122),"00")</f>
        <v>2026-04</v>
      </c>
    </row>
    <row r="2123" spans="1:21" x14ac:dyDescent="0.25">
      <c r="A2123">
        <v>46137</v>
      </c>
      <c r="B2123" t="s">
        <v>82</v>
      </c>
      <c r="C2123" t="s">
        <v>83</v>
      </c>
      <c r="D2123" t="s">
        <v>80</v>
      </c>
      <c r="E2123" t="s">
        <v>42</v>
      </c>
      <c r="F2123" t="s">
        <v>34</v>
      </c>
      <c r="G2123" t="s">
        <v>84</v>
      </c>
      <c r="H2123" t="s">
        <v>27</v>
      </c>
      <c r="I2123" t="s">
        <v>37</v>
      </c>
      <c r="J2123" t="s">
        <v>29</v>
      </c>
      <c r="K2123">
        <v>5681</v>
      </c>
      <c r="L2123">
        <v>16</v>
      </c>
      <c r="M2123">
        <v>143.21</v>
      </c>
      <c r="N2123">
        <v>0</v>
      </c>
      <c r="O2123">
        <v>0</v>
      </c>
      <c r="P2123">
        <f t="shared" si="132"/>
        <v>2.8164055624009857E-3</v>
      </c>
      <c r="Q2123">
        <f t="shared" si="132"/>
        <v>8.9506250000000005</v>
      </c>
      <c r="R2123">
        <f t="shared" si="133"/>
        <v>0</v>
      </c>
      <c r="S2123">
        <f t="shared" si="134"/>
        <v>0</v>
      </c>
      <c r="T2123">
        <f t="shared" si="135"/>
        <v>0</v>
      </c>
      <c r="U2123" t="str">
        <f>YEAR('Campaign Data'!$A2123)&amp;"-"&amp;TEXT(MONTH('Campaign Data'!$A2123),"00")</f>
        <v>2026-04</v>
      </c>
    </row>
    <row r="2124" spans="1:21" x14ac:dyDescent="0.25">
      <c r="A2124">
        <v>46138</v>
      </c>
      <c r="B2124" t="s">
        <v>173</v>
      </c>
      <c r="C2124" t="s">
        <v>174</v>
      </c>
      <c r="D2124" t="s">
        <v>48</v>
      </c>
      <c r="E2124" t="s">
        <v>74</v>
      </c>
      <c r="F2124" t="s">
        <v>25</v>
      </c>
      <c r="G2124" t="s">
        <v>9</v>
      </c>
      <c r="H2124" t="s">
        <v>36</v>
      </c>
      <c r="I2124" t="s">
        <v>28</v>
      </c>
      <c r="J2124" t="s">
        <v>38</v>
      </c>
      <c r="K2124">
        <v>1578</v>
      </c>
      <c r="L2124">
        <v>55</v>
      </c>
      <c r="M2124">
        <v>63.29</v>
      </c>
      <c r="N2124">
        <v>5</v>
      </c>
      <c r="O2124">
        <v>736.83</v>
      </c>
      <c r="P2124">
        <f t="shared" si="132"/>
        <v>3.4854245880861848E-2</v>
      </c>
      <c r="Q2124">
        <f t="shared" si="132"/>
        <v>1.1507272727272728</v>
      </c>
      <c r="R2124">
        <f t="shared" si="133"/>
        <v>12.657999999999999</v>
      </c>
      <c r="S2124">
        <f t="shared" si="134"/>
        <v>11.642123558224048</v>
      </c>
      <c r="T2124">
        <f t="shared" si="135"/>
        <v>9.0909090909090912E-2</v>
      </c>
      <c r="U2124" t="str">
        <f>YEAR('Campaign Data'!$A2124)&amp;"-"&amp;TEXT(MONTH('Campaign Data'!$A2124),"00")</f>
        <v>2026-04</v>
      </c>
    </row>
    <row r="2125" spans="1:21" x14ac:dyDescent="0.25">
      <c r="A2125">
        <v>46138</v>
      </c>
      <c r="B2125" t="s">
        <v>173</v>
      </c>
      <c r="C2125" t="s">
        <v>174</v>
      </c>
      <c r="D2125" t="s">
        <v>48</v>
      </c>
      <c r="E2125" t="s">
        <v>74</v>
      </c>
      <c r="F2125" t="s">
        <v>25</v>
      </c>
      <c r="G2125" t="s">
        <v>9</v>
      </c>
      <c r="H2125" t="s">
        <v>27</v>
      </c>
      <c r="I2125" t="s">
        <v>37</v>
      </c>
      <c r="J2125" t="s">
        <v>62</v>
      </c>
      <c r="K2125">
        <v>13209</v>
      </c>
      <c r="L2125">
        <v>616</v>
      </c>
      <c r="M2125">
        <v>1024.27</v>
      </c>
      <c r="N2125">
        <v>42</v>
      </c>
      <c r="O2125">
        <v>8152.78</v>
      </c>
      <c r="P2125">
        <f t="shared" si="132"/>
        <v>4.663487016428193E-2</v>
      </c>
      <c r="Q2125">
        <f t="shared" si="132"/>
        <v>1.662775974025974</v>
      </c>
      <c r="R2125">
        <f t="shared" si="133"/>
        <v>24.387380952380951</v>
      </c>
      <c r="S2125">
        <f t="shared" si="134"/>
        <v>7.9596004959629783</v>
      </c>
      <c r="T2125">
        <f t="shared" si="135"/>
        <v>6.8181818181818177E-2</v>
      </c>
      <c r="U2125" t="str">
        <f>YEAR('Campaign Data'!$A2125)&amp;"-"&amp;TEXT(MONTH('Campaign Data'!$A2125),"00")</f>
        <v>2026-04</v>
      </c>
    </row>
    <row r="2126" spans="1:21" x14ac:dyDescent="0.25">
      <c r="A2126">
        <v>46138</v>
      </c>
      <c r="B2126" t="s">
        <v>85</v>
      </c>
      <c r="C2126" t="s">
        <v>86</v>
      </c>
      <c r="D2126" t="s">
        <v>80</v>
      </c>
      <c r="E2126" t="s">
        <v>33</v>
      </c>
      <c r="F2126" t="s">
        <v>43</v>
      </c>
      <c r="G2126" t="s">
        <v>35</v>
      </c>
      <c r="H2126" t="s">
        <v>60</v>
      </c>
      <c r="I2126" t="s">
        <v>37</v>
      </c>
      <c r="J2126" t="s">
        <v>87</v>
      </c>
      <c r="K2126">
        <v>6707</v>
      </c>
      <c r="L2126">
        <v>66</v>
      </c>
      <c r="M2126">
        <v>45.65</v>
      </c>
      <c r="N2126">
        <v>2</v>
      </c>
      <c r="O2126">
        <v>47.69</v>
      </c>
      <c r="P2126">
        <f t="shared" si="132"/>
        <v>9.8404651856269561E-3</v>
      </c>
      <c r="Q2126">
        <f t="shared" si="132"/>
        <v>0.69166666666666665</v>
      </c>
      <c r="R2126">
        <f t="shared" si="133"/>
        <v>22.824999999999999</v>
      </c>
      <c r="S2126">
        <f t="shared" si="134"/>
        <v>1.0446878422782038</v>
      </c>
      <c r="T2126">
        <f t="shared" si="135"/>
        <v>3.0303030303030304E-2</v>
      </c>
      <c r="U2126" t="str">
        <f>YEAR('Campaign Data'!$A2126)&amp;"-"&amp;TEXT(MONTH('Campaign Data'!$A2126),"00")</f>
        <v>2026-04</v>
      </c>
    </row>
    <row r="2127" spans="1:21" x14ac:dyDescent="0.25">
      <c r="A2127">
        <v>46138</v>
      </c>
      <c r="B2127" t="s">
        <v>85</v>
      </c>
      <c r="C2127" t="s">
        <v>86</v>
      </c>
      <c r="D2127" t="s">
        <v>80</v>
      </c>
      <c r="E2127" t="s">
        <v>33</v>
      </c>
      <c r="F2127" t="s">
        <v>43</v>
      </c>
      <c r="G2127" t="s">
        <v>35</v>
      </c>
      <c r="H2127" t="s">
        <v>36</v>
      </c>
      <c r="I2127" t="s">
        <v>28</v>
      </c>
      <c r="J2127" t="s">
        <v>45</v>
      </c>
      <c r="K2127">
        <v>14841</v>
      </c>
      <c r="L2127">
        <v>70</v>
      </c>
      <c r="M2127">
        <v>51.66</v>
      </c>
      <c r="N2127">
        <v>1</v>
      </c>
      <c r="O2127">
        <v>5</v>
      </c>
      <c r="P2127">
        <f t="shared" si="132"/>
        <v>4.7166632976214538E-3</v>
      </c>
      <c r="Q2127">
        <f t="shared" si="132"/>
        <v>0.73799999999999999</v>
      </c>
      <c r="R2127">
        <f t="shared" si="133"/>
        <v>51.66</v>
      </c>
      <c r="S2127">
        <f t="shared" si="134"/>
        <v>9.6786682152535816E-2</v>
      </c>
      <c r="T2127">
        <f t="shared" si="135"/>
        <v>1.4285714285714285E-2</v>
      </c>
      <c r="U2127" t="str">
        <f>YEAR('Campaign Data'!$A2127)&amp;"-"&amp;TEXT(MONTH('Campaign Data'!$A2127),"00")</f>
        <v>2026-04</v>
      </c>
    </row>
    <row r="2128" spans="1:21" x14ac:dyDescent="0.25">
      <c r="A2128">
        <v>46138</v>
      </c>
      <c r="B2128" t="s">
        <v>85</v>
      </c>
      <c r="C2128" t="s">
        <v>86</v>
      </c>
      <c r="D2128" t="s">
        <v>80</v>
      </c>
      <c r="E2128" t="s">
        <v>33</v>
      </c>
      <c r="F2128" t="s">
        <v>43</v>
      </c>
      <c r="G2128" t="s">
        <v>35</v>
      </c>
      <c r="H2128" t="s">
        <v>27</v>
      </c>
      <c r="I2128" t="s">
        <v>37</v>
      </c>
      <c r="J2128" t="s">
        <v>62</v>
      </c>
      <c r="K2128">
        <v>7047</v>
      </c>
      <c r="L2128">
        <v>52</v>
      </c>
      <c r="M2128">
        <v>34.880000000000003</v>
      </c>
      <c r="N2128">
        <v>2</v>
      </c>
      <c r="O2128">
        <v>95.82</v>
      </c>
      <c r="P2128">
        <f t="shared" si="132"/>
        <v>7.3790265361146591E-3</v>
      </c>
      <c r="Q2128">
        <f t="shared" si="132"/>
        <v>0.67076923076923078</v>
      </c>
      <c r="R2128">
        <f t="shared" si="133"/>
        <v>17.440000000000001</v>
      </c>
      <c r="S2128">
        <f t="shared" si="134"/>
        <v>2.7471330275229353</v>
      </c>
      <c r="T2128">
        <f t="shared" si="135"/>
        <v>3.8461538461538464E-2</v>
      </c>
      <c r="U2128" t="str">
        <f>YEAR('Campaign Data'!$A2128)&amp;"-"&amp;TEXT(MONTH('Campaign Data'!$A2128),"00")</f>
        <v>2026-04</v>
      </c>
    </row>
    <row r="2129" spans="1:21" x14ac:dyDescent="0.25">
      <c r="A2129">
        <v>46138</v>
      </c>
      <c r="B2129" t="s">
        <v>88</v>
      </c>
      <c r="C2129" t="s">
        <v>89</v>
      </c>
      <c r="D2129" t="s">
        <v>23</v>
      </c>
      <c r="E2129" t="s">
        <v>49</v>
      </c>
      <c r="F2129" t="s">
        <v>81</v>
      </c>
      <c r="G2129" t="s">
        <v>50</v>
      </c>
      <c r="H2129" t="s">
        <v>27</v>
      </c>
      <c r="I2129" t="s">
        <v>37</v>
      </c>
      <c r="J2129" t="s">
        <v>38</v>
      </c>
      <c r="K2129">
        <v>6699</v>
      </c>
      <c r="L2129">
        <v>299</v>
      </c>
      <c r="M2129">
        <v>665.89</v>
      </c>
      <c r="N2129">
        <v>8</v>
      </c>
      <c r="O2129">
        <v>139.49</v>
      </c>
      <c r="P2129">
        <f t="shared" si="132"/>
        <v>4.4633527392148084E-2</v>
      </c>
      <c r="Q2129">
        <f t="shared" si="132"/>
        <v>2.227056856187291</v>
      </c>
      <c r="R2129">
        <f t="shared" si="133"/>
        <v>83.236249999999998</v>
      </c>
      <c r="S2129">
        <f t="shared" si="134"/>
        <v>0.20947904308519427</v>
      </c>
      <c r="T2129">
        <f t="shared" si="135"/>
        <v>2.6755852842809364E-2</v>
      </c>
      <c r="U2129" t="str">
        <f>YEAR('Campaign Data'!$A2129)&amp;"-"&amp;TEXT(MONTH('Campaign Data'!$A2129),"00")</f>
        <v>2026-04</v>
      </c>
    </row>
    <row r="2130" spans="1:21" x14ac:dyDescent="0.25">
      <c r="A2130">
        <v>46138</v>
      </c>
      <c r="B2130" t="s">
        <v>21</v>
      </c>
      <c r="C2130" t="s">
        <v>124</v>
      </c>
      <c r="D2130" t="s">
        <v>23</v>
      </c>
      <c r="E2130" t="s">
        <v>24</v>
      </c>
      <c r="F2130" t="s">
        <v>25</v>
      </c>
      <c r="G2130" t="s">
        <v>26</v>
      </c>
      <c r="H2130" t="s">
        <v>27</v>
      </c>
      <c r="I2130" t="s">
        <v>37</v>
      </c>
      <c r="J2130" t="s">
        <v>62</v>
      </c>
      <c r="K2130">
        <v>5593</v>
      </c>
      <c r="L2130">
        <v>64</v>
      </c>
      <c r="M2130">
        <v>59.98</v>
      </c>
      <c r="N2130">
        <v>4</v>
      </c>
      <c r="O2130">
        <v>739.27</v>
      </c>
      <c r="P2130">
        <f t="shared" si="132"/>
        <v>1.1442875022349365E-2</v>
      </c>
      <c r="Q2130">
        <f t="shared" si="132"/>
        <v>0.93718749999999995</v>
      </c>
      <c r="R2130">
        <f t="shared" si="133"/>
        <v>14.994999999999999</v>
      </c>
      <c r="S2130">
        <f t="shared" si="134"/>
        <v>12.325275091697232</v>
      </c>
      <c r="T2130">
        <f t="shared" si="135"/>
        <v>6.25E-2</v>
      </c>
      <c r="U2130" t="str">
        <f>YEAR('Campaign Data'!$A2130)&amp;"-"&amp;TEXT(MONTH('Campaign Data'!$A2130),"00")</f>
        <v>2026-04</v>
      </c>
    </row>
    <row r="2131" spans="1:21" x14ac:dyDescent="0.25">
      <c r="A2131">
        <v>46138</v>
      </c>
      <c r="B2131" t="s">
        <v>147</v>
      </c>
      <c r="C2131" t="s">
        <v>148</v>
      </c>
      <c r="D2131" t="s">
        <v>23</v>
      </c>
      <c r="E2131" t="s">
        <v>42</v>
      </c>
      <c r="F2131" t="s">
        <v>75</v>
      </c>
      <c r="G2131" t="s">
        <v>44</v>
      </c>
      <c r="H2131" t="s">
        <v>36</v>
      </c>
      <c r="I2131" t="s">
        <v>37</v>
      </c>
      <c r="J2131" t="s">
        <v>38</v>
      </c>
      <c r="K2131">
        <v>19987</v>
      </c>
      <c r="L2131">
        <v>101</v>
      </c>
      <c r="M2131">
        <v>639</v>
      </c>
      <c r="N2131">
        <v>1</v>
      </c>
      <c r="O2131">
        <v>33.58</v>
      </c>
      <c r="P2131">
        <f t="shared" si="132"/>
        <v>5.0532846350127584E-3</v>
      </c>
      <c r="Q2131">
        <f t="shared" si="132"/>
        <v>6.326732673267327</v>
      </c>
      <c r="R2131">
        <f t="shared" si="133"/>
        <v>639</v>
      </c>
      <c r="S2131">
        <f t="shared" si="134"/>
        <v>5.2550860719874803E-2</v>
      </c>
      <c r="T2131">
        <f t="shared" si="135"/>
        <v>9.9009900990099011E-3</v>
      </c>
      <c r="U2131" t="str">
        <f>YEAR('Campaign Data'!$A2131)&amp;"-"&amp;TEXT(MONTH('Campaign Data'!$A2131),"00")</f>
        <v>2026-04</v>
      </c>
    </row>
    <row r="2132" spans="1:21" x14ac:dyDescent="0.25">
      <c r="A2132">
        <v>46138</v>
      </c>
      <c r="B2132" t="s">
        <v>149</v>
      </c>
      <c r="C2132" t="s">
        <v>150</v>
      </c>
      <c r="D2132" t="s">
        <v>65</v>
      </c>
      <c r="E2132" t="s">
        <v>33</v>
      </c>
      <c r="F2132" t="s">
        <v>43</v>
      </c>
      <c r="G2132" t="s">
        <v>59</v>
      </c>
      <c r="H2132" t="s">
        <v>27</v>
      </c>
      <c r="I2132" t="s">
        <v>28</v>
      </c>
      <c r="J2132" t="s">
        <v>87</v>
      </c>
      <c r="K2132">
        <v>2550</v>
      </c>
      <c r="L2132">
        <v>16</v>
      </c>
      <c r="M2132">
        <v>8.1999999999999993</v>
      </c>
      <c r="N2132">
        <v>1</v>
      </c>
      <c r="O2132">
        <v>36.96</v>
      </c>
      <c r="P2132">
        <f t="shared" si="132"/>
        <v>6.2745098039215684E-3</v>
      </c>
      <c r="Q2132">
        <f t="shared" si="132"/>
        <v>0.51249999999999996</v>
      </c>
      <c r="R2132">
        <f t="shared" si="133"/>
        <v>8.1999999999999993</v>
      </c>
      <c r="S2132">
        <f t="shared" si="134"/>
        <v>4.5073170731707322</v>
      </c>
      <c r="T2132">
        <f t="shared" si="135"/>
        <v>6.25E-2</v>
      </c>
      <c r="U2132" t="str">
        <f>YEAR('Campaign Data'!$A2132)&amp;"-"&amp;TEXT(MONTH('Campaign Data'!$A2132),"00")</f>
        <v>2026-04</v>
      </c>
    </row>
    <row r="2133" spans="1:21" x14ac:dyDescent="0.25">
      <c r="A2133">
        <v>46138</v>
      </c>
      <c r="B2133" t="s">
        <v>91</v>
      </c>
      <c r="C2133" t="s">
        <v>92</v>
      </c>
      <c r="D2133" t="s">
        <v>41</v>
      </c>
      <c r="E2133" t="s">
        <v>74</v>
      </c>
      <c r="F2133" t="s">
        <v>75</v>
      </c>
      <c r="G2133" t="s">
        <v>9</v>
      </c>
      <c r="H2133" t="s">
        <v>27</v>
      </c>
      <c r="I2133" t="s">
        <v>61</v>
      </c>
      <c r="J2133" t="s">
        <v>45</v>
      </c>
      <c r="K2133">
        <v>15130</v>
      </c>
      <c r="L2133">
        <v>375</v>
      </c>
      <c r="M2133">
        <v>500.22</v>
      </c>
      <c r="N2133">
        <v>16</v>
      </c>
      <c r="O2133">
        <v>833.63</v>
      </c>
      <c r="P2133">
        <f t="shared" si="132"/>
        <v>2.478519497686715E-2</v>
      </c>
      <c r="Q2133">
        <f t="shared" si="132"/>
        <v>1.33392</v>
      </c>
      <c r="R2133">
        <f t="shared" si="133"/>
        <v>31.263750000000002</v>
      </c>
      <c r="S2133">
        <f t="shared" si="134"/>
        <v>1.6665267282395746</v>
      </c>
      <c r="T2133">
        <f t="shared" si="135"/>
        <v>4.2666666666666665E-2</v>
      </c>
      <c r="U2133" t="str">
        <f>YEAR('Campaign Data'!$A2133)&amp;"-"&amp;TEXT(MONTH('Campaign Data'!$A2133),"00")</f>
        <v>2026-04</v>
      </c>
    </row>
    <row r="2134" spans="1:21" x14ac:dyDescent="0.25">
      <c r="A2134">
        <v>46138</v>
      </c>
      <c r="B2134" t="s">
        <v>186</v>
      </c>
      <c r="C2134" t="s">
        <v>187</v>
      </c>
      <c r="D2134" t="s">
        <v>80</v>
      </c>
      <c r="E2134" t="s">
        <v>33</v>
      </c>
      <c r="F2134" t="s">
        <v>43</v>
      </c>
      <c r="G2134" t="s">
        <v>102</v>
      </c>
      <c r="H2134" t="s">
        <v>27</v>
      </c>
      <c r="I2134" t="s">
        <v>28</v>
      </c>
      <c r="J2134" t="s">
        <v>38</v>
      </c>
      <c r="K2134">
        <v>4832</v>
      </c>
      <c r="L2134">
        <v>40</v>
      </c>
      <c r="M2134">
        <v>29.39</v>
      </c>
      <c r="N2134">
        <v>0</v>
      </c>
      <c r="O2134">
        <v>0</v>
      </c>
      <c r="P2134">
        <f t="shared" si="132"/>
        <v>8.2781456953642391E-3</v>
      </c>
      <c r="Q2134">
        <f t="shared" si="132"/>
        <v>0.73475000000000001</v>
      </c>
      <c r="R2134">
        <f t="shared" si="133"/>
        <v>0</v>
      </c>
      <c r="S2134">
        <f t="shared" si="134"/>
        <v>0</v>
      </c>
      <c r="T2134">
        <f t="shared" si="135"/>
        <v>0</v>
      </c>
      <c r="U2134" t="str">
        <f>YEAR('Campaign Data'!$A2134)&amp;"-"&amp;TEXT(MONTH('Campaign Data'!$A2134),"00")</f>
        <v>2026-04</v>
      </c>
    </row>
    <row r="2135" spans="1:21" x14ac:dyDescent="0.25">
      <c r="A2135">
        <v>46138</v>
      </c>
      <c r="B2135" t="s">
        <v>186</v>
      </c>
      <c r="C2135" t="s">
        <v>187</v>
      </c>
      <c r="D2135" t="s">
        <v>80</v>
      </c>
      <c r="E2135" t="s">
        <v>33</v>
      </c>
      <c r="F2135" t="s">
        <v>43</v>
      </c>
      <c r="G2135" t="s">
        <v>102</v>
      </c>
      <c r="H2135" t="s">
        <v>51</v>
      </c>
      <c r="I2135" t="s">
        <v>37</v>
      </c>
      <c r="J2135" t="s">
        <v>87</v>
      </c>
      <c r="K2135">
        <v>5315</v>
      </c>
      <c r="L2135">
        <v>62</v>
      </c>
      <c r="M2135">
        <v>33.840000000000003</v>
      </c>
      <c r="N2135">
        <v>0</v>
      </c>
      <c r="O2135">
        <v>0</v>
      </c>
      <c r="P2135">
        <f t="shared" si="132"/>
        <v>1.1665098777046096E-2</v>
      </c>
      <c r="Q2135">
        <f t="shared" si="132"/>
        <v>0.54580645161290331</v>
      </c>
      <c r="R2135">
        <f t="shared" si="133"/>
        <v>0</v>
      </c>
      <c r="S2135">
        <f t="shared" si="134"/>
        <v>0</v>
      </c>
      <c r="T2135">
        <f t="shared" si="135"/>
        <v>0</v>
      </c>
      <c r="U2135" t="str">
        <f>YEAR('Campaign Data'!$A2135)&amp;"-"&amp;TEXT(MONTH('Campaign Data'!$A2135),"00")</f>
        <v>2026-04</v>
      </c>
    </row>
    <row r="2136" spans="1:21" x14ac:dyDescent="0.25">
      <c r="A2136">
        <v>46138</v>
      </c>
      <c r="B2136" t="s">
        <v>186</v>
      </c>
      <c r="C2136" t="s">
        <v>187</v>
      </c>
      <c r="D2136" t="s">
        <v>80</v>
      </c>
      <c r="E2136" t="s">
        <v>33</v>
      </c>
      <c r="F2136" t="s">
        <v>43</v>
      </c>
      <c r="G2136" t="s">
        <v>102</v>
      </c>
      <c r="H2136" t="s">
        <v>36</v>
      </c>
      <c r="I2136" t="s">
        <v>37</v>
      </c>
      <c r="J2136" t="s">
        <v>62</v>
      </c>
      <c r="K2136">
        <v>5967</v>
      </c>
      <c r="L2136">
        <v>86</v>
      </c>
      <c r="M2136">
        <v>57.76</v>
      </c>
      <c r="N2136">
        <v>0</v>
      </c>
      <c r="O2136">
        <v>0</v>
      </c>
      <c r="P2136">
        <f t="shared" si="132"/>
        <v>1.4412602647896766E-2</v>
      </c>
      <c r="Q2136">
        <f t="shared" si="132"/>
        <v>0.67162790697674413</v>
      </c>
      <c r="R2136">
        <f t="shared" si="133"/>
        <v>0</v>
      </c>
      <c r="S2136">
        <f t="shared" si="134"/>
        <v>0</v>
      </c>
      <c r="T2136">
        <f t="shared" si="135"/>
        <v>0</v>
      </c>
      <c r="U2136" t="str">
        <f>YEAR('Campaign Data'!$A2136)&amp;"-"&amp;TEXT(MONTH('Campaign Data'!$A2136),"00")</f>
        <v>2026-04</v>
      </c>
    </row>
    <row r="2137" spans="1:21" x14ac:dyDescent="0.25">
      <c r="A2137">
        <v>46138</v>
      </c>
      <c r="B2137" t="s">
        <v>30</v>
      </c>
      <c r="C2137" t="s">
        <v>31</v>
      </c>
      <c r="D2137" t="s">
        <v>32</v>
      </c>
      <c r="E2137" t="s">
        <v>33</v>
      </c>
      <c r="F2137" t="s">
        <v>34</v>
      </c>
      <c r="G2137" t="s">
        <v>35</v>
      </c>
      <c r="H2137" t="s">
        <v>27</v>
      </c>
      <c r="I2137" t="s">
        <v>28</v>
      </c>
      <c r="J2137" t="s">
        <v>62</v>
      </c>
      <c r="K2137">
        <v>1539</v>
      </c>
      <c r="L2137">
        <v>18</v>
      </c>
      <c r="M2137">
        <v>15.11</v>
      </c>
      <c r="N2137">
        <v>0</v>
      </c>
      <c r="O2137">
        <v>0</v>
      </c>
      <c r="P2137">
        <f t="shared" si="132"/>
        <v>1.1695906432748537E-2</v>
      </c>
      <c r="Q2137">
        <f t="shared" si="132"/>
        <v>0.83944444444444444</v>
      </c>
      <c r="R2137">
        <f t="shared" si="133"/>
        <v>0</v>
      </c>
      <c r="S2137">
        <f t="shared" si="134"/>
        <v>0</v>
      </c>
      <c r="T2137">
        <f t="shared" si="135"/>
        <v>0</v>
      </c>
      <c r="U2137" t="str">
        <f>YEAR('Campaign Data'!$A2137)&amp;"-"&amp;TEXT(MONTH('Campaign Data'!$A2137),"00")</f>
        <v>2026-04</v>
      </c>
    </row>
    <row r="2138" spans="1:21" x14ac:dyDescent="0.25">
      <c r="A2138">
        <v>46138</v>
      </c>
      <c r="B2138" t="s">
        <v>151</v>
      </c>
      <c r="C2138" t="s">
        <v>152</v>
      </c>
      <c r="D2138" t="s">
        <v>48</v>
      </c>
      <c r="E2138" t="s">
        <v>24</v>
      </c>
      <c r="F2138" t="s">
        <v>81</v>
      </c>
      <c r="G2138" t="s">
        <v>129</v>
      </c>
      <c r="H2138" t="s">
        <v>51</v>
      </c>
      <c r="I2138" t="s">
        <v>37</v>
      </c>
      <c r="J2138" t="s">
        <v>62</v>
      </c>
      <c r="K2138">
        <v>899</v>
      </c>
      <c r="L2138">
        <v>12</v>
      </c>
      <c r="M2138">
        <v>9.42</v>
      </c>
      <c r="N2138">
        <v>0</v>
      </c>
      <c r="O2138">
        <v>0</v>
      </c>
      <c r="P2138">
        <f t="shared" si="132"/>
        <v>1.3348164627363738E-2</v>
      </c>
      <c r="Q2138">
        <f t="shared" si="132"/>
        <v>0.78500000000000003</v>
      </c>
      <c r="R2138">
        <f t="shared" si="133"/>
        <v>0</v>
      </c>
      <c r="S2138">
        <f t="shared" si="134"/>
        <v>0</v>
      </c>
      <c r="T2138">
        <f t="shared" si="135"/>
        <v>0</v>
      </c>
      <c r="U2138" t="str">
        <f>YEAR('Campaign Data'!$A2138)&amp;"-"&amp;TEXT(MONTH('Campaign Data'!$A2138),"00")</f>
        <v>2026-04</v>
      </c>
    </row>
    <row r="2139" spans="1:21" x14ac:dyDescent="0.25">
      <c r="A2139">
        <v>46138</v>
      </c>
      <c r="B2139" t="s">
        <v>151</v>
      </c>
      <c r="C2139" t="s">
        <v>152</v>
      </c>
      <c r="D2139" t="s">
        <v>48</v>
      </c>
      <c r="E2139" t="s">
        <v>24</v>
      </c>
      <c r="F2139" t="s">
        <v>81</v>
      </c>
      <c r="G2139" t="s">
        <v>129</v>
      </c>
      <c r="H2139" t="s">
        <v>71</v>
      </c>
      <c r="I2139" t="s">
        <v>37</v>
      </c>
      <c r="J2139" t="s">
        <v>45</v>
      </c>
      <c r="K2139">
        <v>7269</v>
      </c>
      <c r="L2139">
        <v>125</v>
      </c>
      <c r="M2139">
        <v>108.88</v>
      </c>
      <c r="N2139">
        <v>5</v>
      </c>
      <c r="O2139">
        <v>75.709999999999994</v>
      </c>
      <c r="P2139">
        <f t="shared" si="132"/>
        <v>1.7196313110469114E-2</v>
      </c>
      <c r="Q2139">
        <f t="shared" si="132"/>
        <v>0.87103999999999993</v>
      </c>
      <c r="R2139">
        <f t="shared" si="133"/>
        <v>21.776</v>
      </c>
      <c r="S2139">
        <f t="shared" si="134"/>
        <v>0.69535268185157972</v>
      </c>
      <c r="T2139">
        <f t="shared" si="135"/>
        <v>0.04</v>
      </c>
      <c r="U2139" t="str">
        <f>YEAR('Campaign Data'!$A2139)&amp;"-"&amp;TEXT(MONTH('Campaign Data'!$A2139),"00")</f>
        <v>2026-04</v>
      </c>
    </row>
    <row r="2140" spans="1:21" x14ac:dyDescent="0.25">
      <c r="A2140">
        <v>46138</v>
      </c>
      <c r="B2140" t="s">
        <v>105</v>
      </c>
      <c r="C2140" t="s">
        <v>106</v>
      </c>
      <c r="D2140" t="s">
        <v>58</v>
      </c>
      <c r="E2140" t="s">
        <v>49</v>
      </c>
      <c r="F2140" t="s">
        <v>81</v>
      </c>
      <c r="G2140" t="s">
        <v>107</v>
      </c>
      <c r="H2140" t="s">
        <v>60</v>
      </c>
      <c r="I2140" t="s">
        <v>37</v>
      </c>
      <c r="J2140" t="s">
        <v>87</v>
      </c>
      <c r="K2140">
        <v>7088</v>
      </c>
      <c r="L2140">
        <v>264</v>
      </c>
      <c r="M2140">
        <v>150.75</v>
      </c>
      <c r="N2140">
        <v>13</v>
      </c>
      <c r="O2140">
        <v>276.08999999999997</v>
      </c>
      <c r="P2140">
        <f t="shared" si="132"/>
        <v>3.724604966139955E-2</v>
      </c>
      <c r="Q2140">
        <f t="shared" si="132"/>
        <v>0.57102272727272729</v>
      </c>
      <c r="R2140">
        <f t="shared" si="133"/>
        <v>11.596153846153847</v>
      </c>
      <c r="S2140">
        <f t="shared" si="134"/>
        <v>1.8314427860696516</v>
      </c>
      <c r="T2140">
        <f t="shared" si="135"/>
        <v>4.924242424242424E-2</v>
      </c>
      <c r="U2140" t="str">
        <f>YEAR('Campaign Data'!$A2140)&amp;"-"&amp;TEXT(MONTH('Campaign Data'!$A2140),"00")</f>
        <v>2026-04</v>
      </c>
    </row>
    <row r="2141" spans="1:21" x14ac:dyDescent="0.25">
      <c r="A2141">
        <v>46138</v>
      </c>
      <c r="B2141" t="s">
        <v>108</v>
      </c>
      <c r="C2141" t="s">
        <v>109</v>
      </c>
      <c r="D2141" t="s">
        <v>58</v>
      </c>
      <c r="E2141" t="s">
        <v>33</v>
      </c>
      <c r="F2141" t="s">
        <v>43</v>
      </c>
      <c r="G2141" t="s">
        <v>59</v>
      </c>
      <c r="H2141" t="s">
        <v>36</v>
      </c>
      <c r="I2141" t="s">
        <v>28</v>
      </c>
      <c r="J2141" t="s">
        <v>29</v>
      </c>
      <c r="K2141">
        <v>4138</v>
      </c>
      <c r="L2141">
        <v>51</v>
      </c>
      <c r="M2141">
        <v>38.619999999999997</v>
      </c>
      <c r="N2141">
        <v>0</v>
      </c>
      <c r="O2141">
        <v>0</v>
      </c>
      <c r="P2141">
        <f t="shared" si="132"/>
        <v>1.2324794586756888E-2</v>
      </c>
      <c r="Q2141">
        <f t="shared" si="132"/>
        <v>0.75725490196078427</v>
      </c>
      <c r="R2141">
        <f t="shared" si="133"/>
        <v>0</v>
      </c>
      <c r="S2141">
        <f t="shared" si="134"/>
        <v>0</v>
      </c>
      <c r="T2141">
        <f t="shared" si="135"/>
        <v>0</v>
      </c>
      <c r="U2141" t="str">
        <f>YEAR('Campaign Data'!$A2141)&amp;"-"&amp;TEXT(MONTH('Campaign Data'!$A2141),"00")</f>
        <v>2026-04</v>
      </c>
    </row>
    <row r="2142" spans="1:21" x14ac:dyDescent="0.25">
      <c r="A2142">
        <v>46138</v>
      </c>
      <c r="B2142" t="s">
        <v>132</v>
      </c>
      <c r="C2142" t="s">
        <v>133</v>
      </c>
      <c r="D2142" t="s">
        <v>23</v>
      </c>
      <c r="E2142" t="s">
        <v>42</v>
      </c>
      <c r="F2142" t="s">
        <v>75</v>
      </c>
      <c r="G2142" t="s">
        <v>84</v>
      </c>
      <c r="H2142" t="s">
        <v>60</v>
      </c>
      <c r="I2142" t="s">
        <v>28</v>
      </c>
      <c r="J2142" t="s">
        <v>38</v>
      </c>
      <c r="K2142">
        <v>3648</v>
      </c>
      <c r="L2142">
        <v>17</v>
      </c>
      <c r="M2142">
        <v>81.19</v>
      </c>
      <c r="N2142">
        <v>0</v>
      </c>
      <c r="O2142">
        <v>0</v>
      </c>
      <c r="P2142">
        <f t="shared" si="132"/>
        <v>4.6600877192982454E-3</v>
      </c>
      <c r="Q2142">
        <f t="shared" si="132"/>
        <v>4.775882352941176</v>
      </c>
      <c r="R2142">
        <f t="shared" si="133"/>
        <v>0</v>
      </c>
      <c r="S2142">
        <f t="shared" si="134"/>
        <v>0</v>
      </c>
      <c r="T2142">
        <f t="shared" si="135"/>
        <v>0</v>
      </c>
      <c r="U2142" t="str">
        <f>YEAR('Campaign Data'!$A2142)&amp;"-"&amp;TEXT(MONTH('Campaign Data'!$A2142),"00")</f>
        <v>2026-04</v>
      </c>
    </row>
    <row r="2143" spans="1:21" x14ac:dyDescent="0.25">
      <c r="A2143">
        <v>46138</v>
      </c>
      <c r="B2143" t="s">
        <v>155</v>
      </c>
      <c r="C2143" t="s">
        <v>156</v>
      </c>
      <c r="D2143" t="s">
        <v>32</v>
      </c>
      <c r="E2143" t="s">
        <v>24</v>
      </c>
      <c r="F2143" t="s">
        <v>34</v>
      </c>
      <c r="G2143" t="s">
        <v>129</v>
      </c>
      <c r="H2143" t="s">
        <v>55</v>
      </c>
      <c r="I2143" t="s">
        <v>28</v>
      </c>
      <c r="J2143" t="s">
        <v>29</v>
      </c>
      <c r="K2143">
        <v>7944</v>
      </c>
      <c r="L2143">
        <v>125</v>
      </c>
      <c r="M2143">
        <v>85.32</v>
      </c>
      <c r="N2143">
        <v>3</v>
      </c>
      <c r="O2143">
        <v>444.22</v>
      </c>
      <c r="P2143">
        <f t="shared" si="132"/>
        <v>1.5735146022155085E-2</v>
      </c>
      <c r="Q2143">
        <f t="shared" si="132"/>
        <v>0.68255999999999994</v>
      </c>
      <c r="R2143">
        <f t="shared" si="133"/>
        <v>28.439999999999998</v>
      </c>
      <c r="S2143">
        <f t="shared" si="134"/>
        <v>5.2065166432255046</v>
      </c>
      <c r="T2143">
        <f t="shared" si="135"/>
        <v>2.4E-2</v>
      </c>
      <c r="U2143" t="str">
        <f>YEAR('Campaign Data'!$A2143)&amp;"-"&amp;TEXT(MONTH('Campaign Data'!$A2143),"00")</f>
        <v>2026-04</v>
      </c>
    </row>
    <row r="2144" spans="1:21" x14ac:dyDescent="0.25">
      <c r="A2144">
        <v>46138</v>
      </c>
      <c r="B2144" t="s">
        <v>112</v>
      </c>
      <c r="C2144" t="s">
        <v>113</v>
      </c>
      <c r="D2144" t="s">
        <v>32</v>
      </c>
      <c r="E2144" t="s">
        <v>24</v>
      </c>
      <c r="F2144" t="s">
        <v>75</v>
      </c>
      <c r="G2144" t="s">
        <v>66</v>
      </c>
      <c r="H2144" t="s">
        <v>90</v>
      </c>
      <c r="I2144" t="s">
        <v>28</v>
      </c>
      <c r="J2144" t="s">
        <v>87</v>
      </c>
      <c r="K2144">
        <v>2879</v>
      </c>
      <c r="L2144">
        <v>42</v>
      </c>
      <c r="M2144">
        <v>9.32</v>
      </c>
      <c r="N2144">
        <v>0</v>
      </c>
      <c r="O2144">
        <v>0</v>
      </c>
      <c r="P2144">
        <f t="shared" si="132"/>
        <v>1.4588398749565822E-2</v>
      </c>
      <c r="Q2144">
        <f t="shared" si="132"/>
        <v>0.22190476190476191</v>
      </c>
      <c r="R2144">
        <f t="shared" si="133"/>
        <v>0</v>
      </c>
      <c r="S2144">
        <f t="shared" si="134"/>
        <v>0</v>
      </c>
      <c r="T2144">
        <f t="shared" si="135"/>
        <v>0</v>
      </c>
      <c r="U2144" t="str">
        <f>YEAR('Campaign Data'!$A2144)&amp;"-"&amp;TEXT(MONTH('Campaign Data'!$A2144),"00")</f>
        <v>2026-04</v>
      </c>
    </row>
    <row r="2145" spans="1:21" x14ac:dyDescent="0.25">
      <c r="A2145">
        <v>46138</v>
      </c>
      <c r="B2145" t="s">
        <v>161</v>
      </c>
      <c r="C2145" t="s">
        <v>162</v>
      </c>
      <c r="D2145" t="s">
        <v>48</v>
      </c>
      <c r="E2145" t="s">
        <v>74</v>
      </c>
      <c r="F2145" t="s">
        <v>34</v>
      </c>
      <c r="G2145" t="s">
        <v>107</v>
      </c>
      <c r="H2145" t="s">
        <v>60</v>
      </c>
      <c r="I2145" t="s">
        <v>37</v>
      </c>
      <c r="J2145" t="s">
        <v>45</v>
      </c>
      <c r="K2145">
        <v>12183</v>
      </c>
      <c r="L2145">
        <v>445</v>
      </c>
      <c r="M2145">
        <v>523.48</v>
      </c>
      <c r="N2145">
        <v>24</v>
      </c>
      <c r="O2145">
        <v>2636.12</v>
      </c>
      <c r="P2145">
        <f t="shared" si="132"/>
        <v>3.6526307149306408E-2</v>
      </c>
      <c r="Q2145">
        <f t="shared" si="132"/>
        <v>1.1763595505617979</v>
      </c>
      <c r="R2145">
        <f t="shared" si="133"/>
        <v>21.811666666666667</v>
      </c>
      <c r="S2145">
        <f t="shared" si="134"/>
        <v>5.0357606785359517</v>
      </c>
      <c r="T2145">
        <f t="shared" si="135"/>
        <v>5.3932584269662923E-2</v>
      </c>
      <c r="U2145" t="str">
        <f>YEAR('Campaign Data'!$A2145)&amp;"-"&amp;TEXT(MONTH('Campaign Data'!$A2145),"00")</f>
        <v>2026-04</v>
      </c>
    </row>
    <row r="2146" spans="1:21" x14ac:dyDescent="0.25">
      <c r="A2146">
        <v>46138</v>
      </c>
      <c r="B2146" t="s">
        <v>114</v>
      </c>
      <c r="C2146" t="s">
        <v>115</v>
      </c>
      <c r="D2146" t="s">
        <v>69</v>
      </c>
      <c r="E2146" t="s">
        <v>49</v>
      </c>
      <c r="F2146" t="s">
        <v>25</v>
      </c>
      <c r="G2146" t="s">
        <v>107</v>
      </c>
      <c r="H2146" t="s">
        <v>27</v>
      </c>
      <c r="I2146" t="s">
        <v>61</v>
      </c>
      <c r="J2146" t="s">
        <v>87</v>
      </c>
      <c r="K2146">
        <v>3091</v>
      </c>
      <c r="L2146">
        <v>130</v>
      </c>
      <c r="M2146">
        <v>267.26</v>
      </c>
      <c r="N2146">
        <v>3</v>
      </c>
      <c r="O2146">
        <v>400.05</v>
      </c>
      <c r="P2146">
        <f t="shared" si="132"/>
        <v>4.2057586541572309E-2</v>
      </c>
      <c r="Q2146">
        <f t="shared" si="132"/>
        <v>2.0558461538461539</v>
      </c>
      <c r="R2146">
        <f t="shared" si="133"/>
        <v>89.086666666666659</v>
      </c>
      <c r="S2146">
        <f t="shared" si="134"/>
        <v>1.4968569931901521</v>
      </c>
      <c r="T2146">
        <f t="shared" si="135"/>
        <v>2.3076923076923078E-2</v>
      </c>
      <c r="U2146" t="str">
        <f>YEAR('Campaign Data'!$A2146)&amp;"-"&amp;TEXT(MONTH('Campaign Data'!$A2146),"00")</f>
        <v>2026-04</v>
      </c>
    </row>
    <row r="2147" spans="1:21" x14ac:dyDescent="0.25">
      <c r="A2147">
        <v>46138</v>
      </c>
      <c r="B2147" t="s">
        <v>56</v>
      </c>
      <c r="C2147" t="s">
        <v>57</v>
      </c>
      <c r="D2147" t="s">
        <v>58</v>
      </c>
      <c r="E2147" t="s">
        <v>33</v>
      </c>
      <c r="F2147" t="s">
        <v>43</v>
      </c>
      <c r="G2147" t="s">
        <v>59</v>
      </c>
      <c r="H2147" t="s">
        <v>90</v>
      </c>
      <c r="I2147" t="s">
        <v>28</v>
      </c>
      <c r="J2147" t="s">
        <v>62</v>
      </c>
      <c r="K2147">
        <v>5248</v>
      </c>
      <c r="L2147">
        <v>74</v>
      </c>
      <c r="M2147">
        <v>10.18</v>
      </c>
      <c r="N2147">
        <v>0</v>
      </c>
      <c r="O2147">
        <v>0</v>
      </c>
      <c r="P2147">
        <f t="shared" si="132"/>
        <v>1.4100609756097561E-2</v>
      </c>
      <c r="Q2147">
        <f t="shared" si="132"/>
        <v>0.13756756756756755</v>
      </c>
      <c r="R2147">
        <f t="shared" si="133"/>
        <v>0</v>
      </c>
      <c r="S2147">
        <f t="shared" si="134"/>
        <v>0</v>
      </c>
      <c r="T2147">
        <f t="shared" si="135"/>
        <v>0</v>
      </c>
      <c r="U2147" t="str">
        <f>YEAR('Campaign Data'!$A2147)&amp;"-"&amp;TEXT(MONTH('Campaign Data'!$A2147),"00")</f>
        <v>2026-04</v>
      </c>
    </row>
    <row r="2148" spans="1:21" x14ac:dyDescent="0.25">
      <c r="A2148">
        <v>46138</v>
      </c>
      <c r="B2148" t="s">
        <v>56</v>
      </c>
      <c r="C2148" t="s">
        <v>57</v>
      </c>
      <c r="D2148" t="s">
        <v>58</v>
      </c>
      <c r="E2148" t="s">
        <v>33</v>
      </c>
      <c r="F2148" t="s">
        <v>43</v>
      </c>
      <c r="G2148" t="s">
        <v>59</v>
      </c>
      <c r="H2148" t="s">
        <v>27</v>
      </c>
      <c r="I2148" t="s">
        <v>28</v>
      </c>
      <c r="J2148" t="s">
        <v>62</v>
      </c>
      <c r="K2148">
        <v>11493</v>
      </c>
      <c r="L2148">
        <v>83</v>
      </c>
      <c r="M2148">
        <v>64.75</v>
      </c>
      <c r="N2148">
        <v>2</v>
      </c>
      <c r="O2148">
        <v>30.37</v>
      </c>
      <c r="P2148">
        <f t="shared" si="132"/>
        <v>7.2217871748020534E-3</v>
      </c>
      <c r="Q2148">
        <f t="shared" si="132"/>
        <v>0.78012048192771088</v>
      </c>
      <c r="R2148">
        <f t="shared" si="133"/>
        <v>32.375</v>
      </c>
      <c r="S2148">
        <f t="shared" si="134"/>
        <v>0.46903474903474907</v>
      </c>
      <c r="T2148">
        <f t="shared" si="135"/>
        <v>2.4096385542168676E-2</v>
      </c>
      <c r="U2148" t="str">
        <f>YEAR('Campaign Data'!$A2148)&amp;"-"&amp;TEXT(MONTH('Campaign Data'!$A2148),"00")</f>
        <v>2026-04</v>
      </c>
    </row>
    <row r="2149" spans="1:21" x14ac:dyDescent="0.25">
      <c r="A2149">
        <v>46139</v>
      </c>
      <c r="B2149" t="s">
        <v>138</v>
      </c>
      <c r="C2149" t="s">
        <v>139</v>
      </c>
      <c r="D2149" t="s">
        <v>58</v>
      </c>
      <c r="E2149" t="s">
        <v>74</v>
      </c>
      <c r="F2149" t="s">
        <v>34</v>
      </c>
      <c r="G2149" t="s">
        <v>9</v>
      </c>
      <c r="H2149" t="s">
        <v>60</v>
      </c>
      <c r="I2149" t="s">
        <v>37</v>
      </c>
      <c r="J2149" t="s">
        <v>38</v>
      </c>
      <c r="K2149">
        <v>1613</v>
      </c>
      <c r="L2149">
        <v>45</v>
      </c>
      <c r="M2149">
        <v>70.09</v>
      </c>
      <c r="N2149">
        <v>3</v>
      </c>
      <c r="O2149">
        <v>366.88</v>
      </c>
      <c r="P2149">
        <f t="shared" si="132"/>
        <v>2.7898326100433975E-2</v>
      </c>
      <c r="Q2149">
        <f t="shared" si="132"/>
        <v>1.5575555555555556</v>
      </c>
      <c r="R2149">
        <f t="shared" si="133"/>
        <v>23.363333333333333</v>
      </c>
      <c r="S2149">
        <f t="shared" si="134"/>
        <v>5.2344128977029527</v>
      </c>
      <c r="T2149">
        <f t="shared" si="135"/>
        <v>6.6666666666666666E-2</v>
      </c>
      <c r="U2149" t="str">
        <f>YEAR('Campaign Data'!$A2149)&amp;"-"&amp;TEXT(MONTH('Campaign Data'!$A2149),"00")</f>
        <v>2026-04</v>
      </c>
    </row>
    <row r="2150" spans="1:21" x14ac:dyDescent="0.25">
      <c r="A2150">
        <v>46139</v>
      </c>
      <c r="B2150" t="s">
        <v>91</v>
      </c>
      <c r="C2150" t="s">
        <v>92</v>
      </c>
      <c r="D2150" t="s">
        <v>41</v>
      </c>
      <c r="E2150" t="s">
        <v>74</v>
      </c>
      <c r="F2150" t="s">
        <v>75</v>
      </c>
      <c r="G2150" t="s">
        <v>9</v>
      </c>
      <c r="H2150" t="s">
        <v>36</v>
      </c>
      <c r="I2150" t="s">
        <v>37</v>
      </c>
      <c r="J2150" t="s">
        <v>45</v>
      </c>
      <c r="K2150">
        <v>7658</v>
      </c>
      <c r="L2150">
        <v>240</v>
      </c>
      <c r="M2150">
        <v>358.01</v>
      </c>
      <c r="N2150">
        <v>6</v>
      </c>
      <c r="O2150">
        <v>269.62</v>
      </c>
      <c r="P2150">
        <f t="shared" si="132"/>
        <v>3.1339775398276315E-2</v>
      </c>
      <c r="Q2150">
        <f t="shared" si="132"/>
        <v>1.4917083333333332</v>
      </c>
      <c r="R2150">
        <f t="shared" si="133"/>
        <v>59.668333333333329</v>
      </c>
      <c r="S2150">
        <f t="shared" si="134"/>
        <v>0.75310745509901966</v>
      </c>
      <c r="T2150">
        <f t="shared" si="135"/>
        <v>2.5000000000000001E-2</v>
      </c>
      <c r="U2150" t="str">
        <f>YEAR('Campaign Data'!$A2150)&amp;"-"&amp;TEXT(MONTH('Campaign Data'!$A2150),"00")</f>
        <v>2026-04</v>
      </c>
    </row>
    <row r="2151" spans="1:21" x14ac:dyDescent="0.25">
      <c r="A2151">
        <v>46139</v>
      </c>
      <c r="B2151" t="s">
        <v>151</v>
      </c>
      <c r="C2151" t="s">
        <v>152</v>
      </c>
      <c r="D2151" t="s">
        <v>48</v>
      </c>
      <c r="E2151" t="s">
        <v>24</v>
      </c>
      <c r="F2151" t="s">
        <v>81</v>
      </c>
      <c r="G2151" t="s">
        <v>129</v>
      </c>
      <c r="H2151" t="s">
        <v>27</v>
      </c>
      <c r="I2151" t="s">
        <v>37</v>
      </c>
      <c r="J2151" t="s">
        <v>45</v>
      </c>
      <c r="K2151">
        <v>7741</v>
      </c>
      <c r="L2151">
        <v>99</v>
      </c>
      <c r="M2151">
        <v>142.66999999999999</v>
      </c>
      <c r="N2151">
        <v>3</v>
      </c>
      <c r="O2151">
        <v>71.33</v>
      </c>
      <c r="P2151">
        <f t="shared" si="132"/>
        <v>1.2789045342978943E-2</v>
      </c>
      <c r="Q2151">
        <f t="shared" si="132"/>
        <v>1.441111111111111</v>
      </c>
      <c r="R2151">
        <f t="shared" si="133"/>
        <v>47.556666666666665</v>
      </c>
      <c r="S2151">
        <f t="shared" si="134"/>
        <v>0.49996495408985775</v>
      </c>
      <c r="T2151">
        <f t="shared" si="135"/>
        <v>3.0303030303030304E-2</v>
      </c>
      <c r="U2151" t="str">
        <f>YEAR('Campaign Data'!$A2151)&amp;"-"&amp;TEXT(MONTH('Campaign Data'!$A2151),"00")</f>
        <v>2026-04</v>
      </c>
    </row>
    <row r="2152" spans="1:21" x14ac:dyDescent="0.25">
      <c r="A2152">
        <v>46139</v>
      </c>
      <c r="B2152" t="s">
        <v>151</v>
      </c>
      <c r="C2152" t="s">
        <v>152</v>
      </c>
      <c r="D2152" t="s">
        <v>48</v>
      </c>
      <c r="E2152" t="s">
        <v>24</v>
      </c>
      <c r="F2152" t="s">
        <v>81</v>
      </c>
      <c r="G2152" t="s">
        <v>129</v>
      </c>
      <c r="H2152" t="s">
        <v>55</v>
      </c>
      <c r="I2152" t="s">
        <v>37</v>
      </c>
      <c r="J2152" t="s">
        <v>29</v>
      </c>
      <c r="K2152">
        <v>4835</v>
      </c>
      <c r="L2152">
        <v>55</v>
      </c>
      <c r="M2152">
        <v>41.96</v>
      </c>
      <c r="N2152">
        <v>3</v>
      </c>
      <c r="O2152">
        <v>53.91</v>
      </c>
      <c r="P2152">
        <f t="shared" si="132"/>
        <v>1.1375387797311272E-2</v>
      </c>
      <c r="Q2152">
        <f t="shared" si="132"/>
        <v>0.76290909090909087</v>
      </c>
      <c r="R2152">
        <f t="shared" si="133"/>
        <v>13.986666666666666</v>
      </c>
      <c r="S2152">
        <f t="shared" si="134"/>
        <v>1.284795042897998</v>
      </c>
      <c r="T2152">
        <f t="shared" si="135"/>
        <v>5.4545454545454543E-2</v>
      </c>
      <c r="U2152" t="str">
        <f>YEAR('Campaign Data'!$A2152)&amp;"-"&amp;TEXT(MONTH('Campaign Data'!$A2152),"00")</f>
        <v>2026-04</v>
      </c>
    </row>
    <row r="2153" spans="1:21" x14ac:dyDescent="0.25">
      <c r="A2153">
        <v>46139</v>
      </c>
      <c r="B2153" t="s">
        <v>151</v>
      </c>
      <c r="C2153" t="s">
        <v>152</v>
      </c>
      <c r="D2153" t="s">
        <v>48</v>
      </c>
      <c r="E2153" t="s">
        <v>24</v>
      </c>
      <c r="F2153" t="s">
        <v>81</v>
      </c>
      <c r="G2153" t="s">
        <v>129</v>
      </c>
      <c r="H2153" t="s">
        <v>27</v>
      </c>
      <c r="I2153" t="s">
        <v>37</v>
      </c>
      <c r="J2153" t="s">
        <v>45</v>
      </c>
      <c r="K2153">
        <v>10533</v>
      </c>
      <c r="L2153">
        <v>128</v>
      </c>
      <c r="M2153">
        <v>172.52</v>
      </c>
      <c r="N2153">
        <v>4</v>
      </c>
      <c r="O2153">
        <v>126.36</v>
      </c>
      <c r="P2153">
        <f t="shared" si="132"/>
        <v>1.2152283300104434E-2</v>
      </c>
      <c r="Q2153">
        <f t="shared" si="132"/>
        <v>1.3478125000000001</v>
      </c>
      <c r="R2153">
        <f t="shared" si="133"/>
        <v>43.13</v>
      </c>
      <c r="S2153">
        <f t="shared" si="134"/>
        <v>0.73243681891954548</v>
      </c>
      <c r="T2153">
        <f t="shared" si="135"/>
        <v>3.125E-2</v>
      </c>
      <c r="U2153" t="str">
        <f>YEAR('Campaign Data'!$A2153)&amp;"-"&amp;TEXT(MONTH('Campaign Data'!$A2153),"00")</f>
        <v>2026-04</v>
      </c>
    </row>
    <row r="2154" spans="1:21" x14ac:dyDescent="0.25">
      <c r="A2154">
        <v>46139</v>
      </c>
      <c r="B2154" t="s">
        <v>151</v>
      </c>
      <c r="C2154" t="s">
        <v>152</v>
      </c>
      <c r="D2154" t="s">
        <v>48</v>
      </c>
      <c r="E2154" t="s">
        <v>24</v>
      </c>
      <c r="F2154" t="s">
        <v>81</v>
      </c>
      <c r="G2154" t="s">
        <v>129</v>
      </c>
      <c r="H2154" t="s">
        <v>90</v>
      </c>
      <c r="I2154" t="s">
        <v>37</v>
      </c>
      <c r="J2154" t="s">
        <v>29</v>
      </c>
      <c r="K2154">
        <v>7413</v>
      </c>
      <c r="L2154">
        <v>81</v>
      </c>
      <c r="M2154">
        <v>24.73</v>
      </c>
      <c r="N2154">
        <v>3</v>
      </c>
      <c r="O2154">
        <v>18.05</v>
      </c>
      <c r="P2154">
        <f t="shared" si="132"/>
        <v>1.0926750303520841E-2</v>
      </c>
      <c r="Q2154">
        <f t="shared" si="132"/>
        <v>0.30530864197530866</v>
      </c>
      <c r="R2154">
        <f t="shared" si="133"/>
        <v>8.2433333333333341</v>
      </c>
      <c r="S2154">
        <f t="shared" si="134"/>
        <v>0.72988273352203803</v>
      </c>
      <c r="T2154">
        <f t="shared" si="135"/>
        <v>3.7037037037037035E-2</v>
      </c>
      <c r="U2154" t="str">
        <f>YEAR('Campaign Data'!$A2154)&amp;"-"&amp;TEXT(MONTH('Campaign Data'!$A2154),"00")</f>
        <v>2026-04</v>
      </c>
    </row>
    <row r="2155" spans="1:21" x14ac:dyDescent="0.25">
      <c r="A2155">
        <v>46139</v>
      </c>
      <c r="B2155" t="s">
        <v>140</v>
      </c>
      <c r="C2155" t="s">
        <v>40</v>
      </c>
      <c r="D2155" t="s">
        <v>41</v>
      </c>
      <c r="E2155" t="s">
        <v>42</v>
      </c>
      <c r="F2155" t="s">
        <v>43</v>
      </c>
      <c r="G2155" t="s">
        <v>44</v>
      </c>
      <c r="H2155" t="s">
        <v>90</v>
      </c>
      <c r="I2155" t="s">
        <v>28</v>
      </c>
      <c r="J2155" t="s">
        <v>62</v>
      </c>
      <c r="K2155">
        <v>3892</v>
      </c>
      <c r="L2155">
        <v>33</v>
      </c>
      <c r="M2155">
        <v>63.27</v>
      </c>
      <c r="N2155">
        <v>2</v>
      </c>
      <c r="O2155">
        <v>20.73</v>
      </c>
      <c r="P2155">
        <f t="shared" si="132"/>
        <v>8.478931140801645E-3</v>
      </c>
      <c r="Q2155">
        <f t="shared" si="132"/>
        <v>1.9172727272727275</v>
      </c>
      <c r="R2155">
        <f t="shared" si="133"/>
        <v>31.635000000000002</v>
      </c>
      <c r="S2155">
        <f t="shared" si="134"/>
        <v>0.32764343290659081</v>
      </c>
      <c r="T2155">
        <f t="shared" si="135"/>
        <v>6.0606060606060608E-2</v>
      </c>
      <c r="U2155" t="str">
        <f>YEAR('Campaign Data'!$A2155)&amp;"-"&amp;TEXT(MONTH('Campaign Data'!$A2155),"00")</f>
        <v>2026-04</v>
      </c>
    </row>
    <row r="2156" spans="1:21" x14ac:dyDescent="0.25">
      <c r="A2156">
        <v>46139</v>
      </c>
      <c r="B2156" t="s">
        <v>110</v>
      </c>
      <c r="C2156" t="s">
        <v>111</v>
      </c>
      <c r="D2156" t="s">
        <v>23</v>
      </c>
      <c r="E2156" t="s">
        <v>49</v>
      </c>
      <c r="F2156" t="s">
        <v>34</v>
      </c>
      <c r="G2156" t="s">
        <v>50</v>
      </c>
      <c r="H2156" t="s">
        <v>51</v>
      </c>
      <c r="I2156" t="s">
        <v>37</v>
      </c>
      <c r="J2156" t="s">
        <v>38</v>
      </c>
      <c r="K2156">
        <v>8615</v>
      </c>
      <c r="L2156">
        <v>454</v>
      </c>
      <c r="M2156">
        <v>823.23</v>
      </c>
      <c r="N2156">
        <v>27</v>
      </c>
      <c r="O2156">
        <v>3007.8</v>
      </c>
      <c r="P2156">
        <f t="shared" si="132"/>
        <v>5.2698781195589087E-2</v>
      </c>
      <c r="Q2156">
        <f t="shared" si="132"/>
        <v>1.8132819383259913</v>
      </c>
      <c r="R2156">
        <f t="shared" si="133"/>
        <v>30.490000000000002</v>
      </c>
      <c r="S2156">
        <f t="shared" si="134"/>
        <v>3.6536569367005578</v>
      </c>
      <c r="T2156">
        <f t="shared" si="135"/>
        <v>5.9471365638766517E-2</v>
      </c>
      <c r="U2156" t="str">
        <f>YEAR('Campaign Data'!$A2156)&amp;"-"&amp;TEXT(MONTH('Campaign Data'!$A2156),"00")</f>
        <v>2026-04</v>
      </c>
    </row>
    <row r="2157" spans="1:21" x14ac:dyDescent="0.25">
      <c r="A2157">
        <v>46139</v>
      </c>
      <c r="B2157" t="s">
        <v>63</v>
      </c>
      <c r="C2157" t="s">
        <v>64</v>
      </c>
      <c r="D2157" t="s">
        <v>65</v>
      </c>
      <c r="E2157" t="s">
        <v>24</v>
      </c>
      <c r="F2157" t="s">
        <v>43</v>
      </c>
      <c r="G2157" t="s">
        <v>66</v>
      </c>
      <c r="H2157" t="s">
        <v>55</v>
      </c>
      <c r="I2157" t="s">
        <v>37</v>
      </c>
      <c r="J2157" t="s">
        <v>87</v>
      </c>
      <c r="K2157">
        <v>6080</v>
      </c>
      <c r="L2157">
        <v>102</v>
      </c>
      <c r="M2157">
        <v>88.59</v>
      </c>
      <c r="N2157">
        <v>2</v>
      </c>
      <c r="O2157">
        <v>41.32</v>
      </c>
      <c r="P2157">
        <f t="shared" si="132"/>
        <v>1.6776315789473684E-2</v>
      </c>
      <c r="Q2157">
        <f t="shared" si="132"/>
        <v>0.86852941176470588</v>
      </c>
      <c r="R2157">
        <f t="shared" si="133"/>
        <v>44.295000000000002</v>
      </c>
      <c r="S2157">
        <f t="shared" si="134"/>
        <v>0.46641833164013996</v>
      </c>
      <c r="T2157">
        <f t="shared" si="135"/>
        <v>1.9607843137254902E-2</v>
      </c>
      <c r="U2157" t="str">
        <f>YEAR('Campaign Data'!$A2157)&amp;"-"&amp;TEXT(MONTH('Campaign Data'!$A2157),"00")</f>
        <v>2026-04</v>
      </c>
    </row>
    <row r="2158" spans="1:21" x14ac:dyDescent="0.25">
      <c r="A2158">
        <v>46139</v>
      </c>
      <c r="B2158" t="s">
        <v>163</v>
      </c>
      <c r="C2158" t="s">
        <v>164</v>
      </c>
      <c r="D2158" t="s">
        <v>58</v>
      </c>
      <c r="E2158" t="s">
        <v>42</v>
      </c>
      <c r="F2158" t="s">
        <v>43</v>
      </c>
      <c r="G2158" t="s">
        <v>44</v>
      </c>
      <c r="H2158" t="s">
        <v>60</v>
      </c>
      <c r="I2158" t="s">
        <v>37</v>
      </c>
      <c r="J2158" t="s">
        <v>45</v>
      </c>
      <c r="K2158">
        <v>6158</v>
      </c>
      <c r="L2158">
        <v>38</v>
      </c>
      <c r="M2158">
        <v>259.64999999999998</v>
      </c>
      <c r="N2158">
        <v>0</v>
      </c>
      <c r="O2158">
        <v>0</v>
      </c>
      <c r="P2158">
        <f t="shared" si="132"/>
        <v>6.1708346865865541E-3</v>
      </c>
      <c r="Q2158">
        <f t="shared" si="132"/>
        <v>6.8328947368421042</v>
      </c>
      <c r="R2158">
        <f t="shared" si="133"/>
        <v>0</v>
      </c>
      <c r="S2158">
        <f t="shared" si="134"/>
        <v>0</v>
      </c>
      <c r="T2158">
        <f t="shared" si="135"/>
        <v>0</v>
      </c>
      <c r="U2158" t="str">
        <f>YEAR('Campaign Data'!$A2158)&amp;"-"&amp;TEXT(MONTH('Campaign Data'!$A2158),"00")</f>
        <v>2026-04</v>
      </c>
    </row>
    <row r="2159" spans="1:21" x14ac:dyDescent="0.25">
      <c r="A2159">
        <v>46139</v>
      </c>
      <c r="B2159" t="s">
        <v>120</v>
      </c>
      <c r="C2159" t="s">
        <v>121</v>
      </c>
      <c r="D2159" t="s">
        <v>23</v>
      </c>
      <c r="E2159" t="s">
        <v>49</v>
      </c>
      <c r="F2159" t="s">
        <v>75</v>
      </c>
      <c r="G2159" t="s">
        <v>70</v>
      </c>
      <c r="H2159" t="s">
        <v>27</v>
      </c>
      <c r="I2159" t="s">
        <v>37</v>
      </c>
      <c r="J2159" t="s">
        <v>87</v>
      </c>
      <c r="K2159">
        <v>21011</v>
      </c>
      <c r="L2159">
        <v>608</v>
      </c>
      <c r="M2159">
        <v>1759.25</v>
      </c>
      <c r="N2159">
        <v>37</v>
      </c>
      <c r="O2159">
        <v>2006.67</v>
      </c>
      <c r="P2159">
        <f t="shared" si="132"/>
        <v>2.8937223359192805E-2</v>
      </c>
      <c r="Q2159">
        <f t="shared" si="132"/>
        <v>2.8935032894736841</v>
      </c>
      <c r="R2159">
        <f t="shared" si="133"/>
        <v>47.547297297297298</v>
      </c>
      <c r="S2159">
        <f t="shared" si="134"/>
        <v>1.1406394770498793</v>
      </c>
      <c r="T2159">
        <f t="shared" si="135"/>
        <v>6.0855263157894739E-2</v>
      </c>
      <c r="U2159" t="str">
        <f>YEAR('Campaign Data'!$A2159)&amp;"-"&amp;TEXT(MONTH('Campaign Data'!$A2159),"00")</f>
        <v>2026-04</v>
      </c>
    </row>
    <row r="2160" spans="1:21" x14ac:dyDescent="0.25">
      <c r="A2160">
        <v>46140</v>
      </c>
      <c r="B2160" t="s">
        <v>165</v>
      </c>
      <c r="C2160" t="s">
        <v>166</v>
      </c>
      <c r="D2160" t="s">
        <v>41</v>
      </c>
      <c r="E2160" t="s">
        <v>33</v>
      </c>
      <c r="F2160" t="s">
        <v>43</v>
      </c>
      <c r="G2160" t="s">
        <v>59</v>
      </c>
      <c r="H2160" t="s">
        <v>55</v>
      </c>
      <c r="I2160" t="s">
        <v>37</v>
      </c>
      <c r="J2160" t="s">
        <v>45</v>
      </c>
      <c r="K2160">
        <v>29767</v>
      </c>
      <c r="L2160">
        <v>256</v>
      </c>
      <c r="M2160">
        <v>150.37</v>
      </c>
      <c r="N2160">
        <v>4</v>
      </c>
      <c r="O2160">
        <v>91.18</v>
      </c>
      <c r="P2160">
        <f t="shared" si="132"/>
        <v>8.6001276581449248E-3</v>
      </c>
      <c r="Q2160">
        <f t="shared" si="132"/>
        <v>0.58738281250000002</v>
      </c>
      <c r="R2160">
        <f t="shared" si="133"/>
        <v>37.592500000000001</v>
      </c>
      <c r="S2160">
        <f t="shared" si="134"/>
        <v>0.60637095165259025</v>
      </c>
      <c r="T2160">
        <f t="shared" si="135"/>
        <v>1.5625E-2</v>
      </c>
      <c r="U2160" t="str">
        <f>YEAR('Campaign Data'!$A2160)&amp;"-"&amp;TEXT(MONTH('Campaign Data'!$A2160),"00")</f>
        <v>2026-04</v>
      </c>
    </row>
    <row r="2161" spans="1:21" x14ac:dyDescent="0.25">
      <c r="A2161">
        <v>46140</v>
      </c>
      <c r="B2161" t="s">
        <v>173</v>
      </c>
      <c r="C2161" t="s">
        <v>174</v>
      </c>
      <c r="D2161" t="s">
        <v>48</v>
      </c>
      <c r="E2161" t="s">
        <v>74</v>
      </c>
      <c r="F2161" t="s">
        <v>25</v>
      </c>
      <c r="G2161" t="s">
        <v>9</v>
      </c>
      <c r="H2161" t="s">
        <v>27</v>
      </c>
      <c r="I2161" t="s">
        <v>37</v>
      </c>
      <c r="J2161" t="s">
        <v>45</v>
      </c>
      <c r="K2161">
        <v>6261</v>
      </c>
      <c r="L2161">
        <v>209</v>
      </c>
      <c r="M2161">
        <v>357.68</v>
      </c>
      <c r="N2161">
        <v>8</v>
      </c>
      <c r="O2161">
        <v>1896.74</v>
      </c>
      <c r="P2161">
        <f t="shared" si="132"/>
        <v>3.3381249001756909E-2</v>
      </c>
      <c r="Q2161">
        <f t="shared" si="132"/>
        <v>1.7113875598086126</v>
      </c>
      <c r="R2161">
        <f t="shared" si="133"/>
        <v>44.71</v>
      </c>
      <c r="S2161">
        <f t="shared" si="134"/>
        <v>5.3028964437486019</v>
      </c>
      <c r="T2161">
        <f t="shared" si="135"/>
        <v>3.8277511961722487E-2</v>
      </c>
      <c r="U2161" t="str">
        <f>YEAR('Campaign Data'!$A2161)&amp;"-"&amp;TEXT(MONTH('Campaign Data'!$A2161),"00")</f>
        <v>2026-04</v>
      </c>
    </row>
    <row r="2162" spans="1:21" x14ac:dyDescent="0.25">
      <c r="A2162">
        <v>46140</v>
      </c>
      <c r="B2162" t="s">
        <v>125</v>
      </c>
      <c r="C2162" t="s">
        <v>126</v>
      </c>
      <c r="D2162" t="s">
        <v>41</v>
      </c>
      <c r="E2162" t="s">
        <v>42</v>
      </c>
      <c r="F2162" t="s">
        <v>81</v>
      </c>
      <c r="G2162" t="s">
        <v>44</v>
      </c>
      <c r="H2162" t="s">
        <v>27</v>
      </c>
      <c r="I2162" t="s">
        <v>37</v>
      </c>
      <c r="J2162" t="s">
        <v>45</v>
      </c>
      <c r="K2162">
        <v>8588</v>
      </c>
      <c r="L2162">
        <v>75</v>
      </c>
      <c r="M2162">
        <v>428.28</v>
      </c>
      <c r="N2162">
        <v>0</v>
      </c>
      <c r="O2162">
        <v>0</v>
      </c>
      <c r="P2162">
        <f t="shared" si="132"/>
        <v>8.7331159757801577E-3</v>
      </c>
      <c r="Q2162">
        <f t="shared" si="132"/>
        <v>5.7103999999999999</v>
      </c>
      <c r="R2162">
        <f t="shared" si="133"/>
        <v>0</v>
      </c>
      <c r="S2162">
        <f t="shared" si="134"/>
        <v>0</v>
      </c>
      <c r="T2162">
        <f t="shared" si="135"/>
        <v>0</v>
      </c>
      <c r="U2162" t="str">
        <f>YEAR('Campaign Data'!$A2162)&amp;"-"&amp;TEXT(MONTH('Campaign Data'!$A2162),"00")</f>
        <v>2026-04</v>
      </c>
    </row>
    <row r="2163" spans="1:21" x14ac:dyDescent="0.25">
      <c r="A2163">
        <v>46140</v>
      </c>
      <c r="B2163" t="s">
        <v>93</v>
      </c>
      <c r="C2163" t="s">
        <v>94</v>
      </c>
      <c r="D2163" t="s">
        <v>69</v>
      </c>
      <c r="E2163" t="s">
        <v>42</v>
      </c>
      <c r="F2163" t="s">
        <v>75</v>
      </c>
      <c r="G2163" t="s">
        <v>44</v>
      </c>
      <c r="H2163" t="s">
        <v>90</v>
      </c>
      <c r="I2163" t="s">
        <v>61</v>
      </c>
      <c r="J2163" t="s">
        <v>38</v>
      </c>
      <c r="K2163">
        <v>30306</v>
      </c>
      <c r="L2163">
        <v>178</v>
      </c>
      <c r="M2163">
        <v>289.63</v>
      </c>
      <c r="N2163">
        <v>8</v>
      </c>
      <c r="O2163">
        <v>104.5</v>
      </c>
      <c r="P2163">
        <f t="shared" si="132"/>
        <v>5.8734244044083683E-3</v>
      </c>
      <c r="Q2163">
        <f t="shared" si="132"/>
        <v>1.6271348314606742</v>
      </c>
      <c r="R2163">
        <f t="shared" si="133"/>
        <v>36.203749999999999</v>
      </c>
      <c r="S2163">
        <f t="shared" si="134"/>
        <v>0.36080516521078621</v>
      </c>
      <c r="T2163">
        <f t="shared" si="135"/>
        <v>4.49438202247191E-2</v>
      </c>
      <c r="U2163" t="str">
        <f>YEAR('Campaign Data'!$A2163)&amp;"-"&amp;TEXT(MONTH('Campaign Data'!$A2163),"00")</f>
        <v>2026-04</v>
      </c>
    </row>
    <row r="2164" spans="1:21" x14ac:dyDescent="0.25">
      <c r="A2164">
        <v>46140</v>
      </c>
      <c r="B2164" t="s">
        <v>52</v>
      </c>
      <c r="C2164" t="s">
        <v>53</v>
      </c>
      <c r="D2164" t="s">
        <v>32</v>
      </c>
      <c r="E2164" t="s">
        <v>42</v>
      </c>
      <c r="F2164" t="s">
        <v>25</v>
      </c>
      <c r="G2164" t="s">
        <v>54</v>
      </c>
      <c r="H2164" t="s">
        <v>60</v>
      </c>
      <c r="I2164" t="s">
        <v>37</v>
      </c>
      <c r="J2164" t="s">
        <v>45</v>
      </c>
      <c r="K2164">
        <v>16175</v>
      </c>
      <c r="L2164">
        <v>100</v>
      </c>
      <c r="M2164">
        <v>570.74</v>
      </c>
      <c r="N2164">
        <v>0</v>
      </c>
      <c r="O2164">
        <v>0</v>
      </c>
      <c r="P2164">
        <f t="shared" si="132"/>
        <v>6.1823802163833074E-3</v>
      </c>
      <c r="Q2164">
        <f t="shared" si="132"/>
        <v>5.7073999999999998</v>
      </c>
      <c r="R2164">
        <f t="shared" si="133"/>
        <v>0</v>
      </c>
      <c r="S2164">
        <f t="shared" si="134"/>
        <v>0</v>
      </c>
      <c r="T2164">
        <f t="shared" si="135"/>
        <v>0</v>
      </c>
      <c r="U2164" t="str">
        <f>YEAR('Campaign Data'!$A2164)&amp;"-"&amp;TEXT(MONTH('Campaign Data'!$A2164),"00")</f>
        <v>2026-04</v>
      </c>
    </row>
    <row r="2165" spans="1:21" x14ac:dyDescent="0.25">
      <c r="A2165">
        <v>46140</v>
      </c>
      <c r="B2165" t="s">
        <v>105</v>
      </c>
      <c r="C2165" t="s">
        <v>106</v>
      </c>
      <c r="D2165" t="s">
        <v>58</v>
      </c>
      <c r="E2165" t="s">
        <v>49</v>
      </c>
      <c r="F2165" t="s">
        <v>81</v>
      </c>
      <c r="G2165" t="s">
        <v>107</v>
      </c>
      <c r="H2165" t="s">
        <v>55</v>
      </c>
      <c r="I2165" t="s">
        <v>37</v>
      </c>
      <c r="J2165" t="s">
        <v>87</v>
      </c>
      <c r="K2165">
        <v>4874</v>
      </c>
      <c r="L2165">
        <v>303</v>
      </c>
      <c r="M2165">
        <v>452.66</v>
      </c>
      <c r="N2165">
        <v>14</v>
      </c>
      <c r="O2165">
        <v>336.71</v>
      </c>
      <c r="P2165">
        <f t="shared" si="132"/>
        <v>6.2166598276569555E-2</v>
      </c>
      <c r="Q2165">
        <f t="shared" si="132"/>
        <v>1.493927392739274</v>
      </c>
      <c r="R2165">
        <f t="shared" si="133"/>
        <v>32.332857142857144</v>
      </c>
      <c r="S2165">
        <f t="shared" si="134"/>
        <v>0.74384747934432016</v>
      </c>
      <c r="T2165">
        <f t="shared" si="135"/>
        <v>4.6204620462046202E-2</v>
      </c>
      <c r="U2165" t="str">
        <f>YEAR('Campaign Data'!$A2165)&amp;"-"&amp;TEXT(MONTH('Campaign Data'!$A2165),"00")</f>
        <v>2026-04</v>
      </c>
    </row>
    <row r="2166" spans="1:21" x14ac:dyDescent="0.25">
      <c r="A2166">
        <v>46140</v>
      </c>
      <c r="B2166" t="s">
        <v>130</v>
      </c>
      <c r="C2166" t="s">
        <v>131</v>
      </c>
      <c r="D2166" t="s">
        <v>48</v>
      </c>
      <c r="E2166" t="s">
        <v>33</v>
      </c>
      <c r="F2166" t="s">
        <v>34</v>
      </c>
      <c r="G2166" t="s">
        <v>35</v>
      </c>
      <c r="H2166" t="s">
        <v>90</v>
      </c>
      <c r="I2166" t="s">
        <v>37</v>
      </c>
      <c r="J2166" t="s">
        <v>87</v>
      </c>
      <c r="K2166">
        <v>4633</v>
      </c>
      <c r="L2166">
        <v>35</v>
      </c>
      <c r="M2166">
        <v>4.28</v>
      </c>
      <c r="N2166">
        <v>1</v>
      </c>
      <c r="O2166">
        <v>30.58</v>
      </c>
      <c r="P2166">
        <f t="shared" si="132"/>
        <v>7.5545003237642997E-3</v>
      </c>
      <c r="Q2166">
        <f t="shared" si="132"/>
        <v>0.12228571428571429</v>
      </c>
      <c r="R2166">
        <f t="shared" si="133"/>
        <v>4.28</v>
      </c>
      <c r="S2166">
        <f t="shared" si="134"/>
        <v>7.1448598130841114</v>
      </c>
      <c r="T2166">
        <f t="shared" si="135"/>
        <v>2.8571428571428571E-2</v>
      </c>
      <c r="U2166" t="str">
        <f>YEAR('Campaign Data'!$A2166)&amp;"-"&amp;TEXT(MONTH('Campaign Data'!$A2166),"00")</f>
        <v>2026-04</v>
      </c>
    </row>
    <row r="2167" spans="1:21" x14ac:dyDescent="0.25">
      <c r="A2167">
        <v>46140</v>
      </c>
      <c r="B2167" t="s">
        <v>130</v>
      </c>
      <c r="C2167" t="s">
        <v>131</v>
      </c>
      <c r="D2167" t="s">
        <v>48</v>
      </c>
      <c r="E2167" t="s">
        <v>33</v>
      </c>
      <c r="F2167" t="s">
        <v>34</v>
      </c>
      <c r="G2167" t="s">
        <v>35</v>
      </c>
      <c r="H2167" t="s">
        <v>27</v>
      </c>
      <c r="I2167" t="s">
        <v>28</v>
      </c>
      <c r="J2167" t="s">
        <v>45</v>
      </c>
      <c r="K2167">
        <v>2628</v>
      </c>
      <c r="L2167">
        <v>13</v>
      </c>
      <c r="M2167">
        <v>10.220000000000001</v>
      </c>
      <c r="N2167">
        <v>0</v>
      </c>
      <c r="O2167">
        <v>0</v>
      </c>
      <c r="P2167">
        <f t="shared" si="132"/>
        <v>4.9467275494672752E-3</v>
      </c>
      <c r="Q2167">
        <f t="shared" si="132"/>
        <v>0.7861538461538462</v>
      </c>
      <c r="R2167">
        <f t="shared" si="133"/>
        <v>0</v>
      </c>
      <c r="S2167">
        <f t="shared" si="134"/>
        <v>0</v>
      </c>
      <c r="T2167">
        <f t="shared" si="135"/>
        <v>0</v>
      </c>
      <c r="U2167" t="str">
        <f>YEAR('Campaign Data'!$A2167)&amp;"-"&amp;TEXT(MONTH('Campaign Data'!$A2167),"00")</f>
        <v>2026-04</v>
      </c>
    </row>
    <row r="2168" spans="1:21" x14ac:dyDescent="0.25">
      <c r="A2168">
        <v>46140</v>
      </c>
      <c r="B2168" t="s">
        <v>132</v>
      </c>
      <c r="C2168" t="s">
        <v>133</v>
      </c>
      <c r="D2168" t="s">
        <v>23</v>
      </c>
      <c r="E2168" t="s">
        <v>42</v>
      </c>
      <c r="F2168" t="s">
        <v>75</v>
      </c>
      <c r="G2168" t="s">
        <v>84</v>
      </c>
      <c r="H2168" t="s">
        <v>27</v>
      </c>
      <c r="I2168" t="s">
        <v>37</v>
      </c>
      <c r="J2168" t="s">
        <v>87</v>
      </c>
      <c r="K2168">
        <v>3019</v>
      </c>
      <c r="L2168">
        <v>17</v>
      </c>
      <c r="M2168">
        <v>160.04</v>
      </c>
      <c r="N2168">
        <v>0</v>
      </c>
      <c r="O2168">
        <v>0</v>
      </c>
      <c r="P2168">
        <f t="shared" si="132"/>
        <v>5.631003643590593E-3</v>
      </c>
      <c r="Q2168">
        <f t="shared" si="132"/>
        <v>9.4141176470588235</v>
      </c>
      <c r="R2168">
        <f t="shared" si="133"/>
        <v>0</v>
      </c>
      <c r="S2168">
        <f t="shared" si="134"/>
        <v>0</v>
      </c>
      <c r="T2168">
        <f t="shared" si="135"/>
        <v>0</v>
      </c>
      <c r="U2168" t="str">
        <f>YEAR('Campaign Data'!$A2168)&amp;"-"&amp;TEXT(MONTH('Campaign Data'!$A2168),"00")</f>
        <v>2026-04</v>
      </c>
    </row>
    <row r="2169" spans="1:21" x14ac:dyDescent="0.25">
      <c r="A2169">
        <v>46140</v>
      </c>
      <c r="B2169" t="s">
        <v>155</v>
      </c>
      <c r="C2169" t="s">
        <v>156</v>
      </c>
      <c r="D2169" t="s">
        <v>32</v>
      </c>
      <c r="E2169" t="s">
        <v>24</v>
      </c>
      <c r="F2169" t="s">
        <v>34</v>
      </c>
      <c r="G2169" t="s">
        <v>129</v>
      </c>
      <c r="H2169" t="s">
        <v>55</v>
      </c>
      <c r="I2169" t="s">
        <v>37</v>
      </c>
      <c r="J2169" t="s">
        <v>29</v>
      </c>
      <c r="K2169">
        <v>10487</v>
      </c>
      <c r="L2169">
        <v>123</v>
      </c>
      <c r="M2169">
        <v>104.14</v>
      </c>
      <c r="N2169">
        <v>4</v>
      </c>
      <c r="O2169">
        <v>514.54999999999995</v>
      </c>
      <c r="P2169">
        <f t="shared" si="132"/>
        <v>1.172880709449795E-2</v>
      </c>
      <c r="Q2169">
        <f t="shared" si="132"/>
        <v>0.84666666666666668</v>
      </c>
      <c r="R2169">
        <f t="shared" si="133"/>
        <v>26.035</v>
      </c>
      <c r="S2169">
        <f t="shared" si="134"/>
        <v>4.940944881889763</v>
      </c>
      <c r="T2169">
        <f t="shared" si="135"/>
        <v>3.2520325203252036E-2</v>
      </c>
      <c r="U2169" t="str">
        <f>YEAR('Campaign Data'!$A2169)&amp;"-"&amp;TEXT(MONTH('Campaign Data'!$A2169),"00")</f>
        <v>2026-04</v>
      </c>
    </row>
    <row r="2170" spans="1:21" x14ac:dyDescent="0.25">
      <c r="A2170">
        <v>46140</v>
      </c>
      <c r="B2170" t="s">
        <v>155</v>
      </c>
      <c r="C2170" t="s">
        <v>156</v>
      </c>
      <c r="D2170" t="s">
        <v>32</v>
      </c>
      <c r="E2170" t="s">
        <v>24</v>
      </c>
      <c r="F2170" t="s">
        <v>34</v>
      </c>
      <c r="G2170" t="s">
        <v>129</v>
      </c>
      <c r="H2170" t="s">
        <v>27</v>
      </c>
      <c r="I2170" t="s">
        <v>37</v>
      </c>
      <c r="J2170" t="s">
        <v>38</v>
      </c>
      <c r="K2170">
        <v>1170</v>
      </c>
      <c r="L2170">
        <v>16</v>
      </c>
      <c r="M2170">
        <v>17.7</v>
      </c>
      <c r="N2170">
        <v>0</v>
      </c>
      <c r="O2170">
        <v>0</v>
      </c>
      <c r="P2170">
        <f t="shared" si="132"/>
        <v>1.3675213675213675E-2</v>
      </c>
      <c r="Q2170">
        <f t="shared" si="132"/>
        <v>1.10625</v>
      </c>
      <c r="R2170">
        <f t="shared" si="133"/>
        <v>0</v>
      </c>
      <c r="S2170">
        <f t="shared" si="134"/>
        <v>0</v>
      </c>
      <c r="T2170">
        <f t="shared" si="135"/>
        <v>0</v>
      </c>
      <c r="U2170" t="str">
        <f>YEAR('Campaign Data'!$A2170)&amp;"-"&amp;TEXT(MONTH('Campaign Data'!$A2170),"00")</f>
        <v>2026-04</v>
      </c>
    </row>
    <row r="2171" spans="1:21" x14ac:dyDescent="0.25">
      <c r="A2171">
        <v>46140</v>
      </c>
      <c r="B2171" t="s">
        <v>159</v>
      </c>
      <c r="C2171" t="s">
        <v>160</v>
      </c>
      <c r="D2171" t="s">
        <v>65</v>
      </c>
      <c r="E2171" t="s">
        <v>42</v>
      </c>
      <c r="F2171" t="s">
        <v>75</v>
      </c>
      <c r="G2171" t="s">
        <v>54</v>
      </c>
      <c r="H2171" t="s">
        <v>71</v>
      </c>
      <c r="I2171" t="s">
        <v>37</v>
      </c>
      <c r="J2171" t="s">
        <v>62</v>
      </c>
      <c r="K2171">
        <v>11817</v>
      </c>
      <c r="L2171">
        <v>82</v>
      </c>
      <c r="M2171">
        <v>362.55</v>
      </c>
      <c r="N2171">
        <v>2</v>
      </c>
      <c r="O2171">
        <v>82.02</v>
      </c>
      <c r="P2171">
        <f t="shared" si="132"/>
        <v>6.9391554540069395E-3</v>
      </c>
      <c r="Q2171">
        <f t="shared" si="132"/>
        <v>4.4213414634146346</v>
      </c>
      <c r="R2171">
        <f t="shared" si="133"/>
        <v>181.27500000000001</v>
      </c>
      <c r="S2171">
        <f t="shared" si="134"/>
        <v>0.22623086470831608</v>
      </c>
      <c r="T2171">
        <f t="shared" si="135"/>
        <v>2.4390243902439025E-2</v>
      </c>
      <c r="U2171" t="str">
        <f>YEAR('Campaign Data'!$A2171)&amp;"-"&amp;TEXT(MONTH('Campaign Data'!$A2171),"00")</f>
        <v>2026-04</v>
      </c>
    </row>
    <row r="2172" spans="1:21" x14ac:dyDescent="0.25">
      <c r="A2172">
        <v>46140</v>
      </c>
      <c r="B2172" t="s">
        <v>181</v>
      </c>
      <c r="C2172" t="s">
        <v>182</v>
      </c>
      <c r="D2172" t="s">
        <v>32</v>
      </c>
      <c r="E2172" t="s">
        <v>33</v>
      </c>
      <c r="F2172" t="s">
        <v>75</v>
      </c>
      <c r="G2172" t="s">
        <v>59</v>
      </c>
      <c r="H2172" t="s">
        <v>36</v>
      </c>
      <c r="I2172" t="s">
        <v>37</v>
      </c>
      <c r="J2172" t="s">
        <v>29</v>
      </c>
      <c r="K2172">
        <v>6506</v>
      </c>
      <c r="L2172">
        <v>98</v>
      </c>
      <c r="M2172">
        <v>51.16</v>
      </c>
      <c r="N2172">
        <v>4</v>
      </c>
      <c r="O2172">
        <v>146.27000000000001</v>
      </c>
      <c r="P2172">
        <f t="shared" si="132"/>
        <v>1.5063018751921304E-2</v>
      </c>
      <c r="Q2172">
        <f t="shared" si="132"/>
        <v>0.52204081632653054</v>
      </c>
      <c r="R2172">
        <f t="shared" si="133"/>
        <v>12.79</v>
      </c>
      <c r="S2172">
        <f t="shared" si="134"/>
        <v>2.8590695856137613</v>
      </c>
      <c r="T2172">
        <f t="shared" si="135"/>
        <v>4.0816326530612242E-2</v>
      </c>
      <c r="U2172" t="str">
        <f>YEAR('Campaign Data'!$A2172)&amp;"-"&amp;TEXT(MONTH('Campaign Data'!$A2172),"00")</f>
        <v>2026-04</v>
      </c>
    </row>
    <row r="2173" spans="1:21" x14ac:dyDescent="0.25">
      <c r="A2173">
        <v>46140</v>
      </c>
      <c r="B2173" t="s">
        <v>56</v>
      </c>
      <c r="C2173" t="s">
        <v>57</v>
      </c>
      <c r="D2173" t="s">
        <v>58</v>
      </c>
      <c r="E2173" t="s">
        <v>33</v>
      </c>
      <c r="F2173" t="s">
        <v>43</v>
      </c>
      <c r="G2173" t="s">
        <v>59</v>
      </c>
      <c r="H2173" t="s">
        <v>90</v>
      </c>
      <c r="I2173" t="s">
        <v>61</v>
      </c>
      <c r="J2173" t="s">
        <v>45</v>
      </c>
      <c r="K2173">
        <v>7929</v>
      </c>
      <c r="L2173">
        <v>80</v>
      </c>
      <c r="M2173">
        <v>14.16</v>
      </c>
      <c r="N2173">
        <v>2</v>
      </c>
      <c r="O2173">
        <v>10.4</v>
      </c>
      <c r="P2173">
        <f t="shared" si="132"/>
        <v>1.0089544709294993E-2</v>
      </c>
      <c r="Q2173">
        <f t="shared" si="132"/>
        <v>0.17699999999999999</v>
      </c>
      <c r="R2173">
        <f t="shared" si="133"/>
        <v>7.08</v>
      </c>
      <c r="S2173">
        <f t="shared" si="134"/>
        <v>0.7344632768361582</v>
      </c>
      <c r="T2173">
        <f t="shared" si="135"/>
        <v>2.5000000000000001E-2</v>
      </c>
      <c r="U2173" t="str">
        <f>YEAR('Campaign Data'!$A2173)&amp;"-"&amp;TEXT(MONTH('Campaign Data'!$A2173),"00")</f>
        <v>2026-04</v>
      </c>
    </row>
    <row r="2174" spans="1:21" x14ac:dyDescent="0.25">
      <c r="A2174">
        <v>46140</v>
      </c>
      <c r="B2174" t="s">
        <v>63</v>
      </c>
      <c r="C2174" t="s">
        <v>64</v>
      </c>
      <c r="D2174" t="s">
        <v>65</v>
      </c>
      <c r="E2174" t="s">
        <v>24</v>
      </c>
      <c r="F2174" t="s">
        <v>43</v>
      </c>
      <c r="G2174" t="s">
        <v>66</v>
      </c>
      <c r="H2174" t="s">
        <v>51</v>
      </c>
      <c r="I2174" t="s">
        <v>37</v>
      </c>
      <c r="J2174" t="s">
        <v>45</v>
      </c>
      <c r="K2174">
        <v>13542</v>
      </c>
      <c r="L2174">
        <v>218</v>
      </c>
      <c r="M2174">
        <v>209.55</v>
      </c>
      <c r="N2174">
        <v>1</v>
      </c>
      <c r="O2174">
        <v>15.49</v>
      </c>
      <c r="P2174">
        <f t="shared" si="132"/>
        <v>1.6098065278393147E-2</v>
      </c>
      <c r="Q2174">
        <f t="shared" si="132"/>
        <v>0.9612385321100918</v>
      </c>
      <c r="R2174">
        <f t="shared" si="133"/>
        <v>209.55</v>
      </c>
      <c r="S2174">
        <f t="shared" si="134"/>
        <v>7.3920305416368404E-2</v>
      </c>
      <c r="T2174">
        <f t="shared" si="135"/>
        <v>4.5871559633027525E-3</v>
      </c>
      <c r="U2174" t="str">
        <f>YEAR('Campaign Data'!$A2174)&amp;"-"&amp;TEXT(MONTH('Campaign Data'!$A2174),"00")</f>
        <v>2026-04</v>
      </c>
    </row>
    <row r="2175" spans="1:21" x14ac:dyDescent="0.25">
      <c r="A2175">
        <v>46140</v>
      </c>
      <c r="B2175" t="s">
        <v>63</v>
      </c>
      <c r="C2175" t="s">
        <v>64</v>
      </c>
      <c r="D2175" t="s">
        <v>65</v>
      </c>
      <c r="E2175" t="s">
        <v>24</v>
      </c>
      <c r="F2175" t="s">
        <v>43</v>
      </c>
      <c r="G2175" t="s">
        <v>66</v>
      </c>
      <c r="H2175" t="s">
        <v>71</v>
      </c>
      <c r="I2175" t="s">
        <v>28</v>
      </c>
      <c r="J2175" t="s">
        <v>29</v>
      </c>
      <c r="K2175">
        <v>11673</v>
      </c>
      <c r="L2175">
        <v>230</v>
      </c>
      <c r="M2175">
        <v>200.56</v>
      </c>
      <c r="N2175">
        <v>3</v>
      </c>
      <c r="O2175">
        <v>48.54</v>
      </c>
      <c r="P2175">
        <f t="shared" si="132"/>
        <v>1.9703589479996574E-2</v>
      </c>
      <c r="Q2175">
        <f t="shared" si="132"/>
        <v>0.872</v>
      </c>
      <c r="R2175">
        <f t="shared" si="133"/>
        <v>66.853333333333339</v>
      </c>
      <c r="S2175">
        <f t="shared" si="134"/>
        <v>0.24202233745512564</v>
      </c>
      <c r="T2175">
        <f t="shared" si="135"/>
        <v>1.3043478260869565E-2</v>
      </c>
      <c r="U2175" t="str">
        <f>YEAR('Campaign Data'!$A2175)&amp;"-"&amp;TEXT(MONTH('Campaign Data'!$A2175),"00")</f>
        <v>2026-04</v>
      </c>
    </row>
    <row r="2176" spans="1:21" x14ac:dyDescent="0.25">
      <c r="A2176">
        <v>46140</v>
      </c>
      <c r="B2176" t="s">
        <v>183</v>
      </c>
      <c r="C2176" t="s">
        <v>184</v>
      </c>
      <c r="D2176" t="s">
        <v>23</v>
      </c>
      <c r="E2176" t="s">
        <v>24</v>
      </c>
      <c r="F2176" t="s">
        <v>81</v>
      </c>
      <c r="G2176" t="s">
        <v>185</v>
      </c>
      <c r="H2176" t="s">
        <v>71</v>
      </c>
      <c r="I2176" t="s">
        <v>37</v>
      </c>
      <c r="J2176" t="s">
        <v>38</v>
      </c>
      <c r="K2176">
        <v>17176</v>
      </c>
      <c r="L2176">
        <v>198</v>
      </c>
      <c r="M2176">
        <v>146.22999999999999</v>
      </c>
      <c r="N2176">
        <v>5</v>
      </c>
      <c r="O2176">
        <v>72.180000000000007</v>
      </c>
      <c r="P2176">
        <f t="shared" si="132"/>
        <v>1.1527713088029809E-2</v>
      </c>
      <c r="Q2176">
        <f t="shared" si="132"/>
        <v>0.73853535353535349</v>
      </c>
      <c r="R2176">
        <f t="shared" si="133"/>
        <v>29.245999999999999</v>
      </c>
      <c r="S2176">
        <f t="shared" si="134"/>
        <v>0.49360596320864397</v>
      </c>
      <c r="T2176">
        <f t="shared" si="135"/>
        <v>2.5252525252525252E-2</v>
      </c>
      <c r="U2176" t="str">
        <f>YEAR('Campaign Data'!$A2176)&amp;"-"&amp;TEXT(MONTH('Campaign Data'!$A2176),"00")</f>
        <v>2026-04</v>
      </c>
    </row>
    <row r="2177" spans="1:21" x14ac:dyDescent="0.25">
      <c r="A2177">
        <v>46140</v>
      </c>
      <c r="B2177" t="s">
        <v>118</v>
      </c>
      <c r="C2177" t="s">
        <v>119</v>
      </c>
      <c r="D2177" t="s">
        <v>69</v>
      </c>
      <c r="E2177" t="s">
        <v>33</v>
      </c>
      <c r="F2177" t="s">
        <v>34</v>
      </c>
      <c r="G2177" t="s">
        <v>35</v>
      </c>
      <c r="H2177" t="s">
        <v>27</v>
      </c>
      <c r="I2177" t="s">
        <v>37</v>
      </c>
      <c r="J2177" t="s">
        <v>29</v>
      </c>
      <c r="K2177">
        <v>11332</v>
      </c>
      <c r="L2177">
        <v>87</v>
      </c>
      <c r="M2177">
        <v>89.22</v>
      </c>
      <c r="N2177">
        <v>2</v>
      </c>
      <c r="O2177">
        <v>500.6</v>
      </c>
      <c r="P2177">
        <f t="shared" si="132"/>
        <v>7.6773738086833741E-3</v>
      </c>
      <c r="Q2177">
        <f t="shared" si="132"/>
        <v>1.0255172413793103</v>
      </c>
      <c r="R2177">
        <f t="shared" si="133"/>
        <v>44.61</v>
      </c>
      <c r="S2177">
        <f t="shared" si="134"/>
        <v>5.6108495852947771</v>
      </c>
      <c r="T2177">
        <f t="shared" si="135"/>
        <v>2.2988505747126436E-2</v>
      </c>
      <c r="U2177" t="str">
        <f>YEAR('Campaign Data'!$A2177)&amp;"-"&amp;TEXT(MONTH('Campaign Data'!$A2177),"00")</f>
        <v>2026-04</v>
      </c>
    </row>
    <row r="2178" spans="1:21" x14ac:dyDescent="0.25">
      <c r="A2178">
        <v>46140</v>
      </c>
      <c r="B2178" t="s">
        <v>163</v>
      </c>
      <c r="C2178" t="s">
        <v>164</v>
      </c>
      <c r="D2178" t="s">
        <v>58</v>
      </c>
      <c r="E2178" t="s">
        <v>42</v>
      </c>
      <c r="F2178" t="s">
        <v>43</v>
      </c>
      <c r="G2178" t="s">
        <v>44</v>
      </c>
      <c r="H2178" t="s">
        <v>60</v>
      </c>
      <c r="I2178" t="s">
        <v>28</v>
      </c>
      <c r="J2178" t="s">
        <v>62</v>
      </c>
      <c r="K2178">
        <v>20916</v>
      </c>
      <c r="L2178">
        <v>163</v>
      </c>
      <c r="M2178">
        <v>993.89</v>
      </c>
      <c r="N2178">
        <v>8</v>
      </c>
      <c r="O2178">
        <v>188.15</v>
      </c>
      <c r="P2178">
        <f t="shared" ref="P2178:Q2241" si="136">IF(K2178=0,0,L2178/K2178)</f>
        <v>7.7930770701855039E-3</v>
      </c>
      <c r="Q2178">
        <f t="shared" si="136"/>
        <v>6.0974846625766874</v>
      </c>
      <c r="R2178">
        <f t="shared" ref="R2178:R2241" si="137">IF(N2178=0,0,M2178/N2178)</f>
        <v>124.23625</v>
      </c>
      <c r="S2178">
        <f t="shared" ref="S2178:S2241" si="138">IF(M2178=0,0,O2178/M2178)</f>
        <v>0.1893066637153005</v>
      </c>
      <c r="T2178">
        <f t="shared" ref="T2178:T2241" si="139">IF(L2178=0,0,N2178/L2178)</f>
        <v>4.9079754601226995E-2</v>
      </c>
      <c r="U2178" t="str">
        <f>YEAR('Campaign Data'!$A2178)&amp;"-"&amp;TEXT(MONTH('Campaign Data'!$A2178),"00")</f>
        <v>2026-04</v>
      </c>
    </row>
    <row r="2179" spans="1:21" x14ac:dyDescent="0.25">
      <c r="A2179">
        <v>46140</v>
      </c>
      <c r="B2179" t="s">
        <v>78</v>
      </c>
      <c r="C2179" t="s">
        <v>79</v>
      </c>
      <c r="D2179" t="s">
        <v>80</v>
      </c>
      <c r="E2179" t="s">
        <v>24</v>
      </c>
      <c r="F2179" t="s">
        <v>81</v>
      </c>
      <c r="G2179" t="s">
        <v>66</v>
      </c>
      <c r="H2179" t="s">
        <v>51</v>
      </c>
      <c r="I2179" t="s">
        <v>37</v>
      </c>
      <c r="J2179" t="s">
        <v>38</v>
      </c>
      <c r="K2179">
        <v>20325</v>
      </c>
      <c r="L2179">
        <v>279</v>
      </c>
      <c r="M2179">
        <v>294.33</v>
      </c>
      <c r="N2179">
        <v>2</v>
      </c>
      <c r="O2179">
        <v>42.27</v>
      </c>
      <c r="P2179">
        <f t="shared" si="136"/>
        <v>1.3726937269372694E-2</v>
      </c>
      <c r="Q2179">
        <f t="shared" si="136"/>
        <v>1.0549462365591398</v>
      </c>
      <c r="R2179">
        <f t="shared" si="137"/>
        <v>147.16499999999999</v>
      </c>
      <c r="S2179">
        <f t="shared" si="138"/>
        <v>0.14361431046784223</v>
      </c>
      <c r="T2179">
        <f t="shared" si="139"/>
        <v>7.1684587813620072E-3</v>
      </c>
      <c r="U2179" t="str">
        <f>YEAR('Campaign Data'!$A2179)&amp;"-"&amp;TEXT(MONTH('Campaign Data'!$A2179),"00")</f>
        <v>2026-04</v>
      </c>
    </row>
    <row r="2180" spans="1:21" x14ac:dyDescent="0.25">
      <c r="A2180">
        <v>46140</v>
      </c>
      <c r="B2180" t="s">
        <v>122</v>
      </c>
      <c r="C2180" t="s">
        <v>123</v>
      </c>
      <c r="D2180" t="s">
        <v>41</v>
      </c>
      <c r="E2180" t="s">
        <v>33</v>
      </c>
      <c r="F2180" t="s">
        <v>75</v>
      </c>
      <c r="G2180" t="s">
        <v>35</v>
      </c>
      <c r="H2180" t="s">
        <v>27</v>
      </c>
      <c r="I2180" t="s">
        <v>28</v>
      </c>
      <c r="J2180" t="s">
        <v>62</v>
      </c>
      <c r="K2180">
        <v>8769</v>
      </c>
      <c r="L2180">
        <v>109</v>
      </c>
      <c r="M2180">
        <v>74.5</v>
      </c>
      <c r="N2180">
        <v>1</v>
      </c>
      <c r="O2180">
        <v>37.29</v>
      </c>
      <c r="P2180">
        <f t="shared" si="136"/>
        <v>1.2430151670658E-2</v>
      </c>
      <c r="Q2180">
        <f t="shared" si="136"/>
        <v>0.6834862385321101</v>
      </c>
      <c r="R2180">
        <f t="shared" si="137"/>
        <v>74.5</v>
      </c>
      <c r="S2180">
        <f t="shared" si="138"/>
        <v>0.50053691275167789</v>
      </c>
      <c r="T2180">
        <f t="shared" si="139"/>
        <v>9.1743119266055051E-3</v>
      </c>
      <c r="U2180" t="str">
        <f>YEAR('Campaign Data'!$A2180)&amp;"-"&amp;TEXT(MONTH('Campaign Data'!$A2180),"00")</f>
        <v>2026-04</v>
      </c>
    </row>
    <row r="2181" spans="1:21" x14ac:dyDescent="0.25">
      <c r="A2181">
        <v>46141</v>
      </c>
      <c r="B2181" t="s">
        <v>175</v>
      </c>
      <c r="C2181" t="s">
        <v>176</v>
      </c>
      <c r="D2181" t="s">
        <v>65</v>
      </c>
      <c r="E2181" t="s">
        <v>49</v>
      </c>
      <c r="F2181" t="s">
        <v>75</v>
      </c>
      <c r="G2181" t="s">
        <v>70</v>
      </c>
      <c r="H2181" t="s">
        <v>36</v>
      </c>
      <c r="I2181" t="s">
        <v>61</v>
      </c>
      <c r="J2181" t="s">
        <v>62</v>
      </c>
      <c r="K2181">
        <v>7461</v>
      </c>
      <c r="L2181">
        <v>329</v>
      </c>
      <c r="M2181">
        <v>693.31</v>
      </c>
      <c r="N2181">
        <v>27</v>
      </c>
      <c r="O2181">
        <v>750.78</v>
      </c>
      <c r="P2181">
        <f t="shared" si="136"/>
        <v>4.4095965688245545E-2</v>
      </c>
      <c r="Q2181">
        <f t="shared" si="136"/>
        <v>2.1073252279635257</v>
      </c>
      <c r="R2181">
        <f t="shared" si="137"/>
        <v>25.678148148148146</v>
      </c>
      <c r="S2181">
        <f t="shared" si="138"/>
        <v>1.0828922127186973</v>
      </c>
      <c r="T2181">
        <f t="shared" si="139"/>
        <v>8.2066869300911852E-2</v>
      </c>
      <c r="U2181" t="str">
        <f>YEAR('Campaign Data'!$A2181)&amp;"-"&amp;TEXT(MONTH('Campaign Data'!$A2181),"00")</f>
        <v>2026-04</v>
      </c>
    </row>
    <row r="2182" spans="1:21" x14ac:dyDescent="0.25">
      <c r="A2182">
        <v>46141</v>
      </c>
      <c r="B2182" t="s">
        <v>147</v>
      </c>
      <c r="C2182" t="s">
        <v>148</v>
      </c>
      <c r="D2182" t="s">
        <v>23</v>
      </c>
      <c r="E2182" t="s">
        <v>42</v>
      </c>
      <c r="F2182" t="s">
        <v>75</v>
      </c>
      <c r="G2182" t="s">
        <v>44</v>
      </c>
      <c r="H2182" t="s">
        <v>71</v>
      </c>
      <c r="I2182" t="s">
        <v>37</v>
      </c>
      <c r="J2182" t="s">
        <v>62</v>
      </c>
      <c r="K2182">
        <v>3485</v>
      </c>
      <c r="L2182">
        <v>31</v>
      </c>
      <c r="M2182">
        <v>155.82</v>
      </c>
      <c r="N2182">
        <v>3</v>
      </c>
      <c r="O2182">
        <v>92.99</v>
      </c>
      <c r="P2182">
        <f t="shared" si="136"/>
        <v>8.8952654232424683E-3</v>
      </c>
      <c r="Q2182">
        <f t="shared" si="136"/>
        <v>5.0264516129032257</v>
      </c>
      <c r="R2182">
        <f t="shared" si="137"/>
        <v>51.94</v>
      </c>
      <c r="S2182">
        <f t="shared" si="138"/>
        <v>0.5967783339750995</v>
      </c>
      <c r="T2182">
        <f t="shared" si="139"/>
        <v>9.6774193548387094E-2</v>
      </c>
      <c r="U2182" t="str">
        <f>YEAR('Campaign Data'!$A2182)&amp;"-"&amp;TEXT(MONTH('Campaign Data'!$A2182),"00")</f>
        <v>2026-04</v>
      </c>
    </row>
    <row r="2183" spans="1:21" x14ac:dyDescent="0.25">
      <c r="A2183">
        <v>46141</v>
      </c>
      <c r="B2183" t="s">
        <v>149</v>
      </c>
      <c r="C2183" t="s">
        <v>150</v>
      </c>
      <c r="D2183" t="s">
        <v>65</v>
      </c>
      <c r="E2183" t="s">
        <v>33</v>
      </c>
      <c r="F2183" t="s">
        <v>43</v>
      </c>
      <c r="G2183" t="s">
        <v>59</v>
      </c>
      <c r="H2183" t="s">
        <v>90</v>
      </c>
      <c r="I2183" t="s">
        <v>37</v>
      </c>
      <c r="J2183" t="s">
        <v>87</v>
      </c>
      <c r="K2183">
        <v>5184</v>
      </c>
      <c r="L2183">
        <v>41</v>
      </c>
      <c r="M2183">
        <v>4.92</v>
      </c>
      <c r="N2183">
        <v>0</v>
      </c>
      <c r="O2183">
        <v>0</v>
      </c>
      <c r="P2183">
        <f t="shared" si="136"/>
        <v>7.908950617283951E-3</v>
      </c>
      <c r="Q2183">
        <f t="shared" si="136"/>
        <v>0.12</v>
      </c>
      <c r="R2183">
        <f t="shared" si="137"/>
        <v>0</v>
      </c>
      <c r="S2183">
        <f t="shared" si="138"/>
        <v>0</v>
      </c>
      <c r="T2183">
        <f t="shared" si="139"/>
        <v>0</v>
      </c>
      <c r="U2183" t="str">
        <f>YEAR('Campaign Data'!$A2183)&amp;"-"&amp;TEXT(MONTH('Campaign Data'!$A2183),"00")</f>
        <v>2026-04</v>
      </c>
    </row>
    <row r="2184" spans="1:21" x14ac:dyDescent="0.25">
      <c r="A2184">
        <v>46141</v>
      </c>
      <c r="B2184" t="s">
        <v>93</v>
      </c>
      <c r="C2184" t="s">
        <v>94</v>
      </c>
      <c r="D2184" t="s">
        <v>69</v>
      </c>
      <c r="E2184" t="s">
        <v>42</v>
      </c>
      <c r="F2184" t="s">
        <v>75</v>
      </c>
      <c r="G2184" t="s">
        <v>44</v>
      </c>
      <c r="H2184" t="s">
        <v>36</v>
      </c>
      <c r="I2184" t="s">
        <v>37</v>
      </c>
      <c r="J2184" t="s">
        <v>62</v>
      </c>
      <c r="K2184">
        <v>18865</v>
      </c>
      <c r="L2184">
        <v>164</v>
      </c>
      <c r="M2184">
        <v>683.78</v>
      </c>
      <c r="N2184">
        <v>12</v>
      </c>
      <c r="O2184">
        <v>474.48</v>
      </c>
      <c r="P2184">
        <f t="shared" si="136"/>
        <v>8.6933474688576737E-3</v>
      </c>
      <c r="Q2184">
        <f t="shared" si="136"/>
        <v>4.1693902439024386</v>
      </c>
      <c r="R2184">
        <f t="shared" si="137"/>
        <v>56.981666666666662</v>
      </c>
      <c r="S2184">
        <f t="shared" si="138"/>
        <v>0.69390739711603155</v>
      </c>
      <c r="T2184">
        <f t="shared" si="139"/>
        <v>7.3170731707317069E-2</v>
      </c>
      <c r="U2184" t="str">
        <f>YEAR('Campaign Data'!$A2184)&amp;"-"&amp;TEXT(MONTH('Campaign Data'!$A2184),"00")</f>
        <v>2026-04</v>
      </c>
    </row>
    <row r="2185" spans="1:21" x14ac:dyDescent="0.25">
      <c r="A2185">
        <v>46141</v>
      </c>
      <c r="B2185" t="s">
        <v>95</v>
      </c>
      <c r="C2185" t="s">
        <v>96</v>
      </c>
      <c r="D2185" t="s">
        <v>23</v>
      </c>
      <c r="E2185" t="s">
        <v>49</v>
      </c>
      <c r="F2185" t="s">
        <v>43</v>
      </c>
      <c r="G2185" t="s">
        <v>97</v>
      </c>
      <c r="H2185" t="s">
        <v>51</v>
      </c>
      <c r="I2185" t="s">
        <v>37</v>
      </c>
      <c r="J2185" t="s">
        <v>62</v>
      </c>
      <c r="K2185">
        <v>6769</v>
      </c>
      <c r="L2185">
        <v>318</v>
      </c>
      <c r="M2185">
        <v>445.28</v>
      </c>
      <c r="N2185">
        <v>30</v>
      </c>
      <c r="O2185">
        <v>879.24</v>
      </c>
      <c r="P2185">
        <f t="shared" si="136"/>
        <v>4.6978874279804995E-2</v>
      </c>
      <c r="Q2185">
        <f t="shared" si="136"/>
        <v>1.4002515723270439</v>
      </c>
      <c r="R2185">
        <f t="shared" si="137"/>
        <v>14.842666666666666</v>
      </c>
      <c r="S2185">
        <f t="shared" si="138"/>
        <v>1.9745777937477544</v>
      </c>
      <c r="T2185">
        <f t="shared" si="139"/>
        <v>9.4339622641509441E-2</v>
      </c>
      <c r="U2185" t="str">
        <f>YEAR('Campaign Data'!$A2185)&amp;"-"&amp;TEXT(MONTH('Campaign Data'!$A2185),"00")</f>
        <v>2026-04</v>
      </c>
    </row>
    <row r="2186" spans="1:21" x14ac:dyDescent="0.25">
      <c r="A2186">
        <v>46141</v>
      </c>
      <c r="B2186" t="s">
        <v>39</v>
      </c>
      <c r="C2186" t="s">
        <v>40</v>
      </c>
      <c r="D2186" t="s">
        <v>41</v>
      </c>
      <c r="E2186" t="s">
        <v>42</v>
      </c>
      <c r="F2186" t="s">
        <v>43</v>
      </c>
      <c r="G2186" t="s">
        <v>44</v>
      </c>
      <c r="H2186" t="s">
        <v>27</v>
      </c>
      <c r="I2186" t="s">
        <v>37</v>
      </c>
      <c r="J2186" t="s">
        <v>29</v>
      </c>
      <c r="K2186">
        <v>20105</v>
      </c>
      <c r="L2186">
        <v>169</v>
      </c>
      <c r="M2186">
        <v>1192.54</v>
      </c>
      <c r="N2186">
        <v>8</v>
      </c>
      <c r="O2186">
        <v>250.71</v>
      </c>
      <c r="P2186">
        <f t="shared" si="136"/>
        <v>8.4058691867694608E-3</v>
      </c>
      <c r="Q2186">
        <f t="shared" si="136"/>
        <v>7.056449704142012</v>
      </c>
      <c r="R2186">
        <f t="shared" si="137"/>
        <v>149.0675</v>
      </c>
      <c r="S2186">
        <f t="shared" si="138"/>
        <v>0.21023194190551261</v>
      </c>
      <c r="T2186">
        <f t="shared" si="139"/>
        <v>4.7337278106508875E-2</v>
      </c>
      <c r="U2186" t="str">
        <f>YEAR('Campaign Data'!$A2186)&amp;"-"&amp;TEXT(MONTH('Campaign Data'!$A2186),"00")</f>
        <v>2026-04</v>
      </c>
    </row>
    <row r="2187" spans="1:21" x14ac:dyDescent="0.25">
      <c r="A2187">
        <v>46141</v>
      </c>
      <c r="B2187" t="s">
        <v>39</v>
      </c>
      <c r="C2187" t="s">
        <v>40</v>
      </c>
      <c r="D2187" t="s">
        <v>41</v>
      </c>
      <c r="E2187" t="s">
        <v>42</v>
      </c>
      <c r="F2187" t="s">
        <v>43</v>
      </c>
      <c r="G2187" t="s">
        <v>44</v>
      </c>
      <c r="H2187" t="s">
        <v>36</v>
      </c>
      <c r="I2187" t="s">
        <v>28</v>
      </c>
      <c r="J2187" t="s">
        <v>62</v>
      </c>
      <c r="K2187">
        <v>12437</v>
      </c>
      <c r="L2187">
        <v>88</v>
      </c>
      <c r="M2187">
        <v>464.63</v>
      </c>
      <c r="N2187">
        <v>0</v>
      </c>
      <c r="O2187">
        <v>0</v>
      </c>
      <c r="P2187">
        <f t="shared" si="136"/>
        <v>7.0756613331189192E-3</v>
      </c>
      <c r="Q2187">
        <f t="shared" si="136"/>
        <v>5.279886363636364</v>
      </c>
      <c r="R2187">
        <f t="shared" si="137"/>
        <v>0</v>
      </c>
      <c r="S2187">
        <f t="shared" si="138"/>
        <v>0</v>
      </c>
      <c r="T2187">
        <f t="shared" si="139"/>
        <v>0</v>
      </c>
      <c r="U2187" t="str">
        <f>YEAR('Campaign Data'!$A2187)&amp;"-"&amp;TEXT(MONTH('Campaign Data'!$A2187),"00")</f>
        <v>2026-04</v>
      </c>
    </row>
    <row r="2188" spans="1:21" x14ac:dyDescent="0.25">
      <c r="A2188">
        <v>46141</v>
      </c>
      <c r="B2188" t="s">
        <v>46</v>
      </c>
      <c r="C2188" t="s">
        <v>47</v>
      </c>
      <c r="D2188" t="s">
        <v>48</v>
      </c>
      <c r="E2188" t="s">
        <v>49</v>
      </c>
      <c r="F2188" t="s">
        <v>43</v>
      </c>
      <c r="G2188" t="s">
        <v>50</v>
      </c>
      <c r="H2188" t="s">
        <v>90</v>
      </c>
      <c r="I2188" t="s">
        <v>37</v>
      </c>
      <c r="J2188" t="s">
        <v>45</v>
      </c>
      <c r="K2188">
        <v>8339</v>
      </c>
      <c r="L2188">
        <v>230</v>
      </c>
      <c r="M2188">
        <v>151.27000000000001</v>
      </c>
      <c r="N2188">
        <v>15</v>
      </c>
      <c r="O2188">
        <v>75</v>
      </c>
      <c r="P2188">
        <f t="shared" si="136"/>
        <v>2.7581244753567574E-2</v>
      </c>
      <c r="Q2188">
        <f t="shared" si="136"/>
        <v>0.65769565217391313</v>
      </c>
      <c r="R2188">
        <f t="shared" si="137"/>
        <v>10.084666666666667</v>
      </c>
      <c r="S2188">
        <f t="shared" si="138"/>
        <v>0.49580220797249946</v>
      </c>
      <c r="T2188">
        <f t="shared" si="139"/>
        <v>6.5217391304347824E-2</v>
      </c>
      <c r="U2188" t="str">
        <f>YEAR('Campaign Data'!$A2188)&amp;"-"&amp;TEXT(MONTH('Campaign Data'!$A2188),"00")</f>
        <v>2026-04</v>
      </c>
    </row>
    <row r="2189" spans="1:21" x14ac:dyDescent="0.25">
      <c r="A2189">
        <v>46141</v>
      </c>
      <c r="B2189" t="s">
        <v>108</v>
      </c>
      <c r="C2189" t="s">
        <v>109</v>
      </c>
      <c r="D2189" t="s">
        <v>58</v>
      </c>
      <c r="E2189" t="s">
        <v>33</v>
      </c>
      <c r="F2189" t="s">
        <v>43</v>
      </c>
      <c r="G2189" t="s">
        <v>59</v>
      </c>
      <c r="H2189" t="s">
        <v>27</v>
      </c>
      <c r="I2189" t="s">
        <v>37</v>
      </c>
      <c r="J2189" t="s">
        <v>62</v>
      </c>
      <c r="K2189">
        <v>9876</v>
      </c>
      <c r="L2189">
        <v>150</v>
      </c>
      <c r="M2189">
        <v>61.74</v>
      </c>
      <c r="N2189">
        <v>5</v>
      </c>
      <c r="O2189">
        <v>206.96</v>
      </c>
      <c r="P2189">
        <f t="shared" si="136"/>
        <v>1.5188335358444714E-2</v>
      </c>
      <c r="Q2189">
        <f t="shared" si="136"/>
        <v>0.41160000000000002</v>
      </c>
      <c r="R2189">
        <f t="shared" si="137"/>
        <v>12.348000000000001</v>
      </c>
      <c r="S2189">
        <f t="shared" si="138"/>
        <v>3.3521218011013931</v>
      </c>
      <c r="T2189">
        <f t="shared" si="139"/>
        <v>3.3333333333333333E-2</v>
      </c>
      <c r="U2189" t="str">
        <f>YEAR('Campaign Data'!$A2189)&amp;"-"&amp;TEXT(MONTH('Campaign Data'!$A2189),"00")</f>
        <v>2026-04</v>
      </c>
    </row>
    <row r="2190" spans="1:21" x14ac:dyDescent="0.25">
      <c r="A2190">
        <v>46141</v>
      </c>
      <c r="B2190" t="s">
        <v>130</v>
      </c>
      <c r="C2190" t="s">
        <v>131</v>
      </c>
      <c r="D2190" t="s">
        <v>48</v>
      </c>
      <c r="E2190" t="s">
        <v>33</v>
      </c>
      <c r="F2190" t="s">
        <v>34</v>
      </c>
      <c r="G2190" t="s">
        <v>35</v>
      </c>
      <c r="H2190" t="s">
        <v>36</v>
      </c>
      <c r="I2190" t="s">
        <v>61</v>
      </c>
      <c r="J2190" t="s">
        <v>87</v>
      </c>
      <c r="K2190">
        <v>12623</v>
      </c>
      <c r="L2190">
        <v>88</v>
      </c>
      <c r="M2190">
        <v>60.03</v>
      </c>
      <c r="N2190">
        <v>1</v>
      </c>
      <c r="O2190">
        <v>225.87</v>
      </c>
      <c r="P2190">
        <f t="shared" si="136"/>
        <v>6.9714014101243758E-3</v>
      </c>
      <c r="Q2190">
        <f t="shared" si="136"/>
        <v>0.68215909090909088</v>
      </c>
      <c r="R2190">
        <f t="shared" si="137"/>
        <v>60.03</v>
      </c>
      <c r="S2190">
        <f t="shared" si="138"/>
        <v>3.7626186906546728</v>
      </c>
      <c r="T2190">
        <f t="shared" si="139"/>
        <v>1.1363636363636364E-2</v>
      </c>
      <c r="U2190" t="str">
        <f>YEAR('Campaign Data'!$A2190)&amp;"-"&amp;TEXT(MONTH('Campaign Data'!$A2190),"00")</f>
        <v>2026-04</v>
      </c>
    </row>
    <row r="2191" spans="1:21" x14ac:dyDescent="0.25">
      <c r="A2191">
        <v>46141</v>
      </c>
      <c r="B2191" t="s">
        <v>179</v>
      </c>
      <c r="C2191" t="s">
        <v>180</v>
      </c>
      <c r="D2191" t="s">
        <v>58</v>
      </c>
      <c r="E2191" t="s">
        <v>42</v>
      </c>
      <c r="F2191" t="s">
        <v>25</v>
      </c>
      <c r="G2191" t="s">
        <v>54</v>
      </c>
      <c r="H2191" t="s">
        <v>27</v>
      </c>
      <c r="I2191" t="s">
        <v>61</v>
      </c>
      <c r="J2191" t="s">
        <v>62</v>
      </c>
      <c r="K2191">
        <v>13528</v>
      </c>
      <c r="L2191">
        <v>138</v>
      </c>
      <c r="M2191">
        <v>912.73</v>
      </c>
      <c r="N2191">
        <v>4</v>
      </c>
      <c r="O2191">
        <v>857.59</v>
      </c>
      <c r="P2191">
        <f t="shared" si="136"/>
        <v>1.020106445890006E-2</v>
      </c>
      <c r="Q2191">
        <f t="shared" si="136"/>
        <v>6.6139855072463769</v>
      </c>
      <c r="R2191">
        <f t="shared" si="137"/>
        <v>228.1825</v>
      </c>
      <c r="S2191">
        <f t="shared" si="138"/>
        <v>0.93958782991684286</v>
      </c>
      <c r="T2191">
        <f t="shared" si="139"/>
        <v>2.8985507246376812E-2</v>
      </c>
      <c r="U2191" t="str">
        <f>YEAR('Campaign Data'!$A2191)&amp;"-"&amp;TEXT(MONTH('Campaign Data'!$A2191),"00")</f>
        <v>2026-04</v>
      </c>
    </row>
    <row r="2192" spans="1:21" x14ac:dyDescent="0.25">
      <c r="A2192">
        <v>46141</v>
      </c>
      <c r="B2192" t="s">
        <v>134</v>
      </c>
      <c r="C2192" t="s">
        <v>135</v>
      </c>
      <c r="D2192" t="s">
        <v>32</v>
      </c>
      <c r="E2192" t="s">
        <v>74</v>
      </c>
      <c r="F2192" t="s">
        <v>25</v>
      </c>
      <c r="G2192" t="s">
        <v>107</v>
      </c>
      <c r="H2192" t="s">
        <v>60</v>
      </c>
      <c r="I2192" t="s">
        <v>37</v>
      </c>
      <c r="J2192" t="s">
        <v>38</v>
      </c>
      <c r="K2192">
        <v>9083</v>
      </c>
      <c r="L2192">
        <v>321</v>
      </c>
      <c r="M2192">
        <v>328.07</v>
      </c>
      <c r="N2192">
        <v>10</v>
      </c>
      <c r="O2192">
        <v>1312.7</v>
      </c>
      <c r="P2192">
        <f t="shared" si="136"/>
        <v>3.5340746449410987E-2</v>
      </c>
      <c r="Q2192">
        <f t="shared" si="136"/>
        <v>1.0220249221183801</v>
      </c>
      <c r="R2192">
        <f t="shared" si="137"/>
        <v>32.807000000000002</v>
      </c>
      <c r="S2192">
        <f t="shared" si="138"/>
        <v>4.0012802145883501</v>
      </c>
      <c r="T2192">
        <f t="shared" si="139"/>
        <v>3.1152647975077882E-2</v>
      </c>
      <c r="U2192" t="str">
        <f>YEAR('Campaign Data'!$A2192)&amp;"-"&amp;TEXT(MONTH('Campaign Data'!$A2192),"00")</f>
        <v>2026-04</v>
      </c>
    </row>
    <row r="2193" spans="1:21" x14ac:dyDescent="0.25">
      <c r="A2193">
        <v>46141</v>
      </c>
      <c r="B2193" t="s">
        <v>114</v>
      </c>
      <c r="C2193" t="s">
        <v>115</v>
      </c>
      <c r="D2193" t="s">
        <v>69</v>
      </c>
      <c r="E2193" t="s">
        <v>49</v>
      </c>
      <c r="F2193" t="s">
        <v>25</v>
      </c>
      <c r="G2193" t="s">
        <v>107</v>
      </c>
      <c r="H2193" t="s">
        <v>71</v>
      </c>
      <c r="I2193" t="s">
        <v>28</v>
      </c>
      <c r="J2193" t="s">
        <v>38</v>
      </c>
      <c r="K2193">
        <v>6151</v>
      </c>
      <c r="L2193">
        <v>208</v>
      </c>
      <c r="M2193">
        <v>301.97000000000003</v>
      </c>
      <c r="N2193">
        <v>11</v>
      </c>
      <c r="O2193">
        <v>1399.98</v>
      </c>
      <c r="P2193">
        <f t="shared" si="136"/>
        <v>3.3815639733376687E-2</v>
      </c>
      <c r="Q2193">
        <f t="shared" si="136"/>
        <v>1.4517788461538463</v>
      </c>
      <c r="R2193">
        <f t="shared" si="137"/>
        <v>27.451818181818183</v>
      </c>
      <c r="S2193">
        <f t="shared" si="138"/>
        <v>4.6361559095274361</v>
      </c>
      <c r="T2193">
        <f t="shared" si="139"/>
        <v>5.2884615384615384E-2</v>
      </c>
      <c r="U2193" t="str">
        <f>YEAR('Campaign Data'!$A2193)&amp;"-"&amp;TEXT(MONTH('Campaign Data'!$A2193),"00")</f>
        <v>2026-04</v>
      </c>
    </row>
    <row r="2194" spans="1:21" x14ac:dyDescent="0.25">
      <c r="A2194">
        <v>46141</v>
      </c>
      <c r="B2194" t="s">
        <v>114</v>
      </c>
      <c r="C2194" t="s">
        <v>115</v>
      </c>
      <c r="D2194" t="s">
        <v>69</v>
      </c>
      <c r="E2194" t="s">
        <v>49</v>
      </c>
      <c r="F2194" t="s">
        <v>25</v>
      </c>
      <c r="G2194" t="s">
        <v>107</v>
      </c>
      <c r="H2194" t="s">
        <v>27</v>
      </c>
      <c r="I2194" t="s">
        <v>37</v>
      </c>
      <c r="J2194" t="s">
        <v>29</v>
      </c>
      <c r="K2194">
        <v>8067</v>
      </c>
      <c r="L2194">
        <v>310</v>
      </c>
      <c r="M2194">
        <v>880.91</v>
      </c>
      <c r="N2194">
        <v>26</v>
      </c>
      <c r="O2194">
        <v>6638.92</v>
      </c>
      <c r="P2194">
        <f t="shared" si="136"/>
        <v>3.842816412544936E-2</v>
      </c>
      <c r="Q2194">
        <f t="shared" si="136"/>
        <v>2.8416451612903226</v>
      </c>
      <c r="R2194">
        <f t="shared" si="137"/>
        <v>33.881153846153843</v>
      </c>
      <c r="S2194">
        <f t="shared" si="138"/>
        <v>7.5364339149288808</v>
      </c>
      <c r="T2194">
        <f t="shared" si="139"/>
        <v>8.387096774193549E-2</v>
      </c>
      <c r="U2194" t="str">
        <f>YEAR('Campaign Data'!$A2194)&amp;"-"&amp;TEXT(MONTH('Campaign Data'!$A2194),"00")</f>
        <v>2026-04</v>
      </c>
    </row>
    <row r="2195" spans="1:21" x14ac:dyDescent="0.25">
      <c r="A2195">
        <v>46141</v>
      </c>
      <c r="B2195" t="s">
        <v>141</v>
      </c>
      <c r="C2195" t="s">
        <v>142</v>
      </c>
      <c r="D2195" t="s">
        <v>80</v>
      </c>
      <c r="E2195" t="s">
        <v>49</v>
      </c>
      <c r="F2195" t="s">
        <v>81</v>
      </c>
      <c r="G2195" t="s">
        <v>97</v>
      </c>
      <c r="H2195" t="s">
        <v>36</v>
      </c>
      <c r="I2195" t="s">
        <v>61</v>
      </c>
      <c r="J2195" t="s">
        <v>29</v>
      </c>
      <c r="K2195">
        <v>25925</v>
      </c>
      <c r="L2195">
        <v>1609</v>
      </c>
      <c r="M2195">
        <v>1953.07</v>
      </c>
      <c r="N2195">
        <v>84</v>
      </c>
      <c r="O2195">
        <v>1350.76</v>
      </c>
      <c r="P2195">
        <f t="shared" si="136"/>
        <v>6.2063645130183219E-2</v>
      </c>
      <c r="Q2195">
        <f t="shared" si="136"/>
        <v>1.2138408949658173</v>
      </c>
      <c r="R2195">
        <f t="shared" si="137"/>
        <v>23.250833333333333</v>
      </c>
      <c r="S2195">
        <f t="shared" si="138"/>
        <v>0.69160859569805488</v>
      </c>
      <c r="T2195">
        <f t="shared" si="139"/>
        <v>5.2206339341205721E-2</v>
      </c>
      <c r="U2195" t="str">
        <f>YEAR('Campaign Data'!$A2195)&amp;"-"&amp;TEXT(MONTH('Campaign Data'!$A2195),"00")</f>
        <v>2026-04</v>
      </c>
    </row>
    <row r="2196" spans="1:21" x14ac:dyDescent="0.25">
      <c r="A2196">
        <v>46141</v>
      </c>
      <c r="B2196" t="s">
        <v>63</v>
      </c>
      <c r="C2196" t="s">
        <v>64</v>
      </c>
      <c r="D2196" t="s">
        <v>65</v>
      </c>
      <c r="E2196" t="s">
        <v>24</v>
      </c>
      <c r="F2196" t="s">
        <v>43</v>
      </c>
      <c r="G2196" t="s">
        <v>66</v>
      </c>
      <c r="H2196" t="s">
        <v>27</v>
      </c>
      <c r="I2196" t="s">
        <v>37</v>
      </c>
      <c r="J2196" t="s">
        <v>29</v>
      </c>
      <c r="K2196">
        <v>7227</v>
      </c>
      <c r="L2196">
        <v>63</v>
      </c>
      <c r="M2196">
        <v>62.1</v>
      </c>
      <c r="N2196">
        <v>4</v>
      </c>
      <c r="O2196">
        <v>59.29</v>
      </c>
      <c r="P2196">
        <f t="shared" si="136"/>
        <v>8.717310087173101E-3</v>
      </c>
      <c r="Q2196">
        <f t="shared" si="136"/>
        <v>0.98571428571428577</v>
      </c>
      <c r="R2196">
        <f t="shared" si="137"/>
        <v>15.525</v>
      </c>
      <c r="S2196">
        <f t="shared" si="138"/>
        <v>0.95475040257648947</v>
      </c>
      <c r="T2196">
        <f t="shared" si="139"/>
        <v>6.3492063492063489E-2</v>
      </c>
      <c r="U2196" t="str">
        <f>YEAR('Campaign Data'!$A2196)&amp;"-"&amp;TEXT(MONTH('Campaign Data'!$A2196),"00")</f>
        <v>2026-04</v>
      </c>
    </row>
    <row r="2197" spans="1:21" x14ac:dyDescent="0.25">
      <c r="A2197">
        <v>46141</v>
      </c>
      <c r="B2197" t="s">
        <v>76</v>
      </c>
      <c r="C2197" t="s">
        <v>77</v>
      </c>
      <c r="D2197" t="s">
        <v>65</v>
      </c>
      <c r="E2197" t="s">
        <v>42</v>
      </c>
      <c r="F2197" t="s">
        <v>43</v>
      </c>
      <c r="G2197" t="s">
        <v>44</v>
      </c>
      <c r="H2197" t="s">
        <v>60</v>
      </c>
      <c r="I2197" t="s">
        <v>37</v>
      </c>
      <c r="J2197" t="s">
        <v>38</v>
      </c>
      <c r="K2197">
        <v>13263</v>
      </c>
      <c r="L2197">
        <v>66</v>
      </c>
      <c r="M2197">
        <v>428.66</v>
      </c>
      <c r="N2197">
        <v>2</v>
      </c>
      <c r="O2197">
        <v>43.66</v>
      </c>
      <c r="P2197">
        <f t="shared" si="136"/>
        <v>4.9762497172585385E-3</v>
      </c>
      <c r="Q2197">
        <f t="shared" si="136"/>
        <v>6.4948484848484851</v>
      </c>
      <c r="R2197">
        <f t="shared" si="137"/>
        <v>214.33</v>
      </c>
      <c r="S2197">
        <f t="shared" si="138"/>
        <v>0.10185228386133531</v>
      </c>
      <c r="T2197">
        <f t="shared" si="139"/>
        <v>3.0303030303030304E-2</v>
      </c>
      <c r="U2197" t="str">
        <f>YEAR('Campaign Data'!$A2197)&amp;"-"&amp;TEXT(MONTH('Campaign Data'!$A2197),"00")</f>
        <v>2026-04</v>
      </c>
    </row>
    <row r="2198" spans="1:21" x14ac:dyDescent="0.25">
      <c r="A2198">
        <v>46142</v>
      </c>
      <c r="B2198" t="s">
        <v>167</v>
      </c>
      <c r="C2198" t="s">
        <v>168</v>
      </c>
      <c r="D2198" t="s">
        <v>58</v>
      </c>
      <c r="E2198" t="s">
        <v>33</v>
      </c>
      <c r="F2198" t="s">
        <v>75</v>
      </c>
      <c r="G2198" t="s">
        <v>35</v>
      </c>
      <c r="H2198" t="s">
        <v>90</v>
      </c>
      <c r="I2198" t="s">
        <v>37</v>
      </c>
      <c r="J2198" t="s">
        <v>62</v>
      </c>
      <c r="K2198">
        <v>5648</v>
      </c>
      <c r="L2198">
        <v>72</v>
      </c>
      <c r="M2198">
        <v>16.7</v>
      </c>
      <c r="N2198">
        <v>2</v>
      </c>
      <c r="O2198">
        <v>17.23</v>
      </c>
      <c r="P2198">
        <f t="shared" si="136"/>
        <v>1.2747875354107648E-2</v>
      </c>
      <c r="Q2198">
        <f t="shared" si="136"/>
        <v>0.23194444444444443</v>
      </c>
      <c r="R2198">
        <f t="shared" si="137"/>
        <v>8.35</v>
      </c>
      <c r="S2198">
        <f t="shared" si="138"/>
        <v>1.0317365269461078</v>
      </c>
      <c r="T2198">
        <f t="shared" si="139"/>
        <v>2.7777777777777776E-2</v>
      </c>
      <c r="U2198" t="str">
        <f>YEAR('Campaign Data'!$A2198)&amp;"-"&amp;TEXT(MONTH('Campaign Data'!$A2198),"00")</f>
        <v>2026-04</v>
      </c>
    </row>
    <row r="2199" spans="1:21" x14ac:dyDescent="0.25">
      <c r="A2199">
        <v>46142</v>
      </c>
      <c r="B2199" t="s">
        <v>147</v>
      </c>
      <c r="C2199" t="s">
        <v>148</v>
      </c>
      <c r="D2199" t="s">
        <v>23</v>
      </c>
      <c r="E2199" t="s">
        <v>42</v>
      </c>
      <c r="F2199" t="s">
        <v>75</v>
      </c>
      <c r="G2199" t="s">
        <v>44</v>
      </c>
      <c r="H2199" t="s">
        <v>27</v>
      </c>
      <c r="I2199" t="s">
        <v>37</v>
      </c>
      <c r="J2199" t="s">
        <v>45</v>
      </c>
      <c r="K2199">
        <v>7404</v>
      </c>
      <c r="L2199">
        <v>65</v>
      </c>
      <c r="M2199">
        <v>436.53</v>
      </c>
      <c r="N2199">
        <v>0</v>
      </c>
      <c r="O2199">
        <v>0</v>
      </c>
      <c r="P2199">
        <f t="shared" si="136"/>
        <v>8.7790383576445159E-3</v>
      </c>
      <c r="Q2199">
        <f t="shared" si="136"/>
        <v>6.7158461538461536</v>
      </c>
      <c r="R2199">
        <f t="shared" si="137"/>
        <v>0</v>
      </c>
      <c r="S2199">
        <f t="shared" si="138"/>
        <v>0</v>
      </c>
      <c r="T2199">
        <f t="shared" si="139"/>
        <v>0</v>
      </c>
      <c r="U2199" t="str">
        <f>YEAR('Campaign Data'!$A2199)&amp;"-"&amp;TEXT(MONTH('Campaign Data'!$A2199),"00")</f>
        <v>2026-04</v>
      </c>
    </row>
    <row r="2200" spans="1:21" x14ac:dyDescent="0.25">
      <c r="A2200">
        <v>46142</v>
      </c>
      <c r="B2200" t="s">
        <v>125</v>
      </c>
      <c r="C2200" t="s">
        <v>126</v>
      </c>
      <c r="D2200" t="s">
        <v>41</v>
      </c>
      <c r="E2200" t="s">
        <v>42</v>
      </c>
      <c r="F2200" t="s">
        <v>81</v>
      </c>
      <c r="G2200" t="s">
        <v>44</v>
      </c>
      <c r="H2200" t="s">
        <v>60</v>
      </c>
      <c r="I2200" t="s">
        <v>28</v>
      </c>
      <c r="J2200" t="s">
        <v>38</v>
      </c>
      <c r="K2200">
        <v>10429</v>
      </c>
      <c r="L2200">
        <v>52</v>
      </c>
      <c r="M2200">
        <v>290.88</v>
      </c>
      <c r="N2200">
        <v>1</v>
      </c>
      <c r="O2200">
        <v>21.38</v>
      </c>
      <c r="P2200">
        <f t="shared" si="136"/>
        <v>4.9860964617892412E-3</v>
      </c>
      <c r="Q2200">
        <f t="shared" si="136"/>
        <v>5.5938461538461537</v>
      </c>
      <c r="R2200">
        <f t="shared" si="137"/>
        <v>290.88</v>
      </c>
      <c r="S2200">
        <f t="shared" si="138"/>
        <v>7.3501100110011E-2</v>
      </c>
      <c r="T2200">
        <f t="shared" si="139"/>
        <v>1.9230769230769232E-2</v>
      </c>
      <c r="U2200" t="str">
        <f>YEAR('Campaign Data'!$A2200)&amp;"-"&amp;TEXT(MONTH('Campaign Data'!$A2200),"00")</f>
        <v>2026-04</v>
      </c>
    </row>
    <row r="2201" spans="1:21" x14ac:dyDescent="0.25">
      <c r="A2201">
        <v>46142</v>
      </c>
      <c r="B2201" t="s">
        <v>149</v>
      </c>
      <c r="C2201" t="s">
        <v>150</v>
      </c>
      <c r="D2201" t="s">
        <v>65</v>
      </c>
      <c r="E2201" t="s">
        <v>33</v>
      </c>
      <c r="F2201" t="s">
        <v>43</v>
      </c>
      <c r="G2201" t="s">
        <v>59</v>
      </c>
      <c r="H2201" t="s">
        <v>55</v>
      </c>
      <c r="I2201" t="s">
        <v>28</v>
      </c>
      <c r="J2201" t="s">
        <v>38</v>
      </c>
      <c r="K2201">
        <v>15294</v>
      </c>
      <c r="L2201">
        <v>175</v>
      </c>
      <c r="M2201">
        <v>98.7</v>
      </c>
      <c r="N2201">
        <v>1</v>
      </c>
      <c r="O2201">
        <v>24.88</v>
      </c>
      <c r="P2201">
        <f t="shared" si="136"/>
        <v>1.1442395710736237E-2</v>
      </c>
      <c r="Q2201">
        <f t="shared" si="136"/>
        <v>0.56400000000000006</v>
      </c>
      <c r="R2201">
        <f t="shared" si="137"/>
        <v>98.7</v>
      </c>
      <c r="S2201">
        <f t="shared" si="138"/>
        <v>0.25207700101317121</v>
      </c>
      <c r="T2201">
        <f t="shared" si="139"/>
        <v>5.7142857142857143E-3</v>
      </c>
      <c r="U2201" t="str">
        <f>YEAR('Campaign Data'!$A2201)&amp;"-"&amp;TEXT(MONTH('Campaign Data'!$A2201),"00")</f>
        <v>2026-04</v>
      </c>
    </row>
    <row r="2202" spans="1:21" x14ac:dyDescent="0.25">
      <c r="A2202">
        <v>46142</v>
      </c>
      <c r="B2202" t="s">
        <v>91</v>
      </c>
      <c r="C2202" t="s">
        <v>92</v>
      </c>
      <c r="D2202" t="s">
        <v>41</v>
      </c>
      <c r="E2202" t="s">
        <v>74</v>
      </c>
      <c r="F2202" t="s">
        <v>75</v>
      </c>
      <c r="G2202" t="s">
        <v>9</v>
      </c>
      <c r="H2202" t="s">
        <v>55</v>
      </c>
      <c r="I2202" t="s">
        <v>37</v>
      </c>
      <c r="J2202" t="s">
        <v>62</v>
      </c>
      <c r="K2202">
        <v>11171</v>
      </c>
      <c r="L2202">
        <v>445</v>
      </c>
      <c r="M2202">
        <v>676.27</v>
      </c>
      <c r="N2202">
        <v>15</v>
      </c>
      <c r="O2202">
        <v>528.51</v>
      </c>
      <c r="P2202">
        <f t="shared" si="136"/>
        <v>3.9835287798764656E-2</v>
      </c>
      <c r="Q2202">
        <f t="shared" si="136"/>
        <v>1.5197078651685394</v>
      </c>
      <c r="R2202">
        <f t="shared" si="137"/>
        <v>45.084666666666664</v>
      </c>
      <c r="S2202">
        <f t="shared" si="138"/>
        <v>0.7815073861031836</v>
      </c>
      <c r="T2202">
        <f t="shared" si="139"/>
        <v>3.3707865168539325E-2</v>
      </c>
      <c r="U2202" t="str">
        <f>YEAR('Campaign Data'!$A2202)&amp;"-"&amp;TEXT(MONTH('Campaign Data'!$A2202),"00")</f>
        <v>2026-04</v>
      </c>
    </row>
    <row r="2203" spans="1:21" x14ac:dyDescent="0.25">
      <c r="A2203">
        <v>46142</v>
      </c>
      <c r="B2203" t="s">
        <v>30</v>
      </c>
      <c r="C2203" t="s">
        <v>31</v>
      </c>
      <c r="D2203" t="s">
        <v>32</v>
      </c>
      <c r="E2203" t="s">
        <v>33</v>
      </c>
      <c r="F2203" t="s">
        <v>34</v>
      </c>
      <c r="G2203" t="s">
        <v>35</v>
      </c>
      <c r="H2203" t="s">
        <v>71</v>
      </c>
      <c r="I2203" t="s">
        <v>28</v>
      </c>
      <c r="J2203" t="s">
        <v>38</v>
      </c>
      <c r="K2203">
        <v>8278</v>
      </c>
      <c r="L2203">
        <v>80</v>
      </c>
      <c r="M2203">
        <v>39.56</v>
      </c>
      <c r="N2203">
        <v>1</v>
      </c>
      <c r="O2203">
        <v>129.44999999999999</v>
      </c>
      <c r="P2203">
        <f t="shared" si="136"/>
        <v>9.6641700893935738E-3</v>
      </c>
      <c r="Q2203">
        <f t="shared" si="136"/>
        <v>0.49450000000000005</v>
      </c>
      <c r="R2203">
        <f t="shared" si="137"/>
        <v>39.56</v>
      </c>
      <c r="S2203">
        <f t="shared" si="138"/>
        <v>3.2722446916076842</v>
      </c>
      <c r="T2203">
        <f t="shared" si="139"/>
        <v>1.2500000000000001E-2</v>
      </c>
      <c r="U2203" t="str">
        <f>YEAR('Campaign Data'!$A2203)&amp;"-"&amp;TEXT(MONTH('Campaign Data'!$A2203),"00")</f>
        <v>2026-04</v>
      </c>
    </row>
    <row r="2204" spans="1:21" x14ac:dyDescent="0.25">
      <c r="A2204">
        <v>46142</v>
      </c>
      <c r="B2204" t="s">
        <v>98</v>
      </c>
      <c r="C2204" t="s">
        <v>99</v>
      </c>
      <c r="D2204" t="s">
        <v>69</v>
      </c>
      <c r="E2204" t="s">
        <v>24</v>
      </c>
      <c r="F2204" t="s">
        <v>75</v>
      </c>
      <c r="G2204" t="s">
        <v>66</v>
      </c>
      <c r="H2204" t="s">
        <v>60</v>
      </c>
      <c r="I2204" t="s">
        <v>28</v>
      </c>
      <c r="J2204" t="s">
        <v>29</v>
      </c>
      <c r="K2204">
        <v>48670</v>
      </c>
      <c r="L2204">
        <v>704</v>
      </c>
      <c r="M2204">
        <v>598.02</v>
      </c>
      <c r="N2204">
        <v>30</v>
      </c>
      <c r="O2204">
        <v>1649.71</v>
      </c>
      <c r="P2204">
        <f t="shared" si="136"/>
        <v>1.4464762687487158E-2</v>
      </c>
      <c r="Q2204">
        <f t="shared" si="136"/>
        <v>0.8494602272727273</v>
      </c>
      <c r="R2204">
        <f t="shared" si="137"/>
        <v>19.934000000000001</v>
      </c>
      <c r="S2204">
        <f t="shared" si="138"/>
        <v>2.7586201130396977</v>
      </c>
      <c r="T2204">
        <f t="shared" si="139"/>
        <v>4.261363636363636E-2</v>
      </c>
      <c r="U2204" t="str">
        <f>YEAR('Campaign Data'!$A2204)&amp;"-"&amp;TEXT(MONTH('Campaign Data'!$A2204),"00")</f>
        <v>2026-04</v>
      </c>
    </row>
    <row r="2205" spans="1:21" x14ac:dyDescent="0.25">
      <c r="A2205">
        <v>46142</v>
      </c>
      <c r="B2205" t="s">
        <v>100</v>
      </c>
      <c r="C2205" t="s">
        <v>101</v>
      </c>
      <c r="D2205" t="s">
        <v>80</v>
      </c>
      <c r="E2205" t="s">
        <v>33</v>
      </c>
      <c r="F2205" t="s">
        <v>25</v>
      </c>
      <c r="G2205" t="s">
        <v>102</v>
      </c>
      <c r="H2205" t="s">
        <v>71</v>
      </c>
      <c r="I2205" t="s">
        <v>28</v>
      </c>
      <c r="J2205" t="s">
        <v>45</v>
      </c>
      <c r="K2205">
        <v>6896</v>
      </c>
      <c r="L2205">
        <v>41</v>
      </c>
      <c r="M2205">
        <v>33.83</v>
      </c>
      <c r="N2205">
        <v>0</v>
      </c>
      <c r="O2205">
        <v>0</v>
      </c>
      <c r="P2205">
        <f t="shared" si="136"/>
        <v>5.9454756380510438E-3</v>
      </c>
      <c r="Q2205">
        <f t="shared" si="136"/>
        <v>0.82512195121951215</v>
      </c>
      <c r="R2205">
        <f t="shared" si="137"/>
        <v>0</v>
      </c>
      <c r="S2205">
        <f t="shared" si="138"/>
        <v>0</v>
      </c>
      <c r="T2205">
        <f t="shared" si="139"/>
        <v>0</v>
      </c>
      <c r="U2205" t="str">
        <f>YEAR('Campaign Data'!$A2205)&amp;"-"&amp;TEXT(MONTH('Campaign Data'!$A2205),"00")</f>
        <v>2026-04</v>
      </c>
    </row>
    <row r="2206" spans="1:21" x14ac:dyDescent="0.25">
      <c r="A2206">
        <v>46142</v>
      </c>
      <c r="B2206" t="s">
        <v>103</v>
      </c>
      <c r="C2206" t="s">
        <v>104</v>
      </c>
      <c r="D2206" t="s">
        <v>65</v>
      </c>
      <c r="E2206" t="s">
        <v>33</v>
      </c>
      <c r="F2206" t="s">
        <v>43</v>
      </c>
      <c r="G2206" t="s">
        <v>102</v>
      </c>
      <c r="H2206" t="s">
        <v>51</v>
      </c>
      <c r="I2206" t="s">
        <v>61</v>
      </c>
      <c r="J2206" t="s">
        <v>38</v>
      </c>
      <c r="K2206">
        <v>11702</v>
      </c>
      <c r="L2206">
        <v>107</v>
      </c>
      <c r="M2206">
        <v>57.8</v>
      </c>
      <c r="N2206">
        <v>1</v>
      </c>
      <c r="O2206">
        <v>13.86</v>
      </c>
      <c r="P2206">
        <f t="shared" si="136"/>
        <v>9.1437361134848738E-3</v>
      </c>
      <c r="Q2206">
        <f t="shared" si="136"/>
        <v>0.54018691588785039</v>
      </c>
      <c r="R2206">
        <f t="shared" si="137"/>
        <v>57.8</v>
      </c>
      <c r="S2206">
        <f t="shared" si="138"/>
        <v>0.23979238754325261</v>
      </c>
      <c r="T2206">
        <f t="shared" si="139"/>
        <v>9.3457943925233638E-3</v>
      </c>
      <c r="U2206" t="str">
        <f>YEAR('Campaign Data'!$A2206)&amp;"-"&amp;TEXT(MONTH('Campaign Data'!$A2206),"00")</f>
        <v>2026-04</v>
      </c>
    </row>
    <row r="2207" spans="1:21" x14ac:dyDescent="0.25">
      <c r="A2207">
        <v>46142</v>
      </c>
      <c r="B2207" t="s">
        <v>103</v>
      </c>
      <c r="C2207" t="s">
        <v>104</v>
      </c>
      <c r="D2207" t="s">
        <v>65</v>
      </c>
      <c r="E2207" t="s">
        <v>33</v>
      </c>
      <c r="F2207" t="s">
        <v>43</v>
      </c>
      <c r="G2207" t="s">
        <v>102</v>
      </c>
      <c r="H2207" t="s">
        <v>36</v>
      </c>
      <c r="I2207" t="s">
        <v>37</v>
      </c>
      <c r="J2207" t="s">
        <v>87</v>
      </c>
      <c r="K2207">
        <v>2100</v>
      </c>
      <c r="L2207">
        <v>44</v>
      </c>
      <c r="M2207">
        <v>17.45</v>
      </c>
      <c r="N2207">
        <v>1</v>
      </c>
      <c r="O2207">
        <v>22.03</v>
      </c>
      <c r="P2207">
        <f t="shared" si="136"/>
        <v>2.0952380952380951E-2</v>
      </c>
      <c r="Q2207">
        <f t="shared" si="136"/>
        <v>0.39659090909090905</v>
      </c>
      <c r="R2207">
        <f t="shared" si="137"/>
        <v>17.45</v>
      </c>
      <c r="S2207">
        <f t="shared" si="138"/>
        <v>1.262464183381089</v>
      </c>
      <c r="T2207">
        <f t="shared" si="139"/>
        <v>2.2727272727272728E-2</v>
      </c>
      <c r="U2207" t="str">
        <f>YEAR('Campaign Data'!$A2207)&amp;"-"&amp;TEXT(MONTH('Campaign Data'!$A2207),"00")</f>
        <v>2026-04</v>
      </c>
    </row>
    <row r="2208" spans="1:21" x14ac:dyDescent="0.25">
      <c r="A2208">
        <v>46142</v>
      </c>
      <c r="B2208" t="s">
        <v>132</v>
      </c>
      <c r="C2208" t="s">
        <v>133</v>
      </c>
      <c r="D2208" t="s">
        <v>23</v>
      </c>
      <c r="E2208" t="s">
        <v>42</v>
      </c>
      <c r="F2208" t="s">
        <v>75</v>
      </c>
      <c r="G2208" t="s">
        <v>84</v>
      </c>
      <c r="H2208" t="s">
        <v>90</v>
      </c>
      <c r="I2208" t="s">
        <v>37</v>
      </c>
      <c r="J2208" t="s">
        <v>29</v>
      </c>
      <c r="K2208">
        <v>3054</v>
      </c>
      <c r="L2208">
        <v>18</v>
      </c>
      <c r="M2208">
        <v>29.79</v>
      </c>
      <c r="N2208">
        <v>0</v>
      </c>
      <c r="O2208">
        <v>0</v>
      </c>
      <c r="P2208">
        <f t="shared" si="136"/>
        <v>5.893909626719057E-3</v>
      </c>
      <c r="Q2208">
        <f t="shared" si="136"/>
        <v>1.655</v>
      </c>
      <c r="R2208">
        <f t="shared" si="137"/>
        <v>0</v>
      </c>
      <c r="S2208">
        <f t="shared" si="138"/>
        <v>0</v>
      </c>
      <c r="T2208">
        <f t="shared" si="139"/>
        <v>0</v>
      </c>
      <c r="U2208" t="str">
        <f>YEAR('Campaign Data'!$A2208)&amp;"-"&amp;TEXT(MONTH('Campaign Data'!$A2208),"00")</f>
        <v>2026-04</v>
      </c>
    </row>
    <row r="2209" spans="1:21" x14ac:dyDescent="0.25">
      <c r="A2209">
        <v>46142</v>
      </c>
      <c r="B2209" t="s">
        <v>179</v>
      </c>
      <c r="C2209" t="s">
        <v>180</v>
      </c>
      <c r="D2209" t="s">
        <v>58</v>
      </c>
      <c r="E2209" t="s">
        <v>42</v>
      </c>
      <c r="F2209" t="s">
        <v>25</v>
      </c>
      <c r="G2209" t="s">
        <v>54</v>
      </c>
      <c r="H2209" t="s">
        <v>27</v>
      </c>
      <c r="I2209" t="s">
        <v>28</v>
      </c>
      <c r="J2209" t="s">
        <v>38</v>
      </c>
      <c r="K2209">
        <v>13103</v>
      </c>
      <c r="L2209">
        <v>76</v>
      </c>
      <c r="M2209">
        <v>683.91</v>
      </c>
      <c r="N2209">
        <v>4</v>
      </c>
      <c r="O2209">
        <v>748.99</v>
      </c>
      <c r="P2209">
        <f t="shared" si="136"/>
        <v>5.8001984278409522E-3</v>
      </c>
      <c r="Q2209">
        <f t="shared" si="136"/>
        <v>8.9988157894736833</v>
      </c>
      <c r="R2209">
        <f t="shared" si="137"/>
        <v>170.97749999999999</v>
      </c>
      <c r="S2209">
        <f t="shared" si="138"/>
        <v>1.0951587197145825</v>
      </c>
      <c r="T2209">
        <f t="shared" si="139"/>
        <v>5.2631578947368418E-2</v>
      </c>
      <c r="U2209" t="str">
        <f>YEAR('Campaign Data'!$A2209)&amp;"-"&amp;TEXT(MONTH('Campaign Data'!$A2209),"00")</f>
        <v>2026-04</v>
      </c>
    </row>
    <row r="2210" spans="1:21" x14ac:dyDescent="0.25">
      <c r="A2210">
        <v>46142</v>
      </c>
      <c r="B2210" t="s">
        <v>110</v>
      </c>
      <c r="C2210" t="s">
        <v>111</v>
      </c>
      <c r="D2210" t="s">
        <v>23</v>
      </c>
      <c r="E2210" t="s">
        <v>49</v>
      </c>
      <c r="F2210" t="s">
        <v>34</v>
      </c>
      <c r="G2210" t="s">
        <v>50</v>
      </c>
      <c r="H2210" t="s">
        <v>55</v>
      </c>
      <c r="I2210" t="s">
        <v>28</v>
      </c>
      <c r="J2210" t="s">
        <v>29</v>
      </c>
      <c r="K2210">
        <v>14985</v>
      </c>
      <c r="L2210">
        <v>565</v>
      </c>
      <c r="M2210">
        <v>883.65</v>
      </c>
      <c r="N2210">
        <v>35</v>
      </c>
      <c r="O2210">
        <v>4978.37</v>
      </c>
      <c r="P2210">
        <f t="shared" si="136"/>
        <v>3.7704371037704368E-2</v>
      </c>
      <c r="Q2210">
        <f t="shared" si="136"/>
        <v>1.5639823008849558</v>
      </c>
      <c r="R2210">
        <f t="shared" si="137"/>
        <v>25.247142857142858</v>
      </c>
      <c r="S2210">
        <f t="shared" si="138"/>
        <v>5.6338708764782437</v>
      </c>
      <c r="T2210">
        <f t="shared" si="139"/>
        <v>6.1946902654867256E-2</v>
      </c>
      <c r="U2210" t="str">
        <f>YEAR('Campaign Data'!$A2210)&amp;"-"&amp;TEXT(MONTH('Campaign Data'!$A2210),"00")</f>
        <v>2026-04</v>
      </c>
    </row>
    <row r="2211" spans="1:21" x14ac:dyDescent="0.25">
      <c r="A2211">
        <v>46142</v>
      </c>
      <c r="B2211" t="s">
        <v>110</v>
      </c>
      <c r="C2211" t="s">
        <v>111</v>
      </c>
      <c r="D2211" t="s">
        <v>23</v>
      </c>
      <c r="E2211" t="s">
        <v>49</v>
      </c>
      <c r="F2211" t="s">
        <v>34</v>
      </c>
      <c r="G2211" t="s">
        <v>50</v>
      </c>
      <c r="H2211" t="s">
        <v>27</v>
      </c>
      <c r="I2211" t="s">
        <v>37</v>
      </c>
      <c r="J2211" t="s">
        <v>62</v>
      </c>
      <c r="K2211">
        <v>18140</v>
      </c>
      <c r="L2211">
        <v>974</v>
      </c>
      <c r="M2211">
        <v>2371.7600000000002</v>
      </c>
      <c r="N2211">
        <v>69</v>
      </c>
      <c r="O2211">
        <v>15670.3</v>
      </c>
      <c r="P2211">
        <f t="shared" si="136"/>
        <v>5.3693495038588751E-2</v>
      </c>
      <c r="Q2211">
        <f t="shared" si="136"/>
        <v>2.4350718685831625</v>
      </c>
      <c r="R2211">
        <f t="shared" si="137"/>
        <v>34.373333333333335</v>
      </c>
      <c r="S2211">
        <f t="shared" si="138"/>
        <v>6.607034438560393</v>
      </c>
      <c r="T2211">
        <f t="shared" si="139"/>
        <v>7.0841889117043116E-2</v>
      </c>
      <c r="U2211" t="str">
        <f>YEAR('Campaign Data'!$A2211)&amp;"-"&amp;TEXT(MONTH('Campaign Data'!$A2211),"00")</f>
        <v>2026-04</v>
      </c>
    </row>
    <row r="2212" spans="1:21" x14ac:dyDescent="0.25">
      <c r="A2212">
        <v>46142</v>
      </c>
      <c r="B2212" t="s">
        <v>157</v>
      </c>
      <c r="C2212" t="s">
        <v>158</v>
      </c>
      <c r="D2212" t="s">
        <v>58</v>
      </c>
      <c r="E2212" t="s">
        <v>49</v>
      </c>
      <c r="F2212" t="s">
        <v>81</v>
      </c>
      <c r="G2212" t="s">
        <v>50</v>
      </c>
      <c r="H2212" t="s">
        <v>71</v>
      </c>
      <c r="I2212" t="s">
        <v>28</v>
      </c>
      <c r="J2212" t="s">
        <v>62</v>
      </c>
      <c r="K2212">
        <v>5447</v>
      </c>
      <c r="L2212">
        <v>304</v>
      </c>
      <c r="M2212">
        <v>560.27</v>
      </c>
      <c r="N2212">
        <v>22</v>
      </c>
      <c r="O2212">
        <v>379.64</v>
      </c>
      <c r="P2212">
        <f t="shared" si="136"/>
        <v>5.5810537910776573E-2</v>
      </c>
      <c r="Q2212">
        <f t="shared" si="136"/>
        <v>1.8429934210526315</v>
      </c>
      <c r="R2212">
        <f t="shared" si="137"/>
        <v>25.46681818181818</v>
      </c>
      <c r="S2212">
        <f t="shared" si="138"/>
        <v>0.67760187052671028</v>
      </c>
      <c r="T2212">
        <f t="shared" si="139"/>
        <v>7.2368421052631582E-2</v>
      </c>
      <c r="U2212" t="str">
        <f>YEAR('Campaign Data'!$A2212)&amp;"-"&amp;TEXT(MONTH('Campaign Data'!$A2212),"00")</f>
        <v>2026-04</v>
      </c>
    </row>
    <row r="2213" spans="1:21" x14ac:dyDescent="0.25">
      <c r="A2213">
        <v>46142</v>
      </c>
      <c r="B2213" t="s">
        <v>72</v>
      </c>
      <c r="C2213" t="s">
        <v>73</v>
      </c>
      <c r="D2213" t="s">
        <v>69</v>
      </c>
      <c r="E2213" t="s">
        <v>74</v>
      </c>
      <c r="F2213" t="s">
        <v>75</v>
      </c>
      <c r="G2213" t="s">
        <v>9</v>
      </c>
      <c r="H2213" t="s">
        <v>71</v>
      </c>
      <c r="I2213" t="s">
        <v>37</v>
      </c>
      <c r="J2213" t="s">
        <v>62</v>
      </c>
      <c r="K2213">
        <v>6105</v>
      </c>
      <c r="L2213">
        <v>237</v>
      </c>
      <c r="M2213">
        <v>261.58999999999997</v>
      </c>
      <c r="N2213">
        <v>10</v>
      </c>
      <c r="O2213">
        <v>264.5</v>
      </c>
      <c r="P2213">
        <f t="shared" si="136"/>
        <v>3.8820638820638818E-2</v>
      </c>
      <c r="Q2213">
        <f t="shared" si="136"/>
        <v>1.1037552742616032</v>
      </c>
      <c r="R2213">
        <f t="shared" si="137"/>
        <v>26.158999999999999</v>
      </c>
      <c r="S2213">
        <f t="shared" si="138"/>
        <v>1.0111242784510113</v>
      </c>
      <c r="T2213">
        <f t="shared" si="139"/>
        <v>4.2194092827004218E-2</v>
      </c>
      <c r="U2213" t="str">
        <f>YEAR('Campaign Data'!$A2213)&amp;"-"&amp;TEXT(MONTH('Campaign Data'!$A2213),"00")</f>
        <v>2026-04</v>
      </c>
    </row>
    <row r="2214" spans="1:21" x14ac:dyDescent="0.25">
      <c r="A2214">
        <v>46143</v>
      </c>
      <c r="B2214" t="s">
        <v>173</v>
      </c>
      <c r="C2214" t="s">
        <v>174</v>
      </c>
      <c r="D2214" t="s">
        <v>48</v>
      </c>
      <c r="E2214" t="s">
        <v>74</v>
      </c>
      <c r="F2214" t="s">
        <v>25</v>
      </c>
      <c r="G2214" t="s">
        <v>9</v>
      </c>
      <c r="H2214" t="s">
        <v>55</v>
      </c>
      <c r="I2214" t="s">
        <v>28</v>
      </c>
      <c r="J2214" t="s">
        <v>45</v>
      </c>
      <c r="K2214">
        <v>11170</v>
      </c>
      <c r="L2214">
        <v>275</v>
      </c>
      <c r="M2214">
        <v>393.1</v>
      </c>
      <c r="N2214">
        <v>11</v>
      </c>
      <c r="O2214">
        <v>1722.65</v>
      </c>
      <c r="P2214">
        <f t="shared" si="136"/>
        <v>2.4619516562220233E-2</v>
      </c>
      <c r="Q2214">
        <f t="shared" si="136"/>
        <v>1.4294545454545455</v>
      </c>
      <c r="R2214">
        <f t="shared" si="137"/>
        <v>35.736363636363642</v>
      </c>
      <c r="S2214">
        <f t="shared" si="138"/>
        <v>4.3822182650725008</v>
      </c>
      <c r="T2214">
        <f t="shared" si="139"/>
        <v>0.04</v>
      </c>
      <c r="U2214" t="str">
        <f>YEAR('Campaign Data'!$A2214)&amp;"-"&amp;TEXT(MONTH('Campaign Data'!$A2214),"00")</f>
        <v>2026-05</v>
      </c>
    </row>
    <row r="2215" spans="1:21" x14ac:dyDescent="0.25">
      <c r="A2215">
        <v>46143</v>
      </c>
      <c r="B2215" t="s">
        <v>85</v>
      </c>
      <c r="C2215" t="s">
        <v>86</v>
      </c>
      <c r="D2215" t="s">
        <v>80</v>
      </c>
      <c r="E2215" t="s">
        <v>33</v>
      </c>
      <c r="F2215" t="s">
        <v>43</v>
      </c>
      <c r="G2215" t="s">
        <v>35</v>
      </c>
      <c r="H2215" t="s">
        <v>27</v>
      </c>
      <c r="I2215" t="s">
        <v>28</v>
      </c>
      <c r="J2215" t="s">
        <v>87</v>
      </c>
      <c r="K2215">
        <v>8139</v>
      </c>
      <c r="L2215">
        <v>67</v>
      </c>
      <c r="M2215">
        <v>38.840000000000003</v>
      </c>
      <c r="N2215">
        <v>0</v>
      </c>
      <c r="O2215">
        <v>0</v>
      </c>
      <c r="P2215">
        <f t="shared" si="136"/>
        <v>8.2319695294262186E-3</v>
      </c>
      <c r="Q2215">
        <f t="shared" si="136"/>
        <v>0.57970149253731351</v>
      </c>
      <c r="R2215">
        <f t="shared" si="137"/>
        <v>0</v>
      </c>
      <c r="S2215">
        <f t="shared" si="138"/>
        <v>0</v>
      </c>
      <c r="T2215">
        <f t="shared" si="139"/>
        <v>0</v>
      </c>
      <c r="U2215" t="str">
        <f>YEAR('Campaign Data'!$A2215)&amp;"-"&amp;TEXT(MONTH('Campaign Data'!$A2215),"00")</f>
        <v>2026-05</v>
      </c>
    </row>
    <row r="2216" spans="1:21" x14ac:dyDescent="0.25">
      <c r="A2216">
        <v>46143</v>
      </c>
      <c r="B2216" t="s">
        <v>91</v>
      </c>
      <c r="C2216" t="s">
        <v>92</v>
      </c>
      <c r="D2216" t="s">
        <v>41</v>
      </c>
      <c r="E2216" t="s">
        <v>74</v>
      </c>
      <c r="F2216" t="s">
        <v>75</v>
      </c>
      <c r="G2216" t="s">
        <v>9</v>
      </c>
      <c r="H2216" t="s">
        <v>27</v>
      </c>
      <c r="I2216" t="s">
        <v>37</v>
      </c>
      <c r="J2216" t="s">
        <v>38</v>
      </c>
      <c r="K2216">
        <v>10635</v>
      </c>
      <c r="L2216">
        <v>454</v>
      </c>
      <c r="M2216">
        <v>519.63</v>
      </c>
      <c r="N2216">
        <v>24</v>
      </c>
      <c r="O2216">
        <v>882.56</v>
      </c>
      <c r="P2216">
        <f t="shared" si="136"/>
        <v>4.2689233662435357E-2</v>
      </c>
      <c r="Q2216">
        <f t="shared" si="136"/>
        <v>1.1445594713656388</v>
      </c>
      <c r="R2216">
        <f t="shared" si="137"/>
        <v>21.651250000000001</v>
      </c>
      <c r="S2216">
        <f t="shared" si="138"/>
        <v>1.6984392740988778</v>
      </c>
      <c r="T2216">
        <f t="shared" si="139"/>
        <v>5.2863436123348019E-2</v>
      </c>
      <c r="U2216" t="str">
        <f>YEAR('Campaign Data'!$A2216)&amp;"-"&amp;TEXT(MONTH('Campaign Data'!$A2216),"00")</f>
        <v>2026-05</v>
      </c>
    </row>
    <row r="2217" spans="1:21" x14ac:dyDescent="0.25">
      <c r="A2217">
        <v>46143</v>
      </c>
      <c r="B2217" t="s">
        <v>186</v>
      </c>
      <c r="C2217" t="s">
        <v>187</v>
      </c>
      <c r="D2217" t="s">
        <v>80</v>
      </c>
      <c r="E2217" t="s">
        <v>33</v>
      </c>
      <c r="F2217" t="s">
        <v>43</v>
      </c>
      <c r="G2217" t="s">
        <v>102</v>
      </c>
      <c r="H2217" t="s">
        <v>27</v>
      </c>
      <c r="I2217" t="s">
        <v>37</v>
      </c>
      <c r="J2217" t="s">
        <v>62</v>
      </c>
      <c r="K2217">
        <v>3115</v>
      </c>
      <c r="L2217">
        <v>32</v>
      </c>
      <c r="M2217">
        <v>25.37</v>
      </c>
      <c r="N2217">
        <v>0</v>
      </c>
      <c r="O2217">
        <v>0</v>
      </c>
      <c r="P2217">
        <f t="shared" si="136"/>
        <v>1.0272873194221509E-2</v>
      </c>
      <c r="Q2217">
        <f t="shared" si="136"/>
        <v>0.79281250000000003</v>
      </c>
      <c r="R2217">
        <f t="shared" si="137"/>
        <v>0</v>
      </c>
      <c r="S2217">
        <f t="shared" si="138"/>
        <v>0</v>
      </c>
      <c r="T2217">
        <f t="shared" si="139"/>
        <v>0</v>
      </c>
      <c r="U2217" t="str">
        <f>YEAR('Campaign Data'!$A2217)&amp;"-"&amp;TEXT(MONTH('Campaign Data'!$A2217),"00")</f>
        <v>2026-05</v>
      </c>
    </row>
    <row r="2218" spans="1:21" x14ac:dyDescent="0.25">
      <c r="A2218">
        <v>46143</v>
      </c>
      <c r="B2218" t="s">
        <v>151</v>
      </c>
      <c r="C2218" t="s">
        <v>152</v>
      </c>
      <c r="D2218" t="s">
        <v>48</v>
      </c>
      <c r="E2218" t="s">
        <v>24</v>
      </c>
      <c r="F2218" t="s">
        <v>81</v>
      </c>
      <c r="G2218" t="s">
        <v>129</v>
      </c>
      <c r="H2218" t="s">
        <v>71</v>
      </c>
      <c r="I2218" t="s">
        <v>37</v>
      </c>
      <c r="J2218" t="s">
        <v>38</v>
      </c>
      <c r="K2218">
        <v>10453</v>
      </c>
      <c r="L2218">
        <v>181</v>
      </c>
      <c r="M2218">
        <v>174</v>
      </c>
      <c r="N2218">
        <v>5</v>
      </c>
      <c r="O2218">
        <v>79.95</v>
      </c>
      <c r="P2218">
        <f t="shared" si="136"/>
        <v>1.7315603176121689E-2</v>
      </c>
      <c r="Q2218">
        <f t="shared" si="136"/>
        <v>0.96132596685082872</v>
      </c>
      <c r="R2218">
        <f t="shared" si="137"/>
        <v>34.799999999999997</v>
      </c>
      <c r="S2218">
        <f t="shared" si="138"/>
        <v>0.45948275862068966</v>
      </c>
      <c r="T2218">
        <f t="shared" si="139"/>
        <v>2.7624309392265192E-2</v>
      </c>
      <c r="U2218" t="str">
        <f>YEAR('Campaign Data'!$A2218)&amp;"-"&amp;TEXT(MONTH('Campaign Data'!$A2218),"00")</f>
        <v>2026-05</v>
      </c>
    </row>
    <row r="2219" spans="1:21" x14ac:dyDescent="0.25">
      <c r="A2219">
        <v>46143</v>
      </c>
      <c r="B2219" t="s">
        <v>52</v>
      </c>
      <c r="C2219" t="s">
        <v>53</v>
      </c>
      <c r="D2219" t="s">
        <v>32</v>
      </c>
      <c r="E2219" t="s">
        <v>42</v>
      </c>
      <c r="F2219" t="s">
        <v>25</v>
      </c>
      <c r="G2219" t="s">
        <v>54</v>
      </c>
      <c r="H2219" t="s">
        <v>90</v>
      </c>
      <c r="I2219" t="s">
        <v>28</v>
      </c>
      <c r="J2219" t="s">
        <v>45</v>
      </c>
      <c r="K2219">
        <v>8278</v>
      </c>
      <c r="L2219">
        <v>85</v>
      </c>
      <c r="M2219">
        <v>202.67</v>
      </c>
      <c r="N2219">
        <v>1</v>
      </c>
      <c r="O2219">
        <v>28.48</v>
      </c>
      <c r="P2219">
        <f t="shared" si="136"/>
        <v>1.0268180719980672E-2</v>
      </c>
      <c r="Q2219">
        <f t="shared" si="136"/>
        <v>2.3843529411764703</v>
      </c>
      <c r="R2219">
        <f t="shared" si="137"/>
        <v>202.67</v>
      </c>
      <c r="S2219">
        <f t="shared" si="138"/>
        <v>0.14052400453939903</v>
      </c>
      <c r="T2219">
        <f t="shared" si="139"/>
        <v>1.1764705882352941E-2</v>
      </c>
      <c r="U2219" t="str">
        <f>YEAR('Campaign Data'!$A2219)&amp;"-"&amp;TEXT(MONTH('Campaign Data'!$A2219),"00")</f>
        <v>2026-05</v>
      </c>
    </row>
    <row r="2220" spans="1:21" x14ac:dyDescent="0.25">
      <c r="A2220">
        <v>46143</v>
      </c>
      <c r="B2220" t="s">
        <v>52</v>
      </c>
      <c r="C2220" t="s">
        <v>53</v>
      </c>
      <c r="D2220" t="s">
        <v>32</v>
      </c>
      <c r="E2220" t="s">
        <v>42</v>
      </c>
      <c r="F2220" t="s">
        <v>25</v>
      </c>
      <c r="G2220" t="s">
        <v>54</v>
      </c>
      <c r="H2220" t="s">
        <v>27</v>
      </c>
      <c r="I2220" t="s">
        <v>37</v>
      </c>
      <c r="J2220" t="s">
        <v>62</v>
      </c>
      <c r="K2220">
        <v>20535</v>
      </c>
      <c r="L2220">
        <v>151</v>
      </c>
      <c r="M2220">
        <v>522.6</v>
      </c>
      <c r="N2220">
        <v>7</v>
      </c>
      <c r="O2220">
        <v>1387.69</v>
      </c>
      <c r="P2220">
        <f t="shared" si="136"/>
        <v>7.3532992451911371E-3</v>
      </c>
      <c r="Q2220">
        <f t="shared" si="136"/>
        <v>3.4609271523178808</v>
      </c>
      <c r="R2220">
        <f t="shared" si="137"/>
        <v>74.657142857142858</v>
      </c>
      <c r="S2220">
        <f t="shared" si="138"/>
        <v>2.6553578262533488</v>
      </c>
      <c r="T2220">
        <f t="shared" si="139"/>
        <v>4.6357615894039736E-2</v>
      </c>
      <c r="U2220" t="str">
        <f>YEAR('Campaign Data'!$A2220)&amp;"-"&amp;TEXT(MONTH('Campaign Data'!$A2220),"00")</f>
        <v>2026-05</v>
      </c>
    </row>
    <row r="2221" spans="1:21" x14ac:dyDescent="0.25">
      <c r="A2221">
        <v>46143</v>
      </c>
      <c r="B2221" t="s">
        <v>52</v>
      </c>
      <c r="C2221" t="s">
        <v>53</v>
      </c>
      <c r="D2221" t="s">
        <v>32</v>
      </c>
      <c r="E2221" t="s">
        <v>42</v>
      </c>
      <c r="F2221" t="s">
        <v>25</v>
      </c>
      <c r="G2221" t="s">
        <v>54</v>
      </c>
      <c r="H2221" t="s">
        <v>71</v>
      </c>
      <c r="I2221" t="s">
        <v>37</v>
      </c>
      <c r="J2221" t="s">
        <v>87</v>
      </c>
      <c r="K2221">
        <v>9073</v>
      </c>
      <c r="L2221">
        <v>75</v>
      </c>
      <c r="M2221">
        <v>345.18</v>
      </c>
      <c r="N2221">
        <v>4</v>
      </c>
      <c r="O2221">
        <v>283.92</v>
      </c>
      <c r="P2221">
        <f t="shared" si="136"/>
        <v>8.266284580623829E-3</v>
      </c>
      <c r="Q2221">
        <f t="shared" si="136"/>
        <v>4.6024000000000003</v>
      </c>
      <c r="R2221">
        <f t="shared" si="137"/>
        <v>86.295000000000002</v>
      </c>
      <c r="S2221">
        <f t="shared" si="138"/>
        <v>0.8225273770206849</v>
      </c>
      <c r="T2221">
        <f t="shared" si="139"/>
        <v>5.3333333333333337E-2</v>
      </c>
      <c r="U2221" t="str">
        <f>YEAR('Campaign Data'!$A2221)&amp;"-"&amp;TEXT(MONTH('Campaign Data'!$A2221),"00")</f>
        <v>2026-05</v>
      </c>
    </row>
    <row r="2222" spans="1:21" x14ac:dyDescent="0.25">
      <c r="A2222">
        <v>46143</v>
      </c>
      <c r="B2222" t="s">
        <v>100</v>
      </c>
      <c r="C2222" t="s">
        <v>101</v>
      </c>
      <c r="D2222" t="s">
        <v>80</v>
      </c>
      <c r="E2222" t="s">
        <v>33</v>
      </c>
      <c r="F2222" t="s">
        <v>25</v>
      </c>
      <c r="G2222" t="s">
        <v>102</v>
      </c>
      <c r="H2222" t="s">
        <v>90</v>
      </c>
      <c r="I2222" t="s">
        <v>28</v>
      </c>
      <c r="J2222" t="s">
        <v>38</v>
      </c>
      <c r="K2222">
        <v>8459</v>
      </c>
      <c r="L2222">
        <v>74</v>
      </c>
      <c r="M2222">
        <v>11.24</v>
      </c>
      <c r="N2222">
        <v>1</v>
      </c>
      <c r="O2222">
        <v>21.58</v>
      </c>
      <c r="P2222">
        <f t="shared" si="136"/>
        <v>8.7480789691452895E-3</v>
      </c>
      <c r="Q2222">
        <f t="shared" si="136"/>
        <v>0.15189189189189189</v>
      </c>
      <c r="R2222">
        <f t="shared" si="137"/>
        <v>11.24</v>
      </c>
      <c r="S2222">
        <f t="shared" si="138"/>
        <v>1.9199288256227756</v>
      </c>
      <c r="T2222">
        <f t="shared" si="139"/>
        <v>1.3513513513513514E-2</v>
      </c>
      <c r="U2222" t="str">
        <f>YEAR('Campaign Data'!$A2222)&amp;"-"&amp;TEXT(MONTH('Campaign Data'!$A2222),"00")</f>
        <v>2026-05</v>
      </c>
    </row>
    <row r="2223" spans="1:21" x14ac:dyDescent="0.25">
      <c r="A2223">
        <v>46143</v>
      </c>
      <c r="B2223" t="s">
        <v>169</v>
      </c>
      <c r="C2223" t="s">
        <v>170</v>
      </c>
      <c r="D2223" t="s">
        <v>58</v>
      </c>
      <c r="E2223" t="s">
        <v>74</v>
      </c>
      <c r="F2223" t="s">
        <v>75</v>
      </c>
      <c r="G2223" t="s">
        <v>9</v>
      </c>
      <c r="H2223" t="s">
        <v>51</v>
      </c>
      <c r="I2223" t="s">
        <v>37</v>
      </c>
      <c r="J2223" t="s">
        <v>87</v>
      </c>
      <c r="K2223">
        <v>10496</v>
      </c>
      <c r="L2223">
        <v>331</v>
      </c>
      <c r="M2223">
        <v>485</v>
      </c>
      <c r="N2223">
        <v>29</v>
      </c>
      <c r="O2223">
        <v>1360.93</v>
      </c>
      <c r="P2223">
        <f t="shared" si="136"/>
        <v>3.1535823170731704E-2</v>
      </c>
      <c r="Q2223">
        <f t="shared" si="136"/>
        <v>1.4652567975830815</v>
      </c>
      <c r="R2223">
        <f t="shared" si="137"/>
        <v>16.724137931034484</v>
      </c>
      <c r="S2223">
        <f t="shared" si="138"/>
        <v>2.8060412371134023</v>
      </c>
      <c r="T2223">
        <f t="shared" si="139"/>
        <v>8.7613293051359523E-2</v>
      </c>
      <c r="U2223" t="str">
        <f>YEAR('Campaign Data'!$A2223)&amp;"-"&amp;TEXT(MONTH('Campaign Data'!$A2223),"00")</f>
        <v>2026-05</v>
      </c>
    </row>
    <row r="2224" spans="1:21" x14ac:dyDescent="0.25">
      <c r="A2224">
        <v>46143</v>
      </c>
      <c r="B2224" t="s">
        <v>130</v>
      </c>
      <c r="C2224" t="s">
        <v>131</v>
      </c>
      <c r="D2224" t="s">
        <v>48</v>
      </c>
      <c r="E2224" t="s">
        <v>33</v>
      </c>
      <c r="F2224" t="s">
        <v>34</v>
      </c>
      <c r="G2224" t="s">
        <v>35</v>
      </c>
      <c r="H2224" t="s">
        <v>51</v>
      </c>
      <c r="I2224" t="s">
        <v>37</v>
      </c>
      <c r="J2224" t="s">
        <v>87</v>
      </c>
      <c r="K2224">
        <v>22311</v>
      </c>
      <c r="L2224">
        <v>165</v>
      </c>
      <c r="M2224">
        <v>85.07</v>
      </c>
      <c r="N2224">
        <v>0</v>
      </c>
      <c r="O2224">
        <v>0</v>
      </c>
      <c r="P2224">
        <f t="shared" si="136"/>
        <v>7.3954551566491862E-3</v>
      </c>
      <c r="Q2224">
        <f t="shared" si="136"/>
        <v>0.51557575757575758</v>
      </c>
      <c r="R2224">
        <f t="shared" si="137"/>
        <v>0</v>
      </c>
      <c r="S2224">
        <f t="shared" si="138"/>
        <v>0</v>
      </c>
      <c r="T2224">
        <f t="shared" si="139"/>
        <v>0</v>
      </c>
      <c r="U2224" t="str">
        <f>YEAR('Campaign Data'!$A2224)&amp;"-"&amp;TEXT(MONTH('Campaign Data'!$A2224),"00")</f>
        <v>2026-05</v>
      </c>
    </row>
    <row r="2225" spans="1:21" x14ac:dyDescent="0.25">
      <c r="A2225">
        <v>46143</v>
      </c>
      <c r="B2225" t="s">
        <v>130</v>
      </c>
      <c r="C2225" t="s">
        <v>131</v>
      </c>
      <c r="D2225" t="s">
        <v>48</v>
      </c>
      <c r="E2225" t="s">
        <v>33</v>
      </c>
      <c r="F2225" t="s">
        <v>34</v>
      </c>
      <c r="G2225" t="s">
        <v>35</v>
      </c>
      <c r="H2225" t="s">
        <v>71</v>
      </c>
      <c r="I2225" t="s">
        <v>28</v>
      </c>
      <c r="J2225" t="s">
        <v>62</v>
      </c>
      <c r="K2225">
        <v>6207</v>
      </c>
      <c r="L2225">
        <v>31</v>
      </c>
      <c r="M2225">
        <v>17.77</v>
      </c>
      <c r="N2225">
        <v>0</v>
      </c>
      <c r="O2225">
        <v>0</v>
      </c>
      <c r="P2225">
        <f t="shared" si="136"/>
        <v>4.9943612050910259E-3</v>
      </c>
      <c r="Q2225">
        <f t="shared" si="136"/>
        <v>0.57322580645161292</v>
      </c>
      <c r="R2225">
        <f t="shared" si="137"/>
        <v>0</v>
      </c>
      <c r="S2225">
        <f t="shared" si="138"/>
        <v>0</v>
      </c>
      <c r="T2225">
        <f t="shared" si="139"/>
        <v>0</v>
      </c>
      <c r="U2225" t="str">
        <f>YEAR('Campaign Data'!$A2225)&amp;"-"&amp;TEXT(MONTH('Campaign Data'!$A2225),"00")</f>
        <v>2026-05</v>
      </c>
    </row>
    <row r="2226" spans="1:21" x14ac:dyDescent="0.25">
      <c r="A2226">
        <v>46143</v>
      </c>
      <c r="B2226" t="s">
        <v>177</v>
      </c>
      <c r="C2226" t="s">
        <v>178</v>
      </c>
      <c r="D2226" t="s">
        <v>41</v>
      </c>
      <c r="E2226" t="s">
        <v>49</v>
      </c>
      <c r="F2226" t="s">
        <v>34</v>
      </c>
      <c r="G2226" t="s">
        <v>107</v>
      </c>
      <c r="H2226" t="s">
        <v>90</v>
      </c>
      <c r="I2226" t="s">
        <v>37</v>
      </c>
      <c r="J2226" t="s">
        <v>45</v>
      </c>
      <c r="K2226">
        <v>11551</v>
      </c>
      <c r="L2226">
        <v>675</v>
      </c>
      <c r="M2226">
        <v>404.82</v>
      </c>
      <c r="N2226">
        <v>75</v>
      </c>
      <c r="O2226">
        <v>2219.2399999999998</v>
      </c>
      <c r="P2226">
        <f t="shared" si="136"/>
        <v>5.84364990044152E-2</v>
      </c>
      <c r="Q2226">
        <f t="shared" si="136"/>
        <v>0.59973333333333334</v>
      </c>
      <c r="R2226">
        <f t="shared" si="137"/>
        <v>5.3975999999999997</v>
      </c>
      <c r="S2226">
        <f t="shared" si="138"/>
        <v>5.482041401116545</v>
      </c>
      <c r="T2226">
        <f t="shared" si="139"/>
        <v>0.1111111111111111</v>
      </c>
      <c r="U2226" t="str">
        <f>YEAR('Campaign Data'!$A2226)&amp;"-"&amp;TEXT(MONTH('Campaign Data'!$A2226),"00")</f>
        <v>2026-05</v>
      </c>
    </row>
    <row r="2227" spans="1:21" x14ac:dyDescent="0.25">
      <c r="A2227">
        <v>46143</v>
      </c>
      <c r="B2227" t="s">
        <v>177</v>
      </c>
      <c r="C2227" t="s">
        <v>178</v>
      </c>
      <c r="D2227" t="s">
        <v>41</v>
      </c>
      <c r="E2227" t="s">
        <v>49</v>
      </c>
      <c r="F2227" t="s">
        <v>34</v>
      </c>
      <c r="G2227" t="s">
        <v>107</v>
      </c>
      <c r="H2227" t="s">
        <v>36</v>
      </c>
      <c r="I2227" t="s">
        <v>28</v>
      </c>
      <c r="J2227" t="s">
        <v>38</v>
      </c>
      <c r="K2227">
        <v>41305</v>
      </c>
      <c r="L2227">
        <v>2047</v>
      </c>
      <c r="M2227">
        <v>4323.21</v>
      </c>
      <c r="N2227">
        <v>122</v>
      </c>
      <c r="O2227">
        <v>9251.68</v>
      </c>
      <c r="P2227">
        <f t="shared" si="136"/>
        <v>4.955816487108098E-2</v>
      </c>
      <c r="Q2227">
        <f t="shared" si="136"/>
        <v>2.1119736199316073</v>
      </c>
      <c r="R2227">
        <f t="shared" si="137"/>
        <v>35.436147540983605</v>
      </c>
      <c r="S2227">
        <f t="shared" si="138"/>
        <v>2.1400024518818195</v>
      </c>
      <c r="T2227">
        <f t="shared" si="139"/>
        <v>5.9599413776257937E-2</v>
      </c>
      <c r="U2227" t="str">
        <f>YEAR('Campaign Data'!$A2227)&amp;"-"&amp;TEXT(MONTH('Campaign Data'!$A2227),"00")</f>
        <v>2026-05</v>
      </c>
    </row>
    <row r="2228" spans="1:21" x14ac:dyDescent="0.25">
      <c r="A2228">
        <v>46143</v>
      </c>
      <c r="B2228" t="s">
        <v>110</v>
      </c>
      <c r="C2228" t="s">
        <v>111</v>
      </c>
      <c r="D2228" t="s">
        <v>23</v>
      </c>
      <c r="E2228" t="s">
        <v>49</v>
      </c>
      <c r="F2228" t="s">
        <v>34</v>
      </c>
      <c r="G2228" t="s">
        <v>50</v>
      </c>
      <c r="H2228" t="s">
        <v>90</v>
      </c>
      <c r="I2228" t="s">
        <v>37</v>
      </c>
      <c r="J2228" t="s">
        <v>62</v>
      </c>
      <c r="K2228">
        <v>9441</v>
      </c>
      <c r="L2228">
        <v>420</v>
      </c>
      <c r="M2228">
        <v>214.34</v>
      </c>
      <c r="N2228">
        <v>30</v>
      </c>
      <c r="O2228">
        <v>1261.23</v>
      </c>
      <c r="P2228">
        <f t="shared" si="136"/>
        <v>4.4486812837623131E-2</v>
      </c>
      <c r="Q2228">
        <f t="shared" si="136"/>
        <v>0.51033333333333331</v>
      </c>
      <c r="R2228">
        <f t="shared" si="137"/>
        <v>7.1446666666666667</v>
      </c>
      <c r="S2228">
        <f t="shared" si="138"/>
        <v>5.8842493235047124</v>
      </c>
      <c r="T2228">
        <f t="shared" si="139"/>
        <v>7.1428571428571425E-2</v>
      </c>
      <c r="U2228" t="str">
        <f>YEAR('Campaign Data'!$A2228)&amp;"-"&amp;TEXT(MONTH('Campaign Data'!$A2228),"00")</f>
        <v>2026-05</v>
      </c>
    </row>
    <row r="2229" spans="1:21" x14ac:dyDescent="0.25">
      <c r="A2229">
        <v>46143</v>
      </c>
      <c r="B2229" t="s">
        <v>155</v>
      </c>
      <c r="C2229" t="s">
        <v>156</v>
      </c>
      <c r="D2229" t="s">
        <v>32</v>
      </c>
      <c r="E2229" t="s">
        <v>24</v>
      </c>
      <c r="F2229" t="s">
        <v>34</v>
      </c>
      <c r="G2229" t="s">
        <v>129</v>
      </c>
      <c r="H2229" t="s">
        <v>36</v>
      </c>
      <c r="I2229" t="s">
        <v>37</v>
      </c>
      <c r="J2229" t="s">
        <v>38</v>
      </c>
      <c r="K2229">
        <v>2479</v>
      </c>
      <c r="L2229">
        <v>21</v>
      </c>
      <c r="M2229">
        <v>23.37</v>
      </c>
      <c r="N2229">
        <v>0</v>
      </c>
      <c r="O2229">
        <v>0</v>
      </c>
      <c r="P2229">
        <f t="shared" si="136"/>
        <v>8.4711577248890689E-3</v>
      </c>
      <c r="Q2229">
        <f t="shared" si="136"/>
        <v>1.112857142857143</v>
      </c>
      <c r="R2229">
        <f t="shared" si="137"/>
        <v>0</v>
      </c>
      <c r="S2229">
        <f t="shared" si="138"/>
        <v>0</v>
      </c>
      <c r="T2229">
        <f t="shared" si="139"/>
        <v>0</v>
      </c>
      <c r="U2229" t="str">
        <f>YEAR('Campaign Data'!$A2229)&amp;"-"&amp;TEXT(MONTH('Campaign Data'!$A2229),"00")</f>
        <v>2026-05</v>
      </c>
    </row>
    <row r="2230" spans="1:21" x14ac:dyDescent="0.25">
      <c r="A2230">
        <v>46143</v>
      </c>
      <c r="B2230" t="s">
        <v>155</v>
      </c>
      <c r="C2230" t="s">
        <v>156</v>
      </c>
      <c r="D2230" t="s">
        <v>32</v>
      </c>
      <c r="E2230" t="s">
        <v>24</v>
      </c>
      <c r="F2230" t="s">
        <v>34</v>
      </c>
      <c r="G2230" t="s">
        <v>129</v>
      </c>
      <c r="H2230" t="s">
        <v>90</v>
      </c>
      <c r="I2230" t="s">
        <v>28</v>
      </c>
      <c r="J2230" t="s">
        <v>62</v>
      </c>
      <c r="K2230">
        <v>4490</v>
      </c>
      <c r="L2230">
        <v>66</v>
      </c>
      <c r="M2230">
        <v>17.46</v>
      </c>
      <c r="N2230">
        <v>0</v>
      </c>
      <c r="O2230">
        <v>0</v>
      </c>
      <c r="P2230">
        <f t="shared" si="136"/>
        <v>1.4699331848552339E-2</v>
      </c>
      <c r="Q2230">
        <f t="shared" si="136"/>
        <v>0.26454545454545458</v>
      </c>
      <c r="R2230">
        <f t="shared" si="137"/>
        <v>0</v>
      </c>
      <c r="S2230">
        <f t="shared" si="138"/>
        <v>0</v>
      </c>
      <c r="T2230">
        <f t="shared" si="139"/>
        <v>0</v>
      </c>
      <c r="U2230" t="str">
        <f>YEAR('Campaign Data'!$A2230)&amp;"-"&amp;TEXT(MONTH('Campaign Data'!$A2230),"00")</f>
        <v>2026-05</v>
      </c>
    </row>
    <row r="2231" spans="1:21" x14ac:dyDescent="0.25">
      <c r="A2231">
        <v>46143</v>
      </c>
      <c r="B2231" t="s">
        <v>181</v>
      </c>
      <c r="C2231" t="s">
        <v>182</v>
      </c>
      <c r="D2231" t="s">
        <v>32</v>
      </c>
      <c r="E2231" t="s">
        <v>33</v>
      </c>
      <c r="F2231" t="s">
        <v>75</v>
      </c>
      <c r="G2231" t="s">
        <v>59</v>
      </c>
      <c r="H2231" t="s">
        <v>27</v>
      </c>
      <c r="I2231" t="s">
        <v>61</v>
      </c>
      <c r="J2231" t="s">
        <v>38</v>
      </c>
      <c r="K2231">
        <v>4651</v>
      </c>
      <c r="L2231">
        <v>45</v>
      </c>
      <c r="M2231">
        <v>36.32</v>
      </c>
      <c r="N2231">
        <v>0</v>
      </c>
      <c r="O2231">
        <v>0</v>
      </c>
      <c r="P2231">
        <f t="shared" si="136"/>
        <v>9.67533863685229E-3</v>
      </c>
      <c r="Q2231">
        <f t="shared" si="136"/>
        <v>0.80711111111111111</v>
      </c>
      <c r="R2231">
        <f t="shared" si="137"/>
        <v>0</v>
      </c>
      <c r="S2231">
        <f t="shared" si="138"/>
        <v>0</v>
      </c>
      <c r="T2231">
        <f t="shared" si="139"/>
        <v>0</v>
      </c>
      <c r="U2231" t="str">
        <f>YEAR('Campaign Data'!$A2231)&amp;"-"&amp;TEXT(MONTH('Campaign Data'!$A2231),"00")</f>
        <v>2026-05</v>
      </c>
    </row>
    <row r="2232" spans="1:21" x14ac:dyDescent="0.25">
      <c r="A2232">
        <v>46143</v>
      </c>
      <c r="B2232" t="s">
        <v>161</v>
      </c>
      <c r="C2232" t="s">
        <v>162</v>
      </c>
      <c r="D2232" t="s">
        <v>48</v>
      </c>
      <c r="E2232" t="s">
        <v>74</v>
      </c>
      <c r="F2232" t="s">
        <v>34</v>
      </c>
      <c r="G2232" t="s">
        <v>107</v>
      </c>
      <c r="H2232" t="s">
        <v>55</v>
      </c>
      <c r="I2232" t="s">
        <v>61</v>
      </c>
      <c r="J2232" t="s">
        <v>38</v>
      </c>
      <c r="K2232">
        <v>70236</v>
      </c>
      <c r="L2232">
        <v>2762</v>
      </c>
      <c r="M2232">
        <v>3968.87</v>
      </c>
      <c r="N2232">
        <v>144</v>
      </c>
      <c r="O2232">
        <v>16834.79</v>
      </c>
      <c r="P2232">
        <f t="shared" si="136"/>
        <v>3.9324562902215386E-2</v>
      </c>
      <c r="Q2232">
        <f t="shared" si="136"/>
        <v>1.4369551049963794</v>
      </c>
      <c r="R2232">
        <f t="shared" si="137"/>
        <v>27.561597222222222</v>
      </c>
      <c r="S2232">
        <f t="shared" si="138"/>
        <v>4.2417085971573778</v>
      </c>
      <c r="T2232">
        <f t="shared" si="139"/>
        <v>5.213613323678494E-2</v>
      </c>
      <c r="U2232" t="str">
        <f>YEAR('Campaign Data'!$A2232)&amp;"-"&amp;TEXT(MONTH('Campaign Data'!$A2232),"00")</f>
        <v>2026-05</v>
      </c>
    </row>
    <row r="2233" spans="1:21" x14ac:dyDescent="0.25">
      <c r="A2233">
        <v>46143</v>
      </c>
      <c r="B2233" t="s">
        <v>141</v>
      </c>
      <c r="C2233" t="s">
        <v>142</v>
      </c>
      <c r="D2233" t="s">
        <v>80</v>
      </c>
      <c r="E2233" t="s">
        <v>49</v>
      </c>
      <c r="F2233" t="s">
        <v>81</v>
      </c>
      <c r="G2233" t="s">
        <v>97</v>
      </c>
      <c r="H2233" t="s">
        <v>36</v>
      </c>
      <c r="I2233" t="s">
        <v>37</v>
      </c>
      <c r="J2233" t="s">
        <v>29</v>
      </c>
      <c r="K2233">
        <v>5482</v>
      </c>
      <c r="L2233">
        <v>143</v>
      </c>
      <c r="M2233">
        <v>286.35000000000002</v>
      </c>
      <c r="N2233">
        <v>6</v>
      </c>
      <c r="O2233">
        <v>184.4</v>
      </c>
      <c r="P2233">
        <f t="shared" si="136"/>
        <v>2.6085370302809194E-2</v>
      </c>
      <c r="Q2233">
        <f t="shared" si="136"/>
        <v>2.0024475524475527</v>
      </c>
      <c r="R2233">
        <f t="shared" si="137"/>
        <v>47.725000000000001</v>
      </c>
      <c r="S2233">
        <f t="shared" si="138"/>
        <v>0.64396717303998596</v>
      </c>
      <c r="T2233">
        <f t="shared" si="139"/>
        <v>4.195804195804196E-2</v>
      </c>
      <c r="U2233" t="str">
        <f>YEAR('Campaign Data'!$A2233)&amp;"-"&amp;TEXT(MONTH('Campaign Data'!$A2233),"00")</f>
        <v>2026-05</v>
      </c>
    </row>
    <row r="2234" spans="1:21" x14ac:dyDescent="0.25">
      <c r="A2234">
        <v>46143</v>
      </c>
      <c r="B2234" t="s">
        <v>183</v>
      </c>
      <c r="C2234" t="s">
        <v>184</v>
      </c>
      <c r="D2234" t="s">
        <v>23</v>
      </c>
      <c r="E2234" t="s">
        <v>24</v>
      </c>
      <c r="F2234" t="s">
        <v>81</v>
      </c>
      <c r="G2234" t="s">
        <v>185</v>
      </c>
      <c r="H2234" t="s">
        <v>90</v>
      </c>
      <c r="I2234" t="s">
        <v>37</v>
      </c>
      <c r="J2234" t="s">
        <v>87</v>
      </c>
      <c r="K2234">
        <v>5341</v>
      </c>
      <c r="L2234">
        <v>54</v>
      </c>
      <c r="M2234">
        <v>21.58</v>
      </c>
      <c r="N2234">
        <v>0</v>
      </c>
      <c r="O2234">
        <v>0</v>
      </c>
      <c r="P2234">
        <f t="shared" si="136"/>
        <v>1.0110466204830556E-2</v>
      </c>
      <c r="Q2234">
        <f t="shared" si="136"/>
        <v>0.39962962962962961</v>
      </c>
      <c r="R2234">
        <f t="shared" si="137"/>
        <v>0</v>
      </c>
      <c r="S2234">
        <f t="shared" si="138"/>
        <v>0</v>
      </c>
      <c r="T2234">
        <f t="shared" si="139"/>
        <v>0</v>
      </c>
      <c r="U2234" t="str">
        <f>YEAR('Campaign Data'!$A2234)&amp;"-"&amp;TEXT(MONTH('Campaign Data'!$A2234),"00")</f>
        <v>2026-05</v>
      </c>
    </row>
    <row r="2235" spans="1:21" x14ac:dyDescent="0.25">
      <c r="A2235">
        <v>46143</v>
      </c>
      <c r="B2235" t="s">
        <v>183</v>
      </c>
      <c r="C2235" t="s">
        <v>184</v>
      </c>
      <c r="D2235" t="s">
        <v>23</v>
      </c>
      <c r="E2235" t="s">
        <v>24</v>
      </c>
      <c r="F2235" t="s">
        <v>81</v>
      </c>
      <c r="G2235" t="s">
        <v>185</v>
      </c>
      <c r="H2235" t="s">
        <v>60</v>
      </c>
      <c r="I2235" t="s">
        <v>37</v>
      </c>
      <c r="J2235" t="s">
        <v>38</v>
      </c>
      <c r="K2235">
        <v>3211</v>
      </c>
      <c r="L2235">
        <v>35</v>
      </c>
      <c r="M2235">
        <v>35.01</v>
      </c>
      <c r="N2235">
        <v>0</v>
      </c>
      <c r="O2235">
        <v>0</v>
      </c>
      <c r="P2235">
        <f t="shared" si="136"/>
        <v>1.0900031142946123E-2</v>
      </c>
      <c r="Q2235">
        <f t="shared" si="136"/>
        <v>1.0002857142857142</v>
      </c>
      <c r="R2235">
        <f t="shared" si="137"/>
        <v>0</v>
      </c>
      <c r="S2235">
        <f t="shared" si="138"/>
        <v>0</v>
      </c>
      <c r="T2235">
        <f t="shared" si="139"/>
        <v>0</v>
      </c>
      <c r="U2235" t="str">
        <f>YEAR('Campaign Data'!$A2235)&amp;"-"&amp;TEXT(MONTH('Campaign Data'!$A2235),"00")</f>
        <v>2026-05</v>
      </c>
    </row>
    <row r="2236" spans="1:21" x14ac:dyDescent="0.25">
      <c r="A2236">
        <v>46143</v>
      </c>
      <c r="B2236" t="s">
        <v>118</v>
      </c>
      <c r="C2236" t="s">
        <v>119</v>
      </c>
      <c r="D2236" t="s">
        <v>69</v>
      </c>
      <c r="E2236" t="s">
        <v>33</v>
      </c>
      <c r="F2236" t="s">
        <v>34</v>
      </c>
      <c r="G2236" t="s">
        <v>35</v>
      </c>
      <c r="H2236" t="s">
        <v>36</v>
      </c>
      <c r="I2236" t="s">
        <v>37</v>
      </c>
      <c r="J2236" t="s">
        <v>62</v>
      </c>
      <c r="K2236">
        <v>7713</v>
      </c>
      <c r="L2236">
        <v>106</v>
      </c>
      <c r="M2236">
        <v>61.53</v>
      </c>
      <c r="N2236">
        <v>1</v>
      </c>
      <c r="O2236">
        <v>203.34</v>
      </c>
      <c r="P2236">
        <f t="shared" si="136"/>
        <v>1.3743031245948398E-2</v>
      </c>
      <c r="Q2236">
        <f t="shared" si="136"/>
        <v>0.58047169811320753</v>
      </c>
      <c r="R2236">
        <f t="shared" si="137"/>
        <v>61.53</v>
      </c>
      <c r="S2236">
        <f t="shared" si="138"/>
        <v>3.30472940029254</v>
      </c>
      <c r="T2236">
        <f t="shared" si="139"/>
        <v>9.433962264150943E-3</v>
      </c>
      <c r="U2236" t="str">
        <f>YEAR('Campaign Data'!$A2236)&amp;"-"&amp;TEXT(MONTH('Campaign Data'!$A2236),"00")</f>
        <v>2026-05</v>
      </c>
    </row>
    <row r="2237" spans="1:21" x14ac:dyDescent="0.25">
      <c r="A2237">
        <v>46143</v>
      </c>
      <c r="B2237" t="s">
        <v>145</v>
      </c>
      <c r="C2237" t="s">
        <v>146</v>
      </c>
      <c r="D2237" t="s">
        <v>41</v>
      </c>
      <c r="E2237" t="s">
        <v>49</v>
      </c>
      <c r="F2237" t="s">
        <v>75</v>
      </c>
      <c r="G2237" t="s">
        <v>70</v>
      </c>
      <c r="H2237" t="s">
        <v>36</v>
      </c>
      <c r="I2237" t="s">
        <v>28</v>
      </c>
      <c r="J2237" t="s">
        <v>87</v>
      </c>
      <c r="K2237">
        <v>12486</v>
      </c>
      <c r="L2237">
        <v>758</v>
      </c>
      <c r="M2237">
        <v>1428.04</v>
      </c>
      <c r="N2237">
        <v>12</v>
      </c>
      <c r="O2237">
        <v>304.99</v>
      </c>
      <c r="P2237">
        <f t="shared" si="136"/>
        <v>6.0707992952106361E-2</v>
      </c>
      <c r="Q2237">
        <f t="shared" si="136"/>
        <v>1.883957783641161</v>
      </c>
      <c r="R2237">
        <f t="shared" si="137"/>
        <v>119.00333333333333</v>
      </c>
      <c r="S2237">
        <f t="shared" si="138"/>
        <v>0.2135724489510098</v>
      </c>
      <c r="T2237">
        <f t="shared" si="139"/>
        <v>1.5831134564643801E-2</v>
      </c>
      <c r="U2237" t="str">
        <f>YEAR('Campaign Data'!$A2237)&amp;"-"&amp;TEXT(MONTH('Campaign Data'!$A2237),"00")</f>
        <v>2026-05</v>
      </c>
    </row>
    <row r="2238" spans="1:21" x14ac:dyDescent="0.25">
      <c r="A2238">
        <v>46143</v>
      </c>
      <c r="B2238" t="s">
        <v>145</v>
      </c>
      <c r="C2238" t="s">
        <v>146</v>
      </c>
      <c r="D2238" t="s">
        <v>41</v>
      </c>
      <c r="E2238" t="s">
        <v>49</v>
      </c>
      <c r="F2238" t="s">
        <v>75</v>
      </c>
      <c r="G2238" t="s">
        <v>70</v>
      </c>
      <c r="H2238" t="s">
        <v>90</v>
      </c>
      <c r="I2238" t="s">
        <v>28</v>
      </c>
      <c r="J2238" t="s">
        <v>45</v>
      </c>
      <c r="K2238">
        <v>3095</v>
      </c>
      <c r="L2238">
        <v>166</v>
      </c>
      <c r="M2238">
        <v>89.33</v>
      </c>
      <c r="N2238">
        <v>8</v>
      </c>
      <c r="O2238">
        <v>91.51</v>
      </c>
      <c r="P2238">
        <f t="shared" si="136"/>
        <v>5.3634894991922456E-2</v>
      </c>
      <c r="Q2238">
        <f t="shared" si="136"/>
        <v>0.5381325301204819</v>
      </c>
      <c r="R2238">
        <f t="shared" si="137"/>
        <v>11.16625</v>
      </c>
      <c r="S2238">
        <f t="shared" si="138"/>
        <v>1.0244038956677488</v>
      </c>
      <c r="T2238">
        <f t="shared" si="139"/>
        <v>4.8192771084337352E-2</v>
      </c>
      <c r="U2238" t="str">
        <f>YEAR('Campaign Data'!$A2238)&amp;"-"&amp;TEXT(MONTH('Campaign Data'!$A2238),"00")</f>
        <v>2026-05</v>
      </c>
    </row>
    <row r="2239" spans="1:21" x14ac:dyDescent="0.25">
      <c r="A2239">
        <v>46143</v>
      </c>
      <c r="B2239" t="s">
        <v>76</v>
      </c>
      <c r="C2239" t="s">
        <v>77</v>
      </c>
      <c r="D2239" t="s">
        <v>65</v>
      </c>
      <c r="E2239" t="s">
        <v>42</v>
      </c>
      <c r="F2239" t="s">
        <v>43</v>
      </c>
      <c r="G2239" t="s">
        <v>44</v>
      </c>
      <c r="H2239" t="s">
        <v>90</v>
      </c>
      <c r="I2239" t="s">
        <v>28</v>
      </c>
      <c r="J2239" t="s">
        <v>87</v>
      </c>
      <c r="K2239">
        <v>12212</v>
      </c>
      <c r="L2239">
        <v>101</v>
      </c>
      <c r="M2239">
        <v>172.9</v>
      </c>
      <c r="N2239">
        <v>4</v>
      </c>
      <c r="O2239">
        <v>22.93</v>
      </c>
      <c r="P2239">
        <f t="shared" si="136"/>
        <v>8.2705535538814285E-3</v>
      </c>
      <c r="Q2239">
        <f t="shared" si="136"/>
        <v>1.7118811881188118</v>
      </c>
      <c r="R2239">
        <f t="shared" si="137"/>
        <v>43.225000000000001</v>
      </c>
      <c r="S2239">
        <f t="shared" si="138"/>
        <v>0.13262001156737999</v>
      </c>
      <c r="T2239">
        <f t="shared" si="139"/>
        <v>3.9603960396039604E-2</v>
      </c>
      <c r="U2239" t="str">
        <f>YEAR('Campaign Data'!$A2239)&amp;"-"&amp;TEXT(MONTH('Campaign Data'!$A2239),"00")</f>
        <v>2026-05</v>
      </c>
    </row>
    <row r="2240" spans="1:21" x14ac:dyDescent="0.25">
      <c r="A2240">
        <v>46143</v>
      </c>
      <c r="B2240" t="s">
        <v>76</v>
      </c>
      <c r="C2240" t="s">
        <v>77</v>
      </c>
      <c r="D2240" t="s">
        <v>65</v>
      </c>
      <c r="E2240" t="s">
        <v>42</v>
      </c>
      <c r="F2240" t="s">
        <v>43</v>
      </c>
      <c r="G2240" t="s">
        <v>44</v>
      </c>
      <c r="H2240" t="s">
        <v>90</v>
      </c>
      <c r="I2240" t="s">
        <v>37</v>
      </c>
      <c r="J2240" t="s">
        <v>45</v>
      </c>
      <c r="K2240">
        <v>19646</v>
      </c>
      <c r="L2240">
        <v>175</v>
      </c>
      <c r="M2240">
        <v>333.21</v>
      </c>
      <c r="N2240">
        <v>5</v>
      </c>
      <c r="O2240">
        <v>25</v>
      </c>
      <c r="P2240">
        <f t="shared" si="136"/>
        <v>8.9076656825816964E-3</v>
      </c>
      <c r="Q2240">
        <f t="shared" si="136"/>
        <v>1.9040571428571427</v>
      </c>
      <c r="R2240">
        <f t="shared" si="137"/>
        <v>66.641999999999996</v>
      </c>
      <c r="S2240">
        <f t="shared" si="138"/>
        <v>7.5027760271300384E-2</v>
      </c>
      <c r="T2240">
        <f t="shared" si="139"/>
        <v>2.8571428571428571E-2</v>
      </c>
      <c r="U2240" t="str">
        <f>YEAR('Campaign Data'!$A2240)&amp;"-"&amp;TEXT(MONTH('Campaign Data'!$A2240),"00")</f>
        <v>2026-05</v>
      </c>
    </row>
    <row r="2241" spans="1:21" x14ac:dyDescent="0.25">
      <c r="A2241">
        <v>46143</v>
      </c>
      <c r="B2241" t="s">
        <v>76</v>
      </c>
      <c r="C2241" t="s">
        <v>77</v>
      </c>
      <c r="D2241" t="s">
        <v>65</v>
      </c>
      <c r="E2241" t="s">
        <v>42</v>
      </c>
      <c r="F2241" t="s">
        <v>43</v>
      </c>
      <c r="G2241" t="s">
        <v>44</v>
      </c>
      <c r="H2241" t="s">
        <v>55</v>
      </c>
      <c r="I2241" t="s">
        <v>28</v>
      </c>
      <c r="J2241" t="s">
        <v>87</v>
      </c>
      <c r="K2241">
        <v>4624</v>
      </c>
      <c r="L2241">
        <v>21</v>
      </c>
      <c r="M2241">
        <v>150.09</v>
      </c>
      <c r="N2241">
        <v>2</v>
      </c>
      <c r="O2241">
        <v>35.33</v>
      </c>
      <c r="P2241">
        <f t="shared" si="136"/>
        <v>4.5415224913494812E-3</v>
      </c>
      <c r="Q2241">
        <f t="shared" si="136"/>
        <v>7.1471428571428577</v>
      </c>
      <c r="R2241">
        <f t="shared" si="137"/>
        <v>75.045000000000002</v>
      </c>
      <c r="S2241">
        <f t="shared" si="138"/>
        <v>0.23539209807448863</v>
      </c>
      <c r="T2241">
        <f t="shared" si="139"/>
        <v>9.5238095238095233E-2</v>
      </c>
      <c r="U2241" t="str">
        <f>YEAR('Campaign Data'!$A2241)&amp;"-"&amp;TEXT(MONTH('Campaign Data'!$A2241),"00")</f>
        <v>2026-05</v>
      </c>
    </row>
    <row r="2242" spans="1:21" x14ac:dyDescent="0.25">
      <c r="A2242">
        <v>46144</v>
      </c>
      <c r="B2242" t="s">
        <v>88</v>
      </c>
      <c r="C2242" t="s">
        <v>89</v>
      </c>
      <c r="D2242" t="s">
        <v>23</v>
      </c>
      <c r="E2242" t="s">
        <v>49</v>
      </c>
      <c r="F2242" t="s">
        <v>81</v>
      </c>
      <c r="G2242" t="s">
        <v>50</v>
      </c>
      <c r="H2242" t="s">
        <v>55</v>
      </c>
      <c r="I2242" t="s">
        <v>37</v>
      </c>
      <c r="J2242" t="s">
        <v>62</v>
      </c>
      <c r="K2242">
        <v>3383</v>
      </c>
      <c r="L2242">
        <v>134</v>
      </c>
      <c r="M2242">
        <v>247.15</v>
      </c>
      <c r="N2242">
        <v>6</v>
      </c>
      <c r="O2242">
        <v>205.53</v>
      </c>
      <c r="P2242">
        <f t="shared" ref="P2242:Q2305" si="140">IF(K2242=0,0,L2242/K2242)</f>
        <v>3.9609813774756135E-2</v>
      </c>
      <c r="Q2242">
        <f t="shared" si="140"/>
        <v>1.8444029850746269</v>
      </c>
      <c r="R2242">
        <f t="shared" ref="R2242:R2305" si="141">IF(N2242=0,0,M2242/N2242)</f>
        <v>41.19166666666667</v>
      </c>
      <c r="S2242">
        <f t="shared" ref="S2242:S2305" si="142">IF(M2242=0,0,O2242/M2242)</f>
        <v>0.83160024276755007</v>
      </c>
      <c r="T2242">
        <f t="shared" ref="T2242:T2305" si="143">IF(L2242=0,0,N2242/L2242)</f>
        <v>4.4776119402985072E-2</v>
      </c>
      <c r="U2242" t="str">
        <f>YEAR('Campaign Data'!$A2242)&amp;"-"&amp;TEXT(MONTH('Campaign Data'!$A2242),"00")</f>
        <v>2026-05</v>
      </c>
    </row>
    <row r="2243" spans="1:21" x14ac:dyDescent="0.25">
      <c r="A2243">
        <v>46144</v>
      </c>
      <c r="B2243" t="s">
        <v>149</v>
      </c>
      <c r="C2243" t="s">
        <v>150</v>
      </c>
      <c r="D2243" t="s">
        <v>65</v>
      </c>
      <c r="E2243" t="s">
        <v>33</v>
      </c>
      <c r="F2243" t="s">
        <v>43</v>
      </c>
      <c r="G2243" t="s">
        <v>59</v>
      </c>
      <c r="H2243" t="s">
        <v>27</v>
      </c>
      <c r="I2243" t="s">
        <v>28</v>
      </c>
      <c r="J2243" t="s">
        <v>87</v>
      </c>
      <c r="K2243">
        <v>28489</v>
      </c>
      <c r="L2243">
        <v>131</v>
      </c>
      <c r="M2243">
        <v>132.19</v>
      </c>
      <c r="N2243">
        <v>3</v>
      </c>
      <c r="O2243">
        <v>79.94</v>
      </c>
      <c r="P2243">
        <f t="shared" si="140"/>
        <v>4.5982659974025059E-3</v>
      </c>
      <c r="Q2243">
        <f t="shared" si="140"/>
        <v>1.0090839694656488</v>
      </c>
      <c r="R2243">
        <f t="shared" si="141"/>
        <v>44.063333333333333</v>
      </c>
      <c r="S2243">
        <f t="shared" si="142"/>
        <v>0.60473560783720404</v>
      </c>
      <c r="T2243">
        <f t="shared" si="143"/>
        <v>2.2900763358778626E-2</v>
      </c>
      <c r="U2243" t="str">
        <f>YEAR('Campaign Data'!$A2243)&amp;"-"&amp;TEXT(MONTH('Campaign Data'!$A2243),"00")</f>
        <v>2026-05</v>
      </c>
    </row>
    <row r="2244" spans="1:21" x14ac:dyDescent="0.25">
      <c r="A2244">
        <v>46144</v>
      </c>
      <c r="B2244" t="s">
        <v>46</v>
      </c>
      <c r="C2244" t="s">
        <v>47</v>
      </c>
      <c r="D2244" t="s">
        <v>48</v>
      </c>
      <c r="E2244" t="s">
        <v>49</v>
      </c>
      <c r="F2244" t="s">
        <v>43</v>
      </c>
      <c r="G2244" t="s">
        <v>50</v>
      </c>
      <c r="H2244" t="s">
        <v>27</v>
      </c>
      <c r="I2244" t="s">
        <v>28</v>
      </c>
      <c r="J2244" t="s">
        <v>45</v>
      </c>
      <c r="K2244">
        <v>11149</v>
      </c>
      <c r="L2244">
        <v>487</v>
      </c>
      <c r="M2244">
        <v>1223.3</v>
      </c>
      <c r="N2244">
        <v>10</v>
      </c>
      <c r="O2244">
        <v>316.20999999999998</v>
      </c>
      <c r="P2244">
        <f t="shared" si="140"/>
        <v>4.3681047627589918E-2</v>
      </c>
      <c r="Q2244">
        <f t="shared" si="140"/>
        <v>2.5119096509240246</v>
      </c>
      <c r="R2244">
        <f t="shared" si="141"/>
        <v>122.33</v>
      </c>
      <c r="S2244">
        <f t="shared" si="142"/>
        <v>0.25848933213439057</v>
      </c>
      <c r="T2244">
        <f t="shared" si="143"/>
        <v>2.0533880903490759E-2</v>
      </c>
      <c r="U2244" t="str">
        <f>YEAR('Campaign Data'!$A2244)&amp;"-"&amp;TEXT(MONTH('Campaign Data'!$A2244),"00")</f>
        <v>2026-05</v>
      </c>
    </row>
    <row r="2245" spans="1:21" x14ac:dyDescent="0.25">
      <c r="A2245">
        <v>46144</v>
      </c>
      <c r="B2245" t="s">
        <v>52</v>
      </c>
      <c r="C2245" t="s">
        <v>53</v>
      </c>
      <c r="D2245" t="s">
        <v>32</v>
      </c>
      <c r="E2245" t="s">
        <v>42</v>
      </c>
      <c r="F2245" t="s">
        <v>25</v>
      </c>
      <c r="G2245" t="s">
        <v>54</v>
      </c>
      <c r="H2245" t="s">
        <v>36</v>
      </c>
      <c r="I2245" t="s">
        <v>28</v>
      </c>
      <c r="J2245" t="s">
        <v>45</v>
      </c>
      <c r="K2245">
        <v>8563</v>
      </c>
      <c r="L2245">
        <v>42</v>
      </c>
      <c r="M2245">
        <v>176.12</v>
      </c>
      <c r="N2245">
        <v>1</v>
      </c>
      <c r="O2245">
        <v>188.2</v>
      </c>
      <c r="P2245">
        <f t="shared" si="140"/>
        <v>4.9048230760247577E-3</v>
      </c>
      <c r="Q2245">
        <f t="shared" si="140"/>
        <v>4.1933333333333334</v>
      </c>
      <c r="R2245">
        <f t="shared" si="141"/>
        <v>176.12</v>
      </c>
      <c r="S2245">
        <f t="shared" si="142"/>
        <v>1.0685895980013627</v>
      </c>
      <c r="T2245">
        <f t="shared" si="143"/>
        <v>2.3809523809523808E-2</v>
      </c>
      <c r="U2245" t="str">
        <f>YEAR('Campaign Data'!$A2245)&amp;"-"&amp;TEXT(MONTH('Campaign Data'!$A2245),"00")</f>
        <v>2026-05</v>
      </c>
    </row>
    <row r="2246" spans="1:21" x14ac:dyDescent="0.25">
      <c r="A2246">
        <v>46144</v>
      </c>
      <c r="B2246" t="s">
        <v>103</v>
      </c>
      <c r="C2246" t="s">
        <v>104</v>
      </c>
      <c r="D2246" t="s">
        <v>65</v>
      </c>
      <c r="E2246" t="s">
        <v>33</v>
      </c>
      <c r="F2246" t="s">
        <v>43</v>
      </c>
      <c r="G2246" t="s">
        <v>102</v>
      </c>
      <c r="H2246" t="s">
        <v>90</v>
      </c>
      <c r="I2246" t="s">
        <v>28</v>
      </c>
      <c r="J2246" t="s">
        <v>38</v>
      </c>
      <c r="K2246">
        <v>19128</v>
      </c>
      <c r="L2246">
        <v>194</v>
      </c>
      <c r="M2246">
        <v>34.04</v>
      </c>
      <c r="N2246">
        <v>0</v>
      </c>
      <c r="O2246">
        <v>0</v>
      </c>
      <c r="P2246">
        <f t="shared" si="140"/>
        <v>1.0142199916352991E-2</v>
      </c>
      <c r="Q2246">
        <f t="shared" si="140"/>
        <v>0.1754639175257732</v>
      </c>
      <c r="R2246">
        <f t="shared" si="141"/>
        <v>0</v>
      </c>
      <c r="S2246">
        <f t="shared" si="142"/>
        <v>0</v>
      </c>
      <c r="T2246">
        <f t="shared" si="143"/>
        <v>0</v>
      </c>
      <c r="U2246" t="str">
        <f>YEAR('Campaign Data'!$A2246)&amp;"-"&amp;TEXT(MONTH('Campaign Data'!$A2246),"00")</f>
        <v>2026-05</v>
      </c>
    </row>
    <row r="2247" spans="1:21" x14ac:dyDescent="0.25">
      <c r="A2247">
        <v>46144</v>
      </c>
      <c r="B2247" t="s">
        <v>132</v>
      </c>
      <c r="C2247" t="s">
        <v>133</v>
      </c>
      <c r="D2247" t="s">
        <v>23</v>
      </c>
      <c r="E2247" t="s">
        <v>42</v>
      </c>
      <c r="F2247" t="s">
        <v>75</v>
      </c>
      <c r="G2247" t="s">
        <v>84</v>
      </c>
      <c r="H2247" t="s">
        <v>55</v>
      </c>
      <c r="I2247" t="s">
        <v>37</v>
      </c>
      <c r="J2247" t="s">
        <v>62</v>
      </c>
      <c r="K2247">
        <v>5429</v>
      </c>
      <c r="L2247">
        <v>28</v>
      </c>
      <c r="M2247">
        <v>181.93</v>
      </c>
      <c r="N2247">
        <v>2</v>
      </c>
      <c r="O2247">
        <v>39.549999999999997</v>
      </c>
      <c r="P2247">
        <f t="shared" si="140"/>
        <v>5.1574875667710447E-3</v>
      </c>
      <c r="Q2247">
        <f t="shared" si="140"/>
        <v>6.4975000000000005</v>
      </c>
      <c r="R2247">
        <f t="shared" si="141"/>
        <v>90.965000000000003</v>
      </c>
      <c r="S2247">
        <f t="shared" si="142"/>
        <v>0.21739130434782605</v>
      </c>
      <c r="T2247">
        <f t="shared" si="143"/>
        <v>7.1428571428571425E-2</v>
      </c>
      <c r="U2247" t="str">
        <f>YEAR('Campaign Data'!$A2247)&amp;"-"&amp;TEXT(MONTH('Campaign Data'!$A2247),"00")</f>
        <v>2026-05</v>
      </c>
    </row>
    <row r="2248" spans="1:21" x14ac:dyDescent="0.25">
      <c r="A2248">
        <v>46144</v>
      </c>
      <c r="B2248" t="s">
        <v>179</v>
      </c>
      <c r="C2248" t="s">
        <v>180</v>
      </c>
      <c r="D2248" t="s">
        <v>58</v>
      </c>
      <c r="E2248" t="s">
        <v>42</v>
      </c>
      <c r="F2248" t="s">
        <v>25</v>
      </c>
      <c r="G2248" t="s">
        <v>54</v>
      </c>
      <c r="H2248" t="s">
        <v>90</v>
      </c>
      <c r="I2248" t="s">
        <v>28</v>
      </c>
      <c r="J2248" t="s">
        <v>29</v>
      </c>
      <c r="K2248">
        <v>5658</v>
      </c>
      <c r="L2248">
        <v>34</v>
      </c>
      <c r="M2248">
        <v>54.02</v>
      </c>
      <c r="N2248">
        <v>1</v>
      </c>
      <c r="O2248">
        <v>30.17</v>
      </c>
      <c r="P2248">
        <f t="shared" si="140"/>
        <v>6.0091905266878758E-3</v>
      </c>
      <c r="Q2248">
        <f t="shared" si="140"/>
        <v>1.5888235294117647</v>
      </c>
      <c r="R2248">
        <f t="shared" si="141"/>
        <v>54.02</v>
      </c>
      <c r="S2248">
        <f t="shared" si="142"/>
        <v>0.55849685301740093</v>
      </c>
      <c r="T2248">
        <f t="shared" si="143"/>
        <v>2.9411764705882353E-2</v>
      </c>
      <c r="U2248" t="str">
        <f>YEAR('Campaign Data'!$A2248)&amp;"-"&amp;TEXT(MONTH('Campaign Data'!$A2248),"00")</f>
        <v>2026-05</v>
      </c>
    </row>
    <row r="2249" spans="1:21" x14ac:dyDescent="0.25">
      <c r="A2249">
        <v>46144</v>
      </c>
      <c r="B2249" t="s">
        <v>171</v>
      </c>
      <c r="C2249" t="s">
        <v>172</v>
      </c>
      <c r="D2249" t="s">
        <v>23</v>
      </c>
      <c r="E2249" t="s">
        <v>33</v>
      </c>
      <c r="F2249" t="s">
        <v>75</v>
      </c>
      <c r="G2249" t="s">
        <v>59</v>
      </c>
      <c r="H2249" t="s">
        <v>27</v>
      </c>
      <c r="I2249" t="s">
        <v>28</v>
      </c>
      <c r="J2249" t="s">
        <v>29</v>
      </c>
      <c r="K2249">
        <v>9792</v>
      </c>
      <c r="L2249">
        <v>80</v>
      </c>
      <c r="M2249">
        <v>65.72</v>
      </c>
      <c r="N2249">
        <v>0</v>
      </c>
      <c r="O2249">
        <v>0</v>
      </c>
      <c r="P2249">
        <f t="shared" si="140"/>
        <v>8.1699346405228763E-3</v>
      </c>
      <c r="Q2249">
        <f t="shared" si="140"/>
        <v>0.82150000000000001</v>
      </c>
      <c r="R2249">
        <f t="shared" si="141"/>
        <v>0</v>
      </c>
      <c r="S2249">
        <f t="shared" si="142"/>
        <v>0</v>
      </c>
      <c r="T2249">
        <f t="shared" si="143"/>
        <v>0</v>
      </c>
      <c r="U2249" t="str">
        <f>YEAR('Campaign Data'!$A2249)&amp;"-"&amp;TEXT(MONTH('Campaign Data'!$A2249),"00")</f>
        <v>2026-05</v>
      </c>
    </row>
    <row r="2250" spans="1:21" x14ac:dyDescent="0.25">
      <c r="A2250">
        <v>46144</v>
      </c>
      <c r="B2250" t="s">
        <v>171</v>
      </c>
      <c r="C2250" t="s">
        <v>172</v>
      </c>
      <c r="D2250" t="s">
        <v>23</v>
      </c>
      <c r="E2250" t="s">
        <v>33</v>
      </c>
      <c r="F2250" t="s">
        <v>75</v>
      </c>
      <c r="G2250" t="s">
        <v>59</v>
      </c>
      <c r="H2250" t="s">
        <v>27</v>
      </c>
      <c r="I2250" t="s">
        <v>37</v>
      </c>
      <c r="J2250" t="s">
        <v>62</v>
      </c>
      <c r="K2250">
        <v>7099</v>
      </c>
      <c r="L2250">
        <v>84</v>
      </c>
      <c r="M2250">
        <v>61.77</v>
      </c>
      <c r="N2250">
        <v>2</v>
      </c>
      <c r="O2250">
        <v>97.36</v>
      </c>
      <c r="P2250">
        <f t="shared" si="140"/>
        <v>1.1832652486265671E-2</v>
      </c>
      <c r="Q2250">
        <f t="shared" si="140"/>
        <v>0.73535714285714293</v>
      </c>
      <c r="R2250">
        <f t="shared" si="141"/>
        <v>30.885000000000002</v>
      </c>
      <c r="S2250">
        <f t="shared" si="142"/>
        <v>1.5761696616480492</v>
      </c>
      <c r="T2250">
        <f t="shared" si="143"/>
        <v>2.3809523809523808E-2</v>
      </c>
      <c r="U2250" t="str">
        <f>YEAR('Campaign Data'!$A2250)&amp;"-"&amp;TEXT(MONTH('Campaign Data'!$A2250),"00")</f>
        <v>2026-05</v>
      </c>
    </row>
    <row r="2251" spans="1:21" x14ac:dyDescent="0.25">
      <c r="A2251">
        <v>46144</v>
      </c>
      <c r="B2251" t="s">
        <v>112</v>
      </c>
      <c r="C2251" t="s">
        <v>113</v>
      </c>
      <c r="D2251" t="s">
        <v>32</v>
      </c>
      <c r="E2251" t="s">
        <v>24</v>
      </c>
      <c r="F2251" t="s">
        <v>75</v>
      </c>
      <c r="G2251" t="s">
        <v>66</v>
      </c>
      <c r="H2251" t="s">
        <v>51</v>
      </c>
      <c r="I2251" t="s">
        <v>37</v>
      </c>
      <c r="J2251" t="s">
        <v>29</v>
      </c>
      <c r="K2251">
        <v>9066</v>
      </c>
      <c r="L2251">
        <v>141</v>
      </c>
      <c r="M2251">
        <v>205.16</v>
      </c>
      <c r="N2251">
        <v>1</v>
      </c>
      <c r="O2251">
        <v>25.02</v>
      </c>
      <c r="P2251">
        <f t="shared" si="140"/>
        <v>1.5552614162806089E-2</v>
      </c>
      <c r="Q2251">
        <f t="shared" si="140"/>
        <v>1.4550354609929077</v>
      </c>
      <c r="R2251">
        <f t="shared" si="141"/>
        <v>205.16</v>
      </c>
      <c r="S2251">
        <f t="shared" si="142"/>
        <v>0.12195359719243518</v>
      </c>
      <c r="T2251">
        <f t="shared" si="143"/>
        <v>7.0921985815602835E-3</v>
      </c>
      <c r="U2251" t="str">
        <f>YEAR('Campaign Data'!$A2251)&amp;"-"&amp;TEXT(MONTH('Campaign Data'!$A2251),"00")</f>
        <v>2026-05</v>
      </c>
    </row>
    <row r="2252" spans="1:21" x14ac:dyDescent="0.25">
      <c r="A2252">
        <v>46144</v>
      </c>
      <c r="B2252" t="s">
        <v>159</v>
      </c>
      <c r="C2252" t="s">
        <v>160</v>
      </c>
      <c r="D2252" t="s">
        <v>65</v>
      </c>
      <c r="E2252" t="s">
        <v>42</v>
      </c>
      <c r="F2252" t="s">
        <v>75</v>
      </c>
      <c r="G2252" t="s">
        <v>54</v>
      </c>
      <c r="H2252" t="s">
        <v>51</v>
      </c>
      <c r="I2252" t="s">
        <v>37</v>
      </c>
      <c r="J2252" t="s">
        <v>45</v>
      </c>
      <c r="K2252">
        <v>4154</v>
      </c>
      <c r="L2252">
        <v>19</v>
      </c>
      <c r="M2252">
        <v>118.71</v>
      </c>
      <c r="N2252">
        <v>0</v>
      </c>
      <c r="O2252">
        <v>0</v>
      </c>
      <c r="P2252">
        <f t="shared" si="140"/>
        <v>4.5739046701974003E-3</v>
      </c>
      <c r="Q2252">
        <f t="shared" si="140"/>
        <v>6.2478947368421052</v>
      </c>
      <c r="R2252">
        <f t="shared" si="141"/>
        <v>0</v>
      </c>
      <c r="S2252">
        <f t="shared" si="142"/>
        <v>0</v>
      </c>
      <c r="T2252">
        <f t="shared" si="143"/>
        <v>0</v>
      </c>
      <c r="U2252" t="str">
        <f>YEAR('Campaign Data'!$A2252)&amp;"-"&amp;TEXT(MONTH('Campaign Data'!$A2252),"00")</f>
        <v>2026-05</v>
      </c>
    </row>
    <row r="2253" spans="1:21" x14ac:dyDescent="0.25">
      <c r="A2253">
        <v>46144</v>
      </c>
      <c r="B2253" t="s">
        <v>114</v>
      </c>
      <c r="C2253" t="s">
        <v>115</v>
      </c>
      <c r="D2253" t="s">
        <v>69</v>
      </c>
      <c r="E2253" t="s">
        <v>49</v>
      </c>
      <c r="F2253" t="s">
        <v>25</v>
      </c>
      <c r="G2253" t="s">
        <v>107</v>
      </c>
      <c r="H2253" t="s">
        <v>27</v>
      </c>
      <c r="I2253" t="s">
        <v>37</v>
      </c>
      <c r="J2253" t="s">
        <v>87</v>
      </c>
      <c r="K2253">
        <v>11655</v>
      </c>
      <c r="L2253">
        <v>555</v>
      </c>
      <c r="M2253">
        <v>1509.27</v>
      </c>
      <c r="N2253">
        <v>29</v>
      </c>
      <c r="O2253">
        <v>6164.61</v>
      </c>
      <c r="P2253">
        <f t="shared" si="140"/>
        <v>4.7619047619047616E-2</v>
      </c>
      <c r="Q2253">
        <f t="shared" si="140"/>
        <v>2.7194054054054053</v>
      </c>
      <c r="R2253">
        <f t="shared" si="141"/>
        <v>52.043793103448273</v>
      </c>
      <c r="S2253">
        <f t="shared" si="142"/>
        <v>4.084497803573913</v>
      </c>
      <c r="T2253">
        <f t="shared" si="143"/>
        <v>5.2252252252252253E-2</v>
      </c>
      <c r="U2253" t="str">
        <f>YEAR('Campaign Data'!$A2253)&amp;"-"&amp;TEXT(MONTH('Campaign Data'!$A2253),"00")</f>
        <v>2026-05</v>
      </c>
    </row>
    <row r="2254" spans="1:21" x14ac:dyDescent="0.25">
      <c r="A2254">
        <v>46144</v>
      </c>
      <c r="B2254" t="s">
        <v>143</v>
      </c>
      <c r="C2254" t="s">
        <v>144</v>
      </c>
      <c r="D2254" t="s">
        <v>48</v>
      </c>
      <c r="E2254" t="s">
        <v>42</v>
      </c>
      <c r="F2254" t="s">
        <v>25</v>
      </c>
      <c r="G2254" t="s">
        <v>84</v>
      </c>
      <c r="H2254" t="s">
        <v>27</v>
      </c>
      <c r="I2254" t="s">
        <v>37</v>
      </c>
      <c r="J2254" t="s">
        <v>87</v>
      </c>
      <c r="K2254">
        <v>18861</v>
      </c>
      <c r="L2254">
        <v>106</v>
      </c>
      <c r="M2254">
        <v>787.6</v>
      </c>
      <c r="N2254">
        <v>2</v>
      </c>
      <c r="O2254">
        <v>626.03</v>
      </c>
      <c r="P2254">
        <f t="shared" si="140"/>
        <v>5.6200625629606064E-3</v>
      </c>
      <c r="Q2254">
        <f t="shared" si="140"/>
        <v>7.4301886792452834</v>
      </c>
      <c r="R2254">
        <f t="shared" si="141"/>
        <v>393.8</v>
      </c>
      <c r="S2254">
        <f t="shared" si="142"/>
        <v>0.79485779583544935</v>
      </c>
      <c r="T2254">
        <f t="shared" si="143"/>
        <v>1.8867924528301886E-2</v>
      </c>
      <c r="U2254" t="str">
        <f>YEAR('Campaign Data'!$A2254)&amp;"-"&amp;TEXT(MONTH('Campaign Data'!$A2254),"00")</f>
        <v>2026-05</v>
      </c>
    </row>
    <row r="2255" spans="1:21" x14ac:dyDescent="0.25">
      <c r="A2255">
        <v>46144</v>
      </c>
      <c r="B2255" t="s">
        <v>67</v>
      </c>
      <c r="C2255" t="s">
        <v>68</v>
      </c>
      <c r="D2255" t="s">
        <v>69</v>
      </c>
      <c r="E2255" t="s">
        <v>49</v>
      </c>
      <c r="F2255" t="s">
        <v>34</v>
      </c>
      <c r="G2255" t="s">
        <v>70</v>
      </c>
      <c r="H2255" t="s">
        <v>90</v>
      </c>
      <c r="I2255" t="s">
        <v>37</v>
      </c>
      <c r="J2255" t="s">
        <v>38</v>
      </c>
      <c r="K2255">
        <v>8192</v>
      </c>
      <c r="L2255">
        <v>487</v>
      </c>
      <c r="M2255">
        <v>176.64</v>
      </c>
      <c r="N2255">
        <v>31</v>
      </c>
      <c r="O2255">
        <v>1368.71</v>
      </c>
      <c r="P2255">
        <f t="shared" si="140"/>
        <v>5.94482421875E-2</v>
      </c>
      <c r="Q2255">
        <f t="shared" si="140"/>
        <v>0.36271047227926073</v>
      </c>
      <c r="R2255">
        <f t="shared" si="141"/>
        <v>5.6980645161290315</v>
      </c>
      <c r="S2255">
        <f t="shared" si="142"/>
        <v>7.7485846920289863</v>
      </c>
      <c r="T2255">
        <f t="shared" si="143"/>
        <v>6.3655030800821355E-2</v>
      </c>
      <c r="U2255" t="str">
        <f>YEAR('Campaign Data'!$A2255)&amp;"-"&amp;TEXT(MONTH('Campaign Data'!$A2255),"00")</f>
        <v>2026-05</v>
      </c>
    </row>
    <row r="2256" spans="1:21" x14ac:dyDescent="0.25">
      <c r="A2256">
        <v>46144</v>
      </c>
      <c r="B2256" t="s">
        <v>67</v>
      </c>
      <c r="C2256" t="s">
        <v>68</v>
      </c>
      <c r="D2256" t="s">
        <v>69</v>
      </c>
      <c r="E2256" t="s">
        <v>49</v>
      </c>
      <c r="F2256" t="s">
        <v>34</v>
      </c>
      <c r="G2256" t="s">
        <v>70</v>
      </c>
      <c r="H2256" t="s">
        <v>90</v>
      </c>
      <c r="I2256" t="s">
        <v>37</v>
      </c>
      <c r="J2256" t="s">
        <v>38</v>
      </c>
      <c r="K2256">
        <v>9657</v>
      </c>
      <c r="L2256">
        <v>644</v>
      </c>
      <c r="M2256">
        <v>353.58</v>
      </c>
      <c r="N2256">
        <v>32</v>
      </c>
      <c r="O2256">
        <v>1062.06</v>
      </c>
      <c r="P2256">
        <f t="shared" si="140"/>
        <v>6.668737703220462E-2</v>
      </c>
      <c r="Q2256">
        <f t="shared" si="140"/>
        <v>0.54903726708074529</v>
      </c>
      <c r="R2256">
        <f t="shared" si="141"/>
        <v>11.049375</v>
      </c>
      <c r="S2256">
        <f t="shared" si="142"/>
        <v>3.0037332428304766</v>
      </c>
      <c r="T2256">
        <f t="shared" si="143"/>
        <v>4.9689440993788817E-2</v>
      </c>
      <c r="U2256" t="str">
        <f>YEAR('Campaign Data'!$A2256)&amp;"-"&amp;TEXT(MONTH('Campaign Data'!$A2256),"00")</f>
        <v>2026-05</v>
      </c>
    </row>
    <row r="2257" spans="1:21" x14ac:dyDescent="0.25">
      <c r="A2257">
        <v>46144</v>
      </c>
      <c r="B2257" t="s">
        <v>116</v>
      </c>
      <c r="C2257" t="s">
        <v>117</v>
      </c>
      <c r="D2257" t="s">
        <v>48</v>
      </c>
      <c r="E2257" t="s">
        <v>24</v>
      </c>
      <c r="F2257" t="s">
        <v>43</v>
      </c>
      <c r="G2257" t="s">
        <v>26</v>
      </c>
      <c r="H2257" t="s">
        <v>27</v>
      </c>
      <c r="I2257" t="s">
        <v>37</v>
      </c>
      <c r="J2257" t="s">
        <v>45</v>
      </c>
      <c r="K2257">
        <v>6428</v>
      </c>
      <c r="L2257">
        <v>69</v>
      </c>
      <c r="M2257">
        <v>52.13</v>
      </c>
      <c r="N2257">
        <v>3</v>
      </c>
      <c r="O2257">
        <v>76.3</v>
      </c>
      <c r="P2257">
        <f t="shared" si="140"/>
        <v>1.0734287492221531E-2</v>
      </c>
      <c r="Q2257">
        <f t="shared" si="140"/>
        <v>0.75550724637681166</v>
      </c>
      <c r="R2257">
        <f t="shared" si="141"/>
        <v>17.376666666666669</v>
      </c>
      <c r="S2257">
        <f t="shared" si="142"/>
        <v>1.4636485708804909</v>
      </c>
      <c r="T2257">
        <f t="shared" si="143"/>
        <v>4.3478260869565216E-2</v>
      </c>
      <c r="U2257" t="str">
        <f>YEAR('Campaign Data'!$A2257)&amp;"-"&amp;TEXT(MONTH('Campaign Data'!$A2257),"00")</f>
        <v>2026-05</v>
      </c>
    </row>
    <row r="2258" spans="1:21" x14ac:dyDescent="0.25">
      <c r="A2258">
        <v>46144</v>
      </c>
      <c r="B2258" t="s">
        <v>120</v>
      </c>
      <c r="C2258" t="s">
        <v>121</v>
      </c>
      <c r="D2258" t="s">
        <v>23</v>
      </c>
      <c r="E2258" t="s">
        <v>49</v>
      </c>
      <c r="F2258" t="s">
        <v>75</v>
      </c>
      <c r="G2258" t="s">
        <v>70</v>
      </c>
      <c r="H2258" t="s">
        <v>36</v>
      </c>
      <c r="I2258" t="s">
        <v>28</v>
      </c>
      <c r="J2258" t="s">
        <v>45</v>
      </c>
      <c r="K2258">
        <v>7491</v>
      </c>
      <c r="L2258">
        <v>373</v>
      </c>
      <c r="M2258">
        <v>618.70000000000005</v>
      </c>
      <c r="N2258">
        <v>18</v>
      </c>
      <c r="O2258">
        <v>587.66999999999996</v>
      </c>
      <c r="P2258">
        <f t="shared" si="140"/>
        <v>4.9793085035375786E-2</v>
      </c>
      <c r="Q2258">
        <f t="shared" si="140"/>
        <v>1.6587131367292227</v>
      </c>
      <c r="R2258">
        <f t="shared" si="141"/>
        <v>34.372222222222227</v>
      </c>
      <c r="S2258">
        <f t="shared" si="142"/>
        <v>0.94984645223856456</v>
      </c>
      <c r="T2258">
        <f t="shared" si="143"/>
        <v>4.8257372654155493E-2</v>
      </c>
      <c r="U2258" t="str">
        <f>YEAR('Campaign Data'!$A2258)&amp;"-"&amp;TEXT(MONTH('Campaign Data'!$A2258),"00")</f>
        <v>2026-05</v>
      </c>
    </row>
    <row r="2259" spans="1:21" x14ac:dyDescent="0.25">
      <c r="A2259">
        <v>46145</v>
      </c>
      <c r="B2259" t="s">
        <v>173</v>
      </c>
      <c r="C2259" t="s">
        <v>174</v>
      </c>
      <c r="D2259" t="s">
        <v>48</v>
      </c>
      <c r="E2259" t="s">
        <v>74</v>
      </c>
      <c r="F2259" t="s">
        <v>25</v>
      </c>
      <c r="G2259" t="s">
        <v>9</v>
      </c>
      <c r="H2259" t="s">
        <v>55</v>
      </c>
      <c r="I2259" t="s">
        <v>28</v>
      </c>
      <c r="J2259" t="s">
        <v>87</v>
      </c>
      <c r="K2259">
        <v>9856</v>
      </c>
      <c r="L2259">
        <v>397</v>
      </c>
      <c r="M2259">
        <v>449.76</v>
      </c>
      <c r="N2259">
        <v>16</v>
      </c>
      <c r="O2259">
        <v>2068.8000000000002</v>
      </c>
      <c r="P2259">
        <f t="shared" si="140"/>
        <v>4.0280032467532464E-2</v>
      </c>
      <c r="Q2259">
        <f t="shared" si="140"/>
        <v>1.132896725440806</v>
      </c>
      <c r="R2259">
        <f t="shared" si="141"/>
        <v>28.11</v>
      </c>
      <c r="S2259">
        <f t="shared" si="142"/>
        <v>4.5997865528281752</v>
      </c>
      <c r="T2259">
        <f t="shared" si="143"/>
        <v>4.0302267002518891E-2</v>
      </c>
      <c r="U2259" t="str">
        <f>YEAR('Campaign Data'!$A2259)&amp;"-"&amp;TEXT(MONTH('Campaign Data'!$A2259),"00")</f>
        <v>2026-05</v>
      </c>
    </row>
    <row r="2260" spans="1:21" x14ac:dyDescent="0.25">
      <c r="A2260">
        <v>46145</v>
      </c>
      <c r="B2260" t="s">
        <v>85</v>
      </c>
      <c r="C2260" t="s">
        <v>86</v>
      </c>
      <c r="D2260" t="s">
        <v>80</v>
      </c>
      <c r="E2260" t="s">
        <v>33</v>
      </c>
      <c r="F2260" t="s">
        <v>43</v>
      </c>
      <c r="G2260" t="s">
        <v>35</v>
      </c>
      <c r="H2260" t="s">
        <v>36</v>
      </c>
      <c r="I2260" t="s">
        <v>37</v>
      </c>
      <c r="J2260" t="s">
        <v>62</v>
      </c>
      <c r="K2260">
        <v>5503</v>
      </c>
      <c r="L2260">
        <v>82</v>
      </c>
      <c r="M2260">
        <v>58.37</v>
      </c>
      <c r="N2260">
        <v>1</v>
      </c>
      <c r="O2260">
        <v>36.57</v>
      </c>
      <c r="P2260">
        <f t="shared" si="140"/>
        <v>1.4900963111030348E-2</v>
      </c>
      <c r="Q2260">
        <f t="shared" si="140"/>
        <v>0.71182926829268289</v>
      </c>
      <c r="R2260">
        <f t="shared" si="141"/>
        <v>58.37</v>
      </c>
      <c r="S2260">
        <f t="shared" si="142"/>
        <v>0.62652047284563994</v>
      </c>
      <c r="T2260">
        <f t="shared" si="143"/>
        <v>1.2195121951219513E-2</v>
      </c>
      <c r="U2260" t="str">
        <f>YEAR('Campaign Data'!$A2260)&amp;"-"&amp;TEXT(MONTH('Campaign Data'!$A2260),"00")</f>
        <v>2026-05</v>
      </c>
    </row>
    <row r="2261" spans="1:21" x14ac:dyDescent="0.25">
      <c r="A2261">
        <v>46145</v>
      </c>
      <c r="B2261" t="s">
        <v>88</v>
      </c>
      <c r="C2261" t="s">
        <v>89</v>
      </c>
      <c r="D2261" t="s">
        <v>23</v>
      </c>
      <c r="E2261" t="s">
        <v>49</v>
      </c>
      <c r="F2261" t="s">
        <v>81</v>
      </c>
      <c r="G2261" t="s">
        <v>50</v>
      </c>
      <c r="H2261" t="s">
        <v>90</v>
      </c>
      <c r="I2261" t="s">
        <v>37</v>
      </c>
      <c r="J2261" t="s">
        <v>45</v>
      </c>
      <c r="K2261">
        <v>974</v>
      </c>
      <c r="L2261">
        <v>48</v>
      </c>
      <c r="M2261">
        <v>18.68</v>
      </c>
      <c r="N2261">
        <v>3</v>
      </c>
      <c r="O2261">
        <v>15</v>
      </c>
      <c r="P2261">
        <f t="shared" si="140"/>
        <v>4.9281314168377825E-2</v>
      </c>
      <c r="Q2261">
        <f t="shared" si="140"/>
        <v>0.38916666666666666</v>
      </c>
      <c r="R2261">
        <f t="shared" si="141"/>
        <v>6.2266666666666666</v>
      </c>
      <c r="S2261">
        <f t="shared" si="142"/>
        <v>0.80299785867237694</v>
      </c>
      <c r="T2261">
        <f t="shared" si="143"/>
        <v>6.25E-2</v>
      </c>
      <c r="U2261" t="str">
        <f>YEAR('Campaign Data'!$A2261)&amp;"-"&amp;TEXT(MONTH('Campaign Data'!$A2261),"00")</f>
        <v>2026-05</v>
      </c>
    </row>
    <row r="2262" spans="1:21" x14ac:dyDescent="0.25">
      <c r="A2262">
        <v>46145</v>
      </c>
      <c r="B2262" t="s">
        <v>21</v>
      </c>
      <c r="C2262" t="s">
        <v>124</v>
      </c>
      <c r="D2262" t="s">
        <v>23</v>
      </c>
      <c r="E2262" t="s">
        <v>24</v>
      </c>
      <c r="F2262" t="s">
        <v>25</v>
      </c>
      <c r="G2262" t="s">
        <v>26</v>
      </c>
      <c r="H2262" t="s">
        <v>90</v>
      </c>
      <c r="I2262" t="s">
        <v>28</v>
      </c>
      <c r="J2262" t="s">
        <v>38</v>
      </c>
      <c r="K2262">
        <v>33211</v>
      </c>
      <c r="L2262">
        <v>468</v>
      </c>
      <c r="M2262">
        <v>130.93</v>
      </c>
      <c r="N2262">
        <v>10</v>
      </c>
      <c r="O2262">
        <v>126.16</v>
      </c>
      <c r="P2262">
        <f t="shared" si="140"/>
        <v>1.4091716599921712E-2</v>
      </c>
      <c r="Q2262">
        <f t="shared" si="140"/>
        <v>0.27976495726495726</v>
      </c>
      <c r="R2262">
        <f t="shared" si="141"/>
        <v>13.093</v>
      </c>
      <c r="S2262">
        <f t="shared" si="142"/>
        <v>0.9635683189490567</v>
      </c>
      <c r="T2262">
        <f t="shared" si="143"/>
        <v>2.1367521367521368E-2</v>
      </c>
      <c r="U2262" t="str">
        <f>YEAR('Campaign Data'!$A2262)&amp;"-"&amp;TEXT(MONTH('Campaign Data'!$A2262),"00")</f>
        <v>2026-05</v>
      </c>
    </row>
    <row r="2263" spans="1:21" x14ac:dyDescent="0.25">
      <c r="A2263">
        <v>46145</v>
      </c>
      <c r="B2263" t="s">
        <v>167</v>
      </c>
      <c r="C2263" t="s">
        <v>168</v>
      </c>
      <c r="D2263" t="s">
        <v>58</v>
      </c>
      <c r="E2263" t="s">
        <v>33</v>
      </c>
      <c r="F2263" t="s">
        <v>75</v>
      </c>
      <c r="G2263" t="s">
        <v>35</v>
      </c>
      <c r="H2263" t="s">
        <v>27</v>
      </c>
      <c r="I2263" t="s">
        <v>37</v>
      </c>
      <c r="J2263" t="s">
        <v>62</v>
      </c>
      <c r="K2263">
        <v>7896</v>
      </c>
      <c r="L2263">
        <v>132</v>
      </c>
      <c r="M2263">
        <v>101.68</v>
      </c>
      <c r="N2263">
        <v>0</v>
      </c>
      <c r="O2263">
        <v>0</v>
      </c>
      <c r="P2263">
        <f t="shared" si="140"/>
        <v>1.6717325227963525E-2</v>
      </c>
      <c r="Q2263">
        <f t="shared" si="140"/>
        <v>0.77030303030303038</v>
      </c>
      <c r="R2263">
        <f t="shared" si="141"/>
        <v>0</v>
      </c>
      <c r="S2263">
        <f t="shared" si="142"/>
        <v>0</v>
      </c>
      <c r="T2263">
        <f t="shared" si="143"/>
        <v>0</v>
      </c>
      <c r="U2263" t="str">
        <f>YEAR('Campaign Data'!$A2263)&amp;"-"&amp;TEXT(MONTH('Campaign Data'!$A2263),"00")</f>
        <v>2026-05</v>
      </c>
    </row>
    <row r="2264" spans="1:21" x14ac:dyDescent="0.25">
      <c r="A2264">
        <v>46145</v>
      </c>
      <c r="B2264" t="s">
        <v>147</v>
      </c>
      <c r="C2264" t="s">
        <v>148</v>
      </c>
      <c r="D2264" t="s">
        <v>23</v>
      </c>
      <c r="E2264" t="s">
        <v>42</v>
      </c>
      <c r="F2264" t="s">
        <v>75</v>
      </c>
      <c r="G2264" t="s">
        <v>44</v>
      </c>
      <c r="H2264" t="s">
        <v>27</v>
      </c>
      <c r="I2264" t="s">
        <v>28</v>
      </c>
      <c r="J2264" t="s">
        <v>29</v>
      </c>
      <c r="K2264">
        <v>8809</v>
      </c>
      <c r="L2264">
        <v>36</v>
      </c>
      <c r="M2264">
        <v>243.24</v>
      </c>
      <c r="N2264">
        <v>1</v>
      </c>
      <c r="O2264">
        <v>65.430000000000007</v>
      </c>
      <c r="P2264">
        <f t="shared" si="140"/>
        <v>4.0867294812123962E-3</v>
      </c>
      <c r="Q2264">
        <f t="shared" si="140"/>
        <v>6.7566666666666668</v>
      </c>
      <c r="R2264">
        <f t="shared" si="141"/>
        <v>243.24</v>
      </c>
      <c r="S2264">
        <f t="shared" si="142"/>
        <v>0.26899358658115441</v>
      </c>
      <c r="T2264">
        <f t="shared" si="143"/>
        <v>2.7777777777777776E-2</v>
      </c>
      <c r="U2264" t="str">
        <f>YEAR('Campaign Data'!$A2264)&amp;"-"&amp;TEXT(MONTH('Campaign Data'!$A2264),"00")</f>
        <v>2026-05</v>
      </c>
    </row>
    <row r="2265" spans="1:21" x14ac:dyDescent="0.25">
      <c r="A2265">
        <v>46145</v>
      </c>
      <c r="B2265" t="s">
        <v>186</v>
      </c>
      <c r="C2265" t="s">
        <v>187</v>
      </c>
      <c r="D2265" t="s">
        <v>80</v>
      </c>
      <c r="E2265" t="s">
        <v>33</v>
      </c>
      <c r="F2265" t="s">
        <v>43</v>
      </c>
      <c r="G2265" t="s">
        <v>102</v>
      </c>
      <c r="H2265" t="s">
        <v>51</v>
      </c>
      <c r="I2265" t="s">
        <v>28</v>
      </c>
      <c r="J2265" t="s">
        <v>87</v>
      </c>
      <c r="K2265">
        <v>4143</v>
      </c>
      <c r="L2265">
        <v>24</v>
      </c>
      <c r="M2265">
        <v>9.1999999999999993</v>
      </c>
      <c r="N2265">
        <v>0</v>
      </c>
      <c r="O2265">
        <v>0</v>
      </c>
      <c r="P2265">
        <f t="shared" si="140"/>
        <v>5.7929036929761039E-3</v>
      </c>
      <c r="Q2265">
        <f t="shared" si="140"/>
        <v>0.3833333333333333</v>
      </c>
      <c r="R2265">
        <f t="shared" si="141"/>
        <v>0</v>
      </c>
      <c r="S2265">
        <f t="shared" si="142"/>
        <v>0</v>
      </c>
      <c r="T2265">
        <f t="shared" si="143"/>
        <v>0</v>
      </c>
      <c r="U2265" t="str">
        <f>YEAR('Campaign Data'!$A2265)&amp;"-"&amp;TEXT(MONTH('Campaign Data'!$A2265),"00")</f>
        <v>2026-05</v>
      </c>
    </row>
    <row r="2266" spans="1:21" x14ac:dyDescent="0.25">
      <c r="A2266">
        <v>46145</v>
      </c>
      <c r="B2266" t="s">
        <v>95</v>
      </c>
      <c r="C2266" t="s">
        <v>96</v>
      </c>
      <c r="D2266" t="s">
        <v>23</v>
      </c>
      <c r="E2266" t="s">
        <v>49</v>
      </c>
      <c r="F2266" t="s">
        <v>43</v>
      </c>
      <c r="G2266" t="s">
        <v>97</v>
      </c>
      <c r="H2266" t="s">
        <v>27</v>
      </c>
      <c r="I2266" t="s">
        <v>28</v>
      </c>
      <c r="J2266" t="s">
        <v>29</v>
      </c>
      <c r="K2266">
        <v>27515</v>
      </c>
      <c r="L2266">
        <v>1367</v>
      </c>
      <c r="M2266">
        <v>3754.34</v>
      </c>
      <c r="N2266">
        <v>68</v>
      </c>
      <c r="O2266">
        <v>1934.59</v>
      </c>
      <c r="P2266">
        <f t="shared" si="140"/>
        <v>4.9681991640923136E-2</v>
      </c>
      <c r="Q2266">
        <f t="shared" si="140"/>
        <v>2.7464081931236284</v>
      </c>
      <c r="R2266">
        <f t="shared" si="141"/>
        <v>55.210882352941177</v>
      </c>
      <c r="S2266">
        <f t="shared" si="142"/>
        <v>0.51529429939749727</v>
      </c>
      <c r="T2266">
        <f t="shared" si="143"/>
        <v>4.9743964886613021E-2</v>
      </c>
      <c r="U2266" t="str">
        <f>YEAR('Campaign Data'!$A2266)&amp;"-"&amp;TEXT(MONTH('Campaign Data'!$A2266),"00")</f>
        <v>2026-05</v>
      </c>
    </row>
    <row r="2267" spans="1:21" x14ac:dyDescent="0.25">
      <c r="A2267">
        <v>46145</v>
      </c>
      <c r="B2267" t="s">
        <v>46</v>
      </c>
      <c r="C2267" t="s">
        <v>47</v>
      </c>
      <c r="D2267" t="s">
        <v>48</v>
      </c>
      <c r="E2267" t="s">
        <v>49</v>
      </c>
      <c r="F2267" t="s">
        <v>43</v>
      </c>
      <c r="G2267" t="s">
        <v>50</v>
      </c>
      <c r="H2267" t="s">
        <v>51</v>
      </c>
      <c r="I2267" t="s">
        <v>28</v>
      </c>
      <c r="J2267" t="s">
        <v>62</v>
      </c>
      <c r="K2267">
        <v>5502</v>
      </c>
      <c r="L2267">
        <v>421</v>
      </c>
      <c r="M2267">
        <v>638.25</v>
      </c>
      <c r="N2267">
        <v>22</v>
      </c>
      <c r="O2267">
        <v>525.66999999999996</v>
      </c>
      <c r="P2267">
        <f t="shared" si="140"/>
        <v>7.6517629952744456E-2</v>
      </c>
      <c r="Q2267">
        <f t="shared" si="140"/>
        <v>1.5160332541567696</v>
      </c>
      <c r="R2267">
        <f t="shared" si="141"/>
        <v>29.011363636363637</v>
      </c>
      <c r="S2267">
        <f t="shared" si="142"/>
        <v>0.82361143752448096</v>
      </c>
      <c r="T2267">
        <f t="shared" si="143"/>
        <v>5.2256532066508314E-2</v>
      </c>
      <c r="U2267" t="str">
        <f>YEAR('Campaign Data'!$A2267)&amp;"-"&amp;TEXT(MONTH('Campaign Data'!$A2267),"00")</f>
        <v>2026-05</v>
      </c>
    </row>
    <row r="2268" spans="1:21" x14ac:dyDescent="0.25">
      <c r="A2268">
        <v>46145</v>
      </c>
      <c r="B2268" t="s">
        <v>98</v>
      </c>
      <c r="C2268" t="s">
        <v>99</v>
      </c>
      <c r="D2268" t="s">
        <v>69</v>
      </c>
      <c r="E2268" t="s">
        <v>24</v>
      </c>
      <c r="F2268" t="s">
        <v>75</v>
      </c>
      <c r="G2268" t="s">
        <v>66</v>
      </c>
      <c r="H2268" t="s">
        <v>27</v>
      </c>
      <c r="I2268" t="s">
        <v>28</v>
      </c>
      <c r="J2268" t="s">
        <v>62</v>
      </c>
      <c r="K2268">
        <v>10499</v>
      </c>
      <c r="L2268">
        <v>110</v>
      </c>
      <c r="M2268">
        <v>161.02000000000001</v>
      </c>
      <c r="N2268">
        <v>5</v>
      </c>
      <c r="O2268">
        <v>183.36</v>
      </c>
      <c r="P2268">
        <f t="shared" si="140"/>
        <v>1.0477188303647966E-2</v>
      </c>
      <c r="Q2268">
        <f t="shared" si="140"/>
        <v>1.4638181818181819</v>
      </c>
      <c r="R2268">
        <f t="shared" si="141"/>
        <v>32.204000000000001</v>
      </c>
      <c r="S2268">
        <f t="shared" si="142"/>
        <v>1.1387405291268164</v>
      </c>
      <c r="T2268">
        <f t="shared" si="143"/>
        <v>4.5454545454545456E-2</v>
      </c>
      <c r="U2268" t="str">
        <f>YEAR('Campaign Data'!$A2268)&amp;"-"&amp;TEXT(MONTH('Campaign Data'!$A2268),"00")</f>
        <v>2026-05</v>
      </c>
    </row>
    <row r="2269" spans="1:21" x14ac:dyDescent="0.25">
      <c r="A2269">
        <v>46145</v>
      </c>
      <c r="B2269" t="s">
        <v>100</v>
      </c>
      <c r="C2269" t="s">
        <v>101</v>
      </c>
      <c r="D2269" t="s">
        <v>80</v>
      </c>
      <c r="E2269" t="s">
        <v>33</v>
      </c>
      <c r="F2269" t="s">
        <v>25</v>
      </c>
      <c r="G2269" t="s">
        <v>102</v>
      </c>
      <c r="H2269" t="s">
        <v>27</v>
      </c>
      <c r="I2269" t="s">
        <v>28</v>
      </c>
      <c r="J2269" t="s">
        <v>29</v>
      </c>
      <c r="K2269">
        <v>6818</v>
      </c>
      <c r="L2269">
        <v>80</v>
      </c>
      <c r="M2269">
        <v>57.39</v>
      </c>
      <c r="N2269">
        <v>1</v>
      </c>
      <c r="O2269">
        <v>169.77</v>
      </c>
      <c r="P2269">
        <f t="shared" si="140"/>
        <v>1.1733646230566148E-2</v>
      </c>
      <c r="Q2269">
        <f t="shared" si="140"/>
        <v>0.71737499999999998</v>
      </c>
      <c r="R2269">
        <f t="shared" si="141"/>
        <v>57.39</v>
      </c>
      <c r="S2269">
        <f t="shared" si="142"/>
        <v>2.9581808677469943</v>
      </c>
      <c r="T2269">
        <f t="shared" si="143"/>
        <v>1.2500000000000001E-2</v>
      </c>
      <c r="U2269" t="str">
        <f>YEAR('Campaign Data'!$A2269)&amp;"-"&amp;TEXT(MONTH('Campaign Data'!$A2269),"00")</f>
        <v>2026-05</v>
      </c>
    </row>
    <row r="2270" spans="1:21" x14ac:dyDescent="0.25">
      <c r="A2270">
        <v>46145</v>
      </c>
      <c r="B2270" t="s">
        <v>127</v>
      </c>
      <c r="C2270" t="s">
        <v>128</v>
      </c>
      <c r="D2270" t="s">
        <v>58</v>
      </c>
      <c r="E2270" t="s">
        <v>24</v>
      </c>
      <c r="F2270" t="s">
        <v>81</v>
      </c>
      <c r="G2270" t="s">
        <v>129</v>
      </c>
      <c r="H2270" t="s">
        <v>60</v>
      </c>
      <c r="I2270" t="s">
        <v>37</v>
      </c>
      <c r="J2270" t="s">
        <v>45</v>
      </c>
      <c r="K2270">
        <v>6130</v>
      </c>
      <c r="L2270">
        <v>48</v>
      </c>
      <c r="M2270">
        <v>56.41</v>
      </c>
      <c r="N2270">
        <v>1</v>
      </c>
      <c r="O2270">
        <v>5</v>
      </c>
      <c r="P2270">
        <f t="shared" si="140"/>
        <v>7.8303425774877648E-3</v>
      </c>
      <c r="Q2270">
        <f t="shared" si="140"/>
        <v>1.1752083333333332</v>
      </c>
      <c r="R2270">
        <f t="shared" si="141"/>
        <v>56.41</v>
      </c>
      <c r="S2270">
        <f t="shared" si="142"/>
        <v>8.8636766530756958E-2</v>
      </c>
      <c r="T2270">
        <f t="shared" si="143"/>
        <v>2.0833333333333332E-2</v>
      </c>
      <c r="U2270" t="str">
        <f>YEAR('Campaign Data'!$A2270)&amp;"-"&amp;TEXT(MONTH('Campaign Data'!$A2270),"00")</f>
        <v>2026-05</v>
      </c>
    </row>
    <row r="2271" spans="1:21" x14ac:dyDescent="0.25">
      <c r="A2271">
        <v>46145</v>
      </c>
      <c r="B2271" t="s">
        <v>103</v>
      </c>
      <c r="C2271" t="s">
        <v>104</v>
      </c>
      <c r="D2271" t="s">
        <v>65</v>
      </c>
      <c r="E2271" t="s">
        <v>33</v>
      </c>
      <c r="F2271" t="s">
        <v>43</v>
      </c>
      <c r="G2271" t="s">
        <v>102</v>
      </c>
      <c r="H2271" t="s">
        <v>27</v>
      </c>
      <c r="I2271" t="s">
        <v>28</v>
      </c>
      <c r="J2271" t="s">
        <v>62</v>
      </c>
      <c r="K2271">
        <v>2774</v>
      </c>
      <c r="L2271">
        <v>35</v>
      </c>
      <c r="M2271">
        <v>30.72</v>
      </c>
      <c r="N2271">
        <v>0</v>
      </c>
      <c r="O2271">
        <v>0</v>
      </c>
      <c r="P2271">
        <f t="shared" si="140"/>
        <v>1.2617159336697908E-2</v>
      </c>
      <c r="Q2271">
        <f t="shared" si="140"/>
        <v>0.87771428571428567</v>
      </c>
      <c r="R2271">
        <f t="shared" si="141"/>
        <v>0</v>
      </c>
      <c r="S2271">
        <f t="shared" si="142"/>
        <v>0</v>
      </c>
      <c r="T2271">
        <f t="shared" si="143"/>
        <v>0</v>
      </c>
      <c r="U2271" t="str">
        <f>YEAR('Campaign Data'!$A2271)&amp;"-"&amp;TEXT(MONTH('Campaign Data'!$A2271),"00")</f>
        <v>2026-05</v>
      </c>
    </row>
    <row r="2272" spans="1:21" x14ac:dyDescent="0.25">
      <c r="A2272">
        <v>46145</v>
      </c>
      <c r="B2272" t="s">
        <v>103</v>
      </c>
      <c r="C2272" t="s">
        <v>104</v>
      </c>
      <c r="D2272" t="s">
        <v>65</v>
      </c>
      <c r="E2272" t="s">
        <v>33</v>
      </c>
      <c r="F2272" t="s">
        <v>43</v>
      </c>
      <c r="G2272" t="s">
        <v>102</v>
      </c>
      <c r="H2272" t="s">
        <v>27</v>
      </c>
      <c r="I2272" t="s">
        <v>28</v>
      </c>
      <c r="J2272" t="s">
        <v>62</v>
      </c>
      <c r="K2272">
        <v>4433</v>
      </c>
      <c r="L2272">
        <v>61</v>
      </c>
      <c r="M2272">
        <v>41.96</v>
      </c>
      <c r="N2272">
        <v>1</v>
      </c>
      <c r="O2272">
        <v>31.55</v>
      </c>
      <c r="P2272">
        <f t="shared" si="140"/>
        <v>1.3760433115271826E-2</v>
      </c>
      <c r="Q2272">
        <f t="shared" si="140"/>
        <v>0.68786885245901641</v>
      </c>
      <c r="R2272">
        <f t="shared" si="141"/>
        <v>41.96</v>
      </c>
      <c r="S2272">
        <f t="shared" si="142"/>
        <v>0.75190657769304103</v>
      </c>
      <c r="T2272">
        <f t="shared" si="143"/>
        <v>1.6393442622950821E-2</v>
      </c>
      <c r="U2272" t="str">
        <f>YEAR('Campaign Data'!$A2272)&amp;"-"&amp;TEXT(MONTH('Campaign Data'!$A2272),"00")</f>
        <v>2026-05</v>
      </c>
    </row>
    <row r="2273" spans="1:21" x14ac:dyDescent="0.25">
      <c r="A2273">
        <v>46145</v>
      </c>
      <c r="B2273" t="s">
        <v>179</v>
      </c>
      <c r="C2273" t="s">
        <v>180</v>
      </c>
      <c r="D2273" t="s">
        <v>58</v>
      </c>
      <c r="E2273" t="s">
        <v>42</v>
      </c>
      <c r="F2273" t="s">
        <v>25</v>
      </c>
      <c r="G2273" t="s">
        <v>54</v>
      </c>
      <c r="H2273" t="s">
        <v>60</v>
      </c>
      <c r="I2273" t="s">
        <v>28</v>
      </c>
      <c r="J2273" t="s">
        <v>87</v>
      </c>
      <c r="K2273">
        <v>4342</v>
      </c>
      <c r="L2273">
        <v>20</v>
      </c>
      <c r="M2273">
        <v>85.88</v>
      </c>
      <c r="N2273">
        <v>1</v>
      </c>
      <c r="O2273">
        <v>167.84</v>
      </c>
      <c r="P2273">
        <f t="shared" si="140"/>
        <v>4.6061722708429292E-3</v>
      </c>
      <c r="Q2273">
        <f t="shared" si="140"/>
        <v>4.2939999999999996</v>
      </c>
      <c r="R2273">
        <f t="shared" si="141"/>
        <v>85.88</v>
      </c>
      <c r="S2273">
        <f t="shared" si="142"/>
        <v>1.9543549138332559</v>
      </c>
      <c r="T2273">
        <f t="shared" si="143"/>
        <v>0.05</v>
      </c>
      <c r="U2273" t="str">
        <f>YEAR('Campaign Data'!$A2273)&amp;"-"&amp;TEXT(MONTH('Campaign Data'!$A2273),"00")</f>
        <v>2026-05</v>
      </c>
    </row>
    <row r="2274" spans="1:21" x14ac:dyDescent="0.25">
      <c r="A2274">
        <v>46145</v>
      </c>
      <c r="B2274" t="s">
        <v>110</v>
      </c>
      <c r="C2274" t="s">
        <v>111</v>
      </c>
      <c r="D2274" t="s">
        <v>23</v>
      </c>
      <c r="E2274" t="s">
        <v>49</v>
      </c>
      <c r="F2274" t="s">
        <v>34</v>
      </c>
      <c r="G2274" t="s">
        <v>50</v>
      </c>
      <c r="H2274" t="s">
        <v>90</v>
      </c>
      <c r="I2274" t="s">
        <v>61</v>
      </c>
      <c r="J2274" t="s">
        <v>87</v>
      </c>
      <c r="K2274">
        <v>4443</v>
      </c>
      <c r="L2274">
        <v>243</v>
      </c>
      <c r="M2274">
        <v>139.83000000000001</v>
      </c>
      <c r="N2274">
        <v>14</v>
      </c>
      <c r="O2274">
        <v>468.65</v>
      </c>
      <c r="P2274">
        <f t="shared" si="140"/>
        <v>5.4692775151924375E-2</v>
      </c>
      <c r="Q2274">
        <f t="shared" si="140"/>
        <v>0.57543209876543211</v>
      </c>
      <c r="R2274">
        <f t="shared" si="141"/>
        <v>9.987857142857143</v>
      </c>
      <c r="S2274">
        <f t="shared" si="142"/>
        <v>3.3515697632839871</v>
      </c>
      <c r="T2274">
        <f t="shared" si="143"/>
        <v>5.7613168724279837E-2</v>
      </c>
      <c r="U2274" t="str">
        <f>YEAR('Campaign Data'!$A2274)&amp;"-"&amp;TEXT(MONTH('Campaign Data'!$A2274),"00")</f>
        <v>2026-05</v>
      </c>
    </row>
    <row r="2275" spans="1:21" x14ac:dyDescent="0.25">
      <c r="A2275">
        <v>46145</v>
      </c>
      <c r="B2275" t="s">
        <v>110</v>
      </c>
      <c r="C2275" t="s">
        <v>111</v>
      </c>
      <c r="D2275" t="s">
        <v>23</v>
      </c>
      <c r="E2275" t="s">
        <v>49</v>
      </c>
      <c r="F2275" t="s">
        <v>34</v>
      </c>
      <c r="G2275" t="s">
        <v>50</v>
      </c>
      <c r="H2275" t="s">
        <v>36</v>
      </c>
      <c r="I2275" t="s">
        <v>28</v>
      </c>
      <c r="J2275" t="s">
        <v>38</v>
      </c>
      <c r="K2275">
        <v>4935</v>
      </c>
      <c r="L2275">
        <v>260</v>
      </c>
      <c r="M2275">
        <v>342.78</v>
      </c>
      <c r="N2275">
        <v>14</v>
      </c>
      <c r="O2275">
        <v>2220.87</v>
      </c>
      <c r="P2275">
        <f t="shared" si="140"/>
        <v>5.2684903748733539E-2</v>
      </c>
      <c r="Q2275">
        <f t="shared" si="140"/>
        <v>1.3183846153846153</v>
      </c>
      <c r="R2275">
        <f t="shared" si="141"/>
        <v>24.484285714285711</v>
      </c>
      <c r="S2275">
        <f t="shared" si="142"/>
        <v>6.4789952739366363</v>
      </c>
      <c r="T2275">
        <f t="shared" si="143"/>
        <v>5.3846153846153849E-2</v>
      </c>
      <c r="U2275" t="str">
        <f>YEAR('Campaign Data'!$A2275)&amp;"-"&amp;TEXT(MONTH('Campaign Data'!$A2275),"00")</f>
        <v>2026-05</v>
      </c>
    </row>
    <row r="2276" spans="1:21" x14ac:dyDescent="0.25">
      <c r="A2276">
        <v>46145</v>
      </c>
      <c r="B2276" t="s">
        <v>155</v>
      </c>
      <c r="C2276" t="s">
        <v>156</v>
      </c>
      <c r="D2276" t="s">
        <v>32</v>
      </c>
      <c r="E2276" t="s">
        <v>24</v>
      </c>
      <c r="F2276" t="s">
        <v>34</v>
      </c>
      <c r="G2276" t="s">
        <v>129</v>
      </c>
      <c r="H2276" t="s">
        <v>71</v>
      </c>
      <c r="I2276" t="s">
        <v>37</v>
      </c>
      <c r="J2276" t="s">
        <v>29</v>
      </c>
      <c r="K2276">
        <v>13427</v>
      </c>
      <c r="L2276">
        <v>181</v>
      </c>
      <c r="M2276">
        <v>79.48</v>
      </c>
      <c r="N2276">
        <v>2</v>
      </c>
      <c r="O2276">
        <v>186.52</v>
      </c>
      <c r="P2276">
        <f t="shared" si="140"/>
        <v>1.3480300886273926E-2</v>
      </c>
      <c r="Q2276">
        <f t="shared" si="140"/>
        <v>0.43911602209944756</v>
      </c>
      <c r="R2276">
        <f t="shared" si="141"/>
        <v>39.74</v>
      </c>
      <c r="S2276">
        <f t="shared" si="142"/>
        <v>2.3467539003522897</v>
      </c>
      <c r="T2276">
        <f t="shared" si="143"/>
        <v>1.1049723756906077E-2</v>
      </c>
      <c r="U2276" t="str">
        <f>YEAR('Campaign Data'!$A2276)&amp;"-"&amp;TEXT(MONTH('Campaign Data'!$A2276),"00")</f>
        <v>2026-05</v>
      </c>
    </row>
    <row r="2277" spans="1:21" x14ac:dyDescent="0.25">
      <c r="A2277">
        <v>46145</v>
      </c>
      <c r="B2277" t="s">
        <v>157</v>
      </c>
      <c r="C2277" t="s">
        <v>158</v>
      </c>
      <c r="D2277" t="s">
        <v>58</v>
      </c>
      <c r="E2277" t="s">
        <v>49</v>
      </c>
      <c r="F2277" t="s">
        <v>81</v>
      </c>
      <c r="G2277" t="s">
        <v>50</v>
      </c>
      <c r="H2277" t="s">
        <v>36</v>
      </c>
      <c r="I2277" t="s">
        <v>28</v>
      </c>
      <c r="J2277" t="s">
        <v>87</v>
      </c>
      <c r="K2277">
        <v>7120</v>
      </c>
      <c r="L2277">
        <v>324</v>
      </c>
      <c r="M2277">
        <v>580.66999999999996</v>
      </c>
      <c r="N2277">
        <v>20</v>
      </c>
      <c r="O2277">
        <v>330.56</v>
      </c>
      <c r="P2277">
        <f t="shared" si="140"/>
        <v>4.5505617977528091E-2</v>
      </c>
      <c r="Q2277">
        <f t="shared" si="140"/>
        <v>1.7921913580246913</v>
      </c>
      <c r="R2277">
        <f t="shared" si="141"/>
        <v>29.033499999999997</v>
      </c>
      <c r="S2277">
        <f t="shared" si="142"/>
        <v>0.56927342552568594</v>
      </c>
      <c r="T2277">
        <f t="shared" si="143"/>
        <v>6.1728395061728392E-2</v>
      </c>
      <c r="U2277" t="str">
        <f>YEAR('Campaign Data'!$A2277)&amp;"-"&amp;TEXT(MONTH('Campaign Data'!$A2277),"00")</f>
        <v>2026-05</v>
      </c>
    </row>
    <row r="2278" spans="1:21" x14ac:dyDescent="0.25">
      <c r="A2278">
        <v>46145</v>
      </c>
      <c r="B2278" t="s">
        <v>157</v>
      </c>
      <c r="C2278" t="s">
        <v>158</v>
      </c>
      <c r="D2278" t="s">
        <v>58</v>
      </c>
      <c r="E2278" t="s">
        <v>49</v>
      </c>
      <c r="F2278" t="s">
        <v>81</v>
      </c>
      <c r="G2278" t="s">
        <v>50</v>
      </c>
      <c r="H2278" t="s">
        <v>27</v>
      </c>
      <c r="I2278" t="s">
        <v>37</v>
      </c>
      <c r="J2278" t="s">
        <v>45</v>
      </c>
      <c r="K2278">
        <v>4901</v>
      </c>
      <c r="L2278">
        <v>222</v>
      </c>
      <c r="M2278">
        <v>556.46</v>
      </c>
      <c r="N2278">
        <v>7</v>
      </c>
      <c r="O2278">
        <v>219.19</v>
      </c>
      <c r="P2278">
        <f t="shared" si="140"/>
        <v>4.5296878188124876E-2</v>
      </c>
      <c r="Q2278">
        <f t="shared" si="140"/>
        <v>2.5065765765765766</v>
      </c>
      <c r="R2278">
        <f t="shared" si="141"/>
        <v>79.494285714285724</v>
      </c>
      <c r="S2278">
        <f t="shared" si="142"/>
        <v>0.3939007296121913</v>
      </c>
      <c r="T2278">
        <f t="shared" si="143"/>
        <v>3.1531531531531529E-2</v>
      </c>
      <c r="U2278" t="str">
        <f>YEAR('Campaign Data'!$A2278)&amp;"-"&amp;TEXT(MONTH('Campaign Data'!$A2278),"00")</f>
        <v>2026-05</v>
      </c>
    </row>
    <row r="2279" spans="1:21" x14ac:dyDescent="0.25">
      <c r="A2279">
        <v>46145</v>
      </c>
      <c r="B2279" t="s">
        <v>112</v>
      </c>
      <c r="C2279" t="s">
        <v>113</v>
      </c>
      <c r="D2279" t="s">
        <v>32</v>
      </c>
      <c r="E2279" t="s">
        <v>24</v>
      </c>
      <c r="F2279" t="s">
        <v>75</v>
      </c>
      <c r="G2279" t="s">
        <v>66</v>
      </c>
      <c r="H2279" t="s">
        <v>51</v>
      </c>
      <c r="I2279" t="s">
        <v>28</v>
      </c>
      <c r="J2279" t="s">
        <v>87</v>
      </c>
      <c r="K2279">
        <v>4470</v>
      </c>
      <c r="L2279">
        <v>43</v>
      </c>
      <c r="M2279">
        <v>60.58</v>
      </c>
      <c r="N2279">
        <v>2</v>
      </c>
      <c r="O2279">
        <v>58.1</v>
      </c>
      <c r="P2279">
        <f t="shared" si="140"/>
        <v>9.6196868008948545E-3</v>
      </c>
      <c r="Q2279">
        <f t="shared" si="140"/>
        <v>1.4088372093023256</v>
      </c>
      <c r="R2279">
        <f t="shared" si="141"/>
        <v>30.29</v>
      </c>
      <c r="S2279">
        <f t="shared" si="142"/>
        <v>0.95906239683063721</v>
      </c>
      <c r="T2279">
        <f t="shared" si="143"/>
        <v>4.6511627906976744E-2</v>
      </c>
      <c r="U2279" t="str">
        <f>YEAR('Campaign Data'!$A2279)&amp;"-"&amp;TEXT(MONTH('Campaign Data'!$A2279),"00")</f>
        <v>2026-05</v>
      </c>
    </row>
    <row r="2280" spans="1:21" x14ac:dyDescent="0.25">
      <c r="A2280">
        <v>46145</v>
      </c>
      <c r="B2280" t="s">
        <v>112</v>
      </c>
      <c r="C2280" t="s">
        <v>113</v>
      </c>
      <c r="D2280" t="s">
        <v>32</v>
      </c>
      <c r="E2280" t="s">
        <v>24</v>
      </c>
      <c r="F2280" t="s">
        <v>75</v>
      </c>
      <c r="G2280" t="s">
        <v>66</v>
      </c>
      <c r="H2280" t="s">
        <v>27</v>
      </c>
      <c r="I2280" t="s">
        <v>28</v>
      </c>
      <c r="J2280" t="s">
        <v>87</v>
      </c>
      <c r="K2280">
        <v>4719</v>
      </c>
      <c r="L2280">
        <v>45</v>
      </c>
      <c r="M2280">
        <v>51.29</v>
      </c>
      <c r="N2280">
        <v>1</v>
      </c>
      <c r="O2280">
        <v>55.48</v>
      </c>
      <c r="P2280">
        <f t="shared" si="140"/>
        <v>9.5359186268277173E-3</v>
      </c>
      <c r="Q2280">
        <f t="shared" si="140"/>
        <v>1.1397777777777778</v>
      </c>
      <c r="R2280">
        <f t="shared" si="141"/>
        <v>51.29</v>
      </c>
      <c r="S2280">
        <f t="shared" si="142"/>
        <v>1.0816923376876584</v>
      </c>
      <c r="T2280">
        <f t="shared" si="143"/>
        <v>2.2222222222222223E-2</v>
      </c>
      <c r="U2280" t="str">
        <f>YEAR('Campaign Data'!$A2280)&amp;"-"&amp;TEXT(MONTH('Campaign Data'!$A2280),"00")</f>
        <v>2026-05</v>
      </c>
    </row>
    <row r="2281" spans="1:21" x14ac:dyDescent="0.25">
      <c r="A2281">
        <v>46145</v>
      </c>
      <c r="B2281" t="s">
        <v>114</v>
      </c>
      <c r="C2281" t="s">
        <v>115</v>
      </c>
      <c r="D2281" t="s">
        <v>69</v>
      </c>
      <c r="E2281" t="s">
        <v>49</v>
      </c>
      <c r="F2281" t="s">
        <v>25</v>
      </c>
      <c r="G2281" t="s">
        <v>107</v>
      </c>
      <c r="H2281" t="s">
        <v>90</v>
      </c>
      <c r="I2281" t="s">
        <v>28</v>
      </c>
      <c r="J2281" t="s">
        <v>45</v>
      </c>
      <c r="K2281">
        <v>5273</v>
      </c>
      <c r="L2281">
        <v>215</v>
      </c>
      <c r="M2281">
        <v>97.8</v>
      </c>
      <c r="N2281">
        <v>8</v>
      </c>
      <c r="O2281">
        <v>313.52</v>
      </c>
      <c r="P2281">
        <f t="shared" si="140"/>
        <v>4.0773753081737155E-2</v>
      </c>
      <c r="Q2281">
        <f t="shared" si="140"/>
        <v>0.45488372093023255</v>
      </c>
      <c r="R2281">
        <f t="shared" si="141"/>
        <v>12.225</v>
      </c>
      <c r="S2281">
        <f t="shared" si="142"/>
        <v>3.2057259713701431</v>
      </c>
      <c r="T2281">
        <f t="shared" si="143"/>
        <v>3.7209302325581395E-2</v>
      </c>
      <c r="U2281" t="str">
        <f>YEAR('Campaign Data'!$A2281)&amp;"-"&amp;TEXT(MONTH('Campaign Data'!$A2281),"00")</f>
        <v>2026-05</v>
      </c>
    </row>
    <row r="2282" spans="1:21" x14ac:dyDescent="0.25">
      <c r="A2282">
        <v>46145</v>
      </c>
      <c r="B2282" t="s">
        <v>56</v>
      </c>
      <c r="C2282" t="s">
        <v>57</v>
      </c>
      <c r="D2282" t="s">
        <v>58</v>
      </c>
      <c r="E2282" t="s">
        <v>33</v>
      </c>
      <c r="F2282" t="s">
        <v>43</v>
      </c>
      <c r="G2282" t="s">
        <v>59</v>
      </c>
      <c r="H2282" t="s">
        <v>27</v>
      </c>
      <c r="I2282" t="s">
        <v>37</v>
      </c>
      <c r="J2282" t="s">
        <v>45</v>
      </c>
      <c r="K2282">
        <v>5829</v>
      </c>
      <c r="L2282">
        <v>58</v>
      </c>
      <c r="M2282">
        <v>45.05</v>
      </c>
      <c r="N2282">
        <v>0</v>
      </c>
      <c r="O2282">
        <v>0</v>
      </c>
      <c r="P2282">
        <f t="shared" si="140"/>
        <v>9.9502487562189053E-3</v>
      </c>
      <c r="Q2282">
        <f t="shared" si="140"/>
        <v>0.77672413793103445</v>
      </c>
      <c r="R2282">
        <f t="shared" si="141"/>
        <v>0</v>
      </c>
      <c r="S2282">
        <f t="shared" si="142"/>
        <v>0</v>
      </c>
      <c r="T2282">
        <f t="shared" si="143"/>
        <v>0</v>
      </c>
      <c r="U2282" t="str">
        <f>YEAR('Campaign Data'!$A2282)&amp;"-"&amp;TEXT(MONTH('Campaign Data'!$A2282),"00")</f>
        <v>2026-05</v>
      </c>
    </row>
    <row r="2283" spans="1:21" x14ac:dyDescent="0.25">
      <c r="A2283">
        <v>46145</v>
      </c>
      <c r="B2283" t="s">
        <v>141</v>
      </c>
      <c r="C2283" t="s">
        <v>142</v>
      </c>
      <c r="D2283" t="s">
        <v>80</v>
      </c>
      <c r="E2283" t="s">
        <v>49</v>
      </c>
      <c r="F2283" t="s">
        <v>81</v>
      </c>
      <c r="G2283" t="s">
        <v>97</v>
      </c>
      <c r="H2283" t="s">
        <v>51</v>
      </c>
      <c r="I2283" t="s">
        <v>37</v>
      </c>
      <c r="J2283" t="s">
        <v>38</v>
      </c>
      <c r="K2283">
        <v>3477</v>
      </c>
      <c r="L2283">
        <v>177</v>
      </c>
      <c r="M2283">
        <v>432.3</v>
      </c>
      <c r="N2283">
        <v>6</v>
      </c>
      <c r="O2283">
        <v>107.72</v>
      </c>
      <c r="P2283">
        <f t="shared" si="140"/>
        <v>5.0905953408110438E-2</v>
      </c>
      <c r="Q2283">
        <f t="shared" si="140"/>
        <v>2.4423728813559324</v>
      </c>
      <c r="R2283">
        <f t="shared" si="141"/>
        <v>72.05</v>
      </c>
      <c r="S2283">
        <f t="shared" si="142"/>
        <v>0.24917881101087208</v>
      </c>
      <c r="T2283">
        <f t="shared" si="143"/>
        <v>3.3898305084745763E-2</v>
      </c>
      <c r="U2283" t="str">
        <f>YEAR('Campaign Data'!$A2283)&amp;"-"&amp;TEXT(MONTH('Campaign Data'!$A2283),"00")</f>
        <v>2026-05</v>
      </c>
    </row>
    <row r="2284" spans="1:21" x14ac:dyDescent="0.25">
      <c r="A2284">
        <v>46145</v>
      </c>
      <c r="B2284" t="s">
        <v>118</v>
      </c>
      <c r="C2284" t="s">
        <v>119</v>
      </c>
      <c r="D2284" t="s">
        <v>69</v>
      </c>
      <c r="E2284" t="s">
        <v>33</v>
      </c>
      <c r="F2284" t="s">
        <v>34</v>
      </c>
      <c r="G2284" t="s">
        <v>35</v>
      </c>
      <c r="H2284" t="s">
        <v>60</v>
      </c>
      <c r="I2284" t="s">
        <v>37</v>
      </c>
      <c r="J2284" t="s">
        <v>62</v>
      </c>
      <c r="K2284">
        <v>7504</v>
      </c>
      <c r="L2284">
        <v>61</v>
      </c>
      <c r="M2284">
        <v>32.31</v>
      </c>
      <c r="N2284">
        <v>4</v>
      </c>
      <c r="O2284">
        <v>600.27</v>
      </c>
      <c r="P2284">
        <f t="shared" si="140"/>
        <v>8.1289978678038381E-3</v>
      </c>
      <c r="Q2284">
        <f t="shared" si="140"/>
        <v>0.52967213114754097</v>
      </c>
      <c r="R2284">
        <f t="shared" si="141"/>
        <v>8.0775000000000006</v>
      </c>
      <c r="S2284">
        <f t="shared" si="142"/>
        <v>18.578458681522747</v>
      </c>
      <c r="T2284">
        <f t="shared" si="143"/>
        <v>6.5573770491803282E-2</v>
      </c>
      <c r="U2284" t="str">
        <f>YEAR('Campaign Data'!$A2284)&amp;"-"&amp;TEXT(MONTH('Campaign Data'!$A2284),"00")</f>
        <v>2026-05</v>
      </c>
    </row>
    <row r="2285" spans="1:21" x14ac:dyDescent="0.25">
      <c r="A2285">
        <v>46145</v>
      </c>
      <c r="B2285" t="s">
        <v>82</v>
      </c>
      <c r="C2285" t="s">
        <v>83</v>
      </c>
      <c r="D2285" t="s">
        <v>80</v>
      </c>
      <c r="E2285" t="s">
        <v>42</v>
      </c>
      <c r="F2285" t="s">
        <v>34</v>
      </c>
      <c r="G2285" t="s">
        <v>84</v>
      </c>
      <c r="H2285" t="s">
        <v>27</v>
      </c>
      <c r="I2285" t="s">
        <v>28</v>
      </c>
      <c r="J2285" t="s">
        <v>38</v>
      </c>
      <c r="K2285">
        <v>6876</v>
      </c>
      <c r="L2285">
        <v>32</v>
      </c>
      <c r="M2285">
        <v>176.88</v>
      </c>
      <c r="N2285">
        <v>3</v>
      </c>
      <c r="O2285">
        <v>503.17</v>
      </c>
      <c r="P2285">
        <f t="shared" si="140"/>
        <v>4.6538685282140778E-3</v>
      </c>
      <c r="Q2285">
        <f t="shared" si="140"/>
        <v>5.5274999999999999</v>
      </c>
      <c r="R2285">
        <f t="shared" si="141"/>
        <v>58.96</v>
      </c>
      <c r="S2285">
        <f t="shared" si="142"/>
        <v>2.8446969696969697</v>
      </c>
      <c r="T2285">
        <f t="shared" si="143"/>
        <v>9.375E-2</v>
      </c>
      <c r="U2285" t="str">
        <f>YEAR('Campaign Data'!$A2285)&amp;"-"&amp;TEXT(MONTH('Campaign Data'!$A2285),"00")</f>
        <v>2026-05</v>
      </c>
    </row>
    <row r="2286" spans="1:21" x14ac:dyDescent="0.25">
      <c r="A2286">
        <v>46146</v>
      </c>
      <c r="B2286" t="s">
        <v>138</v>
      </c>
      <c r="C2286" t="s">
        <v>139</v>
      </c>
      <c r="D2286" t="s">
        <v>58</v>
      </c>
      <c r="E2286" t="s">
        <v>74</v>
      </c>
      <c r="F2286" t="s">
        <v>34</v>
      </c>
      <c r="G2286" t="s">
        <v>9</v>
      </c>
      <c r="H2286" t="s">
        <v>51</v>
      </c>
      <c r="I2286" t="s">
        <v>37</v>
      </c>
      <c r="J2286" t="s">
        <v>45</v>
      </c>
      <c r="K2286">
        <v>5159</v>
      </c>
      <c r="L2286">
        <v>204</v>
      </c>
      <c r="M2286">
        <v>391.41</v>
      </c>
      <c r="N2286">
        <v>3</v>
      </c>
      <c r="O2286">
        <v>258.39999999999998</v>
      </c>
      <c r="P2286">
        <f t="shared" si="140"/>
        <v>3.9542547005233575E-2</v>
      </c>
      <c r="Q2286">
        <f t="shared" si="140"/>
        <v>1.9186764705882353</v>
      </c>
      <c r="R2286">
        <f t="shared" si="141"/>
        <v>130.47</v>
      </c>
      <c r="S2286">
        <f t="shared" si="142"/>
        <v>0.66017730768248117</v>
      </c>
      <c r="T2286">
        <f t="shared" si="143"/>
        <v>1.4705882352941176E-2</v>
      </c>
      <c r="U2286" t="str">
        <f>YEAR('Campaign Data'!$A2286)&amp;"-"&amp;TEXT(MONTH('Campaign Data'!$A2286),"00")</f>
        <v>2026-05</v>
      </c>
    </row>
    <row r="2287" spans="1:21" x14ac:dyDescent="0.25">
      <c r="A2287">
        <v>46146</v>
      </c>
      <c r="B2287" t="s">
        <v>138</v>
      </c>
      <c r="C2287" t="s">
        <v>139</v>
      </c>
      <c r="D2287" t="s">
        <v>58</v>
      </c>
      <c r="E2287" t="s">
        <v>74</v>
      </c>
      <c r="F2287" t="s">
        <v>34</v>
      </c>
      <c r="G2287" t="s">
        <v>9</v>
      </c>
      <c r="H2287" t="s">
        <v>90</v>
      </c>
      <c r="I2287" t="s">
        <v>37</v>
      </c>
      <c r="J2287" t="s">
        <v>38</v>
      </c>
      <c r="K2287">
        <v>6685</v>
      </c>
      <c r="L2287">
        <v>240</v>
      </c>
      <c r="M2287">
        <v>86.32</v>
      </c>
      <c r="N2287">
        <v>8</v>
      </c>
      <c r="O2287">
        <v>440.54</v>
      </c>
      <c r="P2287">
        <f t="shared" si="140"/>
        <v>3.5901271503365743E-2</v>
      </c>
      <c r="Q2287">
        <f t="shared" si="140"/>
        <v>0.35966666666666663</v>
      </c>
      <c r="R2287">
        <f t="shared" si="141"/>
        <v>10.79</v>
      </c>
      <c r="S2287">
        <f t="shared" si="142"/>
        <v>5.1035681186283606</v>
      </c>
      <c r="T2287">
        <f t="shared" si="143"/>
        <v>3.3333333333333333E-2</v>
      </c>
      <c r="U2287" t="str">
        <f>YEAR('Campaign Data'!$A2287)&amp;"-"&amp;TEXT(MONTH('Campaign Data'!$A2287),"00")</f>
        <v>2026-05</v>
      </c>
    </row>
    <row r="2288" spans="1:21" x14ac:dyDescent="0.25">
      <c r="A2288">
        <v>46146</v>
      </c>
      <c r="B2288" t="s">
        <v>93</v>
      </c>
      <c r="C2288" t="s">
        <v>94</v>
      </c>
      <c r="D2288" t="s">
        <v>69</v>
      </c>
      <c r="E2288" t="s">
        <v>42</v>
      </c>
      <c r="F2288" t="s">
        <v>75</v>
      </c>
      <c r="G2288" t="s">
        <v>44</v>
      </c>
      <c r="H2288" t="s">
        <v>90</v>
      </c>
      <c r="I2288" t="s">
        <v>37</v>
      </c>
      <c r="J2288" t="s">
        <v>29</v>
      </c>
      <c r="K2288">
        <v>4583</v>
      </c>
      <c r="L2288">
        <v>24</v>
      </c>
      <c r="M2288">
        <v>48.67</v>
      </c>
      <c r="N2288">
        <v>0</v>
      </c>
      <c r="O2288">
        <v>0</v>
      </c>
      <c r="P2288">
        <f t="shared" si="140"/>
        <v>5.236744490508401E-3</v>
      </c>
      <c r="Q2288">
        <f t="shared" si="140"/>
        <v>2.0279166666666666</v>
      </c>
      <c r="R2288">
        <f t="shared" si="141"/>
        <v>0</v>
      </c>
      <c r="S2288">
        <f t="shared" si="142"/>
        <v>0</v>
      </c>
      <c r="T2288">
        <f t="shared" si="143"/>
        <v>0</v>
      </c>
      <c r="U2288" t="str">
        <f>YEAR('Campaign Data'!$A2288)&amp;"-"&amp;TEXT(MONTH('Campaign Data'!$A2288),"00")</f>
        <v>2026-05</v>
      </c>
    </row>
    <row r="2289" spans="1:21" x14ac:dyDescent="0.25">
      <c r="A2289">
        <v>46146</v>
      </c>
      <c r="B2289" t="s">
        <v>93</v>
      </c>
      <c r="C2289" t="s">
        <v>94</v>
      </c>
      <c r="D2289" t="s">
        <v>69</v>
      </c>
      <c r="E2289" t="s">
        <v>42</v>
      </c>
      <c r="F2289" t="s">
        <v>75</v>
      </c>
      <c r="G2289" t="s">
        <v>44</v>
      </c>
      <c r="H2289" t="s">
        <v>55</v>
      </c>
      <c r="I2289" t="s">
        <v>37</v>
      </c>
      <c r="J2289" t="s">
        <v>29</v>
      </c>
      <c r="K2289">
        <v>4952</v>
      </c>
      <c r="L2289">
        <v>14</v>
      </c>
      <c r="M2289">
        <v>83.22</v>
      </c>
      <c r="N2289">
        <v>0</v>
      </c>
      <c r="O2289">
        <v>0</v>
      </c>
      <c r="P2289">
        <f t="shared" si="140"/>
        <v>2.8271405492730209E-3</v>
      </c>
      <c r="Q2289">
        <f t="shared" si="140"/>
        <v>5.944285714285714</v>
      </c>
      <c r="R2289">
        <f t="shared" si="141"/>
        <v>0</v>
      </c>
      <c r="S2289">
        <f t="shared" si="142"/>
        <v>0</v>
      </c>
      <c r="T2289">
        <f t="shared" si="143"/>
        <v>0</v>
      </c>
      <c r="U2289" t="str">
        <f>YEAR('Campaign Data'!$A2289)&amp;"-"&amp;TEXT(MONTH('Campaign Data'!$A2289),"00")</f>
        <v>2026-05</v>
      </c>
    </row>
    <row r="2290" spans="1:21" x14ac:dyDescent="0.25">
      <c r="A2290">
        <v>46146</v>
      </c>
      <c r="B2290" t="s">
        <v>95</v>
      </c>
      <c r="C2290" t="s">
        <v>96</v>
      </c>
      <c r="D2290" t="s">
        <v>23</v>
      </c>
      <c r="E2290" t="s">
        <v>49</v>
      </c>
      <c r="F2290" t="s">
        <v>43</v>
      </c>
      <c r="G2290" t="s">
        <v>97</v>
      </c>
      <c r="H2290" t="s">
        <v>51</v>
      </c>
      <c r="I2290" t="s">
        <v>28</v>
      </c>
      <c r="J2290" t="s">
        <v>45</v>
      </c>
      <c r="K2290">
        <v>2407</v>
      </c>
      <c r="L2290">
        <v>98</v>
      </c>
      <c r="M2290">
        <v>190.5</v>
      </c>
      <c r="N2290">
        <v>3</v>
      </c>
      <c r="O2290">
        <v>72.11</v>
      </c>
      <c r="P2290">
        <f t="shared" si="140"/>
        <v>4.0714582467802241E-2</v>
      </c>
      <c r="Q2290">
        <f t="shared" si="140"/>
        <v>1.9438775510204083</v>
      </c>
      <c r="R2290">
        <f t="shared" si="141"/>
        <v>63.5</v>
      </c>
      <c r="S2290">
        <f t="shared" si="142"/>
        <v>0.37853018372703412</v>
      </c>
      <c r="T2290">
        <f t="shared" si="143"/>
        <v>3.0612244897959183E-2</v>
      </c>
      <c r="U2290" t="str">
        <f>YEAR('Campaign Data'!$A2290)&amp;"-"&amp;TEXT(MONTH('Campaign Data'!$A2290),"00")</f>
        <v>2026-05</v>
      </c>
    </row>
    <row r="2291" spans="1:21" x14ac:dyDescent="0.25">
      <c r="A2291">
        <v>46146</v>
      </c>
      <c r="B2291" t="s">
        <v>95</v>
      </c>
      <c r="C2291" t="s">
        <v>96</v>
      </c>
      <c r="D2291" t="s">
        <v>23</v>
      </c>
      <c r="E2291" t="s">
        <v>49</v>
      </c>
      <c r="F2291" t="s">
        <v>43</v>
      </c>
      <c r="G2291" t="s">
        <v>97</v>
      </c>
      <c r="H2291" t="s">
        <v>90</v>
      </c>
      <c r="I2291" t="s">
        <v>28</v>
      </c>
      <c r="J2291" t="s">
        <v>29</v>
      </c>
      <c r="K2291">
        <v>7002</v>
      </c>
      <c r="L2291">
        <v>377</v>
      </c>
      <c r="M2291">
        <v>201.61</v>
      </c>
      <c r="N2291">
        <v>11</v>
      </c>
      <c r="O2291">
        <v>95.87</v>
      </c>
      <c r="P2291">
        <f t="shared" si="140"/>
        <v>5.3841759497286493E-2</v>
      </c>
      <c r="Q2291">
        <f t="shared" si="140"/>
        <v>0.53477453580901857</v>
      </c>
      <c r="R2291">
        <f t="shared" si="141"/>
        <v>18.328181818181818</v>
      </c>
      <c r="S2291">
        <f t="shared" si="142"/>
        <v>0.47552204751748423</v>
      </c>
      <c r="T2291">
        <f t="shared" si="143"/>
        <v>2.9177718832891247E-2</v>
      </c>
      <c r="U2291" t="str">
        <f>YEAR('Campaign Data'!$A2291)&amp;"-"&amp;TEXT(MONTH('Campaign Data'!$A2291),"00")</f>
        <v>2026-05</v>
      </c>
    </row>
    <row r="2292" spans="1:21" x14ac:dyDescent="0.25">
      <c r="A2292">
        <v>46146</v>
      </c>
      <c r="B2292" t="s">
        <v>30</v>
      </c>
      <c r="C2292" t="s">
        <v>31</v>
      </c>
      <c r="D2292" t="s">
        <v>32</v>
      </c>
      <c r="E2292" t="s">
        <v>33</v>
      </c>
      <c r="F2292" t="s">
        <v>34</v>
      </c>
      <c r="G2292" t="s">
        <v>35</v>
      </c>
      <c r="H2292" t="s">
        <v>27</v>
      </c>
      <c r="I2292" t="s">
        <v>37</v>
      </c>
      <c r="J2292" t="s">
        <v>45</v>
      </c>
      <c r="K2292">
        <v>11893</v>
      </c>
      <c r="L2292">
        <v>145</v>
      </c>
      <c r="M2292">
        <v>108.85</v>
      </c>
      <c r="N2292">
        <v>2</v>
      </c>
      <c r="O2292">
        <v>441.86</v>
      </c>
      <c r="P2292">
        <f t="shared" si="140"/>
        <v>1.2192045741192299E-2</v>
      </c>
      <c r="Q2292">
        <f t="shared" si="140"/>
        <v>0.75068965517241371</v>
      </c>
      <c r="R2292">
        <f t="shared" si="141"/>
        <v>54.424999999999997</v>
      </c>
      <c r="S2292">
        <f t="shared" si="142"/>
        <v>4.0593477262287552</v>
      </c>
      <c r="T2292">
        <f t="shared" si="143"/>
        <v>1.3793103448275862E-2</v>
      </c>
      <c r="U2292" t="str">
        <f>YEAR('Campaign Data'!$A2292)&amp;"-"&amp;TEXT(MONTH('Campaign Data'!$A2292),"00")</f>
        <v>2026-05</v>
      </c>
    </row>
    <row r="2293" spans="1:21" x14ac:dyDescent="0.25">
      <c r="A2293">
        <v>46146</v>
      </c>
      <c r="B2293" t="s">
        <v>151</v>
      </c>
      <c r="C2293" t="s">
        <v>152</v>
      </c>
      <c r="D2293" t="s">
        <v>48</v>
      </c>
      <c r="E2293" t="s">
        <v>24</v>
      </c>
      <c r="F2293" t="s">
        <v>81</v>
      </c>
      <c r="G2293" t="s">
        <v>129</v>
      </c>
      <c r="H2293" t="s">
        <v>27</v>
      </c>
      <c r="I2293" t="s">
        <v>37</v>
      </c>
      <c r="J2293" t="s">
        <v>38</v>
      </c>
      <c r="K2293">
        <v>1312</v>
      </c>
      <c r="L2293">
        <v>23</v>
      </c>
      <c r="M2293">
        <v>38.200000000000003</v>
      </c>
      <c r="N2293">
        <v>0</v>
      </c>
      <c r="O2293">
        <v>0</v>
      </c>
      <c r="P2293">
        <f t="shared" si="140"/>
        <v>1.753048780487805E-2</v>
      </c>
      <c r="Q2293">
        <f t="shared" si="140"/>
        <v>1.6608695652173915</v>
      </c>
      <c r="R2293">
        <f t="shared" si="141"/>
        <v>0</v>
      </c>
      <c r="S2293">
        <f t="shared" si="142"/>
        <v>0</v>
      </c>
      <c r="T2293">
        <f t="shared" si="143"/>
        <v>0</v>
      </c>
      <c r="U2293" t="str">
        <f>YEAR('Campaign Data'!$A2293)&amp;"-"&amp;TEXT(MONTH('Campaign Data'!$A2293),"00")</f>
        <v>2026-05</v>
      </c>
    </row>
    <row r="2294" spans="1:21" x14ac:dyDescent="0.25">
      <c r="A2294">
        <v>46146</v>
      </c>
      <c r="B2294" t="s">
        <v>46</v>
      </c>
      <c r="C2294" t="s">
        <v>47</v>
      </c>
      <c r="D2294" t="s">
        <v>48</v>
      </c>
      <c r="E2294" t="s">
        <v>49</v>
      </c>
      <c r="F2294" t="s">
        <v>43</v>
      </c>
      <c r="G2294" t="s">
        <v>50</v>
      </c>
      <c r="H2294" t="s">
        <v>90</v>
      </c>
      <c r="I2294" t="s">
        <v>37</v>
      </c>
      <c r="J2294" t="s">
        <v>45</v>
      </c>
      <c r="K2294">
        <v>9157</v>
      </c>
      <c r="L2294">
        <v>327</v>
      </c>
      <c r="M2294">
        <v>195.39</v>
      </c>
      <c r="N2294">
        <v>20</v>
      </c>
      <c r="O2294">
        <v>127.39</v>
      </c>
      <c r="P2294">
        <f t="shared" si="140"/>
        <v>3.5710385497433654E-2</v>
      </c>
      <c r="Q2294">
        <f t="shared" si="140"/>
        <v>0.59752293577981652</v>
      </c>
      <c r="R2294">
        <f t="shared" si="141"/>
        <v>9.769499999999999</v>
      </c>
      <c r="S2294">
        <f t="shared" si="142"/>
        <v>0.65197809509186755</v>
      </c>
      <c r="T2294">
        <f t="shared" si="143"/>
        <v>6.1162079510703363E-2</v>
      </c>
      <c r="U2294" t="str">
        <f>YEAR('Campaign Data'!$A2294)&amp;"-"&amp;TEXT(MONTH('Campaign Data'!$A2294),"00")</f>
        <v>2026-05</v>
      </c>
    </row>
    <row r="2295" spans="1:21" x14ac:dyDescent="0.25">
      <c r="A2295">
        <v>46146</v>
      </c>
      <c r="B2295" t="s">
        <v>52</v>
      </c>
      <c r="C2295" t="s">
        <v>53</v>
      </c>
      <c r="D2295" t="s">
        <v>32</v>
      </c>
      <c r="E2295" t="s">
        <v>42</v>
      </c>
      <c r="F2295" t="s">
        <v>25</v>
      </c>
      <c r="G2295" t="s">
        <v>54</v>
      </c>
      <c r="H2295" t="s">
        <v>55</v>
      </c>
      <c r="I2295" t="s">
        <v>61</v>
      </c>
      <c r="J2295" t="s">
        <v>62</v>
      </c>
      <c r="K2295">
        <v>3176</v>
      </c>
      <c r="L2295">
        <v>20</v>
      </c>
      <c r="M2295">
        <v>94.62</v>
      </c>
      <c r="N2295">
        <v>1</v>
      </c>
      <c r="O2295">
        <v>189.7</v>
      </c>
      <c r="P2295">
        <f t="shared" si="140"/>
        <v>6.2972292191435771E-3</v>
      </c>
      <c r="Q2295">
        <f t="shared" si="140"/>
        <v>4.7309999999999999</v>
      </c>
      <c r="R2295">
        <f t="shared" si="141"/>
        <v>94.62</v>
      </c>
      <c r="S2295">
        <f t="shared" si="142"/>
        <v>2.004861551469034</v>
      </c>
      <c r="T2295">
        <f t="shared" si="143"/>
        <v>0.05</v>
      </c>
      <c r="U2295" t="str">
        <f>YEAR('Campaign Data'!$A2295)&amp;"-"&amp;TEXT(MONTH('Campaign Data'!$A2295),"00")</f>
        <v>2026-05</v>
      </c>
    </row>
    <row r="2296" spans="1:21" x14ac:dyDescent="0.25">
      <c r="A2296">
        <v>46146</v>
      </c>
      <c r="B2296" t="s">
        <v>100</v>
      </c>
      <c r="C2296" t="s">
        <v>101</v>
      </c>
      <c r="D2296" t="s">
        <v>80</v>
      </c>
      <c r="E2296" t="s">
        <v>33</v>
      </c>
      <c r="F2296" t="s">
        <v>25</v>
      </c>
      <c r="G2296" t="s">
        <v>102</v>
      </c>
      <c r="H2296" t="s">
        <v>71</v>
      </c>
      <c r="I2296" t="s">
        <v>37</v>
      </c>
      <c r="J2296" t="s">
        <v>62</v>
      </c>
      <c r="K2296">
        <v>10131</v>
      </c>
      <c r="L2296">
        <v>138</v>
      </c>
      <c r="M2296">
        <v>98.82</v>
      </c>
      <c r="N2296">
        <v>2</v>
      </c>
      <c r="O2296">
        <v>228.51</v>
      </c>
      <c r="P2296">
        <f t="shared" si="140"/>
        <v>1.3621557595498964E-2</v>
      </c>
      <c r="Q2296">
        <f t="shared" si="140"/>
        <v>0.71608695652173904</v>
      </c>
      <c r="R2296">
        <f t="shared" si="141"/>
        <v>49.41</v>
      </c>
      <c r="S2296">
        <f t="shared" si="142"/>
        <v>2.3123861566484516</v>
      </c>
      <c r="T2296">
        <f t="shared" si="143"/>
        <v>1.4492753623188406E-2</v>
      </c>
      <c r="U2296" t="str">
        <f>YEAR('Campaign Data'!$A2296)&amp;"-"&amp;TEXT(MONTH('Campaign Data'!$A2296),"00")</f>
        <v>2026-05</v>
      </c>
    </row>
    <row r="2297" spans="1:21" x14ac:dyDescent="0.25">
      <c r="A2297">
        <v>46146</v>
      </c>
      <c r="B2297" t="s">
        <v>132</v>
      </c>
      <c r="C2297" t="s">
        <v>133</v>
      </c>
      <c r="D2297" t="s">
        <v>23</v>
      </c>
      <c r="E2297" t="s">
        <v>42</v>
      </c>
      <c r="F2297" t="s">
        <v>75</v>
      </c>
      <c r="G2297" t="s">
        <v>84</v>
      </c>
      <c r="H2297" t="s">
        <v>71</v>
      </c>
      <c r="I2297" t="s">
        <v>37</v>
      </c>
      <c r="J2297" t="s">
        <v>62</v>
      </c>
      <c r="K2297">
        <v>22414</v>
      </c>
      <c r="L2297">
        <v>255</v>
      </c>
      <c r="M2297">
        <v>1514.98</v>
      </c>
      <c r="N2297">
        <v>12</v>
      </c>
      <c r="O2297">
        <v>347.31</v>
      </c>
      <c r="P2297">
        <f t="shared" si="140"/>
        <v>1.1376818060140983E-2</v>
      </c>
      <c r="Q2297">
        <f t="shared" si="140"/>
        <v>5.941098039215686</v>
      </c>
      <c r="R2297">
        <f t="shared" si="141"/>
        <v>126.24833333333333</v>
      </c>
      <c r="S2297">
        <f t="shared" si="142"/>
        <v>0.22925055116239157</v>
      </c>
      <c r="T2297">
        <f t="shared" si="143"/>
        <v>4.7058823529411764E-2</v>
      </c>
      <c r="U2297" t="str">
        <f>YEAR('Campaign Data'!$A2297)&amp;"-"&amp;TEXT(MONTH('Campaign Data'!$A2297),"00")</f>
        <v>2026-05</v>
      </c>
    </row>
    <row r="2298" spans="1:21" x14ac:dyDescent="0.25">
      <c r="A2298">
        <v>46146</v>
      </c>
      <c r="B2298" t="s">
        <v>153</v>
      </c>
      <c r="C2298" t="s">
        <v>154</v>
      </c>
      <c r="D2298" t="s">
        <v>48</v>
      </c>
      <c r="E2298" t="s">
        <v>33</v>
      </c>
      <c r="F2298" t="s">
        <v>43</v>
      </c>
      <c r="G2298" t="s">
        <v>59</v>
      </c>
      <c r="H2298" t="s">
        <v>27</v>
      </c>
      <c r="I2298" t="s">
        <v>28</v>
      </c>
      <c r="J2298" t="s">
        <v>62</v>
      </c>
      <c r="K2298">
        <v>5293</v>
      </c>
      <c r="L2298">
        <v>96</v>
      </c>
      <c r="M2298">
        <v>78.08</v>
      </c>
      <c r="N2298">
        <v>0</v>
      </c>
      <c r="O2298">
        <v>0</v>
      </c>
      <c r="P2298">
        <f t="shared" si="140"/>
        <v>1.8137162289816738E-2</v>
      </c>
      <c r="Q2298">
        <f t="shared" si="140"/>
        <v>0.81333333333333335</v>
      </c>
      <c r="R2298">
        <f t="shared" si="141"/>
        <v>0</v>
      </c>
      <c r="S2298">
        <f t="shared" si="142"/>
        <v>0</v>
      </c>
      <c r="T2298">
        <f t="shared" si="143"/>
        <v>0</v>
      </c>
      <c r="U2298" t="str">
        <f>YEAR('Campaign Data'!$A2298)&amp;"-"&amp;TEXT(MONTH('Campaign Data'!$A2298),"00")</f>
        <v>2026-05</v>
      </c>
    </row>
    <row r="2299" spans="1:21" x14ac:dyDescent="0.25">
      <c r="A2299">
        <v>46146</v>
      </c>
      <c r="B2299" t="s">
        <v>134</v>
      </c>
      <c r="C2299" t="s">
        <v>135</v>
      </c>
      <c r="D2299" t="s">
        <v>32</v>
      </c>
      <c r="E2299" t="s">
        <v>74</v>
      </c>
      <c r="F2299" t="s">
        <v>25</v>
      </c>
      <c r="G2299" t="s">
        <v>107</v>
      </c>
      <c r="H2299" t="s">
        <v>27</v>
      </c>
      <c r="I2299" t="s">
        <v>37</v>
      </c>
      <c r="J2299" t="s">
        <v>62</v>
      </c>
      <c r="K2299">
        <v>7827</v>
      </c>
      <c r="L2299">
        <v>265</v>
      </c>
      <c r="M2299">
        <v>342.51</v>
      </c>
      <c r="N2299">
        <v>16</v>
      </c>
      <c r="O2299">
        <v>2583.9299999999998</v>
      </c>
      <c r="P2299">
        <f t="shared" si="140"/>
        <v>3.385716110898173E-2</v>
      </c>
      <c r="Q2299">
        <f t="shared" si="140"/>
        <v>1.2924905660377357</v>
      </c>
      <c r="R2299">
        <f t="shared" si="141"/>
        <v>21.406874999999999</v>
      </c>
      <c r="S2299">
        <f t="shared" si="142"/>
        <v>7.5441009021634402</v>
      </c>
      <c r="T2299">
        <f t="shared" si="143"/>
        <v>6.0377358490566038E-2</v>
      </c>
      <c r="U2299" t="str">
        <f>YEAR('Campaign Data'!$A2299)&amp;"-"&amp;TEXT(MONTH('Campaign Data'!$A2299),"00")</f>
        <v>2026-05</v>
      </c>
    </row>
    <row r="2300" spans="1:21" x14ac:dyDescent="0.25">
      <c r="A2300">
        <v>46146</v>
      </c>
      <c r="B2300" t="s">
        <v>157</v>
      </c>
      <c r="C2300" t="s">
        <v>158</v>
      </c>
      <c r="D2300" t="s">
        <v>58</v>
      </c>
      <c r="E2300" t="s">
        <v>49</v>
      </c>
      <c r="F2300" t="s">
        <v>81</v>
      </c>
      <c r="G2300" t="s">
        <v>50</v>
      </c>
      <c r="H2300" t="s">
        <v>60</v>
      </c>
      <c r="I2300" t="s">
        <v>37</v>
      </c>
      <c r="J2300" t="s">
        <v>87</v>
      </c>
      <c r="K2300">
        <v>2794</v>
      </c>
      <c r="L2300">
        <v>93</v>
      </c>
      <c r="M2300">
        <v>217.83</v>
      </c>
      <c r="N2300">
        <v>3</v>
      </c>
      <c r="O2300">
        <v>32.340000000000003</v>
      </c>
      <c r="P2300">
        <f t="shared" si="140"/>
        <v>3.3285612025769504E-2</v>
      </c>
      <c r="Q2300">
        <f t="shared" si="140"/>
        <v>2.3422580645161291</v>
      </c>
      <c r="R2300">
        <f t="shared" si="141"/>
        <v>72.61</v>
      </c>
      <c r="S2300">
        <f t="shared" si="142"/>
        <v>0.14846439884313456</v>
      </c>
      <c r="T2300">
        <f t="shared" si="143"/>
        <v>3.2258064516129031E-2</v>
      </c>
      <c r="U2300" t="str">
        <f>YEAR('Campaign Data'!$A2300)&amp;"-"&amp;TEXT(MONTH('Campaign Data'!$A2300),"00")</f>
        <v>2026-05</v>
      </c>
    </row>
    <row r="2301" spans="1:21" x14ac:dyDescent="0.25">
      <c r="A2301">
        <v>46146</v>
      </c>
      <c r="B2301" t="s">
        <v>136</v>
      </c>
      <c r="C2301" t="s">
        <v>137</v>
      </c>
      <c r="D2301" t="s">
        <v>32</v>
      </c>
      <c r="E2301" t="s">
        <v>49</v>
      </c>
      <c r="F2301" t="s">
        <v>75</v>
      </c>
      <c r="G2301" t="s">
        <v>97</v>
      </c>
      <c r="H2301" t="s">
        <v>90</v>
      </c>
      <c r="I2301" t="s">
        <v>37</v>
      </c>
      <c r="J2301" t="s">
        <v>38</v>
      </c>
      <c r="K2301">
        <v>14616</v>
      </c>
      <c r="L2301">
        <v>551</v>
      </c>
      <c r="M2301">
        <v>289.32</v>
      </c>
      <c r="N2301">
        <v>36</v>
      </c>
      <c r="O2301">
        <v>222.37</v>
      </c>
      <c r="P2301">
        <f t="shared" si="140"/>
        <v>3.7698412698412696E-2</v>
      </c>
      <c r="Q2301">
        <f t="shared" si="140"/>
        <v>0.52508166969147008</v>
      </c>
      <c r="R2301">
        <f t="shared" si="141"/>
        <v>8.0366666666666671</v>
      </c>
      <c r="S2301">
        <f t="shared" si="142"/>
        <v>0.76859532697359334</v>
      </c>
      <c r="T2301">
        <f t="shared" si="143"/>
        <v>6.5335753176043551E-2</v>
      </c>
      <c r="U2301" t="str">
        <f>YEAR('Campaign Data'!$A2301)&amp;"-"&amp;TEXT(MONTH('Campaign Data'!$A2301),"00")</f>
        <v>2026-05</v>
      </c>
    </row>
    <row r="2302" spans="1:21" x14ac:dyDescent="0.25">
      <c r="A2302">
        <v>46146</v>
      </c>
      <c r="B2302" t="s">
        <v>63</v>
      </c>
      <c r="C2302" t="s">
        <v>64</v>
      </c>
      <c r="D2302" t="s">
        <v>65</v>
      </c>
      <c r="E2302" t="s">
        <v>24</v>
      </c>
      <c r="F2302" t="s">
        <v>43</v>
      </c>
      <c r="G2302" t="s">
        <v>66</v>
      </c>
      <c r="H2302" t="s">
        <v>36</v>
      </c>
      <c r="I2302" t="s">
        <v>37</v>
      </c>
      <c r="J2302" t="s">
        <v>62</v>
      </c>
      <c r="K2302">
        <v>8568</v>
      </c>
      <c r="L2302">
        <v>114</v>
      </c>
      <c r="M2302">
        <v>102.93</v>
      </c>
      <c r="N2302">
        <v>8</v>
      </c>
      <c r="O2302">
        <v>232.94</v>
      </c>
      <c r="P2302">
        <f t="shared" si="140"/>
        <v>1.330532212885154E-2</v>
      </c>
      <c r="Q2302">
        <f t="shared" si="140"/>
        <v>0.90289473684210531</v>
      </c>
      <c r="R2302">
        <f t="shared" si="141"/>
        <v>12.866250000000001</v>
      </c>
      <c r="S2302">
        <f t="shared" si="142"/>
        <v>2.2630914213543183</v>
      </c>
      <c r="T2302">
        <f t="shared" si="143"/>
        <v>7.0175438596491224E-2</v>
      </c>
      <c r="U2302" t="str">
        <f>YEAR('Campaign Data'!$A2302)&amp;"-"&amp;TEXT(MONTH('Campaign Data'!$A2302),"00")</f>
        <v>2026-05</v>
      </c>
    </row>
    <row r="2303" spans="1:21" x14ac:dyDescent="0.25">
      <c r="A2303">
        <v>46146</v>
      </c>
      <c r="B2303" t="s">
        <v>183</v>
      </c>
      <c r="C2303" t="s">
        <v>184</v>
      </c>
      <c r="D2303" t="s">
        <v>23</v>
      </c>
      <c r="E2303" t="s">
        <v>24</v>
      </c>
      <c r="F2303" t="s">
        <v>81</v>
      </c>
      <c r="G2303" t="s">
        <v>185</v>
      </c>
      <c r="H2303" t="s">
        <v>27</v>
      </c>
      <c r="I2303" t="s">
        <v>28</v>
      </c>
      <c r="J2303" t="s">
        <v>87</v>
      </c>
      <c r="K2303">
        <v>2814</v>
      </c>
      <c r="L2303">
        <v>37</v>
      </c>
      <c r="M2303">
        <v>19.920000000000002</v>
      </c>
      <c r="N2303">
        <v>3</v>
      </c>
      <c r="O2303">
        <v>70.349999999999994</v>
      </c>
      <c r="P2303">
        <f t="shared" si="140"/>
        <v>1.3148542999289269E-2</v>
      </c>
      <c r="Q2303">
        <f t="shared" si="140"/>
        <v>0.53837837837837843</v>
      </c>
      <c r="R2303">
        <f t="shared" si="141"/>
        <v>6.6400000000000006</v>
      </c>
      <c r="S2303">
        <f t="shared" si="142"/>
        <v>3.5316265060240957</v>
      </c>
      <c r="T2303">
        <f t="shared" si="143"/>
        <v>8.1081081081081086E-2</v>
      </c>
      <c r="U2303" t="str">
        <f>YEAR('Campaign Data'!$A2303)&amp;"-"&amp;TEXT(MONTH('Campaign Data'!$A2303),"00")</f>
        <v>2026-05</v>
      </c>
    </row>
    <row r="2304" spans="1:21" x14ac:dyDescent="0.25">
      <c r="A2304">
        <v>46146</v>
      </c>
      <c r="B2304" t="s">
        <v>72</v>
      </c>
      <c r="C2304" t="s">
        <v>73</v>
      </c>
      <c r="D2304" t="s">
        <v>69</v>
      </c>
      <c r="E2304" t="s">
        <v>74</v>
      </c>
      <c r="F2304" t="s">
        <v>75</v>
      </c>
      <c r="G2304" t="s">
        <v>9</v>
      </c>
      <c r="H2304" t="s">
        <v>90</v>
      </c>
      <c r="I2304" t="s">
        <v>37</v>
      </c>
      <c r="J2304" t="s">
        <v>29</v>
      </c>
      <c r="K2304">
        <v>15649</v>
      </c>
      <c r="L2304">
        <v>610</v>
      </c>
      <c r="M2304">
        <v>212.28</v>
      </c>
      <c r="N2304">
        <v>21</v>
      </c>
      <c r="O2304">
        <v>183.35</v>
      </c>
      <c r="P2304">
        <f t="shared" si="140"/>
        <v>3.8980126525656592E-2</v>
      </c>
      <c r="Q2304">
        <f t="shared" si="140"/>
        <v>0.34799999999999998</v>
      </c>
      <c r="R2304">
        <f t="shared" si="141"/>
        <v>10.108571428571429</v>
      </c>
      <c r="S2304">
        <f t="shared" si="142"/>
        <v>0.86371773129828522</v>
      </c>
      <c r="T2304">
        <f t="shared" si="143"/>
        <v>3.4426229508196723E-2</v>
      </c>
      <c r="U2304" t="str">
        <f>YEAR('Campaign Data'!$A2304)&amp;"-"&amp;TEXT(MONTH('Campaign Data'!$A2304),"00")</f>
        <v>2026-05</v>
      </c>
    </row>
    <row r="2305" spans="1:21" x14ac:dyDescent="0.25">
      <c r="A2305">
        <v>46146</v>
      </c>
      <c r="B2305" t="s">
        <v>163</v>
      </c>
      <c r="C2305" t="s">
        <v>164</v>
      </c>
      <c r="D2305" t="s">
        <v>58</v>
      </c>
      <c r="E2305" t="s">
        <v>42</v>
      </c>
      <c r="F2305" t="s">
        <v>43</v>
      </c>
      <c r="G2305" t="s">
        <v>44</v>
      </c>
      <c r="H2305" t="s">
        <v>55</v>
      </c>
      <c r="I2305" t="s">
        <v>28</v>
      </c>
      <c r="J2305" t="s">
        <v>38</v>
      </c>
      <c r="K2305">
        <v>11878</v>
      </c>
      <c r="L2305">
        <v>59</v>
      </c>
      <c r="M2305">
        <v>364.35</v>
      </c>
      <c r="N2305">
        <v>0</v>
      </c>
      <c r="O2305">
        <v>0</v>
      </c>
      <c r="P2305">
        <f t="shared" si="140"/>
        <v>4.9671661895942078E-3</v>
      </c>
      <c r="Q2305">
        <f t="shared" si="140"/>
        <v>6.1754237288135601</v>
      </c>
      <c r="R2305">
        <f t="shared" si="141"/>
        <v>0</v>
      </c>
      <c r="S2305">
        <f t="shared" si="142"/>
        <v>0</v>
      </c>
      <c r="T2305">
        <f t="shared" si="143"/>
        <v>0</v>
      </c>
      <c r="U2305" t="str">
        <f>YEAR('Campaign Data'!$A2305)&amp;"-"&amp;TEXT(MONTH('Campaign Data'!$A2305),"00")</f>
        <v>2026-05</v>
      </c>
    </row>
    <row r="2306" spans="1:21" x14ac:dyDescent="0.25">
      <c r="A2306">
        <v>46146</v>
      </c>
      <c r="B2306" t="s">
        <v>120</v>
      </c>
      <c r="C2306" t="s">
        <v>121</v>
      </c>
      <c r="D2306" t="s">
        <v>23</v>
      </c>
      <c r="E2306" t="s">
        <v>49</v>
      </c>
      <c r="F2306" t="s">
        <v>75</v>
      </c>
      <c r="G2306" t="s">
        <v>70</v>
      </c>
      <c r="H2306" t="s">
        <v>27</v>
      </c>
      <c r="I2306" t="s">
        <v>28</v>
      </c>
      <c r="J2306" t="s">
        <v>38</v>
      </c>
      <c r="K2306">
        <v>5303</v>
      </c>
      <c r="L2306">
        <v>220</v>
      </c>
      <c r="M2306">
        <v>583.28</v>
      </c>
      <c r="N2306">
        <v>0</v>
      </c>
      <c r="O2306">
        <v>0</v>
      </c>
      <c r="P2306">
        <f t="shared" ref="P2306:Q2369" si="144">IF(K2306=0,0,L2306/K2306)</f>
        <v>4.1485951348293422E-2</v>
      </c>
      <c r="Q2306">
        <f t="shared" si="144"/>
        <v>2.651272727272727</v>
      </c>
      <c r="R2306">
        <f t="shared" ref="R2306:R2369" si="145">IF(N2306=0,0,M2306/N2306)</f>
        <v>0</v>
      </c>
      <c r="S2306">
        <f t="shared" ref="S2306:S2369" si="146">IF(M2306=0,0,O2306/M2306)</f>
        <v>0</v>
      </c>
      <c r="T2306">
        <f t="shared" ref="T2306:T2369" si="147">IF(L2306=0,0,N2306/L2306)</f>
        <v>0</v>
      </c>
      <c r="U2306" t="str">
        <f>YEAR('Campaign Data'!$A2306)&amp;"-"&amp;TEXT(MONTH('Campaign Data'!$A2306),"00")</f>
        <v>2026-05</v>
      </c>
    </row>
    <row r="2307" spans="1:21" x14ac:dyDescent="0.25">
      <c r="A2307">
        <v>46147</v>
      </c>
      <c r="B2307" t="s">
        <v>21</v>
      </c>
      <c r="C2307" t="s">
        <v>124</v>
      </c>
      <c r="D2307" t="s">
        <v>23</v>
      </c>
      <c r="E2307" t="s">
        <v>24</v>
      </c>
      <c r="F2307" t="s">
        <v>25</v>
      </c>
      <c r="G2307" t="s">
        <v>26</v>
      </c>
      <c r="H2307" t="s">
        <v>27</v>
      </c>
      <c r="I2307" t="s">
        <v>37</v>
      </c>
      <c r="J2307" t="s">
        <v>62</v>
      </c>
      <c r="K2307">
        <v>1889</v>
      </c>
      <c r="L2307">
        <v>18</v>
      </c>
      <c r="M2307">
        <v>22.29</v>
      </c>
      <c r="N2307">
        <v>0</v>
      </c>
      <c r="O2307">
        <v>0</v>
      </c>
      <c r="P2307">
        <f t="shared" si="144"/>
        <v>9.5288512440444683E-3</v>
      </c>
      <c r="Q2307">
        <f t="shared" si="144"/>
        <v>1.2383333333333333</v>
      </c>
      <c r="R2307">
        <f t="shared" si="145"/>
        <v>0</v>
      </c>
      <c r="S2307">
        <f t="shared" si="146"/>
        <v>0</v>
      </c>
      <c r="T2307">
        <f t="shared" si="147"/>
        <v>0</v>
      </c>
      <c r="U2307" t="str">
        <f>YEAR('Campaign Data'!$A2307)&amp;"-"&amp;TEXT(MONTH('Campaign Data'!$A2307),"00")</f>
        <v>2026-05</v>
      </c>
    </row>
    <row r="2308" spans="1:21" x14ac:dyDescent="0.25">
      <c r="A2308">
        <v>46147</v>
      </c>
      <c r="B2308" t="s">
        <v>125</v>
      </c>
      <c r="C2308" t="s">
        <v>126</v>
      </c>
      <c r="D2308" t="s">
        <v>41</v>
      </c>
      <c r="E2308" t="s">
        <v>42</v>
      </c>
      <c r="F2308" t="s">
        <v>81</v>
      </c>
      <c r="G2308" t="s">
        <v>44</v>
      </c>
      <c r="H2308" t="s">
        <v>90</v>
      </c>
      <c r="I2308" t="s">
        <v>28</v>
      </c>
      <c r="J2308" t="s">
        <v>38</v>
      </c>
      <c r="K2308">
        <v>2870</v>
      </c>
      <c r="L2308">
        <v>21</v>
      </c>
      <c r="M2308">
        <v>35.22</v>
      </c>
      <c r="N2308">
        <v>2</v>
      </c>
      <c r="O2308">
        <v>13.77</v>
      </c>
      <c r="P2308">
        <f t="shared" si="144"/>
        <v>7.3170731707317077E-3</v>
      </c>
      <c r="Q2308">
        <f t="shared" si="144"/>
        <v>1.677142857142857</v>
      </c>
      <c r="R2308">
        <f t="shared" si="145"/>
        <v>17.61</v>
      </c>
      <c r="S2308">
        <f t="shared" si="146"/>
        <v>0.39097103918228282</v>
      </c>
      <c r="T2308">
        <f t="shared" si="147"/>
        <v>9.5238095238095233E-2</v>
      </c>
      <c r="U2308" t="str">
        <f>YEAR('Campaign Data'!$A2308)&amp;"-"&amp;TEXT(MONTH('Campaign Data'!$A2308),"00")</f>
        <v>2026-05</v>
      </c>
    </row>
    <row r="2309" spans="1:21" x14ac:dyDescent="0.25">
      <c r="A2309">
        <v>46147</v>
      </c>
      <c r="B2309" t="s">
        <v>125</v>
      </c>
      <c r="C2309" t="s">
        <v>126</v>
      </c>
      <c r="D2309" t="s">
        <v>41</v>
      </c>
      <c r="E2309" t="s">
        <v>42</v>
      </c>
      <c r="F2309" t="s">
        <v>81</v>
      </c>
      <c r="G2309" t="s">
        <v>44</v>
      </c>
      <c r="H2309" t="s">
        <v>60</v>
      </c>
      <c r="I2309" t="s">
        <v>61</v>
      </c>
      <c r="J2309" t="s">
        <v>87</v>
      </c>
      <c r="K2309">
        <v>17275</v>
      </c>
      <c r="L2309">
        <v>69</v>
      </c>
      <c r="M2309">
        <v>318.39999999999998</v>
      </c>
      <c r="N2309">
        <v>1</v>
      </c>
      <c r="O2309">
        <v>22.03</v>
      </c>
      <c r="P2309">
        <f t="shared" si="144"/>
        <v>3.9942112879884223E-3</v>
      </c>
      <c r="Q2309">
        <f t="shared" si="144"/>
        <v>4.6144927536231881</v>
      </c>
      <c r="R2309">
        <f t="shared" si="145"/>
        <v>318.39999999999998</v>
      </c>
      <c r="S2309">
        <f t="shared" si="146"/>
        <v>6.9189698492462315E-2</v>
      </c>
      <c r="T2309">
        <f t="shared" si="147"/>
        <v>1.4492753623188406E-2</v>
      </c>
      <c r="U2309" t="str">
        <f>YEAR('Campaign Data'!$A2309)&amp;"-"&amp;TEXT(MONTH('Campaign Data'!$A2309),"00")</f>
        <v>2026-05</v>
      </c>
    </row>
    <row r="2310" spans="1:21" x14ac:dyDescent="0.25">
      <c r="A2310">
        <v>46147</v>
      </c>
      <c r="B2310" t="s">
        <v>93</v>
      </c>
      <c r="C2310" t="s">
        <v>94</v>
      </c>
      <c r="D2310" t="s">
        <v>69</v>
      </c>
      <c r="E2310" t="s">
        <v>42</v>
      </c>
      <c r="F2310" t="s">
        <v>75</v>
      </c>
      <c r="G2310" t="s">
        <v>44</v>
      </c>
      <c r="H2310" t="s">
        <v>71</v>
      </c>
      <c r="I2310" t="s">
        <v>37</v>
      </c>
      <c r="J2310" t="s">
        <v>38</v>
      </c>
      <c r="K2310">
        <v>13152</v>
      </c>
      <c r="L2310">
        <v>65</v>
      </c>
      <c r="M2310">
        <v>396.16</v>
      </c>
      <c r="N2310">
        <v>2</v>
      </c>
      <c r="O2310">
        <v>62.2</v>
      </c>
      <c r="P2310">
        <f t="shared" si="144"/>
        <v>4.9422141119221412E-3</v>
      </c>
      <c r="Q2310">
        <f t="shared" si="144"/>
        <v>6.0947692307692307</v>
      </c>
      <c r="R2310">
        <f t="shared" si="145"/>
        <v>198.08</v>
      </c>
      <c r="S2310">
        <f t="shared" si="146"/>
        <v>0.15700726978998383</v>
      </c>
      <c r="T2310">
        <f t="shared" si="147"/>
        <v>3.0769230769230771E-2</v>
      </c>
      <c r="U2310" t="str">
        <f>YEAR('Campaign Data'!$A2310)&amp;"-"&amp;TEXT(MONTH('Campaign Data'!$A2310),"00")</f>
        <v>2026-05</v>
      </c>
    </row>
    <row r="2311" spans="1:21" x14ac:dyDescent="0.25">
      <c r="A2311">
        <v>46147</v>
      </c>
      <c r="B2311" t="s">
        <v>151</v>
      </c>
      <c r="C2311" t="s">
        <v>152</v>
      </c>
      <c r="D2311" t="s">
        <v>48</v>
      </c>
      <c r="E2311" t="s">
        <v>24</v>
      </c>
      <c r="F2311" t="s">
        <v>81</v>
      </c>
      <c r="G2311" t="s">
        <v>129</v>
      </c>
      <c r="H2311" t="s">
        <v>55</v>
      </c>
      <c r="I2311" t="s">
        <v>37</v>
      </c>
      <c r="J2311" t="s">
        <v>29</v>
      </c>
      <c r="K2311">
        <v>4392</v>
      </c>
      <c r="L2311">
        <v>72</v>
      </c>
      <c r="M2311">
        <v>63.76</v>
      </c>
      <c r="N2311">
        <v>3</v>
      </c>
      <c r="O2311">
        <v>79.569999999999993</v>
      </c>
      <c r="P2311">
        <f t="shared" si="144"/>
        <v>1.6393442622950821E-2</v>
      </c>
      <c r="Q2311">
        <f t="shared" si="144"/>
        <v>0.88555555555555554</v>
      </c>
      <c r="R2311">
        <f t="shared" si="145"/>
        <v>21.253333333333334</v>
      </c>
      <c r="S2311">
        <f t="shared" si="146"/>
        <v>1.247961104140527</v>
      </c>
      <c r="T2311">
        <f t="shared" si="147"/>
        <v>4.1666666666666664E-2</v>
      </c>
      <c r="U2311" t="str">
        <f>YEAR('Campaign Data'!$A2311)&amp;"-"&amp;TEXT(MONTH('Campaign Data'!$A2311),"00")</f>
        <v>2026-05</v>
      </c>
    </row>
    <row r="2312" spans="1:21" x14ac:dyDescent="0.25">
      <c r="A2312">
        <v>46147</v>
      </c>
      <c r="B2312" t="s">
        <v>98</v>
      </c>
      <c r="C2312" t="s">
        <v>99</v>
      </c>
      <c r="D2312" t="s">
        <v>69</v>
      </c>
      <c r="E2312" t="s">
        <v>24</v>
      </c>
      <c r="F2312" t="s">
        <v>75</v>
      </c>
      <c r="G2312" t="s">
        <v>66</v>
      </c>
      <c r="H2312" t="s">
        <v>27</v>
      </c>
      <c r="I2312" t="s">
        <v>37</v>
      </c>
      <c r="J2312" t="s">
        <v>62</v>
      </c>
      <c r="K2312">
        <v>14418</v>
      </c>
      <c r="L2312">
        <v>241</v>
      </c>
      <c r="M2312">
        <v>261.39999999999998</v>
      </c>
      <c r="N2312">
        <v>14</v>
      </c>
      <c r="O2312">
        <v>808.25</v>
      </c>
      <c r="P2312">
        <f t="shared" si="144"/>
        <v>1.6715217089748925E-2</v>
      </c>
      <c r="Q2312">
        <f t="shared" si="144"/>
        <v>1.0846473029045642</v>
      </c>
      <c r="R2312">
        <f t="shared" si="145"/>
        <v>18.671428571428571</v>
      </c>
      <c r="S2312">
        <f t="shared" si="146"/>
        <v>3.0920045906656468</v>
      </c>
      <c r="T2312">
        <f t="shared" si="147"/>
        <v>5.8091286307053944E-2</v>
      </c>
      <c r="U2312" t="str">
        <f>YEAR('Campaign Data'!$A2312)&amp;"-"&amp;TEXT(MONTH('Campaign Data'!$A2312),"00")</f>
        <v>2026-05</v>
      </c>
    </row>
    <row r="2313" spans="1:21" x14ac:dyDescent="0.25">
      <c r="A2313">
        <v>46147</v>
      </c>
      <c r="B2313" t="s">
        <v>110</v>
      </c>
      <c r="C2313" t="s">
        <v>111</v>
      </c>
      <c r="D2313" t="s">
        <v>23</v>
      </c>
      <c r="E2313" t="s">
        <v>49</v>
      </c>
      <c r="F2313" t="s">
        <v>34</v>
      </c>
      <c r="G2313" t="s">
        <v>50</v>
      </c>
      <c r="H2313" t="s">
        <v>27</v>
      </c>
      <c r="I2313" t="s">
        <v>28</v>
      </c>
      <c r="J2313" t="s">
        <v>38</v>
      </c>
      <c r="K2313">
        <v>5965</v>
      </c>
      <c r="L2313">
        <v>251</v>
      </c>
      <c r="M2313">
        <v>473.65</v>
      </c>
      <c r="N2313">
        <v>10</v>
      </c>
      <c r="O2313">
        <v>1012.71</v>
      </c>
      <c r="P2313">
        <f t="shared" si="144"/>
        <v>4.2078792958927073E-2</v>
      </c>
      <c r="Q2313">
        <f t="shared" si="144"/>
        <v>1.8870517928286852</v>
      </c>
      <c r="R2313">
        <f t="shared" si="145"/>
        <v>47.364999999999995</v>
      </c>
      <c r="S2313">
        <f t="shared" si="146"/>
        <v>2.1380977515042754</v>
      </c>
      <c r="T2313">
        <f t="shared" si="147"/>
        <v>3.9840637450199202E-2</v>
      </c>
      <c r="U2313" t="str">
        <f>YEAR('Campaign Data'!$A2313)&amp;"-"&amp;TEXT(MONTH('Campaign Data'!$A2313),"00")</f>
        <v>2026-05</v>
      </c>
    </row>
    <row r="2314" spans="1:21" x14ac:dyDescent="0.25">
      <c r="A2314">
        <v>46147</v>
      </c>
      <c r="B2314" t="s">
        <v>110</v>
      </c>
      <c r="C2314" t="s">
        <v>111</v>
      </c>
      <c r="D2314" t="s">
        <v>23</v>
      </c>
      <c r="E2314" t="s">
        <v>49</v>
      </c>
      <c r="F2314" t="s">
        <v>34</v>
      </c>
      <c r="G2314" t="s">
        <v>50</v>
      </c>
      <c r="H2314" t="s">
        <v>51</v>
      </c>
      <c r="I2314" t="s">
        <v>37</v>
      </c>
      <c r="J2314" t="s">
        <v>29</v>
      </c>
      <c r="K2314">
        <v>8087</v>
      </c>
      <c r="L2314">
        <v>303</v>
      </c>
      <c r="M2314">
        <v>370.05</v>
      </c>
      <c r="N2314">
        <v>18</v>
      </c>
      <c r="O2314">
        <v>2462.5500000000002</v>
      </c>
      <c r="P2314">
        <f t="shared" si="144"/>
        <v>3.7467540497094103E-2</v>
      </c>
      <c r="Q2314">
        <f t="shared" si="144"/>
        <v>1.2212871287128713</v>
      </c>
      <c r="R2314">
        <f t="shared" si="145"/>
        <v>20.558333333333334</v>
      </c>
      <c r="S2314">
        <f t="shared" si="146"/>
        <v>6.6546412646939608</v>
      </c>
      <c r="T2314">
        <f t="shared" si="147"/>
        <v>5.9405940594059403E-2</v>
      </c>
      <c r="U2314" t="str">
        <f>YEAR('Campaign Data'!$A2314)&amp;"-"&amp;TEXT(MONTH('Campaign Data'!$A2314),"00")</f>
        <v>2026-05</v>
      </c>
    </row>
    <row r="2315" spans="1:21" x14ac:dyDescent="0.25">
      <c r="A2315">
        <v>46147</v>
      </c>
      <c r="B2315" t="s">
        <v>155</v>
      </c>
      <c r="C2315" t="s">
        <v>156</v>
      </c>
      <c r="D2315" t="s">
        <v>32</v>
      </c>
      <c r="E2315" t="s">
        <v>24</v>
      </c>
      <c r="F2315" t="s">
        <v>34</v>
      </c>
      <c r="G2315" t="s">
        <v>129</v>
      </c>
      <c r="H2315" t="s">
        <v>27</v>
      </c>
      <c r="I2315" t="s">
        <v>37</v>
      </c>
      <c r="J2315" t="s">
        <v>38</v>
      </c>
      <c r="K2315">
        <v>7495</v>
      </c>
      <c r="L2315">
        <v>69</v>
      </c>
      <c r="M2315">
        <v>79.569999999999993</v>
      </c>
      <c r="N2315">
        <v>2</v>
      </c>
      <c r="O2315">
        <v>339.1</v>
      </c>
      <c r="P2315">
        <f t="shared" si="144"/>
        <v>9.2061374249499672E-3</v>
      </c>
      <c r="Q2315">
        <f t="shared" si="144"/>
        <v>1.1531884057971014</v>
      </c>
      <c r="R2315">
        <f t="shared" si="145"/>
        <v>39.784999999999997</v>
      </c>
      <c r="S2315">
        <f t="shared" si="146"/>
        <v>4.2616564031670237</v>
      </c>
      <c r="T2315">
        <f t="shared" si="147"/>
        <v>2.8985507246376812E-2</v>
      </c>
      <c r="U2315" t="str">
        <f>YEAR('Campaign Data'!$A2315)&amp;"-"&amp;TEXT(MONTH('Campaign Data'!$A2315),"00")</f>
        <v>2026-05</v>
      </c>
    </row>
    <row r="2316" spans="1:21" x14ac:dyDescent="0.25">
      <c r="A2316">
        <v>46147</v>
      </c>
      <c r="B2316" t="s">
        <v>181</v>
      </c>
      <c r="C2316" t="s">
        <v>182</v>
      </c>
      <c r="D2316" t="s">
        <v>32</v>
      </c>
      <c r="E2316" t="s">
        <v>33</v>
      </c>
      <c r="F2316" t="s">
        <v>75</v>
      </c>
      <c r="G2316" t="s">
        <v>59</v>
      </c>
      <c r="H2316" t="s">
        <v>90</v>
      </c>
      <c r="I2316" t="s">
        <v>37</v>
      </c>
      <c r="J2316" t="s">
        <v>45</v>
      </c>
      <c r="K2316">
        <v>4095</v>
      </c>
      <c r="L2316">
        <v>44</v>
      </c>
      <c r="M2316">
        <v>6.28</v>
      </c>
      <c r="N2316">
        <v>1</v>
      </c>
      <c r="O2316">
        <v>12.93</v>
      </c>
      <c r="P2316">
        <f t="shared" si="144"/>
        <v>1.0744810744810745E-2</v>
      </c>
      <c r="Q2316">
        <f t="shared" si="144"/>
        <v>0.14272727272727273</v>
      </c>
      <c r="R2316">
        <f t="shared" si="145"/>
        <v>6.28</v>
      </c>
      <c r="S2316">
        <f t="shared" si="146"/>
        <v>2.0589171974522293</v>
      </c>
      <c r="T2316">
        <f t="shared" si="147"/>
        <v>2.2727272727272728E-2</v>
      </c>
      <c r="U2316" t="str">
        <f>YEAR('Campaign Data'!$A2316)&amp;"-"&amp;TEXT(MONTH('Campaign Data'!$A2316),"00")</f>
        <v>2026-05</v>
      </c>
    </row>
    <row r="2317" spans="1:21" x14ac:dyDescent="0.25">
      <c r="A2317">
        <v>46147</v>
      </c>
      <c r="B2317" t="s">
        <v>114</v>
      </c>
      <c r="C2317" t="s">
        <v>115</v>
      </c>
      <c r="D2317" t="s">
        <v>69</v>
      </c>
      <c r="E2317" t="s">
        <v>49</v>
      </c>
      <c r="F2317" t="s">
        <v>25</v>
      </c>
      <c r="G2317" t="s">
        <v>107</v>
      </c>
      <c r="H2317" t="s">
        <v>51</v>
      </c>
      <c r="I2317" t="s">
        <v>28</v>
      </c>
      <c r="J2317" t="s">
        <v>38</v>
      </c>
      <c r="K2317">
        <v>30630</v>
      </c>
      <c r="L2317">
        <v>1444</v>
      </c>
      <c r="M2317">
        <v>2680.38</v>
      </c>
      <c r="N2317">
        <v>70</v>
      </c>
      <c r="O2317">
        <v>10968.66</v>
      </c>
      <c r="P2317">
        <f t="shared" si="144"/>
        <v>4.7143323539014036E-2</v>
      </c>
      <c r="Q2317">
        <f t="shared" si="144"/>
        <v>1.8562188365650971</v>
      </c>
      <c r="R2317">
        <f t="shared" si="145"/>
        <v>38.291142857142859</v>
      </c>
      <c r="S2317">
        <f t="shared" si="146"/>
        <v>4.092203344301927</v>
      </c>
      <c r="T2317">
        <f t="shared" si="147"/>
        <v>4.8476454293628811E-2</v>
      </c>
      <c r="U2317" t="str">
        <f>YEAR('Campaign Data'!$A2317)&amp;"-"&amp;TEXT(MONTH('Campaign Data'!$A2317),"00")</f>
        <v>2026-05</v>
      </c>
    </row>
    <row r="2318" spans="1:21" x14ac:dyDescent="0.25">
      <c r="A2318">
        <v>46147</v>
      </c>
      <c r="B2318" t="s">
        <v>56</v>
      </c>
      <c r="C2318" t="s">
        <v>57</v>
      </c>
      <c r="D2318" t="s">
        <v>58</v>
      </c>
      <c r="E2318" t="s">
        <v>33</v>
      </c>
      <c r="F2318" t="s">
        <v>43</v>
      </c>
      <c r="G2318" t="s">
        <v>59</v>
      </c>
      <c r="H2318" t="s">
        <v>60</v>
      </c>
      <c r="I2318" t="s">
        <v>37</v>
      </c>
      <c r="J2318" t="s">
        <v>45</v>
      </c>
      <c r="K2318">
        <v>10103</v>
      </c>
      <c r="L2318">
        <v>30</v>
      </c>
      <c r="M2318">
        <v>16.809999999999999</v>
      </c>
      <c r="N2318">
        <v>0</v>
      </c>
      <c r="O2318">
        <v>0</v>
      </c>
      <c r="P2318">
        <f t="shared" si="144"/>
        <v>2.9694150252400275E-3</v>
      </c>
      <c r="Q2318">
        <f t="shared" si="144"/>
        <v>0.56033333333333324</v>
      </c>
      <c r="R2318">
        <f t="shared" si="145"/>
        <v>0</v>
      </c>
      <c r="S2318">
        <f t="shared" si="146"/>
        <v>0</v>
      </c>
      <c r="T2318">
        <f t="shared" si="147"/>
        <v>0</v>
      </c>
      <c r="U2318" t="str">
        <f>YEAR('Campaign Data'!$A2318)&amp;"-"&amp;TEXT(MONTH('Campaign Data'!$A2318),"00")</f>
        <v>2026-05</v>
      </c>
    </row>
    <row r="2319" spans="1:21" x14ac:dyDescent="0.25">
      <c r="A2319">
        <v>46147</v>
      </c>
      <c r="B2319" t="s">
        <v>63</v>
      </c>
      <c r="C2319" t="s">
        <v>64</v>
      </c>
      <c r="D2319" t="s">
        <v>65</v>
      </c>
      <c r="E2319" t="s">
        <v>24</v>
      </c>
      <c r="F2319" t="s">
        <v>43</v>
      </c>
      <c r="G2319" t="s">
        <v>66</v>
      </c>
      <c r="H2319" t="s">
        <v>71</v>
      </c>
      <c r="I2319" t="s">
        <v>37</v>
      </c>
      <c r="J2319" t="s">
        <v>62</v>
      </c>
      <c r="K2319">
        <v>18083</v>
      </c>
      <c r="L2319">
        <v>227</v>
      </c>
      <c r="M2319">
        <v>214.43</v>
      </c>
      <c r="N2319">
        <v>12</v>
      </c>
      <c r="O2319">
        <v>221.64</v>
      </c>
      <c r="P2319">
        <f t="shared" si="144"/>
        <v>1.2553226787590554E-2</v>
      </c>
      <c r="Q2319">
        <f t="shared" si="144"/>
        <v>0.94462555066079301</v>
      </c>
      <c r="R2319">
        <f t="shared" si="145"/>
        <v>17.869166666666668</v>
      </c>
      <c r="S2319">
        <f t="shared" si="146"/>
        <v>1.0336240264888308</v>
      </c>
      <c r="T2319">
        <f t="shared" si="147"/>
        <v>5.2863436123348019E-2</v>
      </c>
      <c r="U2319" t="str">
        <f>YEAR('Campaign Data'!$A2319)&amp;"-"&amp;TEXT(MONTH('Campaign Data'!$A2319),"00")</f>
        <v>2026-05</v>
      </c>
    </row>
    <row r="2320" spans="1:21" x14ac:dyDescent="0.25">
      <c r="A2320">
        <v>46147</v>
      </c>
      <c r="B2320" t="s">
        <v>63</v>
      </c>
      <c r="C2320" t="s">
        <v>64</v>
      </c>
      <c r="D2320" t="s">
        <v>65</v>
      </c>
      <c r="E2320" t="s">
        <v>24</v>
      </c>
      <c r="F2320" t="s">
        <v>43</v>
      </c>
      <c r="G2320" t="s">
        <v>66</v>
      </c>
      <c r="H2320" t="s">
        <v>90</v>
      </c>
      <c r="I2320" t="s">
        <v>37</v>
      </c>
      <c r="J2320" t="s">
        <v>45</v>
      </c>
      <c r="K2320">
        <v>6424</v>
      </c>
      <c r="L2320">
        <v>87</v>
      </c>
      <c r="M2320">
        <v>24.79</v>
      </c>
      <c r="N2320">
        <v>0</v>
      </c>
      <c r="O2320">
        <v>0</v>
      </c>
      <c r="P2320">
        <f t="shared" si="144"/>
        <v>1.3542963885429639E-2</v>
      </c>
      <c r="Q2320">
        <f t="shared" si="144"/>
        <v>0.28494252873563219</v>
      </c>
      <c r="R2320">
        <f t="shared" si="145"/>
        <v>0</v>
      </c>
      <c r="S2320">
        <f t="shared" si="146"/>
        <v>0</v>
      </c>
      <c r="T2320">
        <f t="shared" si="147"/>
        <v>0</v>
      </c>
      <c r="U2320" t="str">
        <f>YEAR('Campaign Data'!$A2320)&amp;"-"&amp;TEXT(MONTH('Campaign Data'!$A2320),"00")</f>
        <v>2026-05</v>
      </c>
    </row>
    <row r="2321" spans="1:21" x14ac:dyDescent="0.25">
      <c r="A2321">
        <v>46147</v>
      </c>
      <c r="B2321" t="s">
        <v>118</v>
      </c>
      <c r="C2321" t="s">
        <v>119</v>
      </c>
      <c r="D2321" t="s">
        <v>69</v>
      </c>
      <c r="E2321" t="s">
        <v>33</v>
      </c>
      <c r="F2321" t="s">
        <v>34</v>
      </c>
      <c r="G2321" t="s">
        <v>35</v>
      </c>
      <c r="H2321" t="s">
        <v>90</v>
      </c>
      <c r="I2321" t="s">
        <v>37</v>
      </c>
      <c r="J2321" t="s">
        <v>62</v>
      </c>
      <c r="K2321">
        <v>8622</v>
      </c>
      <c r="L2321">
        <v>130</v>
      </c>
      <c r="M2321">
        <v>25.43</v>
      </c>
      <c r="N2321">
        <v>3</v>
      </c>
      <c r="O2321">
        <v>102.75</v>
      </c>
      <c r="P2321">
        <f t="shared" si="144"/>
        <v>1.507770818835537E-2</v>
      </c>
      <c r="Q2321">
        <f t="shared" si="144"/>
        <v>0.19561538461538461</v>
      </c>
      <c r="R2321">
        <f t="shared" si="145"/>
        <v>8.4766666666666666</v>
      </c>
      <c r="S2321">
        <f t="shared" si="146"/>
        <v>4.0405033425088481</v>
      </c>
      <c r="T2321">
        <f t="shared" si="147"/>
        <v>2.3076923076923078E-2</v>
      </c>
      <c r="U2321" t="str">
        <f>YEAR('Campaign Data'!$A2321)&amp;"-"&amp;TEXT(MONTH('Campaign Data'!$A2321),"00")</f>
        <v>2026-05</v>
      </c>
    </row>
    <row r="2322" spans="1:21" x14ac:dyDescent="0.25">
      <c r="A2322">
        <v>46147</v>
      </c>
      <c r="B2322" t="s">
        <v>145</v>
      </c>
      <c r="C2322" t="s">
        <v>146</v>
      </c>
      <c r="D2322" t="s">
        <v>41</v>
      </c>
      <c r="E2322" t="s">
        <v>49</v>
      </c>
      <c r="F2322" t="s">
        <v>75</v>
      </c>
      <c r="G2322" t="s">
        <v>70</v>
      </c>
      <c r="H2322" t="s">
        <v>60</v>
      </c>
      <c r="I2322" t="s">
        <v>37</v>
      </c>
      <c r="J2322" t="s">
        <v>38</v>
      </c>
      <c r="K2322">
        <v>7418</v>
      </c>
      <c r="L2322">
        <v>327</v>
      </c>
      <c r="M2322">
        <v>669.45</v>
      </c>
      <c r="N2322">
        <v>28</v>
      </c>
      <c r="O2322">
        <v>1073.6500000000001</v>
      </c>
      <c r="P2322">
        <f t="shared" si="144"/>
        <v>4.4081962793205719E-2</v>
      </c>
      <c r="Q2322">
        <f t="shared" si="144"/>
        <v>2.0472477064220187</v>
      </c>
      <c r="R2322">
        <f t="shared" si="145"/>
        <v>23.908928571428572</v>
      </c>
      <c r="S2322">
        <f t="shared" si="146"/>
        <v>1.6037792217491971</v>
      </c>
      <c r="T2322">
        <f t="shared" si="147"/>
        <v>8.5626911314984705E-2</v>
      </c>
      <c r="U2322" t="str">
        <f>YEAR('Campaign Data'!$A2322)&amp;"-"&amp;TEXT(MONTH('Campaign Data'!$A2322),"00")</f>
        <v>2026-05</v>
      </c>
    </row>
    <row r="2323" spans="1:21" x14ac:dyDescent="0.25">
      <c r="A2323">
        <v>46147</v>
      </c>
      <c r="B2323" t="s">
        <v>122</v>
      </c>
      <c r="C2323" t="s">
        <v>123</v>
      </c>
      <c r="D2323" t="s">
        <v>41</v>
      </c>
      <c r="E2323" t="s">
        <v>33</v>
      </c>
      <c r="F2323" t="s">
        <v>75</v>
      </c>
      <c r="G2323" t="s">
        <v>35</v>
      </c>
      <c r="H2323" t="s">
        <v>27</v>
      </c>
      <c r="I2323" t="s">
        <v>37</v>
      </c>
      <c r="J2323" t="s">
        <v>38</v>
      </c>
      <c r="K2323">
        <v>4269</v>
      </c>
      <c r="L2323">
        <v>30</v>
      </c>
      <c r="M2323">
        <v>22.95</v>
      </c>
      <c r="N2323">
        <v>1</v>
      </c>
      <c r="O2323">
        <v>38.17</v>
      </c>
      <c r="P2323">
        <f t="shared" si="144"/>
        <v>7.0274068868587487E-3</v>
      </c>
      <c r="Q2323">
        <f t="shared" si="144"/>
        <v>0.76500000000000001</v>
      </c>
      <c r="R2323">
        <f t="shared" si="145"/>
        <v>22.95</v>
      </c>
      <c r="S2323">
        <f t="shared" si="146"/>
        <v>1.6631808278867104</v>
      </c>
      <c r="T2323">
        <f t="shared" si="147"/>
        <v>3.3333333333333333E-2</v>
      </c>
      <c r="U2323" t="str">
        <f>YEAR('Campaign Data'!$A2323)&amp;"-"&amp;TEXT(MONTH('Campaign Data'!$A2323),"00")</f>
        <v>2026-05</v>
      </c>
    </row>
    <row r="2324" spans="1:21" x14ac:dyDescent="0.25">
      <c r="A2324">
        <v>46148</v>
      </c>
      <c r="B2324" t="s">
        <v>173</v>
      </c>
      <c r="C2324" t="s">
        <v>174</v>
      </c>
      <c r="D2324" t="s">
        <v>48</v>
      </c>
      <c r="E2324" t="s">
        <v>74</v>
      </c>
      <c r="F2324" t="s">
        <v>25</v>
      </c>
      <c r="G2324" t="s">
        <v>9</v>
      </c>
      <c r="H2324" t="s">
        <v>51</v>
      </c>
      <c r="I2324" t="s">
        <v>37</v>
      </c>
      <c r="J2324" t="s">
        <v>38</v>
      </c>
      <c r="K2324">
        <v>7531</v>
      </c>
      <c r="L2324">
        <v>158</v>
      </c>
      <c r="M2324">
        <v>268.95</v>
      </c>
      <c r="N2324">
        <v>14</v>
      </c>
      <c r="O2324">
        <v>3229.31</v>
      </c>
      <c r="P2324">
        <f t="shared" si="144"/>
        <v>2.0979949541893507E-2</v>
      </c>
      <c r="Q2324">
        <f t="shared" si="144"/>
        <v>1.7022151898734177</v>
      </c>
      <c r="R2324">
        <f t="shared" si="145"/>
        <v>19.210714285714285</v>
      </c>
      <c r="S2324">
        <f t="shared" si="146"/>
        <v>12.007101691764269</v>
      </c>
      <c r="T2324">
        <f t="shared" si="147"/>
        <v>8.8607594936708861E-2</v>
      </c>
      <c r="U2324" t="str">
        <f>YEAR('Campaign Data'!$A2324)&amp;"-"&amp;TEXT(MONTH('Campaign Data'!$A2324),"00")</f>
        <v>2026-05</v>
      </c>
    </row>
    <row r="2325" spans="1:21" x14ac:dyDescent="0.25">
      <c r="A2325">
        <v>46148</v>
      </c>
      <c r="B2325" t="s">
        <v>175</v>
      </c>
      <c r="C2325" t="s">
        <v>176</v>
      </c>
      <c r="D2325" t="s">
        <v>65</v>
      </c>
      <c r="E2325" t="s">
        <v>49</v>
      </c>
      <c r="F2325" t="s">
        <v>75</v>
      </c>
      <c r="G2325" t="s">
        <v>70</v>
      </c>
      <c r="H2325" t="s">
        <v>55</v>
      </c>
      <c r="I2325" t="s">
        <v>37</v>
      </c>
      <c r="J2325" t="s">
        <v>38</v>
      </c>
      <c r="K2325">
        <v>3660</v>
      </c>
      <c r="L2325">
        <v>184</v>
      </c>
      <c r="M2325">
        <v>260.31</v>
      </c>
      <c r="N2325">
        <v>6</v>
      </c>
      <c r="O2325">
        <v>169.79</v>
      </c>
      <c r="P2325">
        <f t="shared" si="144"/>
        <v>5.0273224043715849E-2</v>
      </c>
      <c r="Q2325">
        <f t="shared" si="144"/>
        <v>1.4147282608695653</v>
      </c>
      <c r="R2325">
        <f t="shared" si="145"/>
        <v>43.384999999999998</v>
      </c>
      <c r="S2325">
        <f t="shared" si="146"/>
        <v>0.65226076600975758</v>
      </c>
      <c r="T2325">
        <f t="shared" si="147"/>
        <v>3.2608695652173912E-2</v>
      </c>
      <c r="U2325" t="str">
        <f>YEAR('Campaign Data'!$A2325)&amp;"-"&amp;TEXT(MONTH('Campaign Data'!$A2325),"00")</f>
        <v>2026-05</v>
      </c>
    </row>
    <row r="2326" spans="1:21" x14ac:dyDescent="0.25">
      <c r="A2326">
        <v>46148</v>
      </c>
      <c r="B2326" t="s">
        <v>85</v>
      </c>
      <c r="C2326" t="s">
        <v>86</v>
      </c>
      <c r="D2326" t="s">
        <v>80</v>
      </c>
      <c r="E2326" t="s">
        <v>33</v>
      </c>
      <c r="F2326" t="s">
        <v>43</v>
      </c>
      <c r="G2326" t="s">
        <v>35</v>
      </c>
      <c r="H2326" t="s">
        <v>90</v>
      </c>
      <c r="I2326" t="s">
        <v>37</v>
      </c>
      <c r="J2326" t="s">
        <v>38</v>
      </c>
      <c r="K2326">
        <v>10102</v>
      </c>
      <c r="L2326">
        <v>117</v>
      </c>
      <c r="M2326">
        <v>21.26</v>
      </c>
      <c r="N2326">
        <v>2</v>
      </c>
      <c r="O2326">
        <v>14.81</v>
      </c>
      <c r="P2326">
        <f t="shared" si="144"/>
        <v>1.1581864977232232E-2</v>
      </c>
      <c r="Q2326">
        <f t="shared" si="144"/>
        <v>0.18170940170940172</v>
      </c>
      <c r="R2326">
        <f t="shared" si="145"/>
        <v>10.63</v>
      </c>
      <c r="S2326">
        <f t="shared" si="146"/>
        <v>0.69661335841956729</v>
      </c>
      <c r="T2326">
        <f t="shared" si="147"/>
        <v>1.7094017094017096E-2</v>
      </c>
      <c r="U2326" t="str">
        <f>YEAR('Campaign Data'!$A2326)&amp;"-"&amp;TEXT(MONTH('Campaign Data'!$A2326),"00")</f>
        <v>2026-05</v>
      </c>
    </row>
    <row r="2327" spans="1:21" x14ac:dyDescent="0.25">
      <c r="A2327">
        <v>46148</v>
      </c>
      <c r="B2327" t="s">
        <v>88</v>
      </c>
      <c r="C2327" t="s">
        <v>89</v>
      </c>
      <c r="D2327" t="s">
        <v>23</v>
      </c>
      <c r="E2327" t="s">
        <v>49</v>
      </c>
      <c r="F2327" t="s">
        <v>81</v>
      </c>
      <c r="G2327" t="s">
        <v>50</v>
      </c>
      <c r="H2327" t="s">
        <v>36</v>
      </c>
      <c r="I2327" t="s">
        <v>37</v>
      </c>
      <c r="J2327" t="s">
        <v>45</v>
      </c>
      <c r="K2327">
        <v>17412</v>
      </c>
      <c r="L2327">
        <v>688</v>
      </c>
      <c r="M2327">
        <v>1354.85</v>
      </c>
      <c r="N2327">
        <v>28</v>
      </c>
      <c r="O2327">
        <v>595.01</v>
      </c>
      <c r="P2327">
        <f t="shared" si="144"/>
        <v>3.9512979554330349E-2</v>
      </c>
      <c r="Q2327">
        <f t="shared" si="144"/>
        <v>1.9692587209302324</v>
      </c>
      <c r="R2327">
        <f t="shared" si="145"/>
        <v>48.387499999999996</v>
      </c>
      <c r="S2327">
        <f t="shared" si="146"/>
        <v>0.43917038786581541</v>
      </c>
      <c r="T2327">
        <f t="shared" si="147"/>
        <v>4.0697674418604654E-2</v>
      </c>
      <c r="U2327" t="str">
        <f>YEAR('Campaign Data'!$A2327)&amp;"-"&amp;TEXT(MONTH('Campaign Data'!$A2327),"00")</f>
        <v>2026-05</v>
      </c>
    </row>
    <row r="2328" spans="1:21" x14ac:dyDescent="0.25">
      <c r="A2328">
        <v>46148</v>
      </c>
      <c r="B2328" t="s">
        <v>95</v>
      </c>
      <c r="C2328" t="s">
        <v>96</v>
      </c>
      <c r="D2328" t="s">
        <v>23</v>
      </c>
      <c r="E2328" t="s">
        <v>49</v>
      </c>
      <c r="F2328" t="s">
        <v>43</v>
      </c>
      <c r="G2328" t="s">
        <v>97</v>
      </c>
      <c r="H2328" t="s">
        <v>71</v>
      </c>
      <c r="I2328" t="s">
        <v>37</v>
      </c>
      <c r="J2328" t="s">
        <v>87</v>
      </c>
      <c r="K2328">
        <v>9459</v>
      </c>
      <c r="L2328">
        <v>442</v>
      </c>
      <c r="M2328">
        <v>1040.2</v>
      </c>
      <c r="N2328">
        <v>25</v>
      </c>
      <c r="O2328">
        <v>619.45000000000005</v>
      </c>
      <c r="P2328">
        <f t="shared" si="144"/>
        <v>4.6727983930648059E-2</v>
      </c>
      <c r="Q2328">
        <f t="shared" si="144"/>
        <v>2.3533936651583711</v>
      </c>
      <c r="R2328">
        <f t="shared" si="145"/>
        <v>41.608000000000004</v>
      </c>
      <c r="S2328">
        <f t="shared" si="146"/>
        <v>0.5955104787540858</v>
      </c>
      <c r="T2328">
        <f t="shared" si="147"/>
        <v>5.6561085972850679E-2</v>
      </c>
      <c r="U2328" t="str">
        <f>YEAR('Campaign Data'!$A2328)&amp;"-"&amp;TEXT(MONTH('Campaign Data'!$A2328),"00")</f>
        <v>2026-05</v>
      </c>
    </row>
    <row r="2329" spans="1:21" x14ac:dyDescent="0.25">
      <c r="A2329">
        <v>46148</v>
      </c>
      <c r="B2329" t="s">
        <v>46</v>
      </c>
      <c r="C2329" t="s">
        <v>47</v>
      </c>
      <c r="D2329" t="s">
        <v>48</v>
      </c>
      <c r="E2329" t="s">
        <v>49</v>
      </c>
      <c r="F2329" t="s">
        <v>43</v>
      </c>
      <c r="G2329" t="s">
        <v>50</v>
      </c>
      <c r="H2329" t="s">
        <v>27</v>
      </c>
      <c r="I2329" t="s">
        <v>37</v>
      </c>
      <c r="J2329" t="s">
        <v>29</v>
      </c>
      <c r="K2329">
        <v>4821</v>
      </c>
      <c r="L2329">
        <v>255</v>
      </c>
      <c r="M2329">
        <v>665.77</v>
      </c>
      <c r="N2329">
        <v>4</v>
      </c>
      <c r="O2329">
        <v>91.54</v>
      </c>
      <c r="P2329">
        <f t="shared" si="144"/>
        <v>5.2893590541381458E-2</v>
      </c>
      <c r="Q2329">
        <f t="shared" si="144"/>
        <v>2.6108627450980393</v>
      </c>
      <c r="R2329">
        <f t="shared" si="145"/>
        <v>166.4425</v>
      </c>
      <c r="S2329">
        <f t="shared" si="146"/>
        <v>0.13749493068176699</v>
      </c>
      <c r="T2329">
        <f t="shared" si="147"/>
        <v>1.5686274509803921E-2</v>
      </c>
      <c r="U2329" t="str">
        <f>YEAR('Campaign Data'!$A2329)&amp;"-"&amp;TEXT(MONTH('Campaign Data'!$A2329),"00")</f>
        <v>2026-05</v>
      </c>
    </row>
    <row r="2330" spans="1:21" x14ac:dyDescent="0.25">
      <c r="A2330">
        <v>46148</v>
      </c>
      <c r="B2330" t="s">
        <v>98</v>
      </c>
      <c r="C2330" t="s">
        <v>99</v>
      </c>
      <c r="D2330" t="s">
        <v>69</v>
      </c>
      <c r="E2330" t="s">
        <v>24</v>
      </c>
      <c r="F2330" t="s">
        <v>75</v>
      </c>
      <c r="G2330" t="s">
        <v>66</v>
      </c>
      <c r="H2330" t="s">
        <v>71</v>
      </c>
      <c r="I2330" t="s">
        <v>37</v>
      </c>
      <c r="J2330" t="s">
        <v>62</v>
      </c>
      <c r="K2330">
        <v>8237</v>
      </c>
      <c r="L2330">
        <v>103</v>
      </c>
      <c r="M2330">
        <v>79.88</v>
      </c>
      <c r="N2330">
        <v>1</v>
      </c>
      <c r="O2330">
        <v>55.42</v>
      </c>
      <c r="P2330">
        <f t="shared" si="144"/>
        <v>1.2504552628384121E-2</v>
      </c>
      <c r="Q2330">
        <f t="shared" si="144"/>
        <v>0.77553398058252421</v>
      </c>
      <c r="R2330">
        <f t="shared" si="145"/>
        <v>79.88</v>
      </c>
      <c r="S2330">
        <f t="shared" si="146"/>
        <v>0.69379068602904359</v>
      </c>
      <c r="T2330">
        <f t="shared" si="147"/>
        <v>9.7087378640776691E-3</v>
      </c>
      <c r="U2330" t="str">
        <f>YEAR('Campaign Data'!$A2330)&amp;"-"&amp;TEXT(MONTH('Campaign Data'!$A2330),"00")</f>
        <v>2026-05</v>
      </c>
    </row>
    <row r="2331" spans="1:21" x14ac:dyDescent="0.25">
      <c r="A2331">
        <v>46148</v>
      </c>
      <c r="B2331" t="s">
        <v>127</v>
      </c>
      <c r="C2331" t="s">
        <v>128</v>
      </c>
      <c r="D2331" t="s">
        <v>58</v>
      </c>
      <c r="E2331" t="s">
        <v>24</v>
      </c>
      <c r="F2331" t="s">
        <v>81</v>
      </c>
      <c r="G2331" t="s">
        <v>129</v>
      </c>
      <c r="H2331" t="s">
        <v>90</v>
      </c>
      <c r="I2331" t="s">
        <v>61</v>
      </c>
      <c r="J2331" t="s">
        <v>87</v>
      </c>
      <c r="K2331">
        <v>3073</v>
      </c>
      <c r="L2331">
        <v>32</v>
      </c>
      <c r="M2331">
        <v>9.83</v>
      </c>
      <c r="N2331">
        <v>0</v>
      </c>
      <c r="O2331">
        <v>0</v>
      </c>
      <c r="P2331">
        <f t="shared" si="144"/>
        <v>1.0413276928083305E-2</v>
      </c>
      <c r="Q2331">
        <f t="shared" si="144"/>
        <v>0.3071875</v>
      </c>
      <c r="R2331">
        <f t="shared" si="145"/>
        <v>0</v>
      </c>
      <c r="S2331">
        <f t="shared" si="146"/>
        <v>0</v>
      </c>
      <c r="T2331">
        <f t="shared" si="147"/>
        <v>0</v>
      </c>
      <c r="U2331" t="str">
        <f>YEAR('Campaign Data'!$A2331)&amp;"-"&amp;TEXT(MONTH('Campaign Data'!$A2331),"00")</f>
        <v>2026-05</v>
      </c>
    </row>
    <row r="2332" spans="1:21" x14ac:dyDescent="0.25">
      <c r="A2332">
        <v>46148</v>
      </c>
      <c r="B2332" t="s">
        <v>105</v>
      </c>
      <c r="C2332" t="s">
        <v>106</v>
      </c>
      <c r="D2332" t="s">
        <v>58</v>
      </c>
      <c r="E2332" t="s">
        <v>49</v>
      </c>
      <c r="F2332" t="s">
        <v>81</v>
      </c>
      <c r="G2332" t="s">
        <v>107</v>
      </c>
      <c r="H2332" t="s">
        <v>55</v>
      </c>
      <c r="I2332" t="s">
        <v>28</v>
      </c>
      <c r="J2332" t="s">
        <v>87</v>
      </c>
      <c r="K2332">
        <v>20075</v>
      </c>
      <c r="L2332">
        <v>849</v>
      </c>
      <c r="M2332">
        <v>1091.01</v>
      </c>
      <c r="N2332">
        <v>34</v>
      </c>
      <c r="O2332">
        <v>571.12</v>
      </c>
      <c r="P2332">
        <f t="shared" si="144"/>
        <v>4.2291407222914072E-2</v>
      </c>
      <c r="Q2332">
        <f t="shared" si="144"/>
        <v>1.285053003533569</v>
      </c>
      <c r="R2332">
        <f t="shared" si="145"/>
        <v>32.088529411764704</v>
      </c>
      <c r="S2332">
        <f t="shared" si="146"/>
        <v>0.52347824492901074</v>
      </c>
      <c r="T2332">
        <f t="shared" si="147"/>
        <v>4.0047114252061249E-2</v>
      </c>
      <c r="U2332" t="str">
        <f>YEAR('Campaign Data'!$A2332)&amp;"-"&amp;TEXT(MONTH('Campaign Data'!$A2332),"00")</f>
        <v>2026-05</v>
      </c>
    </row>
    <row r="2333" spans="1:21" x14ac:dyDescent="0.25">
      <c r="A2333">
        <v>46148</v>
      </c>
      <c r="B2333" t="s">
        <v>105</v>
      </c>
      <c r="C2333" t="s">
        <v>106</v>
      </c>
      <c r="D2333" t="s">
        <v>58</v>
      </c>
      <c r="E2333" t="s">
        <v>49</v>
      </c>
      <c r="F2333" t="s">
        <v>81</v>
      </c>
      <c r="G2333" t="s">
        <v>107</v>
      </c>
      <c r="H2333" t="s">
        <v>90</v>
      </c>
      <c r="I2333" t="s">
        <v>37</v>
      </c>
      <c r="J2333" t="s">
        <v>29</v>
      </c>
      <c r="K2333">
        <v>8592</v>
      </c>
      <c r="L2333">
        <v>305</v>
      </c>
      <c r="M2333">
        <v>104.31</v>
      </c>
      <c r="N2333">
        <v>11</v>
      </c>
      <c r="O2333">
        <v>78.489999999999995</v>
      </c>
      <c r="P2333">
        <f t="shared" si="144"/>
        <v>3.5498137802607077E-2</v>
      </c>
      <c r="Q2333">
        <f t="shared" si="144"/>
        <v>0.34200000000000003</v>
      </c>
      <c r="R2333">
        <f t="shared" si="145"/>
        <v>9.4827272727272724</v>
      </c>
      <c r="S2333">
        <f t="shared" si="146"/>
        <v>0.75246860320199405</v>
      </c>
      <c r="T2333">
        <f t="shared" si="147"/>
        <v>3.6065573770491806E-2</v>
      </c>
      <c r="U2333" t="str">
        <f>YEAR('Campaign Data'!$A2333)&amp;"-"&amp;TEXT(MONTH('Campaign Data'!$A2333),"00")</f>
        <v>2026-05</v>
      </c>
    </row>
    <row r="2334" spans="1:21" x14ac:dyDescent="0.25">
      <c r="A2334">
        <v>46148</v>
      </c>
      <c r="B2334" t="s">
        <v>110</v>
      </c>
      <c r="C2334" t="s">
        <v>111</v>
      </c>
      <c r="D2334" t="s">
        <v>23</v>
      </c>
      <c r="E2334" t="s">
        <v>49</v>
      </c>
      <c r="F2334" t="s">
        <v>34</v>
      </c>
      <c r="G2334" t="s">
        <v>50</v>
      </c>
      <c r="H2334" t="s">
        <v>90</v>
      </c>
      <c r="I2334" t="s">
        <v>37</v>
      </c>
      <c r="J2334" t="s">
        <v>29</v>
      </c>
      <c r="K2334">
        <v>3517</v>
      </c>
      <c r="L2334">
        <v>58</v>
      </c>
      <c r="M2334">
        <v>30.73</v>
      </c>
      <c r="N2334">
        <v>1</v>
      </c>
      <c r="O2334">
        <v>45.13</v>
      </c>
      <c r="P2334">
        <f t="shared" si="144"/>
        <v>1.6491327836224055E-2</v>
      </c>
      <c r="Q2334">
        <f t="shared" si="144"/>
        <v>0.52982758620689652</v>
      </c>
      <c r="R2334">
        <f t="shared" si="145"/>
        <v>30.73</v>
      </c>
      <c r="S2334">
        <f t="shared" si="146"/>
        <v>1.4685974617637489</v>
      </c>
      <c r="T2334">
        <f t="shared" si="147"/>
        <v>1.7241379310344827E-2</v>
      </c>
      <c r="U2334" t="str">
        <f>YEAR('Campaign Data'!$A2334)&amp;"-"&amp;TEXT(MONTH('Campaign Data'!$A2334),"00")</f>
        <v>2026-05</v>
      </c>
    </row>
    <row r="2335" spans="1:21" x14ac:dyDescent="0.25">
      <c r="A2335">
        <v>46148</v>
      </c>
      <c r="B2335" t="s">
        <v>155</v>
      </c>
      <c r="C2335" t="s">
        <v>156</v>
      </c>
      <c r="D2335" t="s">
        <v>32</v>
      </c>
      <c r="E2335" t="s">
        <v>24</v>
      </c>
      <c r="F2335" t="s">
        <v>34</v>
      </c>
      <c r="G2335" t="s">
        <v>129</v>
      </c>
      <c r="H2335" t="s">
        <v>90</v>
      </c>
      <c r="I2335" t="s">
        <v>28</v>
      </c>
      <c r="J2335" t="s">
        <v>62</v>
      </c>
      <c r="K2335">
        <v>10360</v>
      </c>
      <c r="L2335">
        <v>137</v>
      </c>
      <c r="M2335">
        <v>44.55</v>
      </c>
      <c r="N2335">
        <v>9</v>
      </c>
      <c r="O2335">
        <v>459.27</v>
      </c>
      <c r="P2335">
        <f t="shared" si="144"/>
        <v>1.3223938223938223E-2</v>
      </c>
      <c r="Q2335">
        <f t="shared" si="144"/>
        <v>0.32518248175182479</v>
      </c>
      <c r="R2335">
        <f t="shared" si="145"/>
        <v>4.9499999999999993</v>
      </c>
      <c r="S2335">
        <f t="shared" si="146"/>
        <v>10.309090909090909</v>
      </c>
      <c r="T2335">
        <f t="shared" si="147"/>
        <v>6.569343065693431E-2</v>
      </c>
      <c r="U2335" t="str">
        <f>YEAR('Campaign Data'!$A2335)&amp;"-"&amp;TEXT(MONTH('Campaign Data'!$A2335),"00")</f>
        <v>2026-05</v>
      </c>
    </row>
    <row r="2336" spans="1:21" x14ac:dyDescent="0.25">
      <c r="A2336">
        <v>46148</v>
      </c>
      <c r="B2336" t="s">
        <v>112</v>
      </c>
      <c r="C2336" t="s">
        <v>113</v>
      </c>
      <c r="D2336" t="s">
        <v>32</v>
      </c>
      <c r="E2336" t="s">
        <v>24</v>
      </c>
      <c r="F2336" t="s">
        <v>75</v>
      </c>
      <c r="G2336" t="s">
        <v>66</v>
      </c>
      <c r="H2336" t="s">
        <v>55</v>
      </c>
      <c r="I2336" t="s">
        <v>28</v>
      </c>
      <c r="J2336" t="s">
        <v>29</v>
      </c>
      <c r="K2336">
        <v>16380</v>
      </c>
      <c r="L2336">
        <v>167</v>
      </c>
      <c r="M2336">
        <v>137.44999999999999</v>
      </c>
      <c r="N2336">
        <v>2</v>
      </c>
      <c r="O2336">
        <v>43.55</v>
      </c>
      <c r="P2336">
        <f t="shared" si="144"/>
        <v>1.0195360195360196E-2</v>
      </c>
      <c r="Q2336">
        <f t="shared" si="144"/>
        <v>0.82305389221556879</v>
      </c>
      <c r="R2336">
        <f t="shared" si="145"/>
        <v>68.724999999999994</v>
      </c>
      <c r="S2336">
        <f t="shared" si="146"/>
        <v>0.31684248817751909</v>
      </c>
      <c r="T2336">
        <f t="shared" si="147"/>
        <v>1.1976047904191617E-2</v>
      </c>
      <c r="U2336" t="str">
        <f>YEAR('Campaign Data'!$A2336)&amp;"-"&amp;TEXT(MONTH('Campaign Data'!$A2336),"00")</f>
        <v>2026-05</v>
      </c>
    </row>
    <row r="2337" spans="1:21" x14ac:dyDescent="0.25">
      <c r="A2337">
        <v>46148</v>
      </c>
      <c r="B2337" t="s">
        <v>183</v>
      </c>
      <c r="C2337" t="s">
        <v>184</v>
      </c>
      <c r="D2337" t="s">
        <v>23</v>
      </c>
      <c r="E2337" t="s">
        <v>24</v>
      </c>
      <c r="F2337" t="s">
        <v>81</v>
      </c>
      <c r="G2337" t="s">
        <v>185</v>
      </c>
      <c r="H2337" t="s">
        <v>90</v>
      </c>
      <c r="I2337" t="s">
        <v>37</v>
      </c>
      <c r="J2337" t="s">
        <v>87</v>
      </c>
      <c r="K2337">
        <v>6252</v>
      </c>
      <c r="L2337">
        <v>45</v>
      </c>
      <c r="M2337">
        <v>15.27</v>
      </c>
      <c r="N2337">
        <v>0</v>
      </c>
      <c r="O2337">
        <v>0</v>
      </c>
      <c r="P2337">
        <f t="shared" si="144"/>
        <v>7.1976967370441462E-3</v>
      </c>
      <c r="Q2337">
        <f t="shared" si="144"/>
        <v>0.33933333333333332</v>
      </c>
      <c r="R2337">
        <f t="shared" si="145"/>
        <v>0</v>
      </c>
      <c r="S2337">
        <f t="shared" si="146"/>
        <v>0</v>
      </c>
      <c r="T2337">
        <f t="shared" si="147"/>
        <v>0</v>
      </c>
      <c r="U2337" t="str">
        <f>YEAR('Campaign Data'!$A2337)&amp;"-"&amp;TEXT(MONTH('Campaign Data'!$A2337),"00")</f>
        <v>2026-05</v>
      </c>
    </row>
    <row r="2338" spans="1:21" x14ac:dyDescent="0.25">
      <c r="A2338">
        <v>46148</v>
      </c>
      <c r="B2338" t="s">
        <v>67</v>
      </c>
      <c r="C2338" t="s">
        <v>68</v>
      </c>
      <c r="D2338" t="s">
        <v>69</v>
      </c>
      <c r="E2338" t="s">
        <v>49</v>
      </c>
      <c r="F2338" t="s">
        <v>34</v>
      </c>
      <c r="G2338" t="s">
        <v>70</v>
      </c>
      <c r="H2338" t="s">
        <v>51</v>
      </c>
      <c r="I2338" t="s">
        <v>28</v>
      </c>
      <c r="J2338" t="s">
        <v>62</v>
      </c>
      <c r="K2338">
        <v>20631</v>
      </c>
      <c r="L2338">
        <v>1066</v>
      </c>
      <c r="M2338">
        <v>1824.1</v>
      </c>
      <c r="N2338">
        <v>97</v>
      </c>
      <c r="O2338">
        <v>18839.86</v>
      </c>
      <c r="P2338">
        <f t="shared" si="144"/>
        <v>5.1669817265280402E-2</v>
      </c>
      <c r="Q2338">
        <f t="shared" si="144"/>
        <v>1.7111632270168855</v>
      </c>
      <c r="R2338">
        <f t="shared" si="145"/>
        <v>18.805154639175257</v>
      </c>
      <c r="S2338">
        <f t="shared" si="146"/>
        <v>10.328304369278001</v>
      </c>
      <c r="T2338">
        <f t="shared" si="147"/>
        <v>9.0994371482176359E-2</v>
      </c>
      <c r="U2338" t="str">
        <f>YEAR('Campaign Data'!$A2338)&amp;"-"&amp;TEXT(MONTH('Campaign Data'!$A2338),"00")</f>
        <v>2026-05</v>
      </c>
    </row>
    <row r="2339" spans="1:21" x14ac:dyDescent="0.25">
      <c r="A2339">
        <v>46148</v>
      </c>
      <c r="B2339" t="s">
        <v>72</v>
      </c>
      <c r="C2339" t="s">
        <v>73</v>
      </c>
      <c r="D2339" t="s">
        <v>69</v>
      </c>
      <c r="E2339" t="s">
        <v>74</v>
      </c>
      <c r="F2339" t="s">
        <v>75</v>
      </c>
      <c r="G2339" t="s">
        <v>9</v>
      </c>
      <c r="H2339" t="s">
        <v>36</v>
      </c>
      <c r="I2339" t="s">
        <v>37</v>
      </c>
      <c r="J2339" t="s">
        <v>38</v>
      </c>
      <c r="K2339">
        <v>5890</v>
      </c>
      <c r="L2339">
        <v>160</v>
      </c>
      <c r="M2339">
        <v>244.07</v>
      </c>
      <c r="N2339">
        <v>9</v>
      </c>
      <c r="O2339">
        <v>266.26</v>
      </c>
      <c r="P2339">
        <f t="shared" si="144"/>
        <v>2.7164685908319185E-2</v>
      </c>
      <c r="Q2339">
        <f t="shared" si="144"/>
        <v>1.5254375</v>
      </c>
      <c r="R2339">
        <f t="shared" si="145"/>
        <v>27.11888888888889</v>
      </c>
      <c r="S2339">
        <f t="shared" si="146"/>
        <v>1.0909165403367886</v>
      </c>
      <c r="T2339">
        <f t="shared" si="147"/>
        <v>5.6250000000000001E-2</v>
      </c>
      <c r="U2339" t="str">
        <f>YEAR('Campaign Data'!$A2339)&amp;"-"&amp;TEXT(MONTH('Campaign Data'!$A2339),"00")</f>
        <v>2026-05</v>
      </c>
    </row>
    <row r="2340" spans="1:21" x14ac:dyDescent="0.25">
      <c r="A2340">
        <v>46148</v>
      </c>
      <c r="B2340" t="s">
        <v>145</v>
      </c>
      <c r="C2340" t="s">
        <v>146</v>
      </c>
      <c r="D2340" t="s">
        <v>41</v>
      </c>
      <c r="E2340" t="s">
        <v>49</v>
      </c>
      <c r="F2340" t="s">
        <v>75</v>
      </c>
      <c r="G2340" t="s">
        <v>70</v>
      </c>
      <c r="H2340" t="s">
        <v>27</v>
      </c>
      <c r="I2340" t="s">
        <v>37</v>
      </c>
      <c r="J2340" t="s">
        <v>45</v>
      </c>
      <c r="K2340">
        <v>39096</v>
      </c>
      <c r="L2340">
        <v>1688</v>
      </c>
      <c r="M2340">
        <v>3850.08</v>
      </c>
      <c r="N2340">
        <v>74</v>
      </c>
      <c r="O2340">
        <v>3245.58</v>
      </c>
      <c r="P2340">
        <f t="shared" si="144"/>
        <v>4.3175772457540416E-2</v>
      </c>
      <c r="Q2340">
        <f t="shared" si="144"/>
        <v>2.2808530805687202</v>
      </c>
      <c r="R2340">
        <f t="shared" si="145"/>
        <v>52.028108108108107</v>
      </c>
      <c r="S2340">
        <f t="shared" si="146"/>
        <v>0.84299027552674233</v>
      </c>
      <c r="T2340">
        <f t="shared" si="147"/>
        <v>4.3838862559241708E-2</v>
      </c>
      <c r="U2340" t="str">
        <f>YEAR('Campaign Data'!$A2340)&amp;"-"&amp;TEXT(MONTH('Campaign Data'!$A2340),"00")</f>
        <v>2026-05</v>
      </c>
    </row>
    <row r="2341" spans="1:21" x14ac:dyDescent="0.25">
      <c r="A2341">
        <v>46149</v>
      </c>
      <c r="B2341" t="s">
        <v>173</v>
      </c>
      <c r="C2341" t="s">
        <v>174</v>
      </c>
      <c r="D2341" t="s">
        <v>48</v>
      </c>
      <c r="E2341" t="s">
        <v>74</v>
      </c>
      <c r="F2341" t="s">
        <v>25</v>
      </c>
      <c r="G2341" t="s">
        <v>9</v>
      </c>
      <c r="H2341" t="s">
        <v>27</v>
      </c>
      <c r="I2341" t="s">
        <v>61</v>
      </c>
      <c r="J2341" t="s">
        <v>87</v>
      </c>
      <c r="K2341">
        <v>9645</v>
      </c>
      <c r="L2341">
        <v>346</v>
      </c>
      <c r="M2341">
        <v>842.58</v>
      </c>
      <c r="N2341">
        <v>12</v>
      </c>
      <c r="O2341">
        <v>1821.79</v>
      </c>
      <c r="P2341">
        <f t="shared" si="144"/>
        <v>3.5873509590461379E-2</v>
      </c>
      <c r="Q2341">
        <f t="shared" si="144"/>
        <v>2.4352023121387285</v>
      </c>
      <c r="R2341">
        <f t="shared" si="145"/>
        <v>70.215000000000003</v>
      </c>
      <c r="S2341">
        <f t="shared" si="146"/>
        <v>2.1621567091552136</v>
      </c>
      <c r="T2341">
        <f t="shared" si="147"/>
        <v>3.4682080924855488E-2</v>
      </c>
      <c r="U2341" t="str">
        <f>YEAR('Campaign Data'!$A2341)&amp;"-"&amp;TEXT(MONTH('Campaign Data'!$A2341),"00")</f>
        <v>2026-05</v>
      </c>
    </row>
    <row r="2342" spans="1:21" x14ac:dyDescent="0.25">
      <c r="A2342">
        <v>46149</v>
      </c>
      <c r="B2342" t="s">
        <v>85</v>
      </c>
      <c r="C2342" t="s">
        <v>86</v>
      </c>
      <c r="D2342" t="s">
        <v>80</v>
      </c>
      <c r="E2342" t="s">
        <v>33</v>
      </c>
      <c r="F2342" t="s">
        <v>43</v>
      </c>
      <c r="G2342" t="s">
        <v>35</v>
      </c>
      <c r="H2342" t="s">
        <v>90</v>
      </c>
      <c r="I2342" t="s">
        <v>28</v>
      </c>
      <c r="J2342" t="s">
        <v>62</v>
      </c>
      <c r="K2342">
        <v>6523</v>
      </c>
      <c r="L2342">
        <v>47</v>
      </c>
      <c r="M2342">
        <v>8.5399999999999991</v>
      </c>
      <c r="N2342">
        <v>1</v>
      </c>
      <c r="O2342">
        <v>5</v>
      </c>
      <c r="P2342">
        <f t="shared" si="144"/>
        <v>7.2052736470948949E-3</v>
      </c>
      <c r="Q2342">
        <f t="shared" si="144"/>
        <v>0.18170212765957444</v>
      </c>
      <c r="R2342">
        <f t="shared" si="145"/>
        <v>8.5399999999999991</v>
      </c>
      <c r="S2342">
        <f t="shared" si="146"/>
        <v>0.58548009367681508</v>
      </c>
      <c r="T2342">
        <f t="shared" si="147"/>
        <v>2.1276595744680851E-2</v>
      </c>
      <c r="U2342" t="str">
        <f>YEAR('Campaign Data'!$A2342)&amp;"-"&amp;TEXT(MONTH('Campaign Data'!$A2342),"00")</f>
        <v>2026-05</v>
      </c>
    </row>
    <row r="2343" spans="1:21" x14ac:dyDescent="0.25">
      <c r="A2343">
        <v>46149</v>
      </c>
      <c r="B2343" t="s">
        <v>88</v>
      </c>
      <c r="C2343" t="s">
        <v>89</v>
      </c>
      <c r="D2343" t="s">
        <v>23</v>
      </c>
      <c r="E2343" t="s">
        <v>49</v>
      </c>
      <c r="F2343" t="s">
        <v>81</v>
      </c>
      <c r="G2343" t="s">
        <v>50</v>
      </c>
      <c r="H2343" t="s">
        <v>27</v>
      </c>
      <c r="I2343" t="s">
        <v>28</v>
      </c>
      <c r="J2343" t="s">
        <v>45</v>
      </c>
      <c r="K2343">
        <v>4014</v>
      </c>
      <c r="L2343">
        <v>140</v>
      </c>
      <c r="M2343">
        <v>428.83</v>
      </c>
      <c r="N2343">
        <v>1</v>
      </c>
      <c r="O2343">
        <v>26.66</v>
      </c>
      <c r="P2343">
        <f t="shared" si="144"/>
        <v>3.4877927254608872E-2</v>
      </c>
      <c r="Q2343">
        <f t="shared" si="144"/>
        <v>3.0630714285714284</v>
      </c>
      <c r="R2343">
        <f t="shared" si="145"/>
        <v>428.83</v>
      </c>
      <c r="S2343">
        <f t="shared" si="146"/>
        <v>6.2169157941375376E-2</v>
      </c>
      <c r="T2343">
        <f t="shared" si="147"/>
        <v>7.1428571428571426E-3</v>
      </c>
      <c r="U2343" t="str">
        <f>YEAR('Campaign Data'!$A2343)&amp;"-"&amp;TEXT(MONTH('Campaign Data'!$A2343),"00")</f>
        <v>2026-05</v>
      </c>
    </row>
    <row r="2344" spans="1:21" x14ac:dyDescent="0.25">
      <c r="A2344">
        <v>46149</v>
      </c>
      <c r="B2344" t="s">
        <v>21</v>
      </c>
      <c r="C2344" t="s">
        <v>124</v>
      </c>
      <c r="D2344" t="s">
        <v>23</v>
      </c>
      <c r="E2344" t="s">
        <v>24</v>
      </c>
      <c r="F2344" t="s">
        <v>25</v>
      </c>
      <c r="G2344" t="s">
        <v>26</v>
      </c>
      <c r="H2344" t="s">
        <v>90</v>
      </c>
      <c r="I2344" t="s">
        <v>37</v>
      </c>
      <c r="J2344" t="s">
        <v>38</v>
      </c>
      <c r="K2344">
        <v>5175</v>
      </c>
      <c r="L2344">
        <v>39</v>
      </c>
      <c r="M2344">
        <v>10.09</v>
      </c>
      <c r="N2344">
        <v>0</v>
      </c>
      <c r="O2344">
        <v>0</v>
      </c>
      <c r="P2344">
        <f t="shared" si="144"/>
        <v>7.5362318840579709E-3</v>
      </c>
      <c r="Q2344">
        <f t="shared" si="144"/>
        <v>0.25871794871794873</v>
      </c>
      <c r="R2344">
        <f t="shared" si="145"/>
        <v>0</v>
      </c>
      <c r="S2344">
        <f t="shared" si="146"/>
        <v>0</v>
      </c>
      <c r="T2344">
        <f t="shared" si="147"/>
        <v>0</v>
      </c>
      <c r="U2344" t="str">
        <f>YEAR('Campaign Data'!$A2344)&amp;"-"&amp;TEXT(MONTH('Campaign Data'!$A2344),"00")</f>
        <v>2026-05</v>
      </c>
    </row>
    <row r="2345" spans="1:21" x14ac:dyDescent="0.25">
      <c r="A2345">
        <v>46149</v>
      </c>
      <c r="B2345" t="s">
        <v>149</v>
      </c>
      <c r="C2345" t="s">
        <v>150</v>
      </c>
      <c r="D2345" t="s">
        <v>65</v>
      </c>
      <c r="E2345" t="s">
        <v>33</v>
      </c>
      <c r="F2345" t="s">
        <v>43</v>
      </c>
      <c r="G2345" t="s">
        <v>59</v>
      </c>
      <c r="H2345" t="s">
        <v>36</v>
      </c>
      <c r="I2345" t="s">
        <v>37</v>
      </c>
      <c r="J2345" t="s">
        <v>29</v>
      </c>
      <c r="K2345">
        <v>8510</v>
      </c>
      <c r="L2345">
        <v>33</v>
      </c>
      <c r="M2345">
        <v>22.32</v>
      </c>
      <c r="N2345">
        <v>1</v>
      </c>
      <c r="O2345">
        <v>25.45</v>
      </c>
      <c r="P2345">
        <f t="shared" si="144"/>
        <v>3.8777908343125733E-3</v>
      </c>
      <c r="Q2345">
        <f t="shared" si="144"/>
        <v>0.67636363636363639</v>
      </c>
      <c r="R2345">
        <f t="shared" si="145"/>
        <v>22.32</v>
      </c>
      <c r="S2345">
        <f t="shared" si="146"/>
        <v>1.1402329749103943</v>
      </c>
      <c r="T2345">
        <f t="shared" si="147"/>
        <v>3.0303030303030304E-2</v>
      </c>
      <c r="U2345" t="str">
        <f>YEAR('Campaign Data'!$A2345)&amp;"-"&amp;TEXT(MONTH('Campaign Data'!$A2345),"00")</f>
        <v>2026-05</v>
      </c>
    </row>
    <row r="2346" spans="1:21" x14ac:dyDescent="0.25">
      <c r="A2346">
        <v>46149</v>
      </c>
      <c r="B2346" t="s">
        <v>186</v>
      </c>
      <c r="C2346" t="s">
        <v>187</v>
      </c>
      <c r="D2346" t="s">
        <v>80</v>
      </c>
      <c r="E2346" t="s">
        <v>33</v>
      </c>
      <c r="F2346" t="s">
        <v>43</v>
      </c>
      <c r="G2346" t="s">
        <v>102</v>
      </c>
      <c r="H2346" t="s">
        <v>71</v>
      </c>
      <c r="I2346" t="s">
        <v>28</v>
      </c>
      <c r="J2346" t="s">
        <v>62</v>
      </c>
      <c r="K2346">
        <v>21485</v>
      </c>
      <c r="L2346">
        <v>229</v>
      </c>
      <c r="M2346">
        <v>115.04</v>
      </c>
      <c r="N2346">
        <v>2</v>
      </c>
      <c r="O2346">
        <v>40.35</v>
      </c>
      <c r="P2346">
        <f t="shared" si="144"/>
        <v>1.0658599022573888E-2</v>
      </c>
      <c r="Q2346">
        <f t="shared" si="144"/>
        <v>0.50235807860262016</v>
      </c>
      <c r="R2346">
        <f t="shared" si="145"/>
        <v>57.52</v>
      </c>
      <c r="S2346">
        <f t="shared" si="146"/>
        <v>0.35074756606397772</v>
      </c>
      <c r="T2346">
        <f t="shared" si="147"/>
        <v>8.7336244541484712E-3</v>
      </c>
      <c r="U2346" t="str">
        <f>YEAR('Campaign Data'!$A2346)&amp;"-"&amp;TEXT(MONTH('Campaign Data'!$A2346),"00")</f>
        <v>2026-05</v>
      </c>
    </row>
    <row r="2347" spans="1:21" x14ac:dyDescent="0.25">
      <c r="A2347">
        <v>46149</v>
      </c>
      <c r="B2347" t="s">
        <v>100</v>
      </c>
      <c r="C2347" t="s">
        <v>101</v>
      </c>
      <c r="D2347" t="s">
        <v>80</v>
      </c>
      <c r="E2347" t="s">
        <v>33</v>
      </c>
      <c r="F2347" t="s">
        <v>25</v>
      </c>
      <c r="G2347" t="s">
        <v>102</v>
      </c>
      <c r="H2347" t="s">
        <v>90</v>
      </c>
      <c r="I2347" t="s">
        <v>61</v>
      </c>
      <c r="J2347" t="s">
        <v>29</v>
      </c>
      <c r="K2347">
        <v>7300</v>
      </c>
      <c r="L2347">
        <v>95</v>
      </c>
      <c r="M2347">
        <v>16.63</v>
      </c>
      <c r="N2347">
        <v>0</v>
      </c>
      <c r="O2347">
        <v>0</v>
      </c>
      <c r="P2347">
        <f t="shared" si="144"/>
        <v>1.3013698630136987E-2</v>
      </c>
      <c r="Q2347">
        <f t="shared" si="144"/>
        <v>0.17505263157894735</v>
      </c>
      <c r="R2347">
        <f t="shared" si="145"/>
        <v>0</v>
      </c>
      <c r="S2347">
        <f t="shared" si="146"/>
        <v>0</v>
      </c>
      <c r="T2347">
        <f t="shared" si="147"/>
        <v>0</v>
      </c>
      <c r="U2347" t="str">
        <f>YEAR('Campaign Data'!$A2347)&amp;"-"&amp;TEXT(MONTH('Campaign Data'!$A2347),"00")</f>
        <v>2026-05</v>
      </c>
    </row>
    <row r="2348" spans="1:21" x14ac:dyDescent="0.25">
      <c r="A2348">
        <v>46149</v>
      </c>
      <c r="B2348" t="s">
        <v>100</v>
      </c>
      <c r="C2348" t="s">
        <v>101</v>
      </c>
      <c r="D2348" t="s">
        <v>80</v>
      </c>
      <c r="E2348" t="s">
        <v>33</v>
      </c>
      <c r="F2348" t="s">
        <v>25</v>
      </c>
      <c r="G2348" t="s">
        <v>102</v>
      </c>
      <c r="H2348" t="s">
        <v>71</v>
      </c>
      <c r="I2348" t="s">
        <v>37</v>
      </c>
      <c r="J2348" t="s">
        <v>29</v>
      </c>
      <c r="K2348">
        <v>2264</v>
      </c>
      <c r="L2348">
        <v>34</v>
      </c>
      <c r="M2348">
        <v>16.7</v>
      </c>
      <c r="N2348">
        <v>1</v>
      </c>
      <c r="O2348">
        <v>103.24</v>
      </c>
      <c r="P2348">
        <f t="shared" si="144"/>
        <v>1.5017667844522967E-2</v>
      </c>
      <c r="Q2348">
        <f t="shared" si="144"/>
        <v>0.49117647058823527</v>
      </c>
      <c r="R2348">
        <f t="shared" si="145"/>
        <v>16.7</v>
      </c>
      <c r="S2348">
        <f t="shared" si="146"/>
        <v>6.1820359281437129</v>
      </c>
      <c r="T2348">
        <f t="shared" si="147"/>
        <v>2.9411764705882353E-2</v>
      </c>
      <c r="U2348" t="str">
        <f>YEAR('Campaign Data'!$A2348)&amp;"-"&amp;TEXT(MONTH('Campaign Data'!$A2348),"00")</f>
        <v>2026-05</v>
      </c>
    </row>
    <row r="2349" spans="1:21" x14ac:dyDescent="0.25">
      <c r="A2349">
        <v>46149</v>
      </c>
      <c r="B2349" t="s">
        <v>105</v>
      </c>
      <c r="C2349" t="s">
        <v>106</v>
      </c>
      <c r="D2349" t="s">
        <v>58</v>
      </c>
      <c r="E2349" t="s">
        <v>49</v>
      </c>
      <c r="F2349" t="s">
        <v>81</v>
      </c>
      <c r="G2349" t="s">
        <v>107</v>
      </c>
      <c r="H2349" t="s">
        <v>90</v>
      </c>
      <c r="I2349" t="s">
        <v>37</v>
      </c>
      <c r="J2349" t="s">
        <v>38</v>
      </c>
      <c r="K2349">
        <v>15530</v>
      </c>
      <c r="L2349">
        <v>733</v>
      </c>
      <c r="M2349">
        <v>414.9</v>
      </c>
      <c r="N2349">
        <v>36</v>
      </c>
      <c r="O2349">
        <v>180</v>
      </c>
      <c r="P2349">
        <f t="shared" si="144"/>
        <v>4.7198969735994849E-2</v>
      </c>
      <c r="Q2349">
        <f t="shared" si="144"/>
        <v>0.56603001364256478</v>
      </c>
      <c r="R2349">
        <f t="shared" si="145"/>
        <v>11.524999999999999</v>
      </c>
      <c r="S2349">
        <f t="shared" si="146"/>
        <v>0.43383947939262474</v>
      </c>
      <c r="T2349">
        <f t="shared" si="147"/>
        <v>4.9113233287858118E-2</v>
      </c>
      <c r="U2349" t="str">
        <f>YEAR('Campaign Data'!$A2349)&amp;"-"&amp;TEXT(MONTH('Campaign Data'!$A2349),"00")</f>
        <v>2026-05</v>
      </c>
    </row>
    <row r="2350" spans="1:21" x14ac:dyDescent="0.25">
      <c r="A2350">
        <v>46149</v>
      </c>
      <c r="B2350" t="s">
        <v>153</v>
      </c>
      <c r="C2350" t="s">
        <v>154</v>
      </c>
      <c r="D2350" t="s">
        <v>48</v>
      </c>
      <c r="E2350" t="s">
        <v>33</v>
      </c>
      <c r="F2350" t="s">
        <v>43</v>
      </c>
      <c r="G2350" t="s">
        <v>59</v>
      </c>
      <c r="H2350" t="s">
        <v>27</v>
      </c>
      <c r="I2350" t="s">
        <v>28</v>
      </c>
      <c r="J2350" t="s">
        <v>29</v>
      </c>
      <c r="K2350">
        <v>8434</v>
      </c>
      <c r="L2350">
        <v>94</v>
      </c>
      <c r="M2350">
        <v>50.11</v>
      </c>
      <c r="N2350">
        <v>1</v>
      </c>
      <c r="O2350">
        <v>10.52</v>
      </c>
      <c r="P2350">
        <f t="shared" si="144"/>
        <v>1.1145364002845624E-2</v>
      </c>
      <c r="Q2350">
        <f t="shared" si="144"/>
        <v>0.53308510638297868</v>
      </c>
      <c r="R2350">
        <f t="shared" si="145"/>
        <v>50.11</v>
      </c>
      <c r="S2350">
        <f t="shared" si="146"/>
        <v>0.20993813610057871</v>
      </c>
      <c r="T2350">
        <f t="shared" si="147"/>
        <v>1.0638297872340425E-2</v>
      </c>
      <c r="U2350" t="str">
        <f>YEAR('Campaign Data'!$A2350)&amp;"-"&amp;TEXT(MONTH('Campaign Data'!$A2350),"00")</f>
        <v>2026-05</v>
      </c>
    </row>
    <row r="2351" spans="1:21" x14ac:dyDescent="0.25">
      <c r="A2351">
        <v>46149</v>
      </c>
      <c r="B2351" t="s">
        <v>159</v>
      </c>
      <c r="C2351" t="s">
        <v>160</v>
      </c>
      <c r="D2351" t="s">
        <v>65</v>
      </c>
      <c r="E2351" t="s">
        <v>42</v>
      </c>
      <c r="F2351" t="s">
        <v>75</v>
      </c>
      <c r="G2351" t="s">
        <v>54</v>
      </c>
      <c r="H2351" t="s">
        <v>60</v>
      </c>
      <c r="I2351" t="s">
        <v>37</v>
      </c>
      <c r="J2351" t="s">
        <v>38</v>
      </c>
      <c r="K2351">
        <v>16984</v>
      </c>
      <c r="L2351">
        <v>114</v>
      </c>
      <c r="M2351">
        <v>624.98</v>
      </c>
      <c r="N2351">
        <v>5</v>
      </c>
      <c r="O2351">
        <v>87.01</v>
      </c>
      <c r="P2351">
        <f t="shared" si="144"/>
        <v>6.7121997173810646E-3</v>
      </c>
      <c r="Q2351">
        <f t="shared" si="144"/>
        <v>5.4822807017543864</v>
      </c>
      <c r="R2351">
        <f t="shared" si="145"/>
        <v>124.99600000000001</v>
      </c>
      <c r="S2351">
        <f t="shared" si="146"/>
        <v>0.13922045505456174</v>
      </c>
      <c r="T2351">
        <f t="shared" si="147"/>
        <v>4.3859649122807015E-2</v>
      </c>
      <c r="U2351" t="str">
        <f>YEAR('Campaign Data'!$A2351)&amp;"-"&amp;TEXT(MONTH('Campaign Data'!$A2351),"00")</f>
        <v>2026-05</v>
      </c>
    </row>
    <row r="2352" spans="1:21" x14ac:dyDescent="0.25">
      <c r="A2352">
        <v>46149</v>
      </c>
      <c r="B2352" t="s">
        <v>56</v>
      </c>
      <c r="C2352" t="s">
        <v>57</v>
      </c>
      <c r="D2352" t="s">
        <v>58</v>
      </c>
      <c r="E2352" t="s">
        <v>33</v>
      </c>
      <c r="F2352" t="s">
        <v>43</v>
      </c>
      <c r="G2352" t="s">
        <v>59</v>
      </c>
      <c r="H2352" t="s">
        <v>51</v>
      </c>
      <c r="I2352" t="s">
        <v>37</v>
      </c>
      <c r="J2352" t="s">
        <v>38</v>
      </c>
      <c r="K2352">
        <v>16622</v>
      </c>
      <c r="L2352">
        <v>195</v>
      </c>
      <c r="M2352">
        <v>114.19</v>
      </c>
      <c r="N2352">
        <v>5</v>
      </c>
      <c r="O2352">
        <v>86.52</v>
      </c>
      <c r="P2352">
        <f t="shared" si="144"/>
        <v>1.1731440259896522E-2</v>
      </c>
      <c r="Q2352">
        <f t="shared" si="144"/>
        <v>0.58558974358974358</v>
      </c>
      <c r="R2352">
        <f t="shared" si="145"/>
        <v>22.838000000000001</v>
      </c>
      <c r="S2352">
        <f t="shared" si="146"/>
        <v>0.75768456081968649</v>
      </c>
      <c r="T2352">
        <f t="shared" si="147"/>
        <v>2.564102564102564E-2</v>
      </c>
      <c r="U2352" t="str">
        <f>YEAR('Campaign Data'!$A2352)&amp;"-"&amp;TEXT(MONTH('Campaign Data'!$A2352),"00")</f>
        <v>2026-05</v>
      </c>
    </row>
    <row r="2353" spans="1:21" x14ac:dyDescent="0.25">
      <c r="A2353">
        <v>46149</v>
      </c>
      <c r="B2353" t="s">
        <v>143</v>
      </c>
      <c r="C2353" t="s">
        <v>144</v>
      </c>
      <c r="D2353" t="s">
        <v>48</v>
      </c>
      <c r="E2353" t="s">
        <v>42</v>
      </c>
      <c r="F2353" t="s">
        <v>25</v>
      </c>
      <c r="G2353" t="s">
        <v>84</v>
      </c>
      <c r="H2353" t="s">
        <v>27</v>
      </c>
      <c r="I2353" t="s">
        <v>37</v>
      </c>
      <c r="J2353" t="s">
        <v>38</v>
      </c>
      <c r="K2353">
        <v>13652</v>
      </c>
      <c r="L2353">
        <v>113</v>
      </c>
      <c r="M2353">
        <v>1099.1500000000001</v>
      </c>
      <c r="N2353">
        <v>3</v>
      </c>
      <c r="O2353">
        <v>170.6</v>
      </c>
      <c r="P2353">
        <f t="shared" si="144"/>
        <v>8.2771755054204515E-3</v>
      </c>
      <c r="Q2353">
        <f t="shared" si="144"/>
        <v>9.726991150442478</v>
      </c>
      <c r="R2353">
        <f t="shared" si="145"/>
        <v>366.38333333333338</v>
      </c>
      <c r="S2353">
        <f t="shared" si="146"/>
        <v>0.15521084474366553</v>
      </c>
      <c r="T2353">
        <f t="shared" si="147"/>
        <v>2.6548672566371681E-2</v>
      </c>
      <c r="U2353" t="str">
        <f>YEAR('Campaign Data'!$A2353)&amp;"-"&amp;TEXT(MONTH('Campaign Data'!$A2353),"00")</f>
        <v>2026-05</v>
      </c>
    </row>
    <row r="2354" spans="1:21" x14ac:dyDescent="0.25">
      <c r="A2354">
        <v>46149</v>
      </c>
      <c r="B2354" t="s">
        <v>116</v>
      </c>
      <c r="C2354" t="s">
        <v>117</v>
      </c>
      <c r="D2354" t="s">
        <v>48</v>
      </c>
      <c r="E2354" t="s">
        <v>24</v>
      </c>
      <c r="F2354" t="s">
        <v>43</v>
      </c>
      <c r="G2354" t="s">
        <v>26</v>
      </c>
      <c r="H2354" t="s">
        <v>27</v>
      </c>
      <c r="I2354" t="s">
        <v>37</v>
      </c>
      <c r="J2354" t="s">
        <v>29</v>
      </c>
      <c r="K2354">
        <v>6610</v>
      </c>
      <c r="L2354">
        <v>85</v>
      </c>
      <c r="M2354">
        <v>141.16999999999999</v>
      </c>
      <c r="N2354">
        <v>3</v>
      </c>
      <c r="O2354">
        <v>60.86</v>
      </c>
      <c r="P2354">
        <f t="shared" si="144"/>
        <v>1.2859304084720122E-2</v>
      </c>
      <c r="Q2354">
        <f t="shared" si="144"/>
        <v>1.6608235294117646</v>
      </c>
      <c r="R2354">
        <f t="shared" si="145"/>
        <v>47.056666666666665</v>
      </c>
      <c r="S2354">
        <f t="shared" si="146"/>
        <v>0.43111142594035562</v>
      </c>
      <c r="T2354">
        <f t="shared" si="147"/>
        <v>3.5294117647058823E-2</v>
      </c>
      <c r="U2354" t="str">
        <f>YEAR('Campaign Data'!$A2354)&amp;"-"&amp;TEXT(MONTH('Campaign Data'!$A2354),"00")</f>
        <v>2026-05</v>
      </c>
    </row>
    <row r="2355" spans="1:21" x14ac:dyDescent="0.25">
      <c r="A2355">
        <v>46149</v>
      </c>
      <c r="B2355" t="s">
        <v>163</v>
      </c>
      <c r="C2355" t="s">
        <v>164</v>
      </c>
      <c r="D2355" t="s">
        <v>58</v>
      </c>
      <c r="E2355" t="s">
        <v>42</v>
      </c>
      <c r="F2355" t="s">
        <v>43</v>
      </c>
      <c r="G2355" t="s">
        <v>44</v>
      </c>
      <c r="H2355" t="s">
        <v>71</v>
      </c>
      <c r="I2355" t="s">
        <v>37</v>
      </c>
      <c r="J2355" t="s">
        <v>87</v>
      </c>
      <c r="K2355">
        <v>11829</v>
      </c>
      <c r="L2355">
        <v>26</v>
      </c>
      <c r="M2355">
        <v>107.82</v>
      </c>
      <c r="N2355">
        <v>0</v>
      </c>
      <c r="O2355">
        <v>0</v>
      </c>
      <c r="P2355">
        <f t="shared" si="144"/>
        <v>2.1979879956040239E-3</v>
      </c>
      <c r="Q2355">
        <f t="shared" si="144"/>
        <v>4.1469230769230769</v>
      </c>
      <c r="R2355">
        <f t="shared" si="145"/>
        <v>0</v>
      </c>
      <c r="S2355">
        <f t="shared" si="146"/>
        <v>0</v>
      </c>
      <c r="T2355">
        <f t="shared" si="147"/>
        <v>0</v>
      </c>
      <c r="U2355" t="str">
        <f>YEAR('Campaign Data'!$A2355)&amp;"-"&amp;TEXT(MONTH('Campaign Data'!$A2355),"00")</f>
        <v>2026-05</v>
      </c>
    </row>
    <row r="2356" spans="1:21" x14ac:dyDescent="0.25">
      <c r="A2356">
        <v>46149</v>
      </c>
      <c r="B2356" t="s">
        <v>82</v>
      </c>
      <c r="C2356" t="s">
        <v>83</v>
      </c>
      <c r="D2356" t="s">
        <v>80</v>
      </c>
      <c r="E2356" t="s">
        <v>42</v>
      </c>
      <c r="F2356" t="s">
        <v>34</v>
      </c>
      <c r="G2356" t="s">
        <v>84</v>
      </c>
      <c r="H2356" t="s">
        <v>60</v>
      </c>
      <c r="I2356" t="s">
        <v>28</v>
      </c>
      <c r="J2356" t="s">
        <v>62</v>
      </c>
      <c r="K2356">
        <v>1948</v>
      </c>
      <c r="L2356">
        <v>15</v>
      </c>
      <c r="M2356">
        <v>88.7</v>
      </c>
      <c r="N2356">
        <v>1</v>
      </c>
      <c r="O2356">
        <v>122.54</v>
      </c>
      <c r="P2356">
        <f t="shared" si="144"/>
        <v>7.7002053388090345E-3</v>
      </c>
      <c r="Q2356">
        <f t="shared" si="144"/>
        <v>5.9133333333333331</v>
      </c>
      <c r="R2356">
        <f t="shared" si="145"/>
        <v>88.7</v>
      </c>
      <c r="S2356">
        <f t="shared" si="146"/>
        <v>1.3815107102593009</v>
      </c>
      <c r="T2356">
        <f t="shared" si="147"/>
        <v>6.6666666666666666E-2</v>
      </c>
      <c r="U2356" t="str">
        <f>YEAR('Campaign Data'!$A2356)&amp;"-"&amp;TEXT(MONTH('Campaign Data'!$A2356),"00")</f>
        <v>2026-05</v>
      </c>
    </row>
    <row r="2357" spans="1:21" x14ac:dyDescent="0.25">
      <c r="A2357">
        <v>46150</v>
      </c>
      <c r="B2357" t="s">
        <v>173</v>
      </c>
      <c r="C2357" t="s">
        <v>174</v>
      </c>
      <c r="D2357" t="s">
        <v>48</v>
      </c>
      <c r="E2357" t="s">
        <v>74</v>
      </c>
      <c r="F2357" t="s">
        <v>25</v>
      </c>
      <c r="G2357" t="s">
        <v>9</v>
      </c>
      <c r="H2357" t="s">
        <v>27</v>
      </c>
      <c r="I2357" t="s">
        <v>37</v>
      </c>
      <c r="J2357" t="s">
        <v>38</v>
      </c>
      <c r="K2357">
        <v>2006</v>
      </c>
      <c r="L2357">
        <v>86</v>
      </c>
      <c r="M2357">
        <v>132.27000000000001</v>
      </c>
      <c r="N2357">
        <v>9</v>
      </c>
      <c r="O2357">
        <v>1459</v>
      </c>
      <c r="P2357">
        <f t="shared" si="144"/>
        <v>4.2871385842472583E-2</v>
      </c>
      <c r="Q2357">
        <f t="shared" si="144"/>
        <v>1.5380232558139537</v>
      </c>
      <c r="R2357">
        <f t="shared" si="145"/>
        <v>14.696666666666667</v>
      </c>
      <c r="S2357">
        <f t="shared" si="146"/>
        <v>11.030467982157706</v>
      </c>
      <c r="T2357">
        <f t="shared" si="147"/>
        <v>0.10465116279069768</v>
      </c>
      <c r="U2357" t="str">
        <f>YEAR('Campaign Data'!$A2357)&amp;"-"&amp;TEXT(MONTH('Campaign Data'!$A2357),"00")</f>
        <v>2026-05</v>
      </c>
    </row>
    <row r="2358" spans="1:21" x14ac:dyDescent="0.25">
      <c r="A2358">
        <v>46150</v>
      </c>
      <c r="B2358" t="s">
        <v>88</v>
      </c>
      <c r="C2358" t="s">
        <v>89</v>
      </c>
      <c r="D2358" t="s">
        <v>23</v>
      </c>
      <c r="E2358" t="s">
        <v>49</v>
      </c>
      <c r="F2358" t="s">
        <v>81</v>
      </c>
      <c r="G2358" t="s">
        <v>50</v>
      </c>
      <c r="H2358" t="s">
        <v>60</v>
      </c>
      <c r="I2358" t="s">
        <v>37</v>
      </c>
      <c r="J2358" t="s">
        <v>87</v>
      </c>
      <c r="K2358">
        <v>25165</v>
      </c>
      <c r="L2358">
        <v>744</v>
      </c>
      <c r="M2358">
        <v>1349.53</v>
      </c>
      <c r="N2358">
        <v>44</v>
      </c>
      <c r="O2358">
        <v>1061.28</v>
      </c>
      <c r="P2358">
        <f t="shared" si="144"/>
        <v>2.9564871845817603E-2</v>
      </c>
      <c r="Q2358">
        <f t="shared" si="144"/>
        <v>1.8138844086021506</v>
      </c>
      <c r="R2358">
        <f t="shared" si="145"/>
        <v>30.671136363636364</v>
      </c>
      <c r="S2358">
        <f t="shared" si="146"/>
        <v>0.78640711951568321</v>
      </c>
      <c r="T2358">
        <f t="shared" si="147"/>
        <v>5.9139784946236562E-2</v>
      </c>
      <c r="U2358" t="str">
        <f>YEAR('Campaign Data'!$A2358)&amp;"-"&amp;TEXT(MONTH('Campaign Data'!$A2358),"00")</f>
        <v>2026-05</v>
      </c>
    </row>
    <row r="2359" spans="1:21" x14ac:dyDescent="0.25">
      <c r="A2359">
        <v>46150</v>
      </c>
      <c r="B2359" t="s">
        <v>186</v>
      </c>
      <c r="C2359" t="s">
        <v>187</v>
      </c>
      <c r="D2359" t="s">
        <v>80</v>
      </c>
      <c r="E2359" t="s">
        <v>33</v>
      </c>
      <c r="F2359" t="s">
        <v>43</v>
      </c>
      <c r="G2359" t="s">
        <v>102</v>
      </c>
      <c r="H2359" t="s">
        <v>27</v>
      </c>
      <c r="I2359" t="s">
        <v>28</v>
      </c>
      <c r="J2359" t="s">
        <v>38</v>
      </c>
      <c r="K2359">
        <v>4681</v>
      </c>
      <c r="L2359">
        <v>76</v>
      </c>
      <c r="M2359">
        <v>67.83</v>
      </c>
      <c r="N2359">
        <v>1</v>
      </c>
      <c r="O2359">
        <v>7.14</v>
      </c>
      <c r="P2359">
        <f t="shared" si="144"/>
        <v>1.6235847041230506E-2</v>
      </c>
      <c r="Q2359">
        <f t="shared" si="144"/>
        <v>0.89249999999999996</v>
      </c>
      <c r="R2359">
        <f t="shared" si="145"/>
        <v>67.83</v>
      </c>
      <c r="S2359">
        <f t="shared" si="146"/>
        <v>0.10526315789473684</v>
      </c>
      <c r="T2359">
        <f t="shared" si="147"/>
        <v>1.3157894736842105E-2</v>
      </c>
      <c r="U2359" t="str">
        <f>YEAR('Campaign Data'!$A2359)&amp;"-"&amp;TEXT(MONTH('Campaign Data'!$A2359),"00")</f>
        <v>2026-05</v>
      </c>
    </row>
    <row r="2360" spans="1:21" x14ac:dyDescent="0.25">
      <c r="A2360">
        <v>46150</v>
      </c>
      <c r="B2360" t="s">
        <v>30</v>
      </c>
      <c r="C2360" t="s">
        <v>31</v>
      </c>
      <c r="D2360" t="s">
        <v>32</v>
      </c>
      <c r="E2360" t="s">
        <v>33</v>
      </c>
      <c r="F2360" t="s">
        <v>34</v>
      </c>
      <c r="G2360" t="s">
        <v>35</v>
      </c>
      <c r="H2360" t="s">
        <v>71</v>
      </c>
      <c r="I2360" t="s">
        <v>28</v>
      </c>
      <c r="J2360" t="s">
        <v>62</v>
      </c>
      <c r="K2360">
        <v>5708</v>
      </c>
      <c r="L2360">
        <v>55</v>
      </c>
      <c r="M2360">
        <v>39.450000000000003</v>
      </c>
      <c r="N2360">
        <v>0</v>
      </c>
      <c r="O2360">
        <v>0</v>
      </c>
      <c r="P2360">
        <f t="shared" si="144"/>
        <v>9.6355991590749823E-3</v>
      </c>
      <c r="Q2360">
        <f t="shared" si="144"/>
        <v>0.71727272727272728</v>
      </c>
      <c r="R2360">
        <f t="shared" si="145"/>
        <v>0</v>
      </c>
      <c r="S2360">
        <f t="shared" si="146"/>
        <v>0</v>
      </c>
      <c r="T2360">
        <f t="shared" si="147"/>
        <v>0</v>
      </c>
      <c r="U2360" t="str">
        <f>YEAR('Campaign Data'!$A2360)&amp;"-"&amp;TEXT(MONTH('Campaign Data'!$A2360),"00")</f>
        <v>2026-05</v>
      </c>
    </row>
    <row r="2361" spans="1:21" x14ac:dyDescent="0.25">
      <c r="A2361">
        <v>46150</v>
      </c>
      <c r="B2361" t="s">
        <v>30</v>
      </c>
      <c r="C2361" t="s">
        <v>31</v>
      </c>
      <c r="D2361" t="s">
        <v>32</v>
      </c>
      <c r="E2361" t="s">
        <v>33</v>
      </c>
      <c r="F2361" t="s">
        <v>34</v>
      </c>
      <c r="G2361" t="s">
        <v>35</v>
      </c>
      <c r="H2361" t="s">
        <v>71</v>
      </c>
      <c r="I2361" t="s">
        <v>28</v>
      </c>
      <c r="J2361" t="s">
        <v>38</v>
      </c>
      <c r="K2361">
        <v>16030</v>
      </c>
      <c r="L2361">
        <v>136</v>
      </c>
      <c r="M2361">
        <v>90.32</v>
      </c>
      <c r="N2361">
        <v>0</v>
      </c>
      <c r="O2361">
        <v>0</v>
      </c>
      <c r="P2361">
        <f t="shared" si="144"/>
        <v>8.4840923268870872E-3</v>
      </c>
      <c r="Q2361">
        <f t="shared" si="144"/>
        <v>0.66411764705882348</v>
      </c>
      <c r="R2361">
        <f t="shared" si="145"/>
        <v>0</v>
      </c>
      <c r="S2361">
        <f t="shared" si="146"/>
        <v>0</v>
      </c>
      <c r="T2361">
        <f t="shared" si="147"/>
        <v>0</v>
      </c>
      <c r="U2361" t="str">
        <f>YEAR('Campaign Data'!$A2361)&amp;"-"&amp;TEXT(MONTH('Campaign Data'!$A2361),"00")</f>
        <v>2026-05</v>
      </c>
    </row>
    <row r="2362" spans="1:21" x14ac:dyDescent="0.25">
      <c r="A2362">
        <v>46150</v>
      </c>
      <c r="B2362" t="s">
        <v>98</v>
      </c>
      <c r="C2362" t="s">
        <v>99</v>
      </c>
      <c r="D2362" t="s">
        <v>69</v>
      </c>
      <c r="E2362" t="s">
        <v>24</v>
      </c>
      <c r="F2362" t="s">
        <v>75</v>
      </c>
      <c r="G2362" t="s">
        <v>66</v>
      </c>
      <c r="H2362" t="s">
        <v>51</v>
      </c>
      <c r="I2362" t="s">
        <v>28</v>
      </c>
      <c r="J2362" t="s">
        <v>87</v>
      </c>
      <c r="K2362">
        <v>13992</v>
      </c>
      <c r="L2362">
        <v>158</v>
      </c>
      <c r="M2362">
        <v>141.77000000000001</v>
      </c>
      <c r="N2362">
        <v>11</v>
      </c>
      <c r="O2362">
        <v>599.36</v>
      </c>
      <c r="P2362">
        <f t="shared" si="144"/>
        <v>1.1292166952544312E-2</v>
      </c>
      <c r="Q2362">
        <f t="shared" si="144"/>
        <v>0.89727848101265828</v>
      </c>
      <c r="R2362">
        <f t="shared" si="145"/>
        <v>12.888181818181819</v>
      </c>
      <c r="S2362">
        <f t="shared" si="146"/>
        <v>4.2276927417648302</v>
      </c>
      <c r="T2362">
        <f t="shared" si="147"/>
        <v>6.9620253164556958E-2</v>
      </c>
      <c r="U2362" t="str">
        <f>YEAR('Campaign Data'!$A2362)&amp;"-"&amp;TEXT(MONTH('Campaign Data'!$A2362),"00")</f>
        <v>2026-05</v>
      </c>
    </row>
    <row r="2363" spans="1:21" x14ac:dyDescent="0.25">
      <c r="A2363">
        <v>46150</v>
      </c>
      <c r="B2363" t="s">
        <v>127</v>
      </c>
      <c r="C2363" t="s">
        <v>128</v>
      </c>
      <c r="D2363" t="s">
        <v>58</v>
      </c>
      <c r="E2363" t="s">
        <v>24</v>
      </c>
      <c r="F2363" t="s">
        <v>81</v>
      </c>
      <c r="G2363" t="s">
        <v>129</v>
      </c>
      <c r="H2363" t="s">
        <v>71</v>
      </c>
      <c r="I2363" t="s">
        <v>37</v>
      </c>
      <c r="J2363" t="s">
        <v>62</v>
      </c>
      <c r="K2363">
        <v>2198</v>
      </c>
      <c r="L2363">
        <v>19</v>
      </c>
      <c r="M2363">
        <v>11.71</v>
      </c>
      <c r="N2363">
        <v>1</v>
      </c>
      <c r="O2363">
        <v>19.850000000000001</v>
      </c>
      <c r="P2363">
        <f t="shared" si="144"/>
        <v>8.6442220200181989E-3</v>
      </c>
      <c r="Q2363">
        <f t="shared" si="144"/>
        <v>0.61631578947368426</v>
      </c>
      <c r="R2363">
        <f t="shared" si="145"/>
        <v>11.71</v>
      </c>
      <c r="S2363">
        <f t="shared" si="146"/>
        <v>1.6951323654995729</v>
      </c>
      <c r="T2363">
        <f t="shared" si="147"/>
        <v>5.2631578947368418E-2</v>
      </c>
      <c r="U2363" t="str">
        <f>YEAR('Campaign Data'!$A2363)&amp;"-"&amp;TEXT(MONTH('Campaign Data'!$A2363),"00")</f>
        <v>2026-05</v>
      </c>
    </row>
    <row r="2364" spans="1:21" x14ac:dyDescent="0.25">
      <c r="A2364">
        <v>46150</v>
      </c>
      <c r="B2364" t="s">
        <v>108</v>
      </c>
      <c r="C2364" t="s">
        <v>109</v>
      </c>
      <c r="D2364" t="s">
        <v>58</v>
      </c>
      <c r="E2364" t="s">
        <v>33</v>
      </c>
      <c r="F2364" t="s">
        <v>43</v>
      </c>
      <c r="G2364" t="s">
        <v>59</v>
      </c>
      <c r="H2364" t="s">
        <v>60</v>
      </c>
      <c r="I2364" t="s">
        <v>37</v>
      </c>
      <c r="J2364" t="s">
        <v>38</v>
      </c>
      <c r="K2364">
        <v>3107</v>
      </c>
      <c r="L2364">
        <v>45</v>
      </c>
      <c r="M2364">
        <v>38.770000000000003</v>
      </c>
      <c r="N2364">
        <v>1</v>
      </c>
      <c r="O2364">
        <v>19.77</v>
      </c>
      <c r="P2364">
        <f t="shared" si="144"/>
        <v>1.4483424525265529E-2</v>
      </c>
      <c r="Q2364">
        <f t="shared" si="144"/>
        <v>0.86155555555555563</v>
      </c>
      <c r="R2364">
        <f t="shared" si="145"/>
        <v>38.770000000000003</v>
      </c>
      <c r="S2364">
        <f t="shared" si="146"/>
        <v>0.50993035852463242</v>
      </c>
      <c r="T2364">
        <f t="shared" si="147"/>
        <v>2.2222222222222223E-2</v>
      </c>
      <c r="U2364" t="str">
        <f>YEAR('Campaign Data'!$A2364)&amp;"-"&amp;TEXT(MONTH('Campaign Data'!$A2364),"00")</f>
        <v>2026-05</v>
      </c>
    </row>
    <row r="2365" spans="1:21" x14ac:dyDescent="0.25">
      <c r="A2365">
        <v>46150</v>
      </c>
      <c r="B2365" t="s">
        <v>132</v>
      </c>
      <c r="C2365" t="s">
        <v>133</v>
      </c>
      <c r="D2365" t="s">
        <v>23</v>
      </c>
      <c r="E2365" t="s">
        <v>42</v>
      </c>
      <c r="F2365" t="s">
        <v>75</v>
      </c>
      <c r="G2365" t="s">
        <v>84</v>
      </c>
      <c r="H2365" t="s">
        <v>27</v>
      </c>
      <c r="I2365" t="s">
        <v>28</v>
      </c>
      <c r="J2365" t="s">
        <v>62</v>
      </c>
      <c r="K2365">
        <v>1755</v>
      </c>
      <c r="L2365">
        <v>10</v>
      </c>
      <c r="M2365">
        <v>91.09</v>
      </c>
      <c r="N2365">
        <v>1</v>
      </c>
      <c r="O2365">
        <v>52.27</v>
      </c>
      <c r="P2365">
        <f t="shared" si="144"/>
        <v>5.6980056980056983E-3</v>
      </c>
      <c r="Q2365">
        <f t="shared" si="144"/>
        <v>9.109</v>
      </c>
      <c r="R2365">
        <f t="shared" si="145"/>
        <v>91.09</v>
      </c>
      <c r="S2365">
        <f t="shared" si="146"/>
        <v>0.57382808211658798</v>
      </c>
      <c r="T2365">
        <f t="shared" si="147"/>
        <v>0.1</v>
      </c>
      <c r="U2365" t="str">
        <f>YEAR('Campaign Data'!$A2365)&amp;"-"&amp;TEXT(MONTH('Campaign Data'!$A2365),"00")</f>
        <v>2026-05</v>
      </c>
    </row>
    <row r="2366" spans="1:21" x14ac:dyDescent="0.25">
      <c r="A2366">
        <v>46150</v>
      </c>
      <c r="B2366" t="s">
        <v>153</v>
      </c>
      <c r="C2366" t="s">
        <v>154</v>
      </c>
      <c r="D2366" t="s">
        <v>48</v>
      </c>
      <c r="E2366" t="s">
        <v>33</v>
      </c>
      <c r="F2366" t="s">
        <v>43</v>
      </c>
      <c r="G2366" t="s">
        <v>59</v>
      </c>
      <c r="H2366" t="s">
        <v>36</v>
      </c>
      <c r="I2366" t="s">
        <v>37</v>
      </c>
      <c r="J2366" t="s">
        <v>38</v>
      </c>
      <c r="K2366">
        <v>7481</v>
      </c>
      <c r="L2366">
        <v>62</v>
      </c>
      <c r="M2366">
        <v>51.54</v>
      </c>
      <c r="N2366">
        <v>1</v>
      </c>
      <c r="O2366">
        <v>17.41</v>
      </c>
      <c r="P2366">
        <f t="shared" si="144"/>
        <v>8.2876620772623973E-3</v>
      </c>
      <c r="Q2366">
        <f t="shared" si="144"/>
        <v>0.83129032258064517</v>
      </c>
      <c r="R2366">
        <f t="shared" si="145"/>
        <v>51.54</v>
      </c>
      <c r="S2366">
        <f t="shared" si="146"/>
        <v>0.33779588668994959</v>
      </c>
      <c r="T2366">
        <f t="shared" si="147"/>
        <v>1.6129032258064516E-2</v>
      </c>
      <c r="U2366" t="str">
        <f>YEAR('Campaign Data'!$A2366)&amp;"-"&amp;TEXT(MONTH('Campaign Data'!$A2366),"00")</f>
        <v>2026-05</v>
      </c>
    </row>
    <row r="2367" spans="1:21" x14ac:dyDescent="0.25">
      <c r="A2367">
        <v>46150</v>
      </c>
      <c r="B2367" t="s">
        <v>110</v>
      </c>
      <c r="C2367" t="s">
        <v>111</v>
      </c>
      <c r="D2367" t="s">
        <v>23</v>
      </c>
      <c r="E2367" t="s">
        <v>49</v>
      </c>
      <c r="F2367" t="s">
        <v>34</v>
      </c>
      <c r="G2367" t="s">
        <v>50</v>
      </c>
      <c r="H2367" t="s">
        <v>90</v>
      </c>
      <c r="I2367" t="s">
        <v>37</v>
      </c>
      <c r="J2367" t="s">
        <v>87</v>
      </c>
      <c r="K2367">
        <v>4345</v>
      </c>
      <c r="L2367">
        <v>215</v>
      </c>
      <c r="M2367">
        <v>82</v>
      </c>
      <c r="N2367">
        <v>11</v>
      </c>
      <c r="O2367">
        <v>335.43</v>
      </c>
      <c r="P2367">
        <f t="shared" si="144"/>
        <v>4.9482163406214037E-2</v>
      </c>
      <c r="Q2367">
        <f t="shared" si="144"/>
        <v>0.38139534883720932</v>
      </c>
      <c r="R2367">
        <f t="shared" si="145"/>
        <v>7.4545454545454541</v>
      </c>
      <c r="S2367">
        <f t="shared" si="146"/>
        <v>4.0906097560975612</v>
      </c>
      <c r="T2367">
        <f t="shared" si="147"/>
        <v>5.1162790697674418E-2</v>
      </c>
      <c r="U2367" t="str">
        <f>YEAR('Campaign Data'!$A2367)&amp;"-"&amp;TEXT(MONTH('Campaign Data'!$A2367),"00")</f>
        <v>2026-05</v>
      </c>
    </row>
    <row r="2368" spans="1:21" x14ac:dyDescent="0.25">
      <c r="A2368">
        <v>46150</v>
      </c>
      <c r="B2368" t="s">
        <v>110</v>
      </c>
      <c r="C2368" t="s">
        <v>111</v>
      </c>
      <c r="D2368" t="s">
        <v>23</v>
      </c>
      <c r="E2368" t="s">
        <v>49</v>
      </c>
      <c r="F2368" t="s">
        <v>34</v>
      </c>
      <c r="G2368" t="s">
        <v>50</v>
      </c>
      <c r="H2368" t="s">
        <v>51</v>
      </c>
      <c r="I2368" t="s">
        <v>37</v>
      </c>
      <c r="J2368" t="s">
        <v>38</v>
      </c>
      <c r="K2368">
        <v>11989</v>
      </c>
      <c r="L2368">
        <v>493</v>
      </c>
      <c r="M2368">
        <v>707.44</v>
      </c>
      <c r="N2368">
        <v>32</v>
      </c>
      <c r="O2368">
        <v>4631.6400000000003</v>
      </c>
      <c r="P2368">
        <f t="shared" si="144"/>
        <v>4.1121027608641253E-2</v>
      </c>
      <c r="Q2368">
        <f t="shared" si="144"/>
        <v>1.4349695740365114</v>
      </c>
      <c r="R2368">
        <f t="shared" si="145"/>
        <v>22.107500000000002</v>
      </c>
      <c r="S2368">
        <f t="shared" si="146"/>
        <v>6.5470428587583402</v>
      </c>
      <c r="T2368">
        <f t="shared" si="147"/>
        <v>6.4908722109533468E-2</v>
      </c>
      <c r="U2368" t="str">
        <f>YEAR('Campaign Data'!$A2368)&amp;"-"&amp;TEXT(MONTH('Campaign Data'!$A2368),"00")</f>
        <v>2026-05</v>
      </c>
    </row>
    <row r="2369" spans="1:21" x14ac:dyDescent="0.25">
      <c r="A2369">
        <v>46150</v>
      </c>
      <c r="B2369" t="s">
        <v>56</v>
      </c>
      <c r="C2369" t="s">
        <v>57</v>
      </c>
      <c r="D2369" t="s">
        <v>58</v>
      </c>
      <c r="E2369" t="s">
        <v>33</v>
      </c>
      <c r="F2369" t="s">
        <v>43</v>
      </c>
      <c r="G2369" t="s">
        <v>59</v>
      </c>
      <c r="H2369" t="s">
        <v>90</v>
      </c>
      <c r="I2369" t="s">
        <v>28</v>
      </c>
      <c r="J2369" t="s">
        <v>38</v>
      </c>
      <c r="K2369">
        <v>6131</v>
      </c>
      <c r="L2369">
        <v>50</v>
      </c>
      <c r="M2369">
        <v>10.09</v>
      </c>
      <c r="N2369">
        <v>1</v>
      </c>
      <c r="O2369">
        <v>8.7100000000000009</v>
      </c>
      <c r="P2369">
        <f t="shared" si="144"/>
        <v>8.155276463872126E-3</v>
      </c>
      <c r="Q2369">
        <f t="shared" si="144"/>
        <v>0.20180000000000001</v>
      </c>
      <c r="R2369">
        <f t="shared" si="145"/>
        <v>10.09</v>
      </c>
      <c r="S2369">
        <f t="shared" si="146"/>
        <v>0.86323092170465821</v>
      </c>
      <c r="T2369">
        <f t="shared" si="147"/>
        <v>0.02</v>
      </c>
      <c r="U2369" t="str">
        <f>YEAR('Campaign Data'!$A2369)&amp;"-"&amp;TEXT(MONTH('Campaign Data'!$A2369),"00")</f>
        <v>2026-05</v>
      </c>
    </row>
    <row r="2370" spans="1:21" x14ac:dyDescent="0.25">
      <c r="A2370">
        <v>46150</v>
      </c>
      <c r="B2370" t="s">
        <v>136</v>
      </c>
      <c r="C2370" t="s">
        <v>137</v>
      </c>
      <c r="D2370" t="s">
        <v>32</v>
      </c>
      <c r="E2370" t="s">
        <v>49</v>
      </c>
      <c r="F2370" t="s">
        <v>75</v>
      </c>
      <c r="G2370" t="s">
        <v>97</v>
      </c>
      <c r="H2370" t="s">
        <v>27</v>
      </c>
      <c r="I2370" t="s">
        <v>28</v>
      </c>
      <c r="J2370" t="s">
        <v>87</v>
      </c>
      <c r="K2370">
        <v>5640</v>
      </c>
      <c r="L2370">
        <v>271</v>
      </c>
      <c r="M2370">
        <v>530.97</v>
      </c>
      <c r="N2370">
        <v>15</v>
      </c>
      <c r="O2370">
        <v>1067.6500000000001</v>
      </c>
      <c r="P2370">
        <f t="shared" ref="P2370:Q2433" si="148">IF(K2370=0,0,L2370/K2370)</f>
        <v>4.8049645390070922E-2</v>
      </c>
      <c r="Q2370">
        <f t="shared" si="148"/>
        <v>1.9592988929889299</v>
      </c>
      <c r="R2370">
        <f t="shared" ref="R2370:R2433" si="149">IF(N2370=0,0,M2370/N2370)</f>
        <v>35.398000000000003</v>
      </c>
      <c r="S2370">
        <f t="shared" ref="S2370:S2433" si="150">IF(M2370=0,0,O2370/M2370)</f>
        <v>2.0107539032337045</v>
      </c>
      <c r="T2370">
        <f t="shared" ref="T2370:T2433" si="151">IF(L2370=0,0,N2370/L2370)</f>
        <v>5.5350553505535055E-2</v>
      </c>
      <c r="U2370" t="str">
        <f>YEAR('Campaign Data'!$A2370)&amp;"-"&amp;TEXT(MONTH('Campaign Data'!$A2370),"00")</f>
        <v>2026-05</v>
      </c>
    </row>
    <row r="2371" spans="1:21" x14ac:dyDescent="0.25">
      <c r="A2371">
        <v>46150</v>
      </c>
      <c r="B2371" t="s">
        <v>143</v>
      </c>
      <c r="C2371" t="s">
        <v>144</v>
      </c>
      <c r="D2371" t="s">
        <v>48</v>
      </c>
      <c r="E2371" t="s">
        <v>42</v>
      </c>
      <c r="F2371" t="s">
        <v>25</v>
      </c>
      <c r="G2371" t="s">
        <v>84</v>
      </c>
      <c r="H2371" t="s">
        <v>90</v>
      </c>
      <c r="I2371" t="s">
        <v>37</v>
      </c>
      <c r="J2371" t="s">
        <v>62</v>
      </c>
      <c r="K2371">
        <v>6024</v>
      </c>
      <c r="L2371">
        <v>39</v>
      </c>
      <c r="M2371">
        <v>75.33</v>
      </c>
      <c r="N2371">
        <v>3</v>
      </c>
      <c r="O2371">
        <v>53.76</v>
      </c>
      <c r="P2371">
        <f t="shared" si="148"/>
        <v>6.4741035856573708E-3</v>
      </c>
      <c r="Q2371">
        <f t="shared" si="148"/>
        <v>1.9315384615384614</v>
      </c>
      <c r="R2371">
        <f t="shared" si="149"/>
        <v>25.11</v>
      </c>
      <c r="S2371">
        <f t="shared" si="150"/>
        <v>0.71365989645559536</v>
      </c>
      <c r="T2371">
        <f t="shared" si="151"/>
        <v>7.6923076923076927E-2</v>
      </c>
      <c r="U2371" t="str">
        <f>YEAR('Campaign Data'!$A2371)&amp;"-"&amp;TEXT(MONTH('Campaign Data'!$A2371),"00")</f>
        <v>2026-05</v>
      </c>
    </row>
    <row r="2372" spans="1:21" x14ac:dyDescent="0.25">
      <c r="A2372">
        <v>46150</v>
      </c>
      <c r="B2372" t="s">
        <v>183</v>
      </c>
      <c r="C2372" t="s">
        <v>184</v>
      </c>
      <c r="D2372" t="s">
        <v>23</v>
      </c>
      <c r="E2372" t="s">
        <v>24</v>
      </c>
      <c r="F2372" t="s">
        <v>81</v>
      </c>
      <c r="G2372" t="s">
        <v>185</v>
      </c>
      <c r="H2372" t="s">
        <v>27</v>
      </c>
      <c r="I2372" t="s">
        <v>37</v>
      </c>
      <c r="J2372" t="s">
        <v>62</v>
      </c>
      <c r="K2372">
        <v>19662</v>
      </c>
      <c r="L2372">
        <v>271</v>
      </c>
      <c r="M2372">
        <v>414.03</v>
      </c>
      <c r="N2372">
        <v>17</v>
      </c>
      <c r="O2372">
        <v>425.97</v>
      </c>
      <c r="P2372">
        <f t="shared" si="148"/>
        <v>1.3782931543078018E-2</v>
      </c>
      <c r="Q2372">
        <f t="shared" si="148"/>
        <v>1.5277859778597784</v>
      </c>
      <c r="R2372">
        <f t="shared" si="149"/>
        <v>24.354705882352938</v>
      </c>
      <c r="S2372">
        <f t="shared" si="150"/>
        <v>1.0288384899644956</v>
      </c>
      <c r="T2372">
        <f t="shared" si="151"/>
        <v>6.273062730627306E-2</v>
      </c>
      <c r="U2372" t="str">
        <f>YEAR('Campaign Data'!$A2372)&amp;"-"&amp;TEXT(MONTH('Campaign Data'!$A2372),"00")</f>
        <v>2026-05</v>
      </c>
    </row>
    <row r="2373" spans="1:21" x14ac:dyDescent="0.25">
      <c r="A2373">
        <v>46151</v>
      </c>
      <c r="B2373" t="s">
        <v>165</v>
      </c>
      <c r="C2373" t="s">
        <v>166</v>
      </c>
      <c r="D2373" t="s">
        <v>41</v>
      </c>
      <c r="E2373" t="s">
        <v>33</v>
      </c>
      <c r="F2373" t="s">
        <v>43</v>
      </c>
      <c r="G2373" t="s">
        <v>59</v>
      </c>
      <c r="H2373" t="s">
        <v>51</v>
      </c>
      <c r="I2373" t="s">
        <v>37</v>
      </c>
      <c r="J2373" t="s">
        <v>62</v>
      </c>
      <c r="K2373">
        <v>3098</v>
      </c>
      <c r="L2373">
        <v>29</v>
      </c>
      <c r="M2373">
        <v>14.28</v>
      </c>
      <c r="N2373">
        <v>0</v>
      </c>
      <c r="O2373">
        <v>0</v>
      </c>
      <c r="P2373">
        <f t="shared" si="148"/>
        <v>9.3608779857972894E-3</v>
      </c>
      <c r="Q2373">
        <f t="shared" si="148"/>
        <v>0.49241379310344824</v>
      </c>
      <c r="R2373">
        <f t="shared" si="149"/>
        <v>0</v>
      </c>
      <c r="S2373">
        <f t="shared" si="150"/>
        <v>0</v>
      </c>
      <c r="T2373">
        <f t="shared" si="151"/>
        <v>0</v>
      </c>
      <c r="U2373" t="str">
        <f>YEAR('Campaign Data'!$A2373)&amp;"-"&amp;TEXT(MONTH('Campaign Data'!$A2373),"00")</f>
        <v>2026-05</v>
      </c>
    </row>
    <row r="2374" spans="1:21" x14ac:dyDescent="0.25">
      <c r="A2374">
        <v>46151</v>
      </c>
      <c r="B2374" t="s">
        <v>149</v>
      </c>
      <c r="C2374" t="s">
        <v>150</v>
      </c>
      <c r="D2374" t="s">
        <v>65</v>
      </c>
      <c r="E2374" t="s">
        <v>33</v>
      </c>
      <c r="F2374" t="s">
        <v>43</v>
      </c>
      <c r="G2374" t="s">
        <v>59</v>
      </c>
      <c r="H2374" t="s">
        <v>90</v>
      </c>
      <c r="I2374" t="s">
        <v>28</v>
      </c>
      <c r="J2374" t="s">
        <v>62</v>
      </c>
      <c r="K2374">
        <v>12668</v>
      </c>
      <c r="L2374">
        <v>134</v>
      </c>
      <c r="M2374">
        <v>26.7</v>
      </c>
      <c r="N2374">
        <v>4</v>
      </c>
      <c r="O2374">
        <v>25.07</v>
      </c>
      <c r="P2374">
        <f t="shared" si="148"/>
        <v>1.0577833912219767E-2</v>
      </c>
      <c r="Q2374">
        <f t="shared" si="148"/>
        <v>0.19925373134328359</v>
      </c>
      <c r="R2374">
        <f t="shared" si="149"/>
        <v>6.6749999999999998</v>
      </c>
      <c r="S2374">
        <f t="shared" si="150"/>
        <v>0.93895131086142325</v>
      </c>
      <c r="T2374">
        <f t="shared" si="151"/>
        <v>2.9850746268656716E-2</v>
      </c>
      <c r="U2374" t="str">
        <f>YEAR('Campaign Data'!$A2374)&amp;"-"&amp;TEXT(MONTH('Campaign Data'!$A2374),"00")</f>
        <v>2026-05</v>
      </c>
    </row>
    <row r="2375" spans="1:21" x14ac:dyDescent="0.25">
      <c r="A2375">
        <v>46151</v>
      </c>
      <c r="B2375" t="s">
        <v>39</v>
      </c>
      <c r="C2375" t="s">
        <v>40</v>
      </c>
      <c r="D2375" t="s">
        <v>41</v>
      </c>
      <c r="E2375" t="s">
        <v>42</v>
      </c>
      <c r="F2375" t="s">
        <v>43</v>
      </c>
      <c r="G2375" t="s">
        <v>44</v>
      </c>
      <c r="H2375" t="s">
        <v>36</v>
      </c>
      <c r="I2375" t="s">
        <v>37</v>
      </c>
      <c r="J2375" t="s">
        <v>38</v>
      </c>
      <c r="K2375">
        <v>15350</v>
      </c>
      <c r="L2375">
        <v>91</v>
      </c>
      <c r="M2375">
        <v>356.5</v>
      </c>
      <c r="N2375">
        <v>4</v>
      </c>
      <c r="O2375">
        <v>104.37</v>
      </c>
      <c r="P2375">
        <f t="shared" si="148"/>
        <v>5.9283387622149838E-3</v>
      </c>
      <c r="Q2375">
        <f t="shared" si="148"/>
        <v>3.9175824175824174</v>
      </c>
      <c r="R2375">
        <f t="shared" si="149"/>
        <v>89.125</v>
      </c>
      <c r="S2375">
        <f t="shared" si="150"/>
        <v>0.29276297335203366</v>
      </c>
      <c r="T2375">
        <f t="shared" si="151"/>
        <v>4.3956043956043959E-2</v>
      </c>
      <c r="U2375" t="str">
        <f>YEAR('Campaign Data'!$A2375)&amp;"-"&amp;TEXT(MONTH('Campaign Data'!$A2375),"00")</f>
        <v>2026-05</v>
      </c>
    </row>
    <row r="2376" spans="1:21" x14ac:dyDescent="0.25">
      <c r="A2376">
        <v>46151</v>
      </c>
      <c r="B2376" t="s">
        <v>46</v>
      </c>
      <c r="C2376" t="s">
        <v>47</v>
      </c>
      <c r="D2376" t="s">
        <v>48</v>
      </c>
      <c r="E2376" t="s">
        <v>49</v>
      </c>
      <c r="F2376" t="s">
        <v>43</v>
      </c>
      <c r="G2376" t="s">
        <v>50</v>
      </c>
      <c r="H2376" t="s">
        <v>27</v>
      </c>
      <c r="I2376" t="s">
        <v>28</v>
      </c>
      <c r="J2376" t="s">
        <v>29</v>
      </c>
      <c r="K2376">
        <v>17285</v>
      </c>
      <c r="L2376">
        <v>404</v>
      </c>
      <c r="M2376">
        <v>1409.51</v>
      </c>
      <c r="N2376">
        <v>26</v>
      </c>
      <c r="O2376">
        <v>506.52</v>
      </c>
      <c r="P2376">
        <f t="shared" si="148"/>
        <v>2.3372866647382123E-2</v>
      </c>
      <c r="Q2376">
        <f t="shared" si="148"/>
        <v>3.4888861386138612</v>
      </c>
      <c r="R2376">
        <f t="shared" si="149"/>
        <v>54.211923076923078</v>
      </c>
      <c r="S2376">
        <f t="shared" si="150"/>
        <v>0.35935892615164133</v>
      </c>
      <c r="T2376">
        <f t="shared" si="151"/>
        <v>6.4356435643564358E-2</v>
      </c>
      <c r="U2376" t="str">
        <f>YEAR('Campaign Data'!$A2376)&amp;"-"&amp;TEXT(MONTH('Campaign Data'!$A2376),"00")</f>
        <v>2026-05</v>
      </c>
    </row>
    <row r="2377" spans="1:21" x14ac:dyDescent="0.25">
      <c r="A2377">
        <v>46151</v>
      </c>
      <c r="B2377" t="s">
        <v>105</v>
      </c>
      <c r="C2377" t="s">
        <v>106</v>
      </c>
      <c r="D2377" t="s">
        <v>58</v>
      </c>
      <c r="E2377" t="s">
        <v>49</v>
      </c>
      <c r="F2377" t="s">
        <v>81</v>
      </c>
      <c r="G2377" t="s">
        <v>107</v>
      </c>
      <c r="H2377" t="s">
        <v>60</v>
      </c>
      <c r="I2377" t="s">
        <v>28</v>
      </c>
      <c r="J2377" t="s">
        <v>62</v>
      </c>
      <c r="K2377">
        <v>7215</v>
      </c>
      <c r="L2377">
        <v>386</v>
      </c>
      <c r="M2377">
        <v>643.76</v>
      </c>
      <c r="N2377">
        <v>46</v>
      </c>
      <c r="O2377">
        <v>750.73</v>
      </c>
      <c r="P2377">
        <f t="shared" si="148"/>
        <v>5.34996534996535E-2</v>
      </c>
      <c r="Q2377">
        <f t="shared" si="148"/>
        <v>1.6677720207253885</v>
      </c>
      <c r="R2377">
        <f t="shared" si="149"/>
        <v>13.994782608695653</v>
      </c>
      <c r="S2377">
        <f t="shared" si="150"/>
        <v>1.1661644090965577</v>
      </c>
      <c r="T2377">
        <f t="shared" si="151"/>
        <v>0.11917098445595854</v>
      </c>
      <c r="U2377" t="str">
        <f>YEAR('Campaign Data'!$A2377)&amp;"-"&amp;TEXT(MONTH('Campaign Data'!$A2377),"00")</f>
        <v>2026-05</v>
      </c>
    </row>
    <row r="2378" spans="1:21" x14ac:dyDescent="0.25">
      <c r="A2378">
        <v>46151</v>
      </c>
      <c r="B2378" t="s">
        <v>105</v>
      </c>
      <c r="C2378" t="s">
        <v>106</v>
      </c>
      <c r="D2378" t="s">
        <v>58</v>
      </c>
      <c r="E2378" t="s">
        <v>49</v>
      </c>
      <c r="F2378" t="s">
        <v>81</v>
      </c>
      <c r="G2378" t="s">
        <v>107</v>
      </c>
      <c r="H2378" t="s">
        <v>55</v>
      </c>
      <c r="I2378" t="s">
        <v>37</v>
      </c>
      <c r="J2378" t="s">
        <v>29</v>
      </c>
      <c r="K2378">
        <v>11192</v>
      </c>
      <c r="L2378">
        <v>604</v>
      </c>
      <c r="M2378">
        <v>769.33</v>
      </c>
      <c r="N2378">
        <v>27</v>
      </c>
      <c r="O2378">
        <v>486.74</v>
      </c>
      <c r="P2378">
        <f t="shared" si="148"/>
        <v>5.3967119370979269E-2</v>
      </c>
      <c r="Q2378">
        <f t="shared" si="148"/>
        <v>1.273725165562914</v>
      </c>
      <c r="R2378">
        <f t="shared" si="149"/>
        <v>28.493703703703705</v>
      </c>
      <c r="S2378">
        <f t="shared" si="150"/>
        <v>0.63268038423043427</v>
      </c>
      <c r="T2378">
        <f t="shared" si="151"/>
        <v>4.4701986754966887E-2</v>
      </c>
      <c r="U2378" t="str">
        <f>YEAR('Campaign Data'!$A2378)&amp;"-"&amp;TEXT(MONTH('Campaign Data'!$A2378),"00")</f>
        <v>2026-05</v>
      </c>
    </row>
    <row r="2379" spans="1:21" x14ac:dyDescent="0.25">
      <c r="A2379">
        <v>46151</v>
      </c>
      <c r="B2379" t="s">
        <v>177</v>
      </c>
      <c r="C2379" t="s">
        <v>178</v>
      </c>
      <c r="D2379" t="s">
        <v>41</v>
      </c>
      <c r="E2379" t="s">
        <v>49</v>
      </c>
      <c r="F2379" t="s">
        <v>34</v>
      </c>
      <c r="G2379" t="s">
        <v>107</v>
      </c>
      <c r="H2379" t="s">
        <v>36</v>
      </c>
      <c r="I2379" t="s">
        <v>37</v>
      </c>
      <c r="J2379" t="s">
        <v>38</v>
      </c>
      <c r="K2379">
        <v>3479</v>
      </c>
      <c r="L2379">
        <v>214</v>
      </c>
      <c r="M2379">
        <v>492.45</v>
      </c>
      <c r="N2379">
        <v>12</v>
      </c>
      <c r="O2379">
        <v>1522.87</v>
      </c>
      <c r="P2379">
        <f t="shared" si="148"/>
        <v>6.1511928715148032E-2</v>
      </c>
      <c r="Q2379">
        <f t="shared" si="148"/>
        <v>2.3011682242990652</v>
      </c>
      <c r="R2379">
        <f t="shared" si="149"/>
        <v>41.037500000000001</v>
      </c>
      <c r="S2379">
        <f t="shared" si="150"/>
        <v>3.092435780282262</v>
      </c>
      <c r="T2379">
        <f t="shared" si="151"/>
        <v>5.6074766355140186E-2</v>
      </c>
      <c r="U2379" t="str">
        <f>YEAR('Campaign Data'!$A2379)&amp;"-"&amp;TEXT(MONTH('Campaign Data'!$A2379),"00")</f>
        <v>2026-05</v>
      </c>
    </row>
    <row r="2380" spans="1:21" x14ac:dyDescent="0.25">
      <c r="A2380">
        <v>46151</v>
      </c>
      <c r="B2380" t="s">
        <v>155</v>
      </c>
      <c r="C2380" t="s">
        <v>156</v>
      </c>
      <c r="D2380" t="s">
        <v>32</v>
      </c>
      <c r="E2380" t="s">
        <v>24</v>
      </c>
      <c r="F2380" t="s">
        <v>34</v>
      </c>
      <c r="G2380" t="s">
        <v>129</v>
      </c>
      <c r="H2380" t="s">
        <v>27</v>
      </c>
      <c r="I2380" t="s">
        <v>37</v>
      </c>
      <c r="J2380" t="s">
        <v>62</v>
      </c>
      <c r="K2380">
        <v>5413</v>
      </c>
      <c r="L2380">
        <v>113</v>
      </c>
      <c r="M2380">
        <v>137.91999999999999</v>
      </c>
      <c r="N2380">
        <v>6</v>
      </c>
      <c r="O2380">
        <v>1238.53</v>
      </c>
      <c r="P2380">
        <f t="shared" si="148"/>
        <v>2.0875669684093847E-2</v>
      </c>
      <c r="Q2380">
        <f t="shared" si="148"/>
        <v>1.2205309734513272</v>
      </c>
      <c r="R2380">
        <f t="shared" si="149"/>
        <v>22.986666666666665</v>
      </c>
      <c r="S2380">
        <f t="shared" si="150"/>
        <v>8.9800609048723903</v>
      </c>
      <c r="T2380">
        <f t="shared" si="151"/>
        <v>5.3097345132743362E-2</v>
      </c>
      <c r="U2380" t="str">
        <f>YEAR('Campaign Data'!$A2380)&amp;"-"&amp;TEXT(MONTH('Campaign Data'!$A2380),"00")</f>
        <v>2026-05</v>
      </c>
    </row>
    <row r="2381" spans="1:21" x14ac:dyDescent="0.25">
      <c r="A2381">
        <v>46151</v>
      </c>
      <c r="B2381" t="s">
        <v>141</v>
      </c>
      <c r="C2381" t="s">
        <v>142</v>
      </c>
      <c r="D2381" t="s">
        <v>80</v>
      </c>
      <c r="E2381" t="s">
        <v>49</v>
      </c>
      <c r="F2381" t="s">
        <v>81</v>
      </c>
      <c r="G2381" t="s">
        <v>97</v>
      </c>
      <c r="H2381" t="s">
        <v>27</v>
      </c>
      <c r="I2381" t="s">
        <v>28</v>
      </c>
      <c r="J2381" t="s">
        <v>38</v>
      </c>
      <c r="K2381">
        <v>2136</v>
      </c>
      <c r="L2381">
        <v>106</v>
      </c>
      <c r="M2381">
        <v>278.55</v>
      </c>
      <c r="N2381">
        <v>5</v>
      </c>
      <c r="O2381">
        <v>87.06</v>
      </c>
      <c r="P2381">
        <f t="shared" si="148"/>
        <v>4.9625468164794011E-2</v>
      </c>
      <c r="Q2381">
        <f t="shared" si="148"/>
        <v>2.6278301886792454</v>
      </c>
      <c r="R2381">
        <f t="shared" si="149"/>
        <v>55.71</v>
      </c>
      <c r="S2381">
        <f t="shared" si="150"/>
        <v>0.31254711900915455</v>
      </c>
      <c r="T2381">
        <f t="shared" si="151"/>
        <v>4.716981132075472E-2</v>
      </c>
      <c r="U2381" t="str">
        <f>YEAR('Campaign Data'!$A2381)&amp;"-"&amp;TEXT(MONTH('Campaign Data'!$A2381),"00")</f>
        <v>2026-05</v>
      </c>
    </row>
    <row r="2382" spans="1:21" x14ac:dyDescent="0.25">
      <c r="A2382">
        <v>46151</v>
      </c>
      <c r="B2382" t="s">
        <v>136</v>
      </c>
      <c r="C2382" t="s">
        <v>137</v>
      </c>
      <c r="D2382" t="s">
        <v>32</v>
      </c>
      <c r="E2382" t="s">
        <v>49</v>
      </c>
      <c r="F2382" t="s">
        <v>75</v>
      </c>
      <c r="G2382" t="s">
        <v>97</v>
      </c>
      <c r="H2382" t="s">
        <v>71</v>
      </c>
      <c r="I2382" t="s">
        <v>37</v>
      </c>
      <c r="J2382" t="s">
        <v>62</v>
      </c>
      <c r="K2382">
        <v>722</v>
      </c>
      <c r="L2382">
        <v>51</v>
      </c>
      <c r="M2382">
        <v>97.31</v>
      </c>
      <c r="N2382">
        <v>2</v>
      </c>
      <c r="O2382">
        <v>39.619999999999997</v>
      </c>
      <c r="P2382">
        <f t="shared" si="148"/>
        <v>7.0637119113573413E-2</v>
      </c>
      <c r="Q2382">
        <f t="shared" si="148"/>
        <v>1.9080392156862747</v>
      </c>
      <c r="R2382">
        <f t="shared" si="149"/>
        <v>48.655000000000001</v>
      </c>
      <c r="S2382">
        <f t="shared" si="150"/>
        <v>0.40715239954783677</v>
      </c>
      <c r="T2382">
        <f t="shared" si="151"/>
        <v>3.9215686274509803E-2</v>
      </c>
      <c r="U2382" t="str">
        <f>YEAR('Campaign Data'!$A2382)&amp;"-"&amp;TEXT(MONTH('Campaign Data'!$A2382),"00")</f>
        <v>2026-05</v>
      </c>
    </row>
    <row r="2383" spans="1:21" x14ac:dyDescent="0.25">
      <c r="A2383">
        <v>46151</v>
      </c>
      <c r="B2383" t="s">
        <v>67</v>
      </c>
      <c r="C2383" t="s">
        <v>68</v>
      </c>
      <c r="D2383" t="s">
        <v>69</v>
      </c>
      <c r="E2383" t="s">
        <v>49</v>
      </c>
      <c r="F2383" t="s">
        <v>34</v>
      </c>
      <c r="G2383" t="s">
        <v>70</v>
      </c>
      <c r="H2383" t="s">
        <v>27</v>
      </c>
      <c r="I2383" t="s">
        <v>37</v>
      </c>
      <c r="J2383" t="s">
        <v>87</v>
      </c>
      <c r="K2383">
        <v>17292</v>
      </c>
      <c r="L2383">
        <v>234</v>
      </c>
      <c r="M2383">
        <v>644.79999999999995</v>
      </c>
      <c r="N2383">
        <v>15</v>
      </c>
      <c r="O2383">
        <v>2227.1799999999998</v>
      </c>
      <c r="P2383">
        <f t="shared" si="148"/>
        <v>1.3532269257460098E-2</v>
      </c>
      <c r="Q2383">
        <f t="shared" si="148"/>
        <v>2.7555555555555555</v>
      </c>
      <c r="R2383">
        <f t="shared" si="149"/>
        <v>42.986666666666665</v>
      </c>
      <c r="S2383">
        <f t="shared" si="150"/>
        <v>3.4540632754342431</v>
      </c>
      <c r="T2383">
        <f t="shared" si="151"/>
        <v>6.4102564102564097E-2</v>
      </c>
      <c r="U2383" t="str">
        <f>YEAR('Campaign Data'!$A2383)&amp;"-"&amp;TEXT(MONTH('Campaign Data'!$A2383),"00")</f>
        <v>2026-05</v>
      </c>
    </row>
    <row r="2384" spans="1:21" x14ac:dyDescent="0.25">
      <c r="A2384">
        <v>46151</v>
      </c>
      <c r="B2384" t="s">
        <v>116</v>
      </c>
      <c r="C2384" t="s">
        <v>117</v>
      </c>
      <c r="D2384" t="s">
        <v>48</v>
      </c>
      <c r="E2384" t="s">
        <v>24</v>
      </c>
      <c r="F2384" t="s">
        <v>43</v>
      </c>
      <c r="G2384" t="s">
        <v>26</v>
      </c>
      <c r="H2384" t="s">
        <v>27</v>
      </c>
      <c r="I2384" t="s">
        <v>28</v>
      </c>
      <c r="J2384" t="s">
        <v>38</v>
      </c>
      <c r="K2384">
        <v>15603</v>
      </c>
      <c r="L2384">
        <v>111</v>
      </c>
      <c r="M2384">
        <v>118.23</v>
      </c>
      <c r="N2384">
        <v>3</v>
      </c>
      <c r="O2384">
        <v>127.63</v>
      </c>
      <c r="P2384">
        <f t="shared" si="148"/>
        <v>7.1140165352816765E-3</v>
      </c>
      <c r="Q2384">
        <f t="shared" si="148"/>
        <v>1.0651351351351352</v>
      </c>
      <c r="R2384">
        <f t="shared" si="149"/>
        <v>39.410000000000004</v>
      </c>
      <c r="S2384">
        <f t="shared" si="150"/>
        <v>1.0795060475344667</v>
      </c>
      <c r="T2384">
        <f t="shared" si="151"/>
        <v>2.7027027027027029E-2</v>
      </c>
      <c r="U2384" t="str">
        <f>YEAR('Campaign Data'!$A2384)&amp;"-"&amp;TEXT(MONTH('Campaign Data'!$A2384),"00")</f>
        <v>2026-05</v>
      </c>
    </row>
    <row r="2385" spans="1:21" x14ac:dyDescent="0.25">
      <c r="A2385">
        <v>46151</v>
      </c>
      <c r="B2385" t="s">
        <v>118</v>
      </c>
      <c r="C2385" t="s">
        <v>119</v>
      </c>
      <c r="D2385" t="s">
        <v>69</v>
      </c>
      <c r="E2385" t="s">
        <v>33</v>
      </c>
      <c r="F2385" t="s">
        <v>34</v>
      </c>
      <c r="G2385" t="s">
        <v>35</v>
      </c>
      <c r="H2385" t="s">
        <v>71</v>
      </c>
      <c r="I2385" t="s">
        <v>37</v>
      </c>
      <c r="J2385" t="s">
        <v>45</v>
      </c>
      <c r="K2385">
        <v>9131</v>
      </c>
      <c r="L2385">
        <v>61</v>
      </c>
      <c r="M2385">
        <v>39.72</v>
      </c>
      <c r="N2385">
        <v>0</v>
      </c>
      <c r="O2385">
        <v>0</v>
      </c>
      <c r="P2385">
        <f t="shared" si="148"/>
        <v>6.6805388237870991E-3</v>
      </c>
      <c r="Q2385">
        <f t="shared" si="148"/>
        <v>0.6511475409836065</v>
      </c>
      <c r="R2385">
        <f t="shared" si="149"/>
        <v>0</v>
      </c>
      <c r="S2385">
        <f t="shared" si="150"/>
        <v>0</v>
      </c>
      <c r="T2385">
        <f t="shared" si="151"/>
        <v>0</v>
      </c>
      <c r="U2385" t="str">
        <f>YEAR('Campaign Data'!$A2385)&amp;"-"&amp;TEXT(MONTH('Campaign Data'!$A2385),"00")</f>
        <v>2026-05</v>
      </c>
    </row>
    <row r="2386" spans="1:21" x14ac:dyDescent="0.25">
      <c r="A2386">
        <v>46151</v>
      </c>
      <c r="B2386" t="s">
        <v>145</v>
      </c>
      <c r="C2386" t="s">
        <v>146</v>
      </c>
      <c r="D2386" t="s">
        <v>41</v>
      </c>
      <c r="E2386" t="s">
        <v>49</v>
      </c>
      <c r="F2386" t="s">
        <v>75</v>
      </c>
      <c r="G2386" t="s">
        <v>70</v>
      </c>
      <c r="H2386" t="s">
        <v>60</v>
      </c>
      <c r="I2386" t="s">
        <v>28</v>
      </c>
      <c r="J2386" t="s">
        <v>38</v>
      </c>
      <c r="K2386">
        <v>10350</v>
      </c>
      <c r="L2386">
        <v>405</v>
      </c>
      <c r="M2386">
        <v>624.02</v>
      </c>
      <c r="N2386">
        <v>16</v>
      </c>
      <c r="O2386">
        <v>819.64</v>
      </c>
      <c r="P2386">
        <f t="shared" si="148"/>
        <v>3.9130434782608699E-2</v>
      </c>
      <c r="Q2386">
        <f t="shared" si="148"/>
        <v>1.54079012345679</v>
      </c>
      <c r="R2386">
        <f t="shared" si="149"/>
        <v>39.001249999999999</v>
      </c>
      <c r="S2386">
        <f t="shared" si="150"/>
        <v>1.3134835421941604</v>
      </c>
      <c r="T2386">
        <f t="shared" si="151"/>
        <v>3.9506172839506172E-2</v>
      </c>
      <c r="U2386" t="str">
        <f>YEAR('Campaign Data'!$A2386)&amp;"-"&amp;TEXT(MONTH('Campaign Data'!$A2386),"00")</f>
        <v>2026-05</v>
      </c>
    </row>
    <row r="2387" spans="1:21" x14ac:dyDescent="0.25">
      <c r="A2387">
        <v>46151</v>
      </c>
      <c r="B2387" t="s">
        <v>122</v>
      </c>
      <c r="C2387" t="s">
        <v>123</v>
      </c>
      <c r="D2387" t="s">
        <v>41</v>
      </c>
      <c r="E2387" t="s">
        <v>33</v>
      </c>
      <c r="F2387" t="s">
        <v>75</v>
      </c>
      <c r="G2387" t="s">
        <v>35</v>
      </c>
      <c r="H2387" t="s">
        <v>27</v>
      </c>
      <c r="I2387" t="s">
        <v>37</v>
      </c>
      <c r="J2387" t="s">
        <v>87</v>
      </c>
      <c r="K2387">
        <v>6605</v>
      </c>
      <c r="L2387">
        <v>65</v>
      </c>
      <c r="M2387">
        <v>48.49</v>
      </c>
      <c r="N2387">
        <v>1</v>
      </c>
      <c r="O2387">
        <v>33.14</v>
      </c>
      <c r="P2387">
        <f t="shared" si="148"/>
        <v>9.8410295230885701E-3</v>
      </c>
      <c r="Q2387">
        <f t="shared" si="148"/>
        <v>0.746</v>
      </c>
      <c r="R2387">
        <f t="shared" si="149"/>
        <v>48.49</v>
      </c>
      <c r="S2387">
        <f t="shared" si="150"/>
        <v>0.68343988451227056</v>
      </c>
      <c r="T2387">
        <f t="shared" si="151"/>
        <v>1.5384615384615385E-2</v>
      </c>
      <c r="U2387" t="str">
        <f>YEAR('Campaign Data'!$A2387)&amp;"-"&amp;TEXT(MONTH('Campaign Data'!$A2387),"00")</f>
        <v>2026-05</v>
      </c>
    </row>
    <row r="2388" spans="1:21" x14ac:dyDescent="0.25">
      <c r="A2388">
        <v>46151</v>
      </c>
      <c r="B2388" t="s">
        <v>82</v>
      </c>
      <c r="C2388" t="s">
        <v>83</v>
      </c>
      <c r="D2388" t="s">
        <v>80</v>
      </c>
      <c r="E2388" t="s">
        <v>42</v>
      </c>
      <c r="F2388" t="s">
        <v>34</v>
      </c>
      <c r="G2388" t="s">
        <v>84</v>
      </c>
      <c r="H2388" t="s">
        <v>55</v>
      </c>
      <c r="I2388" t="s">
        <v>28</v>
      </c>
      <c r="J2388" t="s">
        <v>29</v>
      </c>
      <c r="K2388">
        <v>7066</v>
      </c>
      <c r="L2388">
        <v>44</v>
      </c>
      <c r="M2388">
        <v>204.77</v>
      </c>
      <c r="N2388">
        <v>1</v>
      </c>
      <c r="O2388">
        <v>101.22</v>
      </c>
      <c r="P2388">
        <f t="shared" si="148"/>
        <v>6.2270025474101334E-3</v>
      </c>
      <c r="Q2388">
        <f t="shared" si="148"/>
        <v>4.6538636363636368</v>
      </c>
      <c r="R2388">
        <f t="shared" si="149"/>
        <v>204.77</v>
      </c>
      <c r="S2388">
        <f t="shared" si="150"/>
        <v>0.49431069004248668</v>
      </c>
      <c r="T2388">
        <f t="shared" si="151"/>
        <v>2.2727272727272728E-2</v>
      </c>
      <c r="U2388" t="str">
        <f>YEAR('Campaign Data'!$A2388)&amp;"-"&amp;TEXT(MONTH('Campaign Data'!$A2388),"00")</f>
        <v>2026-05</v>
      </c>
    </row>
    <row r="2389" spans="1:21" x14ac:dyDescent="0.25">
      <c r="A2389">
        <v>46152</v>
      </c>
      <c r="B2389" t="s">
        <v>21</v>
      </c>
      <c r="C2389" t="s">
        <v>124</v>
      </c>
      <c r="D2389" t="s">
        <v>23</v>
      </c>
      <c r="E2389" t="s">
        <v>24</v>
      </c>
      <c r="F2389" t="s">
        <v>25</v>
      </c>
      <c r="G2389" t="s">
        <v>26</v>
      </c>
      <c r="H2389" t="s">
        <v>90</v>
      </c>
      <c r="I2389" t="s">
        <v>28</v>
      </c>
      <c r="J2389" t="s">
        <v>45</v>
      </c>
      <c r="K2389">
        <v>6025</v>
      </c>
      <c r="L2389">
        <v>39</v>
      </c>
      <c r="M2389">
        <v>11.21</v>
      </c>
      <c r="N2389">
        <v>1</v>
      </c>
      <c r="O2389">
        <v>15.29</v>
      </c>
      <c r="P2389">
        <f t="shared" si="148"/>
        <v>6.4730290456431533E-3</v>
      </c>
      <c r="Q2389">
        <f t="shared" si="148"/>
        <v>0.28743589743589748</v>
      </c>
      <c r="R2389">
        <f t="shared" si="149"/>
        <v>11.21</v>
      </c>
      <c r="S2389">
        <f t="shared" si="150"/>
        <v>1.3639607493309542</v>
      </c>
      <c r="T2389">
        <f t="shared" si="151"/>
        <v>2.564102564102564E-2</v>
      </c>
      <c r="U2389" t="str">
        <f>YEAR('Campaign Data'!$A2389)&amp;"-"&amp;TEXT(MONTH('Campaign Data'!$A2389),"00")</f>
        <v>2026-05</v>
      </c>
    </row>
    <row r="2390" spans="1:21" x14ac:dyDescent="0.25">
      <c r="A2390">
        <v>46152</v>
      </c>
      <c r="B2390" t="s">
        <v>149</v>
      </c>
      <c r="C2390" t="s">
        <v>150</v>
      </c>
      <c r="D2390" t="s">
        <v>65</v>
      </c>
      <c r="E2390" t="s">
        <v>33</v>
      </c>
      <c r="F2390" t="s">
        <v>43</v>
      </c>
      <c r="G2390" t="s">
        <v>59</v>
      </c>
      <c r="H2390" t="s">
        <v>51</v>
      </c>
      <c r="I2390" t="s">
        <v>37</v>
      </c>
      <c r="J2390" t="s">
        <v>62</v>
      </c>
      <c r="K2390">
        <v>25750</v>
      </c>
      <c r="L2390">
        <v>311</v>
      </c>
      <c r="M2390">
        <v>189.58</v>
      </c>
      <c r="N2390">
        <v>2</v>
      </c>
      <c r="O2390">
        <v>47.98</v>
      </c>
      <c r="P2390">
        <f t="shared" si="148"/>
        <v>1.2077669902912621E-2</v>
      </c>
      <c r="Q2390">
        <f t="shared" si="148"/>
        <v>0.6095819935691319</v>
      </c>
      <c r="R2390">
        <f t="shared" si="149"/>
        <v>94.79</v>
      </c>
      <c r="S2390">
        <f t="shared" si="150"/>
        <v>0.2530857685409853</v>
      </c>
      <c r="T2390">
        <f t="shared" si="151"/>
        <v>6.4308681672025723E-3</v>
      </c>
      <c r="U2390" t="str">
        <f>YEAR('Campaign Data'!$A2390)&amp;"-"&amp;TEXT(MONTH('Campaign Data'!$A2390),"00")</f>
        <v>2026-05</v>
      </c>
    </row>
    <row r="2391" spans="1:21" x14ac:dyDescent="0.25">
      <c r="A2391">
        <v>46152</v>
      </c>
      <c r="B2391" t="s">
        <v>98</v>
      </c>
      <c r="C2391" t="s">
        <v>99</v>
      </c>
      <c r="D2391" t="s">
        <v>69</v>
      </c>
      <c r="E2391" t="s">
        <v>24</v>
      </c>
      <c r="F2391" t="s">
        <v>75</v>
      </c>
      <c r="G2391" t="s">
        <v>66</v>
      </c>
      <c r="H2391" t="s">
        <v>90</v>
      </c>
      <c r="I2391" t="s">
        <v>28</v>
      </c>
      <c r="J2391" t="s">
        <v>87</v>
      </c>
      <c r="K2391">
        <v>5165</v>
      </c>
      <c r="L2391">
        <v>82</v>
      </c>
      <c r="M2391">
        <v>23.88</v>
      </c>
      <c r="N2391">
        <v>2</v>
      </c>
      <c r="O2391">
        <v>20.03</v>
      </c>
      <c r="P2391">
        <f t="shared" si="148"/>
        <v>1.5876089060987416E-2</v>
      </c>
      <c r="Q2391">
        <f t="shared" si="148"/>
        <v>0.29121951219512193</v>
      </c>
      <c r="R2391">
        <f t="shared" si="149"/>
        <v>11.94</v>
      </c>
      <c r="S2391">
        <f t="shared" si="150"/>
        <v>0.83877721943048589</v>
      </c>
      <c r="T2391">
        <f t="shared" si="151"/>
        <v>2.4390243902439025E-2</v>
      </c>
      <c r="U2391" t="str">
        <f>YEAR('Campaign Data'!$A2391)&amp;"-"&amp;TEXT(MONTH('Campaign Data'!$A2391),"00")</f>
        <v>2026-05</v>
      </c>
    </row>
    <row r="2392" spans="1:21" x14ac:dyDescent="0.25">
      <c r="A2392">
        <v>46152</v>
      </c>
      <c r="B2392" t="s">
        <v>169</v>
      </c>
      <c r="C2392" t="s">
        <v>170</v>
      </c>
      <c r="D2392" t="s">
        <v>58</v>
      </c>
      <c r="E2392" t="s">
        <v>74</v>
      </c>
      <c r="F2392" t="s">
        <v>75</v>
      </c>
      <c r="G2392" t="s">
        <v>9</v>
      </c>
      <c r="H2392" t="s">
        <v>36</v>
      </c>
      <c r="I2392" t="s">
        <v>37</v>
      </c>
      <c r="J2392" t="s">
        <v>38</v>
      </c>
      <c r="K2392">
        <v>4139</v>
      </c>
      <c r="L2392">
        <v>106</v>
      </c>
      <c r="M2392">
        <v>129.66999999999999</v>
      </c>
      <c r="N2392">
        <v>7</v>
      </c>
      <c r="O2392">
        <v>353.05</v>
      </c>
      <c r="P2392">
        <f t="shared" si="148"/>
        <v>2.5610050736892969E-2</v>
      </c>
      <c r="Q2392">
        <f t="shared" si="148"/>
        <v>1.2233018867924528</v>
      </c>
      <c r="R2392">
        <f t="shared" si="149"/>
        <v>18.524285714285714</v>
      </c>
      <c r="S2392">
        <f t="shared" si="150"/>
        <v>2.722680650883011</v>
      </c>
      <c r="T2392">
        <f t="shared" si="151"/>
        <v>6.6037735849056603E-2</v>
      </c>
      <c r="U2392" t="str">
        <f>YEAR('Campaign Data'!$A2392)&amp;"-"&amp;TEXT(MONTH('Campaign Data'!$A2392),"00")</f>
        <v>2026-05</v>
      </c>
    </row>
    <row r="2393" spans="1:21" x14ac:dyDescent="0.25">
      <c r="A2393">
        <v>46152</v>
      </c>
      <c r="B2393" t="s">
        <v>127</v>
      </c>
      <c r="C2393" t="s">
        <v>128</v>
      </c>
      <c r="D2393" t="s">
        <v>58</v>
      </c>
      <c r="E2393" t="s">
        <v>24</v>
      </c>
      <c r="F2393" t="s">
        <v>81</v>
      </c>
      <c r="G2393" t="s">
        <v>129</v>
      </c>
      <c r="H2393" t="s">
        <v>90</v>
      </c>
      <c r="I2393" t="s">
        <v>28</v>
      </c>
      <c r="J2393" t="s">
        <v>45</v>
      </c>
      <c r="K2393">
        <v>17873</v>
      </c>
      <c r="L2393">
        <v>199</v>
      </c>
      <c r="M2393">
        <v>45.85</v>
      </c>
      <c r="N2393">
        <v>5</v>
      </c>
      <c r="O2393">
        <v>25</v>
      </c>
      <c r="P2393">
        <f t="shared" si="148"/>
        <v>1.1134112907737928E-2</v>
      </c>
      <c r="Q2393">
        <f t="shared" si="148"/>
        <v>0.23040201005025127</v>
      </c>
      <c r="R2393">
        <f t="shared" si="149"/>
        <v>9.17</v>
      </c>
      <c r="S2393">
        <f t="shared" si="150"/>
        <v>0.54525627044711011</v>
      </c>
      <c r="T2393">
        <f t="shared" si="151"/>
        <v>2.5125628140703519E-2</v>
      </c>
      <c r="U2393" t="str">
        <f>YEAR('Campaign Data'!$A2393)&amp;"-"&amp;TEXT(MONTH('Campaign Data'!$A2393),"00")</f>
        <v>2026-05</v>
      </c>
    </row>
    <row r="2394" spans="1:21" x14ac:dyDescent="0.25">
      <c r="A2394">
        <v>46152</v>
      </c>
      <c r="B2394" t="s">
        <v>103</v>
      </c>
      <c r="C2394" t="s">
        <v>104</v>
      </c>
      <c r="D2394" t="s">
        <v>65</v>
      </c>
      <c r="E2394" t="s">
        <v>33</v>
      </c>
      <c r="F2394" t="s">
        <v>43</v>
      </c>
      <c r="G2394" t="s">
        <v>102</v>
      </c>
      <c r="H2394" t="s">
        <v>27</v>
      </c>
      <c r="I2394" t="s">
        <v>37</v>
      </c>
      <c r="J2394" t="s">
        <v>87</v>
      </c>
      <c r="K2394">
        <v>16854</v>
      </c>
      <c r="L2394">
        <v>160</v>
      </c>
      <c r="M2394">
        <v>128.12</v>
      </c>
      <c r="N2394">
        <v>3</v>
      </c>
      <c r="O2394">
        <v>96.96</v>
      </c>
      <c r="P2394">
        <f t="shared" si="148"/>
        <v>9.4932953601518932E-3</v>
      </c>
      <c r="Q2394">
        <f t="shared" si="148"/>
        <v>0.80075000000000007</v>
      </c>
      <c r="R2394">
        <f t="shared" si="149"/>
        <v>42.706666666666671</v>
      </c>
      <c r="S2394">
        <f t="shared" si="150"/>
        <v>0.75679050889790811</v>
      </c>
      <c r="T2394">
        <f t="shared" si="151"/>
        <v>1.8749999999999999E-2</v>
      </c>
      <c r="U2394" t="str">
        <f>YEAR('Campaign Data'!$A2394)&amp;"-"&amp;TEXT(MONTH('Campaign Data'!$A2394),"00")</f>
        <v>2026-05</v>
      </c>
    </row>
    <row r="2395" spans="1:21" x14ac:dyDescent="0.25">
      <c r="A2395">
        <v>46152</v>
      </c>
      <c r="B2395" t="s">
        <v>130</v>
      </c>
      <c r="C2395" t="s">
        <v>131</v>
      </c>
      <c r="D2395" t="s">
        <v>48</v>
      </c>
      <c r="E2395" t="s">
        <v>33</v>
      </c>
      <c r="F2395" t="s">
        <v>34</v>
      </c>
      <c r="G2395" t="s">
        <v>35</v>
      </c>
      <c r="H2395" t="s">
        <v>27</v>
      </c>
      <c r="I2395" t="s">
        <v>37</v>
      </c>
      <c r="J2395" t="s">
        <v>45</v>
      </c>
      <c r="K2395">
        <v>10001</v>
      </c>
      <c r="L2395">
        <v>116</v>
      </c>
      <c r="M2395">
        <v>99.75</v>
      </c>
      <c r="N2395">
        <v>1</v>
      </c>
      <c r="O2395">
        <v>219.2</v>
      </c>
      <c r="P2395">
        <f t="shared" si="148"/>
        <v>1.15988401159884E-2</v>
      </c>
      <c r="Q2395">
        <f t="shared" si="148"/>
        <v>0.85991379310344829</v>
      </c>
      <c r="R2395">
        <f t="shared" si="149"/>
        <v>99.75</v>
      </c>
      <c r="S2395">
        <f t="shared" si="150"/>
        <v>2.1974937343358394</v>
      </c>
      <c r="T2395">
        <f t="shared" si="151"/>
        <v>8.6206896551724137E-3</v>
      </c>
      <c r="U2395" t="str">
        <f>YEAR('Campaign Data'!$A2395)&amp;"-"&amp;TEXT(MONTH('Campaign Data'!$A2395),"00")</f>
        <v>2026-05</v>
      </c>
    </row>
    <row r="2396" spans="1:21" x14ac:dyDescent="0.25">
      <c r="A2396">
        <v>46152</v>
      </c>
      <c r="B2396" t="s">
        <v>155</v>
      </c>
      <c r="C2396" t="s">
        <v>156</v>
      </c>
      <c r="D2396" t="s">
        <v>32</v>
      </c>
      <c r="E2396" t="s">
        <v>24</v>
      </c>
      <c r="F2396" t="s">
        <v>34</v>
      </c>
      <c r="G2396" t="s">
        <v>129</v>
      </c>
      <c r="H2396" t="s">
        <v>27</v>
      </c>
      <c r="I2396" t="s">
        <v>37</v>
      </c>
      <c r="J2396" t="s">
        <v>29</v>
      </c>
      <c r="K2396">
        <v>6169</v>
      </c>
      <c r="L2396">
        <v>66</v>
      </c>
      <c r="M2396">
        <v>90.81</v>
      </c>
      <c r="N2396">
        <v>4</v>
      </c>
      <c r="O2396">
        <v>610.67999999999995</v>
      </c>
      <c r="P2396">
        <f t="shared" si="148"/>
        <v>1.0698654563138272E-2</v>
      </c>
      <c r="Q2396">
        <f t="shared" si="148"/>
        <v>1.375909090909091</v>
      </c>
      <c r="R2396">
        <f t="shared" si="149"/>
        <v>22.702500000000001</v>
      </c>
      <c r="S2396">
        <f t="shared" si="150"/>
        <v>6.7248100429468112</v>
      </c>
      <c r="T2396">
        <f t="shared" si="151"/>
        <v>6.0606060606060608E-2</v>
      </c>
      <c r="U2396" t="str">
        <f>YEAR('Campaign Data'!$A2396)&amp;"-"&amp;TEXT(MONTH('Campaign Data'!$A2396),"00")</f>
        <v>2026-05</v>
      </c>
    </row>
    <row r="2397" spans="1:21" x14ac:dyDescent="0.25">
      <c r="A2397">
        <v>46152</v>
      </c>
      <c r="B2397" t="s">
        <v>181</v>
      </c>
      <c r="C2397" t="s">
        <v>182</v>
      </c>
      <c r="D2397" t="s">
        <v>32</v>
      </c>
      <c r="E2397" t="s">
        <v>33</v>
      </c>
      <c r="F2397" t="s">
        <v>75</v>
      </c>
      <c r="G2397" t="s">
        <v>59</v>
      </c>
      <c r="H2397" t="s">
        <v>27</v>
      </c>
      <c r="I2397" t="s">
        <v>37</v>
      </c>
      <c r="J2397" t="s">
        <v>29</v>
      </c>
      <c r="K2397">
        <v>1923</v>
      </c>
      <c r="L2397">
        <v>22</v>
      </c>
      <c r="M2397">
        <v>18</v>
      </c>
      <c r="N2397">
        <v>0</v>
      </c>
      <c r="O2397">
        <v>0</v>
      </c>
      <c r="P2397">
        <f t="shared" si="148"/>
        <v>1.1440457618304731E-2</v>
      </c>
      <c r="Q2397">
        <f t="shared" si="148"/>
        <v>0.81818181818181823</v>
      </c>
      <c r="R2397">
        <f t="shared" si="149"/>
        <v>0</v>
      </c>
      <c r="S2397">
        <f t="shared" si="150"/>
        <v>0</v>
      </c>
      <c r="T2397">
        <f t="shared" si="151"/>
        <v>0</v>
      </c>
      <c r="U2397" t="str">
        <f>YEAR('Campaign Data'!$A2397)&amp;"-"&amp;TEXT(MONTH('Campaign Data'!$A2397),"00")</f>
        <v>2026-05</v>
      </c>
    </row>
    <row r="2398" spans="1:21" x14ac:dyDescent="0.25">
      <c r="A2398">
        <v>46152</v>
      </c>
      <c r="B2398" t="s">
        <v>63</v>
      </c>
      <c r="C2398" t="s">
        <v>64</v>
      </c>
      <c r="D2398" t="s">
        <v>65</v>
      </c>
      <c r="E2398" t="s">
        <v>24</v>
      </c>
      <c r="F2398" t="s">
        <v>43</v>
      </c>
      <c r="G2398" t="s">
        <v>66</v>
      </c>
      <c r="H2398" t="s">
        <v>71</v>
      </c>
      <c r="I2398" t="s">
        <v>37</v>
      </c>
      <c r="J2398" t="s">
        <v>38</v>
      </c>
      <c r="K2398">
        <v>9289</v>
      </c>
      <c r="L2398">
        <v>76</v>
      </c>
      <c r="M2398">
        <v>73.260000000000005</v>
      </c>
      <c r="N2398">
        <v>0</v>
      </c>
      <c r="O2398">
        <v>0</v>
      </c>
      <c r="P2398">
        <f t="shared" si="148"/>
        <v>8.1817203143503062E-3</v>
      </c>
      <c r="Q2398">
        <f t="shared" si="148"/>
        <v>0.96394736842105266</v>
      </c>
      <c r="R2398">
        <f t="shared" si="149"/>
        <v>0</v>
      </c>
      <c r="S2398">
        <f t="shared" si="150"/>
        <v>0</v>
      </c>
      <c r="T2398">
        <f t="shared" si="151"/>
        <v>0</v>
      </c>
      <c r="U2398" t="str">
        <f>YEAR('Campaign Data'!$A2398)&amp;"-"&amp;TEXT(MONTH('Campaign Data'!$A2398),"00")</f>
        <v>2026-05</v>
      </c>
    </row>
    <row r="2399" spans="1:21" x14ac:dyDescent="0.25">
      <c r="A2399">
        <v>46152</v>
      </c>
      <c r="B2399" t="s">
        <v>183</v>
      </c>
      <c r="C2399" t="s">
        <v>184</v>
      </c>
      <c r="D2399" t="s">
        <v>23</v>
      </c>
      <c r="E2399" t="s">
        <v>24</v>
      </c>
      <c r="F2399" t="s">
        <v>81</v>
      </c>
      <c r="G2399" t="s">
        <v>185</v>
      </c>
      <c r="H2399" t="s">
        <v>90</v>
      </c>
      <c r="I2399" t="s">
        <v>37</v>
      </c>
      <c r="J2399" t="s">
        <v>29</v>
      </c>
      <c r="K2399">
        <v>6676</v>
      </c>
      <c r="L2399">
        <v>89</v>
      </c>
      <c r="M2399">
        <v>17.079999999999998</v>
      </c>
      <c r="N2399">
        <v>2</v>
      </c>
      <c r="O2399">
        <v>13.44</v>
      </c>
      <c r="P2399">
        <f t="shared" si="148"/>
        <v>1.3331336129418813E-2</v>
      </c>
      <c r="Q2399">
        <f t="shared" si="148"/>
        <v>0.19191011235955055</v>
      </c>
      <c r="R2399">
        <f t="shared" si="149"/>
        <v>8.5399999999999991</v>
      </c>
      <c r="S2399">
        <f t="shared" si="150"/>
        <v>0.78688524590163944</v>
      </c>
      <c r="T2399">
        <f t="shared" si="151"/>
        <v>2.247191011235955E-2</v>
      </c>
      <c r="U2399" t="str">
        <f>YEAR('Campaign Data'!$A2399)&amp;"-"&amp;TEXT(MONTH('Campaign Data'!$A2399),"00")</f>
        <v>2026-05</v>
      </c>
    </row>
    <row r="2400" spans="1:21" x14ac:dyDescent="0.25">
      <c r="A2400">
        <v>46152</v>
      </c>
      <c r="B2400" t="s">
        <v>116</v>
      </c>
      <c r="C2400" t="s">
        <v>117</v>
      </c>
      <c r="D2400" t="s">
        <v>48</v>
      </c>
      <c r="E2400" t="s">
        <v>24</v>
      </c>
      <c r="F2400" t="s">
        <v>43</v>
      </c>
      <c r="G2400" t="s">
        <v>26</v>
      </c>
      <c r="H2400" t="s">
        <v>60</v>
      </c>
      <c r="I2400" t="s">
        <v>37</v>
      </c>
      <c r="J2400" t="s">
        <v>45</v>
      </c>
      <c r="K2400">
        <v>850</v>
      </c>
      <c r="L2400">
        <v>13</v>
      </c>
      <c r="M2400">
        <v>15.35</v>
      </c>
      <c r="N2400">
        <v>1</v>
      </c>
      <c r="O2400">
        <v>28.31</v>
      </c>
      <c r="P2400">
        <f t="shared" si="148"/>
        <v>1.5294117647058824E-2</v>
      </c>
      <c r="Q2400">
        <f t="shared" si="148"/>
        <v>1.1807692307692308</v>
      </c>
      <c r="R2400">
        <f t="shared" si="149"/>
        <v>15.35</v>
      </c>
      <c r="S2400">
        <f t="shared" si="150"/>
        <v>1.844299674267101</v>
      </c>
      <c r="T2400">
        <f t="shared" si="151"/>
        <v>7.6923076923076927E-2</v>
      </c>
      <c r="U2400" t="str">
        <f>YEAR('Campaign Data'!$A2400)&amp;"-"&amp;TEXT(MONTH('Campaign Data'!$A2400),"00")</f>
        <v>2026-05</v>
      </c>
    </row>
    <row r="2401" spans="1:21" x14ac:dyDescent="0.25">
      <c r="A2401">
        <v>46152</v>
      </c>
      <c r="B2401" t="s">
        <v>118</v>
      </c>
      <c r="C2401" t="s">
        <v>119</v>
      </c>
      <c r="D2401" t="s">
        <v>69</v>
      </c>
      <c r="E2401" t="s">
        <v>33</v>
      </c>
      <c r="F2401" t="s">
        <v>34</v>
      </c>
      <c r="G2401" t="s">
        <v>35</v>
      </c>
      <c r="H2401" t="s">
        <v>55</v>
      </c>
      <c r="I2401" t="s">
        <v>37</v>
      </c>
      <c r="J2401" t="s">
        <v>45</v>
      </c>
      <c r="K2401">
        <v>2601</v>
      </c>
      <c r="L2401">
        <v>24</v>
      </c>
      <c r="M2401">
        <v>14.46</v>
      </c>
      <c r="N2401">
        <v>0</v>
      </c>
      <c r="O2401">
        <v>0</v>
      </c>
      <c r="P2401">
        <f t="shared" si="148"/>
        <v>9.22722029988466E-3</v>
      </c>
      <c r="Q2401">
        <f t="shared" si="148"/>
        <v>0.60250000000000004</v>
      </c>
      <c r="R2401">
        <f t="shared" si="149"/>
        <v>0</v>
      </c>
      <c r="S2401">
        <f t="shared" si="150"/>
        <v>0</v>
      </c>
      <c r="T2401">
        <f t="shared" si="151"/>
        <v>0</v>
      </c>
      <c r="U2401" t="str">
        <f>YEAR('Campaign Data'!$A2401)&amp;"-"&amp;TEXT(MONTH('Campaign Data'!$A2401),"00")</f>
        <v>2026-05</v>
      </c>
    </row>
    <row r="2402" spans="1:21" x14ac:dyDescent="0.25">
      <c r="A2402">
        <v>46152</v>
      </c>
      <c r="B2402" t="s">
        <v>163</v>
      </c>
      <c r="C2402" t="s">
        <v>164</v>
      </c>
      <c r="D2402" t="s">
        <v>58</v>
      </c>
      <c r="E2402" t="s">
        <v>42</v>
      </c>
      <c r="F2402" t="s">
        <v>43</v>
      </c>
      <c r="G2402" t="s">
        <v>44</v>
      </c>
      <c r="H2402" t="s">
        <v>27</v>
      </c>
      <c r="I2402" t="s">
        <v>28</v>
      </c>
      <c r="J2402" t="s">
        <v>29</v>
      </c>
      <c r="K2402">
        <v>3078</v>
      </c>
      <c r="L2402">
        <v>28</v>
      </c>
      <c r="M2402">
        <v>122.36</v>
      </c>
      <c r="N2402">
        <v>1</v>
      </c>
      <c r="O2402">
        <v>24.33</v>
      </c>
      <c r="P2402">
        <f t="shared" si="148"/>
        <v>9.0968161143599735E-3</v>
      </c>
      <c r="Q2402">
        <f t="shared" si="148"/>
        <v>4.37</v>
      </c>
      <c r="R2402">
        <f t="shared" si="149"/>
        <v>122.36</v>
      </c>
      <c r="S2402">
        <f t="shared" si="150"/>
        <v>0.19883949002942136</v>
      </c>
      <c r="T2402">
        <f t="shared" si="151"/>
        <v>3.5714285714285712E-2</v>
      </c>
      <c r="U2402" t="str">
        <f>YEAR('Campaign Data'!$A2402)&amp;"-"&amp;TEXT(MONTH('Campaign Data'!$A2402),"00")</f>
        <v>2026-05</v>
      </c>
    </row>
    <row r="2403" spans="1:21" x14ac:dyDescent="0.25">
      <c r="A2403">
        <v>46152</v>
      </c>
      <c r="B2403" t="s">
        <v>145</v>
      </c>
      <c r="C2403" t="s">
        <v>146</v>
      </c>
      <c r="D2403" t="s">
        <v>41</v>
      </c>
      <c r="E2403" t="s">
        <v>49</v>
      </c>
      <c r="F2403" t="s">
        <v>75</v>
      </c>
      <c r="G2403" t="s">
        <v>70</v>
      </c>
      <c r="H2403" t="s">
        <v>90</v>
      </c>
      <c r="I2403" t="s">
        <v>37</v>
      </c>
      <c r="J2403" t="s">
        <v>87</v>
      </c>
      <c r="K2403">
        <v>12649</v>
      </c>
      <c r="L2403">
        <v>458</v>
      </c>
      <c r="M2403">
        <v>233.64</v>
      </c>
      <c r="N2403">
        <v>14</v>
      </c>
      <c r="O2403">
        <v>70</v>
      </c>
      <c r="P2403">
        <f t="shared" si="148"/>
        <v>3.6208395920626135E-2</v>
      </c>
      <c r="Q2403">
        <f t="shared" si="148"/>
        <v>0.51013100436681225</v>
      </c>
      <c r="R2403">
        <f t="shared" si="149"/>
        <v>16.688571428571429</v>
      </c>
      <c r="S2403">
        <f t="shared" si="150"/>
        <v>0.29960623180962165</v>
      </c>
      <c r="T2403">
        <f t="shared" si="151"/>
        <v>3.0567685589519649E-2</v>
      </c>
      <c r="U2403" t="str">
        <f>YEAR('Campaign Data'!$A2403)&amp;"-"&amp;TEXT(MONTH('Campaign Data'!$A2403),"00")</f>
        <v>2026-05</v>
      </c>
    </row>
    <row r="2404" spans="1:21" x14ac:dyDescent="0.25">
      <c r="A2404">
        <v>46152</v>
      </c>
      <c r="B2404" t="s">
        <v>76</v>
      </c>
      <c r="C2404" t="s">
        <v>77</v>
      </c>
      <c r="D2404" t="s">
        <v>65</v>
      </c>
      <c r="E2404" t="s">
        <v>42</v>
      </c>
      <c r="F2404" t="s">
        <v>43</v>
      </c>
      <c r="G2404" t="s">
        <v>44</v>
      </c>
      <c r="H2404" t="s">
        <v>90</v>
      </c>
      <c r="I2404" t="s">
        <v>37</v>
      </c>
      <c r="J2404" t="s">
        <v>38</v>
      </c>
      <c r="K2404">
        <v>10521</v>
      </c>
      <c r="L2404">
        <v>85</v>
      </c>
      <c r="M2404">
        <v>174.8</v>
      </c>
      <c r="N2404">
        <v>2</v>
      </c>
      <c r="O2404">
        <v>15.12</v>
      </c>
      <c r="P2404">
        <f t="shared" si="148"/>
        <v>8.0790799353673611E-3</v>
      </c>
      <c r="Q2404">
        <f t="shared" si="148"/>
        <v>2.0564705882352943</v>
      </c>
      <c r="R2404">
        <f t="shared" si="149"/>
        <v>87.4</v>
      </c>
      <c r="S2404">
        <f t="shared" si="150"/>
        <v>8.6498855835240265E-2</v>
      </c>
      <c r="T2404">
        <f t="shared" si="151"/>
        <v>2.3529411764705882E-2</v>
      </c>
      <c r="U2404" t="str">
        <f>YEAR('Campaign Data'!$A2404)&amp;"-"&amp;TEXT(MONTH('Campaign Data'!$A2404),"00")</f>
        <v>2026-05</v>
      </c>
    </row>
    <row r="2405" spans="1:21" x14ac:dyDescent="0.25">
      <c r="A2405">
        <v>46152</v>
      </c>
      <c r="B2405" t="s">
        <v>76</v>
      </c>
      <c r="C2405" t="s">
        <v>77</v>
      </c>
      <c r="D2405" t="s">
        <v>65</v>
      </c>
      <c r="E2405" t="s">
        <v>42</v>
      </c>
      <c r="F2405" t="s">
        <v>43</v>
      </c>
      <c r="G2405" t="s">
        <v>44</v>
      </c>
      <c r="H2405" t="s">
        <v>90</v>
      </c>
      <c r="I2405" t="s">
        <v>37</v>
      </c>
      <c r="J2405" t="s">
        <v>45</v>
      </c>
      <c r="K2405">
        <v>8489</v>
      </c>
      <c r="L2405">
        <v>58</v>
      </c>
      <c r="M2405">
        <v>94.73</v>
      </c>
      <c r="N2405">
        <v>1</v>
      </c>
      <c r="O2405">
        <v>7.53</v>
      </c>
      <c r="P2405">
        <f t="shared" si="148"/>
        <v>6.8323713040405231E-3</v>
      </c>
      <c r="Q2405">
        <f t="shared" si="148"/>
        <v>1.6332758620689656</v>
      </c>
      <c r="R2405">
        <f t="shared" si="149"/>
        <v>94.73</v>
      </c>
      <c r="S2405">
        <f t="shared" si="150"/>
        <v>7.9489074210915237E-2</v>
      </c>
      <c r="T2405">
        <f t="shared" si="151"/>
        <v>1.7241379310344827E-2</v>
      </c>
      <c r="U2405" t="str">
        <f>YEAR('Campaign Data'!$A2405)&amp;"-"&amp;TEXT(MONTH('Campaign Data'!$A2405),"00")</f>
        <v>2026-05</v>
      </c>
    </row>
    <row r="2406" spans="1:21" x14ac:dyDescent="0.25">
      <c r="A2406">
        <v>46152</v>
      </c>
      <c r="B2406" t="s">
        <v>78</v>
      </c>
      <c r="C2406" t="s">
        <v>79</v>
      </c>
      <c r="D2406" t="s">
        <v>80</v>
      </c>
      <c r="E2406" t="s">
        <v>24</v>
      </c>
      <c r="F2406" t="s">
        <v>81</v>
      </c>
      <c r="G2406" t="s">
        <v>66</v>
      </c>
      <c r="H2406" t="s">
        <v>90</v>
      </c>
      <c r="I2406" t="s">
        <v>37</v>
      </c>
      <c r="J2406" t="s">
        <v>45</v>
      </c>
      <c r="K2406">
        <v>14477</v>
      </c>
      <c r="L2406">
        <v>137</v>
      </c>
      <c r="M2406">
        <v>35.11</v>
      </c>
      <c r="N2406">
        <v>2</v>
      </c>
      <c r="O2406">
        <v>10.77</v>
      </c>
      <c r="P2406">
        <f t="shared" si="148"/>
        <v>9.4632865925260764E-3</v>
      </c>
      <c r="Q2406">
        <f t="shared" si="148"/>
        <v>0.25627737226277369</v>
      </c>
      <c r="R2406">
        <f t="shared" si="149"/>
        <v>17.555</v>
      </c>
      <c r="S2406">
        <f t="shared" si="150"/>
        <v>0.30675021361435489</v>
      </c>
      <c r="T2406">
        <f t="shared" si="151"/>
        <v>1.4598540145985401E-2</v>
      </c>
      <c r="U2406" t="str">
        <f>YEAR('Campaign Data'!$A2406)&amp;"-"&amp;TEXT(MONTH('Campaign Data'!$A2406),"00")</f>
        <v>2026-05</v>
      </c>
    </row>
    <row r="2407" spans="1:21" x14ac:dyDescent="0.25">
      <c r="A2407">
        <v>46152</v>
      </c>
      <c r="B2407" t="s">
        <v>82</v>
      </c>
      <c r="C2407" t="s">
        <v>83</v>
      </c>
      <c r="D2407" t="s">
        <v>80</v>
      </c>
      <c r="E2407" t="s">
        <v>42</v>
      </c>
      <c r="F2407" t="s">
        <v>34</v>
      </c>
      <c r="G2407" t="s">
        <v>84</v>
      </c>
      <c r="H2407" t="s">
        <v>71</v>
      </c>
      <c r="I2407" t="s">
        <v>61</v>
      </c>
      <c r="J2407" t="s">
        <v>29</v>
      </c>
      <c r="K2407">
        <v>9655</v>
      </c>
      <c r="L2407">
        <v>73</v>
      </c>
      <c r="M2407">
        <v>427.52</v>
      </c>
      <c r="N2407">
        <v>4</v>
      </c>
      <c r="O2407">
        <v>461.46</v>
      </c>
      <c r="P2407">
        <f t="shared" si="148"/>
        <v>7.5608493008803733E-3</v>
      </c>
      <c r="Q2407">
        <f t="shared" si="148"/>
        <v>5.8564383561643831</v>
      </c>
      <c r="R2407">
        <f t="shared" si="149"/>
        <v>106.88</v>
      </c>
      <c r="S2407">
        <f t="shared" si="150"/>
        <v>1.0793880988023952</v>
      </c>
      <c r="T2407">
        <f t="shared" si="151"/>
        <v>5.4794520547945202E-2</v>
      </c>
      <c r="U2407" t="str">
        <f>YEAR('Campaign Data'!$A2407)&amp;"-"&amp;TEXT(MONTH('Campaign Data'!$A2407),"00")</f>
        <v>2026-05</v>
      </c>
    </row>
    <row r="2408" spans="1:21" x14ac:dyDescent="0.25">
      <c r="A2408">
        <v>46153</v>
      </c>
      <c r="B2408" t="s">
        <v>165</v>
      </c>
      <c r="C2408" t="s">
        <v>166</v>
      </c>
      <c r="D2408" t="s">
        <v>41</v>
      </c>
      <c r="E2408" t="s">
        <v>33</v>
      </c>
      <c r="F2408" t="s">
        <v>43</v>
      </c>
      <c r="G2408" t="s">
        <v>59</v>
      </c>
      <c r="H2408" t="s">
        <v>55</v>
      </c>
      <c r="I2408" t="s">
        <v>37</v>
      </c>
      <c r="J2408" t="s">
        <v>38</v>
      </c>
      <c r="K2408">
        <v>8463</v>
      </c>
      <c r="L2408">
        <v>71</v>
      </c>
      <c r="M2408">
        <v>42.77</v>
      </c>
      <c r="N2408">
        <v>3</v>
      </c>
      <c r="O2408">
        <v>68.569999999999993</v>
      </c>
      <c r="P2408">
        <f t="shared" si="148"/>
        <v>8.389460002363229E-3</v>
      </c>
      <c r="Q2408">
        <f t="shared" si="148"/>
        <v>0.60239436619718312</v>
      </c>
      <c r="R2408">
        <f t="shared" si="149"/>
        <v>14.256666666666668</v>
      </c>
      <c r="S2408">
        <f t="shared" si="150"/>
        <v>1.6032265606733689</v>
      </c>
      <c r="T2408">
        <f t="shared" si="151"/>
        <v>4.2253521126760563E-2</v>
      </c>
      <c r="U2408" t="str">
        <f>YEAR('Campaign Data'!$A2408)&amp;"-"&amp;TEXT(MONTH('Campaign Data'!$A2408),"00")</f>
        <v>2026-05</v>
      </c>
    </row>
    <row r="2409" spans="1:21" x14ac:dyDescent="0.25">
      <c r="A2409">
        <v>46153</v>
      </c>
      <c r="B2409" t="s">
        <v>147</v>
      </c>
      <c r="C2409" t="s">
        <v>148</v>
      </c>
      <c r="D2409" t="s">
        <v>23</v>
      </c>
      <c r="E2409" t="s">
        <v>42</v>
      </c>
      <c r="F2409" t="s">
        <v>75</v>
      </c>
      <c r="G2409" t="s">
        <v>44</v>
      </c>
      <c r="H2409" t="s">
        <v>51</v>
      </c>
      <c r="I2409" t="s">
        <v>28</v>
      </c>
      <c r="J2409" t="s">
        <v>45</v>
      </c>
      <c r="K2409">
        <v>4462</v>
      </c>
      <c r="L2409">
        <v>38</v>
      </c>
      <c r="M2409">
        <v>206.82</v>
      </c>
      <c r="N2409">
        <v>3</v>
      </c>
      <c r="O2409">
        <v>123.17</v>
      </c>
      <c r="P2409">
        <f t="shared" si="148"/>
        <v>8.5163603765127747E-3</v>
      </c>
      <c r="Q2409">
        <f t="shared" si="148"/>
        <v>5.4426315789473678</v>
      </c>
      <c r="R2409">
        <f t="shared" si="149"/>
        <v>68.94</v>
      </c>
      <c r="S2409">
        <f t="shared" si="150"/>
        <v>0.59554201721303557</v>
      </c>
      <c r="T2409">
        <f t="shared" si="151"/>
        <v>7.8947368421052627E-2</v>
      </c>
      <c r="U2409" t="str">
        <f>YEAR('Campaign Data'!$A2409)&amp;"-"&amp;TEXT(MONTH('Campaign Data'!$A2409),"00")</f>
        <v>2026-05</v>
      </c>
    </row>
    <row r="2410" spans="1:21" x14ac:dyDescent="0.25">
      <c r="A2410">
        <v>46153</v>
      </c>
      <c r="B2410" t="s">
        <v>147</v>
      </c>
      <c r="C2410" t="s">
        <v>148</v>
      </c>
      <c r="D2410" t="s">
        <v>23</v>
      </c>
      <c r="E2410" t="s">
        <v>42</v>
      </c>
      <c r="F2410" t="s">
        <v>75</v>
      </c>
      <c r="G2410" t="s">
        <v>44</v>
      </c>
      <c r="H2410" t="s">
        <v>36</v>
      </c>
      <c r="I2410" t="s">
        <v>37</v>
      </c>
      <c r="J2410" t="s">
        <v>38</v>
      </c>
      <c r="K2410">
        <v>2316</v>
      </c>
      <c r="L2410">
        <v>19</v>
      </c>
      <c r="M2410">
        <v>132.05000000000001</v>
      </c>
      <c r="N2410">
        <v>0</v>
      </c>
      <c r="O2410">
        <v>0</v>
      </c>
      <c r="P2410">
        <f t="shared" si="148"/>
        <v>8.2037996545768575E-3</v>
      </c>
      <c r="Q2410">
        <f t="shared" si="148"/>
        <v>6.95</v>
      </c>
      <c r="R2410">
        <f t="shared" si="149"/>
        <v>0</v>
      </c>
      <c r="S2410">
        <f t="shared" si="150"/>
        <v>0</v>
      </c>
      <c r="T2410">
        <f t="shared" si="151"/>
        <v>0</v>
      </c>
      <c r="U2410" t="str">
        <f>YEAR('Campaign Data'!$A2410)&amp;"-"&amp;TEXT(MONTH('Campaign Data'!$A2410),"00")</f>
        <v>2026-05</v>
      </c>
    </row>
    <row r="2411" spans="1:21" x14ac:dyDescent="0.25">
      <c r="A2411">
        <v>46153</v>
      </c>
      <c r="B2411" t="s">
        <v>138</v>
      </c>
      <c r="C2411" t="s">
        <v>139</v>
      </c>
      <c r="D2411" t="s">
        <v>58</v>
      </c>
      <c r="E2411" t="s">
        <v>74</v>
      </c>
      <c r="F2411" t="s">
        <v>34</v>
      </c>
      <c r="G2411" t="s">
        <v>9</v>
      </c>
      <c r="H2411" t="s">
        <v>90</v>
      </c>
      <c r="I2411" t="s">
        <v>28</v>
      </c>
      <c r="J2411" t="s">
        <v>38</v>
      </c>
      <c r="K2411">
        <v>7532</v>
      </c>
      <c r="L2411">
        <v>192</v>
      </c>
      <c r="M2411">
        <v>103.21</v>
      </c>
      <c r="N2411">
        <v>11</v>
      </c>
      <c r="O2411">
        <v>538.85</v>
      </c>
      <c r="P2411">
        <f t="shared" si="148"/>
        <v>2.5491237387148168E-2</v>
      </c>
      <c r="Q2411">
        <f t="shared" si="148"/>
        <v>0.53755208333333326</v>
      </c>
      <c r="R2411">
        <f t="shared" si="149"/>
        <v>9.3827272727272728</v>
      </c>
      <c r="S2411">
        <f t="shared" si="150"/>
        <v>5.2209088266640835</v>
      </c>
      <c r="T2411">
        <f t="shared" si="151"/>
        <v>5.7291666666666664E-2</v>
      </c>
      <c r="U2411" t="str">
        <f>YEAR('Campaign Data'!$A2411)&amp;"-"&amp;TEXT(MONTH('Campaign Data'!$A2411),"00")</f>
        <v>2026-05</v>
      </c>
    </row>
    <row r="2412" spans="1:21" x14ac:dyDescent="0.25">
      <c r="A2412">
        <v>46153</v>
      </c>
      <c r="B2412" t="s">
        <v>91</v>
      </c>
      <c r="C2412" t="s">
        <v>92</v>
      </c>
      <c r="D2412" t="s">
        <v>41</v>
      </c>
      <c r="E2412" t="s">
        <v>74</v>
      </c>
      <c r="F2412" t="s">
        <v>75</v>
      </c>
      <c r="G2412" t="s">
        <v>9</v>
      </c>
      <c r="H2412" t="s">
        <v>90</v>
      </c>
      <c r="I2412" t="s">
        <v>28</v>
      </c>
      <c r="J2412" t="s">
        <v>38</v>
      </c>
      <c r="K2412">
        <v>19987</v>
      </c>
      <c r="L2412">
        <v>609</v>
      </c>
      <c r="M2412">
        <v>134.44999999999999</v>
      </c>
      <c r="N2412">
        <v>25</v>
      </c>
      <c r="O2412">
        <v>251.32</v>
      </c>
      <c r="P2412">
        <f t="shared" si="148"/>
        <v>3.0469805373492771E-2</v>
      </c>
      <c r="Q2412">
        <f t="shared" si="148"/>
        <v>0.22077175697865351</v>
      </c>
      <c r="R2412">
        <f t="shared" si="149"/>
        <v>5.3779999999999992</v>
      </c>
      <c r="S2412">
        <f t="shared" si="150"/>
        <v>1.8692450725176646</v>
      </c>
      <c r="T2412">
        <f t="shared" si="151"/>
        <v>4.1050903119868636E-2</v>
      </c>
      <c r="U2412" t="str">
        <f>YEAR('Campaign Data'!$A2412)&amp;"-"&amp;TEXT(MONTH('Campaign Data'!$A2412),"00")</f>
        <v>2026-05</v>
      </c>
    </row>
    <row r="2413" spans="1:21" x14ac:dyDescent="0.25">
      <c r="A2413">
        <v>46153</v>
      </c>
      <c r="B2413" t="s">
        <v>95</v>
      </c>
      <c r="C2413" t="s">
        <v>96</v>
      </c>
      <c r="D2413" t="s">
        <v>23</v>
      </c>
      <c r="E2413" t="s">
        <v>49</v>
      </c>
      <c r="F2413" t="s">
        <v>43</v>
      </c>
      <c r="G2413" t="s">
        <v>97</v>
      </c>
      <c r="H2413" t="s">
        <v>60</v>
      </c>
      <c r="I2413" t="s">
        <v>28</v>
      </c>
      <c r="J2413" t="s">
        <v>45</v>
      </c>
      <c r="K2413">
        <v>7698</v>
      </c>
      <c r="L2413">
        <v>338</v>
      </c>
      <c r="M2413">
        <v>485.47</v>
      </c>
      <c r="N2413">
        <v>14</v>
      </c>
      <c r="O2413">
        <v>430.69</v>
      </c>
      <c r="P2413">
        <f t="shared" si="148"/>
        <v>4.3907508443751624E-2</v>
      </c>
      <c r="Q2413">
        <f t="shared" si="148"/>
        <v>1.436301775147929</v>
      </c>
      <c r="R2413">
        <f t="shared" si="149"/>
        <v>34.676428571428573</v>
      </c>
      <c r="S2413">
        <f t="shared" si="150"/>
        <v>0.88716089562691824</v>
      </c>
      <c r="T2413">
        <f t="shared" si="151"/>
        <v>4.142011834319527E-2</v>
      </c>
      <c r="U2413" t="str">
        <f>YEAR('Campaign Data'!$A2413)&amp;"-"&amp;TEXT(MONTH('Campaign Data'!$A2413),"00")</f>
        <v>2026-05</v>
      </c>
    </row>
    <row r="2414" spans="1:21" x14ac:dyDescent="0.25">
      <c r="A2414">
        <v>46153</v>
      </c>
      <c r="B2414" t="s">
        <v>98</v>
      </c>
      <c r="C2414" t="s">
        <v>99</v>
      </c>
      <c r="D2414" t="s">
        <v>69</v>
      </c>
      <c r="E2414" t="s">
        <v>24</v>
      </c>
      <c r="F2414" t="s">
        <v>75</v>
      </c>
      <c r="G2414" t="s">
        <v>66</v>
      </c>
      <c r="H2414" t="s">
        <v>60</v>
      </c>
      <c r="I2414" t="s">
        <v>37</v>
      </c>
      <c r="J2414" t="s">
        <v>29</v>
      </c>
      <c r="K2414">
        <v>9151</v>
      </c>
      <c r="L2414">
        <v>126</v>
      </c>
      <c r="M2414">
        <v>147.88</v>
      </c>
      <c r="N2414">
        <v>6</v>
      </c>
      <c r="O2414">
        <v>187.72</v>
      </c>
      <c r="P2414">
        <f t="shared" si="148"/>
        <v>1.3768986995956725E-2</v>
      </c>
      <c r="Q2414">
        <f t="shared" si="148"/>
        <v>1.1736507936507936</v>
      </c>
      <c r="R2414">
        <f t="shared" si="149"/>
        <v>24.646666666666665</v>
      </c>
      <c r="S2414">
        <f t="shared" si="150"/>
        <v>1.2694076278063295</v>
      </c>
      <c r="T2414">
        <f t="shared" si="151"/>
        <v>4.7619047619047616E-2</v>
      </c>
      <c r="U2414" t="str">
        <f>YEAR('Campaign Data'!$A2414)&amp;"-"&amp;TEXT(MONTH('Campaign Data'!$A2414),"00")</f>
        <v>2026-05</v>
      </c>
    </row>
    <row r="2415" spans="1:21" x14ac:dyDescent="0.25">
      <c r="A2415">
        <v>46153</v>
      </c>
      <c r="B2415" t="s">
        <v>108</v>
      </c>
      <c r="C2415" t="s">
        <v>109</v>
      </c>
      <c r="D2415" t="s">
        <v>58</v>
      </c>
      <c r="E2415" t="s">
        <v>33</v>
      </c>
      <c r="F2415" t="s">
        <v>43</v>
      </c>
      <c r="G2415" t="s">
        <v>59</v>
      </c>
      <c r="H2415" t="s">
        <v>55</v>
      </c>
      <c r="I2415" t="s">
        <v>28</v>
      </c>
      <c r="J2415" t="s">
        <v>62</v>
      </c>
      <c r="K2415">
        <v>2062</v>
      </c>
      <c r="L2415">
        <v>21</v>
      </c>
      <c r="M2415">
        <v>11.51</v>
      </c>
      <c r="N2415">
        <v>0</v>
      </c>
      <c r="O2415">
        <v>0</v>
      </c>
      <c r="P2415">
        <f t="shared" si="148"/>
        <v>1.0184287099903006E-2</v>
      </c>
      <c r="Q2415">
        <f t="shared" si="148"/>
        <v>0.54809523809523808</v>
      </c>
      <c r="R2415">
        <f t="shared" si="149"/>
        <v>0</v>
      </c>
      <c r="S2415">
        <f t="shared" si="150"/>
        <v>0</v>
      </c>
      <c r="T2415">
        <f t="shared" si="151"/>
        <v>0</v>
      </c>
      <c r="U2415" t="str">
        <f>YEAR('Campaign Data'!$A2415)&amp;"-"&amp;TEXT(MONTH('Campaign Data'!$A2415),"00")</f>
        <v>2026-05</v>
      </c>
    </row>
    <row r="2416" spans="1:21" x14ac:dyDescent="0.25">
      <c r="A2416">
        <v>46153</v>
      </c>
      <c r="B2416" t="s">
        <v>153</v>
      </c>
      <c r="C2416" t="s">
        <v>154</v>
      </c>
      <c r="D2416" t="s">
        <v>48</v>
      </c>
      <c r="E2416" t="s">
        <v>33</v>
      </c>
      <c r="F2416" t="s">
        <v>43</v>
      </c>
      <c r="G2416" t="s">
        <v>59</v>
      </c>
      <c r="H2416" t="s">
        <v>51</v>
      </c>
      <c r="I2416" t="s">
        <v>28</v>
      </c>
      <c r="J2416" t="s">
        <v>38</v>
      </c>
      <c r="K2416">
        <v>4573</v>
      </c>
      <c r="L2416">
        <v>33</v>
      </c>
      <c r="M2416">
        <v>19.53</v>
      </c>
      <c r="N2416">
        <v>1</v>
      </c>
      <c r="O2416">
        <v>20.56</v>
      </c>
      <c r="P2416">
        <f t="shared" si="148"/>
        <v>7.2162694073912093E-3</v>
      </c>
      <c r="Q2416">
        <f t="shared" si="148"/>
        <v>0.5918181818181818</v>
      </c>
      <c r="R2416">
        <f t="shared" si="149"/>
        <v>19.53</v>
      </c>
      <c r="S2416">
        <f t="shared" si="150"/>
        <v>1.0527393753200203</v>
      </c>
      <c r="T2416">
        <f t="shared" si="151"/>
        <v>3.0303030303030304E-2</v>
      </c>
      <c r="U2416" t="str">
        <f>YEAR('Campaign Data'!$A2416)&amp;"-"&amp;TEXT(MONTH('Campaign Data'!$A2416),"00")</f>
        <v>2026-05</v>
      </c>
    </row>
    <row r="2417" spans="1:21" x14ac:dyDescent="0.25">
      <c r="A2417">
        <v>46153</v>
      </c>
      <c r="B2417" t="s">
        <v>179</v>
      </c>
      <c r="C2417" t="s">
        <v>180</v>
      </c>
      <c r="D2417" t="s">
        <v>58</v>
      </c>
      <c r="E2417" t="s">
        <v>42</v>
      </c>
      <c r="F2417" t="s">
        <v>25</v>
      </c>
      <c r="G2417" t="s">
        <v>54</v>
      </c>
      <c r="H2417" t="s">
        <v>36</v>
      </c>
      <c r="I2417" t="s">
        <v>37</v>
      </c>
      <c r="J2417" t="s">
        <v>62</v>
      </c>
      <c r="K2417">
        <v>11562</v>
      </c>
      <c r="L2417">
        <v>97</v>
      </c>
      <c r="M2417">
        <v>559.37</v>
      </c>
      <c r="N2417">
        <v>7</v>
      </c>
      <c r="O2417">
        <v>703.08</v>
      </c>
      <c r="P2417">
        <f t="shared" si="148"/>
        <v>8.3895519806261899E-3</v>
      </c>
      <c r="Q2417">
        <f t="shared" si="148"/>
        <v>5.7667010309278348</v>
      </c>
      <c r="R2417">
        <f t="shared" si="149"/>
        <v>79.91</v>
      </c>
      <c r="S2417">
        <f t="shared" si="150"/>
        <v>1.2569140282818172</v>
      </c>
      <c r="T2417">
        <f t="shared" si="151"/>
        <v>7.2164948453608241E-2</v>
      </c>
      <c r="U2417" t="str">
        <f>YEAR('Campaign Data'!$A2417)&amp;"-"&amp;TEXT(MONTH('Campaign Data'!$A2417),"00")</f>
        <v>2026-05</v>
      </c>
    </row>
    <row r="2418" spans="1:21" x14ac:dyDescent="0.25">
      <c r="A2418">
        <v>46153</v>
      </c>
      <c r="B2418" t="s">
        <v>134</v>
      </c>
      <c r="C2418" t="s">
        <v>135</v>
      </c>
      <c r="D2418" t="s">
        <v>32</v>
      </c>
      <c r="E2418" t="s">
        <v>74</v>
      </c>
      <c r="F2418" t="s">
        <v>25</v>
      </c>
      <c r="G2418" t="s">
        <v>107</v>
      </c>
      <c r="H2418" t="s">
        <v>60</v>
      </c>
      <c r="I2418" t="s">
        <v>61</v>
      </c>
      <c r="J2418" t="s">
        <v>62</v>
      </c>
      <c r="K2418">
        <v>6177</v>
      </c>
      <c r="L2418">
        <v>180</v>
      </c>
      <c r="M2418">
        <v>319.55</v>
      </c>
      <c r="N2418">
        <v>14</v>
      </c>
      <c r="O2418">
        <v>1395.52</v>
      </c>
      <c r="P2418">
        <f t="shared" si="148"/>
        <v>2.9140359397765905E-2</v>
      </c>
      <c r="Q2418">
        <f t="shared" si="148"/>
        <v>1.7752777777777777</v>
      </c>
      <c r="R2418">
        <f t="shared" si="149"/>
        <v>22.824999999999999</v>
      </c>
      <c r="S2418">
        <f t="shared" si="150"/>
        <v>4.367141292442497</v>
      </c>
      <c r="T2418">
        <f t="shared" si="151"/>
        <v>7.7777777777777779E-2</v>
      </c>
      <c r="U2418" t="str">
        <f>YEAR('Campaign Data'!$A2418)&amp;"-"&amp;TEXT(MONTH('Campaign Data'!$A2418),"00")</f>
        <v>2026-05</v>
      </c>
    </row>
    <row r="2419" spans="1:21" x14ac:dyDescent="0.25">
      <c r="A2419">
        <v>46153</v>
      </c>
      <c r="B2419" t="s">
        <v>157</v>
      </c>
      <c r="C2419" t="s">
        <v>158</v>
      </c>
      <c r="D2419" t="s">
        <v>58</v>
      </c>
      <c r="E2419" t="s">
        <v>49</v>
      </c>
      <c r="F2419" t="s">
        <v>81</v>
      </c>
      <c r="G2419" t="s">
        <v>50</v>
      </c>
      <c r="H2419" t="s">
        <v>90</v>
      </c>
      <c r="I2419" t="s">
        <v>37</v>
      </c>
      <c r="J2419" t="s">
        <v>62</v>
      </c>
      <c r="K2419">
        <v>9815</v>
      </c>
      <c r="L2419">
        <v>826</v>
      </c>
      <c r="M2419">
        <v>272.08</v>
      </c>
      <c r="N2419">
        <v>81</v>
      </c>
      <c r="O2419">
        <v>405</v>
      </c>
      <c r="P2419">
        <f t="shared" si="148"/>
        <v>8.4156902699949063E-2</v>
      </c>
      <c r="Q2419">
        <f t="shared" si="148"/>
        <v>0.32939467312348664</v>
      </c>
      <c r="R2419">
        <f t="shared" si="149"/>
        <v>3.359012345679012</v>
      </c>
      <c r="S2419">
        <f t="shared" si="150"/>
        <v>1.4885327844751544</v>
      </c>
      <c r="T2419">
        <f t="shared" si="151"/>
        <v>9.8062953995157381E-2</v>
      </c>
      <c r="U2419" t="str">
        <f>YEAR('Campaign Data'!$A2419)&amp;"-"&amp;TEXT(MONTH('Campaign Data'!$A2419),"00")</f>
        <v>2026-05</v>
      </c>
    </row>
    <row r="2420" spans="1:21" x14ac:dyDescent="0.25">
      <c r="A2420">
        <v>46153</v>
      </c>
      <c r="B2420" t="s">
        <v>112</v>
      </c>
      <c r="C2420" t="s">
        <v>113</v>
      </c>
      <c r="D2420" t="s">
        <v>32</v>
      </c>
      <c r="E2420" t="s">
        <v>24</v>
      </c>
      <c r="F2420" t="s">
        <v>75</v>
      </c>
      <c r="G2420" t="s">
        <v>66</v>
      </c>
      <c r="H2420" t="s">
        <v>55</v>
      </c>
      <c r="I2420" t="s">
        <v>37</v>
      </c>
      <c r="J2420" t="s">
        <v>87</v>
      </c>
      <c r="K2420">
        <v>34731</v>
      </c>
      <c r="L2420">
        <v>506</v>
      </c>
      <c r="M2420">
        <v>513.61</v>
      </c>
      <c r="N2420">
        <v>16</v>
      </c>
      <c r="O2420">
        <v>144.36000000000001</v>
      </c>
      <c r="P2420">
        <f t="shared" si="148"/>
        <v>1.4569116927240793E-2</v>
      </c>
      <c r="Q2420">
        <f t="shared" si="148"/>
        <v>1.0150395256916995</v>
      </c>
      <c r="R2420">
        <f t="shared" si="149"/>
        <v>32.100625000000001</v>
      </c>
      <c r="S2420">
        <f t="shared" si="150"/>
        <v>0.28106929382216078</v>
      </c>
      <c r="T2420">
        <f t="shared" si="151"/>
        <v>3.1620553359683792E-2</v>
      </c>
      <c r="U2420" t="str">
        <f>YEAR('Campaign Data'!$A2420)&amp;"-"&amp;TEXT(MONTH('Campaign Data'!$A2420),"00")</f>
        <v>2026-05</v>
      </c>
    </row>
    <row r="2421" spans="1:21" x14ac:dyDescent="0.25">
      <c r="A2421">
        <v>46153</v>
      </c>
      <c r="B2421" t="s">
        <v>141</v>
      </c>
      <c r="C2421" t="s">
        <v>142</v>
      </c>
      <c r="D2421" t="s">
        <v>80</v>
      </c>
      <c r="E2421" t="s">
        <v>49</v>
      </c>
      <c r="F2421" t="s">
        <v>81</v>
      </c>
      <c r="G2421" t="s">
        <v>97</v>
      </c>
      <c r="H2421" t="s">
        <v>27</v>
      </c>
      <c r="I2421" t="s">
        <v>37</v>
      </c>
      <c r="J2421" t="s">
        <v>38</v>
      </c>
      <c r="K2421">
        <v>5378</v>
      </c>
      <c r="L2421">
        <v>348</v>
      </c>
      <c r="M2421">
        <v>762.76</v>
      </c>
      <c r="N2421">
        <v>16</v>
      </c>
      <c r="O2421">
        <v>371.74</v>
      </c>
      <c r="P2421">
        <f t="shared" si="148"/>
        <v>6.4708069914466343E-2</v>
      </c>
      <c r="Q2421">
        <f t="shared" si="148"/>
        <v>2.1918390804597703</v>
      </c>
      <c r="R2421">
        <f t="shared" si="149"/>
        <v>47.672499999999999</v>
      </c>
      <c r="S2421">
        <f t="shared" si="150"/>
        <v>0.48736168650689604</v>
      </c>
      <c r="T2421">
        <f t="shared" si="151"/>
        <v>4.5977011494252873E-2</v>
      </c>
      <c r="U2421" t="str">
        <f>YEAR('Campaign Data'!$A2421)&amp;"-"&amp;TEXT(MONTH('Campaign Data'!$A2421),"00")</f>
        <v>2026-05</v>
      </c>
    </row>
    <row r="2422" spans="1:21" x14ac:dyDescent="0.25">
      <c r="A2422">
        <v>46153</v>
      </c>
      <c r="B2422" t="s">
        <v>63</v>
      </c>
      <c r="C2422" t="s">
        <v>64</v>
      </c>
      <c r="D2422" t="s">
        <v>65</v>
      </c>
      <c r="E2422" t="s">
        <v>24</v>
      </c>
      <c r="F2422" t="s">
        <v>43</v>
      </c>
      <c r="G2422" t="s">
        <v>66</v>
      </c>
      <c r="H2422" t="s">
        <v>60</v>
      </c>
      <c r="I2422" t="s">
        <v>37</v>
      </c>
      <c r="J2422" t="s">
        <v>45</v>
      </c>
      <c r="K2422">
        <v>12207</v>
      </c>
      <c r="L2422">
        <v>161</v>
      </c>
      <c r="M2422">
        <v>191.72</v>
      </c>
      <c r="N2422">
        <v>5</v>
      </c>
      <c r="O2422">
        <v>120.09</v>
      </c>
      <c r="P2422">
        <f t="shared" si="148"/>
        <v>1.3189153764233637E-2</v>
      </c>
      <c r="Q2422">
        <f t="shared" si="148"/>
        <v>1.190807453416149</v>
      </c>
      <c r="R2422">
        <f t="shared" si="149"/>
        <v>38.344000000000001</v>
      </c>
      <c r="S2422">
        <f t="shared" si="150"/>
        <v>0.62638222407677868</v>
      </c>
      <c r="T2422">
        <f t="shared" si="151"/>
        <v>3.1055900621118012E-2</v>
      </c>
      <c r="U2422" t="str">
        <f>YEAR('Campaign Data'!$A2422)&amp;"-"&amp;TEXT(MONTH('Campaign Data'!$A2422),"00")</f>
        <v>2026-05</v>
      </c>
    </row>
    <row r="2423" spans="1:21" x14ac:dyDescent="0.25">
      <c r="A2423">
        <v>46153</v>
      </c>
      <c r="B2423" t="s">
        <v>116</v>
      </c>
      <c r="C2423" t="s">
        <v>117</v>
      </c>
      <c r="D2423" t="s">
        <v>48</v>
      </c>
      <c r="E2423" t="s">
        <v>24</v>
      </c>
      <c r="F2423" t="s">
        <v>43</v>
      </c>
      <c r="G2423" t="s">
        <v>26</v>
      </c>
      <c r="H2423" t="s">
        <v>90</v>
      </c>
      <c r="I2423" t="s">
        <v>61</v>
      </c>
      <c r="J2423" t="s">
        <v>29</v>
      </c>
      <c r="K2423">
        <v>7244</v>
      </c>
      <c r="L2423">
        <v>102</v>
      </c>
      <c r="M2423">
        <v>35.86</v>
      </c>
      <c r="N2423">
        <v>4</v>
      </c>
      <c r="O2423">
        <v>22.56</v>
      </c>
      <c r="P2423">
        <f t="shared" si="148"/>
        <v>1.4080618442849255E-2</v>
      </c>
      <c r="Q2423">
        <f t="shared" si="148"/>
        <v>0.35156862745098039</v>
      </c>
      <c r="R2423">
        <f t="shared" si="149"/>
        <v>8.9649999999999999</v>
      </c>
      <c r="S2423">
        <f t="shared" si="150"/>
        <v>0.62911321807027321</v>
      </c>
      <c r="T2423">
        <f t="shared" si="151"/>
        <v>3.9215686274509803E-2</v>
      </c>
      <c r="U2423" t="str">
        <f>YEAR('Campaign Data'!$A2423)&amp;"-"&amp;TEXT(MONTH('Campaign Data'!$A2423),"00")</f>
        <v>2026-05</v>
      </c>
    </row>
    <row r="2424" spans="1:21" x14ac:dyDescent="0.25">
      <c r="A2424">
        <v>46153</v>
      </c>
      <c r="B2424" t="s">
        <v>163</v>
      </c>
      <c r="C2424" t="s">
        <v>164</v>
      </c>
      <c r="D2424" t="s">
        <v>58</v>
      </c>
      <c r="E2424" t="s">
        <v>42</v>
      </c>
      <c r="F2424" t="s">
        <v>43</v>
      </c>
      <c r="G2424" t="s">
        <v>44</v>
      </c>
      <c r="H2424" t="s">
        <v>90</v>
      </c>
      <c r="I2424" t="s">
        <v>28</v>
      </c>
      <c r="J2424" t="s">
        <v>87</v>
      </c>
      <c r="K2424">
        <v>11023</v>
      </c>
      <c r="L2424">
        <v>65</v>
      </c>
      <c r="M2424">
        <v>87.2</v>
      </c>
      <c r="N2424">
        <v>1</v>
      </c>
      <c r="O2424">
        <v>7.11</v>
      </c>
      <c r="P2424">
        <f t="shared" si="148"/>
        <v>5.8967613172457587E-3</v>
      </c>
      <c r="Q2424">
        <f t="shared" si="148"/>
        <v>1.3415384615384616</v>
      </c>
      <c r="R2424">
        <f t="shared" si="149"/>
        <v>87.2</v>
      </c>
      <c r="S2424">
        <f t="shared" si="150"/>
        <v>8.1536697247706416E-2</v>
      </c>
      <c r="T2424">
        <f t="shared" si="151"/>
        <v>1.5384615384615385E-2</v>
      </c>
      <c r="U2424" t="str">
        <f>YEAR('Campaign Data'!$A2424)&amp;"-"&amp;TEXT(MONTH('Campaign Data'!$A2424),"00")</f>
        <v>2026-05</v>
      </c>
    </row>
    <row r="2425" spans="1:21" x14ac:dyDescent="0.25">
      <c r="A2425">
        <v>46154</v>
      </c>
      <c r="B2425" t="s">
        <v>85</v>
      </c>
      <c r="C2425" t="s">
        <v>86</v>
      </c>
      <c r="D2425" t="s">
        <v>80</v>
      </c>
      <c r="E2425" t="s">
        <v>33</v>
      </c>
      <c r="F2425" t="s">
        <v>43</v>
      </c>
      <c r="G2425" t="s">
        <v>35</v>
      </c>
      <c r="H2425" t="s">
        <v>90</v>
      </c>
      <c r="I2425" t="s">
        <v>37</v>
      </c>
      <c r="J2425" t="s">
        <v>38</v>
      </c>
      <c r="K2425">
        <v>12847</v>
      </c>
      <c r="L2425">
        <v>135</v>
      </c>
      <c r="M2425">
        <v>18.95</v>
      </c>
      <c r="N2425">
        <v>2</v>
      </c>
      <c r="O2425">
        <v>10</v>
      </c>
      <c r="P2425">
        <f t="shared" si="148"/>
        <v>1.0508289873122129E-2</v>
      </c>
      <c r="Q2425">
        <f t="shared" si="148"/>
        <v>0.14037037037037037</v>
      </c>
      <c r="R2425">
        <f t="shared" si="149"/>
        <v>9.4749999999999996</v>
      </c>
      <c r="S2425">
        <f t="shared" si="150"/>
        <v>0.52770448548812665</v>
      </c>
      <c r="T2425">
        <f t="shared" si="151"/>
        <v>1.4814814814814815E-2</v>
      </c>
      <c r="U2425" t="str">
        <f>YEAR('Campaign Data'!$A2425)&amp;"-"&amp;TEXT(MONTH('Campaign Data'!$A2425),"00")</f>
        <v>2026-05</v>
      </c>
    </row>
    <row r="2426" spans="1:21" x14ac:dyDescent="0.25">
      <c r="A2426">
        <v>46154</v>
      </c>
      <c r="B2426" t="s">
        <v>88</v>
      </c>
      <c r="C2426" t="s">
        <v>89</v>
      </c>
      <c r="D2426" t="s">
        <v>23</v>
      </c>
      <c r="E2426" t="s">
        <v>49</v>
      </c>
      <c r="F2426" t="s">
        <v>81</v>
      </c>
      <c r="G2426" t="s">
        <v>50</v>
      </c>
      <c r="H2426" t="s">
        <v>27</v>
      </c>
      <c r="I2426" t="s">
        <v>37</v>
      </c>
      <c r="J2426" t="s">
        <v>29</v>
      </c>
      <c r="K2426">
        <v>18100</v>
      </c>
      <c r="L2426">
        <v>760</v>
      </c>
      <c r="M2426">
        <v>1334.35</v>
      </c>
      <c r="N2426">
        <v>27</v>
      </c>
      <c r="O2426">
        <v>651.29999999999995</v>
      </c>
      <c r="P2426">
        <f t="shared" si="148"/>
        <v>4.1988950276243095E-2</v>
      </c>
      <c r="Q2426">
        <f t="shared" si="148"/>
        <v>1.7557236842105262</v>
      </c>
      <c r="R2426">
        <f t="shared" si="149"/>
        <v>49.420370370370364</v>
      </c>
      <c r="S2426">
        <f t="shared" si="150"/>
        <v>0.48810282159853113</v>
      </c>
      <c r="T2426">
        <f t="shared" si="151"/>
        <v>3.5526315789473684E-2</v>
      </c>
      <c r="U2426" t="str">
        <f>YEAR('Campaign Data'!$A2426)&amp;"-"&amp;TEXT(MONTH('Campaign Data'!$A2426),"00")</f>
        <v>2026-05</v>
      </c>
    </row>
    <row r="2427" spans="1:21" x14ac:dyDescent="0.25">
      <c r="A2427">
        <v>46154</v>
      </c>
      <c r="B2427" t="s">
        <v>147</v>
      </c>
      <c r="C2427" t="s">
        <v>148</v>
      </c>
      <c r="D2427" t="s">
        <v>23</v>
      </c>
      <c r="E2427" t="s">
        <v>42</v>
      </c>
      <c r="F2427" t="s">
        <v>75</v>
      </c>
      <c r="G2427" t="s">
        <v>44</v>
      </c>
      <c r="H2427" t="s">
        <v>71</v>
      </c>
      <c r="I2427" t="s">
        <v>61</v>
      </c>
      <c r="J2427" t="s">
        <v>62</v>
      </c>
      <c r="K2427">
        <v>11342</v>
      </c>
      <c r="L2427">
        <v>99</v>
      </c>
      <c r="M2427">
        <v>595.75</v>
      </c>
      <c r="N2427">
        <v>3</v>
      </c>
      <c r="O2427">
        <v>141.5</v>
      </c>
      <c r="P2427">
        <f t="shared" si="148"/>
        <v>8.7286192911303125E-3</v>
      </c>
      <c r="Q2427">
        <f t="shared" si="148"/>
        <v>6.0176767676767673</v>
      </c>
      <c r="R2427">
        <f t="shared" si="149"/>
        <v>198.58333333333334</v>
      </c>
      <c r="S2427">
        <f t="shared" si="150"/>
        <v>0.23751573646663868</v>
      </c>
      <c r="T2427">
        <f t="shared" si="151"/>
        <v>3.0303030303030304E-2</v>
      </c>
      <c r="U2427" t="str">
        <f>YEAR('Campaign Data'!$A2427)&amp;"-"&amp;TEXT(MONTH('Campaign Data'!$A2427),"00")</f>
        <v>2026-05</v>
      </c>
    </row>
    <row r="2428" spans="1:21" x14ac:dyDescent="0.25">
      <c r="A2428">
        <v>46154</v>
      </c>
      <c r="B2428" t="s">
        <v>149</v>
      </c>
      <c r="C2428" t="s">
        <v>150</v>
      </c>
      <c r="D2428" t="s">
        <v>65</v>
      </c>
      <c r="E2428" t="s">
        <v>33</v>
      </c>
      <c r="F2428" t="s">
        <v>43</v>
      </c>
      <c r="G2428" t="s">
        <v>59</v>
      </c>
      <c r="H2428" t="s">
        <v>71</v>
      </c>
      <c r="I2428" t="s">
        <v>28</v>
      </c>
      <c r="J2428" t="s">
        <v>87</v>
      </c>
      <c r="K2428">
        <v>18371</v>
      </c>
      <c r="L2428">
        <v>189</v>
      </c>
      <c r="M2428">
        <v>86.02</v>
      </c>
      <c r="N2428">
        <v>4</v>
      </c>
      <c r="O2428">
        <v>50.34</v>
      </c>
      <c r="P2428">
        <f t="shared" si="148"/>
        <v>1.0287953840291764E-2</v>
      </c>
      <c r="Q2428">
        <f t="shared" si="148"/>
        <v>0.45513227513227511</v>
      </c>
      <c r="R2428">
        <f t="shared" si="149"/>
        <v>21.504999999999999</v>
      </c>
      <c r="S2428">
        <f t="shared" si="150"/>
        <v>0.58521274122297151</v>
      </c>
      <c r="T2428">
        <f t="shared" si="151"/>
        <v>2.1164021164021163E-2</v>
      </c>
      <c r="U2428" t="str">
        <f>YEAR('Campaign Data'!$A2428)&amp;"-"&amp;TEXT(MONTH('Campaign Data'!$A2428),"00")</f>
        <v>2026-05</v>
      </c>
    </row>
    <row r="2429" spans="1:21" x14ac:dyDescent="0.25">
      <c r="A2429">
        <v>46154</v>
      </c>
      <c r="B2429" t="s">
        <v>186</v>
      </c>
      <c r="C2429" t="s">
        <v>187</v>
      </c>
      <c r="D2429" t="s">
        <v>80</v>
      </c>
      <c r="E2429" t="s">
        <v>33</v>
      </c>
      <c r="F2429" t="s">
        <v>43</v>
      </c>
      <c r="G2429" t="s">
        <v>102</v>
      </c>
      <c r="H2429" t="s">
        <v>27</v>
      </c>
      <c r="I2429" t="s">
        <v>37</v>
      </c>
      <c r="J2429" t="s">
        <v>62</v>
      </c>
      <c r="K2429">
        <v>5635</v>
      </c>
      <c r="L2429">
        <v>84</v>
      </c>
      <c r="M2429">
        <v>49.15</v>
      </c>
      <c r="N2429">
        <v>4</v>
      </c>
      <c r="O2429">
        <v>139.59</v>
      </c>
      <c r="P2429">
        <f t="shared" si="148"/>
        <v>1.4906832298136646E-2</v>
      </c>
      <c r="Q2429">
        <f t="shared" si="148"/>
        <v>0.58511904761904765</v>
      </c>
      <c r="R2429">
        <f t="shared" si="149"/>
        <v>12.2875</v>
      </c>
      <c r="S2429">
        <f t="shared" si="150"/>
        <v>2.8400813835198373</v>
      </c>
      <c r="T2429">
        <f t="shared" si="151"/>
        <v>4.7619047619047616E-2</v>
      </c>
      <c r="U2429" t="str">
        <f>YEAR('Campaign Data'!$A2429)&amp;"-"&amp;TEXT(MONTH('Campaign Data'!$A2429),"00")</f>
        <v>2026-05</v>
      </c>
    </row>
    <row r="2430" spans="1:21" x14ac:dyDescent="0.25">
      <c r="A2430">
        <v>46154</v>
      </c>
      <c r="B2430" t="s">
        <v>93</v>
      </c>
      <c r="C2430" t="s">
        <v>94</v>
      </c>
      <c r="D2430" t="s">
        <v>69</v>
      </c>
      <c r="E2430" t="s">
        <v>42</v>
      </c>
      <c r="F2430" t="s">
        <v>75</v>
      </c>
      <c r="G2430" t="s">
        <v>44</v>
      </c>
      <c r="H2430" t="s">
        <v>71</v>
      </c>
      <c r="I2430" t="s">
        <v>37</v>
      </c>
      <c r="J2430" t="s">
        <v>45</v>
      </c>
      <c r="K2430">
        <v>24445</v>
      </c>
      <c r="L2430">
        <v>185</v>
      </c>
      <c r="M2430">
        <v>832.79</v>
      </c>
      <c r="N2430">
        <v>4</v>
      </c>
      <c r="O2430">
        <v>110.52</v>
      </c>
      <c r="P2430">
        <f t="shared" si="148"/>
        <v>7.5680098179586831E-3</v>
      </c>
      <c r="Q2430">
        <f t="shared" si="148"/>
        <v>4.5015675675675677</v>
      </c>
      <c r="R2430">
        <f t="shared" si="149"/>
        <v>208.19749999999999</v>
      </c>
      <c r="S2430">
        <f t="shared" si="150"/>
        <v>0.132710527263776</v>
      </c>
      <c r="T2430">
        <f t="shared" si="151"/>
        <v>2.1621621621621623E-2</v>
      </c>
      <c r="U2430" t="str">
        <f>YEAR('Campaign Data'!$A2430)&amp;"-"&amp;TEXT(MONTH('Campaign Data'!$A2430),"00")</f>
        <v>2026-05</v>
      </c>
    </row>
    <row r="2431" spans="1:21" x14ac:dyDescent="0.25">
      <c r="A2431">
        <v>46154</v>
      </c>
      <c r="B2431" t="s">
        <v>95</v>
      </c>
      <c r="C2431" t="s">
        <v>96</v>
      </c>
      <c r="D2431" t="s">
        <v>23</v>
      </c>
      <c r="E2431" t="s">
        <v>49</v>
      </c>
      <c r="F2431" t="s">
        <v>43</v>
      </c>
      <c r="G2431" t="s">
        <v>97</v>
      </c>
      <c r="H2431" t="s">
        <v>36</v>
      </c>
      <c r="I2431" t="s">
        <v>28</v>
      </c>
      <c r="J2431" t="s">
        <v>29</v>
      </c>
      <c r="K2431">
        <v>9483</v>
      </c>
      <c r="L2431">
        <v>467</v>
      </c>
      <c r="M2431">
        <v>951.59</v>
      </c>
      <c r="N2431">
        <v>20</v>
      </c>
      <c r="O2431">
        <v>431.92</v>
      </c>
      <c r="P2431">
        <f t="shared" si="148"/>
        <v>4.9246019192238741E-2</v>
      </c>
      <c r="Q2431">
        <f t="shared" si="148"/>
        <v>2.0376659528907926</v>
      </c>
      <c r="R2431">
        <f t="shared" si="149"/>
        <v>47.579500000000003</v>
      </c>
      <c r="S2431">
        <f t="shared" si="150"/>
        <v>0.45389295810170349</v>
      </c>
      <c r="T2431">
        <f t="shared" si="151"/>
        <v>4.2826552462526764E-2</v>
      </c>
      <c r="U2431" t="str">
        <f>YEAR('Campaign Data'!$A2431)&amp;"-"&amp;TEXT(MONTH('Campaign Data'!$A2431),"00")</f>
        <v>2026-05</v>
      </c>
    </row>
    <row r="2432" spans="1:21" x14ac:dyDescent="0.25">
      <c r="A2432">
        <v>46154</v>
      </c>
      <c r="B2432" t="s">
        <v>151</v>
      </c>
      <c r="C2432" t="s">
        <v>152</v>
      </c>
      <c r="D2432" t="s">
        <v>48</v>
      </c>
      <c r="E2432" t="s">
        <v>24</v>
      </c>
      <c r="F2432" t="s">
        <v>81</v>
      </c>
      <c r="G2432" t="s">
        <v>129</v>
      </c>
      <c r="H2432" t="s">
        <v>27</v>
      </c>
      <c r="I2432" t="s">
        <v>28</v>
      </c>
      <c r="J2432" t="s">
        <v>29</v>
      </c>
      <c r="K2432">
        <v>22392</v>
      </c>
      <c r="L2432">
        <v>358</v>
      </c>
      <c r="M2432">
        <v>509.25</v>
      </c>
      <c r="N2432">
        <v>7</v>
      </c>
      <c r="O2432">
        <v>217.6</v>
      </c>
      <c r="P2432">
        <f t="shared" si="148"/>
        <v>1.5987852804573061E-2</v>
      </c>
      <c r="Q2432">
        <f t="shared" si="148"/>
        <v>1.4224860335195531</v>
      </c>
      <c r="R2432">
        <f t="shared" si="149"/>
        <v>72.75</v>
      </c>
      <c r="S2432">
        <f t="shared" si="150"/>
        <v>0.4272950417280314</v>
      </c>
      <c r="T2432">
        <f t="shared" si="151"/>
        <v>1.9553072625698324E-2</v>
      </c>
      <c r="U2432" t="str">
        <f>YEAR('Campaign Data'!$A2432)&amp;"-"&amp;TEXT(MONTH('Campaign Data'!$A2432),"00")</f>
        <v>2026-05</v>
      </c>
    </row>
    <row r="2433" spans="1:21" x14ac:dyDescent="0.25">
      <c r="A2433">
        <v>46154</v>
      </c>
      <c r="B2433" t="s">
        <v>98</v>
      </c>
      <c r="C2433" t="s">
        <v>99</v>
      </c>
      <c r="D2433" t="s">
        <v>69</v>
      </c>
      <c r="E2433" t="s">
        <v>24</v>
      </c>
      <c r="F2433" t="s">
        <v>75</v>
      </c>
      <c r="G2433" t="s">
        <v>66</v>
      </c>
      <c r="H2433" t="s">
        <v>60</v>
      </c>
      <c r="I2433" t="s">
        <v>37</v>
      </c>
      <c r="J2433" t="s">
        <v>62</v>
      </c>
      <c r="K2433">
        <v>5104</v>
      </c>
      <c r="L2433">
        <v>95</v>
      </c>
      <c r="M2433">
        <v>73.47</v>
      </c>
      <c r="N2433">
        <v>6</v>
      </c>
      <c r="O2433">
        <v>337.04</v>
      </c>
      <c r="P2433">
        <f t="shared" si="148"/>
        <v>1.8612852664576802E-2</v>
      </c>
      <c r="Q2433">
        <f t="shared" si="148"/>
        <v>0.77336842105263159</v>
      </c>
      <c r="R2433">
        <f t="shared" si="149"/>
        <v>12.244999999999999</v>
      </c>
      <c r="S2433">
        <f t="shared" si="150"/>
        <v>4.5874506601333884</v>
      </c>
      <c r="T2433">
        <f t="shared" si="151"/>
        <v>6.3157894736842107E-2</v>
      </c>
      <c r="U2433" t="str">
        <f>YEAR('Campaign Data'!$A2433)&amp;"-"&amp;TEXT(MONTH('Campaign Data'!$A2433),"00")</f>
        <v>2026-05</v>
      </c>
    </row>
    <row r="2434" spans="1:21" x14ac:dyDescent="0.25">
      <c r="A2434">
        <v>46154</v>
      </c>
      <c r="B2434" t="s">
        <v>127</v>
      </c>
      <c r="C2434" t="s">
        <v>128</v>
      </c>
      <c r="D2434" t="s">
        <v>58</v>
      </c>
      <c r="E2434" t="s">
        <v>24</v>
      </c>
      <c r="F2434" t="s">
        <v>81</v>
      </c>
      <c r="G2434" t="s">
        <v>129</v>
      </c>
      <c r="H2434" t="s">
        <v>90</v>
      </c>
      <c r="I2434" t="s">
        <v>37</v>
      </c>
      <c r="J2434" t="s">
        <v>38</v>
      </c>
      <c r="K2434">
        <v>12867</v>
      </c>
      <c r="L2434">
        <v>139</v>
      </c>
      <c r="M2434">
        <v>43.67</v>
      </c>
      <c r="N2434">
        <v>4</v>
      </c>
      <c r="O2434">
        <v>26.65</v>
      </c>
      <c r="P2434">
        <f t="shared" ref="P2434:Q2497" si="152">IF(K2434=0,0,L2434/K2434)</f>
        <v>1.0802828942255382E-2</v>
      </c>
      <c r="Q2434">
        <f t="shared" si="152"/>
        <v>0.31417266187050363</v>
      </c>
      <c r="R2434">
        <f t="shared" ref="R2434:R2497" si="153">IF(N2434=0,0,M2434/N2434)</f>
        <v>10.9175</v>
      </c>
      <c r="S2434">
        <f t="shared" ref="S2434:S2497" si="154">IF(M2434=0,0,O2434/M2434)</f>
        <v>0.61025875887336833</v>
      </c>
      <c r="T2434">
        <f t="shared" ref="T2434:T2497" si="155">IF(L2434=0,0,N2434/L2434)</f>
        <v>2.8776978417266189E-2</v>
      </c>
      <c r="U2434" t="str">
        <f>YEAR('Campaign Data'!$A2434)&amp;"-"&amp;TEXT(MONTH('Campaign Data'!$A2434),"00")</f>
        <v>2026-05</v>
      </c>
    </row>
    <row r="2435" spans="1:21" x14ac:dyDescent="0.25">
      <c r="A2435">
        <v>46154</v>
      </c>
      <c r="B2435" t="s">
        <v>108</v>
      </c>
      <c r="C2435" t="s">
        <v>109</v>
      </c>
      <c r="D2435" t="s">
        <v>58</v>
      </c>
      <c r="E2435" t="s">
        <v>33</v>
      </c>
      <c r="F2435" t="s">
        <v>43</v>
      </c>
      <c r="G2435" t="s">
        <v>59</v>
      </c>
      <c r="H2435" t="s">
        <v>90</v>
      </c>
      <c r="I2435" t="s">
        <v>37</v>
      </c>
      <c r="J2435" t="s">
        <v>87</v>
      </c>
      <c r="K2435">
        <v>9382</v>
      </c>
      <c r="L2435">
        <v>67</v>
      </c>
      <c r="M2435">
        <v>12.42</v>
      </c>
      <c r="N2435">
        <v>3</v>
      </c>
      <c r="O2435">
        <v>22.44</v>
      </c>
      <c r="P2435">
        <f t="shared" si="152"/>
        <v>7.1413344702622042E-3</v>
      </c>
      <c r="Q2435">
        <f t="shared" si="152"/>
        <v>0.1853731343283582</v>
      </c>
      <c r="R2435">
        <f t="shared" si="153"/>
        <v>4.1399999999999997</v>
      </c>
      <c r="S2435">
        <f t="shared" si="154"/>
        <v>1.8067632850241546</v>
      </c>
      <c r="T2435">
        <f t="shared" si="155"/>
        <v>4.4776119402985072E-2</v>
      </c>
      <c r="U2435" t="str">
        <f>YEAR('Campaign Data'!$A2435)&amp;"-"&amp;TEXT(MONTH('Campaign Data'!$A2435),"00")</f>
        <v>2026-05</v>
      </c>
    </row>
    <row r="2436" spans="1:21" x14ac:dyDescent="0.25">
      <c r="A2436">
        <v>46154</v>
      </c>
      <c r="B2436" t="s">
        <v>153</v>
      </c>
      <c r="C2436" t="s">
        <v>154</v>
      </c>
      <c r="D2436" t="s">
        <v>48</v>
      </c>
      <c r="E2436" t="s">
        <v>33</v>
      </c>
      <c r="F2436" t="s">
        <v>43</v>
      </c>
      <c r="G2436" t="s">
        <v>59</v>
      </c>
      <c r="H2436" t="s">
        <v>55</v>
      </c>
      <c r="I2436" t="s">
        <v>28</v>
      </c>
      <c r="J2436" t="s">
        <v>45</v>
      </c>
      <c r="K2436">
        <v>16449</v>
      </c>
      <c r="L2436">
        <v>161</v>
      </c>
      <c r="M2436">
        <v>104.24</v>
      </c>
      <c r="N2436">
        <v>1</v>
      </c>
      <c r="O2436">
        <v>21.05</v>
      </c>
      <c r="P2436">
        <f t="shared" si="152"/>
        <v>9.7878290473585022E-3</v>
      </c>
      <c r="Q2436">
        <f t="shared" si="152"/>
        <v>0.64745341614906826</v>
      </c>
      <c r="R2436">
        <f t="shared" si="153"/>
        <v>104.24</v>
      </c>
      <c r="S2436">
        <f t="shared" si="154"/>
        <v>0.20193783576362243</v>
      </c>
      <c r="T2436">
        <f t="shared" si="155"/>
        <v>6.2111801242236021E-3</v>
      </c>
      <c r="U2436" t="str">
        <f>YEAR('Campaign Data'!$A2436)&amp;"-"&amp;TEXT(MONTH('Campaign Data'!$A2436),"00")</f>
        <v>2026-05</v>
      </c>
    </row>
    <row r="2437" spans="1:21" x14ac:dyDescent="0.25">
      <c r="A2437">
        <v>46154</v>
      </c>
      <c r="B2437" t="s">
        <v>153</v>
      </c>
      <c r="C2437" t="s">
        <v>154</v>
      </c>
      <c r="D2437" t="s">
        <v>48</v>
      </c>
      <c r="E2437" t="s">
        <v>33</v>
      </c>
      <c r="F2437" t="s">
        <v>43</v>
      </c>
      <c r="G2437" t="s">
        <v>59</v>
      </c>
      <c r="H2437" t="s">
        <v>51</v>
      </c>
      <c r="I2437" t="s">
        <v>28</v>
      </c>
      <c r="J2437" t="s">
        <v>38</v>
      </c>
      <c r="K2437">
        <v>31405</v>
      </c>
      <c r="L2437">
        <v>171</v>
      </c>
      <c r="M2437">
        <v>89.24</v>
      </c>
      <c r="N2437">
        <v>1</v>
      </c>
      <c r="O2437">
        <v>25.55</v>
      </c>
      <c r="P2437">
        <f t="shared" si="152"/>
        <v>5.4449928355357431E-3</v>
      </c>
      <c r="Q2437">
        <f t="shared" si="152"/>
        <v>0.52187134502923971</v>
      </c>
      <c r="R2437">
        <f t="shared" si="153"/>
        <v>89.24</v>
      </c>
      <c r="S2437">
        <f t="shared" si="154"/>
        <v>0.28630658897355449</v>
      </c>
      <c r="T2437">
        <f t="shared" si="155"/>
        <v>5.8479532163742687E-3</v>
      </c>
      <c r="U2437" t="str">
        <f>YEAR('Campaign Data'!$A2437)&amp;"-"&amp;TEXT(MONTH('Campaign Data'!$A2437),"00")</f>
        <v>2026-05</v>
      </c>
    </row>
    <row r="2438" spans="1:21" x14ac:dyDescent="0.25">
      <c r="A2438">
        <v>46154</v>
      </c>
      <c r="B2438" t="s">
        <v>171</v>
      </c>
      <c r="C2438" t="s">
        <v>172</v>
      </c>
      <c r="D2438" t="s">
        <v>23</v>
      </c>
      <c r="E2438" t="s">
        <v>33</v>
      </c>
      <c r="F2438" t="s">
        <v>75</v>
      </c>
      <c r="G2438" t="s">
        <v>59</v>
      </c>
      <c r="H2438" t="s">
        <v>36</v>
      </c>
      <c r="I2438" t="s">
        <v>37</v>
      </c>
      <c r="J2438" t="s">
        <v>38</v>
      </c>
      <c r="K2438">
        <v>2740</v>
      </c>
      <c r="L2438">
        <v>29</v>
      </c>
      <c r="M2438">
        <v>26.13</v>
      </c>
      <c r="N2438">
        <v>0</v>
      </c>
      <c r="O2438">
        <v>0</v>
      </c>
      <c r="P2438">
        <f t="shared" si="152"/>
        <v>1.0583941605839416E-2</v>
      </c>
      <c r="Q2438">
        <f t="shared" si="152"/>
        <v>0.90103448275862064</v>
      </c>
      <c r="R2438">
        <f t="shared" si="153"/>
        <v>0</v>
      </c>
      <c r="S2438">
        <f t="shared" si="154"/>
        <v>0</v>
      </c>
      <c r="T2438">
        <f t="shared" si="155"/>
        <v>0</v>
      </c>
      <c r="U2438" t="str">
        <f>YEAR('Campaign Data'!$A2438)&amp;"-"&amp;TEXT(MONTH('Campaign Data'!$A2438),"00")</f>
        <v>2026-05</v>
      </c>
    </row>
    <row r="2439" spans="1:21" x14ac:dyDescent="0.25">
      <c r="A2439">
        <v>46154</v>
      </c>
      <c r="B2439" t="s">
        <v>112</v>
      </c>
      <c r="C2439" t="s">
        <v>113</v>
      </c>
      <c r="D2439" t="s">
        <v>32</v>
      </c>
      <c r="E2439" t="s">
        <v>24</v>
      </c>
      <c r="F2439" t="s">
        <v>75</v>
      </c>
      <c r="G2439" t="s">
        <v>66</v>
      </c>
      <c r="H2439" t="s">
        <v>36</v>
      </c>
      <c r="I2439" t="s">
        <v>61</v>
      </c>
      <c r="J2439" t="s">
        <v>38</v>
      </c>
      <c r="K2439">
        <v>10753</v>
      </c>
      <c r="L2439">
        <v>119</v>
      </c>
      <c r="M2439">
        <v>101.46</v>
      </c>
      <c r="N2439">
        <v>4</v>
      </c>
      <c r="O2439">
        <v>181.94</v>
      </c>
      <c r="P2439">
        <f t="shared" si="152"/>
        <v>1.1066679066307077E-2</v>
      </c>
      <c r="Q2439">
        <f t="shared" si="152"/>
        <v>0.85260504201680665</v>
      </c>
      <c r="R2439">
        <f t="shared" si="153"/>
        <v>25.364999999999998</v>
      </c>
      <c r="S2439">
        <f t="shared" si="154"/>
        <v>1.7932190025625863</v>
      </c>
      <c r="T2439">
        <f t="shared" si="155"/>
        <v>3.3613445378151259E-2</v>
      </c>
      <c r="U2439" t="str">
        <f>YEAR('Campaign Data'!$A2439)&amp;"-"&amp;TEXT(MONTH('Campaign Data'!$A2439),"00")</f>
        <v>2026-05</v>
      </c>
    </row>
    <row r="2440" spans="1:21" x14ac:dyDescent="0.25">
      <c r="A2440">
        <v>46154</v>
      </c>
      <c r="B2440" t="s">
        <v>112</v>
      </c>
      <c r="C2440" t="s">
        <v>113</v>
      </c>
      <c r="D2440" t="s">
        <v>32</v>
      </c>
      <c r="E2440" t="s">
        <v>24</v>
      </c>
      <c r="F2440" t="s">
        <v>75</v>
      </c>
      <c r="G2440" t="s">
        <v>66</v>
      </c>
      <c r="H2440" t="s">
        <v>27</v>
      </c>
      <c r="I2440" t="s">
        <v>28</v>
      </c>
      <c r="J2440" t="s">
        <v>87</v>
      </c>
      <c r="K2440">
        <v>6359</v>
      </c>
      <c r="L2440">
        <v>127</v>
      </c>
      <c r="M2440">
        <v>153.19999999999999</v>
      </c>
      <c r="N2440">
        <v>3</v>
      </c>
      <c r="O2440">
        <v>169.93</v>
      </c>
      <c r="P2440">
        <f t="shared" si="152"/>
        <v>1.9971693662525554E-2</v>
      </c>
      <c r="Q2440">
        <f t="shared" si="152"/>
        <v>1.2062992125984251</v>
      </c>
      <c r="R2440">
        <f t="shared" si="153"/>
        <v>51.066666666666663</v>
      </c>
      <c r="S2440">
        <f t="shared" si="154"/>
        <v>1.1092036553524804</v>
      </c>
      <c r="T2440">
        <f t="shared" si="155"/>
        <v>2.3622047244094488E-2</v>
      </c>
      <c r="U2440" t="str">
        <f>YEAR('Campaign Data'!$A2440)&amp;"-"&amp;TEXT(MONTH('Campaign Data'!$A2440),"00")</f>
        <v>2026-05</v>
      </c>
    </row>
    <row r="2441" spans="1:21" x14ac:dyDescent="0.25">
      <c r="A2441">
        <v>46154</v>
      </c>
      <c r="B2441" t="s">
        <v>159</v>
      </c>
      <c r="C2441" t="s">
        <v>160</v>
      </c>
      <c r="D2441" t="s">
        <v>65</v>
      </c>
      <c r="E2441" t="s">
        <v>42</v>
      </c>
      <c r="F2441" t="s">
        <v>75</v>
      </c>
      <c r="G2441" t="s">
        <v>54</v>
      </c>
      <c r="H2441" t="s">
        <v>27</v>
      </c>
      <c r="I2441" t="s">
        <v>37</v>
      </c>
      <c r="J2441" t="s">
        <v>38</v>
      </c>
      <c r="K2441">
        <v>14414</v>
      </c>
      <c r="L2441">
        <v>89</v>
      </c>
      <c r="M2441">
        <v>682.41</v>
      </c>
      <c r="N2441">
        <v>4</v>
      </c>
      <c r="O2441">
        <v>146.79</v>
      </c>
      <c r="P2441">
        <f t="shared" si="152"/>
        <v>6.1745525183849034E-3</v>
      </c>
      <c r="Q2441">
        <f t="shared" si="152"/>
        <v>7.6675280898876403</v>
      </c>
      <c r="R2441">
        <f t="shared" si="153"/>
        <v>170.60249999999999</v>
      </c>
      <c r="S2441">
        <f t="shared" si="154"/>
        <v>0.21510528860948697</v>
      </c>
      <c r="T2441">
        <f t="shared" si="155"/>
        <v>4.49438202247191E-2</v>
      </c>
      <c r="U2441" t="str">
        <f>YEAR('Campaign Data'!$A2441)&amp;"-"&amp;TEXT(MONTH('Campaign Data'!$A2441),"00")</f>
        <v>2026-05</v>
      </c>
    </row>
    <row r="2442" spans="1:21" x14ac:dyDescent="0.25">
      <c r="A2442">
        <v>46154</v>
      </c>
      <c r="B2442" t="s">
        <v>56</v>
      </c>
      <c r="C2442" t="s">
        <v>57</v>
      </c>
      <c r="D2442" t="s">
        <v>58</v>
      </c>
      <c r="E2442" t="s">
        <v>33</v>
      </c>
      <c r="F2442" t="s">
        <v>43</v>
      </c>
      <c r="G2442" t="s">
        <v>59</v>
      </c>
      <c r="H2442" t="s">
        <v>71</v>
      </c>
      <c r="I2442" t="s">
        <v>28</v>
      </c>
      <c r="J2442" t="s">
        <v>87</v>
      </c>
      <c r="K2442">
        <v>7079</v>
      </c>
      <c r="L2442">
        <v>54</v>
      </c>
      <c r="M2442">
        <v>33.369999999999997</v>
      </c>
      <c r="N2442">
        <v>0</v>
      </c>
      <c r="O2442">
        <v>0</v>
      </c>
      <c r="P2442">
        <f t="shared" si="152"/>
        <v>7.6281960728916513E-3</v>
      </c>
      <c r="Q2442">
        <f t="shared" si="152"/>
        <v>0.61796296296296294</v>
      </c>
      <c r="R2442">
        <f t="shared" si="153"/>
        <v>0</v>
      </c>
      <c r="S2442">
        <f t="shared" si="154"/>
        <v>0</v>
      </c>
      <c r="T2442">
        <f t="shared" si="155"/>
        <v>0</v>
      </c>
      <c r="U2442" t="str">
        <f>YEAR('Campaign Data'!$A2442)&amp;"-"&amp;TEXT(MONTH('Campaign Data'!$A2442),"00")</f>
        <v>2026-05</v>
      </c>
    </row>
    <row r="2443" spans="1:21" x14ac:dyDescent="0.25">
      <c r="A2443">
        <v>46154</v>
      </c>
      <c r="B2443" t="s">
        <v>136</v>
      </c>
      <c r="C2443" t="s">
        <v>137</v>
      </c>
      <c r="D2443" t="s">
        <v>32</v>
      </c>
      <c r="E2443" t="s">
        <v>49</v>
      </c>
      <c r="F2443" t="s">
        <v>75</v>
      </c>
      <c r="G2443" t="s">
        <v>97</v>
      </c>
      <c r="H2443" t="s">
        <v>27</v>
      </c>
      <c r="I2443" t="s">
        <v>37</v>
      </c>
      <c r="J2443" t="s">
        <v>62</v>
      </c>
      <c r="K2443">
        <v>15089</v>
      </c>
      <c r="L2443">
        <v>395</v>
      </c>
      <c r="M2443">
        <v>773.5</v>
      </c>
      <c r="N2443">
        <v>25</v>
      </c>
      <c r="O2443">
        <v>1619.4</v>
      </c>
      <c r="P2443">
        <f t="shared" si="152"/>
        <v>2.6178010471204188E-2</v>
      </c>
      <c r="Q2443">
        <f t="shared" si="152"/>
        <v>1.9582278481012658</v>
      </c>
      <c r="R2443">
        <f t="shared" si="153"/>
        <v>30.94</v>
      </c>
      <c r="S2443">
        <f t="shared" si="154"/>
        <v>2.093600517129929</v>
      </c>
      <c r="T2443">
        <f t="shared" si="155"/>
        <v>6.3291139240506333E-2</v>
      </c>
      <c r="U2443" t="str">
        <f>YEAR('Campaign Data'!$A2443)&amp;"-"&amp;TEXT(MONTH('Campaign Data'!$A2443),"00")</f>
        <v>2026-05</v>
      </c>
    </row>
    <row r="2444" spans="1:21" x14ac:dyDescent="0.25">
      <c r="A2444">
        <v>46154</v>
      </c>
      <c r="B2444" t="s">
        <v>136</v>
      </c>
      <c r="C2444" t="s">
        <v>137</v>
      </c>
      <c r="D2444" t="s">
        <v>32</v>
      </c>
      <c r="E2444" t="s">
        <v>49</v>
      </c>
      <c r="F2444" t="s">
        <v>75</v>
      </c>
      <c r="G2444" t="s">
        <v>97</v>
      </c>
      <c r="H2444" t="s">
        <v>27</v>
      </c>
      <c r="I2444" t="s">
        <v>37</v>
      </c>
      <c r="J2444" t="s">
        <v>29</v>
      </c>
      <c r="K2444">
        <v>6582</v>
      </c>
      <c r="L2444">
        <v>352</v>
      </c>
      <c r="M2444">
        <v>957.21</v>
      </c>
      <c r="N2444">
        <v>14</v>
      </c>
      <c r="O2444">
        <v>480.28</v>
      </c>
      <c r="P2444">
        <f t="shared" si="152"/>
        <v>5.3479185657854755E-2</v>
      </c>
      <c r="Q2444">
        <f t="shared" si="152"/>
        <v>2.7193465909090908</v>
      </c>
      <c r="R2444">
        <f t="shared" si="153"/>
        <v>68.372142857142862</v>
      </c>
      <c r="S2444">
        <f t="shared" si="154"/>
        <v>0.50174987724741693</v>
      </c>
      <c r="T2444">
        <f t="shared" si="155"/>
        <v>3.9772727272727272E-2</v>
      </c>
      <c r="U2444" t="str">
        <f>YEAR('Campaign Data'!$A2444)&amp;"-"&amp;TEXT(MONTH('Campaign Data'!$A2444),"00")</f>
        <v>2026-05</v>
      </c>
    </row>
    <row r="2445" spans="1:21" x14ac:dyDescent="0.25">
      <c r="A2445">
        <v>46154</v>
      </c>
      <c r="B2445" t="s">
        <v>116</v>
      </c>
      <c r="C2445" t="s">
        <v>117</v>
      </c>
      <c r="D2445" t="s">
        <v>48</v>
      </c>
      <c r="E2445" t="s">
        <v>24</v>
      </c>
      <c r="F2445" t="s">
        <v>43</v>
      </c>
      <c r="G2445" t="s">
        <v>26</v>
      </c>
      <c r="H2445" t="s">
        <v>51</v>
      </c>
      <c r="I2445" t="s">
        <v>37</v>
      </c>
      <c r="J2445" t="s">
        <v>29</v>
      </c>
      <c r="K2445">
        <v>6827</v>
      </c>
      <c r="L2445">
        <v>118</v>
      </c>
      <c r="M2445">
        <v>109.76</v>
      </c>
      <c r="N2445">
        <v>4</v>
      </c>
      <c r="O2445">
        <v>109.93</v>
      </c>
      <c r="P2445">
        <f t="shared" si="152"/>
        <v>1.7284312289438993E-2</v>
      </c>
      <c r="Q2445">
        <f t="shared" si="152"/>
        <v>0.93016949152542372</v>
      </c>
      <c r="R2445">
        <f t="shared" si="153"/>
        <v>27.44</v>
      </c>
      <c r="S2445">
        <f t="shared" si="154"/>
        <v>1.001548833819242</v>
      </c>
      <c r="T2445">
        <f t="shared" si="155"/>
        <v>3.3898305084745763E-2</v>
      </c>
      <c r="U2445" t="str">
        <f>YEAR('Campaign Data'!$A2445)&amp;"-"&amp;TEXT(MONTH('Campaign Data'!$A2445),"00")</f>
        <v>2026-05</v>
      </c>
    </row>
    <row r="2446" spans="1:21" x14ac:dyDescent="0.25">
      <c r="A2446">
        <v>46154</v>
      </c>
      <c r="B2446" t="s">
        <v>78</v>
      </c>
      <c r="C2446" t="s">
        <v>79</v>
      </c>
      <c r="D2446" t="s">
        <v>80</v>
      </c>
      <c r="E2446" t="s">
        <v>24</v>
      </c>
      <c r="F2446" t="s">
        <v>81</v>
      </c>
      <c r="G2446" t="s">
        <v>66</v>
      </c>
      <c r="H2446" t="s">
        <v>27</v>
      </c>
      <c r="I2446" t="s">
        <v>37</v>
      </c>
      <c r="J2446" t="s">
        <v>45</v>
      </c>
      <c r="K2446">
        <v>12952</v>
      </c>
      <c r="L2446">
        <v>138</v>
      </c>
      <c r="M2446">
        <v>176.09</v>
      </c>
      <c r="N2446">
        <v>4</v>
      </c>
      <c r="O2446">
        <v>79.73</v>
      </c>
      <c r="P2446">
        <f t="shared" si="152"/>
        <v>1.0654725138974676E-2</v>
      </c>
      <c r="Q2446">
        <f t="shared" si="152"/>
        <v>1.2760144927536232</v>
      </c>
      <c r="R2446">
        <f t="shared" si="153"/>
        <v>44.022500000000001</v>
      </c>
      <c r="S2446">
        <f t="shared" si="154"/>
        <v>0.45277982849679144</v>
      </c>
      <c r="T2446">
        <f t="shared" si="155"/>
        <v>2.8985507246376812E-2</v>
      </c>
      <c r="U2446" t="str">
        <f>YEAR('Campaign Data'!$A2446)&amp;"-"&amp;TEXT(MONTH('Campaign Data'!$A2446),"00")</f>
        <v>2026-05</v>
      </c>
    </row>
    <row r="2447" spans="1:21" x14ac:dyDescent="0.25">
      <c r="A2447">
        <v>46155</v>
      </c>
      <c r="B2447" t="s">
        <v>173</v>
      </c>
      <c r="C2447" t="s">
        <v>174</v>
      </c>
      <c r="D2447" t="s">
        <v>48</v>
      </c>
      <c r="E2447" t="s">
        <v>74</v>
      </c>
      <c r="F2447" t="s">
        <v>25</v>
      </c>
      <c r="G2447" t="s">
        <v>9</v>
      </c>
      <c r="H2447" t="s">
        <v>36</v>
      </c>
      <c r="I2447" t="s">
        <v>28</v>
      </c>
      <c r="J2447" t="s">
        <v>62</v>
      </c>
      <c r="K2447">
        <v>4754</v>
      </c>
      <c r="L2447">
        <v>139</v>
      </c>
      <c r="M2447">
        <v>170.26</v>
      </c>
      <c r="N2447">
        <v>3</v>
      </c>
      <c r="O2447">
        <v>555.13</v>
      </c>
      <c r="P2447">
        <f t="shared" si="152"/>
        <v>2.9238535969709718E-2</v>
      </c>
      <c r="Q2447">
        <f t="shared" si="152"/>
        <v>1.2248920863309352</v>
      </c>
      <c r="R2447">
        <f t="shared" si="153"/>
        <v>56.75333333333333</v>
      </c>
      <c r="S2447">
        <f t="shared" si="154"/>
        <v>3.2604839656995184</v>
      </c>
      <c r="T2447">
        <f t="shared" si="155"/>
        <v>2.1582733812949641E-2</v>
      </c>
      <c r="U2447" t="str">
        <f>YEAR('Campaign Data'!$A2447)&amp;"-"&amp;TEXT(MONTH('Campaign Data'!$A2447),"00")</f>
        <v>2026-05</v>
      </c>
    </row>
    <row r="2448" spans="1:21" x14ac:dyDescent="0.25">
      <c r="A2448">
        <v>46155</v>
      </c>
      <c r="B2448" t="s">
        <v>138</v>
      </c>
      <c r="C2448" t="s">
        <v>139</v>
      </c>
      <c r="D2448" t="s">
        <v>58</v>
      </c>
      <c r="E2448" t="s">
        <v>74</v>
      </c>
      <c r="F2448" t="s">
        <v>34</v>
      </c>
      <c r="G2448" t="s">
        <v>9</v>
      </c>
      <c r="H2448" t="s">
        <v>55</v>
      </c>
      <c r="I2448" t="s">
        <v>37</v>
      </c>
      <c r="J2448" t="s">
        <v>38</v>
      </c>
      <c r="K2448">
        <v>3880</v>
      </c>
      <c r="L2448">
        <v>113</v>
      </c>
      <c r="M2448">
        <v>158.12</v>
      </c>
      <c r="N2448">
        <v>3</v>
      </c>
      <c r="O2448">
        <v>147.72</v>
      </c>
      <c r="P2448">
        <f t="shared" si="152"/>
        <v>2.9123711340206186E-2</v>
      </c>
      <c r="Q2448">
        <f t="shared" si="152"/>
        <v>1.3992920353982301</v>
      </c>
      <c r="R2448">
        <f t="shared" si="153"/>
        <v>52.706666666666671</v>
      </c>
      <c r="S2448">
        <f t="shared" si="154"/>
        <v>0.93422716923855298</v>
      </c>
      <c r="T2448">
        <f t="shared" si="155"/>
        <v>2.6548672566371681E-2</v>
      </c>
      <c r="U2448" t="str">
        <f>YEAR('Campaign Data'!$A2448)&amp;"-"&amp;TEXT(MONTH('Campaign Data'!$A2448),"00")</f>
        <v>2026-05</v>
      </c>
    </row>
    <row r="2449" spans="1:21" x14ac:dyDescent="0.25">
      <c r="A2449">
        <v>46155</v>
      </c>
      <c r="B2449" t="s">
        <v>30</v>
      </c>
      <c r="C2449" t="s">
        <v>31</v>
      </c>
      <c r="D2449" t="s">
        <v>32</v>
      </c>
      <c r="E2449" t="s">
        <v>33</v>
      </c>
      <c r="F2449" t="s">
        <v>34</v>
      </c>
      <c r="G2449" t="s">
        <v>35</v>
      </c>
      <c r="H2449" t="s">
        <v>36</v>
      </c>
      <c r="I2449" t="s">
        <v>28</v>
      </c>
      <c r="J2449" t="s">
        <v>45</v>
      </c>
      <c r="K2449">
        <v>9982</v>
      </c>
      <c r="L2449">
        <v>76</v>
      </c>
      <c r="M2449">
        <v>25.43</v>
      </c>
      <c r="N2449">
        <v>3</v>
      </c>
      <c r="O2449">
        <v>546.02</v>
      </c>
      <c r="P2449">
        <f t="shared" si="152"/>
        <v>7.613704668403126E-3</v>
      </c>
      <c r="Q2449">
        <f t="shared" si="152"/>
        <v>0.33460526315789474</v>
      </c>
      <c r="R2449">
        <f t="shared" si="153"/>
        <v>8.4766666666666666</v>
      </c>
      <c r="S2449">
        <f t="shared" si="154"/>
        <v>21.471490365709791</v>
      </c>
      <c r="T2449">
        <f t="shared" si="155"/>
        <v>3.9473684210526314E-2</v>
      </c>
      <c r="U2449" t="str">
        <f>YEAR('Campaign Data'!$A2449)&amp;"-"&amp;TEXT(MONTH('Campaign Data'!$A2449),"00")</f>
        <v>2026-05</v>
      </c>
    </row>
    <row r="2450" spans="1:21" x14ac:dyDescent="0.25">
      <c r="A2450">
        <v>46155</v>
      </c>
      <c r="B2450" t="s">
        <v>151</v>
      </c>
      <c r="C2450" t="s">
        <v>152</v>
      </c>
      <c r="D2450" t="s">
        <v>48</v>
      </c>
      <c r="E2450" t="s">
        <v>24</v>
      </c>
      <c r="F2450" t="s">
        <v>81</v>
      </c>
      <c r="G2450" t="s">
        <v>129</v>
      </c>
      <c r="H2450" t="s">
        <v>51</v>
      </c>
      <c r="I2450" t="s">
        <v>28</v>
      </c>
      <c r="J2450" t="s">
        <v>29</v>
      </c>
      <c r="K2450">
        <v>3244</v>
      </c>
      <c r="L2450">
        <v>47</v>
      </c>
      <c r="M2450">
        <v>33.200000000000003</v>
      </c>
      <c r="N2450">
        <v>1</v>
      </c>
      <c r="O2450">
        <v>33.08</v>
      </c>
      <c r="P2450">
        <f t="shared" si="152"/>
        <v>1.4488286066584463E-2</v>
      </c>
      <c r="Q2450">
        <f t="shared" si="152"/>
        <v>0.70638297872340428</v>
      </c>
      <c r="R2450">
        <f t="shared" si="153"/>
        <v>33.200000000000003</v>
      </c>
      <c r="S2450">
        <f t="shared" si="154"/>
        <v>0.99638554216867459</v>
      </c>
      <c r="T2450">
        <f t="shared" si="155"/>
        <v>2.1276595744680851E-2</v>
      </c>
      <c r="U2450" t="str">
        <f>YEAR('Campaign Data'!$A2450)&amp;"-"&amp;TEXT(MONTH('Campaign Data'!$A2450),"00")</f>
        <v>2026-05</v>
      </c>
    </row>
    <row r="2451" spans="1:21" x14ac:dyDescent="0.25">
      <c r="A2451">
        <v>46155</v>
      </c>
      <c r="B2451" t="s">
        <v>46</v>
      </c>
      <c r="C2451" t="s">
        <v>47</v>
      </c>
      <c r="D2451" t="s">
        <v>48</v>
      </c>
      <c r="E2451" t="s">
        <v>49</v>
      </c>
      <c r="F2451" t="s">
        <v>43</v>
      </c>
      <c r="G2451" t="s">
        <v>50</v>
      </c>
      <c r="H2451" t="s">
        <v>90</v>
      </c>
      <c r="I2451" t="s">
        <v>28</v>
      </c>
      <c r="J2451" t="s">
        <v>45</v>
      </c>
      <c r="K2451">
        <v>9342</v>
      </c>
      <c r="L2451">
        <v>503</v>
      </c>
      <c r="M2451">
        <v>220.98</v>
      </c>
      <c r="N2451">
        <v>11</v>
      </c>
      <c r="O2451">
        <v>73.27</v>
      </c>
      <c r="P2451">
        <f t="shared" si="152"/>
        <v>5.3842860201241703E-2</v>
      </c>
      <c r="Q2451">
        <f t="shared" si="152"/>
        <v>0.43932405566600397</v>
      </c>
      <c r="R2451">
        <f t="shared" si="153"/>
        <v>20.08909090909091</v>
      </c>
      <c r="S2451">
        <f t="shared" si="154"/>
        <v>0.33156846773463661</v>
      </c>
      <c r="T2451">
        <f t="shared" si="155"/>
        <v>2.186878727634195E-2</v>
      </c>
      <c r="U2451" t="str">
        <f>YEAR('Campaign Data'!$A2451)&amp;"-"&amp;TEXT(MONTH('Campaign Data'!$A2451),"00")</f>
        <v>2026-05</v>
      </c>
    </row>
    <row r="2452" spans="1:21" x14ac:dyDescent="0.25">
      <c r="A2452">
        <v>46155</v>
      </c>
      <c r="B2452" t="s">
        <v>169</v>
      </c>
      <c r="C2452" t="s">
        <v>170</v>
      </c>
      <c r="D2452" t="s">
        <v>58</v>
      </c>
      <c r="E2452" t="s">
        <v>74</v>
      </c>
      <c r="F2452" t="s">
        <v>75</v>
      </c>
      <c r="G2452" t="s">
        <v>9</v>
      </c>
      <c r="H2452" t="s">
        <v>51</v>
      </c>
      <c r="I2452" t="s">
        <v>61</v>
      </c>
      <c r="J2452" t="s">
        <v>45</v>
      </c>
      <c r="K2452">
        <v>15707</v>
      </c>
      <c r="L2452">
        <v>363</v>
      </c>
      <c r="M2452">
        <v>432.25</v>
      </c>
      <c r="N2452">
        <v>16</v>
      </c>
      <c r="O2452">
        <v>549.46</v>
      </c>
      <c r="P2452">
        <f t="shared" si="152"/>
        <v>2.3110714967848729E-2</v>
      </c>
      <c r="Q2452">
        <f t="shared" si="152"/>
        <v>1.190771349862259</v>
      </c>
      <c r="R2452">
        <f t="shared" si="153"/>
        <v>27.015625</v>
      </c>
      <c r="S2452">
        <f t="shared" si="154"/>
        <v>1.2711625216888376</v>
      </c>
      <c r="T2452">
        <f t="shared" si="155"/>
        <v>4.4077134986225897E-2</v>
      </c>
      <c r="U2452" t="str">
        <f>YEAR('Campaign Data'!$A2452)&amp;"-"&amp;TEXT(MONTH('Campaign Data'!$A2452),"00")</f>
        <v>2026-05</v>
      </c>
    </row>
    <row r="2453" spans="1:21" x14ac:dyDescent="0.25">
      <c r="A2453">
        <v>46155</v>
      </c>
      <c r="B2453" t="s">
        <v>127</v>
      </c>
      <c r="C2453" t="s">
        <v>128</v>
      </c>
      <c r="D2453" t="s">
        <v>58</v>
      </c>
      <c r="E2453" t="s">
        <v>24</v>
      </c>
      <c r="F2453" t="s">
        <v>81</v>
      </c>
      <c r="G2453" t="s">
        <v>129</v>
      </c>
      <c r="H2453" t="s">
        <v>71</v>
      </c>
      <c r="I2453" t="s">
        <v>37</v>
      </c>
      <c r="J2453" t="s">
        <v>38</v>
      </c>
      <c r="K2453">
        <v>9531</v>
      </c>
      <c r="L2453">
        <v>97</v>
      </c>
      <c r="M2453">
        <v>96.34</v>
      </c>
      <c r="N2453">
        <v>2</v>
      </c>
      <c r="O2453">
        <v>34.79</v>
      </c>
      <c r="P2453">
        <f t="shared" si="152"/>
        <v>1.0177316126324625E-2</v>
      </c>
      <c r="Q2453">
        <f t="shared" si="152"/>
        <v>0.9931958762886598</v>
      </c>
      <c r="R2453">
        <f t="shared" si="153"/>
        <v>48.17</v>
      </c>
      <c r="S2453">
        <f t="shared" si="154"/>
        <v>0.36111687772472489</v>
      </c>
      <c r="T2453">
        <f t="shared" si="155"/>
        <v>2.0618556701030927E-2</v>
      </c>
      <c r="U2453" t="str">
        <f>YEAR('Campaign Data'!$A2453)&amp;"-"&amp;TEXT(MONTH('Campaign Data'!$A2453),"00")</f>
        <v>2026-05</v>
      </c>
    </row>
    <row r="2454" spans="1:21" x14ac:dyDescent="0.25">
      <c r="A2454">
        <v>46155</v>
      </c>
      <c r="B2454" t="s">
        <v>177</v>
      </c>
      <c r="C2454" t="s">
        <v>178</v>
      </c>
      <c r="D2454" t="s">
        <v>41</v>
      </c>
      <c r="E2454" t="s">
        <v>49</v>
      </c>
      <c r="F2454" t="s">
        <v>34</v>
      </c>
      <c r="G2454" t="s">
        <v>107</v>
      </c>
      <c r="H2454" t="s">
        <v>27</v>
      </c>
      <c r="I2454" t="s">
        <v>37</v>
      </c>
      <c r="J2454" t="s">
        <v>45</v>
      </c>
      <c r="K2454">
        <v>14513</v>
      </c>
      <c r="L2454">
        <v>720</v>
      </c>
      <c r="M2454">
        <v>1735.04</v>
      </c>
      <c r="N2454">
        <v>34</v>
      </c>
      <c r="O2454">
        <v>5071.1099999999997</v>
      </c>
      <c r="P2454">
        <f t="shared" si="152"/>
        <v>4.9610693860676632E-2</v>
      </c>
      <c r="Q2454">
        <f t="shared" si="152"/>
        <v>2.4097777777777778</v>
      </c>
      <c r="R2454">
        <f t="shared" si="153"/>
        <v>51.030588235294118</v>
      </c>
      <c r="S2454">
        <f t="shared" si="154"/>
        <v>2.9227625876060492</v>
      </c>
      <c r="T2454">
        <f t="shared" si="155"/>
        <v>4.7222222222222221E-2</v>
      </c>
      <c r="U2454" t="str">
        <f>YEAR('Campaign Data'!$A2454)&amp;"-"&amp;TEXT(MONTH('Campaign Data'!$A2454),"00")</f>
        <v>2026-05</v>
      </c>
    </row>
    <row r="2455" spans="1:21" x14ac:dyDescent="0.25">
      <c r="A2455">
        <v>46155</v>
      </c>
      <c r="B2455" t="s">
        <v>177</v>
      </c>
      <c r="C2455" t="s">
        <v>178</v>
      </c>
      <c r="D2455" t="s">
        <v>41</v>
      </c>
      <c r="E2455" t="s">
        <v>49</v>
      </c>
      <c r="F2455" t="s">
        <v>34</v>
      </c>
      <c r="G2455" t="s">
        <v>107</v>
      </c>
      <c r="H2455" t="s">
        <v>90</v>
      </c>
      <c r="I2455" t="s">
        <v>28</v>
      </c>
      <c r="J2455" t="s">
        <v>87</v>
      </c>
      <c r="K2455">
        <v>3427</v>
      </c>
      <c r="L2455">
        <v>182</v>
      </c>
      <c r="M2455">
        <v>108.52</v>
      </c>
      <c r="N2455">
        <v>3</v>
      </c>
      <c r="O2455">
        <v>111.28</v>
      </c>
      <c r="P2455">
        <f t="shared" si="152"/>
        <v>5.3107674350744094E-2</v>
      </c>
      <c r="Q2455">
        <f t="shared" si="152"/>
        <v>0.59626373626373619</v>
      </c>
      <c r="R2455">
        <f t="shared" si="153"/>
        <v>36.173333333333332</v>
      </c>
      <c r="S2455">
        <f t="shared" si="154"/>
        <v>1.0254330998894214</v>
      </c>
      <c r="T2455">
        <f t="shared" si="155"/>
        <v>1.6483516483516484E-2</v>
      </c>
      <c r="U2455" t="str">
        <f>YEAR('Campaign Data'!$A2455)&amp;"-"&amp;TEXT(MONTH('Campaign Data'!$A2455),"00")</f>
        <v>2026-05</v>
      </c>
    </row>
    <row r="2456" spans="1:21" x14ac:dyDescent="0.25">
      <c r="A2456">
        <v>46155</v>
      </c>
      <c r="B2456" t="s">
        <v>179</v>
      </c>
      <c r="C2456" t="s">
        <v>180</v>
      </c>
      <c r="D2456" t="s">
        <v>58</v>
      </c>
      <c r="E2456" t="s">
        <v>42</v>
      </c>
      <c r="F2456" t="s">
        <v>25</v>
      </c>
      <c r="G2456" t="s">
        <v>54</v>
      </c>
      <c r="H2456" t="s">
        <v>55</v>
      </c>
      <c r="I2456" t="s">
        <v>28</v>
      </c>
      <c r="J2456" t="s">
        <v>29</v>
      </c>
      <c r="K2456">
        <v>8651</v>
      </c>
      <c r="L2456">
        <v>35</v>
      </c>
      <c r="M2456">
        <v>203.66</v>
      </c>
      <c r="N2456">
        <v>2</v>
      </c>
      <c r="O2456">
        <v>438.15</v>
      </c>
      <c r="P2456">
        <f t="shared" si="152"/>
        <v>4.0457750549069468E-3</v>
      </c>
      <c r="Q2456">
        <f t="shared" si="152"/>
        <v>5.8188571428571425</v>
      </c>
      <c r="R2456">
        <f t="shared" si="153"/>
        <v>101.83</v>
      </c>
      <c r="S2456">
        <f t="shared" si="154"/>
        <v>2.1513797505646663</v>
      </c>
      <c r="T2456">
        <f t="shared" si="155"/>
        <v>5.7142857142857141E-2</v>
      </c>
      <c r="U2456" t="str">
        <f>YEAR('Campaign Data'!$A2456)&amp;"-"&amp;TEXT(MONTH('Campaign Data'!$A2456),"00")</f>
        <v>2026-05</v>
      </c>
    </row>
    <row r="2457" spans="1:21" x14ac:dyDescent="0.25">
      <c r="A2457">
        <v>46155</v>
      </c>
      <c r="B2457" t="s">
        <v>171</v>
      </c>
      <c r="C2457" t="s">
        <v>172</v>
      </c>
      <c r="D2457" t="s">
        <v>23</v>
      </c>
      <c r="E2457" t="s">
        <v>33</v>
      </c>
      <c r="F2457" t="s">
        <v>75</v>
      </c>
      <c r="G2457" t="s">
        <v>59</v>
      </c>
      <c r="H2457" t="s">
        <v>51</v>
      </c>
      <c r="I2457" t="s">
        <v>28</v>
      </c>
      <c r="J2457" t="s">
        <v>87</v>
      </c>
      <c r="K2457">
        <v>4129</v>
      </c>
      <c r="L2457">
        <v>26</v>
      </c>
      <c r="M2457">
        <v>20.03</v>
      </c>
      <c r="N2457">
        <v>0</v>
      </c>
      <c r="O2457">
        <v>0</v>
      </c>
      <c r="P2457">
        <f t="shared" si="152"/>
        <v>6.2969241947202709E-3</v>
      </c>
      <c r="Q2457">
        <f t="shared" si="152"/>
        <v>0.77038461538461545</v>
      </c>
      <c r="R2457">
        <f t="shared" si="153"/>
        <v>0</v>
      </c>
      <c r="S2457">
        <f t="shared" si="154"/>
        <v>0</v>
      </c>
      <c r="T2457">
        <f t="shared" si="155"/>
        <v>0</v>
      </c>
      <c r="U2457" t="str">
        <f>YEAR('Campaign Data'!$A2457)&amp;"-"&amp;TEXT(MONTH('Campaign Data'!$A2457),"00")</f>
        <v>2026-05</v>
      </c>
    </row>
    <row r="2458" spans="1:21" x14ac:dyDescent="0.25">
      <c r="A2458">
        <v>46155</v>
      </c>
      <c r="B2458" t="s">
        <v>140</v>
      </c>
      <c r="C2458" t="s">
        <v>40</v>
      </c>
      <c r="D2458" t="s">
        <v>41</v>
      </c>
      <c r="E2458" t="s">
        <v>42</v>
      </c>
      <c r="F2458" t="s">
        <v>43</v>
      </c>
      <c r="G2458" t="s">
        <v>44</v>
      </c>
      <c r="H2458" t="s">
        <v>90</v>
      </c>
      <c r="I2458" t="s">
        <v>37</v>
      </c>
      <c r="J2458" t="s">
        <v>87</v>
      </c>
      <c r="K2458">
        <v>9135</v>
      </c>
      <c r="L2458">
        <v>35</v>
      </c>
      <c r="M2458">
        <v>59.16</v>
      </c>
      <c r="N2458">
        <v>1</v>
      </c>
      <c r="O2458">
        <v>6.35</v>
      </c>
      <c r="P2458">
        <f t="shared" si="152"/>
        <v>3.8314176245210726E-3</v>
      </c>
      <c r="Q2458">
        <f t="shared" si="152"/>
        <v>1.6902857142857142</v>
      </c>
      <c r="R2458">
        <f t="shared" si="153"/>
        <v>59.16</v>
      </c>
      <c r="S2458">
        <f t="shared" si="154"/>
        <v>0.10733603786342123</v>
      </c>
      <c r="T2458">
        <f t="shared" si="155"/>
        <v>2.8571428571428571E-2</v>
      </c>
      <c r="U2458" t="str">
        <f>YEAR('Campaign Data'!$A2458)&amp;"-"&amp;TEXT(MONTH('Campaign Data'!$A2458),"00")</f>
        <v>2026-05</v>
      </c>
    </row>
    <row r="2459" spans="1:21" x14ac:dyDescent="0.25">
      <c r="A2459">
        <v>46155</v>
      </c>
      <c r="B2459" t="s">
        <v>161</v>
      </c>
      <c r="C2459" t="s">
        <v>162</v>
      </c>
      <c r="D2459" t="s">
        <v>48</v>
      </c>
      <c r="E2459" t="s">
        <v>74</v>
      </c>
      <c r="F2459" t="s">
        <v>34</v>
      </c>
      <c r="G2459" t="s">
        <v>107</v>
      </c>
      <c r="H2459" t="s">
        <v>71</v>
      </c>
      <c r="I2459" t="s">
        <v>37</v>
      </c>
      <c r="J2459" t="s">
        <v>38</v>
      </c>
      <c r="K2459">
        <v>12972</v>
      </c>
      <c r="L2459">
        <v>430</v>
      </c>
      <c r="M2459">
        <v>534.04</v>
      </c>
      <c r="N2459">
        <v>5</v>
      </c>
      <c r="O2459">
        <v>375.38</v>
      </c>
      <c r="P2459">
        <f t="shared" si="152"/>
        <v>3.314831945729263E-2</v>
      </c>
      <c r="Q2459">
        <f t="shared" si="152"/>
        <v>1.2419534883720929</v>
      </c>
      <c r="R2459">
        <f t="shared" si="153"/>
        <v>106.80799999999999</v>
      </c>
      <c r="S2459">
        <f t="shared" si="154"/>
        <v>0.70290614935210849</v>
      </c>
      <c r="T2459">
        <f t="shared" si="155"/>
        <v>1.1627906976744186E-2</v>
      </c>
      <c r="U2459" t="str">
        <f>YEAR('Campaign Data'!$A2459)&amp;"-"&amp;TEXT(MONTH('Campaign Data'!$A2459),"00")</f>
        <v>2026-05</v>
      </c>
    </row>
    <row r="2460" spans="1:21" x14ac:dyDescent="0.25">
      <c r="A2460">
        <v>46155</v>
      </c>
      <c r="B2460" t="s">
        <v>114</v>
      </c>
      <c r="C2460" t="s">
        <v>115</v>
      </c>
      <c r="D2460" t="s">
        <v>69</v>
      </c>
      <c r="E2460" t="s">
        <v>49</v>
      </c>
      <c r="F2460" t="s">
        <v>25</v>
      </c>
      <c r="G2460" t="s">
        <v>107</v>
      </c>
      <c r="H2460" t="s">
        <v>90</v>
      </c>
      <c r="I2460" t="s">
        <v>28</v>
      </c>
      <c r="J2460" t="s">
        <v>62</v>
      </c>
      <c r="K2460">
        <v>8725</v>
      </c>
      <c r="L2460">
        <v>690</v>
      </c>
      <c r="M2460">
        <v>317.39999999999998</v>
      </c>
      <c r="N2460">
        <v>33</v>
      </c>
      <c r="O2460">
        <v>1754.22</v>
      </c>
      <c r="P2460">
        <f t="shared" si="152"/>
        <v>7.9083094555873923E-2</v>
      </c>
      <c r="Q2460">
        <f t="shared" si="152"/>
        <v>0.45999999999999996</v>
      </c>
      <c r="R2460">
        <f t="shared" si="153"/>
        <v>9.6181818181818173</v>
      </c>
      <c r="S2460">
        <f t="shared" si="154"/>
        <v>5.5268431001890361</v>
      </c>
      <c r="T2460">
        <f t="shared" si="155"/>
        <v>4.7826086956521741E-2</v>
      </c>
      <c r="U2460" t="str">
        <f>YEAR('Campaign Data'!$A2460)&amp;"-"&amp;TEXT(MONTH('Campaign Data'!$A2460),"00")</f>
        <v>2026-05</v>
      </c>
    </row>
    <row r="2461" spans="1:21" x14ac:dyDescent="0.25">
      <c r="A2461">
        <v>46155</v>
      </c>
      <c r="B2461" t="s">
        <v>145</v>
      </c>
      <c r="C2461" t="s">
        <v>146</v>
      </c>
      <c r="D2461" t="s">
        <v>41</v>
      </c>
      <c r="E2461" t="s">
        <v>49</v>
      </c>
      <c r="F2461" t="s">
        <v>75</v>
      </c>
      <c r="G2461" t="s">
        <v>70</v>
      </c>
      <c r="H2461" t="s">
        <v>51</v>
      </c>
      <c r="I2461" t="s">
        <v>37</v>
      </c>
      <c r="J2461" t="s">
        <v>29</v>
      </c>
      <c r="K2461">
        <v>8965</v>
      </c>
      <c r="L2461">
        <v>562</v>
      </c>
      <c r="M2461">
        <v>1135.73</v>
      </c>
      <c r="N2461">
        <v>33</v>
      </c>
      <c r="O2461">
        <v>877.76</v>
      </c>
      <c r="P2461">
        <f t="shared" si="152"/>
        <v>6.2688232013385387E-2</v>
      </c>
      <c r="Q2461">
        <f t="shared" si="152"/>
        <v>2.0208718861209967</v>
      </c>
      <c r="R2461">
        <f t="shared" si="153"/>
        <v>34.416060606060604</v>
      </c>
      <c r="S2461">
        <f t="shared" si="154"/>
        <v>0.77285974659470114</v>
      </c>
      <c r="T2461">
        <f t="shared" si="155"/>
        <v>5.8718861209964411E-2</v>
      </c>
      <c r="U2461" t="str">
        <f>YEAR('Campaign Data'!$A2461)&amp;"-"&amp;TEXT(MONTH('Campaign Data'!$A2461),"00")</f>
        <v>2026-05</v>
      </c>
    </row>
    <row r="2462" spans="1:21" x14ac:dyDescent="0.25">
      <c r="A2462">
        <v>46155</v>
      </c>
      <c r="B2462" t="s">
        <v>76</v>
      </c>
      <c r="C2462" t="s">
        <v>77</v>
      </c>
      <c r="D2462" t="s">
        <v>65</v>
      </c>
      <c r="E2462" t="s">
        <v>42</v>
      </c>
      <c r="F2462" t="s">
        <v>43</v>
      </c>
      <c r="G2462" t="s">
        <v>44</v>
      </c>
      <c r="H2462" t="s">
        <v>36</v>
      </c>
      <c r="I2462" t="s">
        <v>37</v>
      </c>
      <c r="J2462" t="s">
        <v>62</v>
      </c>
      <c r="K2462">
        <v>3486</v>
      </c>
      <c r="L2462">
        <v>20</v>
      </c>
      <c r="M2462">
        <v>144.29</v>
      </c>
      <c r="N2462">
        <v>0</v>
      </c>
      <c r="O2462">
        <v>0</v>
      </c>
      <c r="P2462">
        <f t="shared" si="152"/>
        <v>5.7372346528973038E-3</v>
      </c>
      <c r="Q2462">
        <f t="shared" si="152"/>
        <v>7.2144999999999992</v>
      </c>
      <c r="R2462">
        <f t="shared" si="153"/>
        <v>0</v>
      </c>
      <c r="S2462">
        <f t="shared" si="154"/>
        <v>0</v>
      </c>
      <c r="T2462">
        <f t="shared" si="155"/>
        <v>0</v>
      </c>
      <c r="U2462" t="str">
        <f>YEAR('Campaign Data'!$A2462)&amp;"-"&amp;TEXT(MONTH('Campaign Data'!$A2462),"00")</f>
        <v>2026-05</v>
      </c>
    </row>
    <row r="2463" spans="1:21" x14ac:dyDescent="0.25">
      <c r="A2463">
        <v>46156</v>
      </c>
      <c r="B2463" t="s">
        <v>165</v>
      </c>
      <c r="C2463" t="s">
        <v>166</v>
      </c>
      <c r="D2463" t="s">
        <v>41</v>
      </c>
      <c r="E2463" t="s">
        <v>33</v>
      </c>
      <c r="F2463" t="s">
        <v>43</v>
      </c>
      <c r="G2463" t="s">
        <v>59</v>
      </c>
      <c r="H2463" t="s">
        <v>71</v>
      </c>
      <c r="I2463" t="s">
        <v>37</v>
      </c>
      <c r="J2463" t="s">
        <v>38</v>
      </c>
      <c r="K2463">
        <v>4757</v>
      </c>
      <c r="L2463">
        <v>55</v>
      </c>
      <c r="M2463">
        <v>20.54</v>
      </c>
      <c r="N2463">
        <v>0</v>
      </c>
      <c r="O2463">
        <v>0</v>
      </c>
      <c r="P2463">
        <f t="shared" si="152"/>
        <v>1.156190876602901E-2</v>
      </c>
      <c r="Q2463">
        <f t="shared" si="152"/>
        <v>0.37345454545454543</v>
      </c>
      <c r="R2463">
        <f t="shared" si="153"/>
        <v>0</v>
      </c>
      <c r="S2463">
        <f t="shared" si="154"/>
        <v>0</v>
      </c>
      <c r="T2463">
        <f t="shared" si="155"/>
        <v>0</v>
      </c>
      <c r="U2463" t="str">
        <f>YEAR('Campaign Data'!$A2463)&amp;"-"&amp;TEXT(MONTH('Campaign Data'!$A2463),"00")</f>
        <v>2026-05</v>
      </c>
    </row>
    <row r="2464" spans="1:21" x14ac:dyDescent="0.25">
      <c r="A2464">
        <v>46156</v>
      </c>
      <c r="B2464" t="s">
        <v>175</v>
      </c>
      <c r="C2464" t="s">
        <v>176</v>
      </c>
      <c r="D2464" t="s">
        <v>65</v>
      </c>
      <c r="E2464" t="s">
        <v>49</v>
      </c>
      <c r="F2464" t="s">
        <v>75</v>
      </c>
      <c r="G2464" t="s">
        <v>70</v>
      </c>
      <c r="H2464" t="s">
        <v>90</v>
      </c>
      <c r="I2464" t="s">
        <v>37</v>
      </c>
      <c r="J2464" t="s">
        <v>45</v>
      </c>
      <c r="K2464">
        <v>17568</v>
      </c>
      <c r="L2464">
        <v>1078</v>
      </c>
      <c r="M2464">
        <v>596.83000000000004</v>
      </c>
      <c r="N2464">
        <v>48</v>
      </c>
      <c r="O2464">
        <v>636.77</v>
      </c>
      <c r="P2464">
        <f t="shared" si="152"/>
        <v>6.1361566484517308E-2</v>
      </c>
      <c r="Q2464">
        <f t="shared" si="152"/>
        <v>0.55364564007421158</v>
      </c>
      <c r="R2464">
        <f t="shared" si="153"/>
        <v>12.433958333333335</v>
      </c>
      <c r="S2464">
        <f t="shared" si="154"/>
        <v>1.0669202285407904</v>
      </c>
      <c r="T2464">
        <f t="shared" si="155"/>
        <v>4.4526901669758812E-2</v>
      </c>
      <c r="U2464" t="str">
        <f>YEAR('Campaign Data'!$A2464)&amp;"-"&amp;TEXT(MONTH('Campaign Data'!$A2464),"00")</f>
        <v>2026-05</v>
      </c>
    </row>
    <row r="2465" spans="1:21" x14ac:dyDescent="0.25">
      <c r="A2465">
        <v>46156</v>
      </c>
      <c r="B2465" t="s">
        <v>30</v>
      </c>
      <c r="C2465" t="s">
        <v>31</v>
      </c>
      <c r="D2465" t="s">
        <v>32</v>
      </c>
      <c r="E2465" t="s">
        <v>33</v>
      </c>
      <c r="F2465" t="s">
        <v>34</v>
      </c>
      <c r="G2465" t="s">
        <v>35</v>
      </c>
      <c r="H2465" t="s">
        <v>27</v>
      </c>
      <c r="I2465" t="s">
        <v>37</v>
      </c>
      <c r="J2465" t="s">
        <v>38</v>
      </c>
      <c r="K2465">
        <v>6661</v>
      </c>
      <c r="L2465">
        <v>52</v>
      </c>
      <c r="M2465">
        <v>32.11</v>
      </c>
      <c r="N2465">
        <v>2</v>
      </c>
      <c r="O2465">
        <v>355.02</v>
      </c>
      <c r="P2465">
        <f t="shared" si="152"/>
        <v>7.80663564029425E-3</v>
      </c>
      <c r="Q2465">
        <f t="shared" si="152"/>
        <v>0.61749999999999994</v>
      </c>
      <c r="R2465">
        <f t="shared" si="153"/>
        <v>16.055</v>
      </c>
      <c r="S2465">
        <f t="shared" si="154"/>
        <v>11.056368732482092</v>
      </c>
      <c r="T2465">
        <f t="shared" si="155"/>
        <v>3.8461538461538464E-2</v>
      </c>
      <c r="U2465" t="str">
        <f>YEAR('Campaign Data'!$A2465)&amp;"-"&amp;TEXT(MONTH('Campaign Data'!$A2465),"00")</f>
        <v>2026-05</v>
      </c>
    </row>
    <row r="2466" spans="1:21" x14ac:dyDescent="0.25">
      <c r="A2466">
        <v>46156</v>
      </c>
      <c r="B2466" t="s">
        <v>39</v>
      </c>
      <c r="C2466" t="s">
        <v>40</v>
      </c>
      <c r="D2466" t="s">
        <v>41</v>
      </c>
      <c r="E2466" t="s">
        <v>42</v>
      </c>
      <c r="F2466" t="s">
        <v>43</v>
      </c>
      <c r="G2466" t="s">
        <v>44</v>
      </c>
      <c r="H2466" t="s">
        <v>90</v>
      </c>
      <c r="I2466" t="s">
        <v>37</v>
      </c>
      <c r="J2466" t="s">
        <v>62</v>
      </c>
      <c r="K2466">
        <v>8502</v>
      </c>
      <c r="L2466">
        <v>108</v>
      </c>
      <c r="M2466">
        <v>147.91</v>
      </c>
      <c r="N2466">
        <v>0</v>
      </c>
      <c r="O2466">
        <v>0</v>
      </c>
      <c r="P2466">
        <f t="shared" si="152"/>
        <v>1.2702893436838392E-2</v>
      </c>
      <c r="Q2466">
        <f t="shared" si="152"/>
        <v>1.369537037037037</v>
      </c>
      <c r="R2466">
        <f t="shared" si="153"/>
        <v>0</v>
      </c>
      <c r="S2466">
        <f t="shared" si="154"/>
        <v>0</v>
      </c>
      <c r="T2466">
        <f t="shared" si="155"/>
        <v>0</v>
      </c>
      <c r="U2466" t="str">
        <f>YEAR('Campaign Data'!$A2466)&amp;"-"&amp;TEXT(MONTH('Campaign Data'!$A2466),"00")</f>
        <v>2026-05</v>
      </c>
    </row>
    <row r="2467" spans="1:21" x14ac:dyDescent="0.25">
      <c r="A2467">
        <v>46156</v>
      </c>
      <c r="B2467" t="s">
        <v>39</v>
      </c>
      <c r="C2467" t="s">
        <v>40</v>
      </c>
      <c r="D2467" t="s">
        <v>41</v>
      </c>
      <c r="E2467" t="s">
        <v>42</v>
      </c>
      <c r="F2467" t="s">
        <v>43</v>
      </c>
      <c r="G2467" t="s">
        <v>44</v>
      </c>
      <c r="H2467" t="s">
        <v>27</v>
      </c>
      <c r="I2467" t="s">
        <v>28</v>
      </c>
      <c r="J2467" t="s">
        <v>87</v>
      </c>
      <c r="K2467">
        <v>20561</v>
      </c>
      <c r="L2467">
        <v>91</v>
      </c>
      <c r="M2467">
        <v>745.22</v>
      </c>
      <c r="N2467">
        <v>3</v>
      </c>
      <c r="O2467">
        <v>86.41</v>
      </c>
      <c r="P2467">
        <f t="shared" si="152"/>
        <v>4.4258547736005056E-3</v>
      </c>
      <c r="Q2467">
        <f t="shared" si="152"/>
        <v>8.18923076923077</v>
      </c>
      <c r="R2467">
        <f t="shared" si="153"/>
        <v>248.40666666666667</v>
      </c>
      <c r="S2467">
        <f t="shared" si="154"/>
        <v>0.11595233622286036</v>
      </c>
      <c r="T2467">
        <f t="shared" si="155"/>
        <v>3.2967032967032968E-2</v>
      </c>
      <c r="U2467" t="str">
        <f>YEAR('Campaign Data'!$A2467)&amp;"-"&amp;TEXT(MONTH('Campaign Data'!$A2467),"00")</f>
        <v>2026-05</v>
      </c>
    </row>
    <row r="2468" spans="1:21" x14ac:dyDescent="0.25">
      <c r="A2468">
        <v>46156</v>
      </c>
      <c r="B2468" t="s">
        <v>100</v>
      </c>
      <c r="C2468" t="s">
        <v>101</v>
      </c>
      <c r="D2468" t="s">
        <v>80</v>
      </c>
      <c r="E2468" t="s">
        <v>33</v>
      </c>
      <c r="F2468" t="s">
        <v>25</v>
      </c>
      <c r="G2468" t="s">
        <v>102</v>
      </c>
      <c r="H2468" t="s">
        <v>51</v>
      </c>
      <c r="I2468" t="s">
        <v>28</v>
      </c>
      <c r="J2468" t="s">
        <v>38</v>
      </c>
      <c r="K2468">
        <v>4692</v>
      </c>
      <c r="L2468">
        <v>28</v>
      </c>
      <c r="M2468">
        <v>17.91</v>
      </c>
      <c r="N2468">
        <v>1</v>
      </c>
      <c r="O2468">
        <v>109.16</v>
      </c>
      <c r="P2468">
        <f t="shared" si="152"/>
        <v>5.9676044330775786E-3</v>
      </c>
      <c r="Q2468">
        <f t="shared" si="152"/>
        <v>0.63964285714285718</v>
      </c>
      <c r="R2468">
        <f t="shared" si="153"/>
        <v>17.91</v>
      </c>
      <c r="S2468">
        <f t="shared" si="154"/>
        <v>6.0949190396426571</v>
      </c>
      <c r="T2468">
        <f t="shared" si="155"/>
        <v>3.5714285714285712E-2</v>
      </c>
      <c r="U2468" t="str">
        <f>YEAR('Campaign Data'!$A2468)&amp;"-"&amp;TEXT(MONTH('Campaign Data'!$A2468),"00")</f>
        <v>2026-05</v>
      </c>
    </row>
    <row r="2469" spans="1:21" x14ac:dyDescent="0.25">
      <c r="A2469">
        <v>46156</v>
      </c>
      <c r="B2469" t="s">
        <v>105</v>
      </c>
      <c r="C2469" t="s">
        <v>106</v>
      </c>
      <c r="D2469" t="s">
        <v>58</v>
      </c>
      <c r="E2469" t="s">
        <v>49</v>
      </c>
      <c r="F2469" t="s">
        <v>81</v>
      </c>
      <c r="G2469" t="s">
        <v>107</v>
      </c>
      <c r="H2469" t="s">
        <v>36</v>
      </c>
      <c r="I2469" t="s">
        <v>37</v>
      </c>
      <c r="J2469" t="s">
        <v>87</v>
      </c>
      <c r="K2469">
        <v>4552</v>
      </c>
      <c r="L2469">
        <v>183</v>
      </c>
      <c r="M2469">
        <v>277.63</v>
      </c>
      <c r="N2469">
        <v>18</v>
      </c>
      <c r="O2469">
        <v>318.87</v>
      </c>
      <c r="P2469">
        <f t="shared" si="152"/>
        <v>4.0202108963093147E-2</v>
      </c>
      <c r="Q2469">
        <f t="shared" si="152"/>
        <v>1.517103825136612</v>
      </c>
      <c r="R2469">
        <f t="shared" si="153"/>
        <v>15.423888888888889</v>
      </c>
      <c r="S2469">
        <f t="shared" si="154"/>
        <v>1.1485430248892412</v>
      </c>
      <c r="T2469">
        <f t="shared" si="155"/>
        <v>9.8360655737704916E-2</v>
      </c>
      <c r="U2469" t="str">
        <f>YEAR('Campaign Data'!$A2469)&amp;"-"&amp;TEXT(MONTH('Campaign Data'!$A2469),"00")</f>
        <v>2026-05</v>
      </c>
    </row>
    <row r="2470" spans="1:21" x14ac:dyDescent="0.25">
      <c r="A2470">
        <v>46156</v>
      </c>
      <c r="B2470" t="s">
        <v>179</v>
      </c>
      <c r="C2470" t="s">
        <v>180</v>
      </c>
      <c r="D2470" t="s">
        <v>58</v>
      </c>
      <c r="E2470" t="s">
        <v>42</v>
      </c>
      <c r="F2470" t="s">
        <v>25</v>
      </c>
      <c r="G2470" t="s">
        <v>54</v>
      </c>
      <c r="H2470" t="s">
        <v>27</v>
      </c>
      <c r="I2470" t="s">
        <v>28</v>
      </c>
      <c r="J2470" t="s">
        <v>45</v>
      </c>
      <c r="K2470">
        <v>9727</v>
      </c>
      <c r="L2470">
        <v>53</v>
      </c>
      <c r="M2470">
        <v>304.06</v>
      </c>
      <c r="N2470">
        <v>0</v>
      </c>
      <c r="O2470">
        <v>0</v>
      </c>
      <c r="P2470">
        <f t="shared" si="152"/>
        <v>5.4487508995579312E-3</v>
      </c>
      <c r="Q2470">
        <f t="shared" si="152"/>
        <v>5.7369811320754716</v>
      </c>
      <c r="R2470">
        <f t="shared" si="153"/>
        <v>0</v>
      </c>
      <c r="S2470">
        <f t="shared" si="154"/>
        <v>0</v>
      </c>
      <c r="T2470">
        <f t="shared" si="155"/>
        <v>0</v>
      </c>
      <c r="U2470" t="str">
        <f>YEAR('Campaign Data'!$A2470)&amp;"-"&amp;TEXT(MONTH('Campaign Data'!$A2470),"00")</f>
        <v>2026-05</v>
      </c>
    </row>
    <row r="2471" spans="1:21" x14ac:dyDescent="0.25">
      <c r="A2471">
        <v>46156</v>
      </c>
      <c r="B2471" t="s">
        <v>171</v>
      </c>
      <c r="C2471" t="s">
        <v>172</v>
      </c>
      <c r="D2471" t="s">
        <v>23</v>
      </c>
      <c r="E2471" t="s">
        <v>33</v>
      </c>
      <c r="F2471" t="s">
        <v>75</v>
      </c>
      <c r="G2471" t="s">
        <v>59</v>
      </c>
      <c r="H2471" t="s">
        <v>60</v>
      </c>
      <c r="I2471" t="s">
        <v>37</v>
      </c>
      <c r="J2471" t="s">
        <v>87</v>
      </c>
      <c r="K2471">
        <v>7856</v>
      </c>
      <c r="L2471">
        <v>48</v>
      </c>
      <c r="M2471">
        <v>18.79</v>
      </c>
      <c r="N2471">
        <v>2</v>
      </c>
      <c r="O2471">
        <v>82.1</v>
      </c>
      <c r="P2471">
        <f t="shared" si="152"/>
        <v>6.1099796334012219E-3</v>
      </c>
      <c r="Q2471">
        <f t="shared" si="152"/>
        <v>0.3914583333333333</v>
      </c>
      <c r="R2471">
        <f t="shared" si="153"/>
        <v>9.3949999999999996</v>
      </c>
      <c r="S2471">
        <f t="shared" si="154"/>
        <v>4.3693453964874935</v>
      </c>
      <c r="T2471">
        <f t="shared" si="155"/>
        <v>4.1666666666666664E-2</v>
      </c>
      <c r="U2471" t="str">
        <f>YEAR('Campaign Data'!$A2471)&amp;"-"&amp;TEXT(MONTH('Campaign Data'!$A2471),"00")</f>
        <v>2026-05</v>
      </c>
    </row>
    <row r="2472" spans="1:21" x14ac:dyDescent="0.25">
      <c r="A2472">
        <v>46156</v>
      </c>
      <c r="B2472" t="s">
        <v>112</v>
      </c>
      <c r="C2472" t="s">
        <v>113</v>
      </c>
      <c r="D2472" t="s">
        <v>32</v>
      </c>
      <c r="E2472" t="s">
        <v>24</v>
      </c>
      <c r="F2472" t="s">
        <v>75</v>
      </c>
      <c r="G2472" t="s">
        <v>66</v>
      </c>
      <c r="H2472" t="s">
        <v>60</v>
      </c>
      <c r="I2472" t="s">
        <v>37</v>
      </c>
      <c r="J2472" t="s">
        <v>29</v>
      </c>
      <c r="K2472">
        <v>13316</v>
      </c>
      <c r="L2472">
        <v>216</v>
      </c>
      <c r="M2472">
        <v>201.3</v>
      </c>
      <c r="N2472">
        <v>3</v>
      </c>
      <c r="O2472">
        <v>49.73</v>
      </c>
      <c r="P2472">
        <f t="shared" si="152"/>
        <v>1.622108741363773E-2</v>
      </c>
      <c r="Q2472">
        <f t="shared" si="152"/>
        <v>0.93194444444444446</v>
      </c>
      <c r="R2472">
        <f t="shared" si="153"/>
        <v>67.100000000000009</v>
      </c>
      <c r="S2472">
        <f t="shared" si="154"/>
        <v>0.24704421261798307</v>
      </c>
      <c r="T2472">
        <f t="shared" si="155"/>
        <v>1.3888888888888888E-2</v>
      </c>
      <c r="U2472" t="str">
        <f>YEAR('Campaign Data'!$A2472)&amp;"-"&amp;TEXT(MONTH('Campaign Data'!$A2472),"00")</f>
        <v>2026-05</v>
      </c>
    </row>
    <row r="2473" spans="1:21" x14ac:dyDescent="0.25">
      <c r="A2473">
        <v>46156</v>
      </c>
      <c r="B2473" t="s">
        <v>161</v>
      </c>
      <c r="C2473" t="s">
        <v>162</v>
      </c>
      <c r="D2473" t="s">
        <v>48</v>
      </c>
      <c r="E2473" t="s">
        <v>74</v>
      </c>
      <c r="F2473" t="s">
        <v>34</v>
      </c>
      <c r="G2473" t="s">
        <v>107</v>
      </c>
      <c r="H2473" t="s">
        <v>71</v>
      </c>
      <c r="I2473" t="s">
        <v>28</v>
      </c>
      <c r="J2473" t="s">
        <v>38</v>
      </c>
      <c r="K2473">
        <v>18206</v>
      </c>
      <c r="L2473">
        <v>505</v>
      </c>
      <c r="M2473">
        <v>827.69</v>
      </c>
      <c r="N2473">
        <v>24</v>
      </c>
      <c r="O2473">
        <v>4803.54</v>
      </c>
      <c r="P2473">
        <f t="shared" si="152"/>
        <v>2.77381083159398E-2</v>
      </c>
      <c r="Q2473">
        <f t="shared" si="152"/>
        <v>1.6389900990099011</v>
      </c>
      <c r="R2473">
        <f t="shared" si="153"/>
        <v>34.487083333333338</v>
      </c>
      <c r="S2473">
        <f t="shared" si="154"/>
        <v>5.8035496381495486</v>
      </c>
      <c r="T2473">
        <f t="shared" si="155"/>
        <v>4.7524752475247525E-2</v>
      </c>
      <c r="U2473" t="str">
        <f>YEAR('Campaign Data'!$A2473)&amp;"-"&amp;TEXT(MONTH('Campaign Data'!$A2473),"00")</f>
        <v>2026-05</v>
      </c>
    </row>
    <row r="2474" spans="1:21" x14ac:dyDescent="0.25">
      <c r="A2474">
        <v>46156</v>
      </c>
      <c r="B2474" t="s">
        <v>136</v>
      </c>
      <c r="C2474" t="s">
        <v>137</v>
      </c>
      <c r="D2474" t="s">
        <v>32</v>
      </c>
      <c r="E2474" t="s">
        <v>49</v>
      </c>
      <c r="F2474" t="s">
        <v>75</v>
      </c>
      <c r="G2474" t="s">
        <v>97</v>
      </c>
      <c r="H2474" t="s">
        <v>90</v>
      </c>
      <c r="I2474" t="s">
        <v>61</v>
      </c>
      <c r="J2474" t="s">
        <v>87</v>
      </c>
      <c r="K2474">
        <v>4408</v>
      </c>
      <c r="L2474">
        <v>280</v>
      </c>
      <c r="M2474">
        <v>147.13</v>
      </c>
      <c r="N2474">
        <v>20</v>
      </c>
      <c r="O2474">
        <v>189.9</v>
      </c>
      <c r="P2474">
        <f t="shared" si="152"/>
        <v>6.3520871143375679E-2</v>
      </c>
      <c r="Q2474">
        <f t="shared" si="152"/>
        <v>0.52546428571428572</v>
      </c>
      <c r="R2474">
        <f t="shared" si="153"/>
        <v>7.3564999999999996</v>
      </c>
      <c r="S2474">
        <f t="shared" si="154"/>
        <v>1.290695303473119</v>
      </c>
      <c r="T2474">
        <f t="shared" si="155"/>
        <v>7.1428571428571425E-2</v>
      </c>
      <c r="U2474" t="str">
        <f>YEAR('Campaign Data'!$A2474)&amp;"-"&amp;TEXT(MONTH('Campaign Data'!$A2474),"00")</f>
        <v>2026-05</v>
      </c>
    </row>
    <row r="2475" spans="1:21" x14ac:dyDescent="0.25">
      <c r="A2475">
        <v>46156</v>
      </c>
      <c r="B2475" t="s">
        <v>116</v>
      </c>
      <c r="C2475" t="s">
        <v>117</v>
      </c>
      <c r="D2475" t="s">
        <v>48</v>
      </c>
      <c r="E2475" t="s">
        <v>24</v>
      </c>
      <c r="F2475" t="s">
        <v>43</v>
      </c>
      <c r="G2475" t="s">
        <v>26</v>
      </c>
      <c r="H2475" t="s">
        <v>36</v>
      </c>
      <c r="I2475" t="s">
        <v>37</v>
      </c>
      <c r="J2475" t="s">
        <v>62</v>
      </c>
      <c r="K2475">
        <v>5952</v>
      </c>
      <c r="L2475">
        <v>94</v>
      </c>
      <c r="M2475">
        <v>98.43</v>
      </c>
      <c r="N2475">
        <v>4</v>
      </c>
      <c r="O2475">
        <v>142.85</v>
      </c>
      <c r="P2475">
        <f t="shared" si="152"/>
        <v>1.5793010752688172E-2</v>
      </c>
      <c r="Q2475">
        <f t="shared" si="152"/>
        <v>1.0471276595744681</v>
      </c>
      <c r="R2475">
        <f t="shared" si="153"/>
        <v>24.607500000000002</v>
      </c>
      <c r="S2475">
        <f t="shared" si="154"/>
        <v>1.4512851772833484</v>
      </c>
      <c r="T2475">
        <f t="shared" si="155"/>
        <v>4.2553191489361701E-2</v>
      </c>
      <c r="U2475" t="str">
        <f>YEAR('Campaign Data'!$A2475)&amp;"-"&amp;TEXT(MONTH('Campaign Data'!$A2475),"00")</f>
        <v>2026-05</v>
      </c>
    </row>
    <row r="2476" spans="1:21" x14ac:dyDescent="0.25">
      <c r="A2476">
        <v>46156</v>
      </c>
      <c r="B2476" t="s">
        <v>145</v>
      </c>
      <c r="C2476" t="s">
        <v>146</v>
      </c>
      <c r="D2476" t="s">
        <v>41</v>
      </c>
      <c r="E2476" t="s">
        <v>49</v>
      </c>
      <c r="F2476" t="s">
        <v>75</v>
      </c>
      <c r="G2476" t="s">
        <v>70</v>
      </c>
      <c r="H2476" t="s">
        <v>90</v>
      </c>
      <c r="I2476" t="s">
        <v>37</v>
      </c>
      <c r="J2476" t="s">
        <v>45</v>
      </c>
      <c r="K2476">
        <v>5925</v>
      </c>
      <c r="L2476">
        <v>228</v>
      </c>
      <c r="M2476">
        <v>129.13</v>
      </c>
      <c r="N2476">
        <v>10</v>
      </c>
      <c r="O2476">
        <v>94.14</v>
      </c>
      <c r="P2476">
        <f t="shared" si="152"/>
        <v>3.8481012658227849E-2</v>
      </c>
      <c r="Q2476">
        <f t="shared" si="152"/>
        <v>0.56635964912280701</v>
      </c>
      <c r="R2476">
        <f t="shared" si="153"/>
        <v>12.913</v>
      </c>
      <c r="S2476">
        <f t="shared" si="154"/>
        <v>0.7290327576860528</v>
      </c>
      <c r="T2476">
        <f t="shared" si="155"/>
        <v>4.3859649122807015E-2</v>
      </c>
      <c r="U2476" t="str">
        <f>YEAR('Campaign Data'!$A2476)&amp;"-"&amp;TEXT(MONTH('Campaign Data'!$A2476),"00")</f>
        <v>2026-05</v>
      </c>
    </row>
    <row r="2477" spans="1:21" x14ac:dyDescent="0.25">
      <c r="A2477">
        <v>46156</v>
      </c>
      <c r="B2477" t="s">
        <v>78</v>
      </c>
      <c r="C2477" t="s">
        <v>79</v>
      </c>
      <c r="D2477" t="s">
        <v>80</v>
      </c>
      <c r="E2477" t="s">
        <v>24</v>
      </c>
      <c r="F2477" t="s">
        <v>81</v>
      </c>
      <c r="G2477" t="s">
        <v>66</v>
      </c>
      <c r="H2477" t="s">
        <v>90</v>
      </c>
      <c r="I2477" t="s">
        <v>28</v>
      </c>
      <c r="J2477" t="s">
        <v>38</v>
      </c>
      <c r="K2477">
        <v>2443</v>
      </c>
      <c r="L2477">
        <v>19</v>
      </c>
      <c r="M2477">
        <v>4.42</v>
      </c>
      <c r="N2477">
        <v>0</v>
      </c>
      <c r="O2477">
        <v>0</v>
      </c>
      <c r="P2477">
        <f t="shared" si="152"/>
        <v>7.777322963569382E-3</v>
      </c>
      <c r="Q2477">
        <f t="shared" si="152"/>
        <v>0.23263157894736841</v>
      </c>
      <c r="R2477">
        <f t="shared" si="153"/>
        <v>0</v>
      </c>
      <c r="S2477">
        <f t="shared" si="154"/>
        <v>0</v>
      </c>
      <c r="T2477">
        <f t="shared" si="155"/>
        <v>0</v>
      </c>
      <c r="U2477" t="str">
        <f>YEAR('Campaign Data'!$A2477)&amp;"-"&amp;TEXT(MONTH('Campaign Data'!$A2477),"00")</f>
        <v>2026-05</v>
      </c>
    </row>
    <row r="2478" spans="1:21" x14ac:dyDescent="0.25">
      <c r="A2478">
        <v>46157</v>
      </c>
      <c r="B2478" t="s">
        <v>165</v>
      </c>
      <c r="C2478" t="s">
        <v>166</v>
      </c>
      <c r="D2478" t="s">
        <v>41</v>
      </c>
      <c r="E2478" t="s">
        <v>33</v>
      </c>
      <c r="F2478" t="s">
        <v>43</v>
      </c>
      <c r="G2478" t="s">
        <v>59</v>
      </c>
      <c r="H2478" t="s">
        <v>27</v>
      </c>
      <c r="I2478" t="s">
        <v>37</v>
      </c>
      <c r="J2478" t="s">
        <v>62</v>
      </c>
      <c r="K2478">
        <v>2383</v>
      </c>
      <c r="L2478">
        <v>25</v>
      </c>
      <c r="M2478">
        <v>13.76</v>
      </c>
      <c r="N2478">
        <v>2</v>
      </c>
      <c r="O2478">
        <v>25.02</v>
      </c>
      <c r="P2478">
        <f t="shared" si="152"/>
        <v>1.049097775912715E-2</v>
      </c>
      <c r="Q2478">
        <f t="shared" si="152"/>
        <v>0.5504</v>
      </c>
      <c r="R2478">
        <f t="shared" si="153"/>
        <v>6.88</v>
      </c>
      <c r="S2478">
        <f t="shared" si="154"/>
        <v>1.8183139534883721</v>
      </c>
      <c r="T2478">
        <f t="shared" si="155"/>
        <v>0.08</v>
      </c>
      <c r="U2478" t="str">
        <f>YEAR('Campaign Data'!$A2478)&amp;"-"&amp;TEXT(MONTH('Campaign Data'!$A2478),"00")</f>
        <v>2026-05</v>
      </c>
    </row>
    <row r="2479" spans="1:21" x14ac:dyDescent="0.25">
      <c r="A2479">
        <v>46157</v>
      </c>
      <c r="B2479" t="s">
        <v>85</v>
      </c>
      <c r="C2479" t="s">
        <v>86</v>
      </c>
      <c r="D2479" t="s">
        <v>80</v>
      </c>
      <c r="E2479" t="s">
        <v>33</v>
      </c>
      <c r="F2479" t="s">
        <v>43</v>
      </c>
      <c r="G2479" t="s">
        <v>35</v>
      </c>
      <c r="H2479" t="s">
        <v>90</v>
      </c>
      <c r="I2479" t="s">
        <v>28</v>
      </c>
      <c r="J2479" t="s">
        <v>45</v>
      </c>
      <c r="K2479">
        <v>7068</v>
      </c>
      <c r="L2479">
        <v>72</v>
      </c>
      <c r="M2479">
        <v>13.86</v>
      </c>
      <c r="N2479">
        <v>2</v>
      </c>
      <c r="O2479">
        <v>14.18</v>
      </c>
      <c r="P2479">
        <f t="shared" si="152"/>
        <v>1.0186757215619695E-2</v>
      </c>
      <c r="Q2479">
        <f t="shared" si="152"/>
        <v>0.1925</v>
      </c>
      <c r="R2479">
        <f t="shared" si="153"/>
        <v>6.93</v>
      </c>
      <c r="S2479">
        <f t="shared" si="154"/>
        <v>1.023088023088023</v>
      </c>
      <c r="T2479">
        <f t="shared" si="155"/>
        <v>2.7777777777777776E-2</v>
      </c>
      <c r="U2479" t="str">
        <f>YEAR('Campaign Data'!$A2479)&amp;"-"&amp;TEXT(MONTH('Campaign Data'!$A2479),"00")</f>
        <v>2026-05</v>
      </c>
    </row>
    <row r="2480" spans="1:21" x14ac:dyDescent="0.25">
      <c r="A2480">
        <v>46157</v>
      </c>
      <c r="B2480" t="s">
        <v>21</v>
      </c>
      <c r="C2480" t="s">
        <v>124</v>
      </c>
      <c r="D2480" t="s">
        <v>23</v>
      </c>
      <c r="E2480" t="s">
        <v>24</v>
      </c>
      <c r="F2480" t="s">
        <v>25</v>
      </c>
      <c r="G2480" t="s">
        <v>26</v>
      </c>
      <c r="H2480" t="s">
        <v>27</v>
      </c>
      <c r="I2480" t="s">
        <v>37</v>
      </c>
      <c r="J2480" t="s">
        <v>38</v>
      </c>
      <c r="K2480">
        <v>11662</v>
      </c>
      <c r="L2480">
        <v>148</v>
      </c>
      <c r="M2480">
        <v>146.32</v>
      </c>
      <c r="N2480">
        <v>3</v>
      </c>
      <c r="O2480">
        <v>502.23</v>
      </c>
      <c r="P2480">
        <f t="shared" si="152"/>
        <v>1.2690790601955068E-2</v>
      </c>
      <c r="Q2480">
        <f t="shared" si="152"/>
        <v>0.98864864864864865</v>
      </c>
      <c r="R2480">
        <f t="shared" si="153"/>
        <v>48.773333333333333</v>
      </c>
      <c r="S2480">
        <f t="shared" si="154"/>
        <v>3.4324084199015861</v>
      </c>
      <c r="T2480">
        <f t="shared" si="155"/>
        <v>2.0270270270270271E-2</v>
      </c>
      <c r="U2480" t="str">
        <f>YEAR('Campaign Data'!$A2480)&amp;"-"&amp;TEXT(MONTH('Campaign Data'!$A2480),"00")</f>
        <v>2026-05</v>
      </c>
    </row>
    <row r="2481" spans="1:21" x14ac:dyDescent="0.25">
      <c r="A2481">
        <v>46157</v>
      </c>
      <c r="B2481" t="s">
        <v>186</v>
      </c>
      <c r="C2481" t="s">
        <v>187</v>
      </c>
      <c r="D2481" t="s">
        <v>80</v>
      </c>
      <c r="E2481" t="s">
        <v>33</v>
      </c>
      <c r="F2481" t="s">
        <v>43</v>
      </c>
      <c r="G2481" t="s">
        <v>102</v>
      </c>
      <c r="H2481" t="s">
        <v>55</v>
      </c>
      <c r="I2481" t="s">
        <v>37</v>
      </c>
      <c r="J2481" t="s">
        <v>62</v>
      </c>
      <c r="K2481">
        <v>3100</v>
      </c>
      <c r="L2481">
        <v>45</v>
      </c>
      <c r="M2481">
        <v>24.14</v>
      </c>
      <c r="N2481">
        <v>1</v>
      </c>
      <c r="O2481">
        <v>20.25</v>
      </c>
      <c r="P2481">
        <f t="shared" si="152"/>
        <v>1.4516129032258065E-2</v>
      </c>
      <c r="Q2481">
        <f t="shared" si="152"/>
        <v>0.5364444444444445</v>
      </c>
      <c r="R2481">
        <f t="shared" si="153"/>
        <v>24.14</v>
      </c>
      <c r="S2481">
        <f t="shared" si="154"/>
        <v>0.8388566694283347</v>
      </c>
      <c r="T2481">
        <f t="shared" si="155"/>
        <v>2.2222222222222223E-2</v>
      </c>
      <c r="U2481" t="str">
        <f>YEAR('Campaign Data'!$A2481)&amp;"-"&amp;TEXT(MONTH('Campaign Data'!$A2481),"00")</f>
        <v>2026-05</v>
      </c>
    </row>
    <row r="2482" spans="1:21" x14ac:dyDescent="0.25">
      <c r="A2482">
        <v>46157</v>
      </c>
      <c r="B2482" t="s">
        <v>100</v>
      </c>
      <c r="C2482" t="s">
        <v>101</v>
      </c>
      <c r="D2482" t="s">
        <v>80</v>
      </c>
      <c r="E2482" t="s">
        <v>33</v>
      </c>
      <c r="F2482" t="s">
        <v>25</v>
      </c>
      <c r="G2482" t="s">
        <v>102</v>
      </c>
      <c r="H2482" t="s">
        <v>27</v>
      </c>
      <c r="I2482" t="s">
        <v>28</v>
      </c>
      <c r="J2482" t="s">
        <v>62</v>
      </c>
      <c r="K2482">
        <v>13733</v>
      </c>
      <c r="L2482">
        <v>114</v>
      </c>
      <c r="M2482">
        <v>70.62</v>
      </c>
      <c r="N2482">
        <v>2</v>
      </c>
      <c r="O2482">
        <v>182.37</v>
      </c>
      <c r="P2482">
        <f t="shared" si="152"/>
        <v>8.3011723585523917E-3</v>
      </c>
      <c r="Q2482">
        <f t="shared" si="152"/>
        <v>0.6194736842105264</v>
      </c>
      <c r="R2482">
        <f t="shared" si="153"/>
        <v>35.31</v>
      </c>
      <c r="S2482">
        <f t="shared" si="154"/>
        <v>2.5824129141886152</v>
      </c>
      <c r="T2482">
        <f t="shared" si="155"/>
        <v>1.7543859649122806E-2</v>
      </c>
      <c r="U2482" t="str">
        <f>YEAR('Campaign Data'!$A2482)&amp;"-"&amp;TEXT(MONTH('Campaign Data'!$A2482),"00")</f>
        <v>2026-05</v>
      </c>
    </row>
    <row r="2483" spans="1:21" x14ac:dyDescent="0.25">
      <c r="A2483">
        <v>46157</v>
      </c>
      <c r="B2483" t="s">
        <v>108</v>
      </c>
      <c r="C2483" t="s">
        <v>109</v>
      </c>
      <c r="D2483" t="s">
        <v>58</v>
      </c>
      <c r="E2483" t="s">
        <v>33</v>
      </c>
      <c r="F2483" t="s">
        <v>43</v>
      </c>
      <c r="G2483" t="s">
        <v>59</v>
      </c>
      <c r="H2483" t="s">
        <v>60</v>
      </c>
      <c r="I2483" t="s">
        <v>61</v>
      </c>
      <c r="J2483" t="s">
        <v>62</v>
      </c>
      <c r="K2483">
        <v>13197</v>
      </c>
      <c r="L2483">
        <v>73</v>
      </c>
      <c r="M2483">
        <v>31.72</v>
      </c>
      <c r="N2483">
        <v>3</v>
      </c>
      <c r="O2483">
        <v>69.069999999999993</v>
      </c>
      <c r="P2483">
        <f t="shared" si="152"/>
        <v>5.5315602030764572E-3</v>
      </c>
      <c r="Q2483">
        <f t="shared" si="152"/>
        <v>0.43452054794520545</v>
      </c>
      <c r="R2483">
        <f t="shared" si="153"/>
        <v>10.573333333333332</v>
      </c>
      <c r="S2483">
        <f t="shared" si="154"/>
        <v>2.1774905422446404</v>
      </c>
      <c r="T2483">
        <f t="shared" si="155"/>
        <v>4.1095890410958902E-2</v>
      </c>
      <c r="U2483" t="str">
        <f>YEAR('Campaign Data'!$A2483)&amp;"-"&amp;TEXT(MONTH('Campaign Data'!$A2483),"00")</f>
        <v>2026-05</v>
      </c>
    </row>
    <row r="2484" spans="1:21" x14ac:dyDescent="0.25">
      <c r="A2484">
        <v>46157</v>
      </c>
      <c r="B2484" t="s">
        <v>157</v>
      </c>
      <c r="C2484" t="s">
        <v>158</v>
      </c>
      <c r="D2484" t="s">
        <v>58</v>
      </c>
      <c r="E2484" t="s">
        <v>49</v>
      </c>
      <c r="F2484" t="s">
        <v>81</v>
      </c>
      <c r="G2484" t="s">
        <v>50</v>
      </c>
      <c r="H2484" t="s">
        <v>51</v>
      </c>
      <c r="I2484" t="s">
        <v>28</v>
      </c>
      <c r="J2484" t="s">
        <v>45</v>
      </c>
      <c r="K2484">
        <v>2603</v>
      </c>
      <c r="L2484">
        <v>142</v>
      </c>
      <c r="M2484">
        <v>173.6</v>
      </c>
      <c r="N2484">
        <v>1</v>
      </c>
      <c r="O2484">
        <v>11.99</v>
      </c>
      <c r="P2484">
        <f t="shared" si="152"/>
        <v>5.4552439492892818E-2</v>
      </c>
      <c r="Q2484">
        <f t="shared" si="152"/>
        <v>1.2225352112676056</v>
      </c>
      <c r="R2484">
        <f t="shared" si="153"/>
        <v>173.6</v>
      </c>
      <c r="S2484">
        <f t="shared" si="154"/>
        <v>6.9066820276497701E-2</v>
      </c>
      <c r="T2484">
        <f t="shared" si="155"/>
        <v>7.0422535211267607E-3</v>
      </c>
      <c r="U2484" t="str">
        <f>YEAR('Campaign Data'!$A2484)&amp;"-"&amp;TEXT(MONTH('Campaign Data'!$A2484),"00")</f>
        <v>2026-05</v>
      </c>
    </row>
    <row r="2485" spans="1:21" x14ac:dyDescent="0.25">
      <c r="A2485">
        <v>46157</v>
      </c>
      <c r="B2485" t="s">
        <v>141</v>
      </c>
      <c r="C2485" t="s">
        <v>142</v>
      </c>
      <c r="D2485" t="s">
        <v>80</v>
      </c>
      <c r="E2485" t="s">
        <v>49</v>
      </c>
      <c r="F2485" t="s">
        <v>81</v>
      </c>
      <c r="G2485" t="s">
        <v>97</v>
      </c>
      <c r="H2485" t="s">
        <v>51</v>
      </c>
      <c r="I2485" t="s">
        <v>37</v>
      </c>
      <c r="J2485" t="s">
        <v>45</v>
      </c>
      <c r="K2485">
        <v>2484</v>
      </c>
      <c r="L2485">
        <v>75</v>
      </c>
      <c r="M2485">
        <v>137.34</v>
      </c>
      <c r="N2485">
        <v>8</v>
      </c>
      <c r="O2485">
        <v>149.88999999999999</v>
      </c>
      <c r="P2485">
        <f t="shared" si="152"/>
        <v>3.0193236714975844E-2</v>
      </c>
      <c r="Q2485">
        <f t="shared" si="152"/>
        <v>1.8311999999999999</v>
      </c>
      <c r="R2485">
        <f t="shared" si="153"/>
        <v>17.1675</v>
      </c>
      <c r="S2485">
        <f t="shared" si="154"/>
        <v>1.0913790592689674</v>
      </c>
      <c r="T2485">
        <f t="shared" si="155"/>
        <v>0.10666666666666667</v>
      </c>
      <c r="U2485" t="str">
        <f>YEAR('Campaign Data'!$A2485)&amp;"-"&amp;TEXT(MONTH('Campaign Data'!$A2485),"00")</f>
        <v>2026-05</v>
      </c>
    </row>
    <row r="2486" spans="1:21" x14ac:dyDescent="0.25">
      <c r="A2486">
        <v>46157</v>
      </c>
      <c r="B2486" t="s">
        <v>143</v>
      </c>
      <c r="C2486" t="s">
        <v>144</v>
      </c>
      <c r="D2486" t="s">
        <v>48</v>
      </c>
      <c r="E2486" t="s">
        <v>42</v>
      </c>
      <c r="F2486" t="s">
        <v>25</v>
      </c>
      <c r="G2486" t="s">
        <v>84</v>
      </c>
      <c r="H2486" t="s">
        <v>27</v>
      </c>
      <c r="I2486" t="s">
        <v>37</v>
      </c>
      <c r="J2486" t="s">
        <v>38</v>
      </c>
      <c r="K2486">
        <v>19423</v>
      </c>
      <c r="L2486">
        <v>84</v>
      </c>
      <c r="M2486">
        <v>595.67999999999995</v>
      </c>
      <c r="N2486">
        <v>3</v>
      </c>
      <c r="O2486">
        <v>737.93</v>
      </c>
      <c r="P2486">
        <f t="shared" si="152"/>
        <v>4.3247696030479328E-3</v>
      </c>
      <c r="Q2486">
        <f t="shared" si="152"/>
        <v>7.0914285714285707</v>
      </c>
      <c r="R2486">
        <f t="shared" si="153"/>
        <v>198.55999999999997</v>
      </c>
      <c r="S2486">
        <f t="shared" si="154"/>
        <v>1.2388027128659682</v>
      </c>
      <c r="T2486">
        <f t="shared" si="155"/>
        <v>3.5714285714285712E-2</v>
      </c>
      <c r="U2486" t="str">
        <f>YEAR('Campaign Data'!$A2486)&amp;"-"&amp;TEXT(MONTH('Campaign Data'!$A2486),"00")</f>
        <v>2026-05</v>
      </c>
    </row>
    <row r="2487" spans="1:21" x14ac:dyDescent="0.25">
      <c r="A2487">
        <v>46157</v>
      </c>
      <c r="B2487" t="s">
        <v>116</v>
      </c>
      <c r="C2487" t="s">
        <v>117</v>
      </c>
      <c r="D2487" t="s">
        <v>48</v>
      </c>
      <c r="E2487" t="s">
        <v>24</v>
      </c>
      <c r="F2487" t="s">
        <v>43</v>
      </c>
      <c r="G2487" t="s">
        <v>26</v>
      </c>
      <c r="H2487" t="s">
        <v>27</v>
      </c>
      <c r="I2487" t="s">
        <v>28</v>
      </c>
      <c r="J2487" t="s">
        <v>87</v>
      </c>
      <c r="K2487">
        <v>10111</v>
      </c>
      <c r="L2487">
        <v>120</v>
      </c>
      <c r="M2487">
        <v>177.6</v>
      </c>
      <c r="N2487">
        <v>1</v>
      </c>
      <c r="O2487">
        <v>21.89</v>
      </c>
      <c r="P2487">
        <f t="shared" si="152"/>
        <v>1.1868262288596578E-2</v>
      </c>
      <c r="Q2487">
        <f t="shared" si="152"/>
        <v>1.48</v>
      </c>
      <c r="R2487">
        <f t="shared" si="153"/>
        <v>177.6</v>
      </c>
      <c r="S2487">
        <f t="shared" si="154"/>
        <v>0.12325450450450451</v>
      </c>
      <c r="T2487">
        <f t="shared" si="155"/>
        <v>8.3333333333333332E-3</v>
      </c>
      <c r="U2487" t="str">
        <f>YEAR('Campaign Data'!$A2487)&amp;"-"&amp;TEXT(MONTH('Campaign Data'!$A2487),"00")</f>
        <v>2026-05</v>
      </c>
    </row>
    <row r="2488" spans="1:21" x14ac:dyDescent="0.25">
      <c r="A2488">
        <v>46157</v>
      </c>
      <c r="B2488" t="s">
        <v>118</v>
      </c>
      <c r="C2488" t="s">
        <v>119</v>
      </c>
      <c r="D2488" t="s">
        <v>69</v>
      </c>
      <c r="E2488" t="s">
        <v>33</v>
      </c>
      <c r="F2488" t="s">
        <v>34</v>
      </c>
      <c r="G2488" t="s">
        <v>35</v>
      </c>
      <c r="H2488" t="s">
        <v>27</v>
      </c>
      <c r="I2488" t="s">
        <v>37</v>
      </c>
      <c r="J2488" t="s">
        <v>45</v>
      </c>
      <c r="K2488">
        <v>2405</v>
      </c>
      <c r="L2488">
        <v>24</v>
      </c>
      <c r="M2488">
        <v>16.79</v>
      </c>
      <c r="N2488">
        <v>0</v>
      </c>
      <c r="O2488">
        <v>0</v>
      </c>
      <c r="P2488">
        <f t="shared" si="152"/>
        <v>9.9792099792099798E-3</v>
      </c>
      <c r="Q2488">
        <f t="shared" si="152"/>
        <v>0.69958333333333333</v>
      </c>
      <c r="R2488">
        <f t="shared" si="153"/>
        <v>0</v>
      </c>
      <c r="S2488">
        <f t="shared" si="154"/>
        <v>0</v>
      </c>
      <c r="T2488">
        <f t="shared" si="155"/>
        <v>0</v>
      </c>
      <c r="U2488" t="str">
        <f>YEAR('Campaign Data'!$A2488)&amp;"-"&amp;TEXT(MONTH('Campaign Data'!$A2488),"00")</f>
        <v>2026-05</v>
      </c>
    </row>
    <row r="2489" spans="1:21" x14ac:dyDescent="0.25">
      <c r="A2489">
        <v>46157</v>
      </c>
      <c r="B2489" t="s">
        <v>120</v>
      </c>
      <c r="C2489" t="s">
        <v>121</v>
      </c>
      <c r="D2489" t="s">
        <v>23</v>
      </c>
      <c r="E2489" t="s">
        <v>49</v>
      </c>
      <c r="F2489" t="s">
        <v>75</v>
      </c>
      <c r="G2489" t="s">
        <v>70</v>
      </c>
      <c r="H2489" t="s">
        <v>27</v>
      </c>
      <c r="I2489" t="s">
        <v>37</v>
      </c>
      <c r="J2489" t="s">
        <v>87</v>
      </c>
      <c r="K2489">
        <v>3926</v>
      </c>
      <c r="L2489">
        <v>91</v>
      </c>
      <c r="M2489">
        <v>227.13</v>
      </c>
      <c r="N2489">
        <v>4</v>
      </c>
      <c r="O2489">
        <v>166.09</v>
      </c>
      <c r="P2489">
        <f t="shared" si="152"/>
        <v>2.3178807947019868E-2</v>
      </c>
      <c r="Q2489">
        <f t="shared" si="152"/>
        <v>2.4959340659340659</v>
      </c>
      <c r="R2489">
        <f t="shared" si="153"/>
        <v>56.782499999999999</v>
      </c>
      <c r="S2489">
        <f t="shared" si="154"/>
        <v>0.73125522828336198</v>
      </c>
      <c r="T2489">
        <f t="shared" si="155"/>
        <v>4.3956043956043959E-2</v>
      </c>
      <c r="U2489" t="str">
        <f>YEAR('Campaign Data'!$A2489)&amp;"-"&amp;TEXT(MONTH('Campaign Data'!$A2489),"00")</f>
        <v>2026-05</v>
      </c>
    </row>
    <row r="2490" spans="1:21" x14ac:dyDescent="0.25">
      <c r="A2490">
        <v>46157</v>
      </c>
      <c r="B2490" t="s">
        <v>120</v>
      </c>
      <c r="C2490" t="s">
        <v>121</v>
      </c>
      <c r="D2490" t="s">
        <v>23</v>
      </c>
      <c r="E2490" t="s">
        <v>49</v>
      </c>
      <c r="F2490" t="s">
        <v>75</v>
      </c>
      <c r="G2490" t="s">
        <v>70</v>
      </c>
      <c r="H2490" t="s">
        <v>51</v>
      </c>
      <c r="I2490" t="s">
        <v>37</v>
      </c>
      <c r="J2490" t="s">
        <v>38</v>
      </c>
      <c r="K2490">
        <v>20432</v>
      </c>
      <c r="L2490">
        <v>1300</v>
      </c>
      <c r="M2490">
        <v>2192.08</v>
      </c>
      <c r="N2490">
        <v>69</v>
      </c>
      <c r="O2490">
        <v>3041.05</v>
      </c>
      <c r="P2490">
        <f t="shared" si="152"/>
        <v>6.3625685199686768E-2</v>
      </c>
      <c r="Q2490">
        <f t="shared" si="152"/>
        <v>1.6862153846153844</v>
      </c>
      <c r="R2490">
        <f t="shared" si="153"/>
        <v>31.76927536231884</v>
      </c>
      <c r="S2490">
        <f t="shared" si="154"/>
        <v>1.3872896974562974</v>
      </c>
      <c r="T2490">
        <f t="shared" si="155"/>
        <v>5.3076923076923077E-2</v>
      </c>
      <c r="U2490" t="str">
        <f>YEAR('Campaign Data'!$A2490)&amp;"-"&amp;TEXT(MONTH('Campaign Data'!$A2490),"00")</f>
        <v>2026-05</v>
      </c>
    </row>
    <row r="2491" spans="1:21" x14ac:dyDescent="0.25">
      <c r="A2491">
        <v>46157</v>
      </c>
      <c r="B2491" t="s">
        <v>82</v>
      </c>
      <c r="C2491" t="s">
        <v>83</v>
      </c>
      <c r="D2491" t="s">
        <v>80</v>
      </c>
      <c r="E2491" t="s">
        <v>42</v>
      </c>
      <c r="F2491" t="s">
        <v>34</v>
      </c>
      <c r="G2491" t="s">
        <v>84</v>
      </c>
      <c r="H2491" t="s">
        <v>27</v>
      </c>
      <c r="I2491" t="s">
        <v>37</v>
      </c>
      <c r="J2491" t="s">
        <v>87</v>
      </c>
      <c r="K2491">
        <v>10021</v>
      </c>
      <c r="L2491">
        <v>54</v>
      </c>
      <c r="M2491">
        <v>552.46</v>
      </c>
      <c r="N2491">
        <v>3</v>
      </c>
      <c r="O2491">
        <v>524.92999999999995</v>
      </c>
      <c r="P2491">
        <f t="shared" si="152"/>
        <v>5.3886837640953998E-3</v>
      </c>
      <c r="Q2491">
        <f t="shared" si="152"/>
        <v>10.230740740740741</v>
      </c>
      <c r="R2491">
        <f t="shared" si="153"/>
        <v>184.15333333333334</v>
      </c>
      <c r="S2491">
        <f t="shared" si="154"/>
        <v>0.95016833797922007</v>
      </c>
      <c r="T2491">
        <f t="shared" si="155"/>
        <v>5.5555555555555552E-2</v>
      </c>
      <c r="U2491" t="str">
        <f>YEAR('Campaign Data'!$A2491)&amp;"-"&amp;TEXT(MONTH('Campaign Data'!$A2491),"00")</f>
        <v>2026-05</v>
      </c>
    </row>
    <row r="2492" spans="1:21" x14ac:dyDescent="0.25">
      <c r="A2492">
        <v>46158</v>
      </c>
      <c r="B2492" t="s">
        <v>165</v>
      </c>
      <c r="C2492" t="s">
        <v>166</v>
      </c>
      <c r="D2492" t="s">
        <v>41</v>
      </c>
      <c r="E2492" t="s">
        <v>33</v>
      </c>
      <c r="F2492" t="s">
        <v>43</v>
      </c>
      <c r="G2492" t="s">
        <v>59</v>
      </c>
      <c r="H2492" t="s">
        <v>90</v>
      </c>
      <c r="I2492" t="s">
        <v>37</v>
      </c>
      <c r="J2492" t="s">
        <v>62</v>
      </c>
      <c r="K2492">
        <v>2995</v>
      </c>
      <c r="L2492">
        <v>37</v>
      </c>
      <c r="M2492">
        <v>7.83</v>
      </c>
      <c r="N2492">
        <v>1</v>
      </c>
      <c r="O2492">
        <v>7.66</v>
      </c>
      <c r="P2492">
        <f t="shared" si="152"/>
        <v>1.2353923205342237E-2</v>
      </c>
      <c r="Q2492">
        <f t="shared" si="152"/>
        <v>0.21162162162162163</v>
      </c>
      <c r="R2492">
        <f t="shared" si="153"/>
        <v>7.83</v>
      </c>
      <c r="S2492">
        <f t="shared" si="154"/>
        <v>0.97828863346104722</v>
      </c>
      <c r="T2492">
        <f t="shared" si="155"/>
        <v>2.7027027027027029E-2</v>
      </c>
      <c r="U2492" t="str">
        <f>YEAR('Campaign Data'!$A2492)&amp;"-"&amp;TEXT(MONTH('Campaign Data'!$A2492),"00")</f>
        <v>2026-05</v>
      </c>
    </row>
    <row r="2493" spans="1:21" x14ac:dyDescent="0.25">
      <c r="A2493">
        <v>46158</v>
      </c>
      <c r="B2493" t="s">
        <v>186</v>
      </c>
      <c r="C2493" t="s">
        <v>187</v>
      </c>
      <c r="D2493" t="s">
        <v>80</v>
      </c>
      <c r="E2493" t="s">
        <v>33</v>
      </c>
      <c r="F2493" t="s">
        <v>43</v>
      </c>
      <c r="G2493" t="s">
        <v>102</v>
      </c>
      <c r="H2493" t="s">
        <v>60</v>
      </c>
      <c r="I2493" t="s">
        <v>37</v>
      </c>
      <c r="J2493" t="s">
        <v>87</v>
      </c>
      <c r="K2493">
        <v>4735</v>
      </c>
      <c r="L2493">
        <v>59</v>
      </c>
      <c r="M2493">
        <v>31.27</v>
      </c>
      <c r="N2493">
        <v>0</v>
      </c>
      <c r="O2493">
        <v>0</v>
      </c>
      <c r="P2493">
        <f t="shared" si="152"/>
        <v>1.246040126715945E-2</v>
      </c>
      <c r="Q2493">
        <f t="shared" si="152"/>
        <v>0.53</v>
      </c>
      <c r="R2493">
        <f t="shared" si="153"/>
        <v>0</v>
      </c>
      <c r="S2493">
        <f t="shared" si="154"/>
        <v>0</v>
      </c>
      <c r="T2493">
        <f t="shared" si="155"/>
        <v>0</v>
      </c>
      <c r="U2493" t="str">
        <f>YEAR('Campaign Data'!$A2493)&amp;"-"&amp;TEXT(MONTH('Campaign Data'!$A2493),"00")</f>
        <v>2026-05</v>
      </c>
    </row>
    <row r="2494" spans="1:21" x14ac:dyDescent="0.25">
      <c r="A2494">
        <v>46158</v>
      </c>
      <c r="B2494" t="s">
        <v>95</v>
      </c>
      <c r="C2494" t="s">
        <v>96</v>
      </c>
      <c r="D2494" t="s">
        <v>23</v>
      </c>
      <c r="E2494" t="s">
        <v>49</v>
      </c>
      <c r="F2494" t="s">
        <v>43</v>
      </c>
      <c r="G2494" t="s">
        <v>97</v>
      </c>
      <c r="H2494" t="s">
        <v>90</v>
      </c>
      <c r="I2494" t="s">
        <v>28</v>
      </c>
      <c r="J2494" t="s">
        <v>45</v>
      </c>
      <c r="K2494">
        <v>6322</v>
      </c>
      <c r="L2494">
        <v>253</v>
      </c>
      <c r="M2494">
        <v>125.87</v>
      </c>
      <c r="N2494">
        <v>16</v>
      </c>
      <c r="O2494">
        <v>137.91999999999999</v>
      </c>
      <c r="P2494">
        <f t="shared" si="152"/>
        <v>4.0018981335020562E-2</v>
      </c>
      <c r="Q2494">
        <f t="shared" si="152"/>
        <v>0.4975098814229249</v>
      </c>
      <c r="R2494">
        <f t="shared" si="153"/>
        <v>7.8668750000000003</v>
      </c>
      <c r="S2494">
        <f t="shared" si="154"/>
        <v>1.0957336934932866</v>
      </c>
      <c r="T2494">
        <f t="shared" si="155"/>
        <v>6.3241106719367585E-2</v>
      </c>
      <c r="U2494" t="str">
        <f>YEAR('Campaign Data'!$A2494)&amp;"-"&amp;TEXT(MONTH('Campaign Data'!$A2494),"00")</f>
        <v>2026-05</v>
      </c>
    </row>
    <row r="2495" spans="1:21" x14ac:dyDescent="0.25">
      <c r="A2495">
        <v>46158</v>
      </c>
      <c r="B2495" t="s">
        <v>30</v>
      </c>
      <c r="C2495" t="s">
        <v>31</v>
      </c>
      <c r="D2495" t="s">
        <v>32</v>
      </c>
      <c r="E2495" t="s">
        <v>33</v>
      </c>
      <c r="F2495" t="s">
        <v>34</v>
      </c>
      <c r="G2495" t="s">
        <v>35</v>
      </c>
      <c r="H2495" t="s">
        <v>55</v>
      </c>
      <c r="I2495" t="s">
        <v>28</v>
      </c>
      <c r="J2495" t="s">
        <v>62</v>
      </c>
      <c r="K2495">
        <v>8433</v>
      </c>
      <c r="L2495">
        <v>87</v>
      </c>
      <c r="M2495">
        <v>38.090000000000003</v>
      </c>
      <c r="N2495">
        <v>5</v>
      </c>
      <c r="O2495">
        <v>780.38</v>
      </c>
      <c r="P2495">
        <f t="shared" si="152"/>
        <v>1.031661330487371E-2</v>
      </c>
      <c r="Q2495">
        <f t="shared" si="152"/>
        <v>0.43781609195402305</v>
      </c>
      <c r="R2495">
        <f t="shared" si="153"/>
        <v>7.6180000000000003</v>
      </c>
      <c r="S2495">
        <f t="shared" si="154"/>
        <v>20.487792071409817</v>
      </c>
      <c r="T2495">
        <f t="shared" si="155"/>
        <v>5.7471264367816091E-2</v>
      </c>
      <c r="U2495" t="str">
        <f>YEAR('Campaign Data'!$A2495)&amp;"-"&amp;TEXT(MONTH('Campaign Data'!$A2495),"00")</f>
        <v>2026-05</v>
      </c>
    </row>
    <row r="2496" spans="1:21" x14ac:dyDescent="0.25">
      <c r="A2496">
        <v>46158</v>
      </c>
      <c r="B2496" t="s">
        <v>127</v>
      </c>
      <c r="C2496" t="s">
        <v>128</v>
      </c>
      <c r="D2496" t="s">
        <v>58</v>
      </c>
      <c r="E2496" t="s">
        <v>24</v>
      </c>
      <c r="F2496" t="s">
        <v>81</v>
      </c>
      <c r="G2496" t="s">
        <v>129</v>
      </c>
      <c r="H2496" t="s">
        <v>60</v>
      </c>
      <c r="I2496" t="s">
        <v>28</v>
      </c>
      <c r="J2496" t="s">
        <v>45</v>
      </c>
      <c r="K2496">
        <v>24459</v>
      </c>
      <c r="L2496">
        <v>169</v>
      </c>
      <c r="M2496">
        <v>178.47</v>
      </c>
      <c r="N2496">
        <v>5</v>
      </c>
      <c r="O2496">
        <v>83.7</v>
      </c>
      <c r="P2496">
        <f t="shared" si="152"/>
        <v>6.9095220573204136E-3</v>
      </c>
      <c r="Q2496">
        <f t="shared" si="152"/>
        <v>1.05603550295858</v>
      </c>
      <c r="R2496">
        <f t="shared" si="153"/>
        <v>35.694000000000003</v>
      </c>
      <c r="S2496">
        <f t="shared" si="154"/>
        <v>0.46898638426626327</v>
      </c>
      <c r="T2496">
        <f t="shared" si="155"/>
        <v>2.9585798816568046E-2</v>
      </c>
      <c r="U2496" t="str">
        <f>YEAR('Campaign Data'!$A2496)&amp;"-"&amp;TEXT(MONTH('Campaign Data'!$A2496),"00")</f>
        <v>2026-05</v>
      </c>
    </row>
    <row r="2497" spans="1:21" x14ac:dyDescent="0.25">
      <c r="A2497">
        <v>46158</v>
      </c>
      <c r="B2497" t="s">
        <v>108</v>
      </c>
      <c r="C2497" t="s">
        <v>109</v>
      </c>
      <c r="D2497" t="s">
        <v>58</v>
      </c>
      <c r="E2497" t="s">
        <v>33</v>
      </c>
      <c r="F2497" t="s">
        <v>43</v>
      </c>
      <c r="G2497" t="s">
        <v>59</v>
      </c>
      <c r="H2497" t="s">
        <v>27</v>
      </c>
      <c r="I2497" t="s">
        <v>61</v>
      </c>
      <c r="J2497" t="s">
        <v>87</v>
      </c>
      <c r="K2497">
        <v>6173</v>
      </c>
      <c r="L2497">
        <v>48</v>
      </c>
      <c r="M2497">
        <v>28.63</v>
      </c>
      <c r="N2497">
        <v>2</v>
      </c>
      <c r="O2497">
        <v>52.53</v>
      </c>
      <c r="P2497">
        <f t="shared" si="152"/>
        <v>7.7757978292564396E-3</v>
      </c>
      <c r="Q2497">
        <f t="shared" si="152"/>
        <v>0.59645833333333331</v>
      </c>
      <c r="R2497">
        <f t="shared" si="153"/>
        <v>14.315</v>
      </c>
      <c r="S2497">
        <f t="shared" si="154"/>
        <v>1.8347886831994413</v>
      </c>
      <c r="T2497">
        <f t="shared" si="155"/>
        <v>4.1666666666666664E-2</v>
      </c>
      <c r="U2497" t="str">
        <f>YEAR('Campaign Data'!$A2497)&amp;"-"&amp;TEXT(MONTH('Campaign Data'!$A2497),"00")</f>
        <v>2026-05</v>
      </c>
    </row>
    <row r="2498" spans="1:21" x14ac:dyDescent="0.25">
      <c r="A2498">
        <v>46158</v>
      </c>
      <c r="B2498" t="s">
        <v>108</v>
      </c>
      <c r="C2498" t="s">
        <v>109</v>
      </c>
      <c r="D2498" t="s">
        <v>58</v>
      </c>
      <c r="E2498" t="s">
        <v>33</v>
      </c>
      <c r="F2498" t="s">
        <v>43</v>
      </c>
      <c r="G2498" t="s">
        <v>59</v>
      </c>
      <c r="H2498" t="s">
        <v>51</v>
      </c>
      <c r="I2498" t="s">
        <v>37</v>
      </c>
      <c r="J2498" t="s">
        <v>38</v>
      </c>
      <c r="K2498">
        <v>8756</v>
      </c>
      <c r="L2498">
        <v>127</v>
      </c>
      <c r="M2498">
        <v>64.650000000000006</v>
      </c>
      <c r="N2498">
        <v>3</v>
      </c>
      <c r="O2498">
        <v>80.900000000000006</v>
      </c>
      <c r="P2498">
        <f t="shared" ref="P2498:Q2561" si="156">IF(K2498=0,0,L2498/K2498)</f>
        <v>1.4504339881224303E-2</v>
      </c>
      <c r="Q2498">
        <f t="shared" si="156"/>
        <v>0.50905511811023629</v>
      </c>
      <c r="R2498">
        <f t="shared" ref="R2498:R2561" si="157">IF(N2498=0,0,M2498/N2498)</f>
        <v>21.55</v>
      </c>
      <c r="S2498">
        <f t="shared" ref="S2498:S2561" si="158">IF(M2498=0,0,O2498/M2498)</f>
        <v>1.251353441608662</v>
      </c>
      <c r="T2498">
        <f t="shared" ref="T2498:T2561" si="159">IF(L2498=0,0,N2498/L2498)</f>
        <v>2.3622047244094488E-2</v>
      </c>
      <c r="U2498" t="str">
        <f>YEAR('Campaign Data'!$A2498)&amp;"-"&amp;TEXT(MONTH('Campaign Data'!$A2498),"00")</f>
        <v>2026-05</v>
      </c>
    </row>
    <row r="2499" spans="1:21" x14ac:dyDescent="0.25">
      <c r="A2499">
        <v>46158</v>
      </c>
      <c r="B2499" t="s">
        <v>132</v>
      </c>
      <c r="C2499" t="s">
        <v>133</v>
      </c>
      <c r="D2499" t="s">
        <v>23</v>
      </c>
      <c r="E2499" t="s">
        <v>42</v>
      </c>
      <c r="F2499" t="s">
        <v>75</v>
      </c>
      <c r="G2499" t="s">
        <v>84</v>
      </c>
      <c r="H2499" t="s">
        <v>27</v>
      </c>
      <c r="I2499" t="s">
        <v>37</v>
      </c>
      <c r="J2499" t="s">
        <v>62</v>
      </c>
      <c r="K2499">
        <v>9532</v>
      </c>
      <c r="L2499">
        <v>118</v>
      </c>
      <c r="M2499">
        <v>449.04</v>
      </c>
      <c r="N2499">
        <v>6</v>
      </c>
      <c r="O2499">
        <v>376.18</v>
      </c>
      <c r="P2499">
        <f t="shared" si="156"/>
        <v>1.2379353755770038E-2</v>
      </c>
      <c r="Q2499">
        <f t="shared" si="156"/>
        <v>3.8054237288135595</v>
      </c>
      <c r="R2499">
        <f t="shared" si="157"/>
        <v>74.84</v>
      </c>
      <c r="S2499">
        <f t="shared" si="158"/>
        <v>0.8377427400677</v>
      </c>
      <c r="T2499">
        <f t="shared" si="159"/>
        <v>5.0847457627118647E-2</v>
      </c>
      <c r="U2499" t="str">
        <f>YEAR('Campaign Data'!$A2499)&amp;"-"&amp;TEXT(MONTH('Campaign Data'!$A2499),"00")</f>
        <v>2026-05</v>
      </c>
    </row>
    <row r="2500" spans="1:21" x14ac:dyDescent="0.25">
      <c r="A2500">
        <v>46158</v>
      </c>
      <c r="B2500" t="s">
        <v>179</v>
      </c>
      <c r="C2500" t="s">
        <v>180</v>
      </c>
      <c r="D2500" t="s">
        <v>58</v>
      </c>
      <c r="E2500" t="s">
        <v>42</v>
      </c>
      <c r="F2500" t="s">
        <v>25</v>
      </c>
      <c r="G2500" t="s">
        <v>54</v>
      </c>
      <c r="H2500" t="s">
        <v>90</v>
      </c>
      <c r="I2500" t="s">
        <v>61</v>
      </c>
      <c r="J2500" t="s">
        <v>45</v>
      </c>
      <c r="K2500">
        <v>19563</v>
      </c>
      <c r="L2500">
        <v>117</v>
      </c>
      <c r="M2500">
        <v>167.69</v>
      </c>
      <c r="N2500">
        <v>7</v>
      </c>
      <c r="O2500">
        <v>259.74</v>
      </c>
      <c r="P2500">
        <f t="shared" si="156"/>
        <v>5.9806778101518174E-3</v>
      </c>
      <c r="Q2500">
        <f t="shared" si="156"/>
        <v>1.4332478632478631</v>
      </c>
      <c r="R2500">
        <f t="shared" si="157"/>
        <v>23.955714285714286</v>
      </c>
      <c r="S2500">
        <f t="shared" si="158"/>
        <v>1.5489295724253087</v>
      </c>
      <c r="T2500">
        <f t="shared" si="159"/>
        <v>5.9829059829059832E-2</v>
      </c>
      <c r="U2500" t="str">
        <f>YEAR('Campaign Data'!$A2500)&amp;"-"&amp;TEXT(MONTH('Campaign Data'!$A2500),"00")</f>
        <v>2026-05</v>
      </c>
    </row>
    <row r="2501" spans="1:21" x14ac:dyDescent="0.25">
      <c r="A2501">
        <v>46158</v>
      </c>
      <c r="B2501" t="s">
        <v>179</v>
      </c>
      <c r="C2501" t="s">
        <v>180</v>
      </c>
      <c r="D2501" t="s">
        <v>58</v>
      </c>
      <c r="E2501" t="s">
        <v>42</v>
      </c>
      <c r="F2501" t="s">
        <v>25</v>
      </c>
      <c r="G2501" t="s">
        <v>54</v>
      </c>
      <c r="H2501" t="s">
        <v>55</v>
      </c>
      <c r="I2501" t="s">
        <v>37</v>
      </c>
      <c r="J2501" t="s">
        <v>29</v>
      </c>
      <c r="K2501">
        <v>1464</v>
      </c>
      <c r="L2501">
        <v>6</v>
      </c>
      <c r="M2501">
        <v>36.76</v>
      </c>
      <c r="N2501">
        <v>1</v>
      </c>
      <c r="O2501">
        <v>120.31</v>
      </c>
      <c r="P2501">
        <f t="shared" si="156"/>
        <v>4.0983606557377051E-3</v>
      </c>
      <c r="Q2501">
        <f t="shared" si="156"/>
        <v>6.126666666666666</v>
      </c>
      <c r="R2501">
        <f t="shared" si="157"/>
        <v>36.76</v>
      </c>
      <c r="S2501">
        <f t="shared" si="158"/>
        <v>3.2728509249183899</v>
      </c>
      <c r="T2501">
        <f t="shared" si="159"/>
        <v>0.16666666666666666</v>
      </c>
      <c r="U2501" t="str">
        <f>YEAR('Campaign Data'!$A2501)&amp;"-"&amp;TEXT(MONTH('Campaign Data'!$A2501),"00")</f>
        <v>2026-05</v>
      </c>
    </row>
    <row r="2502" spans="1:21" x14ac:dyDescent="0.25">
      <c r="A2502">
        <v>46158</v>
      </c>
      <c r="B2502" t="s">
        <v>157</v>
      </c>
      <c r="C2502" t="s">
        <v>158</v>
      </c>
      <c r="D2502" t="s">
        <v>58</v>
      </c>
      <c r="E2502" t="s">
        <v>49</v>
      </c>
      <c r="F2502" t="s">
        <v>81</v>
      </c>
      <c r="G2502" t="s">
        <v>50</v>
      </c>
      <c r="H2502" t="s">
        <v>90</v>
      </c>
      <c r="I2502" t="s">
        <v>37</v>
      </c>
      <c r="J2502" t="s">
        <v>62</v>
      </c>
      <c r="K2502">
        <v>5065</v>
      </c>
      <c r="L2502">
        <v>257</v>
      </c>
      <c r="M2502">
        <v>158.12</v>
      </c>
      <c r="N2502">
        <v>10</v>
      </c>
      <c r="O2502">
        <v>53.55</v>
      </c>
      <c r="P2502">
        <f t="shared" si="156"/>
        <v>5.0740375123395853E-2</v>
      </c>
      <c r="Q2502">
        <f t="shared" si="156"/>
        <v>0.61525291828793771</v>
      </c>
      <c r="R2502">
        <f t="shared" si="157"/>
        <v>15.812000000000001</v>
      </c>
      <c r="S2502">
        <f t="shared" si="158"/>
        <v>0.33866683531495062</v>
      </c>
      <c r="T2502">
        <f t="shared" si="159"/>
        <v>3.8910505836575876E-2</v>
      </c>
      <c r="U2502" t="str">
        <f>YEAR('Campaign Data'!$A2502)&amp;"-"&amp;TEXT(MONTH('Campaign Data'!$A2502),"00")</f>
        <v>2026-05</v>
      </c>
    </row>
    <row r="2503" spans="1:21" x14ac:dyDescent="0.25">
      <c r="A2503">
        <v>46158</v>
      </c>
      <c r="B2503" t="s">
        <v>161</v>
      </c>
      <c r="C2503" t="s">
        <v>162</v>
      </c>
      <c r="D2503" t="s">
        <v>48</v>
      </c>
      <c r="E2503" t="s">
        <v>74</v>
      </c>
      <c r="F2503" t="s">
        <v>34</v>
      </c>
      <c r="G2503" t="s">
        <v>107</v>
      </c>
      <c r="H2503" t="s">
        <v>27</v>
      </c>
      <c r="I2503" t="s">
        <v>37</v>
      </c>
      <c r="J2503" t="s">
        <v>29</v>
      </c>
      <c r="K2503">
        <v>3772</v>
      </c>
      <c r="L2503">
        <v>179</v>
      </c>
      <c r="M2503">
        <v>297.45</v>
      </c>
      <c r="N2503">
        <v>7</v>
      </c>
      <c r="O2503">
        <v>1738.03</v>
      </c>
      <c r="P2503">
        <f t="shared" si="156"/>
        <v>4.7454931071049838E-2</v>
      </c>
      <c r="Q2503">
        <f t="shared" si="156"/>
        <v>1.6617318435754189</v>
      </c>
      <c r="R2503">
        <f t="shared" si="157"/>
        <v>42.49285714285714</v>
      </c>
      <c r="S2503">
        <f t="shared" si="158"/>
        <v>5.8430996806185913</v>
      </c>
      <c r="T2503">
        <f t="shared" si="159"/>
        <v>3.9106145251396648E-2</v>
      </c>
      <c r="U2503" t="str">
        <f>YEAR('Campaign Data'!$A2503)&amp;"-"&amp;TEXT(MONTH('Campaign Data'!$A2503),"00")</f>
        <v>2026-05</v>
      </c>
    </row>
    <row r="2504" spans="1:21" x14ac:dyDescent="0.25">
      <c r="A2504">
        <v>46158</v>
      </c>
      <c r="B2504" t="s">
        <v>136</v>
      </c>
      <c r="C2504" t="s">
        <v>137</v>
      </c>
      <c r="D2504" t="s">
        <v>32</v>
      </c>
      <c r="E2504" t="s">
        <v>49</v>
      </c>
      <c r="F2504" t="s">
        <v>75</v>
      </c>
      <c r="G2504" t="s">
        <v>97</v>
      </c>
      <c r="H2504" t="s">
        <v>27</v>
      </c>
      <c r="I2504" t="s">
        <v>37</v>
      </c>
      <c r="J2504" t="s">
        <v>87</v>
      </c>
      <c r="K2504">
        <v>2693</v>
      </c>
      <c r="L2504">
        <v>114</v>
      </c>
      <c r="M2504">
        <v>310.14999999999998</v>
      </c>
      <c r="N2504">
        <v>2</v>
      </c>
      <c r="O2504">
        <v>160.65</v>
      </c>
      <c r="P2504">
        <f t="shared" si="156"/>
        <v>4.233197177868548E-2</v>
      </c>
      <c r="Q2504">
        <f t="shared" si="156"/>
        <v>2.7206140350877193</v>
      </c>
      <c r="R2504">
        <f t="shared" si="157"/>
        <v>155.07499999999999</v>
      </c>
      <c r="S2504">
        <f t="shared" si="158"/>
        <v>0.51797517330324039</v>
      </c>
      <c r="T2504">
        <f t="shared" si="159"/>
        <v>1.7543859649122806E-2</v>
      </c>
      <c r="U2504" t="str">
        <f>YEAR('Campaign Data'!$A2504)&amp;"-"&amp;TEXT(MONTH('Campaign Data'!$A2504),"00")</f>
        <v>2026-05</v>
      </c>
    </row>
    <row r="2505" spans="1:21" x14ac:dyDescent="0.25">
      <c r="A2505">
        <v>46158</v>
      </c>
      <c r="B2505" t="s">
        <v>143</v>
      </c>
      <c r="C2505" t="s">
        <v>144</v>
      </c>
      <c r="D2505" t="s">
        <v>48</v>
      </c>
      <c r="E2505" t="s">
        <v>42</v>
      </c>
      <c r="F2505" t="s">
        <v>25</v>
      </c>
      <c r="G2505" t="s">
        <v>84</v>
      </c>
      <c r="H2505" t="s">
        <v>27</v>
      </c>
      <c r="I2505" t="s">
        <v>28</v>
      </c>
      <c r="J2505" t="s">
        <v>87</v>
      </c>
      <c r="K2505">
        <v>12261</v>
      </c>
      <c r="L2505">
        <v>81</v>
      </c>
      <c r="M2505">
        <v>958.37</v>
      </c>
      <c r="N2505">
        <v>0</v>
      </c>
      <c r="O2505">
        <v>0</v>
      </c>
      <c r="P2505">
        <f t="shared" si="156"/>
        <v>6.6063126988010765E-3</v>
      </c>
      <c r="Q2505">
        <f t="shared" si="156"/>
        <v>11.831728395061729</v>
      </c>
      <c r="R2505">
        <f t="shared" si="157"/>
        <v>0</v>
      </c>
      <c r="S2505">
        <f t="shared" si="158"/>
        <v>0</v>
      </c>
      <c r="T2505">
        <f t="shared" si="159"/>
        <v>0</v>
      </c>
      <c r="U2505" t="str">
        <f>YEAR('Campaign Data'!$A2505)&amp;"-"&amp;TEXT(MONTH('Campaign Data'!$A2505),"00")</f>
        <v>2026-05</v>
      </c>
    </row>
    <row r="2506" spans="1:21" x14ac:dyDescent="0.25">
      <c r="A2506">
        <v>46158</v>
      </c>
      <c r="B2506" t="s">
        <v>143</v>
      </c>
      <c r="C2506" t="s">
        <v>144</v>
      </c>
      <c r="D2506" t="s">
        <v>48</v>
      </c>
      <c r="E2506" t="s">
        <v>42</v>
      </c>
      <c r="F2506" t="s">
        <v>25</v>
      </c>
      <c r="G2506" t="s">
        <v>84</v>
      </c>
      <c r="H2506" t="s">
        <v>27</v>
      </c>
      <c r="I2506" t="s">
        <v>28</v>
      </c>
      <c r="J2506" t="s">
        <v>45</v>
      </c>
      <c r="K2506">
        <v>5780</v>
      </c>
      <c r="L2506">
        <v>20</v>
      </c>
      <c r="M2506">
        <v>75.36</v>
      </c>
      <c r="N2506">
        <v>0</v>
      </c>
      <c r="O2506">
        <v>0</v>
      </c>
      <c r="P2506">
        <f t="shared" si="156"/>
        <v>3.4602076124567475E-3</v>
      </c>
      <c r="Q2506">
        <f t="shared" si="156"/>
        <v>3.7679999999999998</v>
      </c>
      <c r="R2506">
        <f t="shared" si="157"/>
        <v>0</v>
      </c>
      <c r="S2506">
        <f t="shared" si="158"/>
        <v>0</v>
      </c>
      <c r="T2506">
        <f t="shared" si="159"/>
        <v>0</v>
      </c>
      <c r="U2506" t="str">
        <f>YEAR('Campaign Data'!$A2506)&amp;"-"&amp;TEXT(MONTH('Campaign Data'!$A2506),"00")</f>
        <v>2026-05</v>
      </c>
    </row>
    <row r="2507" spans="1:21" x14ac:dyDescent="0.25">
      <c r="A2507">
        <v>46158</v>
      </c>
      <c r="B2507" t="s">
        <v>67</v>
      </c>
      <c r="C2507" t="s">
        <v>68</v>
      </c>
      <c r="D2507" t="s">
        <v>69</v>
      </c>
      <c r="E2507" t="s">
        <v>49</v>
      </c>
      <c r="F2507" t="s">
        <v>34</v>
      </c>
      <c r="G2507" t="s">
        <v>70</v>
      </c>
      <c r="H2507" t="s">
        <v>71</v>
      </c>
      <c r="I2507" t="s">
        <v>28</v>
      </c>
      <c r="J2507" t="s">
        <v>29</v>
      </c>
      <c r="K2507">
        <v>5879</v>
      </c>
      <c r="L2507">
        <v>259</v>
      </c>
      <c r="M2507">
        <v>572.74</v>
      </c>
      <c r="N2507">
        <v>9</v>
      </c>
      <c r="O2507">
        <v>1101.5</v>
      </c>
      <c r="P2507">
        <f t="shared" si="156"/>
        <v>4.4055111413505696E-2</v>
      </c>
      <c r="Q2507">
        <f t="shared" si="156"/>
        <v>2.2113513513513512</v>
      </c>
      <c r="R2507">
        <f t="shared" si="157"/>
        <v>63.637777777777778</v>
      </c>
      <c r="S2507">
        <f t="shared" si="158"/>
        <v>1.9232112302266298</v>
      </c>
      <c r="T2507">
        <f t="shared" si="159"/>
        <v>3.4749034749034749E-2</v>
      </c>
      <c r="U2507" t="str">
        <f>YEAR('Campaign Data'!$A2507)&amp;"-"&amp;TEXT(MONTH('Campaign Data'!$A2507),"00")</f>
        <v>2026-05</v>
      </c>
    </row>
    <row r="2508" spans="1:21" x14ac:dyDescent="0.25">
      <c r="A2508">
        <v>46158</v>
      </c>
      <c r="B2508" t="s">
        <v>118</v>
      </c>
      <c r="C2508" t="s">
        <v>119</v>
      </c>
      <c r="D2508" t="s">
        <v>69</v>
      </c>
      <c r="E2508" t="s">
        <v>33</v>
      </c>
      <c r="F2508" t="s">
        <v>34</v>
      </c>
      <c r="G2508" t="s">
        <v>35</v>
      </c>
      <c r="H2508" t="s">
        <v>71</v>
      </c>
      <c r="I2508" t="s">
        <v>28</v>
      </c>
      <c r="J2508" t="s">
        <v>45</v>
      </c>
      <c r="K2508">
        <v>4962</v>
      </c>
      <c r="L2508">
        <v>54</v>
      </c>
      <c r="M2508">
        <v>30.53</v>
      </c>
      <c r="N2508">
        <v>2</v>
      </c>
      <c r="O2508">
        <v>165.1</v>
      </c>
      <c r="P2508">
        <f t="shared" si="156"/>
        <v>1.0882708585247884E-2</v>
      </c>
      <c r="Q2508">
        <f t="shared" si="156"/>
        <v>0.56537037037037041</v>
      </c>
      <c r="R2508">
        <f t="shared" si="157"/>
        <v>15.265000000000001</v>
      </c>
      <c r="S2508">
        <f t="shared" si="158"/>
        <v>5.4077956108745493</v>
      </c>
      <c r="T2508">
        <f t="shared" si="159"/>
        <v>3.7037037037037035E-2</v>
      </c>
      <c r="U2508" t="str">
        <f>YEAR('Campaign Data'!$A2508)&amp;"-"&amp;TEXT(MONTH('Campaign Data'!$A2508),"00")</f>
        <v>2026-05</v>
      </c>
    </row>
    <row r="2509" spans="1:21" x14ac:dyDescent="0.25">
      <c r="A2509">
        <v>46158</v>
      </c>
      <c r="B2509" t="s">
        <v>163</v>
      </c>
      <c r="C2509" t="s">
        <v>164</v>
      </c>
      <c r="D2509" t="s">
        <v>58</v>
      </c>
      <c r="E2509" t="s">
        <v>42</v>
      </c>
      <c r="F2509" t="s">
        <v>43</v>
      </c>
      <c r="G2509" t="s">
        <v>44</v>
      </c>
      <c r="H2509" t="s">
        <v>55</v>
      </c>
      <c r="I2509" t="s">
        <v>28</v>
      </c>
      <c r="J2509" t="s">
        <v>62</v>
      </c>
      <c r="K2509">
        <v>6610</v>
      </c>
      <c r="L2509">
        <v>50</v>
      </c>
      <c r="M2509">
        <v>193.39</v>
      </c>
      <c r="N2509">
        <v>0</v>
      </c>
      <c r="O2509">
        <v>0</v>
      </c>
      <c r="P2509">
        <f t="shared" si="156"/>
        <v>7.5642965204236008E-3</v>
      </c>
      <c r="Q2509">
        <f t="shared" si="156"/>
        <v>3.8677999999999999</v>
      </c>
      <c r="R2509">
        <f t="shared" si="157"/>
        <v>0</v>
      </c>
      <c r="S2509">
        <f t="shared" si="158"/>
        <v>0</v>
      </c>
      <c r="T2509">
        <f t="shared" si="159"/>
        <v>0</v>
      </c>
      <c r="U2509" t="str">
        <f>YEAR('Campaign Data'!$A2509)&amp;"-"&amp;TEXT(MONTH('Campaign Data'!$A2509),"00")</f>
        <v>2026-05</v>
      </c>
    </row>
    <row r="2510" spans="1:21" x14ac:dyDescent="0.25">
      <c r="A2510">
        <v>46158</v>
      </c>
      <c r="B2510" t="s">
        <v>120</v>
      </c>
      <c r="C2510" t="s">
        <v>121</v>
      </c>
      <c r="D2510" t="s">
        <v>23</v>
      </c>
      <c r="E2510" t="s">
        <v>49</v>
      </c>
      <c r="F2510" t="s">
        <v>75</v>
      </c>
      <c r="G2510" t="s">
        <v>70</v>
      </c>
      <c r="H2510" t="s">
        <v>90</v>
      </c>
      <c r="I2510" t="s">
        <v>37</v>
      </c>
      <c r="J2510" t="s">
        <v>38</v>
      </c>
      <c r="K2510">
        <v>5333</v>
      </c>
      <c r="L2510">
        <v>198</v>
      </c>
      <c r="M2510">
        <v>83.25</v>
      </c>
      <c r="N2510">
        <v>7</v>
      </c>
      <c r="O2510">
        <v>90.39</v>
      </c>
      <c r="P2510">
        <f t="shared" si="156"/>
        <v>3.7127320457528597E-2</v>
      </c>
      <c r="Q2510">
        <f t="shared" si="156"/>
        <v>0.42045454545454547</v>
      </c>
      <c r="R2510">
        <f t="shared" si="157"/>
        <v>11.892857142857142</v>
      </c>
      <c r="S2510">
        <f t="shared" si="158"/>
        <v>1.0857657657657658</v>
      </c>
      <c r="T2510">
        <f t="shared" si="159"/>
        <v>3.5353535353535352E-2</v>
      </c>
      <c r="U2510" t="str">
        <f>YEAR('Campaign Data'!$A2510)&amp;"-"&amp;TEXT(MONTH('Campaign Data'!$A2510),"00")</f>
        <v>2026-05</v>
      </c>
    </row>
    <row r="2511" spans="1:21" x14ac:dyDescent="0.25">
      <c r="A2511">
        <v>46158</v>
      </c>
      <c r="B2511" t="s">
        <v>82</v>
      </c>
      <c r="C2511" t="s">
        <v>83</v>
      </c>
      <c r="D2511" t="s">
        <v>80</v>
      </c>
      <c r="E2511" t="s">
        <v>42</v>
      </c>
      <c r="F2511" t="s">
        <v>34</v>
      </c>
      <c r="G2511" t="s">
        <v>84</v>
      </c>
      <c r="H2511" t="s">
        <v>71</v>
      </c>
      <c r="I2511" t="s">
        <v>37</v>
      </c>
      <c r="J2511" t="s">
        <v>45</v>
      </c>
      <c r="K2511">
        <v>3264</v>
      </c>
      <c r="L2511">
        <v>22</v>
      </c>
      <c r="M2511">
        <v>105.66</v>
      </c>
      <c r="N2511">
        <v>3</v>
      </c>
      <c r="O2511">
        <v>291.95999999999998</v>
      </c>
      <c r="P2511">
        <f t="shared" si="156"/>
        <v>6.7401960784313729E-3</v>
      </c>
      <c r="Q2511">
        <f t="shared" si="156"/>
        <v>4.8027272727272727</v>
      </c>
      <c r="R2511">
        <f t="shared" si="157"/>
        <v>35.22</v>
      </c>
      <c r="S2511">
        <f t="shared" si="158"/>
        <v>2.7632027257240201</v>
      </c>
      <c r="T2511">
        <f t="shared" si="159"/>
        <v>0.13636363636363635</v>
      </c>
      <c r="U2511" t="str">
        <f>YEAR('Campaign Data'!$A2511)&amp;"-"&amp;TEXT(MONTH('Campaign Data'!$A2511),"00")</f>
        <v>2026-05</v>
      </c>
    </row>
    <row r="2512" spans="1:21" x14ac:dyDescent="0.25">
      <c r="A2512">
        <v>46159</v>
      </c>
      <c r="B2512" t="s">
        <v>167</v>
      </c>
      <c r="C2512" t="s">
        <v>168</v>
      </c>
      <c r="D2512" t="s">
        <v>58</v>
      </c>
      <c r="E2512" t="s">
        <v>33</v>
      </c>
      <c r="F2512" t="s">
        <v>75</v>
      </c>
      <c r="G2512" t="s">
        <v>35</v>
      </c>
      <c r="H2512" t="s">
        <v>36</v>
      </c>
      <c r="I2512" t="s">
        <v>37</v>
      </c>
      <c r="J2512" t="s">
        <v>62</v>
      </c>
      <c r="K2512">
        <v>22064</v>
      </c>
      <c r="L2512">
        <v>231</v>
      </c>
      <c r="M2512">
        <v>160.04</v>
      </c>
      <c r="N2512">
        <v>4</v>
      </c>
      <c r="O2512">
        <v>220.26</v>
      </c>
      <c r="P2512">
        <f t="shared" si="156"/>
        <v>1.0469543147208122E-2</v>
      </c>
      <c r="Q2512">
        <f t="shared" si="156"/>
        <v>0.69281385281385277</v>
      </c>
      <c r="R2512">
        <f t="shared" si="157"/>
        <v>40.01</v>
      </c>
      <c r="S2512">
        <f t="shared" si="158"/>
        <v>1.3762809297675582</v>
      </c>
      <c r="T2512">
        <f t="shared" si="159"/>
        <v>1.7316017316017316E-2</v>
      </c>
      <c r="U2512" t="str">
        <f>YEAR('Campaign Data'!$A2512)&amp;"-"&amp;TEXT(MONTH('Campaign Data'!$A2512),"00")</f>
        <v>2026-05</v>
      </c>
    </row>
    <row r="2513" spans="1:21" x14ac:dyDescent="0.25">
      <c r="A2513">
        <v>46159</v>
      </c>
      <c r="B2513" t="s">
        <v>125</v>
      </c>
      <c r="C2513" t="s">
        <v>126</v>
      </c>
      <c r="D2513" t="s">
        <v>41</v>
      </c>
      <c r="E2513" t="s">
        <v>42</v>
      </c>
      <c r="F2513" t="s">
        <v>81</v>
      </c>
      <c r="G2513" t="s">
        <v>44</v>
      </c>
      <c r="H2513" t="s">
        <v>71</v>
      </c>
      <c r="I2513" t="s">
        <v>28</v>
      </c>
      <c r="J2513" t="s">
        <v>29</v>
      </c>
      <c r="K2513">
        <v>3207</v>
      </c>
      <c r="L2513">
        <v>24</v>
      </c>
      <c r="M2513">
        <v>123.09</v>
      </c>
      <c r="N2513">
        <v>1</v>
      </c>
      <c r="O2513">
        <v>27.26</v>
      </c>
      <c r="P2513">
        <f t="shared" si="156"/>
        <v>7.4836295603367634E-3</v>
      </c>
      <c r="Q2513">
        <f t="shared" si="156"/>
        <v>5.1287500000000001</v>
      </c>
      <c r="R2513">
        <f t="shared" si="157"/>
        <v>123.09</v>
      </c>
      <c r="S2513">
        <f t="shared" si="158"/>
        <v>0.22146396945324559</v>
      </c>
      <c r="T2513">
        <f t="shared" si="159"/>
        <v>4.1666666666666664E-2</v>
      </c>
      <c r="U2513" t="str">
        <f>YEAR('Campaign Data'!$A2513)&amp;"-"&amp;TEXT(MONTH('Campaign Data'!$A2513),"00")</f>
        <v>2026-05</v>
      </c>
    </row>
    <row r="2514" spans="1:21" x14ac:dyDescent="0.25">
      <c r="A2514">
        <v>46159</v>
      </c>
      <c r="B2514" t="s">
        <v>125</v>
      </c>
      <c r="C2514" t="s">
        <v>126</v>
      </c>
      <c r="D2514" t="s">
        <v>41</v>
      </c>
      <c r="E2514" t="s">
        <v>42</v>
      </c>
      <c r="F2514" t="s">
        <v>81</v>
      </c>
      <c r="G2514" t="s">
        <v>44</v>
      </c>
      <c r="H2514" t="s">
        <v>90</v>
      </c>
      <c r="I2514" t="s">
        <v>37</v>
      </c>
      <c r="J2514" t="s">
        <v>38</v>
      </c>
      <c r="K2514">
        <v>5940</v>
      </c>
      <c r="L2514">
        <v>43</v>
      </c>
      <c r="M2514">
        <v>101.46</v>
      </c>
      <c r="N2514">
        <v>0</v>
      </c>
      <c r="O2514">
        <v>0</v>
      </c>
      <c r="P2514">
        <f t="shared" si="156"/>
        <v>7.2390572390572394E-3</v>
      </c>
      <c r="Q2514">
        <f t="shared" si="156"/>
        <v>2.3595348837209302</v>
      </c>
      <c r="R2514">
        <f t="shared" si="157"/>
        <v>0</v>
      </c>
      <c r="S2514">
        <f t="shared" si="158"/>
        <v>0</v>
      </c>
      <c r="T2514">
        <f t="shared" si="159"/>
        <v>0</v>
      </c>
      <c r="U2514" t="str">
        <f>YEAR('Campaign Data'!$A2514)&amp;"-"&amp;TEXT(MONTH('Campaign Data'!$A2514),"00")</f>
        <v>2026-05</v>
      </c>
    </row>
    <row r="2515" spans="1:21" x14ac:dyDescent="0.25">
      <c r="A2515">
        <v>46159</v>
      </c>
      <c r="B2515" t="s">
        <v>125</v>
      </c>
      <c r="C2515" t="s">
        <v>126</v>
      </c>
      <c r="D2515" t="s">
        <v>41</v>
      </c>
      <c r="E2515" t="s">
        <v>42</v>
      </c>
      <c r="F2515" t="s">
        <v>81</v>
      </c>
      <c r="G2515" t="s">
        <v>44</v>
      </c>
      <c r="H2515" t="s">
        <v>90</v>
      </c>
      <c r="I2515" t="s">
        <v>28</v>
      </c>
      <c r="J2515" t="s">
        <v>45</v>
      </c>
      <c r="K2515">
        <v>3516</v>
      </c>
      <c r="L2515">
        <v>26</v>
      </c>
      <c r="M2515">
        <v>40.72</v>
      </c>
      <c r="N2515">
        <v>0</v>
      </c>
      <c r="O2515">
        <v>0</v>
      </c>
      <c r="P2515">
        <f t="shared" si="156"/>
        <v>7.3947667804323096E-3</v>
      </c>
      <c r="Q2515">
        <f t="shared" si="156"/>
        <v>1.566153846153846</v>
      </c>
      <c r="R2515">
        <f t="shared" si="157"/>
        <v>0</v>
      </c>
      <c r="S2515">
        <f t="shared" si="158"/>
        <v>0</v>
      </c>
      <c r="T2515">
        <f t="shared" si="159"/>
        <v>0</v>
      </c>
      <c r="U2515" t="str">
        <f>YEAR('Campaign Data'!$A2515)&amp;"-"&amp;TEXT(MONTH('Campaign Data'!$A2515),"00")</f>
        <v>2026-05</v>
      </c>
    </row>
    <row r="2516" spans="1:21" x14ac:dyDescent="0.25">
      <c r="A2516">
        <v>46159</v>
      </c>
      <c r="B2516" t="s">
        <v>95</v>
      </c>
      <c r="C2516" t="s">
        <v>96</v>
      </c>
      <c r="D2516" t="s">
        <v>23</v>
      </c>
      <c r="E2516" t="s">
        <v>49</v>
      </c>
      <c r="F2516" t="s">
        <v>43</v>
      </c>
      <c r="G2516" t="s">
        <v>97</v>
      </c>
      <c r="H2516" t="s">
        <v>90</v>
      </c>
      <c r="I2516" t="s">
        <v>37</v>
      </c>
      <c r="J2516" t="s">
        <v>29</v>
      </c>
      <c r="K2516">
        <v>15659</v>
      </c>
      <c r="L2516">
        <v>764</v>
      </c>
      <c r="M2516">
        <v>363.15</v>
      </c>
      <c r="N2516">
        <v>29</v>
      </c>
      <c r="O2516">
        <v>145</v>
      </c>
      <c r="P2516">
        <f t="shared" si="156"/>
        <v>4.8789833322689824E-2</v>
      </c>
      <c r="Q2516">
        <f t="shared" si="156"/>
        <v>0.47532722513089004</v>
      </c>
      <c r="R2516">
        <f t="shared" si="157"/>
        <v>12.522413793103448</v>
      </c>
      <c r="S2516">
        <f t="shared" si="158"/>
        <v>0.399284042406719</v>
      </c>
      <c r="T2516">
        <f t="shared" si="159"/>
        <v>3.7958115183246072E-2</v>
      </c>
      <c r="U2516" t="str">
        <f>YEAR('Campaign Data'!$A2516)&amp;"-"&amp;TEXT(MONTH('Campaign Data'!$A2516),"00")</f>
        <v>2026-05</v>
      </c>
    </row>
    <row r="2517" spans="1:21" x14ac:dyDescent="0.25">
      <c r="A2517">
        <v>46159</v>
      </c>
      <c r="B2517" t="s">
        <v>46</v>
      </c>
      <c r="C2517" t="s">
        <v>47</v>
      </c>
      <c r="D2517" t="s">
        <v>48</v>
      </c>
      <c r="E2517" t="s">
        <v>49</v>
      </c>
      <c r="F2517" t="s">
        <v>43</v>
      </c>
      <c r="G2517" t="s">
        <v>50</v>
      </c>
      <c r="H2517" t="s">
        <v>36</v>
      </c>
      <c r="I2517" t="s">
        <v>37</v>
      </c>
      <c r="J2517" t="s">
        <v>29</v>
      </c>
      <c r="K2517">
        <v>5332</v>
      </c>
      <c r="L2517">
        <v>112</v>
      </c>
      <c r="M2517">
        <v>149.97</v>
      </c>
      <c r="N2517">
        <v>8</v>
      </c>
      <c r="O2517">
        <v>227.11</v>
      </c>
      <c r="P2517">
        <f t="shared" si="156"/>
        <v>2.1005251312828207E-2</v>
      </c>
      <c r="Q2517">
        <f t="shared" si="156"/>
        <v>1.339017857142857</v>
      </c>
      <c r="R2517">
        <f t="shared" si="157"/>
        <v>18.74625</v>
      </c>
      <c r="S2517">
        <f t="shared" si="158"/>
        <v>1.5143695405747817</v>
      </c>
      <c r="T2517">
        <f t="shared" si="159"/>
        <v>7.1428571428571425E-2</v>
      </c>
      <c r="U2517" t="str">
        <f>YEAR('Campaign Data'!$A2517)&amp;"-"&amp;TEXT(MONTH('Campaign Data'!$A2517),"00")</f>
        <v>2026-05</v>
      </c>
    </row>
    <row r="2518" spans="1:21" x14ac:dyDescent="0.25">
      <c r="A2518">
        <v>46159</v>
      </c>
      <c r="B2518" t="s">
        <v>98</v>
      </c>
      <c r="C2518" t="s">
        <v>99</v>
      </c>
      <c r="D2518" t="s">
        <v>69</v>
      </c>
      <c r="E2518" t="s">
        <v>24</v>
      </c>
      <c r="F2518" t="s">
        <v>75</v>
      </c>
      <c r="G2518" t="s">
        <v>66</v>
      </c>
      <c r="H2518" t="s">
        <v>27</v>
      </c>
      <c r="I2518" t="s">
        <v>61</v>
      </c>
      <c r="J2518" t="s">
        <v>87</v>
      </c>
      <c r="K2518">
        <v>7350</v>
      </c>
      <c r="L2518">
        <v>69</v>
      </c>
      <c r="M2518">
        <v>97.69</v>
      </c>
      <c r="N2518">
        <v>4</v>
      </c>
      <c r="O2518">
        <v>129.29</v>
      </c>
      <c r="P2518">
        <f t="shared" si="156"/>
        <v>9.3877551020408161E-3</v>
      </c>
      <c r="Q2518">
        <f t="shared" si="156"/>
        <v>1.4157971014492754</v>
      </c>
      <c r="R2518">
        <f t="shared" si="157"/>
        <v>24.422499999999999</v>
      </c>
      <c r="S2518">
        <f t="shared" si="158"/>
        <v>1.3234722080049135</v>
      </c>
      <c r="T2518">
        <f t="shared" si="159"/>
        <v>5.7971014492753624E-2</v>
      </c>
      <c r="U2518" t="str">
        <f>YEAR('Campaign Data'!$A2518)&amp;"-"&amp;TEXT(MONTH('Campaign Data'!$A2518),"00")</f>
        <v>2026-05</v>
      </c>
    </row>
    <row r="2519" spans="1:21" x14ac:dyDescent="0.25">
      <c r="A2519">
        <v>46159</v>
      </c>
      <c r="B2519" t="s">
        <v>100</v>
      </c>
      <c r="C2519" t="s">
        <v>101</v>
      </c>
      <c r="D2519" t="s">
        <v>80</v>
      </c>
      <c r="E2519" t="s">
        <v>33</v>
      </c>
      <c r="F2519" t="s">
        <v>25</v>
      </c>
      <c r="G2519" t="s">
        <v>102</v>
      </c>
      <c r="H2519" t="s">
        <v>27</v>
      </c>
      <c r="I2519" t="s">
        <v>37</v>
      </c>
      <c r="J2519" t="s">
        <v>45</v>
      </c>
      <c r="K2519">
        <v>5360</v>
      </c>
      <c r="L2519">
        <v>31</v>
      </c>
      <c r="M2519">
        <v>21.5</v>
      </c>
      <c r="N2519">
        <v>0</v>
      </c>
      <c r="O2519">
        <v>0</v>
      </c>
      <c r="P2519">
        <f t="shared" si="156"/>
        <v>5.7835820895522387E-3</v>
      </c>
      <c r="Q2519">
        <f t="shared" si="156"/>
        <v>0.69354838709677424</v>
      </c>
      <c r="R2519">
        <f t="shared" si="157"/>
        <v>0</v>
      </c>
      <c r="S2519">
        <f t="shared" si="158"/>
        <v>0</v>
      </c>
      <c r="T2519">
        <f t="shared" si="159"/>
        <v>0</v>
      </c>
      <c r="U2519" t="str">
        <f>YEAR('Campaign Data'!$A2519)&amp;"-"&amp;TEXT(MONTH('Campaign Data'!$A2519),"00")</f>
        <v>2026-05</v>
      </c>
    </row>
    <row r="2520" spans="1:21" x14ac:dyDescent="0.25">
      <c r="A2520">
        <v>46159</v>
      </c>
      <c r="B2520" t="s">
        <v>169</v>
      </c>
      <c r="C2520" t="s">
        <v>170</v>
      </c>
      <c r="D2520" t="s">
        <v>58</v>
      </c>
      <c r="E2520" t="s">
        <v>74</v>
      </c>
      <c r="F2520" t="s">
        <v>75</v>
      </c>
      <c r="G2520" t="s">
        <v>9</v>
      </c>
      <c r="H2520" t="s">
        <v>71</v>
      </c>
      <c r="I2520" t="s">
        <v>28</v>
      </c>
      <c r="J2520" t="s">
        <v>87</v>
      </c>
      <c r="K2520">
        <v>4942</v>
      </c>
      <c r="L2520">
        <v>127</v>
      </c>
      <c r="M2520">
        <v>176.91</v>
      </c>
      <c r="N2520">
        <v>5</v>
      </c>
      <c r="O2520">
        <v>198.38</v>
      </c>
      <c r="P2520">
        <f t="shared" si="156"/>
        <v>2.5698097936058276E-2</v>
      </c>
      <c r="Q2520">
        <f t="shared" si="156"/>
        <v>1.3929921259842519</v>
      </c>
      <c r="R2520">
        <f t="shared" si="157"/>
        <v>35.381999999999998</v>
      </c>
      <c r="S2520">
        <f t="shared" si="158"/>
        <v>1.1213611440845628</v>
      </c>
      <c r="T2520">
        <f t="shared" si="159"/>
        <v>3.937007874015748E-2</v>
      </c>
      <c r="U2520" t="str">
        <f>YEAR('Campaign Data'!$A2520)&amp;"-"&amp;TEXT(MONTH('Campaign Data'!$A2520),"00")</f>
        <v>2026-05</v>
      </c>
    </row>
    <row r="2521" spans="1:21" x14ac:dyDescent="0.25">
      <c r="A2521">
        <v>46159</v>
      </c>
      <c r="B2521" t="s">
        <v>169</v>
      </c>
      <c r="C2521" t="s">
        <v>170</v>
      </c>
      <c r="D2521" t="s">
        <v>58</v>
      </c>
      <c r="E2521" t="s">
        <v>74</v>
      </c>
      <c r="F2521" t="s">
        <v>75</v>
      </c>
      <c r="G2521" t="s">
        <v>9</v>
      </c>
      <c r="H2521" t="s">
        <v>55</v>
      </c>
      <c r="I2521" t="s">
        <v>37</v>
      </c>
      <c r="J2521" t="s">
        <v>45</v>
      </c>
      <c r="K2521">
        <v>15692</v>
      </c>
      <c r="L2521">
        <v>567</v>
      </c>
      <c r="M2521">
        <v>901.48</v>
      </c>
      <c r="N2521">
        <v>13</v>
      </c>
      <c r="O2521">
        <v>646.44000000000005</v>
      </c>
      <c r="P2521">
        <f t="shared" si="156"/>
        <v>3.6133061432577107E-2</v>
      </c>
      <c r="Q2521">
        <f t="shared" si="156"/>
        <v>1.5899118165784834</v>
      </c>
      <c r="R2521">
        <f t="shared" si="157"/>
        <v>69.344615384615381</v>
      </c>
      <c r="S2521">
        <f t="shared" si="158"/>
        <v>0.71708745618316549</v>
      </c>
      <c r="T2521">
        <f t="shared" si="159"/>
        <v>2.292768959435626E-2</v>
      </c>
      <c r="U2521" t="str">
        <f>YEAR('Campaign Data'!$A2521)&amp;"-"&amp;TEXT(MONTH('Campaign Data'!$A2521),"00")</f>
        <v>2026-05</v>
      </c>
    </row>
    <row r="2522" spans="1:21" x14ac:dyDescent="0.25">
      <c r="A2522">
        <v>46159</v>
      </c>
      <c r="B2522" t="s">
        <v>105</v>
      </c>
      <c r="C2522" t="s">
        <v>106</v>
      </c>
      <c r="D2522" t="s">
        <v>58</v>
      </c>
      <c r="E2522" t="s">
        <v>49</v>
      </c>
      <c r="F2522" t="s">
        <v>81</v>
      </c>
      <c r="G2522" t="s">
        <v>107</v>
      </c>
      <c r="H2522" t="s">
        <v>27</v>
      </c>
      <c r="I2522" t="s">
        <v>37</v>
      </c>
      <c r="J2522" t="s">
        <v>62</v>
      </c>
      <c r="K2522">
        <v>5889</v>
      </c>
      <c r="L2522">
        <v>179</v>
      </c>
      <c r="M2522">
        <v>366.3</v>
      </c>
      <c r="N2522">
        <v>13</v>
      </c>
      <c r="O2522">
        <v>262.44</v>
      </c>
      <c r="P2522">
        <f t="shared" si="156"/>
        <v>3.0395652912209203E-2</v>
      </c>
      <c r="Q2522">
        <f t="shared" si="156"/>
        <v>2.046368715083799</v>
      </c>
      <c r="R2522">
        <f t="shared" si="157"/>
        <v>28.176923076923078</v>
      </c>
      <c r="S2522">
        <f t="shared" si="158"/>
        <v>0.71646191646191648</v>
      </c>
      <c r="T2522">
        <f t="shared" si="159"/>
        <v>7.2625698324022353E-2</v>
      </c>
      <c r="U2522" t="str">
        <f>YEAR('Campaign Data'!$A2522)&amp;"-"&amp;TEXT(MONTH('Campaign Data'!$A2522),"00")</f>
        <v>2026-05</v>
      </c>
    </row>
    <row r="2523" spans="1:21" x14ac:dyDescent="0.25">
      <c r="A2523">
        <v>46159</v>
      </c>
      <c r="B2523" t="s">
        <v>132</v>
      </c>
      <c r="C2523" t="s">
        <v>133</v>
      </c>
      <c r="D2523" t="s">
        <v>23</v>
      </c>
      <c r="E2523" t="s">
        <v>42</v>
      </c>
      <c r="F2523" t="s">
        <v>75</v>
      </c>
      <c r="G2523" t="s">
        <v>84</v>
      </c>
      <c r="H2523" t="s">
        <v>27</v>
      </c>
      <c r="I2523" t="s">
        <v>37</v>
      </c>
      <c r="J2523" t="s">
        <v>45</v>
      </c>
      <c r="K2523">
        <v>9314</v>
      </c>
      <c r="L2523">
        <v>58</v>
      </c>
      <c r="M2523">
        <v>389.22</v>
      </c>
      <c r="N2523">
        <v>1</v>
      </c>
      <c r="O2523">
        <v>52.96</v>
      </c>
      <c r="P2523">
        <f t="shared" si="156"/>
        <v>6.2271848829718703E-3</v>
      </c>
      <c r="Q2523">
        <f t="shared" si="156"/>
        <v>6.7106896551724144</v>
      </c>
      <c r="R2523">
        <f t="shared" si="157"/>
        <v>389.22</v>
      </c>
      <c r="S2523">
        <f t="shared" si="158"/>
        <v>0.13606700580648476</v>
      </c>
      <c r="T2523">
        <f t="shared" si="159"/>
        <v>1.7241379310344827E-2</v>
      </c>
      <c r="U2523" t="str">
        <f>YEAR('Campaign Data'!$A2523)&amp;"-"&amp;TEXT(MONTH('Campaign Data'!$A2523),"00")</f>
        <v>2026-05</v>
      </c>
    </row>
    <row r="2524" spans="1:21" x14ac:dyDescent="0.25">
      <c r="A2524">
        <v>46159</v>
      </c>
      <c r="B2524" t="s">
        <v>140</v>
      </c>
      <c r="C2524" t="s">
        <v>40</v>
      </c>
      <c r="D2524" t="s">
        <v>41</v>
      </c>
      <c r="E2524" t="s">
        <v>42</v>
      </c>
      <c r="F2524" t="s">
        <v>43</v>
      </c>
      <c r="G2524" t="s">
        <v>44</v>
      </c>
      <c r="H2524" t="s">
        <v>36</v>
      </c>
      <c r="I2524" t="s">
        <v>37</v>
      </c>
      <c r="J2524" t="s">
        <v>62</v>
      </c>
      <c r="K2524">
        <v>8428</v>
      </c>
      <c r="L2524">
        <v>64</v>
      </c>
      <c r="M2524">
        <v>312.41000000000003</v>
      </c>
      <c r="N2524">
        <v>3</v>
      </c>
      <c r="O2524">
        <v>69.94</v>
      </c>
      <c r="P2524">
        <f t="shared" si="156"/>
        <v>7.5937351684859994E-3</v>
      </c>
      <c r="Q2524">
        <f t="shared" si="156"/>
        <v>4.8814062500000004</v>
      </c>
      <c r="R2524">
        <f t="shared" si="157"/>
        <v>104.13666666666667</v>
      </c>
      <c r="S2524">
        <f t="shared" si="158"/>
        <v>0.22387247527287857</v>
      </c>
      <c r="T2524">
        <f t="shared" si="159"/>
        <v>4.6875E-2</v>
      </c>
      <c r="U2524" t="str">
        <f>YEAR('Campaign Data'!$A2524)&amp;"-"&amp;TEXT(MONTH('Campaign Data'!$A2524),"00")</f>
        <v>2026-05</v>
      </c>
    </row>
    <row r="2525" spans="1:21" x14ac:dyDescent="0.25">
      <c r="A2525">
        <v>46159</v>
      </c>
      <c r="B2525" t="s">
        <v>110</v>
      </c>
      <c r="C2525" t="s">
        <v>111</v>
      </c>
      <c r="D2525" t="s">
        <v>23</v>
      </c>
      <c r="E2525" t="s">
        <v>49</v>
      </c>
      <c r="F2525" t="s">
        <v>34</v>
      </c>
      <c r="G2525" t="s">
        <v>50</v>
      </c>
      <c r="H2525" t="s">
        <v>27</v>
      </c>
      <c r="I2525" t="s">
        <v>37</v>
      </c>
      <c r="J2525" t="s">
        <v>62</v>
      </c>
      <c r="K2525">
        <v>10277</v>
      </c>
      <c r="L2525">
        <v>565</v>
      </c>
      <c r="M2525">
        <v>1118.0899999999999</v>
      </c>
      <c r="N2525">
        <v>20</v>
      </c>
      <c r="O2525">
        <v>1529.74</v>
      </c>
      <c r="P2525">
        <f t="shared" si="156"/>
        <v>5.4977133404690084E-2</v>
      </c>
      <c r="Q2525">
        <f t="shared" si="156"/>
        <v>1.9789203539823008</v>
      </c>
      <c r="R2525">
        <f t="shared" si="157"/>
        <v>55.904499999999999</v>
      </c>
      <c r="S2525">
        <f t="shared" si="158"/>
        <v>1.3681725084742733</v>
      </c>
      <c r="T2525">
        <f t="shared" si="159"/>
        <v>3.5398230088495575E-2</v>
      </c>
      <c r="U2525" t="str">
        <f>YEAR('Campaign Data'!$A2525)&amp;"-"&amp;TEXT(MONTH('Campaign Data'!$A2525),"00")</f>
        <v>2026-05</v>
      </c>
    </row>
    <row r="2526" spans="1:21" x14ac:dyDescent="0.25">
      <c r="A2526">
        <v>46159</v>
      </c>
      <c r="B2526" t="s">
        <v>181</v>
      </c>
      <c r="C2526" t="s">
        <v>182</v>
      </c>
      <c r="D2526" t="s">
        <v>32</v>
      </c>
      <c r="E2526" t="s">
        <v>33</v>
      </c>
      <c r="F2526" t="s">
        <v>75</v>
      </c>
      <c r="G2526" t="s">
        <v>59</v>
      </c>
      <c r="H2526" t="s">
        <v>90</v>
      </c>
      <c r="I2526" t="s">
        <v>28</v>
      </c>
      <c r="J2526" t="s">
        <v>87</v>
      </c>
      <c r="K2526">
        <v>5018</v>
      </c>
      <c r="L2526">
        <v>57</v>
      </c>
      <c r="M2526">
        <v>8.81</v>
      </c>
      <c r="N2526">
        <v>1</v>
      </c>
      <c r="O2526">
        <v>5.08</v>
      </c>
      <c r="P2526">
        <f t="shared" si="156"/>
        <v>1.1359107214029494E-2</v>
      </c>
      <c r="Q2526">
        <f t="shared" si="156"/>
        <v>0.15456140350877193</v>
      </c>
      <c r="R2526">
        <f t="shared" si="157"/>
        <v>8.81</v>
      </c>
      <c r="S2526">
        <f t="shared" si="158"/>
        <v>0.57661748013620884</v>
      </c>
      <c r="T2526">
        <f t="shared" si="159"/>
        <v>1.7543859649122806E-2</v>
      </c>
      <c r="U2526" t="str">
        <f>YEAR('Campaign Data'!$A2526)&amp;"-"&amp;TEXT(MONTH('Campaign Data'!$A2526),"00")</f>
        <v>2026-05</v>
      </c>
    </row>
    <row r="2527" spans="1:21" x14ac:dyDescent="0.25">
      <c r="A2527">
        <v>46159</v>
      </c>
      <c r="B2527" t="s">
        <v>114</v>
      </c>
      <c r="C2527" t="s">
        <v>115</v>
      </c>
      <c r="D2527" t="s">
        <v>69</v>
      </c>
      <c r="E2527" t="s">
        <v>49</v>
      </c>
      <c r="F2527" t="s">
        <v>25</v>
      </c>
      <c r="G2527" t="s">
        <v>107</v>
      </c>
      <c r="H2527" t="s">
        <v>55</v>
      </c>
      <c r="I2527" t="s">
        <v>37</v>
      </c>
      <c r="J2527" t="s">
        <v>45</v>
      </c>
      <c r="K2527">
        <v>7045</v>
      </c>
      <c r="L2527">
        <v>237</v>
      </c>
      <c r="M2527">
        <v>313.02999999999997</v>
      </c>
      <c r="N2527">
        <v>14</v>
      </c>
      <c r="O2527">
        <v>1709.5</v>
      </c>
      <c r="P2527">
        <f t="shared" si="156"/>
        <v>3.3640880056777858E-2</v>
      </c>
      <c r="Q2527">
        <f t="shared" si="156"/>
        <v>1.320801687763713</v>
      </c>
      <c r="R2527">
        <f t="shared" si="157"/>
        <v>22.359285714285711</v>
      </c>
      <c r="S2527">
        <f t="shared" si="158"/>
        <v>5.4611379101044637</v>
      </c>
      <c r="T2527">
        <f t="shared" si="159"/>
        <v>5.9071729957805907E-2</v>
      </c>
      <c r="U2527" t="str">
        <f>YEAR('Campaign Data'!$A2527)&amp;"-"&amp;TEXT(MONTH('Campaign Data'!$A2527),"00")</f>
        <v>2026-05</v>
      </c>
    </row>
    <row r="2528" spans="1:21" x14ac:dyDescent="0.25">
      <c r="A2528">
        <v>46159</v>
      </c>
      <c r="B2528" t="s">
        <v>136</v>
      </c>
      <c r="C2528" t="s">
        <v>137</v>
      </c>
      <c r="D2528" t="s">
        <v>32</v>
      </c>
      <c r="E2528" t="s">
        <v>49</v>
      </c>
      <c r="F2528" t="s">
        <v>75</v>
      </c>
      <c r="G2528" t="s">
        <v>97</v>
      </c>
      <c r="H2528" t="s">
        <v>71</v>
      </c>
      <c r="I2528" t="s">
        <v>28</v>
      </c>
      <c r="J2528" t="s">
        <v>45</v>
      </c>
      <c r="K2528">
        <v>10781</v>
      </c>
      <c r="L2528">
        <v>388</v>
      </c>
      <c r="M2528">
        <v>421.5</v>
      </c>
      <c r="N2528">
        <v>29</v>
      </c>
      <c r="O2528">
        <v>653.75</v>
      </c>
      <c r="P2528">
        <f t="shared" si="156"/>
        <v>3.5989240330210559E-2</v>
      </c>
      <c r="Q2528">
        <f t="shared" si="156"/>
        <v>1.0863402061855669</v>
      </c>
      <c r="R2528">
        <f t="shared" si="157"/>
        <v>14.53448275862069</v>
      </c>
      <c r="S2528">
        <f t="shared" si="158"/>
        <v>1.5510083036773428</v>
      </c>
      <c r="T2528">
        <f t="shared" si="159"/>
        <v>7.4742268041237112E-2</v>
      </c>
      <c r="U2528" t="str">
        <f>YEAR('Campaign Data'!$A2528)&amp;"-"&amp;TEXT(MONTH('Campaign Data'!$A2528),"00")</f>
        <v>2026-05</v>
      </c>
    </row>
    <row r="2529" spans="1:21" x14ac:dyDescent="0.25">
      <c r="A2529">
        <v>46159</v>
      </c>
      <c r="B2529" t="s">
        <v>136</v>
      </c>
      <c r="C2529" t="s">
        <v>137</v>
      </c>
      <c r="D2529" t="s">
        <v>32</v>
      </c>
      <c r="E2529" t="s">
        <v>49</v>
      </c>
      <c r="F2529" t="s">
        <v>75</v>
      </c>
      <c r="G2529" t="s">
        <v>97</v>
      </c>
      <c r="H2529" t="s">
        <v>90</v>
      </c>
      <c r="I2529" t="s">
        <v>28</v>
      </c>
      <c r="J2529" t="s">
        <v>29</v>
      </c>
      <c r="K2529">
        <v>6288</v>
      </c>
      <c r="L2529">
        <v>282</v>
      </c>
      <c r="M2529">
        <v>127.78</v>
      </c>
      <c r="N2529">
        <v>8</v>
      </c>
      <c r="O2529">
        <v>86.7</v>
      </c>
      <c r="P2529">
        <f t="shared" si="156"/>
        <v>4.4847328244274808E-2</v>
      </c>
      <c r="Q2529">
        <f t="shared" si="156"/>
        <v>0.45312056737588652</v>
      </c>
      <c r="R2529">
        <f t="shared" si="157"/>
        <v>15.9725</v>
      </c>
      <c r="S2529">
        <f t="shared" si="158"/>
        <v>0.67850993895758338</v>
      </c>
      <c r="T2529">
        <f t="shared" si="159"/>
        <v>2.8368794326241134E-2</v>
      </c>
      <c r="U2529" t="str">
        <f>YEAR('Campaign Data'!$A2529)&amp;"-"&amp;TEXT(MONTH('Campaign Data'!$A2529),"00")</f>
        <v>2026-05</v>
      </c>
    </row>
    <row r="2530" spans="1:21" x14ac:dyDescent="0.25">
      <c r="A2530">
        <v>46159</v>
      </c>
      <c r="B2530" t="s">
        <v>143</v>
      </c>
      <c r="C2530" t="s">
        <v>144</v>
      </c>
      <c r="D2530" t="s">
        <v>48</v>
      </c>
      <c r="E2530" t="s">
        <v>42</v>
      </c>
      <c r="F2530" t="s">
        <v>25</v>
      </c>
      <c r="G2530" t="s">
        <v>84</v>
      </c>
      <c r="H2530" t="s">
        <v>60</v>
      </c>
      <c r="I2530" t="s">
        <v>28</v>
      </c>
      <c r="J2530" t="s">
        <v>87</v>
      </c>
      <c r="K2530">
        <v>4289</v>
      </c>
      <c r="L2530">
        <v>35</v>
      </c>
      <c r="M2530">
        <v>291.2</v>
      </c>
      <c r="N2530">
        <v>0</v>
      </c>
      <c r="O2530">
        <v>0</v>
      </c>
      <c r="P2530">
        <f t="shared" si="156"/>
        <v>8.1604103520634182E-3</v>
      </c>
      <c r="Q2530">
        <f t="shared" si="156"/>
        <v>8.32</v>
      </c>
      <c r="R2530">
        <f t="shared" si="157"/>
        <v>0</v>
      </c>
      <c r="S2530">
        <f t="shared" si="158"/>
        <v>0</v>
      </c>
      <c r="T2530">
        <f t="shared" si="159"/>
        <v>0</v>
      </c>
      <c r="U2530" t="str">
        <f>YEAR('Campaign Data'!$A2530)&amp;"-"&amp;TEXT(MONTH('Campaign Data'!$A2530),"00")</f>
        <v>2026-05</v>
      </c>
    </row>
    <row r="2531" spans="1:21" x14ac:dyDescent="0.25">
      <c r="A2531">
        <v>46159</v>
      </c>
      <c r="B2531" t="s">
        <v>145</v>
      </c>
      <c r="C2531" t="s">
        <v>146</v>
      </c>
      <c r="D2531" t="s">
        <v>41</v>
      </c>
      <c r="E2531" t="s">
        <v>49</v>
      </c>
      <c r="F2531" t="s">
        <v>75</v>
      </c>
      <c r="G2531" t="s">
        <v>70</v>
      </c>
      <c r="H2531" t="s">
        <v>55</v>
      </c>
      <c r="I2531" t="s">
        <v>28</v>
      </c>
      <c r="J2531" t="s">
        <v>29</v>
      </c>
      <c r="K2531">
        <v>13491</v>
      </c>
      <c r="L2531">
        <v>547</v>
      </c>
      <c r="M2531">
        <v>1003.6</v>
      </c>
      <c r="N2531">
        <v>24</v>
      </c>
      <c r="O2531">
        <v>768.27</v>
      </c>
      <c r="P2531">
        <f t="shared" si="156"/>
        <v>4.0545548884441479E-2</v>
      </c>
      <c r="Q2531">
        <f t="shared" si="156"/>
        <v>1.8347349177330896</v>
      </c>
      <c r="R2531">
        <f t="shared" si="157"/>
        <v>41.81666666666667</v>
      </c>
      <c r="S2531">
        <f t="shared" si="158"/>
        <v>0.76551414906337178</v>
      </c>
      <c r="T2531">
        <f t="shared" si="159"/>
        <v>4.3875685557586835E-2</v>
      </c>
      <c r="U2531" t="str">
        <f>YEAR('Campaign Data'!$A2531)&amp;"-"&amp;TEXT(MONTH('Campaign Data'!$A2531),"00")</f>
        <v>2026-05</v>
      </c>
    </row>
    <row r="2532" spans="1:21" x14ac:dyDescent="0.25">
      <c r="A2532">
        <v>46160</v>
      </c>
      <c r="B2532" t="s">
        <v>147</v>
      </c>
      <c r="C2532" t="s">
        <v>148</v>
      </c>
      <c r="D2532" t="s">
        <v>23</v>
      </c>
      <c r="E2532" t="s">
        <v>42</v>
      </c>
      <c r="F2532" t="s">
        <v>75</v>
      </c>
      <c r="G2532" t="s">
        <v>44</v>
      </c>
      <c r="H2532" t="s">
        <v>27</v>
      </c>
      <c r="I2532" t="s">
        <v>28</v>
      </c>
      <c r="J2532" t="s">
        <v>29</v>
      </c>
      <c r="K2532">
        <v>4953</v>
      </c>
      <c r="L2532">
        <v>32</v>
      </c>
      <c r="M2532">
        <v>246.22</v>
      </c>
      <c r="N2532">
        <v>1</v>
      </c>
      <c r="O2532">
        <v>44.05</v>
      </c>
      <c r="P2532">
        <f t="shared" si="156"/>
        <v>6.4607308701796892E-3</v>
      </c>
      <c r="Q2532">
        <f t="shared" si="156"/>
        <v>7.694375</v>
      </c>
      <c r="R2532">
        <f t="shared" si="157"/>
        <v>246.22</v>
      </c>
      <c r="S2532">
        <f t="shared" si="158"/>
        <v>0.17890504426935261</v>
      </c>
      <c r="T2532">
        <f t="shared" si="159"/>
        <v>3.125E-2</v>
      </c>
      <c r="U2532" t="str">
        <f>YEAR('Campaign Data'!$A2532)&amp;"-"&amp;TEXT(MONTH('Campaign Data'!$A2532),"00")</f>
        <v>2026-05</v>
      </c>
    </row>
    <row r="2533" spans="1:21" x14ac:dyDescent="0.25">
      <c r="A2533">
        <v>46160</v>
      </c>
      <c r="B2533" t="s">
        <v>125</v>
      </c>
      <c r="C2533" t="s">
        <v>126</v>
      </c>
      <c r="D2533" t="s">
        <v>41</v>
      </c>
      <c r="E2533" t="s">
        <v>42</v>
      </c>
      <c r="F2533" t="s">
        <v>81</v>
      </c>
      <c r="G2533" t="s">
        <v>44</v>
      </c>
      <c r="H2533" t="s">
        <v>90</v>
      </c>
      <c r="I2533" t="s">
        <v>28</v>
      </c>
      <c r="J2533" t="s">
        <v>87</v>
      </c>
      <c r="K2533">
        <v>2722</v>
      </c>
      <c r="L2533">
        <v>20</v>
      </c>
      <c r="M2533">
        <v>26.74</v>
      </c>
      <c r="N2533">
        <v>0</v>
      </c>
      <c r="O2533">
        <v>0</v>
      </c>
      <c r="P2533">
        <f t="shared" si="156"/>
        <v>7.3475385745775165E-3</v>
      </c>
      <c r="Q2533">
        <f t="shared" si="156"/>
        <v>1.337</v>
      </c>
      <c r="R2533">
        <f t="shared" si="157"/>
        <v>0</v>
      </c>
      <c r="S2533">
        <f t="shared" si="158"/>
        <v>0</v>
      </c>
      <c r="T2533">
        <f t="shared" si="159"/>
        <v>0</v>
      </c>
      <c r="U2533" t="str">
        <f>YEAR('Campaign Data'!$A2533)&amp;"-"&amp;TEXT(MONTH('Campaign Data'!$A2533),"00")</f>
        <v>2026-05</v>
      </c>
    </row>
    <row r="2534" spans="1:21" x14ac:dyDescent="0.25">
      <c r="A2534">
        <v>46160</v>
      </c>
      <c r="B2534" t="s">
        <v>95</v>
      </c>
      <c r="C2534" t="s">
        <v>96</v>
      </c>
      <c r="D2534" t="s">
        <v>23</v>
      </c>
      <c r="E2534" t="s">
        <v>49</v>
      </c>
      <c r="F2534" t="s">
        <v>43</v>
      </c>
      <c r="G2534" t="s">
        <v>97</v>
      </c>
      <c r="H2534" t="s">
        <v>27</v>
      </c>
      <c r="I2534" t="s">
        <v>28</v>
      </c>
      <c r="J2534" t="s">
        <v>87</v>
      </c>
      <c r="K2534">
        <v>4304</v>
      </c>
      <c r="L2534">
        <v>192</v>
      </c>
      <c r="M2534">
        <v>436.32</v>
      </c>
      <c r="N2534">
        <v>15</v>
      </c>
      <c r="O2534">
        <v>361.78</v>
      </c>
      <c r="P2534">
        <f t="shared" si="156"/>
        <v>4.4609665427509292E-2</v>
      </c>
      <c r="Q2534">
        <f t="shared" si="156"/>
        <v>2.2725</v>
      </c>
      <c r="R2534">
        <f t="shared" si="157"/>
        <v>29.088000000000001</v>
      </c>
      <c r="S2534">
        <f t="shared" si="158"/>
        <v>0.82916208287495408</v>
      </c>
      <c r="T2534">
        <f t="shared" si="159"/>
        <v>7.8125E-2</v>
      </c>
      <c r="U2534" t="str">
        <f>YEAR('Campaign Data'!$A2534)&amp;"-"&amp;TEXT(MONTH('Campaign Data'!$A2534),"00")</f>
        <v>2026-05</v>
      </c>
    </row>
    <row r="2535" spans="1:21" x14ac:dyDescent="0.25">
      <c r="A2535">
        <v>46160</v>
      </c>
      <c r="B2535" t="s">
        <v>39</v>
      </c>
      <c r="C2535" t="s">
        <v>40</v>
      </c>
      <c r="D2535" t="s">
        <v>41</v>
      </c>
      <c r="E2535" t="s">
        <v>42</v>
      </c>
      <c r="F2535" t="s">
        <v>43</v>
      </c>
      <c r="G2535" t="s">
        <v>44</v>
      </c>
      <c r="H2535" t="s">
        <v>90</v>
      </c>
      <c r="I2535" t="s">
        <v>37</v>
      </c>
      <c r="J2535" t="s">
        <v>87</v>
      </c>
      <c r="K2535">
        <v>5275</v>
      </c>
      <c r="L2535">
        <v>40</v>
      </c>
      <c r="M2535">
        <v>61.45</v>
      </c>
      <c r="N2535">
        <v>0</v>
      </c>
      <c r="O2535">
        <v>0</v>
      </c>
      <c r="P2535">
        <f t="shared" si="156"/>
        <v>7.5829383886255926E-3</v>
      </c>
      <c r="Q2535">
        <f t="shared" si="156"/>
        <v>1.5362500000000001</v>
      </c>
      <c r="R2535">
        <f t="shared" si="157"/>
        <v>0</v>
      </c>
      <c r="S2535">
        <f t="shared" si="158"/>
        <v>0</v>
      </c>
      <c r="T2535">
        <f t="shared" si="159"/>
        <v>0</v>
      </c>
      <c r="U2535" t="str">
        <f>YEAR('Campaign Data'!$A2535)&amp;"-"&amp;TEXT(MONTH('Campaign Data'!$A2535),"00")</f>
        <v>2026-05</v>
      </c>
    </row>
    <row r="2536" spans="1:21" x14ac:dyDescent="0.25">
      <c r="A2536">
        <v>46160</v>
      </c>
      <c r="B2536" t="s">
        <v>39</v>
      </c>
      <c r="C2536" t="s">
        <v>40</v>
      </c>
      <c r="D2536" t="s">
        <v>41</v>
      </c>
      <c r="E2536" t="s">
        <v>42</v>
      </c>
      <c r="F2536" t="s">
        <v>43</v>
      </c>
      <c r="G2536" t="s">
        <v>44</v>
      </c>
      <c r="H2536" t="s">
        <v>36</v>
      </c>
      <c r="I2536" t="s">
        <v>28</v>
      </c>
      <c r="J2536" t="s">
        <v>45</v>
      </c>
      <c r="K2536">
        <v>26823</v>
      </c>
      <c r="L2536">
        <v>154</v>
      </c>
      <c r="M2536">
        <v>639.28</v>
      </c>
      <c r="N2536">
        <v>4</v>
      </c>
      <c r="O2536">
        <v>93.51</v>
      </c>
      <c r="P2536">
        <f t="shared" si="156"/>
        <v>5.7413413861238487E-3</v>
      </c>
      <c r="Q2536">
        <f t="shared" si="156"/>
        <v>4.1511688311688308</v>
      </c>
      <c r="R2536">
        <f t="shared" si="157"/>
        <v>159.82</v>
      </c>
      <c r="S2536">
        <f t="shared" si="158"/>
        <v>0.14627393317482168</v>
      </c>
      <c r="T2536">
        <f t="shared" si="159"/>
        <v>2.5974025974025976E-2</v>
      </c>
      <c r="U2536" t="str">
        <f>YEAR('Campaign Data'!$A2536)&amp;"-"&amp;TEXT(MONTH('Campaign Data'!$A2536),"00")</f>
        <v>2026-05</v>
      </c>
    </row>
    <row r="2537" spans="1:21" x14ac:dyDescent="0.25">
      <c r="A2537">
        <v>46160</v>
      </c>
      <c r="B2537" t="s">
        <v>169</v>
      </c>
      <c r="C2537" t="s">
        <v>170</v>
      </c>
      <c r="D2537" t="s">
        <v>58</v>
      </c>
      <c r="E2537" t="s">
        <v>74</v>
      </c>
      <c r="F2537" t="s">
        <v>75</v>
      </c>
      <c r="G2537" t="s">
        <v>9</v>
      </c>
      <c r="H2537" t="s">
        <v>27</v>
      </c>
      <c r="I2537" t="s">
        <v>61</v>
      </c>
      <c r="J2537" t="s">
        <v>62</v>
      </c>
      <c r="K2537">
        <v>12449</v>
      </c>
      <c r="L2537">
        <v>628</v>
      </c>
      <c r="M2537">
        <v>953.74</v>
      </c>
      <c r="N2537">
        <v>53</v>
      </c>
      <c r="O2537">
        <v>265</v>
      </c>
      <c r="P2537">
        <f t="shared" si="156"/>
        <v>5.0445818941280425E-2</v>
      </c>
      <c r="Q2537">
        <f t="shared" si="156"/>
        <v>1.5186942675159236</v>
      </c>
      <c r="R2537">
        <f t="shared" si="157"/>
        <v>17.995094339622643</v>
      </c>
      <c r="S2537">
        <f t="shared" si="158"/>
        <v>0.27785350305114603</v>
      </c>
      <c r="T2537">
        <f t="shared" si="159"/>
        <v>8.4394904458598721E-2</v>
      </c>
      <c r="U2537" t="str">
        <f>YEAR('Campaign Data'!$A2537)&amp;"-"&amp;TEXT(MONTH('Campaign Data'!$A2537),"00")</f>
        <v>2026-05</v>
      </c>
    </row>
    <row r="2538" spans="1:21" x14ac:dyDescent="0.25">
      <c r="A2538">
        <v>46160</v>
      </c>
      <c r="B2538" t="s">
        <v>103</v>
      </c>
      <c r="C2538" t="s">
        <v>104</v>
      </c>
      <c r="D2538" t="s">
        <v>65</v>
      </c>
      <c r="E2538" t="s">
        <v>33</v>
      </c>
      <c r="F2538" t="s">
        <v>43</v>
      </c>
      <c r="G2538" t="s">
        <v>102</v>
      </c>
      <c r="H2538" t="s">
        <v>27</v>
      </c>
      <c r="I2538" t="s">
        <v>28</v>
      </c>
      <c r="J2538" t="s">
        <v>87</v>
      </c>
      <c r="K2538">
        <v>11108</v>
      </c>
      <c r="L2538">
        <v>64</v>
      </c>
      <c r="M2538">
        <v>52.07</v>
      </c>
      <c r="N2538">
        <v>2</v>
      </c>
      <c r="O2538">
        <v>54.51</v>
      </c>
      <c r="P2538">
        <f t="shared" si="156"/>
        <v>5.7616132517104793E-3</v>
      </c>
      <c r="Q2538">
        <f t="shared" si="156"/>
        <v>0.81359375</v>
      </c>
      <c r="R2538">
        <f t="shared" si="157"/>
        <v>26.035</v>
      </c>
      <c r="S2538">
        <f t="shared" si="158"/>
        <v>1.0468599961590166</v>
      </c>
      <c r="T2538">
        <f t="shared" si="159"/>
        <v>3.125E-2</v>
      </c>
      <c r="U2538" t="str">
        <f>YEAR('Campaign Data'!$A2538)&amp;"-"&amp;TEXT(MONTH('Campaign Data'!$A2538),"00")</f>
        <v>2026-05</v>
      </c>
    </row>
    <row r="2539" spans="1:21" x14ac:dyDescent="0.25">
      <c r="A2539">
        <v>46160</v>
      </c>
      <c r="B2539" t="s">
        <v>105</v>
      </c>
      <c r="C2539" t="s">
        <v>106</v>
      </c>
      <c r="D2539" t="s">
        <v>58</v>
      </c>
      <c r="E2539" t="s">
        <v>49</v>
      </c>
      <c r="F2539" t="s">
        <v>81</v>
      </c>
      <c r="G2539" t="s">
        <v>107</v>
      </c>
      <c r="H2539" t="s">
        <v>90</v>
      </c>
      <c r="I2539" t="s">
        <v>37</v>
      </c>
      <c r="J2539" t="s">
        <v>29</v>
      </c>
      <c r="K2539">
        <v>4203</v>
      </c>
      <c r="L2539">
        <v>237</v>
      </c>
      <c r="M2539">
        <v>115.48</v>
      </c>
      <c r="N2539">
        <v>10</v>
      </c>
      <c r="O2539">
        <v>52.81</v>
      </c>
      <c r="P2539">
        <f t="shared" si="156"/>
        <v>5.638829407566024E-2</v>
      </c>
      <c r="Q2539">
        <f t="shared" si="156"/>
        <v>0.48725738396624474</v>
      </c>
      <c r="R2539">
        <f t="shared" si="157"/>
        <v>11.548</v>
      </c>
      <c r="S2539">
        <f t="shared" si="158"/>
        <v>0.45730862487010737</v>
      </c>
      <c r="T2539">
        <f t="shared" si="159"/>
        <v>4.2194092827004218E-2</v>
      </c>
      <c r="U2539" t="str">
        <f>YEAR('Campaign Data'!$A2539)&amp;"-"&amp;TEXT(MONTH('Campaign Data'!$A2539),"00")</f>
        <v>2026-05</v>
      </c>
    </row>
    <row r="2540" spans="1:21" x14ac:dyDescent="0.25">
      <c r="A2540">
        <v>46160</v>
      </c>
      <c r="B2540" t="s">
        <v>105</v>
      </c>
      <c r="C2540" t="s">
        <v>106</v>
      </c>
      <c r="D2540" t="s">
        <v>58</v>
      </c>
      <c r="E2540" t="s">
        <v>49</v>
      </c>
      <c r="F2540" t="s">
        <v>81</v>
      </c>
      <c r="G2540" t="s">
        <v>107</v>
      </c>
      <c r="H2540" t="s">
        <v>51</v>
      </c>
      <c r="I2540" t="s">
        <v>28</v>
      </c>
      <c r="J2540" t="s">
        <v>29</v>
      </c>
      <c r="K2540">
        <v>4596</v>
      </c>
      <c r="L2540">
        <v>141</v>
      </c>
      <c r="M2540">
        <v>184.31</v>
      </c>
      <c r="N2540">
        <v>9</v>
      </c>
      <c r="O2540">
        <v>168.17</v>
      </c>
      <c r="P2540">
        <f t="shared" si="156"/>
        <v>3.0678851174934726E-2</v>
      </c>
      <c r="Q2540">
        <f t="shared" si="156"/>
        <v>1.3071631205673759</v>
      </c>
      <c r="R2540">
        <f t="shared" si="157"/>
        <v>20.478888888888889</v>
      </c>
      <c r="S2540">
        <f t="shared" si="158"/>
        <v>0.91243014486463014</v>
      </c>
      <c r="T2540">
        <f t="shared" si="159"/>
        <v>6.3829787234042548E-2</v>
      </c>
      <c r="U2540" t="str">
        <f>YEAR('Campaign Data'!$A2540)&amp;"-"&amp;TEXT(MONTH('Campaign Data'!$A2540),"00")</f>
        <v>2026-05</v>
      </c>
    </row>
    <row r="2541" spans="1:21" x14ac:dyDescent="0.25">
      <c r="A2541">
        <v>46160</v>
      </c>
      <c r="B2541" t="s">
        <v>179</v>
      </c>
      <c r="C2541" t="s">
        <v>180</v>
      </c>
      <c r="D2541" t="s">
        <v>58</v>
      </c>
      <c r="E2541" t="s">
        <v>42</v>
      </c>
      <c r="F2541" t="s">
        <v>25</v>
      </c>
      <c r="G2541" t="s">
        <v>54</v>
      </c>
      <c r="H2541" t="s">
        <v>36</v>
      </c>
      <c r="I2541" t="s">
        <v>37</v>
      </c>
      <c r="J2541" t="s">
        <v>38</v>
      </c>
      <c r="K2541">
        <v>7643</v>
      </c>
      <c r="L2541">
        <v>62</v>
      </c>
      <c r="M2541">
        <v>425.55</v>
      </c>
      <c r="N2541">
        <v>2</v>
      </c>
      <c r="O2541">
        <v>279.87</v>
      </c>
      <c r="P2541">
        <f t="shared" si="156"/>
        <v>8.1119979065811861E-3</v>
      </c>
      <c r="Q2541">
        <f t="shared" si="156"/>
        <v>6.8637096774193553</v>
      </c>
      <c r="R2541">
        <f t="shared" si="157"/>
        <v>212.77500000000001</v>
      </c>
      <c r="S2541">
        <f t="shared" si="158"/>
        <v>0.65766654917166023</v>
      </c>
      <c r="T2541">
        <f t="shared" si="159"/>
        <v>3.2258064516129031E-2</v>
      </c>
      <c r="U2541" t="str">
        <f>YEAR('Campaign Data'!$A2541)&amp;"-"&amp;TEXT(MONTH('Campaign Data'!$A2541),"00")</f>
        <v>2026-05</v>
      </c>
    </row>
    <row r="2542" spans="1:21" x14ac:dyDescent="0.25">
      <c r="A2542">
        <v>46160</v>
      </c>
      <c r="B2542" t="s">
        <v>171</v>
      </c>
      <c r="C2542" t="s">
        <v>172</v>
      </c>
      <c r="D2542" t="s">
        <v>23</v>
      </c>
      <c r="E2542" t="s">
        <v>33</v>
      </c>
      <c r="F2542" t="s">
        <v>75</v>
      </c>
      <c r="G2542" t="s">
        <v>59</v>
      </c>
      <c r="H2542" t="s">
        <v>55</v>
      </c>
      <c r="I2542" t="s">
        <v>37</v>
      </c>
      <c r="J2542" t="s">
        <v>29</v>
      </c>
      <c r="K2542">
        <v>3982</v>
      </c>
      <c r="L2542">
        <v>42</v>
      </c>
      <c r="M2542">
        <v>21.17</v>
      </c>
      <c r="N2542">
        <v>3</v>
      </c>
      <c r="O2542">
        <v>144.25</v>
      </c>
      <c r="P2542">
        <f t="shared" si="156"/>
        <v>1.0547463586137619E-2</v>
      </c>
      <c r="Q2542">
        <f t="shared" si="156"/>
        <v>0.50404761904761908</v>
      </c>
      <c r="R2542">
        <f t="shared" si="157"/>
        <v>7.0566666666666675</v>
      </c>
      <c r="S2542">
        <f t="shared" si="158"/>
        <v>6.8138875767595648</v>
      </c>
      <c r="T2542">
        <f t="shared" si="159"/>
        <v>7.1428571428571425E-2</v>
      </c>
      <c r="U2542" t="str">
        <f>YEAR('Campaign Data'!$A2542)&amp;"-"&amp;TEXT(MONTH('Campaign Data'!$A2542),"00")</f>
        <v>2026-05</v>
      </c>
    </row>
    <row r="2543" spans="1:21" x14ac:dyDescent="0.25">
      <c r="A2543">
        <v>46160</v>
      </c>
      <c r="B2543" t="s">
        <v>134</v>
      </c>
      <c r="C2543" t="s">
        <v>135</v>
      </c>
      <c r="D2543" t="s">
        <v>32</v>
      </c>
      <c r="E2543" t="s">
        <v>74</v>
      </c>
      <c r="F2543" t="s">
        <v>25</v>
      </c>
      <c r="G2543" t="s">
        <v>107</v>
      </c>
      <c r="H2543" t="s">
        <v>71</v>
      </c>
      <c r="I2543" t="s">
        <v>37</v>
      </c>
      <c r="J2543" t="s">
        <v>45</v>
      </c>
      <c r="K2543">
        <v>8112</v>
      </c>
      <c r="L2543">
        <v>125</v>
      </c>
      <c r="M2543">
        <v>127.73</v>
      </c>
      <c r="N2543">
        <v>11</v>
      </c>
      <c r="O2543">
        <v>1587.59</v>
      </c>
      <c r="P2543">
        <f t="shared" si="156"/>
        <v>1.5409270216962525E-2</v>
      </c>
      <c r="Q2543">
        <f t="shared" si="156"/>
        <v>1.0218400000000001</v>
      </c>
      <c r="R2543">
        <f t="shared" si="157"/>
        <v>11.611818181818181</v>
      </c>
      <c r="S2543">
        <f t="shared" si="158"/>
        <v>12.429264855554685</v>
      </c>
      <c r="T2543">
        <f t="shared" si="159"/>
        <v>8.7999999999999995E-2</v>
      </c>
      <c r="U2543" t="str">
        <f>YEAR('Campaign Data'!$A2543)&amp;"-"&amp;TEXT(MONTH('Campaign Data'!$A2543),"00")</f>
        <v>2026-05</v>
      </c>
    </row>
    <row r="2544" spans="1:21" x14ac:dyDescent="0.25">
      <c r="A2544">
        <v>46160</v>
      </c>
      <c r="B2544" t="s">
        <v>159</v>
      </c>
      <c r="C2544" t="s">
        <v>160</v>
      </c>
      <c r="D2544" t="s">
        <v>65</v>
      </c>
      <c r="E2544" t="s">
        <v>42</v>
      </c>
      <c r="F2544" t="s">
        <v>75</v>
      </c>
      <c r="G2544" t="s">
        <v>54</v>
      </c>
      <c r="H2544" t="s">
        <v>71</v>
      </c>
      <c r="I2544" t="s">
        <v>28</v>
      </c>
      <c r="J2544" t="s">
        <v>87</v>
      </c>
      <c r="K2544">
        <v>8633</v>
      </c>
      <c r="L2544">
        <v>31</v>
      </c>
      <c r="M2544">
        <v>143.19</v>
      </c>
      <c r="N2544">
        <v>1</v>
      </c>
      <c r="O2544">
        <v>46.36</v>
      </c>
      <c r="P2544">
        <f t="shared" si="156"/>
        <v>3.5908722344492067E-3</v>
      </c>
      <c r="Q2544">
        <f t="shared" si="156"/>
        <v>4.6190322580645162</v>
      </c>
      <c r="R2544">
        <f t="shared" si="157"/>
        <v>143.19</v>
      </c>
      <c r="S2544">
        <f t="shared" si="158"/>
        <v>0.32376562609120751</v>
      </c>
      <c r="T2544">
        <f t="shared" si="159"/>
        <v>3.2258064516129031E-2</v>
      </c>
      <c r="U2544" t="str">
        <f>YEAR('Campaign Data'!$A2544)&amp;"-"&amp;TEXT(MONTH('Campaign Data'!$A2544),"00")</f>
        <v>2026-05</v>
      </c>
    </row>
    <row r="2545" spans="1:21" x14ac:dyDescent="0.25">
      <c r="A2545">
        <v>46160</v>
      </c>
      <c r="B2545" t="s">
        <v>114</v>
      </c>
      <c r="C2545" t="s">
        <v>115</v>
      </c>
      <c r="D2545" t="s">
        <v>69</v>
      </c>
      <c r="E2545" t="s">
        <v>49</v>
      </c>
      <c r="F2545" t="s">
        <v>25</v>
      </c>
      <c r="G2545" t="s">
        <v>107</v>
      </c>
      <c r="H2545" t="s">
        <v>27</v>
      </c>
      <c r="I2545" t="s">
        <v>28</v>
      </c>
      <c r="J2545" t="s">
        <v>62</v>
      </c>
      <c r="K2545">
        <v>8603</v>
      </c>
      <c r="L2545">
        <v>410</v>
      </c>
      <c r="M2545">
        <v>1018.11</v>
      </c>
      <c r="N2545">
        <v>32</v>
      </c>
      <c r="O2545">
        <v>5456.57</v>
      </c>
      <c r="P2545">
        <f t="shared" si="156"/>
        <v>4.7657793792862953E-2</v>
      </c>
      <c r="Q2545">
        <f t="shared" si="156"/>
        <v>2.4831951219512196</v>
      </c>
      <c r="R2545">
        <f t="shared" si="157"/>
        <v>31.8159375</v>
      </c>
      <c r="S2545">
        <f t="shared" si="158"/>
        <v>5.3595092868157659</v>
      </c>
      <c r="T2545">
        <f t="shared" si="159"/>
        <v>7.8048780487804878E-2</v>
      </c>
      <c r="U2545" t="str">
        <f>YEAR('Campaign Data'!$A2545)&amp;"-"&amp;TEXT(MONTH('Campaign Data'!$A2545),"00")</f>
        <v>2026-05</v>
      </c>
    </row>
    <row r="2546" spans="1:21" x14ac:dyDescent="0.25">
      <c r="A2546">
        <v>46160</v>
      </c>
      <c r="B2546" t="s">
        <v>136</v>
      </c>
      <c r="C2546" t="s">
        <v>137</v>
      </c>
      <c r="D2546" t="s">
        <v>32</v>
      </c>
      <c r="E2546" t="s">
        <v>49</v>
      </c>
      <c r="F2546" t="s">
        <v>75</v>
      </c>
      <c r="G2546" t="s">
        <v>97</v>
      </c>
      <c r="H2546" t="s">
        <v>27</v>
      </c>
      <c r="I2546" t="s">
        <v>37</v>
      </c>
      <c r="J2546" t="s">
        <v>87</v>
      </c>
      <c r="K2546">
        <v>17229</v>
      </c>
      <c r="L2546">
        <v>549</v>
      </c>
      <c r="M2546">
        <v>1482</v>
      </c>
      <c r="N2546">
        <v>29</v>
      </c>
      <c r="O2546">
        <v>1271.42</v>
      </c>
      <c r="P2546">
        <f t="shared" si="156"/>
        <v>3.1864878983109871E-2</v>
      </c>
      <c r="Q2546">
        <f t="shared" si="156"/>
        <v>2.6994535519125682</v>
      </c>
      <c r="R2546">
        <f t="shared" si="157"/>
        <v>51.103448275862071</v>
      </c>
      <c r="S2546">
        <f t="shared" si="158"/>
        <v>0.85790823211875844</v>
      </c>
      <c r="T2546">
        <f t="shared" si="159"/>
        <v>5.2823315118397086E-2</v>
      </c>
      <c r="U2546" t="str">
        <f>YEAR('Campaign Data'!$A2546)&amp;"-"&amp;TEXT(MONTH('Campaign Data'!$A2546),"00")</f>
        <v>2026-05</v>
      </c>
    </row>
    <row r="2547" spans="1:21" x14ac:dyDescent="0.25">
      <c r="A2547">
        <v>46160</v>
      </c>
      <c r="B2547" t="s">
        <v>143</v>
      </c>
      <c r="C2547" t="s">
        <v>144</v>
      </c>
      <c r="D2547" t="s">
        <v>48</v>
      </c>
      <c r="E2547" t="s">
        <v>42</v>
      </c>
      <c r="F2547" t="s">
        <v>25</v>
      </c>
      <c r="G2547" t="s">
        <v>84</v>
      </c>
      <c r="H2547" t="s">
        <v>51</v>
      </c>
      <c r="I2547" t="s">
        <v>37</v>
      </c>
      <c r="J2547" t="s">
        <v>38</v>
      </c>
      <c r="K2547">
        <v>10396</v>
      </c>
      <c r="L2547">
        <v>58</v>
      </c>
      <c r="M2547">
        <v>341.53</v>
      </c>
      <c r="N2547">
        <v>2</v>
      </c>
      <c r="O2547">
        <v>256.43</v>
      </c>
      <c r="P2547">
        <f t="shared" si="156"/>
        <v>5.5790688726433243E-3</v>
      </c>
      <c r="Q2547">
        <f t="shared" si="156"/>
        <v>5.8884482758620686</v>
      </c>
      <c r="R2547">
        <f t="shared" si="157"/>
        <v>170.76499999999999</v>
      </c>
      <c r="S2547">
        <f t="shared" si="158"/>
        <v>0.75082716013234574</v>
      </c>
      <c r="T2547">
        <f t="shared" si="159"/>
        <v>3.4482758620689655E-2</v>
      </c>
      <c r="U2547" t="str">
        <f>YEAR('Campaign Data'!$A2547)&amp;"-"&amp;TEXT(MONTH('Campaign Data'!$A2547),"00")</f>
        <v>2026-05</v>
      </c>
    </row>
    <row r="2548" spans="1:21" x14ac:dyDescent="0.25">
      <c r="A2548">
        <v>46160</v>
      </c>
      <c r="B2548" t="s">
        <v>143</v>
      </c>
      <c r="C2548" t="s">
        <v>144</v>
      </c>
      <c r="D2548" t="s">
        <v>48</v>
      </c>
      <c r="E2548" t="s">
        <v>42</v>
      </c>
      <c r="F2548" t="s">
        <v>25</v>
      </c>
      <c r="G2548" t="s">
        <v>84</v>
      </c>
      <c r="H2548" t="s">
        <v>27</v>
      </c>
      <c r="I2548" t="s">
        <v>37</v>
      </c>
      <c r="J2548" t="s">
        <v>45</v>
      </c>
      <c r="K2548">
        <v>16270</v>
      </c>
      <c r="L2548">
        <v>116</v>
      </c>
      <c r="M2548">
        <v>761.33</v>
      </c>
      <c r="N2548">
        <v>4</v>
      </c>
      <c r="O2548">
        <v>585.6</v>
      </c>
      <c r="P2548">
        <f t="shared" si="156"/>
        <v>7.1296865396435153E-3</v>
      </c>
      <c r="Q2548">
        <f t="shared" si="156"/>
        <v>6.5631896551724145</v>
      </c>
      <c r="R2548">
        <f t="shared" si="157"/>
        <v>190.33250000000001</v>
      </c>
      <c r="S2548">
        <f t="shared" si="158"/>
        <v>0.76918025035135884</v>
      </c>
      <c r="T2548">
        <f t="shared" si="159"/>
        <v>3.4482758620689655E-2</v>
      </c>
      <c r="U2548" t="str">
        <f>YEAR('Campaign Data'!$A2548)&amp;"-"&amp;TEXT(MONTH('Campaign Data'!$A2548),"00")</f>
        <v>2026-05</v>
      </c>
    </row>
    <row r="2549" spans="1:21" x14ac:dyDescent="0.25">
      <c r="A2549">
        <v>46160</v>
      </c>
      <c r="B2549" t="s">
        <v>63</v>
      </c>
      <c r="C2549" t="s">
        <v>64</v>
      </c>
      <c r="D2549" t="s">
        <v>65</v>
      </c>
      <c r="E2549" t="s">
        <v>24</v>
      </c>
      <c r="F2549" t="s">
        <v>43</v>
      </c>
      <c r="G2549" t="s">
        <v>66</v>
      </c>
      <c r="H2549" t="s">
        <v>90</v>
      </c>
      <c r="I2549" t="s">
        <v>37</v>
      </c>
      <c r="J2549" t="s">
        <v>29</v>
      </c>
      <c r="K2549">
        <v>5851</v>
      </c>
      <c r="L2549">
        <v>53</v>
      </c>
      <c r="M2549">
        <v>12.72</v>
      </c>
      <c r="N2549">
        <v>0</v>
      </c>
      <c r="O2549">
        <v>0</v>
      </c>
      <c r="P2549">
        <f t="shared" si="156"/>
        <v>9.0582806357887534E-3</v>
      </c>
      <c r="Q2549">
        <f t="shared" si="156"/>
        <v>0.24000000000000002</v>
      </c>
      <c r="R2549">
        <f t="shared" si="157"/>
        <v>0</v>
      </c>
      <c r="S2549">
        <f t="shared" si="158"/>
        <v>0</v>
      </c>
      <c r="T2549">
        <f t="shared" si="159"/>
        <v>0</v>
      </c>
      <c r="U2549" t="str">
        <f>YEAR('Campaign Data'!$A2549)&amp;"-"&amp;TEXT(MONTH('Campaign Data'!$A2549),"00")</f>
        <v>2026-05</v>
      </c>
    </row>
    <row r="2550" spans="1:21" x14ac:dyDescent="0.25">
      <c r="A2550">
        <v>46160</v>
      </c>
      <c r="B2550" t="s">
        <v>116</v>
      </c>
      <c r="C2550" t="s">
        <v>117</v>
      </c>
      <c r="D2550" t="s">
        <v>48</v>
      </c>
      <c r="E2550" t="s">
        <v>24</v>
      </c>
      <c r="F2550" t="s">
        <v>43</v>
      </c>
      <c r="G2550" t="s">
        <v>26</v>
      </c>
      <c r="H2550" t="s">
        <v>51</v>
      </c>
      <c r="I2550" t="s">
        <v>28</v>
      </c>
      <c r="J2550" t="s">
        <v>45</v>
      </c>
      <c r="K2550">
        <v>5104</v>
      </c>
      <c r="L2550">
        <v>95</v>
      </c>
      <c r="M2550">
        <v>109.7</v>
      </c>
      <c r="N2550">
        <v>3</v>
      </c>
      <c r="O2550">
        <v>106.81</v>
      </c>
      <c r="P2550">
        <f t="shared" si="156"/>
        <v>1.8612852664576802E-2</v>
      </c>
      <c r="Q2550">
        <f t="shared" si="156"/>
        <v>1.1547368421052633</v>
      </c>
      <c r="R2550">
        <f t="shared" si="157"/>
        <v>36.56666666666667</v>
      </c>
      <c r="S2550">
        <f t="shared" si="158"/>
        <v>0.97365542388331816</v>
      </c>
      <c r="T2550">
        <f t="shared" si="159"/>
        <v>3.1578947368421054E-2</v>
      </c>
      <c r="U2550" t="str">
        <f>YEAR('Campaign Data'!$A2550)&amp;"-"&amp;TEXT(MONTH('Campaign Data'!$A2550),"00")</f>
        <v>2026-05</v>
      </c>
    </row>
    <row r="2551" spans="1:21" x14ac:dyDescent="0.25">
      <c r="A2551">
        <v>46161</v>
      </c>
      <c r="B2551" t="s">
        <v>175</v>
      </c>
      <c r="C2551" t="s">
        <v>176</v>
      </c>
      <c r="D2551" t="s">
        <v>65</v>
      </c>
      <c r="E2551" t="s">
        <v>49</v>
      </c>
      <c r="F2551" t="s">
        <v>75</v>
      </c>
      <c r="G2551" t="s">
        <v>70</v>
      </c>
      <c r="H2551" t="s">
        <v>55</v>
      </c>
      <c r="I2551" t="s">
        <v>37</v>
      </c>
      <c r="J2551" t="s">
        <v>87</v>
      </c>
      <c r="K2551">
        <v>4212</v>
      </c>
      <c r="L2551">
        <v>185</v>
      </c>
      <c r="M2551">
        <v>342.15</v>
      </c>
      <c r="N2551">
        <v>8</v>
      </c>
      <c r="O2551">
        <v>211.19</v>
      </c>
      <c r="P2551">
        <f t="shared" si="156"/>
        <v>4.3922127255460588E-2</v>
      </c>
      <c r="Q2551">
        <f t="shared" si="156"/>
        <v>1.8494594594594593</v>
      </c>
      <c r="R2551">
        <f t="shared" si="157"/>
        <v>42.768749999999997</v>
      </c>
      <c r="S2551">
        <f t="shared" si="158"/>
        <v>0.61724389887476261</v>
      </c>
      <c r="T2551">
        <f t="shared" si="159"/>
        <v>4.3243243243243246E-2</v>
      </c>
      <c r="U2551" t="str">
        <f>YEAR('Campaign Data'!$A2551)&amp;"-"&amp;TEXT(MONTH('Campaign Data'!$A2551),"00")</f>
        <v>2026-05</v>
      </c>
    </row>
    <row r="2552" spans="1:21" x14ac:dyDescent="0.25">
      <c r="A2552">
        <v>46161</v>
      </c>
      <c r="B2552" t="s">
        <v>175</v>
      </c>
      <c r="C2552" t="s">
        <v>176</v>
      </c>
      <c r="D2552" t="s">
        <v>65</v>
      </c>
      <c r="E2552" t="s">
        <v>49</v>
      </c>
      <c r="F2552" t="s">
        <v>75</v>
      </c>
      <c r="G2552" t="s">
        <v>70</v>
      </c>
      <c r="H2552" t="s">
        <v>60</v>
      </c>
      <c r="I2552" t="s">
        <v>28</v>
      </c>
      <c r="J2552" t="s">
        <v>38</v>
      </c>
      <c r="K2552">
        <v>12021</v>
      </c>
      <c r="L2552">
        <v>561</v>
      </c>
      <c r="M2552">
        <v>810.67</v>
      </c>
      <c r="N2552">
        <v>39</v>
      </c>
      <c r="O2552">
        <v>2296.7399999999998</v>
      </c>
      <c r="P2552">
        <f t="shared" si="156"/>
        <v>4.6668330421761918E-2</v>
      </c>
      <c r="Q2552">
        <f t="shared" si="156"/>
        <v>1.4450445632798574</v>
      </c>
      <c r="R2552">
        <f t="shared" si="157"/>
        <v>20.786410256410257</v>
      </c>
      <c r="S2552">
        <f t="shared" si="158"/>
        <v>2.8331380216364241</v>
      </c>
      <c r="T2552">
        <f t="shared" si="159"/>
        <v>6.9518716577540107E-2</v>
      </c>
      <c r="U2552" t="str">
        <f>YEAR('Campaign Data'!$A2552)&amp;"-"&amp;TEXT(MONTH('Campaign Data'!$A2552),"00")</f>
        <v>2026-05</v>
      </c>
    </row>
    <row r="2553" spans="1:21" x14ac:dyDescent="0.25">
      <c r="A2553">
        <v>46161</v>
      </c>
      <c r="B2553" t="s">
        <v>85</v>
      </c>
      <c r="C2553" t="s">
        <v>86</v>
      </c>
      <c r="D2553" t="s">
        <v>80</v>
      </c>
      <c r="E2553" t="s">
        <v>33</v>
      </c>
      <c r="F2553" t="s">
        <v>43</v>
      </c>
      <c r="G2553" t="s">
        <v>35</v>
      </c>
      <c r="H2553" t="s">
        <v>27</v>
      </c>
      <c r="I2553" t="s">
        <v>37</v>
      </c>
      <c r="J2553" t="s">
        <v>29</v>
      </c>
      <c r="K2553">
        <v>5110</v>
      </c>
      <c r="L2553">
        <v>25</v>
      </c>
      <c r="M2553">
        <v>17.25</v>
      </c>
      <c r="N2553">
        <v>0</v>
      </c>
      <c r="O2553">
        <v>0</v>
      </c>
      <c r="P2553">
        <f t="shared" si="156"/>
        <v>4.8923679060665359E-3</v>
      </c>
      <c r="Q2553">
        <f t="shared" si="156"/>
        <v>0.69</v>
      </c>
      <c r="R2553">
        <f t="shared" si="157"/>
        <v>0</v>
      </c>
      <c r="S2553">
        <f t="shared" si="158"/>
        <v>0</v>
      </c>
      <c r="T2553">
        <f t="shared" si="159"/>
        <v>0</v>
      </c>
      <c r="U2553" t="str">
        <f>YEAR('Campaign Data'!$A2553)&amp;"-"&amp;TEXT(MONTH('Campaign Data'!$A2553),"00")</f>
        <v>2026-05</v>
      </c>
    </row>
    <row r="2554" spans="1:21" x14ac:dyDescent="0.25">
      <c r="A2554">
        <v>46161</v>
      </c>
      <c r="B2554" t="s">
        <v>46</v>
      </c>
      <c r="C2554" t="s">
        <v>47</v>
      </c>
      <c r="D2554" t="s">
        <v>48</v>
      </c>
      <c r="E2554" t="s">
        <v>49</v>
      </c>
      <c r="F2554" t="s">
        <v>43</v>
      </c>
      <c r="G2554" t="s">
        <v>50</v>
      </c>
      <c r="H2554" t="s">
        <v>27</v>
      </c>
      <c r="I2554" t="s">
        <v>37</v>
      </c>
      <c r="J2554" t="s">
        <v>87</v>
      </c>
      <c r="K2554">
        <v>8169</v>
      </c>
      <c r="L2554">
        <v>403</v>
      </c>
      <c r="M2554">
        <v>1109.3599999999999</v>
      </c>
      <c r="N2554">
        <v>17</v>
      </c>
      <c r="O2554">
        <v>622.64</v>
      </c>
      <c r="P2554">
        <f t="shared" si="156"/>
        <v>4.9332843677316683E-2</v>
      </c>
      <c r="Q2554">
        <f t="shared" si="156"/>
        <v>2.7527543424317615</v>
      </c>
      <c r="R2554">
        <f t="shared" si="157"/>
        <v>65.256470588235288</v>
      </c>
      <c r="S2554">
        <f t="shared" si="158"/>
        <v>0.56126054662147551</v>
      </c>
      <c r="T2554">
        <f t="shared" si="159"/>
        <v>4.2183622828784122E-2</v>
      </c>
      <c r="U2554" t="str">
        <f>YEAR('Campaign Data'!$A2554)&amp;"-"&amp;TEXT(MONTH('Campaign Data'!$A2554),"00")</f>
        <v>2026-05</v>
      </c>
    </row>
    <row r="2555" spans="1:21" x14ac:dyDescent="0.25">
      <c r="A2555">
        <v>46161</v>
      </c>
      <c r="B2555" t="s">
        <v>103</v>
      </c>
      <c r="C2555" t="s">
        <v>104</v>
      </c>
      <c r="D2555" t="s">
        <v>65</v>
      </c>
      <c r="E2555" t="s">
        <v>33</v>
      </c>
      <c r="F2555" t="s">
        <v>43</v>
      </c>
      <c r="G2555" t="s">
        <v>102</v>
      </c>
      <c r="H2555" t="s">
        <v>55</v>
      </c>
      <c r="I2555" t="s">
        <v>28</v>
      </c>
      <c r="J2555" t="s">
        <v>45</v>
      </c>
      <c r="K2555">
        <v>1620</v>
      </c>
      <c r="L2555">
        <v>14</v>
      </c>
      <c r="M2555">
        <v>8.1</v>
      </c>
      <c r="N2555">
        <v>0</v>
      </c>
      <c r="O2555">
        <v>0</v>
      </c>
      <c r="P2555">
        <f t="shared" si="156"/>
        <v>8.6419753086419745E-3</v>
      </c>
      <c r="Q2555">
        <f t="shared" si="156"/>
        <v>0.57857142857142851</v>
      </c>
      <c r="R2555">
        <f t="shared" si="157"/>
        <v>0</v>
      </c>
      <c r="S2555">
        <f t="shared" si="158"/>
        <v>0</v>
      </c>
      <c r="T2555">
        <f t="shared" si="159"/>
        <v>0</v>
      </c>
      <c r="U2555" t="str">
        <f>YEAR('Campaign Data'!$A2555)&amp;"-"&amp;TEXT(MONTH('Campaign Data'!$A2555),"00")</f>
        <v>2026-05</v>
      </c>
    </row>
    <row r="2556" spans="1:21" x14ac:dyDescent="0.25">
      <c r="A2556">
        <v>46161</v>
      </c>
      <c r="B2556" t="s">
        <v>179</v>
      </c>
      <c r="C2556" t="s">
        <v>180</v>
      </c>
      <c r="D2556" t="s">
        <v>58</v>
      </c>
      <c r="E2556" t="s">
        <v>42</v>
      </c>
      <c r="F2556" t="s">
        <v>25</v>
      </c>
      <c r="G2556" t="s">
        <v>54</v>
      </c>
      <c r="H2556" t="s">
        <v>71</v>
      </c>
      <c r="I2556" t="s">
        <v>37</v>
      </c>
      <c r="J2556" t="s">
        <v>38</v>
      </c>
      <c r="K2556">
        <v>4711</v>
      </c>
      <c r="L2556">
        <v>27</v>
      </c>
      <c r="M2556">
        <v>143.63</v>
      </c>
      <c r="N2556">
        <v>0</v>
      </c>
      <c r="O2556">
        <v>0</v>
      </c>
      <c r="P2556">
        <f t="shared" si="156"/>
        <v>5.7312672468690295E-3</v>
      </c>
      <c r="Q2556">
        <f t="shared" si="156"/>
        <v>5.3196296296296293</v>
      </c>
      <c r="R2556">
        <f t="shared" si="157"/>
        <v>0</v>
      </c>
      <c r="S2556">
        <f t="shared" si="158"/>
        <v>0</v>
      </c>
      <c r="T2556">
        <f t="shared" si="159"/>
        <v>0</v>
      </c>
      <c r="U2556" t="str">
        <f>YEAR('Campaign Data'!$A2556)&amp;"-"&amp;TEXT(MONTH('Campaign Data'!$A2556),"00")</f>
        <v>2026-05</v>
      </c>
    </row>
    <row r="2557" spans="1:21" x14ac:dyDescent="0.25">
      <c r="A2557">
        <v>46161</v>
      </c>
      <c r="B2557" t="s">
        <v>136</v>
      </c>
      <c r="C2557" t="s">
        <v>137</v>
      </c>
      <c r="D2557" t="s">
        <v>32</v>
      </c>
      <c r="E2557" t="s">
        <v>49</v>
      </c>
      <c r="F2557" t="s">
        <v>75</v>
      </c>
      <c r="G2557" t="s">
        <v>97</v>
      </c>
      <c r="H2557" t="s">
        <v>51</v>
      </c>
      <c r="I2557" t="s">
        <v>28</v>
      </c>
      <c r="J2557" t="s">
        <v>62</v>
      </c>
      <c r="K2557">
        <v>8691</v>
      </c>
      <c r="L2557">
        <v>516</v>
      </c>
      <c r="M2557">
        <v>1154.99</v>
      </c>
      <c r="N2557">
        <v>64</v>
      </c>
      <c r="O2557">
        <v>2175.48</v>
      </c>
      <c r="P2557">
        <f t="shared" si="156"/>
        <v>5.9371763893683122E-2</v>
      </c>
      <c r="Q2557">
        <f t="shared" si="156"/>
        <v>2.2383527131782945</v>
      </c>
      <c r="R2557">
        <f t="shared" si="157"/>
        <v>18.04671875</v>
      </c>
      <c r="S2557">
        <f t="shared" si="158"/>
        <v>1.8835487753140721</v>
      </c>
      <c r="T2557">
        <f t="shared" si="159"/>
        <v>0.12403100775193798</v>
      </c>
      <c r="U2557" t="str">
        <f>YEAR('Campaign Data'!$A2557)&amp;"-"&amp;TEXT(MONTH('Campaign Data'!$A2557),"00")</f>
        <v>2026-05</v>
      </c>
    </row>
    <row r="2558" spans="1:21" x14ac:dyDescent="0.25">
      <c r="A2558">
        <v>46162</v>
      </c>
      <c r="B2558" t="s">
        <v>167</v>
      </c>
      <c r="C2558" t="s">
        <v>168</v>
      </c>
      <c r="D2558" t="s">
        <v>58</v>
      </c>
      <c r="E2558" t="s">
        <v>33</v>
      </c>
      <c r="F2558" t="s">
        <v>75</v>
      </c>
      <c r="G2558" t="s">
        <v>35</v>
      </c>
      <c r="H2558" t="s">
        <v>27</v>
      </c>
      <c r="I2558" t="s">
        <v>37</v>
      </c>
      <c r="J2558" t="s">
        <v>62</v>
      </c>
      <c r="K2558">
        <v>9925</v>
      </c>
      <c r="L2558">
        <v>147</v>
      </c>
      <c r="M2558">
        <v>101.38</v>
      </c>
      <c r="N2558">
        <v>5</v>
      </c>
      <c r="O2558">
        <v>153.07</v>
      </c>
      <c r="P2558">
        <f t="shared" si="156"/>
        <v>1.4811083123425692E-2</v>
      </c>
      <c r="Q2558">
        <f t="shared" si="156"/>
        <v>0.68965986394557821</v>
      </c>
      <c r="R2558">
        <f t="shared" si="157"/>
        <v>20.276</v>
      </c>
      <c r="S2558">
        <f t="shared" si="158"/>
        <v>1.5098638784770171</v>
      </c>
      <c r="T2558">
        <f t="shared" si="159"/>
        <v>3.4013605442176874E-2</v>
      </c>
      <c r="U2558" t="str">
        <f>YEAR('Campaign Data'!$A2558)&amp;"-"&amp;TEXT(MONTH('Campaign Data'!$A2558),"00")</f>
        <v>2026-05</v>
      </c>
    </row>
    <row r="2559" spans="1:21" x14ac:dyDescent="0.25">
      <c r="A2559">
        <v>46162</v>
      </c>
      <c r="B2559" t="s">
        <v>167</v>
      </c>
      <c r="C2559" t="s">
        <v>168</v>
      </c>
      <c r="D2559" t="s">
        <v>58</v>
      </c>
      <c r="E2559" t="s">
        <v>33</v>
      </c>
      <c r="F2559" t="s">
        <v>75</v>
      </c>
      <c r="G2559" t="s">
        <v>35</v>
      </c>
      <c r="H2559" t="s">
        <v>27</v>
      </c>
      <c r="I2559" t="s">
        <v>37</v>
      </c>
      <c r="J2559" t="s">
        <v>45</v>
      </c>
      <c r="K2559">
        <v>9666</v>
      </c>
      <c r="L2559">
        <v>92</v>
      </c>
      <c r="M2559">
        <v>66.97</v>
      </c>
      <c r="N2559">
        <v>0</v>
      </c>
      <c r="O2559">
        <v>0</v>
      </c>
      <c r="P2559">
        <f t="shared" si="156"/>
        <v>9.5178977860542104E-3</v>
      </c>
      <c r="Q2559">
        <f t="shared" si="156"/>
        <v>0.7279347826086956</v>
      </c>
      <c r="R2559">
        <f t="shared" si="157"/>
        <v>0</v>
      </c>
      <c r="S2559">
        <f t="shared" si="158"/>
        <v>0</v>
      </c>
      <c r="T2559">
        <f t="shared" si="159"/>
        <v>0</v>
      </c>
      <c r="U2559" t="str">
        <f>YEAR('Campaign Data'!$A2559)&amp;"-"&amp;TEXT(MONTH('Campaign Data'!$A2559),"00")</f>
        <v>2026-05</v>
      </c>
    </row>
    <row r="2560" spans="1:21" x14ac:dyDescent="0.25">
      <c r="A2560">
        <v>46162</v>
      </c>
      <c r="B2560" t="s">
        <v>125</v>
      </c>
      <c r="C2560" t="s">
        <v>126</v>
      </c>
      <c r="D2560" t="s">
        <v>41</v>
      </c>
      <c r="E2560" t="s">
        <v>42</v>
      </c>
      <c r="F2560" t="s">
        <v>81</v>
      </c>
      <c r="G2560" t="s">
        <v>44</v>
      </c>
      <c r="H2560" t="s">
        <v>51</v>
      </c>
      <c r="I2560" t="s">
        <v>37</v>
      </c>
      <c r="J2560" t="s">
        <v>29</v>
      </c>
      <c r="K2560">
        <v>7932</v>
      </c>
      <c r="L2560">
        <v>26</v>
      </c>
      <c r="M2560">
        <v>118.03</v>
      </c>
      <c r="N2560">
        <v>1</v>
      </c>
      <c r="O2560">
        <v>18.39</v>
      </c>
      <c r="P2560">
        <f t="shared" si="156"/>
        <v>3.2778618255168935E-3</v>
      </c>
      <c r="Q2560">
        <f t="shared" si="156"/>
        <v>4.5396153846153844</v>
      </c>
      <c r="R2560">
        <f t="shared" si="157"/>
        <v>118.03</v>
      </c>
      <c r="S2560">
        <f t="shared" si="158"/>
        <v>0.15580784546301787</v>
      </c>
      <c r="T2560">
        <f t="shared" si="159"/>
        <v>3.8461538461538464E-2</v>
      </c>
      <c r="U2560" t="str">
        <f>YEAR('Campaign Data'!$A2560)&amp;"-"&amp;TEXT(MONTH('Campaign Data'!$A2560),"00")</f>
        <v>2026-05</v>
      </c>
    </row>
    <row r="2561" spans="1:21" x14ac:dyDescent="0.25">
      <c r="A2561">
        <v>46162</v>
      </c>
      <c r="B2561" t="s">
        <v>186</v>
      </c>
      <c r="C2561" t="s">
        <v>187</v>
      </c>
      <c r="D2561" t="s">
        <v>80</v>
      </c>
      <c r="E2561" t="s">
        <v>33</v>
      </c>
      <c r="F2561" t="s">
        <v>43</v>
      </c>
      <c r="G2561" t="s">
        <v>102</v>
      </c>
      <c r="H2561" t="s">
        <v>71</v>
      </c>
      <c r="I2561" t="s">
        <v>37</v>
      </c>
      <c r="J2561" t="s">
        <v>38</v>
      </c>
      <c r="K2561">
        <v>11576</v>
      </c>
      <c r="L2561">
        <v>111</v>
      </c>
      <c r="M2561">
        <v>48.61</v>
      </c>
      <c r="N2561">
        <v>0</v>
      </c>
      <c r="O2561">
        <v>0</v>
      </c>
      <c r="P2561">
        <f t="shared" si="156"/>
        <v>9.5888044229440229E-3</v>
      </c>
      <c r="Q2561">
        <f t="shared" si="156"/>
        <v>0.4379279279279279</v>
      </c>
      <c r="R2561">
        <f t="shared" si="157"/>
        <v>0</v>
      </c>
      <c r="S2561">
        <f t="shared" si="158"/>
        <v>0</v>
      </c>
      <c r="T2561">
        <f t="shared" si="159"/>
        <v>0</v>
      </c>
      <c r="U2561" t="str">
        <f>YEAR('Campaign Data'!$A2561)&amp;"-"&amp;TEXT(MONTH('Campaign Data'!$A2561),"00")</f>
        <v>2026-05</v>
      </c>
    </row>
    <row r="2562" spans="1:21" x14ac:dyDescent="0.25">
      <c r="A2562">
        <v>46162</v>
      </c>
      <c r="B2562" t="s">
        <v>105</v>
      </c>
      <c r="C2562" t="s">
        <v>106</v>
      </c>
      <c r="D2562" t="s">
        <v>58</v>
      </c>
      <c r="E2562" t="s">
        <v>49</v>
      </c>
      <c r="F2562" t="s">
        <v>81</v>
      </c>
      <c r="G2562" t="s">
        <v>107</v>
      </c>
      <c r="H2562" t="s">
        <v>90</v>
      </c>
      <c r="I2562" t="s">
        <v>61</v>
      </c>
      <c r="J2562" t="s">
        <v>45</v>
      </c>
      <c r="K2562">
        <v>5405</v>
      </c>
      <c r="L2562">
        <v>335</v>
      </c>
      <c r="M2562">
        <v>150.44999999999999</v>
      </c>
      <c r="N2562">
        <v>8</v>
      </c>
      <c r="O2562">
        <v>40</v>
      </c>
      <c r="P2562">
        <f t="shared" ref="P2562:Q2625" si="160">IF(K2562=0,0,L2562/K2562)</f>
        <v>6.1979648473635525E-2</v>
      </c>
      <c r="Q2562">
        <f t="shared" si="160"/>
        <v>0.44910447761194028</v>
      </c>
      <c r="R2562">
        <f t="shared" ref="R2562:R2625" si="161">IF(N2562=0,0,M2562/N2562)</f>
        <v>18.806249999999999</v>
      </c>
      <c r="S2562">
        <f t="shared" ref="S2562:S2625" si="162">IF(M2562=0,0,O2562/M2562)</f>
        <v>0.26586905948820205</v>
      </c>
      <c r="T2562">
        <f t="shared" ref="T2562:T2625" si="163">IF(L2562=0,0,N2562/L2562)</f>
        <v>2.3880597014925373E-2</v>
      </c>
      <c r="U2562" t="str">
        <f>YEAR('Campaign Data'!$A2562)&amp;"-"&amp;TEXT(MONTH('Campaign Data'!$A2562),"00")</f>
        <v>2026-05</v>
      </c>
    </row>
    <row r="2563" spans="1:21" x14ac:dyDescent="0.25">
      <c r="A2563">
        <v>46162</v>
      </c>
      <c r="B2563" t="s">
        <v>179</v>
      </c>
      <c r="C2563" t="s">
        <v>180</v>
      </c>
      <c r="D2563" t="s">
        <v>58</v>
      </c>
      <c r="E2563" t="s">
        <v>42</v>
      </c>
      <c r="F2563" t="s">
        <v>25</v>
      </c>
      <c r="G2563" t="s">
        <v>54</v>
      </c>
      <c r="H2563" t="s">
        <v>90</v>
      </c>
      <c r="I2563" t="s">
        <v>37</v>
      </c>
      <c r="J2563" t="s">
        <v>29</v>
      </c>
      <c r="K2563">
        <v>2226</v>
      </c>
      <c r="L2563">
        <v>20</v>
      </c>
      <c r="M2563">
        <v>34.630000000000003</v>
      </c>
      <c r="N2563">
        <v>0</v>
      </c>
      <c r="O2563">
        <v>0</v>
      </c>
      <c r="P2563">
        <f t="shared" si="160"/>
        <v>8.9847259658580418E-3</v>
      </c>
      <c r="Q2563">
        <f t="shared" si="160"/>
        <v>1.7315</v>
      </c>
      <c r="R2563">
        <f t="shared" si="161"/>
        <v>0</v>
      </c>
      <c r="S2563">
        <f t="shared" si="162"/>
        <v>0</v>
      </c>
      <c r="T2563">
        <f t="shared" si="163"/>
        <v>0</v>
      </c>
      <c r="U2563" t="str">
        <f>YEAR('Campaign Data'!$A2563)&amp;"-"&amp;TEXT(MONTH('Campaign Data'!$A2563),"00")</f>
        <v>2026-05</v>
      </c>
    </row>
    <row r="2564" spans="1:21" x14ac:dyDescent="0.25">
      <c r="A2564">
        <v>46162</v>
      </c>
      <c r="B2564" t="s">
        <v>181</v>
      </c>
      <c r="C2564" t="s">
        <v>182</v>
      </c>
      <c r="D2564" t="s">
        <v>32</v>
      </c>
      <c r="E2564" t="s">
        <v>33</v>
      </c>
      <c r="F2564" t="s">
        <v>75</v>
      </c>
      <c r="G2564" t="s">
        <v>59</v>
      </c>
      <c r="H2564" t="s">
        <v>27</v>
      </c>
      <c r="I2564" t="s">
        <v>37</v>
      </c>
      <c r="J2564" t="s">
        <v>29</v>
      </c>
      <c r="K2564">
        <v>61653</v>
      </c>
      <c r="L2564">
        <v>470</v>
      </c>
      <c r="M2564">
        <v>370.33</v>
      </c>
      <c r="N2564">
        <v>1</v>
      </c>
      <c r="O2564">
        <v>60.68</v>
      </c>
      <c r="P2564">
        <f t="shared" si="160"/>
        <v>7.6233111121924322E-3</v>
      </c>
      <c r="Q2564">
        <f t="shared" si="160"/>
        <v>0.78793617021276596</v>
      </c>
      <c r="R2564">
        <f t="shared" si="161"/>
        <v>370.33</v>
      </c>
      <c r="S2564">
        <f t="shared" si="162"/>
        <v>0.16385386007074773</v>
      </c>
      <c r="T2564">
        <f t="shared" si="163"/>
        <v>2.1276595744680851E-3</v>
      </c>
      <c r="U2564" t="str">
        <f>YEAR('Campaign Data'!$A2564)&amp;"-"&amp;TEXT(MONTH('Campaign Data'!$A2564),"00")</f>
        <v>2026-05</v>
      </c>
    </row>
    <row r="2565" spans="1:21" x14ac:dyDescent="0.25">
      <c r="A2565">
        <v>46162</v>
      </c>
      <c r="B2565" t="s">
        <v>67</v>
      </c>
      <c r="C2565" t="s">
        <v>68</v>
      </c>
      <c r="D2565" t="s">
        <v>69</v>
      </c>
      <c r="E2565" t="s">
        <v>49</v>
      </c>
      <c r="F2565" t="s">
        <v>34</v>
      </c>
      <c r="G2565" t="s">
        <v>70</v>
      </c>
      <c r="H2565" t="s">
        <v>27</v>
      </c>
      <c r="I2565" t="s">
        <v>37</v>
      </c>
      <c r="J2565" t="s">
        <v>62</v>
      </c>
      <c r="K2565">
        <v>5916</v>
      </c>
      <c r="L2565">
        <v>281</v>
      </c>
      <c r="M2565">
        <v>477.78</v>
      </c>
      <c r="N2565">
        <v>23</v>
      </c>
      <c r="O2565">
        <v>3450.99</v>
      </c>
      <c r="P2565">
        <f t="shared" si="160"/>
        <v>4.7498309668695067E-2</v>
      </c>
      <c r="Q2565">
        <f t="shared" si="160"/>
        <v>1.7002846975088968</v>
      </c>
      <c r="R2565">
        <f t="shared" si="161"/>
        <v>20.773043478260867</v>
      </c>
      <c r="S2565">
        <f t="shared" si="162"/>
        <v>7.2229687303779979</v>
      </c>
      <c r="T2565">
        <f t="shared" si="163"/>
        <v>8.1850533807829182E-2</v>
      </c>
      <c r="U2565" t="str">
        <f>YEAR('Campaign Data'!$A2565)&amp;"-"&amp;TEXT(MONTH('Campaign Data'!$A2565),"00")</f>
        <v>2026-05</v>
      </c>
    </row>
    <row r="2566" spans="1:21" x14ac:dyDescent="0.25">
      <c r="A2566">
        <v>46162</v>
      </c>
      <c r="B2566" t="s">
        <v>72</v>
      </c>
      <c r="C2566" t="s">
        <v>73</v>
      </c>
      <c r="D2566" t="s">
        <v>69</v>
      </c>
      <c r="E2566" t="s">
        <v>74</v>
      </c>
      <c r="F2566" t="s">
        <v>75</v>
      </c>
      <c r="G2566" t="s">
        <v>9</v>
      </c>
      <c r="H2566" t="s">
        <v>55</v>
      </c>
      <c r="I2566" t="s">
        <v>28</v>
      </c>
      <c r="J2566" t="s">
        <v>29</v>
      </c>
      <c r="K2566">
        <v>7625</v>
      </c>
      <c r="L2566">
        <v>206</v>
      </c>
      <c r="M2566">
        <v>254.36</v>
      </c>
      <c r="N2566">
        <v>4</v>
      </c>
      <c r="O2566">
        <v>144.33000000000001</v>
      </c>
      <c r="P2566">
        <f t="shared" si="160"/>
        <v>2.7016393442622952E-2</v>
      </c>
      <c r="Q2566">
        <f t="shared" si="160"/>
        <v>1.234757281553398</v>
      </c>
      <c r="R2566">
        <f t="shared" si="161"/>
        <v>63.59</v>
      </c>
      <c r="S2566">
        <f t="shared" si="162"/>
        <v>0.5674241232898255</v>
      </c>
      <c r="T2566">
        <f t="shared" si="163"/>
        <v>1.9417475728155338E-2</v>
      </c>
      <c r="U2566" t="str">
        <f>YEAR('Campaign Data'!$A2566)&amp;"-"&amp;TEXT(MONTH('Campaign Data'!$A2566),"00")</f>
        <v>2026-05</v>
      </c>
    </row>
    <row r="2567" spans="1:21" x14ac:dyDescent="0.25">
      <c r="A2567">
        <v>46162</v>
      </c>
      <c r="B2567" t="s">
        <v>118</v>
      </c>
      <c r="C2567" t="s">
        <v>119</v>
      </c>
      <c r="D2567" t="s">
        <v>69</v>
      </c>
      <c r="E2567" t="s">
        <v>33</v>
      </c>
      <c r="F2567" t="s">
        <v>34</v>
      </c>
      <c r="G2567" t="s">
        <v>35</v>
      </c>
      <c r="H2567" t="s">
        <v>90</v>
      </c>
      <c r="I2567" t="s">
        <v>28</v>
      </c>
      <c r="J2567" t="s">
        <v>62</v>
      </c>
      <c r="K2567">
        <v>6427</v>
      </c>
      <c r="L2567">
        <v>41</v>
      </c>
      <c r="M2567">
        <v>5.22</v>
      </c>
      <c r="N2567">
        <v>0</v>
      </c>
      <c r="O2567">
        <v>0</v>
      </c>
      <c r="P2567">
        <f t="shared" si="160"/>
        <v>6.3793371713085417E-3</v>
      </c>
      <c r="Q2567">
        <f t="shared" si="160"/>
        <v>0.12731707317073171</v>
      </c>
      <c r="R2567">
        <f t="shared" si="161"/>
        <v>0</v>
      </c>
      <c r="S2567">
        <f t="shared" si="162"/>
        <v>0</v>
      </c>
      <c r="T2567">
        <f t="shared" si="163"/>
        <v>0</v>
      </c>
      <c r="U2567" t="str">
        <f>YEAR('Campaign Data'!$A2567)&amp;"-"&amp;TEXT(MONTH('Campaign Data'!$A2567),"00")</f>
        <v>2026-05</v>
      </c>
    </row>
    <row r="2568" spans="1:21" x14ac:dyDescent="0.25">
      <c r="A2568">
        <v>46162</v>
      </c>
      <c r="B2568" t="s">
        <v>145</v>
      </c>
      <c r="C2568" t="s">
        <v>146</v>
      </c>
      <c r="D2568" t="s">
        <v>41</v>
      </c>
      <c r="E2568" t="s">
        <v>49</v>
      </c>
      <c r="F2568" t="s">
        <v>75</v>
      </c>
      <c r="G2568" t="s">
        <v>70</v>
      </c>
      <c r="H2568" t="s">
        <v>90</v>
      </c>
      <c r="I2568" t="s">
        <v>37</v>
      </c>
      <c r="J2568" t="s">
        <v>45</v>
      </c>
      <c r="K2568">
        <v>26366</v>
      </c>
      <c r="L2568">
        <v>1134</v>
      </c>
      <c r="M2568">
        <v>681.18</v>
      </c>
      <c r="N2568">
        <v>63</v>
      </c>
      <c r="O2568">
        <v>456.61</v>
      </c>
      <c r="P2568">
        <f t="shared" si="160"/>
        <v>4.3009937040127434E-2</v>
      </c>
      <c r="Q2568">
        <f t="shared" si="160"/>
        <v>0.6006878306878306</v>
      </c>
      <c r="R2568">
        <f t="shared" si="161"/>
        <v>10.812380952380952</v>
      </c>
      <c r="S2568">
        <f t="shared" si="162"/>
        <v>0.67032208814116689</v>
      </c>
      <c r="T2568">
        <f t="shared" si="163"/>
        <v>5.5555555555555552E-2</v>
      </c>
      <c r="U2568" t="str">
        <f>YEAR('Campaign Data'!$A2568)&amp;"-"&amp;TEXT(MONTH('Campaign Data'!$A2568),"00")</f>
        <v>2026-05</v>
      </c>
    </row>
    <row r="2569" spans="1:21" x14ac:dyDescent="0.25">
      <c r="A2569">
        <v>46162</v>
      </c>
      <c r="B2569" t="s">
        <v>120</v>
      </c>
      <c r="C2569" t="s">
        <v>121</v>
      </c>
      <c r="D2569" t="s">
        <v>23</v>
      </c>
      <c r="E2569" t="s">
        <v>49</v>
      </c>
      <c r="F2569" t="s">
        <v>75</v>
      </c>
      <c r="G2569" t="s">
        <v>70</v>
      </c>
      <c r="H2569" t="s">
        <v>36</v>
      </c>
      <c r="I2569" t="s">
        <v>37</v>
      </c>
      <c r="J2569" t="s">
        <v>87</v>
      </c>
      <c r="K2569">
        <v>6097</v>
      </c>
      <c r="L2569">
        <v>396</v>
      </c>
      <c r="M2569">
        <v>555.07000000000005</v>
      </c>
      <c r="N2569">
        <v>21</v>
      </c>
      <c r="O2569">
        <v>749.19</v>
      </c>
      <c r="P2569">
        <f t="shared" si="160"/>
        <v>6.4949975397736587E-2</v>
      </c>
      <c r="Q2569">
        <f t="shared" si="160"/>
        <v>1.4016919191919193</v>
      </c>
      <c r="R2569">
        <f t="shared" si="161"/>
        <v>26.431904761904764</v>
      </c>
      <c r="S2569">
        <f t="shared" si="162"/>
        <v>1.3497216567279802</v>
      </c>
      <c r="T2569">
        <f t="shared" si="163"/>
        <v>5.3030303030303032E-2</v>
      </c>
      <c r="U2569" t="str">
        <f>YEAR('Campaign Data'!$A2569)&amp;"-"&amp;TEXT(MONTH('Campaign Data'!$A2569),"00")</f>
        <v>2026-05</v>
      </c>
    </row>
    <row r="2570" spans="1:21" x14ac:dyDescent="0.25">
      <c r="A2570">
        <v>46163</v>
      </c>
      <c r="B2570" t="s">
        <v>165</v>
      </c>
      <c r="C2570" t="s">
        <v>166</v>
      </c>
      <c r="D2570" t="s">
        <v>41</v>
      </c>
      <c r="E2570" t="s">
        <v>33</v>
      </c>
      <c r="F2570" t="s">
        <v>43</v>
      </c>
      <c r="G2570" t="s">
        <v>59</v>
      </c>
      <c r="H2570" t="s">
        <v>90</v>
      </c>
      <c r="I2570" t="s">
        <v>37</v>
      </c>
      <c r="J2570" t="s">
        <v>87</v>
      </c>
      <c r="K2570">
        <v>14678</v>
      </c>
      <c r="L2570">
        <v>122</v>
      </c>
      <c r="M2570">
        <v>26.02</v>
      </c>
      <c r="N2570">
        <v>1</v>
      </c>
      <c r="O2570">
        <v>8.1199999999999992</v>
      </c>
      <c r="P2570">
        <f t="shared" si="160"/>
        <v>8.3117590952445832E-3</v>
      </c>
      <c r="Q2570">
        <f t="shared" si="160"/>
        <v>0.21327868852459017</v>
      </c>
      <c r="R2570">
        <f t="shared" si="161"/>
        <v>26.02</v>
      </c>
      <c r="S2570">
        <f t="shared" si="162"/>
        <v>0.31206764027671019</v>
      </c>
      <c r="T2570">
        <f t="shared" si="163"/>
        <v>8.1967213114754103E-3</v>
      </c>
      <c r="U2570" t="str">
        <f>YEAR('Campaign Data'!$A2570)&amp;"-"&amp;TEXT(MONTH('Campaign Data'!$A2570),"00")</f>
        <v>2026-05</v>
      </c>
    </row>
    <row r="2571" spans="1:21" x14ac:dyDescent="0.25">
      <c r="A2571">
        <v>46163</v>
      </c>
      <c r="B2571" t="s">
        <v>186</v>
      </c>
      <c r="C2571" t="s">
        <v>187</v>
      </c>
      <c r="D2571" t="s">
        <v>80</v>
      </c>
      <c r="E2571" t="s">
        <v>33</v>
      </c>
      <c r="F2571" t="s">
        <v>43</v>
      </c>
      <c r="G2571" t="s">
        <v>102</v>
      </c>
      <c r="H2571" t="s">
        <v>51</v>
      </c>
      <c r="I2571" t="s">
        <v>28</v>
      </c>
      <c r="J2571" t="s">
        <v>45</v>
      </c>
      <c r="K2571">
        <v>7514</v>
      </c>
      <c r="L2571">
        <v>52</v>
      </c>
      <c r="M2571">
        <v>31.27</v>
      </c>
      <c r="N2571">
        <v>0</v>
      </c>
      <c r="O2571">
        <v>0</v>
      </c>
      <c r="P2571">
        <f t="shared" si="160"/>
        <v>6.920415224913495E-3</v>
      </c>
      <c r="Q2571">
        <f t="shared" si="160"/>
        <v>0.60134615384615386</v>
      </c>
      <c r="R2571">
        <f t="shared" si="161"/>
        <v>0</v>
      </c>
      <c r="S2571">
        <f t="shared" si="162"/>
        <v>0</v>
      </c>
      <c r="T2571">
        <f t="shared" si="163"/>
        <v>0</v>
      </c>
      <c r="U2571" t="str">
        <f>YEAR('Campaign Data'!$A2571)&amp;"-"&amp;TEXT(MONTH('Campaign Data'!$A2571),"00")</f>
        <v>2026-05</v>
      </c>
    </row>
    <row r="2572" spans="1:21" x14ac:dyDescent="0.25">
      <c r="A2572">
        <v>46163</v>
      </c>
      <c r="B2572" t="s">
        <v>186</v>
      </c>
      <c r="C2572" t="s">
        <v>187</v>
      </c>
      <c r="D2572" t="s">
        <v>80</v>
      </c>
      <c r="E2572" t="s">
        <v>33</v>
      </c>
      <c r="F2572" t="s">
        <v>43</v>
      </c>
      <c r="G2572" t="s">
        <v>102</v>
      </c>
      <c r="H2572" t="s">
        <v>27</v>
      </c>
      <c r="I2572" t="s">
        <v>37</v>
      </c>
      <c r="J2572" t="s">
        <v>29</v>
      </c>
      <c r="K2572">
        <v>4326</v>
      </c>
      <c r="L2572">
        <v>32</v>
      </c>
      <c r="M2572">
        <v>22.69</v>
      </c>
      <c r="N2572">
        <v>0</v>
      </c>
      <c r="O2572">
        <v>0</v>
      </c>
      <c r="P2572">
        <f t="shared" si="160"/>
        <v>7.3971336107258433E-3</v>
      </c>
      <c r="Q2572">
        <f t="shared" si="160"/>
        <v>0.70906250000000004</v>
      </c>
      <c r="R2572">
        <f t="shared" si="161"/>
        <v>0</v>
      </c>
      <c r="S2572">
        <f t="shared" si="162"/>
        <v>0</v>
      </c>
      <c r="T2572">
        <f t="shared" si="163"/>
        <v>0</v>
      </c>
      <c r="U2572" t="str">
        <f>YEAR('Campaign Data'!$A2572)&amp;"-"&amp;TEXT(MONTH('Campaign Data'!$A2572),"00")</f>
        <v>2026-05</v>
      </c>
    </row>
    <row r="2573" spans="1:21" x14ac:dyDescent="0.25">
      <c r="A2573">
        <v>46163</v>
      </c>
      <c r="B2573" t="s">
        <v>30</v>
      </c>
      <c r="C2573" t="s">
        <v>31</v>
      </c>
      <c r="D2573" t="s">
        <v>32</v>
      </c>
      <c r="E2573" t="s">
        <v>33</v>
      </c>
      <c r="F2573" t="s">
        <v>34</v>
      </c>
      <c r="G2573" t="s">
        <v>35</v>
      </c>
      <c r="H2573" t="s">
        <v>36</v>
      </c>
      <c r="I2573" t="s">
        <v>28</v>
      </c>
      <c r="J2573" t="s">
        <v>29</v>
      </c>
      <c r="K2573">
        <v>14108</v>
      </c>
      <c r="L2573">
        <v>83</v>
      </c>
      <c r="M2573">
        <v>53.71</v>
      </c>
      <c r="N2573">
        <v>3</v>
      </c>
      <c r="O2573">
        <v>386.9</v>
      </c>
      <c r="P2573">
        <f t="shared" si="160"/>
        <v>5.8831868443436344E-3</v>
      </c>
      <c r="Q2573">
        <f t="shared" si="160"/>
        <v>0.64710843373493976</v>
      </c>
      <c r="R2573">
        <f t="shared" si="161"/>
        <v>17.903333333333332</v>
      </c>
      <c r="S2573">
        <f t="shared" si="162"/>
        <v>7.2035002792776011</v>
      </c>
      <c r="T2573">
        <f t="shared" si="163"/>
        <v>3.614457831325301E-2</v>
      </c>
      <c r="U2573" t="str">
        <f>YEAR('Campaign Data'!$A2573)&amp;"-"&amp;TEXT(MONTH('Campaign Data'!$A2573),"00")</f>
        <v>2026-05</v>
      </c>
    </row>
    <row r="2574" spans="1:21" x14ac:dyDescent="0.25">
      <c r="A2574">
        <v>46163</v>
      </c>
      <c r="B2574" t="s">
        <v>100</v>
      </c>
      <c r="C2574" t="s">
        <v>101</v>
      </c>
      <c r="D2574" t="s">
        <v>80</v>
      </c>
      <c r="E2574" t="s">
        <v>33</v>
      </c>
      <c r="F2574" t="s">
        <v>25</v>
      </c>
      <c r="G2574" t="s">
        <v>102</v>
      </c>
      <c r="H2574" t="s">
        <v>27</v>
      </c>
      <c r="I2574" t="s">
        <v>28</v>
      </c>
      <c r="J2574" t="s">
        <v>87</v>
      </c>
      <c r="K2574">
        <v>6536</v>
      </c>
      <c r="L2574">
        <v>54</v>
      </c>
      <c r="M2574">
        <v>39.4</v>
      </c>
      <c r="N2574">
        <v>1</v>
      </c>
      <c r="O2574">
        <v>158.68</v>
      </c>
      <c r="P2574">
        <f t="shared" si="160"/>
        <v>8.2619339045287635E-3</v>
      </c>
      <c r="Q2574">
        <f t="shared" si="160"/>
        <v>0.72962962962962963</v>
      </c>
      <c r="R2574">
        <f t="shared" si="161"/>
        <v>39.4</v>
      </c>
      <c r="S2574">
        <f t="shared" si="162"/>
        <v>4.0274111675126907</v>
      </c>
      <c r="T2574">
        <f t="shared" si="163"/>
        <v>1.8518518518518517E-2</v>
      </c>
      <c r="U2574" t="str">
        <f>YEAR('Campaign Data'!$A2574)&amp;"-"&amp;TEXT(MONTH('Campaign Data'!$A2574),"00")</f>
        <v>2026-05</v>
      </c>
    </row>
    <row r="2575" spans="1:21" x14ac:dyDescent="0.25">
      <c r="A2575">
        <v>46163</v>
      </c>
      <c r="B2575" t="s">
        <v>105</v>
      </c>
      <c r="C2575" t="s">
        <v>106</v>
      </c>
      <c r="D2575" t="s">
        <v>58</v>
      </c>
      <c r="E2575" t="s">
        <v>49</v>
      </c>
      <c r="F2575" t="s">
        <v>81</v>
      </c>
      <c r="G2575" t="s">
        <v>107</v>
      </c>
      <c r="H2575" t="s">
        <v>71</v>
      </c>
      <c r="I2575" t="s">
        <v>37</v>
      </c>
      <c r="J2575" t="s">
        <v>38</v>
      </c>
      <c r="K2575">
        <v>13805</v>
      </c>
      <c r="L2575">
        <v>763</v>
      </c>
      <c r="M2575">
        <v>1285.6300000000001</v>
      </c>
      <c r="N2575">
        <v>39</v>
      </c>
      <c r="O2575">
        <v>489.68</v>
      </c>
      <c r="P2575">
        <f t="shared" si="160"/>
        <v>5.52698297718218E-2</v>
      </c>
      <c r="Q2575">
        <f t="shared" si="160"/>
        <v>1.6849672346002622</v>
      </c>
      <c r="R2575">
        <f t="shared" si="161"/>
        <v>32.964871794871797</v>
      </c>
      <c r="S2575">
        <f t="shared" si="162"/>
        <v>0.38088719149366457</v>
      </c>
      <c r="T2575">
        <f t="shared" si="163"/>
        <v>5.1114023591087812E-2</v>
      </c>
      <c r="U2575" t="str">
        <f>YEAR('Campaign Data'!$A2575)&amp;"-"&amp;TEXT(MONTH('Campaign Data'!$A2575),"00")</f>
        <v>2026-05</v>
      </c>
    </row>
    <row r="2576" spans="1:21" x14ac:dyDescent="0.25">
      <c r="A2576">
        <v>46163</v>
      </c>
      <c r="B2576" t="s">
        <v>132</v>
      </c>
      <c r="C2576" t="s">
        <v>133</v>
      </c>
      <c r="D2576" t="s">
        <v>23</v>
      </c>
      <c r="E2576" t="s">
        <v>42</v>
      </c>
      <c r="F2576" t="s">
        <v>75</v>
      </c>
      <c r="G2576" t="s">
        <v>84</v>
      </c>
      <c r="H2576" t="s">
        <v>36</v>
      </c>
      <c r="I2576" t="s">
        <v>37</v>
      </c>
      <c r="J2576" t="s">
        <v>38</v>
      </c>
      <c r="K2576">
        <v>5156</v>
      </c>
      <c r="L2576">
        <v>54</v>
      </c>
      <c r="M2576">
        <v>370.11</v>
      </c>
      <c r="N2576">
        <v>1</v>
      </c>
      <c r="O2576">
        <v>26.19</v>
      </c>
      <c r="P2576">
        <f t="shared" si="160"/>
        <v>1.0473235065942591E-2</v>
      </c>
      <c r="Q2576">
        <f t="shared" si="160"/>
        <v>6.8538888888888891</v>
      </c>
      <c r="R2576">
        <f t="shared" si="161"/>
        <v>370.11</v>
      </c>
      <c r="S2576">
        <f t="shared" si="162"/>
        <v>7.0762746210586036E-2</v>
      </c>
      <c r="T2576">
        <f t="shared" si="163"/>
        <v>1.8518518518518517E-2</v>
      </c>
      <c r="U2576" t="str">
        <f>YEAR('Campaign Data'!$A2576)&amp;"-"&amp;TEXT(MONTH('Campaign Data'!$A2576),"00")</f>
        <v>2026-05</v>
      </c>
    </row>
    <row r="2577" spans="1:21" x14ac:dyDescent="0.25">
      <c r="A2577">
        <v>46163</v>
      </c>
      <c r="B2577" t="s">
        <v>171</v>
      </c>
      <c r="C2577" t="s">
        <v>172</v>
      </c>
      <c r="D2577" t="s">
        <v>23</v>
      </c>
      <c r="E2577" t="s">
        <v>33</v>
      </c>
      <c r="F2577" t="s">
        <v>75</v>
      </c>
      <c r="G2577" t="s">
        <v>59</v>
      </c>
      <c r="H2577" t="s">
        <v>27</v>
      </c>
      <c r="I2577" t="s">
        <v>37</v>
      </c>
      <c r="J2577" t="s">
        <v>38</v>
      </c>
      <c r="K2577">
        <v>4409</v>
      </c>
      <c r="L2577">
        <v>41</v>
      </c>
      <c r="M2577">
        <v>34.46</v>
      </c>
      <c r="N2577">
        <v>2</v>
      </c>
      <c r="O2577">
        <v>67.23</v>
      </c>
      <c r="P2577">
        <f t="shared" si="160"/>
        <v>9.299160807439328E-3</v>
      </c>
      <c r="Q2577">
        <f t="shared" si="160"/>
        <v>0.84048780487804875</v>
      </c>
      <c r="R2577">
        <f t="shared" si="161"/>
        <v>17.23</v>
      </c>
      <c r="S2577">
        <f t="shared" si="162"/>
        <v>1.9509576320371447</v>
      </c>
      <c r="T2577">
        <f t="shared" si="163"/>
        <v>4.878048780487805E-2</v>
      </c>
      <c r="U2577" t="str">
        <f>YEAR('Campaign Data'!$A2577)&amp;"-"&amp;TEXT(MONTH('Campaign Data'!$A2577),"00")</f>
        <v>2026-05</v>
      </c>
    </row>
    <row r="2578" spans="1:21" x14ac:dyDescent="0.25">
      <c r="A2578">
        <v>46163</v>
      </c>
      <c r="B2578" t="s">
        <v>155</v>
      </c>
      <c r="C2578" t="s">
        <v>156</v>
      </c>
      <c r="D2578" t="s">
        <v>32</v>
      </c>
      <c r="E2578" t="s">
        <v>24</v>
      </c>
      <c r="F2578" t="s">
        <v>34</v>
      </c>
      <c r="G2578" t="s">
        <v>129</v>
      </c>
      <c r="H2578" t="s">
        <v>90</v>
      </c>
      <c r="I2578" t="s">
        <v>37</v>
      </c>
      <c r="J2578" t="s">
        <v>29</v>
      </c>
      <c r="K2578">
        <v>3663</v>
      </c>
      <c r="L2578">
        <v>43</v>
      </c>
      <c r="M2578">
        <v>13.73</v>
      </c>
      <c r="N2578">
        <v>0</v>
      </c>
      <c r="O2578">
        <v>0</v>
      </c>
      <c r="P2578">
        <f t="shared" si="160"/>
        <v>1.173901173901174E-2</v>
      </c>
      <c r="Q2578">
        <f t="shared" si="160"/>
        <v>0.31930232558139537</v>
      </c>
      <c r="R2578">
        <f t="shared" si="161"/>
        <v>0</v>
      </c>
      <c r="S2578">
        <f t="shared" si="162"/>
        <v>0</v>
      </c>
      <c r="T2578">
        <f t="shared" si="163"/>
        <v>0</v>
      </c>
      <c r="U2578" t="str">
        <f>YEAR('Campaign Data'!$A2578)&amp;"-"&amp;TEXT(MONTH('Campaign Data'!$A2578),"00")</f>
        <v>2026-05</v>
      </c>
    </row>
    <row r="2579" spans="1:21" x14ac:dyDescent="0.25">
      <c r="A2579">
        <v>46163</v>
      </c>
      <c r="B2579" t="s">
        <v>157</v>
      </c>
      <c r="C2579" t="s">
        <v>158</v>
      </c>
      <c r="D2579" t="s">
        <v>58</v>
      </c>
      <c r="E2579" t="s">
        <v>49</v>
      </c>
      <c r="F2579" t="s">
        <v>81</v>
      </c>
      <c r="G2579" t="s">
        <v>50</v>
      </c>
      <c r="H2579" t="s">
        <v>51</v>
      </c>
      <c r="I2579" t="s">
        <v>37</v>
      </c>
      <c r="J2579" t="s">
        <v>45</v>
      </c>
      <c r="K2579">
        <v>7391</v>
      </c>
      <c r="L2579">
        <v>334</v>
      </c>
      <c r="M2579">
        <v>672.87</v>
      </c>
      <c r="N2579">
        <v>28</v>
      </c>
      <c r="O2579">
        <v>818.44</v>
      </c>
      <c r="P2579">
        <f t="shared" si="160"/>
        <v>4.5190096062779059E-2</v>
      </c>
      <c r="Q2579">
        <f t="shared" si="160"/>
        <v>2.0145808383233534</v>
      </c>
      <c r="R2579">
        <f t="shared" si="161"/>
        <v>24.03107142857143</v>
      </c>
      <c r="S2579">
        <f t="shared" si="162"/>
        <v>1.2163419382644494</v>
      </c>
      <c r="T2579">
        <f t="shared" si="163"/>
        <v>8.3832335329341312E-2</v>
      </c>
      <c r="U2579" t="str">
        <f>YEAR('Campaign Data'!$A2579)&amp;"-"&amp;TEXT(MONTH('Campaign Data'!$A2579),"00")</f>
        <v>2026-05</v>
      </c>
    </row>
    <row r="2580" spans="1:21" x14ac:dyDescent="0.25">
      <c r="A2580">
        <v>46163</v>
      </c>
      <c r="B2580" t="s">
        <v>141</v>
      </c>
      <c r="C2580" t="s">
        <v>142</v>
      </c>
      <c r="D2580" t="s">
        <v>80</v>
      </c>
      <c r="E2580" t="s">
        <v>49</v>
      </c>
      <c r="F2580" t="s">
        <v>81</v>
      </c>
      <c r="G2580" t="s">
        <v>97</v>
      </c>
      <c r="H2580" t="s">
        <v>27</v>
      </c>
      <c r="I2580" t="s">
        <v>37</v>
      </c>
      <c r="J2580" t="s">
        <v>87</v>
      </c>
      <c r="K2580">
        <v>7780</v>
      </c>
      <c r="L2580">
        <v>278</v>
      </c>
      <c r="M2580">
        <v>669.15</v>
      </c>
      <c r="N2580">
        <v>4</v>
      </c>
      <c r="O2580">
        <v>75.11</v>
      </c>
      <c r="P2580">
        <f t="shared" si="160"/>
        <v>3.5732647814910028E-2</v>
      </c>
      <c r="Q2580">
        <f t="shared" si="160"/>
        <v>2.4070143884892086</v>
      </c>
      <c r="R2580">
        <f t="shared" si="161"/>
        <v>167.28749999999999</v>
      </c>
      <c r="S2580">
        <f t="shared" si="162"/>
        <v>0.11224688037061945</v>
      </c>
      <c r="T2580">
        <f t="shared" si="163"/>
        <v>1.4388489208633094E-2</v>
      </c>
      <c r="U2580" t="str">
        <f>YEAR('Campaign Data'!$A2580)&amp;"-"&amp;TEXT(MONTH('Campaign Data'!$A2580),"00")</f>
        <v>2026-05</v>
      </c>
    </row>
    <row r="2581" spans="1:21" x14ac:dyDescent="0.25">
      <c r="A2581">
        <v>46163</v>
      </c>
      <c r="B2581" t="s">
        <v>143</v>
      </c>
      <c r="C2581" t="s">
        <v>144</v>
      </c>
      <c r="D2581" t="s">
        <v>48</v>
      </c>
      <c r="E2581" t="s">
        <v>42</v>
      </c>
      <c r="F2581" t="s">
        <v>25</v>
      </c>
      <c r="G2581" t="s">
        <v>84</v>
      </c>
      <c r="H2581" t="s">
        <v>27</v>
      </c>
      <c r="I2581" t="s">
        <v>37</v>
      </c>
      <c r="J2581" t="s">
        <v>45</v>
      </c>
      <c r="K2581">
        <v>765</v>
      </c>
      <c r="L2581">
        <v>1</v>
      </c>
      <c r="M2581">
        <v>8.58</v>
      </c>
      <c r="N2581">
        <v>0</v>
      </c>
      <c r="O2581">
        <v>0</v>
      </c>
      <c r="P2581">
        <f t="shared" si="160"/>
        <v>1.30718954248366E-3</v>
      </c>
      <c r="Q2581">
        <f t="shared" si="160"/>
        <v>8.58</v>
      </c>
      <c r="R2581">
        <f t="shared" si="161"/>
        <v>0</v>
      </c>
      <c r="S2581">
        <f t="shared" si="162"/>
        <v>0</v>
      </c>
      <c r="T2581">
        <f t="shared" si="163"/>
        <v>0</v>
      </c>
      <c r="U2581" t="str">
        <f>YEAR('Campaign Data'!$A2581)&amp;"-"&amp;TEXT(MONTH('Campaign Data'!$A2581),"00")</f>
        <v>2026-05</v>
      </c>
    </row>
    <row r="2582" spans="1:21" x14ac:dyDescent="0.25">
      <c r="A2582">
        <v>46163</v>
      </c>
      <c r="B2582" t="s">
        <v>72</v>
      </c>
      <c r="C2582" t="s">
        <v>73</v>
      </c>
      <c r="D2582" t="s">
        <v>69</v>
      </c>
      <c r="E2582" t="s">
        <v>74</v>
      </c>
      <c r="F2582" t="s">
        <v>75</v>
      </c>
      <c r="G2582" t="s">
        <v>9</v>
      </c>
      <c r="H2582" t="s">
        <v>60</v>
      </c>
      <c r="I2582" t="s">
        <v>28</v>
      </c>
      <c r="J2582" t="s">
        <v>38</v>
      </c>
      <c r="K2582">
        <v>2351</v>
      </c>
      <c r="L2582">
        <v>51</v>
      </c>
      <c r="M2582">
        <v>70.12</v>
      </c>
      <c r="N2582">
        <v>1</v>
      </c>
      <c r="O2582">
        <v>35.79</v>
      </c>
      <c r="P2582">
        <f t="shared" si="160"/>
        <v>2.1692896639727774E-2</v>
      </c>
      <c r="Q2582">
        <f t="shared" si="160"/>
        <v>1.3749019607843138</v>
      </c>
      <c r="R2582">
        <f t="shared" si="161"/>
        <v>70.12</v>
      </c>
      <c r="S2582">
        <f t="shared" si="162"/>
        <v>0.51041072447233304</v>
      </c>
      <c r="T2582">
        <f t="shared" si="163"/>
        <v>1.9607843137254902E-2</v>
      </c>
      <c r="U2582" t="str">
        <f>YEAR('Campaign Data'!$A2582)&amp;"-"&amp;TEXT(MONTH('Campaign Data'!$A2582),"00")</f>
        <v>2026-05</v>
      </c>
    </row>
    <row r="2583" spans="1:21" x14ac:dyDescent="0.25">
      <c r="A2583">
        <v>46163</v>
      </c>
      <c r="B2583" t="s">
        <v>118</v>
      </c>
      <c r="C2583" t="s">
        <v>119</v>
      </c>
      <c r="D2583" t="s">
        <v>69</v>
      </c>
      <c r="E2583" t="s">
        <v>33</v>
      </c>
      <c r="F2583" t="s">
        <v>34</v>
      </c>
      <c r="G2583" t="s">
        <v>35</v>
      </c>
      <c r="H2583" t="s">
        <v>27</v>
      </c>
      <c r="I2583" t="s">
        <v>61</v>
      </c>
      <c r="J2583" t="s">
        <v>87</v>
      </c>
      <c r="K2583">
        <v>18828</v>
      </c>
      <c r="L2583">
        <v>163</v>
      </c>
      <c r="M2583">
        <v>155.41999999999999</v>
      </c>
      <c r="N2583">
        <v>1</v>
      </c>
      <c r="O2583">
        <v>198.05</v>
      </c>
      <c r="P2583">
        <f t="shared" si="160"/>
        <v>8.6573188867643935E-3</v>
      </c>
      <c r="Q2583">
        <f t="shared" si="160"/>
        <v>0.95349693251533729</v>
      </c>
      <c r="R2583">
        <f t="shared" si="161"/>
        <v>155.41999999999999</v>
      </c>
      <c r="S2583">
        <f t="shared" si="162"/>
        <v>1.2742890232917259</v>
      </c>
      <c r="T2583">
        <f t="shared" si="163"/>
        <v>6.1349693251533744E-3</v>
      </c>
      <c r="U2583" t="str">
        <f>YEAR('Campaign Data'!$A2583)&amp;"-"&amp;TEXT(MONTH('Campaign Data'!$A2583),"00")</f>
        <v>2026-05</v>
      </c>
    </row>
    <row r="2584" spans="1:21" x14ac:dyDescent="0.25">
      <c r="A2584">
        <v>46163</v>
      </c>
      <c r="B2584" t="s">
        <v>76</v>
      </c>
      <c r="C2584" t="s">
        <v>77</v>
      </c>
      <c r="D2584" t="s">
        <v>65</v>
      </c>
      <c r="E2584" t="s">
        <v>42</v>
      </c>
      <c r="F2584" t="s">
        <v>43</v>
      </c>
      <c r="G2584" t="s">
        <v>44</v>
      </c>
      <c r="H2584" t="s">
        <v>27</v>
      </c>
      <c r="I2584" t="s">
        <v>37</v>
      </c>
      <c r="J2584" t="s">
        <v>87</v>
      </c>
      <c r="K2584">
        <v>1763</v>
      </c>
      <c r="L2584">
        <v>17</v>
      </c>
      <c r="M2584">
        <v>159.58000000000001</v>
      </c>
      <c r="N2584">
        <v>2</v>
      </c>
      <c r="O2584">
        <v>40.32</v>
      </c>
      <c r="P2584">
        <f t="shared" si="160"/>
        <v>9.6426545660805441E-3</v>
      </c>
      <c r="Q2584">
        <f t="shared" si="160"/>
        <v>9.3870588235294132</v>
      </c>
      <c r="R2584">
        <f t="shared" si="161"/>
        <v>79.790000000000006</v>
      </c>
      <c r="S2584">
        <f t="shared" si="162"/>
        <v>0.25266324100764503</v>
      </c>
      <c r="T2584">
        <f t="shared" si="163"/>
        <v>0.11764705882352941</v>
      </c>
      <c r="U2584" t="str">
        <f>YEAR('Campaign Data'!$A2584)&amp;"-"&amp;TEXT(MONTH('Campaign Data'!$A2584),"00")</f>
        <v>2026-05</v>
      </c>
    </row>
    <row r="2585" spans="1:21" x14ac:dyDescent="0.25">
      <c r="A2585">
        <v>46163</v>
      </c>
      <c r="B2585" t="s">
        <v>76</v>
      </c>
      <c r="C2585" t="s">
        <v>77</v>
      </c>
      <c r="D2585" t="s">
        <v>65</v>
      </c>
      <c r="E2585" t="s">
        <v>42</v>
      </c>
      <c r="F2585" t="s">
        <v>43</v>
      </c>
      <c r="G2585" t="s">
        <v>44</v>
      </c>
      <c r="H2585" t="s">
        <v>36</v>
      </c>
      <c r="I2585" t="s">
        <v>28</v>
      </c>
      <c r="J2585" t="s">
        <v>29</v>
      </c>
      <c r="K2585">
        <v>3088</v>
      </c>
      <c r="L2585">
        <v>17</v>
      </c>
      <c r="M2585">
        <v>102.78</v>
      </c>
      <c r="N2585">
        <v>0</v>
      </c>
      <c r="O2585">
        <v>0</v>
      </c>
      <c r="P2585">
        <f t="shared" si="160"/>
        <v>5.5051813471502587E-3</v>
      </c>
      <c r="Q2585">
        <f t="shared" si="160"/>
        <v>6.0458823529411765</v>
      </c>
      <c r="R2585">
        <f t="shared" si="161"/>
        <v>0</v>
      </c>
      <c r="S2585">
        <f t="shared" si="162"/>
        <v>0</v>
      </c>
      <c r="T2585">
        <f t="shared" si="163"/>
        <v>0</v>
      </c>
      <c r="U2585" t="str">
        <f>YEAR('Campaign Data'!$A2585)&amp;"-"&amp;TEXT(MONTH('Campaign Data'!$A2585),"00")</f>
        <v>2026-05</v>
      </c>
    </row>
    <row r="2586" spans="1:21" x14ac:dyDescent="0.25">
      <c r="A2586">
        <v>46163</v>
      </c>
      <c r="B2586" t="s">
        <v>76</v>
      </c>
      <c r="C2586" t="s">
        <v>77</v>
      </c>
      <c r="D2586" t="s">
        <v>65</v>
      </c>
      <c r="E2586" t="s">
        <v>42</v>
      </c>
      <c r="F2586" t="s">
        <v>43</v>
      </c>
      <c r="G2586" t="s">
        <v>44</v>
      </c>
      <c r="H2586" t="s">
        <v>27</v>
      </c>
      <c r="I2586" t="s">
        <v>37</v>
      </c>
      <c r="J2586" t="s">
        <v>87</v>
      </c>
      <c r="K2586">
        <v>8996</v>
      </c>
      <c r="L2586">
        <v>60</v>
      </c>
      <c r="M2586">
        <v>423.77</v>
      </c>
      <c r="N2586">
        <v>0</v>
      </c>
      <c r="O2586">
        <v>0</v>
      </c>
      <c r="P2586">
        <f t="shared" si="160"/>
        <v>6.6696309470875943E-3</v>
      </c>
      <c r="Q2586">
        <f t="shared" si="160"/>
        <v>7.0628333333333329</v>
      </c>
      <c r="R2586">
        <f t="shared" si="161"/>
        <v>0</v>
      </c>
      <c r="S2586">
        <f t="shared" si="162"/>
        <v>0</v>
      </c>
      <c r="T2586">
        <f t="shared" si="163"/>
        <v>0</v>
      </c>
      <c r="U2586" t="str">
        <f>YEAR('Campaign Data'!$A2586)&amp;"-"&amp;TEXT(MONTH('Campaign Data'!$A2586),"00")</f>
        <v>2026-05</v>
      </c>
    </row>
    <row r="2587" spans="1:21" x14ac:dyDescent="0.25">
      <c r="A2587">
        <v>46163</v>
      </c>
      <c r="B2587" t="s">
        <v>120</v>
      </c>
      <c r="C2587" t="s">
        <v>121</v>
      </c>
      <c r="D2587" t="s">
        <v>23</v>
      </c>
      <c r="E2587" t="s">
        <v>49</v>
      </c>
      <c r="F2587" t="s">
        <v>75</v>
      </c>
      <c r="G2587" t="s">
        <v>70</v>
      </c>
      <c r="H2587" t="s">
        <v>71</v>
      </c>
      <c r="I2587" t="s">
        <v>37</v>
      </c>
      <c r="J2587" t="s">
        <v>45</v>
      </c>
      <c r="K2587">
        <v>5553</v>
      </c>
      <c r="L2587">
        <v>318</v>
      </c>
      <c r="M2587">
        <v>672.73</v>
      </c>
      <c r="N2587">
        <v>25</v>
      </c>
      <c r="O2587">
        <v>345.63</v>
      </c>
      <c r="P2587">
        <f t="shared" si="160"/>
        <v>5.7266342517558078E-2</v>
      </c>
      <c r="Q2587">
        <f t="shared" si="160"/>
        <v>2.1155031446540882</v>
      </c>
      <c r="R2587">
        <f t="shared" si="161"/>
        <v>26.909200000000002</v>
      </c>
      <c r="S2587">
        <f t="shared" si="162"/>
        <v>0.51377224146388589</v>
      </c>
      <c r="T2587">
        <f t="shared" si="163"/>
        <v>7.8616352201257858E-2</v>
      </c>
      <c r="U2587" t="str">
        <f>YEAR('Campaign Data'!$A2587)&amp;"-"&amp;TEXT(MONTH('Campaign Data'!$A2587),"00")</f>
        <v>2026-05</v>
      </c>
    </row>
    <row r="2588" spans="1:21" x14ac:dyDescent="0.25">
      <c r="A2588">
        <v>46163</v>
      </c>
      <c r="B2588" t="s">
        <v>82</v>
      </c>
      <c r="C2588" t="s">
        <v>83</v>
      </c>
      <c r="D2588" t="s">
        <v>80</v>
      </c>
      <c r="E2588" t="s">
        <v>42</v>
      </c>
      <c r="F2588" t="s">
        <v>34</v>
      </c>
      <c r="G2588" t="s">
        <v>84</v>
      </c>
      <c r="H2588" t="s">
        <v>27</v>
      </c>
      <c r="I2588" t="s">
        <v>28</v>
      </c>
      <c r="J2588" t="s">
        <v>38</v>
      </c>
      <c r="K2588">
        <v>4916</v>
      </c>
      <c r="L2588">
        <v>20</v>
      </c>
      <c r="M2588">
        <v>164.61</v>
      </c>
      <c r="N2588">
        <v>0</v>
      </c>
      <c r="O2588">
        <v>0</v>
      </c>
      <c r="P2588">
        <f t="shared" si="160"/>
        <v>4.0683482506102524E-3</v>
      </c>
      <c r="Q2588">
        <f t="shared" si="160"/>
        <v>8.230500000000001</v>
      </c>
      <c r="R2588">
        <f t="shared" si="161"/>
        <v>0</v>
      </c>
      <c r="S2588">
        <f t="shared" si="162"/>
        <v>0</v>
      </c>
      <c r="T2588">
        <f t="shared" si="163"/>
        <v>0</v>
      </c>
      <c r="U2588" t="str">
        <f>YEAR('Campaign Data'!$A2588)&amp;"-"&amp;TEXT(MONTH('Campaign Data'!$A2588),"00")</f>
        <v>2026-05</v>
      </c>
    </row>
    <row r="2589" spans="1:21" x14ac:dyDescent="0.25">
      <c r="A2589">
        <v>46164</v>
      </c>
      <c r="B2589" t="s">
        <v>167</v>
      </c>
      <c r="C2589" t="s">
        <v>168</v>
      </c>
      <c r="D2589" t="s">
        <v>58</v>
      </c>
      <c r="E2589" t="s">
        <v>33</v>
      </c>
      <c r="F2589" t="s">
        <v>75</v>
      </c>
      <c r="G2589" t="s">
        <v>35</v>
      </c>
      <c r="H2589" t="s">
        <v>27</v>
      </c>
      <c r="I2589" t="s">
        <v>37</v>
      </c>
      <c r="J2589" t="s">
        <v>62</v>
      </c>
      <c r="K2589">
        <v>9531</v>
      </c>
      <c r="L2589">
        <v>119</v>
      </c>
      <c r="M2589">
        <v>63.18</v>
      </c>
      <c r="N2589">
        <v>3</v>
      </c>
      <c r="O2589">
        <v>113.8</v>
      </c>
      <c r="P2589">
        <f t="shared" si="160"/>
        <v>1.2485573392088972E-2</v>
      </c>
      <c r="Q2589">
        <f t="shared" si="160"/>
        <v>0.53092436974789914</v>
      </c>
      <c r="R2589">
        <f t="shared" si="161"/>
        <v>21.06</v>
      </c>
      <c r="S2589">
        <f t="shared" si="162"/>
        <v>1.8012029123140234</v>
      </c>
      <c r="T2589">
        <f t="shared" si="163"/>
        <v>2.5210084033613446E-2</v>
      </c>
      <c r="U2589" t="str">
        <f>YEAR('Campaign Data'!$A2589)&amp;"-"&amp;TEXT(MONTH('Campaign Data'!$A2589),"00")</f>
        <v>2026-05</v>
      </c>
    </row>
    <row r="2590" spans="1:21" x14ac:dyDescent="0.25">
      <c r="A2590">
        <v>46164</v>
      </c>
      <c r="B2590" t="s">
        <v>149</v>
      </c>
      <c r="C2590" t="s">
        <v>150</v>
      </c>
      <c r="D2590" t="s">
        <v>65</v>
      </c>
      <c r="E2590" t="s">
        <v>33</v>
      </c>
      <c r="F2590" t="s">
        <v>43</v>
      </c>
      <c r="G2590" t="s">
        <v>59</v>
      </c>
      <c r="H2590" t="s">
        <v>51</v>
      </c>
      <c r="I2590" t="s">
        <v>37</v>
      </c>
      <c r="J2590" t="s">
        <v>62</v>
      </c>
      <c r="K2590">
        <v>16042</v>
      </c>
      <c r="L2590">
        <v>236</v>
      </c>
      <c r="M2590">
        <v>128.44999999999999</v>
      </c>
      <c r="N2590">
        <v>4</v>
      </c>
      <c r="O2590">
        <v>73.45</v>
      </c>
      <c r="P2590">
        <f t="shared" si="160"/>
        <v>1.4711382620620871E-2</v>
      </c>
      <c r="Q2590">
        <f t="shared" si="160"/>
        <v>0.54427966101694913</v>
      </c>
      <c r="R2590">
        <f t="shared" si="161"/>
        <v>32.112499999999997</v>
      </c>
      <c r="S2590">
        <f t="shared" si="162"/>
        <v>0.57181782794861824</v>
      </c>
      <c r="T2590">
        <f t="shared" si="163"/>
        <v>1.6949152542372881E-2</v>
      </c>
      <c r="U2590" t="str">
        <f>YEAR('Campaign Data'!$A2590)&amp;"-"&amp;TEXT(MONTH('Campaign Data'!$A2590),"00")</f>
        <v>2026-05</v>
      </c>
    </row>
    <row r="2591" spans="1:21" x14ac:dyDescent="0.25">
      <c r="A2591">
        <v>46164</v>
      </c>
      <c r="B2591" t="s">
        <v>149</v>
      </c>
      <c r="C2591" t="s">
        <v>150</v>
      </c>
      <c r="D2591" t="s">
        <v>65</v>
      </c>
      <c r="E2591" t="s">
        <v>33</v>
      </c>
      <c r="F2591" t="s">
        <v>43</v>
      </c>
      <c r="G2591" t="s">
        <v>59</v>
      </c>
      <c r="H2591" t="s">
        <v>36</v>
      </c>
      <c r="I2591" t="s">
        <v>37</v>
      </c>
      <c r="J2591" t="s">
        <v>87</v>
      </c>
      <c r="K2591">
        <v>3647</v>
      </c>
      <c r="L2591">
        <v>31</v>
      </c>
      <c r="M2591">
        <v>14.37</v>
      </c>
      <c r="N2591">
        <v>0</v>
      </c>
      <c r="O2591">
        <v>0</v>
      </c>
      <c r="P2591">
        <f t="shared" si="160"/>
        <v>8.500137098985467E-3</v>
      </c>
      <c r="Q2591">
        <f t="shared" si="160"/>
        <v>0.46354838709677415</v>
      </c>
      <c r="R2591">
        <f t="shared" si="161"/>
        <v>0</v>
      </c>
      <c r="S2591">
        <f t="shared" si="162"/>
        <v>0</v>
      </c>
      <c r="T2591">
        <f t="shared" si="163"/>
        <v>0</v>
      </c>
      <c r="U2591" t="str">
        <f>YEAR('Campaign Data'!$A2591)&amp;"-"&amp;TEXT(MONTH('Campaign Data'!$A2591),"00")</f>
        <v>2026-05</v>
      </c>
    </row>
    <row r="2592" spans="1:21" x14ac:dyDescent="0.25">
      <c r="A2592">
        <v>46164</v>
      </c>
      <c r="B2592" t="s">
        <v>30</v>
      </c>
      <c r="C2592" t="s">
        <v>31</v>
      </c>
      <c r="D2592" t="s">
        <v>32</v>
      </c>
      <c r="E2592" t="s">
        <v>33</v>
      </c>
      <c r="F2592" t="s">
        <v>34</v>
      </c>
      <c r="G2592" t="s">
        <v>35</v>
      </c>
      <c r="H2592" t="s">
        <v>90</v>
      </c>
      <c r="I2592" t="s">
        <v>37</v>
      </c>
      <c r="J2592" t="s">
        <v>38</v>
      </c>
      <c r="K2592">
        <v>4622</v>
      </c>
      <c r="L2592">
        <v>48</v>
      </c>
      <c r="M2592">
        <v>6.44</v>
      </c>
      <c r="N2592">
        <v>2</v>
      </c>
      <c r="O2592">
        <v>58.38</v>
      </c>
      <c r="P2592">
        <f t="shared" si="160"/>
        <v>1.038511466897447E-2</v>
      </c>
      <c r="Q2592">
        <f t="shared" si="160"/>
        <v>0.13416666666666668</v>
      </c>
      <c r="R2592">
        <f t="shared" si="161"/>
        <v>3.22</v>
      </c>
      <c r="S2592">
        <f t="shared" si="162"/>
        <v>9.0652173913043477</v>
      </c>
      <c r="T2592">
        <f t="shared" si="163"/>
        <v>4.1666666666666664E-2</v>
      </c>
      <c r="U2592" t="str">
        <f>YEAR('Campaign Data'!$A2592)&amp;"-"&amp;TEXT(MONTH('Campaign Data'!$A2592),"00")</f>
        <v>2026-05</v>
      </c>
    </row>
    <row r="2593" spans="1:21" x14ac:dyDescent="0.25">
      <c r="A2593">
        <v>46164</v>
      </c>
      <c r="B2593" t="s">
        <v>100</v>
      </c>
      <c r="C2593" t="s">
        <v>101</v>
      </c>
      <c r="D2593" t="s">
        <v>80</v>
      </c>
      <c r="E2593" t="s">
        <v>33</v>
      </c>
      <c r="F2593" t="s">
        <v>25</v>
      </c>
      <c r="G2593" t="s">
        <v>102</v>
      </c>
      <c r="H2593" t="s">
        <v>71</v>
      </c>
      <c r="I2593" t="s">
        <v>37</v>
      </c>
      <c r="J2593" t="s">
        <v>45</v>
      </c>
      <c r="K2593">
        <v>34497</v>
      </c>
      <c r="L2593">
        <v>355</v>
      </c>
      <c r="M2593">
        <v>123.12</v>
      </c>
      <c r="N2593">
        <v>5</v>
      </c>
      <c r="O2593">
        <v>778.57</v>
      </c>
      <c r="P2593">
        <f t="shared" si="160"/>
        <v>1.0290749920282923E-2</v>
      </c>
      <c r="Q2593">
        <f t="shared" si="160"/>
        <v>0.34681690140845073</v>
      </c>
      <c r="R2593">
        <f t="shared" si="161"/>
        <v>24.624000000000002</v>
      </c>
      <c r="S2593">
        <f t="shared" si="162"/>
        <v>6.3236679662118265</v>
      </c>
      <c r="T2593">
        <f t="shared" si="163"/>
        <v>1.4084507042253521E-2</v>
      </c>
      <c r="U2593" t="str">
        <f>YEAR('Campaign Data'!$A2593)&amp;"-"&amp;TEXT(MONTH('Campaign Data'!$A2593),"00")</f>
        <v>2026-05</v>
      </c>
    </row>
    <row r="2594" spans="1:21" x14ac:dyDescent="0.25">
      <c r="A2594">
        <v>46164</v>
      </c>
      <c r="B2594" t="s">
        <v>130</v>
      </c>
      <c r="C2594" t="s">
        <v>131</v>
      </c>
      <c r="D2594" t="s">
        <v>48</v>
      </c>
      <c r="E2594" t="s">
        <v>33</v>
      </c>
      <c r="F2594" t="s">
        <v>34</v>
      </c>
      <c r="G2594" t="s">
        <v>35</v>
      </c>
      <c r="H2594" t="s">
        <v>60</v>
      </c>
      <c r="I2594" t="s">
        <v>37</v>
      </c>
      <c r="J2594" t="s">
        <v>38</v>
      </c>
      <c r="K2594">
        <v>2078</v>
      </c>
      <c r="L2594">
        <v>3</v>
      </c>
      <c r="M2594">
        <v>1.62</v>
      </c>
      <c r="N2594">
        <v>0</v>
      </c>
      <c r="O2594">
        <v>0</v>
      </c>
      <c r="P2594">
        <f t="shared" si="160"/>
        <v>1.4436958614051972E-3</v>
      </c>
      <c r="Q2594">
        <f t="shared" si="160"/>
        <v>0.54</v>
      </c>
      <c r="R2594">
        <f t="shared" si="161"/>
        <v>0</v>
      </c>
      <c r="S2594">
        <f t="shared" si="162"/>
        <v>0</v>
      </c>
      <c r="T2594">
        <f t="shared" si="163"/>
        <v>0</v>
      </c>
      <c r="U2594" t="str">
        <f>YEAR('Campaign Data'!$A2594)&amp;"-"&amp;TEXT(MONTH('Campaign Data'!$A2594),"00")</f>
        <v>2026-05</v>
      </c>
    </row>
    <row r="2595" spans="1:21" x14ac:dyDescent="0.25">
      <c r="A2595">
        <v>46164</v>
      </c>
      <c r="B2595" t="s">
        <v>177</v>
      </c>
      <c r="C2595" t="s">
        <v>178</v>
      </c>
      <c r="D2595" t="s">
        <v>41</v>
      </c>
      <c r="E2595" t="s">
        <v>49</v>
      </c>
      <c r="F2595" t="s">
        <v>34</v>
      </c>
      <c r="G2595" t="s">
        <v>107</v>
      </c>
      <c r="H2595" t="s">
        <v>90</v>
      </c>
      <c r="I2595" t="s">
        <v>37</v>
      </c>
      <c r="J2595" t="s">
        <v>62</v>
      </c>
      <c r="K2595">
        <v>9145</v>
      </c>
      <c r="L2595">
        <v>537</v>
      </c>
      <c r="M2595">
        <v>251.77</v>
      </c>
      <c r="N2595">
        <v>31</v>
      </c>
      <c r="O2595">
        <v>1236.2</v>
      </c>
      <c r="P2595">
        <f t="shared" si="160"/>
        <v>5.8720612356478949E-2</v>
      </c>
      <c r="Q2595">
        <f t="shared" si="160"/>
        <v>0.46884543761638736</v>
      </c>
      <c r="R2595">
        <f t="shared" si="161"/>
        <v>8.121612903225806</v>
      </c>
      <c r="S2595">
        <f t="shared" si="162"/>
        <v>4.9100369384755931</v>
      </c>
      <c r="T2595">
        <f t="shared" si="163"/>
        <v>5.7728119180633149E-2</v>
      </c>
      <c r="U2595" t="str">
        <f>YEAR('Campaign Data'!$A2595)&amp;"-"&amp;TEXT(MONTH('Campaign Data'!$A2595),"00")</f>
        <v>2026-05</v>
      </c>
    </row>
    <row r="2596" spans="1:21" x14ac:dyDescent="0.25">
      <c r="A2596">
        <v>46164</v>
      </c>
      <c r="B2596" t="s">
        <v>153</v>
      </c>
      <c r="C2596" t="s">
        <v>154</v>
      </c>
      <c r="D2596" t="s">
        <v>48</v>
      </c>
      <c r="E2596" t="s">
        <v>33</v>
      </c>
      <c r="F2596" t="s">
        <v>43</v>
      </c>
      <c r="G2596" t="s">
        <v>59</v>
      </c>
      <c r="H2596" t="s">
        <v>55</v>
      </c>
      <c r="I2596" t="s">
        <v>61</v>
      </c>
      <c r="J2596" t="s">
        <v>38</v>
      </c>
      <c r="K2596">
        <v>2525</v>
      </c>
      <c r="L2596">
        <v>23</v>
      </c>
      <c r="M2596">
        <v>12.34</v>
      </c>
      <c r="N2596">
        <v>2</v>
      </c>
      <c r="O2596">
        <v>22.89</v>
      </c>
      <c r="P2596">
        <f t="shared" si="160"/>
        <v>9.1089108910891083E-3</v>
      </c>
      <c r="Q2596">
        <f t="shared" si="160"/>
        <v>0.53652173913043477</v>
      </c>
      <c r="R2596">
        <f t="shared" si="161"/>
        <v>6.17</v>
      </c>
      <c r="S2596">
        <f t="shared" si="162"/>
        <v>1.8549432739059968</v>
      </c>
      <c r="T2596">
        <f t="shared" si="163"/>
        <v>8.6956521739130432E-2</v>
      </c>
      <c r="U2596" t="str">
        <f>YEAR('Campaign Data'!$A2596)&amp;"-"&amp;TEXT(MONTH('Campaign Data'!$A2596),"00")</f>
        <v>2026-05</v>
      </c>
    </row>
    <row r="2597" spans="1:21" x14ac:dyDescent="0.25">
      <c r="A2597">
        <v>46164</v>
      </c>
      <c r="B2597" t="s">
        <v>140</v>
      </c>
      <c r="C2597" t="s">
        <v>40</v>
      </c>
      <c r="D2597" t="s">
        <v>41</v>
      </c>
      <c r="E2597" t="s">
        <v>42</v>
      </c>
      <c r="F2597" t="s">
        <v>43</v>
      </c>
      <c r="G2597" t="s">
        <v>44</v>
      </c>
      <c r="H2597" t="s">
        <v>51</v>
      </c>
      <c r="I2597" t="s">
        <v>37</v>
      </c>
      <c r="J2597" t="s">
        <v>38</v>
      </c>
      <c r="K2597">
        <v>8794</v>
      </c>
      <c r="L2597">
        <v>48</v>
      </c>
      <c r="M2597">
        <v>358.56</v>
      </c>
      <c r="N2597">
        <v>2</v>
      </c>
      <c r="O2597">
        <v>64.64</v>
      </c>
      <c r="P2597">
        <f t="shared" si="160"/>
        <v>5.4582670002274276E-3</v>
      </c>
      <c r="Q2597">
        <f t="shared" si="160"/>
        <v>7.47</v>
      </c>
      <c r="R2597">
        <f t="shared" si="161"/>
        <v>179.28</v>
      </c>
      <c r="S2597">
        <f t="shared" si="162"/>
        <v>0.18027666220437305</v>
      </c>
      <c r="T2597">
        <f t="shared" si="163"/>
        <v>4.1666666666666664E-2</v>
      </c>
      <c r="U2597" t="str">
        <f>YEAR('Campaign Data'!$A2597)&amp;"-"&amp;TEXT(MONTH('Campaign Data'!$A2597),"00")</f>
        <v>2026-05</v>
      </c>
    </row>
    <row r="2598" spans="1:21" x14ac:dyDescent="0.25">
      <c r="A2598">
        <v>46164</v>
      </c>
      <c r="B2598" t="s">
        <v>110</v>
      </c>
      <c r="C2598" t="s">
        <v>111</v>
      </c>
      <c r="D2598" t="s">
        <v>23</v>
      </c>
      <c r="E2598" t="s">
        <v>49</v>
      </c>
      <c r="F2598" t="s">
        <v>34</v>
      </c>
      <c r="G2598" t="s">
        <v>50</v>
      </c>
      <c r="H2598" t="s">
        <v>27</v>
      </c>
      <c r="I2598" t="s">
        <v>28</v>
      </c>
      <c r="J2598" t="s">
        <v>38</v>
      </c>
      <c r="K2598">
        <v>3277</v>
      </c>
      <c r="L2598">
        <v>210</v>
      </c>
      <c r="M2598">
        <v>374.15</v>
      </c>
      <c r="N2598">
        <v>25</v>
      </c>
      <c r="O2598">
        <v>4499.3599999999997</v>
      </c>
      <c r="P2598">
        <f t="shared" si="160"/>
        <v>6.4083002746414403E-2</v>
      </c>
      <c r="Q2598">
        <f t="shared" si="160"/>
        <v>1.7816666666666665</v>
      </c>
      <c r="R2598">
        <f t="shared" si="161"/>
        <v>14.965999999999999</v>
      </c>
      <c r="S2598">
        <f t="shared" si="162"/>
        <v>12.025551249498864</v>
      </c>
      <c r="T2598">
        <f t="shared" si="163"/>
        <v>0.11904761904761904</v>
      </c>
      <c r="U2598" t="str">
        <f>YEAR('Campaign Data'!$A2598)&amp;"-"&amp;TEXT(MONTH('Campaign Data'!$A2598),"00")</f>
        <v>2026-05</v>
      </c>
    </row>
    <row r="2599" spans="1:21" x14ac:dyDescent="0.25">
      <c r="A2599">
        <v>46164</v>
      </c>
      <c r="B2599" t="s">
        <v>159</v>
      </c>
      <c r="C2599" t="s">
        <v>160</v>
      </c>
      <c r="D2599" t="s">
        <v>65</v>
      </c>
      <c r="E2599" t="s">
        <v>42</v>
      </c>
      <c r="F2599" t="s">
        <v>75</v>
      </c>
      <c r="G2599" t="s">
        <v>54</v>
      </c>
      <c r="H2599" t="s">
        <v>36</v>
      </c>
      <c r="I2599" t="s">
        <v>37</v>
      </c>
      <c r="J2599" t="s">
        <v>38</v>
      </c>
      <c r="K2599">
        <v>11668</v>
      </c>
      <c r="L2599">
        <v>31</v>
      </c>
      <c r="M2599">
        <v>201.95</v>
      </c>
      <c r="N2599">
        <v>1</v>
      </c>
      <c r="O2599">
        <v>32.729999999999997</v>
      </c>
      <c r="P2599">
        <f t="shared" si="160"/>
        <v>2.6568392183750427E-3</v>
      </c>
      <c r="Q2599">
        <f t="shared" si="160"/>
        <v>6.5145161290322573</v>
      </c>
      <c r="R2599">
        <f t="shared" si="161"/>
        <v>201.95</v>
      </c>
      <c r="S2599">
        <f t="shared" si="162"/>
        <v>0.1620698192621936</v>
      </c>
      <c r="T2599">
        <f t="shared" si="163"/>
        <v>3.2258064516129031E-2</v>
      </c>
      <c r="U2599" t="str">
        <f>YEAR('Campaign Data'!$A2599)&amp;"-"&amp;TEXT(MONTH('Campaign Data'!$A2599),"00")</f>
        <v>2026-05</v>
      </c>
    </row>
    <row r="2600" spans="1:21" x14ac:dyDescent="0.25">
      <c r="A2600">
        <v>46164</v>
      </c>
      <c r="B2600" t="s">
        <v>181</v>
      </c>
      <c r="C2600" t="s">
        <v>182</v>
      </c>
      <c r="D2600" t="s">
        <v>32</v>
      </c>
      <c r="E2600" t="s">
        <v>33</v>
      </c>
      <c r="F2600" t="s">
        <v>75</v>
      </c>
      <c r="G2600" t="s">
        <v>59</v>
      </c>
      <c r="H2600" t="s">
        <v>55</v>
      </c>
      <c r="I2600" t="s">
        <v>37</v>
      </c>
      <c r="J2600" t="s">
        <v>38</v>
      </c>
      <c r="K2600">
        <v>8960</v>
      </c>
      <c r="L2600">
        <v>120</v>
      </c>
      <c r="M2600">
        <v>65.86</v>
      </c>
      <c r="N2600">
        <v>1</v>
      </c>
      <c r="O2600">
        <v>26.54</v>
      </c>
      <c r="P2600">
        <f t="shared" si="160"/>
        <v>1.3392857142857142E-2</v>
      </c>
      <c r="Q2600">
        <f t="shared" si="160"/>
        <v>0.54883333333333328</v>
      </c>
      <c r="R2600">
        <f t="shared" si="161"/>
        <v>65.86</v>
      </c>
      <c r="S2600">
        <f t="shared" si="162"/>
        <v>0.40297600971758274</v>
      </c>
      <c r="T2600">
        <f t="shared" si="163"/>
        <v>8.3333333333333332E-3</v>
      </c>
      <c r="U2600" t="str">
        <f>YEAR('Campaign Data'!$A2600)&amp;"-"&amp;TEXT(MONTH('Campaign Data'!$A2600),"00")</f>
        <v>2026-05</v>
      </c>
    </row>
    <row r="2601" spans="1:21" x14ac:dyDescent="0.25">
      <c r="A2601">
        <v>46164</v>
      </c>
      <c r="B2601" t="s">
        <v>181</v>
      </c>
      <c r="C2601" t="s">
        <v>182</v>
      </c>
      <c r="D2601" t="s">
        <v>32</v>
      </c>
      <c r="E2601" t="s">
        <v>33</v>
      </c>
      <c r="F2601" t="s">
        <v>75</v>
      </c>
      <c r="G2601" t="s">
        <v>59</v>
      </c>
      <c r="H2601" t="s">
        <v>27</v>
      </c>
      <c r="I2601" t="s">
        <v>28</v>
      </c>
      <c r="J2601" t="s">
        <v>38</v>
      </c>
      <c r="K2601">
        <v>7224</v>
      </c>
      <c r="L2601">
        <v>42</v>
      </c>
      <c r="M2601">
        <v>30.97</v>
      </c>
      <c r="N2601">
        <v>0</v>
      </c>
      <c r="O2601">
        <v>0</v>
      </c>
      <c r="P2601">
        <f t="shared" si="160"/>
        <v>5.8139534883720929E-3</v>
      </c>
      <c r="Q2601">
        <f t="shared" si="160"/>
        <v>0.73738095238095236</v>
      </c>
      <c r="R2601">
        <f t="shared" si="161"/>
        <v>0</v>
      </c>
      <c r="S2601">
        <f t="shared" si="162"/>
        <v>0</v>
      </c>
      <c r="T2601">
        <f t="shared" si="163"/>
        <v>0</v>
      </c>
      <c r="U2601" t="str">
        <f>YEAR('Campaign Data'!$A2601)&amp;"-"&amp;TEXT(MONTH('Campaign Data'!$A2601),"00")</f>
        <v>2026-05</v>
      </c>
    </row>
    <row r="2602" spans="1:21" x14ac:dyDescent="0.25">
      <c r="A2602">
        <v>46164</v>
      </c>
      <c r="B2602" t="s">
        <v>56</v>
      </c>
      <c r="C2602" t="s">
        <v>57</v>
      </c>
      <c r="D2602" t="s">
        <v>58</v>
      </c>
      <c r="E2602" t="s">
        <v>33</v>
      </c>
      <c r="F2602" t="s">
        <v>43</v>
      </c>
      <c r="G2602" t="s">
        <v>59</v>
      </c>
      <c r="H2602" t="s">
        <v>27</v>
      </c>
      <c r="I2602" t="s">
        <v>37</v>
      </c>
      <c r="J2602" t="s">
        <v>38</v>
      </c>
      <c r="K2602">
        <v>2563</v>
      </c>
      <c r="L2602">
        <v>7</v>
      </c>
      <c r="M2602">
        <v>4.38</v>
      </c>
      <c r="N2602">
        <v>0</v>
      </c>
      <c r="O2602">
        <v>0</v>
      </c>
      <c r="P2602">
        <f t="shared" si="160"/>
        <v>2.7311744049941474E-3</v>
      </c>
      <c r="Q2602">
        <f t="shared" si="160"/>
        <v>0.62571428571428567</v>
      </c>
      <c r="R2602">
        <f t="shared" si="161"/>
        <v>0</v>
      </c>
      <c r="S2602">
        <f t="shared" si="162"/>
        <v>0</v>
      </c>
      <c r="T2602">
        <f t="shared" si="163"/>
        <v>0</v>
      </c>
      <c r="U2602" t="str">
        <f>YEAR('Campaign Data'!$A2602)&amp;"-"&amp;TEXT(MONTH('Campaign Data'!$A2602),"00")</f>
        <v>2026-05</v>
      </c>
    </row>
    <row r="2603" spans="1:21" x14ac:dyDescent="0.25">
      <c r="A2603">
        <v>46164</v>
      </c>
      <c r="B2603" t="s">
        <v>56</v>
      </c>
      <c r="C2603" t="s">
        <v>57</v>
      </c>
      <c r="D2603" t="s">
        <v>58</v>
      </c>
      <c r="E2603" t="s">
        <v>33</v>
      </c>
      <c r="F2603" t="s">
        <v>43</v>
      </c>
      <c r="G2603" t="s">
        <v>59</v>
      </c>
      <c r="H2603" t="s">
        <v>36</v>
      </c>
      <c r="I2603" t="s">
        <v>37</v>
      </c>
      <c r="J2603" t="s">
        <v>29</v>
      </c>
      <c r="K2603">
        <v>1440</v>
      </c>
      <c r="L2603">
        <v>4</v>
      </c>
      <c r="M2603">
        <v>2.1</v>
      </c>
      <c r="N2603">
        <v>0</v>
      </c>
      <c r="O2603">
        <v>0</v>
      </c>
      <c r="P2603">
        <f t="shared" si="160"/>
        <v>2.7777777777777779E-3</v>
      </c>
      <c r="Q2603">
        <f t="shared" si="160"/>
        <v>0.52500000000000002</v>
      </c>
      <c r="R2603">
        <f t="shared" si="161"/>
        <v>0</v>
      </c>
      <c r="S2603">
        <f t="shared" si="162"/>
        <v>0</v>
      </c>
      <c r="T2603">
        <f t="shared" si="163"/>
        <v>0</v>
      </c>
      <c r="U2603" t="str">
        <f>YEAR('Campaign Data'!$A2603)&amp;"-"&amp;TEXT(MONTH('Campaign Data'!$A2603),"00")</f>
        <v>2026-05</v>
      </c>
    </row>
    <row r="2604" spans="1:21" x14ac:dyDescent="0.25">
      <c r="A2604">
        <v>46164</v>
      </c>
      <c r="B2604" t="s">
        <v>136</v>
      </c>
      <c r="C2604" t="s">
        <v>137</v>
      </c>
      <c r="D2604" t="s">
        <v>32</v>
      </c>
      <c r="E2604" t="s">
        <v>49</v>
      </c>
      <c r="F2604" t="s">
        <v>75</v>
      </c>
      <c r="G2604" t="s">
        <v>97</v>
      </c>
      <c r="H2604" t="s">
        <v>90</v>
      </c>
      <c r="I2604" t="s">
        <v>28</v>
      </c>
      <c r="J2604" t="s">
        <v>38</v>
      </c>
      <c r="K2604">
        <v>8878</v>
      </c>
      <c r="L2604">
        <v>269</v>
      </c>
      <c r="M2604">
        <v>143.88999999999999</v>
      </c>
      <c r="N2604">
        <v>18</v>
      </c>
      <c r="O2604">
        <v>160.31</v>
      </c>
      <c r="P2604">
        <f t="shared" si="160"/>
        <v>3.0299617030862806E-2</v>
      </c>
      <c r="Q2604">
        <f t="shared" si="160"/>
        <v>0.53490706319702597</v>
      </c>
      <c r="R2604">
        <f t="shared" si="161"/>
        <v>7.9938888888888879</v>
      </c>
      <c r="S2604">
        <f t="shared" si="162"/>
        <v>1.1141149489193134</v>
      </c>
      <c r="T2604">
        <f t="shared" si="163"/>
        <v>6.6914498141263934E-2</v>
      </c>
      <c r="U2604" t="str">
        <f>YEAR('Campaign Data'!$A2604)&amp;"-"&amp;TEXT(MONTH('Campaign Data'!$A2604),"00")</f>
        <v>2026-05</v>
      </c>
    </row>
    <row r="2605" spans="1:21" x14ac:dyDescent="0.25">
      <c r="A2605">
        <v>46164</v>
      </c>
      <c r="B2605" t="s">
        <v>143</v>
      </c>
      <c r="C2605" t="s">
        <v>144</v>
      </c>
      <c r="D2605" t="s">
        <v>48</v>
      </c>
      <c r="E2605" t="s">
        <v>42</v>
      </c>
      <c r="F2605" t="s">
        <v>25</v>
      </c>
      <c r="G2605" t="s">
        <v>84</v>
      </c>
      <c r="H2605" t="s">
        <v>27</v>
      </c>
      <c r="I2605" t="s">
        <v>28</v>
      </c>
      <c r="J2605" t="s">
        <v>38</v>
      </c>
      <c r="K2605">
        <v>4362</v>
      </c>
      <c r="L2605">
        <v>22</v>
      </c>
      <c r="M2605">
        <v>124.05</v>
      </c>
      <c r="N2605">
        <v>0</v>
      </c>
      <c r="O2605">
        <v>0</v>
      </c>
      <c r="P2605">
        <f t="shared" si="160"/>
        <v>5.0435580009170105E-3</v>
      </c>
      <c r="Q2605">
        <f t="shared" si="160"/>
        <v>5.6386363636363637</v>
      </c>
      <c r="R2605">
        <f t="shared" si="161"/>
        <v>0</v>
      </c>
      <c r="S2605">
        <f t="shared" si="162"/>
        <v>0</v>
      </c>
      <c r="T2605">
        <f t="shared" si="163"/>
        <v>0</v>
      </c>
      <c r="U2605" t="str">
        <f>YEAR('Campaign Data'!$A2605)&amp;"-"&amp;TEXT(MONTH('Campaign Data'!$A2605),"00")</f>
        <v>2026-05</v>
      </c>
    </row>
    <row r="2606" spans="1:21" x14ac:dyDescent="0.25">
      <c r="A2606">
        <v>46164</v>
      </c>
      <c r="B2606" t="s">
        <v>143</v>
      </c>
      <c r="C2606" t="s">
        <v>144</v>
      </c>
      <c r="D2606" t="s">
        <v>48</v>
      </c>
      <c r="E2606" t="s">
        <v>42</v>
      </c>
      <c r="F2606" t="s">
        <v>25</v>
      </c>
      <c r="G2606" t="s">
        <v>84</v>
      </c>
      <c r="H2606" t="s">
        <v>51</v>
      </c>
      <c r="I2606" t="s">
        <v>28</v>
      </c>
      <c r="J2606" t="s">
        <v>29</v>
      </c>
      <c r="K2606">
        <v>3764</v>
      </c>
      <c r="L2606">
        <v>25</v>
      </c>
      <c r="M2606">
        <v>177.88</v>
      </c>
      <c r="N2606">
        <v>0</v>
      </c>
      <c r="O2606">
        <v>0</v>
      </c>
      <c r="P2606">
        <f t="shared" si="160"/>
        <v>6.6418703506907545E-3</v>
      </c>
      <c r="Q2606">
        <f t="shared" si="160"/>
        <v>7.1151999999999997</v>
      </c>
      <c r="R2606">
        <f t="shared" si="161"/>
        <v>0</v>
      </c>
      <c r="S2606">
        <f t="shared" si="162"/>
        <v>0</v>
      </c>
      <c r="T2606">
        <f t="shared" si="163"/>
        <v>0</v>
      </c>
      <c r="U2606" t="str">
        <f>YEAR('Campaign Data'!$A2606)&amp;"-"&amp;TEXT(MONTH('Campaign Data'!$A2606),"00")</f>
        <v>2026-05</v>
      </c>
    </row>
    <row r="2607" spans="1:21" x14ac:dyDescent="0.25">
      <c r="A2607">
        <v>46164</v>
      </c>
      <c r="B2607" t="s">
        <v>183</v>
      </c>
      <c r="C2607" t="s">
        <v>184</v>
      </c>
      <c r="D2607" t="s">
        <v>23</v>
      </c>
      <c r="E2607" t="s">
        <v>24</v>
      </c>
      <c r="F2607" t="s">
        <v>81</v>
      </c>
      <c r="G2607" t="s">
        <v>185</v>
      </c>
      <c r="H2607" t="s">
        <v>90</v>
      </c>
      <c r="I2607" t="s">
        <v>28</v>
      </c>
      <c r="J2607" t="s">
        <v>62</v>
      </c>
      <c r="K2607">
        <v>17496</v>
      </c>
      <c r="L2607">
        <v>217</v>
      </c>
      <c r="M2607">
        <v>59.53</v>
      </c>
      <c r="N2607">
        <v>11</v>
      </c>
      <c r="O2607">
        <v>76.03</v>
      </c>
      <c r="P2607">
        <f t="shared" si="160"/>
        <v>1.2402834933699132E-2</v>
      </c>
      <c r="Q2607">
        <f t="shared" si="160"/>
        <v>0.27433179723502304</v>
      </c>
      <c r="R2607">
        <f t="shared" si="161"/>
        <v>5.4118181818181821</v>
      </c>
      <c r="S2607">
        <f t="shared" si="162"/>
        <v>1.2771711741978835</v>
      </c>
      <c r="T2607">
        <f t="shared" si="163"/>
        <v>5.0691244239631339E-2</v>
      </c>
      <c r="U2607" t="str">
        <f>YEAR('Campaign Data'!$A2607)&amp;"-"&amp;TEXT(MONTH('Campaign Data'!$A2607),"00")</f>
        <v>2026-05</v>
      </c>
    </row>
    <row r="2608" spans="1:21" x14ac:dyDescent="0.25">
      <c r="A2608">
        <v>46164</v>
      </c>
      <c r="B2608" t="s">
        <v>72</v>
      </c>
      <c r="C2608" t="s">
        <v>73</v>
      </c>
      <c r="D2608" t="s">
        <v>69</v>
      </c>
      <c r="E2608" t="s">
        <v>74</v>
      </c>
      <c r="F2608" t="s">
        <v>75</v>
      </c>
      <c r="G2608" t="s">
        <v>9</v>
      </c>
      <c r="H2608" t="s">
        <v>90</v>
      </c>
      <c r="I2608" t="s">
        <v>37</v>
      </c>
      <c r="J2608" t="s">
        <v>62</v>
      </c>
      <c r="K2608">
        <v>4610</v>
      </c>
      <c r="L2608">
        <v>193</v>
      </c>
      <c r="M2608">
        <v>54.92</v>
      </c>
      <c r="N2608">
        <v>8</v>
      </c>
      <c r="O2608">
        <v>61.12</v>
      </c>
      <c r="P2608">
        <f t="shared" si="160"/>
        <v>4.1865509761388288E-2</v>
      </c>
      <c r="Q2608">
        <f t="shared" si="160"/>
        <v>0.28455958549222798</v>
      </c>
      <c r="R2608">
        <f t="shared" si="161"/>
        <v>6.8650000000000002</v>
      </c>
      <c r="S2608">
        <f t="shared" si="162"/>
        <v>1.1128914785142023</v>
      </c>
      <c r="T2608">
        <f t="shared" si="163"/>
        <v>4.145077720207254E-2</v>
      </c>
      <c r="U2608" t="str">
        <f>YEAR('Campaign Data'!$A2608)&amp;"-"&amp;TEXT(MONTH('Campaign Data'!$A2608),"00")</f>
        <v>2026-05</v>
      </c>
    </row>
    <row r="2609" spans="1:21" x14ac:dyDescent="0.25">
      <c r="A2609">
        <v>46164</v>
      </c>
      <c r="B2609" t="s">
        <v>163</v>
      </c>
      <c r="C2609" t="s">
        <v>164</v>
      </c>
      <c r="D2609" t="s">
        <v>58</v>
      </c>
      <c r="E2609" t="s">
        <v>42</v>
      </c>
      <c r="F2609" t="s">
        <v>43</v>
      </c>
      <c r="G2609" t="s">
        <v>44</v>
      </c>
      <c r="H2609" t="s">
        <v>36</v>
      </c>
      <c r="I2609" t="s">
        <v>37</v>
      </c>
      <c r="J2609" t="s">
        <v>38</v>
      </c>
      <c r="K2609">
        <v>7991</v>
      </c>
      <c r="L2609">
        <v>48</v>
      </c>
      <c r="M2609">
        <v>227.08</v>
      </c>
      <c r="N2609">
        <v>0</v>
      </c>
      <c r="O2609">
        <v>0</v>
      </c>
      <c r="P2609">
        <f t="shared" si="160"/>
        <v>6.0067576023025903E-3</v>
      </c>
      <c r="Q2609">
        <f t="shared" si="160"/>
        <v>4.7308333333333339</v>
      </c>
      <c r="R2609">
        <f t="shared" si="161"/>
        <v>0</v>
      </c>
      <c r="S2609">
        <f t="shared" si="162"/>
        <v>0</v>
      </c>
      <c r="T2609">
        <f t="shared" si="163"/>
        <v>0</v>
      </c>
      <c r="U2609" t="str">
        <f>YEAR('Campaign Data'!$A2609)&amp;"-"&amp;TEXT(MONTH('Campaign Data'!$A2609),"00")</f>
        <v>2026-05</v>
      </c>
    </row>
    <row r="2610" spans="1:21" x14ac:dyDescent="0.25">
      <c r="A2610">
        <v>46164</v>
      </c>
      <c r="B2610" t="s">
        <v>145</v>
      </c>
      <c r="C2610" t="s">
        <v>146</v>
      </c>
      <c r="D2610" t="s">
        <v>41</v>
      </c>
      <c r="E2610" t="s">
        <v>49</v>
      </c>
      <c r="F2610" t="s">
        <v>75</v>
      </c>
      <c r="G2610" t="s">
        <v>70</v>
      </c>
      <c r="H2610" t="s">
        <v>90</v>
      </c>
      <c r="I2610" t="s">
        <v>37</v>
      </c>
      <c r="J2610" t="s">
        <v>29</v>
      </c>
      <c r="K2610">
        <v>22182</v>
      </c>
      <c r="L2610">
        <v>1151</v>
      </c>
      <c r="M2610">
        <v>351.22</v>
      </c>
      <c r="N2610">
        <v>50</v>
      </c>
      <c r="O2610">
        <v>523.64</v>
      </c>
      <c r="P2610">
        <f t="shared" si="160"/>
        <v>5.188891894328735E-2</v>
      </c>
      <c r="Q2610">
        <f t="shared" si="160"/>
        <v>0.30514335360556039</v>
      </c>
      <c r="R2610">
        <f t="shared" si="161"/>
        <v>7.0244000000000009</v>
      </c>
      <c r="S2610">
        <f t="shared" si="162"/>
        <v>1.4909173737258696</v>
      </c>
      <c r="T2610">
        <f t="shared" si="163"/>
        <v>4.3440486533449174E-2</v>
      </c>
      <c r="U2610" t="str">
        <f>YEAR('Campaign Data'!$A2610)&amp;"-"&amp;TEXT(MONTH('Campaign Data'!$A2610),"00")</f>
        <v>2026-05</v>
      </c>
    </row>
    <row r="2611" spans="1:21" x14ac:dyDescent="0.25">
      <c r="A2611">
        <v>46164</v>
      </c>
      <c r="B2611" t="s">
        <v>82</v>
      </c>
      <c r="C2611" t="s">
        <v>83</v>
      </c>
      <c r="D2611" t="s">
        <v>80</v>
      </c>
      <c r="E2611" t="s">
        <v>42</v>
      </c>
      <c r="F2611" t="s">
        <v>34</v>
      </c>
      <c r="G2611" t="s">
        <v>84</v>
      </c>
      <c r="H2611" t="s">
        <v>90</v>
      </c>
      <c r="I2611" t="s">
        <v>28</v>
      </c>
      <c r="J2611" t="s">
        <v>45</v>
      </c>
      <c r="K2611">
        <v>26988</v>
      </c>
      <c r="L2611">
        <v>155</v>
      </c>
      <c r="M2611">
        <v>303.52999999999997</v>
      </c>
      <c r="N2611">
        <v>8</v>
      </c>
      <c r="O2611">
        <v>339.08</v>
      </c>
      <c r="P2611">
        <f t="shared" si="160"/>
        <v>5.7432933155476505E-3</v>
      </c>
      <c r="Q2611">
        <f t="shared" si="160"/>
        <v>1.9582580645161289</v>
      </c>
      <c r="R2611">
        <f t="shared" si="161"/>
        <v>37.941249999999997</v>
      </c>
      <c r="S2611">
        <f t="shared" si="162"/>
        <v>1.1171218660428952</v>
      </c>
      <c r="T2611">
        <f t="shared" si="163"/>
        <v>5.1612903225806452E-2</v>
      </c>
      <c r="U2611" t="str">
        <f>YEAR('Campaign Data'!$A2611)&amp;"-"&amp;TEXT(MONTH('Campaign Data'!$A2611),"00")</f>
        <v>2026-05</v>
      </c>
    </row>
    <row r="2612" spans="1:21" x14ac:dyDescent="0.25">
      <c r="A2612">
        <v>46165</v>
      </c>
      <c r="B2612" t="s">
        <v>175</v>
      </c>
      <c r="C2612" t="s">
        <v>176</v>
      </c>
      <c r="D2612" t="s">
        <v>65</v>
      </c>
      <c r="E2612" t="s">
        <v>49</v>
      </c>
      <c r="F2612" t="s">
        <v>75</v>
      </c>
      <c r="G2612" t="s">
        <v>70</v>
      </c>
      <c r="H2612" t="s">
        <v>51</v>
      </c>
      <c r="I2612" t="s">
        <v>37</v>
      </c>
      <c r="J2612" t="s">
        <v>45</v>
      </c>
      <c r="K2612">
        <v>19935</v>
      </c>
      <c r="L2612">
        <v>810</v>
      </c>
      <c r="M2612">
        <v>1510.94</v>
      </c>
      <c r="N2612">
        <v>39</v>
      </c>
      <c r="O2612">
        <v>1555.53</v>
      </c>
      <c r="P2612">
        <f t="shared" si="160"/>
        <v>4.0632054176072234E-2</v>
      </c>
      <c r="Q2612">
        <f t="shared" si="160"/>
        <v>1.8653580246913581</v>
      </c>
      <c r="R2612">
        <f t="shared" si="161"/>
        <v>38.742051282051285</v>
      </c>
      <c r="S2612">
        <f t="shared" si="162"/>
        <v>1.0295114299707466</v>
      </c>
      <c r="T2612">
        <f t="shared" si="163"/>
        <v>4.8148148148148148E-2</v>
      </c>
      <c r="U2612" t="str">
        <f>YEAR('Campaign Data'!$A2612)&amp;"-"&amp;TEXT(MONTH('Campaign Data'!$A2612),"00")</f>
        <v>2026-05</v>
      </c>
    </row>
    <row r="2613" spans="1:21" x14ac:dyDescent="0.25">
      <c r="A2613">
        <v>46165</v>
      </c>
      <c r="B2613" t="s">
        <v>147</v>
      </c>
      <c r="C2613" t="s">
        <v>148</v>
      </c>
      <c r="D2613" t="s">
        <v>23</v>
      </c>
      <c r="E2613" t="s">
        <v>42</v>
      </c>
      <c r="F2613" t="s">
        <v>75</v>
      </c>
      <c r="G2613" t="s">
        <v>44</v>
      </c>
      <c r="H2613" t="s">
        <v>36</v>
      </c>
      <c r="I2613" t="s">
        <v>28</v>
      </c>
      <c r="J2613" t="s">
        <v>45</v>
      </c>
      <c r="K2613">
        <v>3736</v>
      </c>
      <c r="L2613">
        <v>34</v>
      </c>
      <c r="M2613">
        <v>225.07</v>
      </c>
      <c r="N2613">
        <v>1</v>
      </c>
      <c r="O2613">
        <v>32.32</v>
      </c>
      <c r="P2613">
        <f t="shared" si="160"/>
        <v>9.1006423982869372E-3</v>
      </c>
      <c r="Q2613">
        <f t="shared" si="160"/>
        <v>6.6197058823529407</v>
      </c>
      <c r="R2613">
        <f t="shared" si="161"/>
        <v>225.07</v>
      </c>
      <c r="S2613">
        <f t="shared" si="162"/>
        <v>0.14359976896076776</v>
      </c>
      <c r="T2613">
        <f t="shared" si="163"/>
        <v>2.9411764705882353E-2</v>
      </c>
      <c r="U2613" t="str">
        <f>YEAR('Campaign Data'!$A2613)&amp;"-"&amp;TEXT(MONTH('Campaign Data'!$A2613),"00")</f>
        <v>2026-05</v>
      </c>
    </row>
    <row r="2614" spans="1:21" x14ac:dyDescent="0.25">
      <c r="A2614">
        <v>46165</v>
      </c>
      <c r="B2614" t="s">
        <v>91</v>
      </c>
      <c r="C2614" t="s">
        <v>92</v>
      </c>
      <c r="D2614" t="s">
        <v>41</v>
      </c>
      <c r="E2614" t="s">
        <v>74</v>
      </c>
      <c r="F2614" t="s">
        <v>75</v>
      </c>
      <c r="G2614" t="s">
        <v>9</v>
      </c>
      <c r="H2614" t="s">
        <v>55</v>
      </c>
      <c r="I2614" t="s">
        <v>37</v>
      </c>
      <c r="J2614" t="s">
        <v>45</v>
      </c>
      <c r="K2614">
        <v>3662</v>
      </c>
      <c r="L2614">
        <v>115</v>
      </c>
      <c r="M2614">
        <v>150.72</v>
      </c>
      <c r="N2614">
        <v>1</v>
      </c>
      <c r="O2614">
        <v>60.03</v>
      </c>
      <c r="P2614">
        <f t="shared" si="160"/>
        <v>3.1403604587657015E-2</v>
      </c>
      <c r="Q2614">
        <f t="shared" si="160"/>
        <v>1.3106086956521739</v>
      </c>
      <c r="R2614">
        <f t="shared" si="161"/>
        <v>150.72</v>
      </c>
      <c r="S2614">
        <f t="shared" si="162"/>
        <v>0.39828821656050956</v>
      </c>
      <c r="T2614">
        <f t="shared" si="163"/>
        <v>8.6956521739130436E-3</v>
      </c>
      <c r="U2614" t="str">
        <f>YEAR('Campaign Data'!$A2614)&amp;"-"&amp;TEXT(MONTH('Campaign Data'!$A2614),"00")</f>
        <v>2026-05</v>
      </c>
    </row>
    <row r="2615" spans="1:21" x14ac:dyDescent="0.25">
      <c r="A2615">
        <v>46165</v>
      </c>
      <c r="B2615" t="s">
        <v>186</v>
      </c>
      <c r="C2615" t="s">
        <v>187</v>
      </c>
      <c r="D2615" t="s">
        <v>80</v>
      </c>
      <c r="E2615" t="s">
        <v>33</v>
      </c>
      <c r="F2615" t="s">
        <v>43</v>
      </c>
      <c r="G2615" t="s">
        <v>102</v>
      </c>
      <c r="H2615" t="s">
        <v>27</v>
      </c>
      <c r="I2615" t="s">
        <v>37</v>
      </c>
      <c r="J2615" t="s">
        <v>45</v>
      </c>
      <c r="K2615">
        <v>22091</v>
      </c>
      <c r="L2615">
        <v>154</v>
      </c>
      <c r="M2615">
        <v>147.85</v>
      </c>
      <c r="N2615">
        <v>2</v>
      </c>
      <c r="O2615">
        <v>76.58</v>
      </c>
      <c r="P2615">
        <f t="shared" si="160"/>
        <v>6.9711647277171697E-3</v>
      </c>
      <c r="Q2615">
        <f t="shared" si="160"/>
        <v>0.96006493506493507</v>
      </c>
      <c r="R2615">
        <f t="shared" si="161"/>
        <v>73.924999999999997</v>
      </c>
      <c r="S2615">
        <f t="shared" si="162"/>
        <v>0.51795738924585732</v>
      </c>
      <c r="T2615">
        <f t="shared" si="163"/>
        <v>1.2987012987012988E-2</v>
      </c>
      <c r="U2615" t="str">
        <f>YEAR('Campaign Data'!$A2615)&amp;"-"&amp;TEXT(MONTH('Campaign Data'!$A2615),"00")</f>
        <v>2026-05</v>
      </c>
    </row>
    <row r="2616" spans="1:21" x14ac:dyDescent="0.25">
      <c r="A2616">
        <v>46165</v>
      </c>
      <c r="B2616" t="s">
        <v>186</v>
      </c>
      <c r="C2616" t="s">
        <v>187</v>
      </c>
      <c r="D2616" t="s">
        <v>80</v>
      </c>
      <c r="E2616" t="s">
        <v>33</v>
      </c>
      <c r="F2616" t="s">
        <v>43</v>
      </c>
      <c r="G2616" t="s">
        <v>102</v>
      </c>
      <c r="H2616" t="s">
        <v>36</v>
      </c>
      <c r="I2616" t="s">
        <v>28</v>
      </c>
      <c r="J2616" t="s">
        <v>29</v>
      </c>
      <c r="K2616">
        <v>16183</v>
      </c>
      <c r="L2616">
        <v>214</v>
      </c>
      <c r="M2616">
        <v>150.16999999999999</v>
      </c>
      <c r="N2616">
        <v>2</v>
      </c>
      <c r="O2616">
        <v>54.06</v>
      </c>
      <c r="P2616">
        <f t="shared" si="160"/>
        <v>1.3223753321386641E-2</v>
      </c>
      <c r="Q2616">
        <f t="shared" si="160"/>
        <v>0.70172897196261674</v>
      </c>
      <c r="R2616">
        <f t="shared" si="161"/>
        <v>75.084999999999994</v>
      </c>
      <c r="S2616">
        <f t="shared" si="162"/>
        <v>0.35999200905640277</v>
      </c>
      <c r="T2616">
        <f t="shared" si="163"/>
        <v>9.3457943925233638E-3</v>
      </c>
      <c r="U2616" t="str">
        <f>YEAR('Campaign Data'!$A2616)&amp;"-"&amp;TEXT(MONTH('Campaign Data'!$A2616),"00")</f>
        <v>2026-05</v>
      </c>
    </row>
    <row r="2617" spans="1:21" x14ac:dyDescent="0.25">
      <c r="A2617">
        <v>46165</v>
      </c>
      <c r="B2617" t="s">
        <v>95</v>
      </c>
      <c r="C2617" t="s">
        <v>96</v>
      </c>
      <c r="D2617" t="s">
        <v>23</v>
      </c>
      <c r="E2617" t="s">
        <v>49</v>
      </c>
      <c r="F2617" t="s">
        <v>43</v>
      </c>
      <c r="G2617" t="s">
        <v>97</v>
      </c>
      <c r="H2617" t="s">
        <v>90</v>
      </c>
      <c r="I2617" t="s">
        <v>28</v>
      </c>
      <c r="J2617" t="s">
        <v>45</v>
      </c>
      <c r="K2617">
        <v>2911</v>
      </c>
      <c r="L2617">
        <v>166</v>
      </c>
      <c r="M2617">
        <v>40.98</v>
      </c>
      <c r="N2617">
        <v>8</v>
      </c>
      <c r="O2617">
        <v>64.09</v>
      </c>
      <c r="P2617">
        <f t="shared" si="160"/>
        <v>5.7025077293026451E-2</v>
      </c>
      <c r="Q2617">
        <f t="shared" si="160"/>
        <v>0.24686746987951805</v>
      </c>
      <c r="R2617">
        <f t="shared" si="161"/>
        <v>5.1224999999999996</v>
      </c>
      <c r="S2617">
        <f t="shared" si="162"/>
        <v>1.5639336261591021</v>
      </c>
      <c r="T2617">
        <f t="shared" si="163"/>
        <v>4.8192771084337352E-2</v>
      </c>
      <c r="U2617" t="str">
        <f>YEAR('Campaign Data'!$A2617)&amp;"-"&amp;TEXT(MONTH('Campaign Data'!$A2617),"00")</f>
        <v>2026-05</v>
      </c>
    </row>
    <row r="2618" spans="1:21" x14ac:dyDescent="0.25">
      <c r="A2618">
        <v>46165</v>
      </c>
      <c r="B2618" t="s">
        <v>108</v>
      </c>
      <c r="C2618" t="s">
        <v>109</v>
      </c>
      <c r="D2618" t="s">
        <v>58</v>
      </c>
      <c r="E2618" t="s">
        <v>33</v>
      </c>
      <c r="F2618" t="s">
        <v>43</v>
      </c>
      <c r="G2618" t="s">
        <v>59</v>
      </c>
      <c r="H2618" t="s">
        <v>60</v>
      </c>
      <c r="I2618" t="s">
        <v>28</v>
      </c>
      <c r="J2618" t="s">
        <v>38</v>
      </c>
      <c r="K2618">
        <v>6406</v>
      </c>
      <c r="L2618">
        <v>54</v>
      </c>
      <c r="M2618">
        <v>29.79</v>
      </c>
      <c r="N2618">
        <v>0</v>
      </c>
      <c r="O2618">
        <v>0</v>
      </c>
      <c r="P2618">
        <f t="shared" si="160"/>
        <v>8.4295972525757108E-3</v>
      </c>
      <c r="Q2618">
        <f t="shared" si="160"/>
        <v>0.55166666666666664</v>
      </c>
      <c r="R2618">
        <f t="shared" si="161"/>
        <v>0</v>
      </c>
      <c r="S2618">
        <f t="shared" si="162"/>
        <v>0</v>
      </c>
      <c r="T2618">
        <f t="shared" si="163"/>
        <v>0</v>
      </c>
      <c r="U2618" t="str">
        <f>YEAR('Campaign Data'!$A2618)&amp;"-"&amp;TEXT(MONTH('Campaign Data'!$A2618),"00")</f>
        <v>2026-05</v>
      </c>
    </row>
    <row r="2619" spans="1:21" x14ac:dyDescent="0.25">
      <c r="A2619">
        <v>46165</v>
      </c>
      <c r="B2619" t="s">
        <v>130</v>
      </c>
      <c r="C2619" t="s">
        <v>131</v>
      </c>
      <c r="D2619" t="s">
        <v>48</v>
      </c>
      <c r="E2619" t="s">
        <v>33</v>
      </c>
      <c r="F2619" t="s">
        <v>34</v>
      </c>
      <c r="G2619" t="s">
        <v>35</v>
      </c>
      <c r="H2619" t="s">
        <v>60</v>
      </c>
      <c r="I2619" t="s">
        <v>37</v>
      </c>
      <c r="J2619" t="s">
        <v>62</v>
      </c>
      <c r="K2619">
        <v>2210</v>
      </c>
      <c r="L2619">
        <v>36</v>
      </c>
      <c r="M2619">
        <v>20.74</v>
      </c>
      <c r="N2619">
        <v>1</v>
      </c>
      <c r="O2619">
        <v>210.67</v>
      </c>
      <c r="P2619">
        <f t="shared" si="160"/>
        <v>1.6289592760180997E-2</v>
      </c>
      <c r="Q2619">
        <f t="shared" si="160"/>
        <v>0.57611111111111102</v>
      </c>
      <c r="R2619">
        <f t="shared" si="161"/>
        <v>20.74</v>
      </c>
      <c r="S2619">
        <f t="shared" si="162"/>
        <v>10.157666345226616</v>
      </c>
      <c r="T2619">
        <f t="shared" si="163"/>
        <v>2.7777777777777776E-2</v>
      </c>
      <c r="U2619" t="str">
        <f>YEAR('Campaign Data'!$A2619)&amp;"-"&amp;TEXT(MONTH('Campaign Data'!$A2619),"00")</f>
        <v>2026-05</v>
      </c>
    </row>
    <row r="2620" spans="1:21" x14ac:dyDescent="0.25">
      <c r="A2620">
        <v>46165</v>
      </c>
      <c r="B2620" t="s">
        <v>171</v>
      </c>
      <c r="C2620" t="s">
        <v>172</v>
      </c>
      <c r="D2620" t="s">
        <v>23</v>
      </c>
      <c r="E2620" t="s">
        <v>33</v>
      </c>
      <c r="F2620" t="s">
        <v>75</v>
      </c>
      <c r="G2620" t="s">
        <v>59</v>
      </c>
      <c r="H2620" t="s">
        <v>36</v>
      </c>
      <c r="I2620" t="s">
        <v>37</v>
      </c>
      <c r="J2620" t="s">
        <v>38</v>
      </c>
      <c r="K2620">
        <v>6201</v>
      </c>
      <c r="L2620">
        <v>69</v>
      </c>
      <c r="M2620">
        <v>74.040000000000006</v>
      </c>
      <c r="N2620">
        <v>0</v>
      </c>
      <c r="O2620">
        <v>0</v>
      </c>
      <c r="P2620">
        <f t="shared" si="160"/>
        <v>1.1127237542331882E-2</v>
      </c>
      <c r="Q2620">
        <f t="shared" si="160"/>
        <v>1.0730434782608698</v>
      </c>
      <c r="R2620">
        <f t="shared" si="161"/>
        <v>0</v>
      </c>
      <c r="S2620">
        <f t="shared" si="162"/>
        <v>0</v>
      </c>
      <c r="T2620">
        <f t="shared" si="163"/>
        <v>0</v>
      </c>
      <c r="U2620" t="str">
        <f>YEAR('Campaign Data'!$A2620)&amp;"-"&amp;TEXT(MONTH('Campaign Data'!$A2620),"00")</f>
        <v>2026-05</v>
      </c>
    </row>
    <row r="2621" spans="1:21" x14ac:dyDescent="0.25">
      <c r="A2621">
        <v>46165</v>
      </c>
      <c r="B2621" t="s">
        <v>110</v>
      </c>
      <c r="C2621" t="s">
        <v>111</v>
      </c>
      <c r="D2621" t="s">
        <v>23</v>
      </c>
      <c r="E2621" t="s">
        <v>49</v>
      </c>
      <c r="F2621" t="s">
        <v>34</v>
      </c>
      <c r="G2621" t="s">
        <v>50</v>
      </c>
      <c r="H2621" t="s">
        <v>60</v>
      </c>
      <c r="I2621" t="s">
        <v>37</v>
      </c>
      <c r="J2621" t="s">
        <v>45</v>
      </c>
      <c r="K2621">
        <v>2844</v>
      </c>
      <c r="L2621">
        <v>68</v>
      </c>
      <c r="M2621">
        <v>83.86</v>
      </c>
      <c r="N2621">
        <v>1</v>
      </c>
      <c r="O2621">
        <v>138.25</v>
      </c>
      <c r="P2621">
        <f t="shared" si="160"/>
        <v>2.3909985935302389E-2</v>
      </c>
      <c r="Q2621">
        <f t="shared" si="160"/>
        <v>1.233235294117647</v>
      </c>
      <c r="R2621">
        <f t="shared" si="161"/>
        <v>83.86</v>
      </c>
      <c r="S2621">
        <f t="shared" si="162"/>
        <v>1.6485809682804675</v>
      </c>
      <c r="T2621">
        <f t="shared" si="163"/>
        <v>1.4705882352941176E-2</v>
      </c>
      <c r="U2621" t="str">
        <f>YEAR('Campaign Data'!$A2621)&amp;"-"&amp;TEXT(MONTH('Campaign Data'!$A2621),"00")</f>
        <v>2026-05</v>
      </c>
    </row>
    <row r="2622" spans="1:21" x14ac:dyDescent="0.25">
      <c r="A2622">
        <v>46165</v>
      </c>
      <c r="B2622" t="s">
        <v>134</v>
      </c>
      <c r="C2622" t="s">
        <v>135</v>
      </c>
      <c r="D2622" t="s">
        <v>32</v>
      </c>
      <c r="E2622" t="s">
        <v>74</v>
      </c>
      <c r="F2622" t="s">
        <v>25</v>
      </c>
      <c r="G2622" t="s">
        <v>107</v>
      </c>
      <c r="H2622" t="s">
        <v>90</v>
      </c>
      <c r="I2622" t="s">
        <v>37</v>
      </c>
      <c r="J2622" t="s">
        <v>29</v>
      </c>
      <c r="K2622">
        <v>1720</v>
      </c>
      <c r="L2622">
        <v>54</v>
      </c>
      <c r="M2622">
        <v>19.2</v>
      </c>
      <c r="N2622">
        <v>1</v>
      </c>
      <c r="O2622">
        <v>41.62</v>
      </c>
      <c r="P2622">
        <f t="shared" si="160"/>
        <v>3.1395348837209305E-2</v>
      </c>
      <c r="Q2622">
        <f t="shared" si="160"/>
        <v>0.35555555555555557</v>
      </c>
      <c r="R2622">
        <f t="shared" si="161"/>
        <v>19.2</v>
      </c>
      <c r="S2622">
        <f t="shared" si="162"/>
        <v>2.1677083333333331</v>
      </c>
      <c r="T2622">
        <f t="shared" si="163"/>
        <v>1.8518518518518517E-2</v>
      </c>
      <c r="U2622" t="str">
        <f>YEAR('Campaign Data'!$A2622)&amp;"-"&amp;TEXT(MONTH('Campaign Data'!$A2622),"00")</f>
        <v>2026-05</v>
      </c>
    </row>
    <row r="2623" spans="1:21" x14ac:dyDescent="0.25">
      <c r="A2623">
        <v>46165</v>
      </c>
      <c r="B2623" t="s">
        <v>159</v>
      </c>
      <c r="C2623" t="s">
        <v>160</v>
      </c>
      <c r="D2623" t="s">
        <v>65</v>
      </c>
      <c r="E2623" t="s">
        <v>42</v>
      </c>
      <c r="F2623" t="s">
        <v>75</v>
      </c>
      <c r="G2623" t="s">
        <v>54</v>
      </c>
      <c r="H2623" t="s">
        <v>27</v>
      </c>
      <c r="I2623" t="s">
        <v>61</v>
      </c>
      <c r="J2623" t="s">
        <v>45</v>
      </c>
      <c r="K2623">
        <v>7425</v>
      </c>
      <c r="L2623">
        <v>38</v>
      </c>
      <c r="M2623">
        <v>339.82</v>
      </c>
      <c r="N2623">
        <v>0</v>
      </c>
      <c r="O2623">
        <v>0</v>
      </c>
      <c r="P2623">
        <f t="shared" si="160"/>
        <v>5.1178451178451176E-3</v>
      </c>
      <c r="Q2623">
        <f t="shared" si="160"/>
        <v>8.9426315789473687</v>
      </c>
      <c r="R2623">
        <f t="shared" si="161"/>
        <v>0</v>
      </c>
      <c r="S2623">
        <f t="shared" si="162"/>
        <v>0</v>
      </c>
      <c r="T2623">
        <f t="shared" si="163"/>
        <v>0</v>
      </c>
      <c r="U2623" t="str">
        <f>YEAR('Campaign Data'!$A2623)&amp;"-"&amp;TEXT(MONTH('Campaign Data'!$A2623),"00")</f>
        <v>2026-05</v>
      </c>
    </row>
    <row r="2624" spans="1:21" x14ac:dyDescent="0.25">
      <c r="A2624">
        <v>46165</v>
      </c>
      <c r="B2624" t="s">
        <v>161</v>
      </c>
      <c r="C2624" t="s">
        <v>162</v>
      </c>
      <c r="D2624" t="s">
        <v>48</v>
      </c>
      <c r="E2624" t="s">
        <v>74</v>
      </c>
      <c r="F2624" t="s">
        <v>34</v>
      </c>
      <c r="G2624" t="s">
        <v>107</v>
      </c>
      <c r="H2624" t="s">
        <v>36</v>
      </c>
      <c r="I2624" t="s">
        <v>37</v>
      </c>
      <c r="J2624" t="s">
        <v>38</v>
      </c>
      <c r="K2624">
        <v>4659</v>
      </c>
      <c r="L2624">
        <v>129</v>
      </c>
      <c r="M2624">
        <v>226.91</v>
      </c>
      <c r="N2624">
        <v>5</v>
      </c>
      <c r="O2624">
        <v>890.86</v>
      </c>
      <c r="P2624">
        <f t="shared" si="160"/>
        <v>2.7688345138441726E-2</v>
      </c>
      <c r="Q2624">
        <f t="shared" si="160"/>
        <v>1.7589922480620155</v>
      </c>
      <c r="R2624">
        <f t="shared" si="161"/>
        <v>45.381999999999998</v>
      </c>
      <c r="S2624">
        <f t="shared" si="162"/>
        <v>3.9260499757613152</v>
      </c>
      <c r="T2624">
        <f t="shared" si="163"/>
        <v>3.875968992248062E-2</v>
      </c>
      <c r="U2624" t="str">
        <f>YEAR('Campaign Data'!$A2624)&amp;"-"&amp;TEXT(MONTH('Campaign Data'!$A2624),"00")</f>
        <v>2026-05</v>
      </c>
    </row>
    <row r="2625" spans="1:21" x14ac:dyDescent="0.25">
      <c r="A2625">
        <v>46165</v>
      </c>
      <c r="B2625" t="s">
        <v>161</v>
      </c>
      <c r="C2625" t="s">
        <v>162</v>
      </c>
      <c r="D2625" t="s">
        <v>48</v>
      </c>
      <c r="E2625" t="s">
        <v>74</v>
      </c>
      <c r="F2625" t="s">
        <v>34</v>
      </c>
      <c r="G2625" t="s">
        <v>107</v>
      </c>
      <c r="H2625" t="s">
        <v>36</v>
      </c>
      <c r="I2625" t="s">
        <v>37</v>
      </c>
      <c r="J2625" t="s">
        <v>38</v>
      </c>
      <c r="K2625">
        <v>2196</v>
      </c>
      <c r="L2625">
        <v>64</v>
      </c>
      <c r="M2625">
        <v>71.89</v>
      </c>
      <c r="N2625">
        <v>5</v>
      </c>
      <c r="O2625">
        <v>846.95</v>
      </c>
      <c r="P2625">
        <f t="shared" si="160"/>
        <v>2.9143897996357013E-2</v>
      </c>
      <c r="Q2625">
        <f t="shared" si="160"/>
        <v>1.12328125</v>
      </c>
      <c r="R2625">
        <f t="shared" si="161"/>
        <v>14.378</v>
      </c>
      <c r="S2625">
        <f t="shared" si="162"/>
        <v>11.78119349005425</v>
      </c>
      <c r="T2625">
        <f t="shared" si="163"/>
        <v>7.8125E-2</v>
      </c>
      <c r="U2625" t="str">
        <f>YEAR('Campaign Data'!$A2625)&amp;"-"&amp;TEXT(MONTH('Campaign Data'!$A2625),"00")</f>
        <v>2026-05</v>
      </c>
    </row>
    <row r="2626" spans="1:21" x14ac:dyDescent="0.25">
      <c r="A2626">
        <v>46165</v>
      </c>
      <c r="B2626" t="s">
        <v>161</v>
      </c>
      <c r="C2626" t="s">
        <v>162</v>
      </c>
      <c r="D2626" t="s">
        <v>48</v>
      </c>
      <c r="E2626" t="s">
        <v>74</v>
      </c>
      <c r="F2626" t="s">
        <v>34</v>
      </c>
      <c r="G2626" t="s">
        <v>107</v>
      </c>
      <c r="H2626" t="s">
        <v>27</v>
      </c>
      <c r="I2626" t="s">
        <v>28</v>
      </c>
      <c r="J2626" t="s">
        <v>45</v>
      </c>
      <c r="K2626">
        <v>2144</v>
      </c>
      <c r="L2626">
        <v>64</v>
      </c>
      <c r="M2626">
        <v>120.84</v>
      </c>
      <c r="N2626">
        <v>4</v>
      </c>
      <c r="O2626">
        <v>786.46</v>
      </c>
      <c r="P2626">
        <f t="shared" ref="P2626:Q2689" si="164">IF(K2626=0,0,L2626/K2626)</f>
        <v>2.9850746268656716E-2</v>
      </c>
      <c r="Q2626">
        <f t="shared" si="164"/>
        <v>1.8881250000000001</v>
      </c>
      <c r="R2626">
        <f t="shared" ref="R2626:R2689" si="165">IF(N2626=0,0,M2626/N2626)</f>
        <v>30.21</v>
      </c>
      <c r="S2626">
        <f t="shared" ref="S2626:S2689" si="166">IF(M2626=0,0,O2626/M2626)</f>
        <v>6.508275405494869</v>
      </c>
      <c r="T2626">
        <f t="shared" ref="T2626:T2689" si="167">IF(L2626=0,0,N2626/L2626)</f>
        <v>6.25E-2</v>
      </c>
      <c r="U2626" t="str">
        <f>YEAR('Campaign Data'!$A2626)&amp;"-"&amp;TEXT(MONTH('Campaign Data'!$A2626),"00")</f>
        <v>2026-05</v>
      </c>
    </row>
    <row r="2627" spans="1:21" x14ac:dyDescent="0.25">
      <c r="A2627">
        <v>46165</v>
      </c>
      <c r="B2627" t="s">
        <v>63</v>
      </c>
      <c r="C2627" t="s">
        <v>64</v>
      </c>
      <c r="D2627" t="s">
        <v>65</v>
      </c>
      <c r="E2627" t="s">
        <v>24</v>
      </c>
      <c r="F2627" t="s">
        <v>43</v>
      </c>
      <c r="G2627" t="s">
        <v>66</v>
      </c>
      <c r="H2627" t="s">
        <v>55</v>
      </c>
      <c r="I2627" t="s">
        <v>28</v>
      </c>
      <c r="J2627" t="s">
        <v>87</v>
      </c>
      <c r="K2627">
        <v>1751</v>
      </c>
      <c r="L2627">
        <v>23</v>
      </c>
      <c r="M2627">
        <v>21.88</v>
      </c>
      <c r="N2627">
        <v>0</v>
      </c>
      <c r="O2627">
        <v>0</v>
      </c>
      <c r="P2627">
        <f t="shared" si="164"/>
        <v>1.3135351227869789E-2</v>
      </c>
      <c r="Q2627">
        <f t="shared" si="164"/>
        <v>0.95130434782608686</v>
      </c>
      <c r="R2627">
        <f t="shared" si="165"/>
        <v>0</v>
      </c>
      <c r="S2627">
        <f t="shared" si="166"/>
        <v>0</v>
      </c>
      <c r="T2627">
        <f t="shared" si="167"/>
        <v>0</v>
      </c>
      <c r="U2627" t="str">
        <f>YEAR('Campaign Data'!$A2627)&amp;"-"&amp;TEXT(MONTH('Campaign Data'!$A2627),"00")</f>
        <v>2026-05</v>
      </c>
    </row>
    <row r="2628" spans="1:21" x14ac:dyDescent="0.25">
      <c r="A2628">
        <v>46165</v>
      </c>
      <c r="B2628" t="s">
        <v>63</v>
      </c>
      <c r="C2628" t="s">
        <v>64</v>
      </c>
      <c r="D2628" t="s">
        <v>65</v>
      </c>
      <c r="E2628" t="s">
        <v>24</v>
      </c>
      <c r="F2628" t="s">
        <v>43</v>
      </c>
      <c r="G2628" t="s">
        <v>66</v>
      </c>
      <c r="H2628" t="s">
        <v>55</v>
      </c>
      <c r="I2628" t="s">
        <v>28</v>
      </c>
      <c r="J2628" t="s">
        <v>87</v>
      </c>
      <c r="K2628">
        <v>2929</v>
      </c>
      <c r="L2628">
        <v>30</v>
      </c>
      <c r="M2628">
        <v>32.159999999999997</v>
      </c>
      <c r="N2628">
        <v>0</v>
      </c>
      <c r="O2628">
        <v>0</v>
      </c>
      <c r="P2628">
        <f t="shared" si="164"/>
        <v>1.0242403550699898E-2</v>
      </c>
      <c r="Q2628">
        <f t="shared" si="164"/>
        <v>1.0719999999999998</v>
      </c>
      <c r="R2628">
        <f t="shared" si="165"/>
        <v>0</v>
      </c>
      <c r="S2628">
        <f t="shared" si="166"/>
        <v>0</v>
      </c>
      <c r="T2628">
        <f t="shared" si="167"/>
        <v>0</v>
      </c>
      <c r="U2628" t="str">
        <f>YEAR('Campaign Data'!$A2628)&amp;"-"&amp;TEXT(MONTH('Campaign Data'!$A2628),"00")</f>
        <v>2026-05</v>
      </c>
    </row>
    <row r="2629" spans="1:21" x14ac:dyDescent="0.25">
      <c r="A2629">
        <v>46165</v>
      </c>
      <c r="B2629" t="s">
        <v>183</v>
      </c>
      <c r="C2629" t="s">
        <v>184</v>
      </c>
      <c r="D2629" t="s">
        <v>23</v>
      </c>
      <c r="E2629" t="s">
        <v>24</v>
      </c>
      <c r="F2629" t="s">
        <v>81</v>
      </c>
      <c r="G2629" t="s">
        <v>185</v>
      </c>
      <c r="H2629" t="s">
        <v>36</v>
      </c>
      <c r="I2629" t="s">
        <v>28</v>
      </c>
      <c r="J2629" t="s">
        <v>38</v>
      </c>
      <c r="K2629">
        <v>853</v>
      </c>
      <c r="L2629">
        <v>10</v>
      </c>
      <c r="M2629">
        <v>8.01</v>
      </c>
      <c r="N2629">
        <v>0</v>
      </c>
      <c r="O2629">
        <v>0</v>
      </c>
      <c r="P2629">
        <f t="shared" si="164"/>
        <v>1.1723329425556858E-2</v>
      </c>
      <c r="Q2629">
        <f t="shared" si="164"/>
        <v>0.80099999999999993</v>
      </c>
      <c r="R2629">
        <f t="shared" si="165"/>
        <v>0</v>
      </c>
      <c r="S2629">
        <f t="shared" si="166"/>
        <v>0</v>
      </c>
      <c r="T2629">
        <f t="shared" si="167"/>
        <v>0</v>
      </c>
      <c r="U2629" t="str">
        <f>YEAR('Campaign Data'!$A2629)&amp;"-"&amp;TEXT(MONTH('Campaign Data'!$A2629),"00")</f>
        <v>2026-05</v>
      </c>
    </row>
    <row r="2630" spans="1:21" x14ac:dyDescent="0.25">
      <c r="A2630">
        <v>46165</v>
      </c>
      <c r="B2630" t="s">
        <v>183</v>
      </c>
      <c r="C2630" t="s">
        <v>184</v>
      </c>
      <c r="D2630" t="s">
        <v>23</v>
      </c>
      <c r="E2630" t="s">
        <v>24</v>
      </c>
      <c r="F2630" t="s">
        <v>81</v>
      </c>
      <c r="G2630" t="s">
        <v>185</v>
      </c>
      <c r="H2630" t="s">
        <v>36</v>
      </c>
      <c r="I2630" t="s">
        <v>37</v>
      </c>
      <c r="J2630" t="s">
        <v>62</v>
      </c>
      <c r="K2630">
        <v>5830</v>
      </c>
      <c r="L2630">
        <v>85</v>
      </c>
      <c r="M2630">
        <v>65.05</v>
      </c>
      <c r="N2630">
        <v>4</v>
      </c>
      <c r="O2630">
        <v>97.12</v>
      </c>
      <c r="P2630">
        <f t="shared" si="164"/>
        <v>1.4579759862778732E-2</v>
      </c>
      <c r="Q2630">
        <f t="shared" si="164"/>
        <v>0.76529411764705879</v>
      </c>
      <c r="R2630">
        <f t="shared" si="165"/>
        <v>16.262499999999999</v>
      </c>
      <c r="S2630">
        <f t="shared" si="166"/>
        <v>1.4930053804765566</v>
      </c>
      <c r="T2630">
        <f t="shared" si="167"/>
        <v>4.7058823529411764E-2</v>
      </c>
      <c r="U2630" t="str">
        <f>YEAR('Campaign Data'!$A2630)&amp;"-"&amp;TEXT(MONTH('Campaign Data'!$A2630),"00")</f>
        <v>2026-05</v>
      </c>
    </row>
    <row r="2631" spans="1:21" x14ac:dyDescent="0.25">
      <c r="A2631">
        <v>46165</v>
      </c>
      <c r="B2631" t="s">
        <v>118</v>
      </c>
      <c r="C2631" t="s">
        <v>119</v>
      </c>
      <c r="D2631" t="s">
        <v>69</v>
      </c>
      <c r="E2631" t="s">
        <v>33</v>
      </c>
      <c r="F2631" t="s">
        <v>34</v>
      </c>
      <c r="G2631" t="s">
        <v>35</v>
      </c>
      <c r="H2631" t="s">
        <v>27</v>
      </c>
      <c r="I2631" t="s">
        <v>28</v>
      </c>
      <c r="J2631" t="s">
        <v>45</v>
      </c>
      <c r="K2631">
        <v>4672</v>
      </c>
      <c r="L2631">
        <v>24</v>
      </c>
      <c r="M2631">
        <v>25.27</v>
      </c>
      <c r="N2631">
        <v>0</v>
      </c>
      <c r="O2631">
        <v>0</v>
      </c>
      <c r="P2631">
        <f t="shared" si="164"/>
        <v>5.1369863013698627E-3</v>
      </c>
      <c r="Q2631">
        <f t="shared" si="164"/>
        <v>1.0529166666666667</v>
      </c>
      <c r="R2631">
        <f t="shared" si="165"/>
        <v>0</v>
      </c>
      <c r="S2631">
        <f t="shared" si="166"/>
        <v>0</v>
      </c>
      <c r="T2631">
        <f t="shared" si="167"/>
        <v>0</v>
      </c>
      <c r="U2631" t="str">
        <f>YEAR('Campaign Data'!$A2631)&amp;"-"&amp;TEXT(MONTH('Campaign Data'!$A2631),"00")</f>
        <v>2026-05</v>
      </c>
    </row>
    <row r="2632" spans="1:21" x14ac:dyDescent="0.25">
      <c r="A2632">
        <v>46165</v>
      </c>
      <c r="B2632" t="s">
        <v>122</v>
      </c>
      <c r="C2632" t="s">
        <v>123</v>
      </c>
      <c r="D2632" t="s">
        <v>41</v>
      </c>
      <c r="E2632" t="s">
        <v>33</v>
      </c>
      <c r="F2632" t="s">
        <v>75</v>
      </c>
      <c r="G2632" t="s">
        <v>35</v>
      </c>
      <c r="H2632" t="s">
        <v>36</v>
      </c>
      <c r="I2632" t="s">
        <v>28</v>
      </c>
      <c r="J2632" t="s">
        <v>29</v>
      </c>
      <c r="K2632">
        <v>3463</v>
      </c>
      <c r="L2632">
        <v>22</v>
      </c>
      <c r="M2632">
        <v>11.1</v>
      </c>
      <c r="N2632">
        <v>0</v>
      </c>
      <c r="O2632">
        <v>0</v>
      </c>
      <c r="P2632">
        <f t="shared" si="164"/>
        <v>6.3528732313023386E-3</v>
      </c>
      <c r="Q2632">
        <f t="shared" si="164"/>
        <v>0.50454545454545452</v>
      </c>
      <c r="R2632">
        <f t="shared" si="165"/>
        <v>0</v>
      </c>
      <c r="S2632">
        <f t="shared" si="166"/>
        <v>0</v>
      </c>
      <c r="T2632">
        <f t="shared" si="167"/>
        <v>0</v>
      </c>
      <c r="U2632" t="str">
        <f>YEAR('Campaign Data'!$A2632)&amp;"-"&amp;TEXT(MONTH('Campaign Data'!$A2632),"00")</f>
        <v>2026-05</v>
      </c>
    </row>
    <row r="2633" spans="1:21" x14ac:dyDescent="0.25">
      <c r="A2633">
        <v>46166</v>
      </c>
      <c r="B2633" t="s">
        <v>173</v>
      </c>
      <c r="C2633" t="s">
        <v>174</v>
      </c>
      <c r="D2633" t="s">
        <v>48</v>
      </c>
      <c r="E2633" t="s">
        <v>74</v>
      </c>
      <c r="F2633" t="s">
        <v>25</v>
      </c>
      <c r="G2633" t="s">
        <v>9</v>
      </c>
      <c r="H2633" t="s">
        <v>36</v>
      </c>
      <c r="I2633" t="s">
        <v>28</v>
      </c>
      <c r="J2633" t="s">
        <v>45</v>
      </c>
      <c r="K2633">
        <v>3130</v>
      </c>
      <c r="L2633">
        <v>123</v>
      </c>
      <c r="M2633">
        <v>200.88</v>
      </c>
      <c r="N2633">
        <v>6</v>
      </c>
      <c r="O2633">
        <v>975.82</v>
      </c>
      <c r="P2633">
        <f t="shared" si="164"/>
        <v>3.9297124600638979E-2</v>
      </c>
      <c r="Q2633">
        <f t="shared" si="164"/>
        <v>1.633170731707317</v>
      </c>
      <c r="R2633">
        <f t="shared" si="165"/>
        <v>33.479999999999997</v>
      </c>
      <c r="S2633">
        <f t="shared" si="166"/>
        <v>4.8577260055754685</v>
      </c>
      <c r="T2633">
        <f t="shared" si="167"/>
        <v>4.878048780487805E-2</v>
      </c>
      <c r="U2633" t="str">
        <f>YEAR('Campaign Data'!$A2633)&amp;"-"&amp;TEXT(MONTH('Campaign Data'!$A2633),"00")</f>
        <v>2026-05</v>
      </c>
    </row>
    <row r="2634" spans="1:21" x14ac:dyDescent="0.25">
      <c r="A2634">
        <v>46166</v>
      </c>
      <c r="B2634" t="s">
        <v>175</v>
      </c>
      <c r="C2634" t="s">
        <v>176</v>
      </c>
      <c r="D2634" t="s">
        <v>65</v>
      </c>
      <c r="E2634" t="s">
        <v>49</v>
      </c>
      <c r="F2634" t="s">
        <v>75</v>
      </c>
      <c r="G2634" t="s">
        <v>70</v>
      </c>
      <c r="H2634" t="s">
        <v>60</v>
      </c>
      <c r="I2634" t="s">
        <v>28</v>
      </c>
      <c r="J2634" t="s">
        <v>29</v>
      </c>
      <c r="K2634">
        <v>12227</v>
      </c>
      <c r="L2634">
        <v>564</v>
      </c>
      <c r="M2634">
        <v>1308.27</v>
      </c>
      <c r="N2634">
        <v>40</v>
      </c>
      <c r="O2634">
        <v>1338.95</v>
      </c>
      <c r="P2634">
        <f t="shared" si="164"/>
        <v>4.6127422916496276E-2</v>
      </c>
      <c r="Q2634">
        <f t="shared" si="164"/>
        <v>2.319627659574468</v>
      </c>
      <c r="R2634">
        <f t="shared" si="165"/>
        <v>32.70675</v>
      </c>
      <c r="S2634">
        <f t="shared" si="166"/>
        <v>1.0234508167274341</v>
      </c>
      <c r="T2634">
        <f t="shared" si="167"/>
        <v>7.0921985815602842E-2</v>
      </c>
      <c r="U2634" t="str">
        <f>YEAR('Campaign Data'!$A2634)&amp;"-"&amp;TEXT(MONTH('Campaign Data'!$A2634),"00")</f>
        <v>2026-05</v>
      </c>
    </row>
    <row r="2635" spans="1:21" x14ac:dyDescent="0.25">
      <c r="A2635">
        <v>46166</v>
      </c>
      <c r="B2635" t="s">
        <v>85</v>
      </c>
      <c r="C2635" t="s">
        <v>86</v>
      </c>
      <c r="D2635" t="s">
        <v>80</v>
      </c>
      <c r="E2635" t="s">
        <v>33</v>
      </c>
      <c r="F2635" t="s">
        <v>43</v>
      </c>
      <c r="G2635" t="s">
        <v>35</v>
      </c>
      <c r="H2635" t="s">
        <v>36</v>
      </c>
      <c r="I2635" t="s">
        <v>37</v>
      </c>
      <c r="J2635" t="s">
        <v>45</v>
      </c>
      <c r="K2635">
        <v>10217</v>
      </c>
      <c r="L2635">
        <v>52</v>
      </c>
      <c r="M2635">
        <v>36.409999999999997</v>
      </c>
      <c r="N2635">
        <v>2</v>
      </c>
      <c r="O2635">
        <v>38.56</v>
      </c>
      <c r="P2635">
        <f t="shared" si="164"/>
        <v>5.0895566213174119E-3</v>
      </c>
      <c r="Q2635">
        <f t="shared" si="164"/>
        <v>0.70019230769230767</v>
      </c>
      <c r="R2635">
        <f t="shared" si="165"/>
        <v>18.204999999999998</v>
      </c>
      <c r="S2635">
        <f t="shared" si="166"/>
        <v>1.0590497116176876</v>
      </c>
      <c r="T2635">
        <f t="shared" si="167"/>
        <v>3.8461538461538464E-2</v>
      </c>
      <c r="U2635" t="str">
        <f>YEAR('Campaign Data'!$A2635)&amp;"-"&amp;TEXT(MONTH('Campaign Data'!$A2635),"00")</f>
        <v>2026-05</v>
      </c>
    </row>
    <row r="2636" spans="1:21" x14ac:dyDescent="0.25">
      <c r="A2636">
        <v>46166</v>
      </c>
      <c r="B2636" t="s">
        <v>167</v>
      </c>
      <c r="C2636" t="s">
        <v>168</v>
      </c>
      <c r="D2636" t="s">
        <v>58</v>
      </c>
      <c r="E2636" t="s">
        <v>33</v>
      </c>
      <c r="F2636" t="s">
        <v>75</v>
      </c>
      <c r="G2636" t="s">
        <v>35</v>
      </c>
      <c r="H2636" t="s">
        <v>90</v>
      </c>
      <c r="I2636" t="s">
        <v>28</v>
      </c>
      <c r="J2636" t="s">
        <v>87</v>
      </c>
      <c r="K2636">
        <v>8282</v>
      </c>
      <c r="L2636">
        <v>84</v>
      </c>
      <c r="M2636">
        <v>11.38</v>
      </c>
      <c r="N2636">
        <v>1</v>
      </c>
      <c r="O2636">
        <v>8.25</v>
      </c>
      <c r="P2636">
        <f t="shared" si="164"/>
        <v>1.0142477662400387E-2</v>
      </c>
      <c r="Q2636">
        <f t="shared" si="164"/>
        <v>0.13547619047619047</v>
      </c>
      <c r="R2636">
        <f t="shared" si="165"/>
        <v>11.38</v>
      </c>
      <c r="S2636">
        <f t="shared" si="166"/>
        <v>0.72495606326889273</v>
      </c>
      <c r="T2636">
        <f t="shared" si="167"/>
        <v>1.1904761904761904E-2</v>
      </c>
      <c r="U2636" t="str">
        <f>YEAR('Campaign Data'!$A2636)&amp;"-"&amp;TEXT(MONTH('Campaign Data'!$A2636),"00")</f>
        <v>2026-05</v>
      </c>
    </row>
    <row r="2637" spans="1:21" x14ac:dyDescent="0.25">
      <c r="A2637">
        <v>46166</v>
      </c>
      <c r="B2637" t="s">
        <v>147</v>
      </c>
      <c r="C2637" t="s">
        <v>148</v>
      </c>
      <c r="D2637" t="s">
        <v>23</v>
      </c>
      <c r="E2637" t="s">
        <v>42</v>
      </c>
      <c r="F2637" t="s">
        <v>75</v>
      </c>
      <c r="G2637" t="s">
        <v>44</v>
      </c>
      <c r="H2637" t="s">
        <v>51</v>
      </c>
      <c r="I2637" t="s">
        <v>37</v>
      </c>
      <c r="J2637" t="s">
        <v>45</v>
      </c>
      <c r="K2637">
        <v>5386</v>
      </c>
      <c r="L2637">
        <v>38</v>
      </c>
      <c r="M2637">
        <v>258.42</v>
      </c>
      <c r="N2637">
        <v>0</v>
      </c>
      <c r="O2637">
        <v>0</v>
      </c>
      <c r="P2637">
        <f t="shared" si="164"/>
        <v>7.0553286297809137E-3</v>
      </c>
      <c r="Q2637">
        <f t="shared" si="164"/>
        <v>6.8005263157894742</v>
      </c>
      <c r="R2637">
        <f t="shared" si="165"/>
        <v>0</v>
      </c>
      <c r="S2637">
        <f t="shared" si="166"/>
        <v>0</v>
      </c>
      <c r="T2637">
        <f t="shared" si="167"/>
        <v>0</v>
      </c>
      <c r="U2637" t="str">
        <f>YEAR('Campaign Data'!$A2637)&amp;"-"&amp;TEXT(MONTH('Campaign Data'!$A2637),"00")</f>
        <v>2026-05</v>
      </c>
    </row>
    <row r="2638" spans="1:21" x14ac:dyDescent="0.25">
      <c r="A2638">
        <v>46166</v>
      </c>
      <c r="B2638" t="s">
        <v>138</v>
      </c>
      <c r="C2638" t="s">
        <v>139</v>
      </c>
      <c r="D2638" t="s">
        <v>58</v>
      </c>
      <c r="E2638" t="s">
        <v>74</v>
      </c>
      <c r="F2638" t="s">
        <v>34</v>
      </c>
      <c r="G2638" t="s">
        <v>9</v>
      </c>
      <c r="H2638" t="s">
        <v>27</v>
      </c>
      <c r="I2638" t="s">
        <v>37</v>
      </c>
      <c r="J2638" t="s">
        <v>38</v>
      </c>
      <c r="K2638">
        <v>3115</v>
      </c>
      <c r="L2638">
        <v>132</v>
      </c>
      <c r="M2638">
        <v>246.33</v>
      </c>
      <c r="N2638">
        <v>8</v>
      </c>
      <c r="O2638">
        <v>502.9</v>
      </c>
      <c r="P2638">
        <f t="shared" si="164"/>
        <v>4.2375601926163721E-2</v>
      </c>
      <c r="Q2638">
        <f t="shared" si="164"/>
        <v>1.8661363636363637</v>
      </c>
      <c r="R2638">
        <f t="shared" si="165"/>
        <v>30.791250000000002</v>
      </c>
      <c r="S2638">
        <f t="shared" si="166"/>
        <v>2.0415702512889213</v>
      </c>
      <c r="T2638">
        <f t="shared" si="167"/>
        <v>6.0606060606060608E-2</v>
      </c>
      <c r="U2638" t="str">
        <f>YEAR('Campaign Data'!$A2638)&amp;"-"&amp;TEXT(MONTH('Campaign Data'!$A2638),"00")</f>
        <v>2026-05</v>
      </c>
    </row>
    <row r="2639" spans="1:21" x14ac:dyDescent="0.25">
      <c r="A2639">
        <v>46166</v>
      </c>
      <c r="B2639" t="s">
        <v>149</v>
      </c>
      <c r="C2639" t="s">
        <v>150</v>
      </c>
      <c r="D2639" t="s">
        <v>65</v>
      </c>
      <c r="E2639" t="s">
        <v>33</v>
      </c>
      <c r="F2639" t="s">
        <v>43</v>
      </c>
      <c r="G2639" t="s">
        <v>59</v>
      </c>
      <c r="H2639" t="s">
        <v>27</v>
      </c>
      <c r="I2639" t="s">
        <v>28</v>
      </c>
      <c r="J2639" t="s">
        <v>45</v>
      </c>
      <c r="K2639">
        <v>5512</v>
      </c>
      <c r="L2639">
        <v>44</v>
      </c>
      <c r="M2639">
        <v>49.48</v>
      </c>
      <c r="N2639">
        <v>1</v>
      </c>
      <c r="O2639">
        <v>35.89</v>
      </c>
      <c r="P2639">
        <f t="shared" si="164"/>
        <v>7.9825834542815669E-3</v>
      </c>
      <c r="Q2639">
        <f t="shared" si="164"/>
        <v>1.1245454545454545</v>
      </c>
      <c r="R2639">
        <f t="shared" si="165"/>
        <v>49.48</v>
      </c>
      <c r="S2639">
        <f t="shared" si="166"/>
        <v>0.72534357316087317</v>
      </c>
      <c r="T2639">
        <f t="shared" si="167"/>
        <v>2.2727272727272728E-2</v>
      </c>
      <c r="U2639" t="str">
        <f>YEAR('Campaign Data'!$A2639)&amp;"-"&amp;TEXT(MONTH('Campaign Data'!$A2639),"00")</f>
        <v>2026-05</v>
      </c>
    </row>
    <row r="2640" spans="1:21" x14ac:dyDescent="0.25">
      <c r="A2640">
        <v>46166</v>
      </c>
      <c r="B2640" t="s">
        <v>186</v>
      </c>
      <c r="C2640" t="s">
        <v>187</v>
      </c>
      <c r="D2640" t="s">
        <v>80</v>
      </c>
      <c r="E2640" t="s">
        <v>33</v>
      </c>
      <c r="F2640" t="s">
        <v>43</v>
      </c>
      <c r="G2640" t="s">
        <v>102</v>
      </c>
      <c r="H2640" t="s">
        <v>51</v>
      </c>
      <c r="I2640" t="s">
        <v>37</v>
      </c>
      <c r="J2640" t="s">
        <v>29</v>
      </c>
      <c r="K2640">
        <v>3779</v>
      </c>
      <c r="L2640">
        <v>32</v>
      </c>
      <c r="M2640">
        <v>23.5</v>
      </c>
      <c r="N2640">
        <v>1</v>
      </c>
      <c r="O2640">
        <v>31.27</v>
      </c>
      <c r="P2640">
        <f t="shared" si="164"/>
        <v>8.4678486372056095E-3</v>
      </c>
      <c r="Q2640">
        <f t="shared" si="164"/>
        <v>0.734375</v>
      </c>
      <c r="R2640">
        <f t="shared" si="165"/>
        <v>23.5</v>
      </c>
      <c r="S2640">
        <f t="shared" si="166"/>
        <v>1.3306382978723403</v>
      </c>
      <c r="T2640">
        <f t="shared" si="167"/>
        <v>3.125E-2</v>
      </c>
      <c r="U2640" t="str">
        <f>YEAR('Campaign Data'!$A2640)&amp;"-"&amp;TEXT(MONTH('Campaign Data'!$A2640),"00")</f>
        <v>2026-05</v>
      </c>
    </row>
    <row r="2641" spans="1:21" x14ac:dyDescent="0.25">
      <c r="A2641">
        <v>46166</v>
      </c>
      <c r="B2641" t="s">
        <v>151</v>
      </c>
      <c r="C2641" t="s">
        <v>152</v>
      </c>
      <c r="D2641" t="s">
        <v>48</v>
      </c>
      <c r="E2641" t="s">
        <v>24</v>
      </c>
      <c r="F2641" t="s">
        <v>81</v>
      </c>
      <c r="G2641" t="s">
        <v>129</v>
      </c>
      <c r="H2641" t="s">
        <v>36</v>
      </c>
      <c r="I2641" t="s">
        <v>28</v>
      </c>
      <c r="J2641" t="s">
        <v>62</v>
      </c>
      <c r="K2641">
        <v>37301</v>
      </c>
      <c r="L2641">
        <v>821</v>
      </c>
      <c r="M2641">
        <v>872.98</v>
      </c>
      <c r="N2641">
        <v>44</v>
      </c>
      <c r="O2641">
        <v>364.47</v>
      </c>
      <c r="P2641">
        <f t="shared" si="164"/>
        <v>2.2010133776574355E-2</v>
      </c>
      <c r="Q2641">
        <f t="shared" si="164"/>
        <v>1.0633130328867235</v>
      </c>
      <c r="R2641">
        <f t="shared" si="165"/>
        <v>19.840454545454545</v>
      </c>
      <c r="S2641">
        <f t="shared" si="166"/>
        <v>0.4175009736763729</v>
      </c>
      <c r="T2641">
        <f t="shared" si="167"/>
        <v>5.3593179049939099E-2</v>
      </c>
      <c r="U2641" t="str">
        <f>YEAR('Campaign Data'!$A2641)&amp;"-"&amp;TEXT(MONTH('Campaign Data'!$A2641),"00")</f>
        <v>2026-05</v>
      </c>
    </row>
    <row r="2642" spans="1:21" x14ac:dyDescent="0.25">
      <c r="A2642">
        <v>46166</v>
      </c>
      <c r="B2642" t="s">
        <v>151</v>
      </c>
      <c r="C2642" t="s">
        <v>152</v>
      </c>
      <c r="D2642" t="s">
        <v>48</v>
      </c>
      <c r="E2642" t="s">
        <v>24</v>
      </c>
      <c r="F2642" t="s">
        <v>81</v>
      </c>
      <c r="G2642" t="s">
        <v>129</v>
      </c>
      <c r="H2642" t="s">
        <v>51</v>
      </c>
      <c r="I2642" t="s">
        <v>28</v>
      </c>
      <c r="J2642" t="s">
        <v>38</v>
      </c>
      <c r="K2642">
        <v>14646</v>
      </c>
      <c r="L2642">
        <v>166</v>
      </c>
      <c r="M2642">
        <v>177.18</v>
      </c>
      <c r="N2642">
        <v>3</v>
      </c>
      <c r="O2642">
        <v>50</v>
      </c>
      <c r="P2642">
        <f t="shared" si="164"/>
        <v>1.13341526696709E-2</v>
      </c>
      <c r="Q2642">
        <f t="shared" si="164"/>
        <v>1.0673493975903614</v>
      </c>
      <c r="R2642">
        <f t="shared" si="165"/>
        <v>59.06</v>
      </c>
      <c r="S2642">
        <f t="shared" si="166"/>
        <v>0.28219889378033636</v>
      </c>
      <c r="T2642">
        <f t="shared" si="167"/>
        <v>1.8072289156626505E-2</v>
      </c>
      <c r="U2642" t="str">
        <f>YEAR('Campaign Data'!$A2642)&amp;"-"&amp;TEXT(MONTH('Campaign Data'!$A2642),"00")</f>
        <v>2026-05</v>
      </c>
    </row>
    <row r="2643" spans="1:21" x14ac:dyDescent="0.25">
      <c r="A2643">
        <v>46166</v>
      </c>
      <c r="B2643" t="s">
        <v>39</v>
      </c>
      <c r="C2643" t="s">
        <v>40</v>
      </c>
      <c r="D2643" t="s">
        <v>41</v>
      </c>
      <c r="E2643" t="s">
        <v>42</v>
      </c>
      <c r="F2643" t="s">
        <v>43</v>
      </c>
      <c r="G2643" t="s">
        <v>44</v>
      </c>
      <c r="H2643" t="s">
        <v>71</v>
      </c>
      <c r="I2643" t="s">
        <v>37</v>
      </c>
      <c r="J2643" t="s">
        <v>29</v>
      </c>
      <c r="K2643">
        <v>11457</v>
      </c>
      <c r="L2643">
        <v>56</v>
      </c>
      <c r="M2643">
        <v>231.42</v>
      </c>
      <c r="N2643">
        <v>3</v>
      </c>
      <c r="O2643">
        <v>101.98</v>
      </c>
      <c r="P2643">
        <f t="shared" si="164"/>
        <v>4.8878414942829709E-3</v>
      </c>
      <c r="Q2643">
        <f t="shared" si="164"/>
        <v>4.1324999999999994</v>
      </c>
      <c r="R2643">
        <f t="shared" si="165"/>
        <v>77.14</v>
      </c>
      <c r="S2643">
        <f t="shared" si="166"/>
        <v>0.44067064212254781</v>
      </c>
      <c r="T2643">
        <f t="shared" si="167"/>
        <v>5.3571428571428568E-2</v>
      </c>
      <c r="U2643" t="str">
        <f>YEAR('Campaign Data'!$A2643)&amp;"-"&amp;TEXT(MONTH('Campaign Data'!$A2643),"00")</f>
        <v>2026-05</v>
      </c>
    </row>
    <row r="2644" spans="1:21" x14ac:dyDescent="0.25">
      <c r="A2644">
        <v>46166</v>
      </c>
      <c r="B2644" t="s">
        <v>39</v>
      </c>
      <c r="C2644" t="s">
        <v>40</v>
      </c>
      <c r="D2644" t="s">
        <v>41</v>
      </c>
      <c r="E2644" t="s">
        <v>42</v>
      </c>
      <c r="F2644" t="s">
        <v>43</v>
      </c>
      <c r="G2644" t="s">
        <v>44</v>
      </c>
      <c r="H2644" t="s">
        <v>60</v>
      </c>
      <c r="I2644" t="s">
        <v>28</v>
      </c>
      <c r="J2644" t="s">
        <v>45</v>
      </c>
      <c r="K2644">
        <v>8376</v>
      </c>
      <c r="L2644">
        <v>50</v>
      </c>
      <c r="M2644">
        <v>251.8</v>
      </c>
      <c r="N2644">
        <v>1</v>
      </c>
      <c r="O2644">
        <v>22.43</v>
      </c>
      <c r="P2644">
        <f t="shared" si="164"/>
        <v>5.9694364851957974E-3</v>
      </c>
      <c r="Q2644">
        <f t="shared" si="164"/>
        <v>5.0360000000000005</v>
      </c>
      <c r="R2644">
        <f t="shared" si="165"/>
        <v>251.8</v>
      </c>
      <c r="S2644">
        <f t="shared" si="166"/>
        <v>8.9078633836378068E-2</v>
      </c>
      <c r="T2644">
        <f t="shared" si="167"/>
        <v>0.02</v>
      </c>
      <c r="U2644" t="str">
        <f>YEAR('Campaign Data'!$A2644)&amp;"-"&amp;TEXT(MONTH('Campaign Data'!$A2644),"00")</f>
        <v>2026-05</v>
      </c>
    </row>
    <row r="2645" spans="1:21" x14ac:dyDescent="0.25">
      <c r="A2645">
        <v>46166</v>
      </c>
      <c r="B2645" t="s">
        <v>103</v>
      </c>
      <c r="C2645" t="s">
        <v>104</v>
      </c>
      <c r="D2645" t="s">
        <v>65</v>
      </c>
      <c r="E2645" t="s">
        <v>33</v>
      </c>
      <c r="F2645" t="s">
        <v>43</v>
      </c>
      <c r="G2645" t="s">
        <v>102</v>
      </c>
      <c r="H2645" t="s">
        <v>51</v>
      </c>
      <c r="I2645" t="s">
        <v>37</v>
      </c>
      <c r="J2645" t="s">
        <v>45</v>
      </c>
      <c r="K2645">
        <v>4402</v>
      </c>
      <c r="L2645">
        <v>55</v>
      </c>
      <c r="M2645">
        <v>41.31</v>
      </c>
      <c r="N2645">
        <v>2</v>
      </c>
      <c r="O2645">
        <v>38.97</v>
      </c>
      <c r="P2645">
        <f t="shared" si="164"/>
        <v>1.2494320763289414E-2</v>
      </c>
      <c r="Q2645">
        <f t="shared" si="164"/>
        <v>0.75109090909090914</v>
      </c>
      <c r="R2645">
        <f t="shared" si="165"/>
        <v>20.655000000000001</v>
      </c>
      <c r="S2645">
        <f t="shared" si="166"/>
        <v>0.94335511982570797</v>
      </c>
      <c r="T2645">
        <f t="shared" si="167"/>
        <v>3.6363636363636362E-2</v>
      </c>
      <c r="U2645" t="str">
        <f>YEAR('Campaign Data'!$A2645)&amp;"-"&amp;TEXT(MONTH('Campaign Data'!$A2645),"00")</f>
        <v>2026-05</v>
      </c>
    </row>
    <row r="2646" spans="1:21" x14ac:dyDescent="0.25">
      <c r="A2646">
        <v>46166</v>
      </c>
      <c r="B2646" t="s">
        <v>155</v>
      </c>
      <c r="C2646" t="s">
        <v>156</v>
      </c>
      <c r="D2646" t="s">
        <v>32</v>
      </c>
      <c r="E2646" t="s">
        <v>24</v>
      </c>
      <c r="F2646" t="s">
        <v>34</v>
      </c>
      <c r="G2646" t="s">
        <v>129</v>
      </c>
      <c r="H2646" t="s">
        <v>27</v>
      </c>
      <c r="I2646" t="s">
        <v>28</v>
      </c>
      <c r="J2646" t="s">
        <v>45</v>
      </c>
      <c r="K2646">
        <v>4937</v>
      </c>
      <c r="L2646">
        <v>61</v>
      </c>
      <c r="M2646">
        <v>90.2</v>
      </c>
      <c r="N2646">
        <v>2</v>
      </c>
      <c r="O2646">
        <v>581.91</v>
      </c>
      <c r="P2646">
        <f t="shared" si="164"/>
        <v>1.2355681588008913E-2</v>
      </c>
      <c r="Q2646">
        <f t="shared" si="164"/>
        <v>1.478688524590164</v>
      </c>
      <c r="R2646">
        <f t="shared" si="165"/>
        <v>45.1</v>
      </c>
      <c r="S2646">
        <f t="shared" si="166"/>
        <v>6.4513303769401329</v>
      </c>
      <c r="T2646">
        <f t="shared" si="167"/>
        <v>3.2786885245901641E-2</v>
      </c>
      <c r="U2646" t="str">
        <f>YEAR('Campaign Data'!$A2646)&amp;"-"&amp;TEXT(MONTH('Campaign Data'!$A2646),"00")</f>
        <v>2026-05</v>
      </c>
    </row>
    <row r="2647" spans="1:21" x14ac:dyDescent="0.25">
      <c r="A2647">
        <v>46166</v>
      </c>
      <c r="B2647" t="s">
        <v>114</v>
      </c>
      <c r="C2647" t="s">
        <v>115</v>
      </c>
      <c r="D2647" t="s">
        <v>69</v>
      </c>
      <c r="E2647" t="s">
        <v>49</v>
      </c>
      <c r="F2647" t="s">
        <v>25</v>
      </c>
      <c r="G2647" t="s">
        <v>107</v>
      </c>
      <c r="H2647" t="s">
        <v>90</v>
      </c>
      <c r="I2647" t="s">
        <v>37</v>
      </c>
      <c r="J2647" t="s">
        <v>62</v>
      </c>
      <c r="K2647">
        <v>8224</v>
      </c>
      <c r="L2647">
        <v>547</v>
      </c>
      <c r="M2647">
        <v>273.89</v>
      </c>
      <c r="N2647">
        <v>27</v>
      </c>
      <c r="O2647">
        <v>1114.0899999999999</v>
      </c>
      <c r="P2647">
        <f t="shared" si="164"/>
        <v>6.6512645914396887E-2</v>
      </c>
      <c r="Q2647">
        <f t="shared" si="164"/>
        <v>0.50071297989031072</v>
      </c>
      <c r="R2647">
        <f t="shared" si="165"/>
        <v>10.144074074074073</v>
      </c>
      <c r="S2647">
        <f t="shared" si="166"/>
        <v>4.0676548979517326</v>
      </c>
      <c r="T2647">
        <f t="shared" si="167"/>
        <v>4.9360146252285193E-2</v>
      </c>
      <c r="U2647" t="str">
        <f>YEAR('Campaign Data'!$A2647)&amp;"-"&amp;TEXT(MONTH('Campaign Data'!$A2647),"00")</f>
        <v>2026-05</v>
      </c>
    </row>
    <row r="2648" spans="1:21" x14ac:dyDescent="0.25">
      <c r="A2648">
        <v>46166</v>
      </c>
      <c r="B2648" t="s">
        <v>141</v>
      </c>
      <c r="C2648" t="s">
        <v>142</v>
      </c>
      <c r="D2648" t="s">
        <v>80</v>
      </c>
      <c r="E2648" t="s">
        <v>49</v>
      </c>
      <c r="F2648" t="s">
        <v>81</v>
      </c>
      <c r="G2648" t="s">
        <v>97</v>
      </c>
      <c r="H2648" t="s">
        <v>27</v>
      </c>
      <c r="I2648" t="s">
        <v>28</v>
      </c>
      <c r="J2648" t="s">
        <v>38</v>
      </c>
      <c r="K2648">
        <v>11743</v>
      </c>
      <c r="L2648">
        <v>542</v>
      </c>
      <c r="M2648">
        <v>935.34</v>
      </c>
      <c r="N2648">
        <v>31</v>
      </c>
      <c r="O2648">
        <v>675.79</v>
      </c>
      <c r="P2648">
        <f t="shared" si="164"/>
        <v>4.6155156263305797E-2</v>
      </c>
      <c r="Q2648">
        <f t="shared" si="164"/>
        <v>1.7257195571955719</v>
      </c>
      <c r="R2648">
        <f t="shared" si="165"/>
        <v>30.172258064516129</v>
      </c>
      <c r="S2648">
        <f t="shared" si="166"/>
        <v>0.72250732354010305</v>
      </c>
      <c r="T2648">
        <f t="shared" si="167"/>
        <v>5.719557195571956E-2</v>
      </c>
      <c r="U2648" t="str">
        <f>YEAR('Campaign Data'!$A2648)&amp;"-"&amp;TEXT(MONTH('Campaign Data'!$A2648),"00")</f>
        <v>2026-05</v>
      </c>
    </row>
    <row r="2649" spans="1:21" x14ac:dyDescent="0.25">
      <c r="A2649">
        <v>46166</v>
      </c>
      <c r="B2649" t="s">
        <v>141</v>
      </c>
      <c r="C2649" t="s">
        <v>142</v>
      </c>
      <c r="D2649" t="s">
        <v>80</v>
      </c>
      <c r="E2649" t="s">
        <v>49</v>
      </c>
      <c r="F2649" t="s">
        <v>81</v>
      </c>
      <c r="G2649" t="s">
        <v>97</v>
      </c>
      <c r="H2649" t="s">
        <v>27</v>
      </c>
      <c r="I2649" t="s">
        <v>37</v>
      </c>
      <c r="J2649" t="s">
        <v>62</v>
      </c>
      <c r="K2649">
        <v>8199</v>
      </c>
      <c r="L2649">
        <v>383</v>
      </c>
      <c r="M2649">
        <v>619.58000000000004</v>
      </c>
      <c r="N2649">
        <v>27</v>
      </c>
      <c r="O2649">
        <v>505.98</v>
      </c>
      <c r="P2649">
        <f t="shared" si="164"/>
        <v>4.6713013782168557E-2</v>
      </c>
      <c r="Q2649">
        <f t="shared" si="164"/>
        <v>1.6177023498694518</v>
      </c>
      <c r="R2649">
        <f t="shared" si="165"/>
        <v>22.947407407407407</v>
      </c>
      <c r="S2649">
        <f t="shared" si="166"/>
        <v>0.81664998870202388</v>
      </c>
      <c r="T2649">
        <f t="shared" si="167"/>
        <v>7.0496083550913843E-2</v>
      </c>
      <c r="U2649" t="str">
        <f>YEAR('Campaign Data'!$A2649)&amp;"-"&amp;TEXT(MONTH('Campaign Data'!$A2649),"00")</f>
        <v>2026-05</v>
      </c>
    </row>
    <row r="2650" spans="1:21" x14ac:dyDescent="0.25">
      <c r="A2650">
        <v>46166</v>
      </c>
      <c r="B2650" t="s">
        <v>183</v>
      </c>
      <c r="C2650" t="s">
        <v>184</v>
      </c>
      <c r="D2650" t="s">
        <v>23</v>
      </c>
      <c r="E2650" t="s">
        <v>24</v>
      </c>
      <c r="F2650" t="s">
        <v>81</v>
      </c>
      <c r="G2650" t="s">
        <v>185</v>
      </c>
      <c r="H2650" t="s">
        <v>90</v>
      </c>
      <c r="I2650" t="s">
        <v>28</v>
      </c>
      <c r="J2650" t="s">
        <v>62</v>
      </c>
      <c r="K2650">
        <v>19995</v>
      </c>
      <c r="L2650">
        <v>422</v>
      </c>
      <c r="M2650">
        <v>116.9</v>
      </c>
      <c r="N2650">
        <v>25</v>
      </c>
      <c r="O2650">
        <v>218.85</v>
      </c>
      <c r="P2650">
        <f t="shared" si="164"/>
        <v>2.1105276319079769E-2</v>
      </c>
      <c r="Q2650">
        <f t="shared" si="164"/>
        <v>0.27701421800947867</v>
      </c>
      <c r="R2650">
        <f t="shared" si="165"/>
        <v>4.6760000000000002</v>
      </c>
      <c r="S2650">
        <f t="shared" si="166"/>
        <v>1.8721129170230966</v>
      </c>
      <c r="T2650">
        <f t="shared" si="167"/>
        <v>5.9241706161137442E-2</v>
      </c>
      <c r="U2650" t="str">
        <f>YEAR('Campaign Data'!$A2650)&amp;"-"&amp;TEXT(MONTH('Campaign Data'!$A2650),"00")</f>
        <v>2026-05</v>
      </c>
    </row>
    <row r="2651" spans="1:21" x14ac:dyDescent="0.25">
      <c r="A2651">
        <v>46166</v>
      </c>
      <c r="B2651" t="s">
        <v>163</v>
      </c>
      <c r="C2651" t="s">
        <v>164</v>
      </c>
      <c r="D2651" t="s">
        <v>58</v>
      </c>
      <c r="E2651" t="s">
        <v>42</v>
      </c>
      <c r="F2651" t="s">
        <v>43</v>
      </c>
      <c r="G2651" t="s">
        <v>44</v>
      </c>
      <c r="H2651" t="s">
        <v>55</v>
      </c>
      <c r="I2651" t="s">
        <v>28</v>
      </c>
      <c r="J2651" t="s">
        <v>45</v>
      </c>
      <c r="K2651">
        <v>6638</v>
      </c>
      <c r="L2651">
        <v>38</v>
      </c>
      <c r="M2651">
        <v>186.38</v>
      </c>
      <c r="N2651">
        <v>0</v>
      </c>
      <c r="O2651">
        <v>0</v>
      </c>
      <c r="P2651">
        <f t="shared" si="164"/>
        <v>5.7246158481470324E-3</v>
      </c>
      <c r="Q2651">
        <f t="shared" si="164"/>
        <v>4.9047368421052626</v>
      </c>
      <c r="R2651">
        <f t="shared" si="165"/>
        <v>0</v>
      </c>
      <c r="S2651">
        <f t="shared" si="166"/>
        <v>0</v>
      </c>
      <c r="T2651">
        <f t="shared" si="167"/>
        <v>0</v>
      </c>
      <c r="U2651" t="str">
        <f>YEAR('Campaign Data'!$A2651)&amp;"-"&amp;TEXT(MONTH('Campaign Data'!$A2651),"00")</f>
        <v>2026-05</v>
      </c>
    </row>
    <row r="2652" spans="1:21" x14ac:dyDescent="0.25">
      <c r="A2652">
        <v>46166</v>
      </c>
      <c r="B2652" t="s">
        <v>76</v>
      </c>
      <c r="C2652" t="s">
        <v>77</v>
      </c>
      <c r="D2652" t="s">
        <v>65</v>
      </c>
      <c r="E2652" t="s">
        <v>42</v>
      </c>
      <c r="F2652" t="s">
        <v>43</v>
      </c>
      <c r="G2652" t="s">
        <v>44</v>
      </c>
      <c r="H2652" t="s">
        <v>90</v>
      </c>
      <c r="I2652" t="s">
        <v>28</v>
      </c>
      <c r="J2652" t="s">
        <v>62</v>
      </c>
      <c r="K2652">
        <v>7439</v>
      </c>
      <c r="L2652">
        <v>67</v>
      </c>
      <c r="M2652">
        <v>98.19</v>
      </c>
      <c r="N2652">
        <v>2</v>
      </c>
      <c r="O2652">
        <v>19.059999999999999</v>
      </c>
      <c r="P2652">
        <f t="shared" si="164"/>
        <v>9.006586906842317E-3</v>
      </c>
      <c r="Q2652">
        <f t="shared" si="164"/>
        <v>1.4655223880597015</v>
      </c>
      <c r="R2652">
        <f t="shared" si="165"/>
        <v>49.094999999999999</v>
      </c>
      <c r="S2652">
        <f t="shared" si="166"/>
        <v>0.19411345350850392</v>
      </c>
      <c r="T2652">
        <f t="shared" si="167"/>
        <v>2.9850746268656716E-2</v>
      </c>
      <c r="U2652" t="str">
        <f>YEAR('Campaign Data'!$A2652)&amp;"-"&amp;TEXT(MONTH('Campaign Data'!$A2652),"00")</f>
        <v>2026-05</v>
      </c>
    </row>
    <row r="2653" spans="1:21" x14ac:dyDescent="0.25">
      <c r="A2653">
        <v>46166</v>
      </c>
      <c r="B2653" t="s">
        <v>120</v>
      </c>
      <c r="C2653" t="s">
        <v>121</v>
      </c>
      <c r="D2653" t="s">
        <v>23</v>
      </c>
      <c r="E2653" t="s">
        <v>49</v>
      </c>
      <c r="F2653" t="s">
        <v>75</v>
      </c>
      <c r="G2653" t="s">
        <v>70</v>
      </c>
      <c r="H2653" t="s">
        <v>27</v>
      </c>
      <c r="I2653" t="s">
        <v>37</v>
      </c>
      <c r="J2653" t="s">
        <v>87</v>
      </c>
      <c r="K2653">
        <v>3857</v>
      </c>
      <c r="L2653">
        <v>122</v>
      </c>
      <c r="M2653">
        <v>295.79000000000002</v>
      </c>
      <c r="N2653">
        <v>7</v>
      </c>
      <c r="O2653">
        <v>309.02</v>
      </c>
      <c r="P2653">
        <f t="shared" si="164"/>
        <v>3.1630801140782989E-2</v>
      </c>
      <c r="Q2653">
        <f t="shared" si="164"/>
        <v>2.4245081967213116</v>
      </c>
      <c r="R2653">
        <f t="shared" si="165"/>
        <v>42.255714285714291</v>
      </c>
      <c r="S2653">
        <f t="shared" si="166"/>
        <v>1.0447276784205008</v>
      </c>
      <c r="T2653">
        <f t="shared" si="167"/>
        <v>5.737704918032787E-2</v>
      </c>
      <c r="U2653" t="str">
        <f>YEAR('Campaign Data'!$A2653)&amp;"-"&amp;TEXT(MONTH('Campaign Data'!$A2653),"00")</f>
        <v>2026-05</v>
      </c>
    </row>
    <row r="2654" spans="1:21" x14ac:dyDescent="0.25">
      <c r="A2654">
        <v>46167</v>
      </c>
      <c r="B2654" t="s">
        <v>165</v>
      </c>
      <c r="C2654" t="s">
        <v>166</v>
      </c>
      <c r="D2654" t="s">
        <v>41</v>
      </c>
      <c r="E2654" t="s">
        <v>33</v>
      </c>
      <c r="F2654" t="s">
        <v>43</v>
      </c>
      <c r="G2654" t="s">
        <v>59</v>
      </c>
      <c r="H2654" t="s">
        <v>90</v>
      </c>
      <c r="I2654" t="s">
        <v>37</v>
      </c>
      <c r="J2654" t="s">
        <v>29</v>
      </c>
      <c r="K2654">
        <v>6842</v>
      </c>
      <c r="L2654">
        <v>75</v>
      </c>
      <c r="M2654">
        <v>11.42</v>
      </c>
      <c r="N2654">
        <v>1</v>
      </c>
      <c r="O2654">
        <v>7.77</v>
      </c>
      <c r="P2654">
        <f t="shared" si="164"/>
        <v>1.0961707103186204E-2</v>
      </c>
      <c r="Q2654">
        <f t="shared" si="164"/>
        <v>0.15226666666666666</v>
      </c>
      <c r="R2654">
        <f t="shared" si="165"/>
        <v>11.42</v>
      </c>
      <c r="S2654">
        <f t="shared" si="166"/>
        <v>0.68038528896672501</v>
      </c>
      <c r="T2654">
        <f t="shared" si="167"/>
        <v>1.3333333333333334E-2</v>
      </c>
      <c r="U2654" t="str">
        <f>YEAR('Campaign Data'!$A2654)&amp;"-"&amp;TEXT(MONTH('Campaign Data'!$A2654),"00")</f>
        <v>2026-05</v>
      </c>
    </row>
    <row r="2655" spans="1:21" x14ac:dyDescent="0.25">
      <c r="A2655">
        <v>46167</v>
      </c>
      <c r="B2655" t="s">
        <v>165</v>
      </c>
      <c r="C2655" t="s">
        <v>166</v>
      </c>
      <c r="D2655" t="s">
        <v>41</v>
      </c>
      <c r="E2655" t="s">
        <v>33</v>
      </c>
      <c r="F2655" t="s">
        <v>43</v>
      </c>
      <c r="G2655" t="s">
        <v>59</v>
      </c>
      <c r="H2655" t="s">
        <v>51</v>
      </c>
      <c r="I2655" t="s">
        <v>37</v>
      </c>
      <c r="J2655" t="s">
        <v>62</v>
      </c>
      <c r="K2655">
        <v>13692</v>
      </c>
      <c r="L2655">
        <v>179</v>
      </c>
      <c r="M2655">
        <v>118.05</v>
      </c>
      <c r="N2655">
        <v>0</v>
      </c>
      <c r="O2655">
        <v>0</v>
      </c>
      <c r="P2655">
        <f t="shared" si="164"/>
        <v>1.3073327490505405E-2</v>
      </c>
      <c r="Q2655">
        <f t="shared" si="164"/>
        <v>0.65949720670391054</v>
      </c>
      <c r="R2655">
        <f t="shared" si="165"/>
        <v>0</v>
      </c>
      <c r="S2655">
        <f t="shared" si="166"/>
        <v>0</v>
      </c>
      <c r="T2655">
        <f t="shared" si="167"/>
        <v>0</v>
      </c>
      <c r="U2655" t="str">
        <f>YEAR('Campaign Data'!$A2655)&amp;"-"&amp;TEXT(MONTH('Campaign Data'!$A2655),"00")</f>
        <v>2026-05</v>
      </c>
    </row>
    <row r="2656" spans="1:21" x14ac:dyDescent="0.25">
      <c r="A2656">
        <v>46167</v>
      </c>
      <c r="B2656" t="s">
        <v>85</v>
      </c>
      <c r="C2656" t="s">
        <v>86</v>
      </c>
      <c r="D2656" t="s">
        <v>80</v>
      </c>
      <c r="E2656" t="s">
        <v>33</v>
      </c>
      <c r="F2656" t="s">
        <v>43</v>
      </c>
      <c r="G2656" t="s">
        <v>35</v>
      </c>
      <c r="H2656" t="s">
        <v>36</v>
      </c>
      <c r="I2656" t="s">
        <v>37</v>
      </c>
      <c r="J2656" t="s">
        <v>45</v>
      </c>
      <c r="K2656">
        <v>5137</v>
      </c>
      <c r="L2656">
        <v>22</v>
      </c>
      <c r="M2656">
        <v>13.91</v>
      </c>
      <c r="N2656">
        <v>0</v>
      </c>
      <c r="O2656">
        <v>0</v>
      </c>
      <c r="P2656">
        <f t="shared" si="164"/>
        <v>4.2826552462526769E-3</v>
      </c>
      <c r="Q2656">
        <f t="shared" si="164"/>
        <v>0.63227272727272732</v>
      </c>
      <c r="R2656">
        <f t="shared" si="165"/>
        <v>0</v>
      </c>
      <c r="S2656">
        <f t="shared" si="166"/>
        <v>0</v>
      </c>
      <c r="T2656">
        <f t="shared" si="167"/>
        <v>0</v>
      </c>
      <c r="U2656" t="str">
        <f>YEAR('Campaign Data'!$A2656)&amp;"-"&amp;TEXT(MONTH('Campaign Data'!$A2656),"00")</f>
        <v>2026-05</v>
      </c>
    </row>
    <row r="2657" spans="1:21" x14ac:dyDescent="0.25">
      <c r="A2657">
        <v>46167</v>
      </c>
      <c r="B2657" t="s">
        <v>88</v>
      </c>
      <c r="C2657" t="s">
        <v>89</v>
      </c>
      <c r="D2657" t="s">
        <v>23</v>
      </c>
      <c r="E2657" t="s">
        <v>49</v>
      </c>
      <c r="F2657" t="s">
        <v>81</v>
      </c>
      <c r="G2657" t="s">
        <v>50</v>
      </c>
      <c r="H2657" t="s">
        <v>90</v>
      </c>
      <c r="I2657" t="s">
        <v>37</v>
      </c>
      <c r="J2657" t="s">
        <v>62</v>
      </c>
      <c r="K2657">
        <v>3005</v>
      </c>
      <c r="L2657">
        <v>124</v>
      </c>
      <c r="M2657">
        <v>58.96</v>
      </c>
      <c r="N2657">
        <v>5</v>
      </c>
      <c r="O2657">
        <v>35.369999999999997</v>
      </c>
      <c r="P2657">
        <f t="shared" si="164"/>
        <v>4.1264559068219631E-2</v>
      </c>
      <c r="Q2657">
        <f t="shared" si="164"/>
        <v>0.47548387096774192</v>
      </c>
      <c r="R2657">
        <f t="shared" si="165"/>
        <v>11.792</v>
      </c>
      <c r="S2657">
        <f t="shared" si="166"/>
        <v>0.59989823609226589</v>
      </c>
      <c r="T2657">
        <f t="shared" si="167"/>
        <v>4.0322580645161289E-2</v>
      </c>
      <c r="U2657" t="str">
        <f>YEAR('Campaign Data'!$A2657)&amp;"-"&amp;TEXT(MONTH('Campaign Data'!$A2657),"00")</f>
        <v>2026-05</v>
      </c>
    </row>
    <row r="2658" spans="1:21" x14ac:dyDescent="0.25">
      <c r="A2658">
        <v>46167</v>
      </c>
      <c r="B2658" t="s">
        <v>151</v>
      </c>
      <c r="C2658" t="s">
        <v>152</v>
      </c>
      <c r="D2658" t="s">
        <v>48</v>
      </c>
      <c r="E2658" t="s">
        <v>24</v>
      </c>
      <c r="F2658" t="s">
        <v>81</v>
      </c>
      <c r="G2658" t="s">
        <v>129</v>
      </c>
      <c r="H2658" t="s">
        <v>71</v>
      </c>
      <c r="I2658" t="s">
        <v>37</v>
      </c>
      <c r="J2658" t="s">
        <v>62</v>
      </c>
      <c r="K2658">
        <v>8251</v>
      </c>
      <c r="L2658">
        <v>149</v>
      </c>
      <c r="M2658">
        <v>138.91</v>
      </c>
      <c r="N2658">
        <v>7</v>
      </c>
      <c r="O2658">
        <v>182.57</v>
      </c>
      <c r="P2658">
        <f t="shared" si="164"/>
        <v>1.8058417161556175E-2</v>
      </c>
      <c r="Q2658">
        <f t="shared" si="164"/>
        <v>0.9322818791946309</v>
      </c>
      <c r="R2658">
        <f t="shared" si="165"/>
        <v>19.844285714285714</v>
      </c>
      <c r="S2658">
        <f t="shared" si="166"/>
        <v>1.3143042257576849</v>
      </c>
      <c r="T2658">
        <f t="shared" si="167"/>
        <v>4.6979865771812082E-2</v>
      </c>
      <c r="U2658" t="str">
        <f>YEAR('Campaign Data'!$A2658)&amp;"-"&amp;TEXT(MONTH('Campaign Data'!$A2658),"00")</f>
        <v>2026-05</v>
      </c>
    </row>
    <row r="2659" spans="1:21" x14ac:dyDescent="0.25">
      <c r="A2659">
        <v>46167</v>
      </c>
      <c r="B2659" t="s">
        <v>46</v>
      </c>
      <c r="C2659" t="s">
        <v>47</v>
      </c>
      <c r="D2659" t="s">
        <v>48</v>
      </c>
      <c r="E2659" t="s">
        <v>49</v>
      </c>
      <c r="F2659" t="s">
        <v>43</v>
      </c>
      <c r="G2659" t="s">
        <v>50</v>
      </c>
      <c r="H2659" t="s">
        <v>36</v>
      </c>
      <c r="I2659" t="s">
        <v>37</v>
      </c>
      <c r="J2659" t="s">
        <v>87</v>
      </c>
      <c r="K2659">
        <v>4502</v>
      </c>
      <c r="L2659">
        <v>215</v>
      </c>
      <c r="M2659">
        <v>413.45</v>
      </c>
      <c r="N2659">
        <v>6</v>
      </c>
      <c r="O2659">
        <v>125.12</v>
      </c>
      <c r="P2659">
        <f t="shared" si="164"/>
        <v>4.775655264326966E-2</v>
      </c>
      <c r="Q2659">
        <f t="shared" si="164"/>
        <v>1.9230232558139535</v>
      </c>
      <c r="R2659">
        <f t="shared" si="165"/>
        <v>68.908333333333331</v>
      </c>
      <c r="S2659">
        <f t="shared" si="166"/>
        <v>0.30262425928165437</v>
      </c>
      <c r="T2659">
        <f t="shared" si="167"/>
        <v>2.7906976744186046E-2</v>
      </c>
      <c r="U2659" t="str">
        <f>YEAR('Campaign Data'!$A2659)&amp;"-"&amp;TEXT(MONTH('Campaign Data'!$A2659),"00")</f>
        <v>2026-05</v>
      </c>
    </row>
    <row r="2660" spans="1:21" x14ac:dyDescent="0.25">
      <c r="A2660">
        <v>46167</v>
      </c>
      <c r="B2660" t="s">
        <v>98</v>
      </c>
      <c r="C2660" t="s">
        <v>99</v>
      </c>
      <c r="D2660" t="s">
        <v>69</v>
      </c>
      <c r="E2660" t="s">
        <v>24</v>
      </c>
      <c r="F2660" t="s">
        <v>75</v>
      </c>
      <c r="G2660" t="s">
        <v>66</v>
      </c>
      <c r="H2660" t="s">
        <v>36</v>
      </c>
      <c r="I2660" t="s">
        <v>28</v>
      </c>
      <c r="J2660" t="s">
        <v>87</v>
      </c>
      <c r="K2660">
        <v>7530</v>
      </c>
      <c r="L2660">
        <v>83</v>
      </c>
      <c r="M2660">
        <v>58.47</v>
      </c>
      <c r="N2660">
        <v>1</v>
      </c>
      <c r="O2660">
        <v>21.4</v>
      </c>
      <c r="P2660">
        <f t="shared" si="164"/>
        <v>1.1022576361221779E-2</v>
      </c>
      <c r="Q2660">
        <f t="shared" si="164"/>
        <v>0.70445783132530115</v>
      </c>
      <c r="R2660">
        <f t="shared" si="165"/>
        <v>58.47</v>
      </c>
      <c r="S2660">
        <f t="shared" si="166"/>
        <v>0.36599965794424488</v>
      </c>
      <c r="T2660">
        <f t="shared" si="167"/>
        <v>1.2048192771084338E-2</v>
      </c>
      <c r="U2660" t="str">
        <f>YEAR('Campaign Data'!$A2660)&amp;"-"&amp;TEXT(MONTH('Campaign Data'!$A2660),"00")</f>
        <v>2026-05</v>
      </c>
    </row>
    <row r="2661" spans="1:21" x14ac:dyDescent="0.25">
      <c r="A2661">
        <v>46167</v>
      </c>
      <c r="B2661" t="s">
        <v>98</v>
      </c>
      <c r="C2661" t="s">
        <v>99</v>
      </c>
      <c r="D2661" t="s">
        <v>69</v>
      </c>
      <c r="E2661" t="s">
        <v>24</v>
      </c>
      <c r="F2661" t="s">
        <v>75</v>
      </c>
      <c r="G2661" t="s">
        <v>66</v>
      </c>
      <c r="H2661" t="s">
        <v>36</v>
      </c>
      <c r="I2661" t="s">
        <v>37</v>
      </c>
      <c r="J2661" t="s">
        <v>29</v>
      </c>
      <c r="K2661">
        <v>13860</v>
      </c>
      <c r="L2661">
        <v>120</v>
      </c>
      <c r="M2661">
        <v>124.97</v>
      </c>
      <c r="N2661">
        <v>3</v>
      </c>
      <c r="O2661">
        <v>119.91</v>
      </c>
      <c r="P2661">
        <f t="shared" si="164"/>
        <v>8.658008658008658E-3</v>
      </c>
      <c r="Q2661">
        <f t="shared" si="164"/>
        <v>1.0414166666666667</v>
      </c>
      <c r="R2661">
        <f t="shared" si="165"/>
        <v>41.656666666666666</v>
      </c>
      <c r="S2661">
        <f t="shared" si="166"/>
        <v>0.95951028246779224</v>
      </c>
      <c r="T2661">
        <f t="shared" si="167"/>
        <v>2.5000000000000001E-2</v>
      </c>
      <c r="U2661" t="str">
        <f>YEAR('Campaign Data'!$A2661)&amp;"-"&amp;TEXT(MONTH('Campaign Data'!$A2661),"00")</f>
        <v>2026-05</v>
      </c>
    </row>
    <row r="2662" spans="1:21" x14ac:dyDescent="0.25">
      <c r="A2662">
        <v>46167</v>
      </c>
      <c r="B2662" t="s">
        <v>98</v>
      </c>
      <c r="C2662" t="s">
        <v>99</v>
      </c>
      <c r="D2662" t="s">
        <v>69</v>
      </c>
      <c r="E2662" t="s">
        <v>24</v>
      </c>
      <c r="F2662" t="s">
        <v>75</v>
      </c>
      <c r="G2662" t="s">
        <v>66</v>
      </c>
      <c r="H2662" t="s">
        <v>51</v>
      </c>
      <c r="I2662" t="s">
        <v>37</v>
      </c>
      <c r="J2662" t="s">
        <v>62</v>
      </c>
      <c r="K2662">
        <v>4409</v>
      </c>
      <c r="L2662">
        <v>46</v>
      </c>
      <c r="M2662">
        <v>44.23</v>
      </c>
      <c r="N2662">
        <v>1</v>
      </c>
      <c r="O2662">
        <v>41.65</v>
      </c>
      <c r="P2662">
        <f t="shared" si="164"/>
        <v>1.0433204808346563E-2</v>
      </c>
      <c r="Q2662">
        <f t="shared" si="164"/>
        <v>0.9615217391304347</v>
      </c>
      <c r="R2662">
        <f t="shared" si="165"/>
        <v>44.23</v>
      </c>
      <c r="S2662">
        <f t="shared" si="166"/>
        <v>0.94166855075740452</v>
      </c>
      <c r="T2662">
        <f t="shared" si="167"/>
        <v>2.1739130434782608E-2</v>
      </c>
      <c r="U2662" t="str">
        <f>YEAR('Campaign Data'!$A2662)&amp;"-"&amp;TEXT(MONTH('Campaign Data'!$A2662),"00")</f>
        <v>2026-05</v>
      </c>
    </row>
    <row r="2663" spans="1:21" x14ac:dyDescent="0.25">
      <c r="A2663">
        <v>46167</v>
      </c>
      <c r="B2663" t="s">
        <v>103</v>
      </c>
      <c r="C2663" t="s">
        <v>104</v>
      </c>
      <c r="D2663" t="s">
        <v>65</v>
      </c>
      <c r="E2663" t="s">
        <v>33</v>
      </c>
      <c r="F2663" t="s">
        <v>43</v>
      </c>
      <c r="G2663" t="s">
        <v>102</v>
      </c>
      <c r="H2663" t="s">
        <v>36</v>
      </c>
      <c r="I2663" t="s">
        <v>37</v>
      </c>
      <c r="J2663" t="s">
        <v>38</v>
      </c>
      <c r="K2663">
        <v>11445</v>
      </c>
      <c r="L2663">
        <v>89</v>
      </c>
      <c r="M2663">
        <v>66.5</v>
      </c>
      <c r="N2663">
        <v>0</v>
      </c>
      <c r="O2663">
        <v>0</v>
      </c>
      <c r="P2663">
        <f t="shared" si="164"/>
        <v>7.7763215377894277E-3</v>
      </c>
      <c r="Q2663">
        <f t="shared" si="164"/>
        <v>0.7471910112359551</v>
      </c>
      <c r="R2663">
        <f t="shared" si="165"/>
        <v>0</v>
      </c>
      <c r="S2663">
        <f t="shared" si="166"/>
        <v>0</v>
      </c>
      <c r="T2663">
        <f t="shared" si="167"/>
        <v>0</v>
      </c>
      <c r="U2663" t="str">
        <f>YEAR('Campaign Data'!$A2663)&amp;"-"&amp;TEXT(MONTH('Campaign Data'!$A2663),"00")</f>
        <v>2026-05</v>
      </c>
    </row>
    <row r="2664" spans="1:21" x14ac:dyDescent="0.25">
      <c r="A2664">
        <v>46167</v>
      </c>
      <c r="B2664" t="s">
        <v>105</v>
      </c>
      <c r="C2664" t="s">
        <v>106</v>
      </c>
      <c r="D2664" t="s">
        <v>58</v>
      </c>
      <c r="E2664" t="s">
        <v>49</v>
      </c>
      <c r="F2664" t="s">
        <v>81</v>
      </c>
      <c r="G2664" t="s">
        <v>107</v>
      </c>
      <c r="H2664" t="s">
        <v>90</v>
      </c>
      <c r="I2664" t="s">
        <v>37</v>
      </c>
      <c r="J2664" t="s">
        <v>62</v>
      </c>
      <c r="K2664">
        <v>12741</v>
      </c>
      <c r="L2664">
        <v>761</v>
      </c>
      <c r="M2664">
        <v>319.2</v>
      </c>
      <c r="N2664">
        <v>70</v>
      </c>
      <c r="O2664">
        <v>350</v>
      </c>
      <c r="P2664">
        <f t="shared" si="164"/>
        <v>5.9728435758574679E-2</v>
      </c>
      <c r="Q2664">
        <f t="shared" si="164"/>
        <v>0.41944809461235216</v>
      </c>
      <c r="R2664">
        <f t="shared" si="165"/>
        <v>4.5599999999999996</v>
      </c>
      <c r="S2664">
        <f t="shared" si="166"/>
        <v>1.0964912280701755</v>
      </c>
      <c r="T2664">
        <f t="shared" si="167"/>
        <v>9.1984231274638631E-2</v>
      </c>
      <c r="U2664" t="str">
        <f>YEAR('Campaign Data'!$A2664)&amp;"-"&amp;TEXT(MONTH('Campaign Data'!$A2664),"00")</f>
        <v>2026-05</v>
      </c>
    </row>
    <row r="2665" spans="1:21" x14ac:dyDescent="0.25">
      <c r="A2665">
        <v>46167</v>
      </c>
      <c r="B2665" t="s">
        <v>105</v>
      </c>
      <c r="C2665" t="s">
        <v>106</v>
      </c>
      <c r="D2665" t="s">
        <v>58</v>
      </c>
      <c r="E2665" t="s">
        <v>49</v>
      </c>
      <c r="F2665" t="s">
        <v>81</v>
      </c>
      <c r="G2665" t="s">
        <v>107</v>
      </c>
      <c r="H2665" t="s">
        <v>60</v>
      </c>
      <c r="I2665" t="s">
        <v>61</v>
      </c>
      <c r="J2665" t="s">
        <v>38</v>
      </c>
      <c r="K2665">
        <v>10633</v>
      </c>
      <c r="L2665">
        <v>354</v>
      </c>
      <c r="M2665">
        <v>512.65</v>
      </c>
      <c r="N2665">
        <v>19</v>
      </c>
      <c r="O2665">
        <v>597.5</v>
      </c>
      <c r="P2665">
        <f t="shared" si="164"/>
        <v>3.3292579704692939E-2</v>
      </c>
      <c r="Q2665">
        <f t="shared" si="164"/>
        <v>1.4481638418079095</v>
      </c>
      <c r="R2665">
        <f t="shared" si="165"/>
        <v>26.981578947368419</v>
      </c>
      <c r="S2665">
        <f t="shared" si="166"/>
        <v>1.1655125329171949</v>
      </c>
      <c r="T2665">
        <f t="shared" si="167"/>
        <v>5.3672316384180789E-2</v>
      </c>
      <c r="U2665" t="str">
        <f>YEAR('Campaign Data'!$A2665)&amp;"-"&amp;TEXT(MONTH('Campaign Data'!$A2665),"00")</f>
        <v>2026-05</v>
      </c>
    </row>
    <row r="2666" spans="1:21" x14ac:dyDescent="0.25">
      <c r="A2666">
        <v>46167</v>
      </c>
      <c r="B2666" t="s">
        <v>105</v>
      </c>
      <c r="C2666" t="s">
        <v>106</v>
      </c>
      <c r="D2666" t="s">
        <v>58</v>
      </c>
      <c r="E2666" t="s">
        <v>49</v>
      </c>
      <c r="F2666" t="s">
        <v>81</v>
      </c>
      <c r="G2666" t="s">
        <v>107</v>
      </c>
      <c r="H2666" t="s">
        <v>71</v>
      </c>
      <c r="I2666" t="s">
        <v>37</v>
      </c>
      <c r="J2666" t="s">
        <v>87</v>
      </c>
      <c r="K2666">
        <v>16008</v>
      </c>
      <c r="L2666">
        <v>631</v>
      </c>
      <c r="M2666">
        <v>917.9</v>
      </c>
      <c r="N2666">
        <v>11</v>
      </c>
      <c r="O2666">
        <v>225.26</v>
      </c>
      <c r="P2666">
        <f t="shared" si="164"/>
        <v>3.9417791104447777E-2</v>
      </c>
      <c r="Q2666">
        <f t="shared" si="164"/>
        <v>1.454675118858954</v>
      </c>
      <c r="R2666">
        <f t="shared" si="165"/>
        <v>83.445454545454538</v>
      </c>
      <c r="S2666">
        <f t="shared" si="166"/>
        <v>0.24540799651378145</v>
      </c>
      <c r="T2666">
        <f t="shared" si="167"/>
        <v>1.7432646592709985E-2</v>
      </c>
      <c r="U2666" t="str">
        <f>YEAR('Campaign Data'!$A2666)&amp;"-"&amp;TEXT(MONTH('Campaign Data'!$A2666),"00")</f>
        <v>2026-05</v>
      </c>
    </row>
    <row r="2667" spans="1:21" x14ac:dyDescent="0.25">
      <c r="A2667">
        <v>46167</v>
      </c>
      <c r="B2667" t="s">
        <v>105</v>
      </c>
      <c r="C2667" t="s">
        <v>106</v>
      </c>
      <c r="D2667" t="s">
        <v>58</v>
      </c>
      <c r="E2667" t="s">
        <v>49</v>
      </c>
      <c r="F2667" t="s">
        <v>81</v>
      </c>
      <c r="G2667" t="s">
        <v>107</v>
      </c>
      <c r="H2667" t="s">
        <v>55</v>
      </c>
      <c r="I2667" t="s">
        <v>37</v>
      </c>
      <c r="J2667" t="s">
        <v>45</v>
      </c>
      <c r="K2667">
        <v>6234</v>
      </c>
      <c r="L2667">
        <v>196</v>
      </c>
      <c r="M2667">
        <v>241.72</v>
      </c>
      <c r="N2667">
        <v>6</v>
      </c>
      <c r="O2667">
        <v>134.86000000000001</v>
      </c>
      <c r="P2667">
        <f t="shared" si="164"/>
        <v>3.1440487648379853E-2</v>
      </c>
      <c r="Q2667">
        <f t="shared" si="164"/>
        <v>1.233265306122449</v>
      </c>
      <c r="R2667">
        <f t="shared" si="165"/>
        <v>40.286666666666669</v>
      </c>
      <c r="S2667">
        <f t="shared" si="166"/>
        <v>0.55791825252358107</v>
      </c>
      <c r="T2667">
        <f t="shared" si="167"/>
        <v>3.0612244897959183E-2</v>
      </c>
      <c r="U2667" t="str">
        <f>YEAR('Campaign Data'!$A2667)&amp;"-"&amp;TEXT(MONTH('Campaign Data'!$A2667),"00")</f>
        <v>2026-05</v>
      </c>
    </row>
    <row r="2668" spans="1:21" x14ac:dyDescent="0.25">
      <c r="A2668">
        <v>46167</v>
      </c>
      <c r="B2668" t="s">
        <v>108</v>
      </c>
      <c r="C2668" t="s">
        <v>109</v>
      </c>
      <c r="D2668" t="s">
        <v>58</v>
      </c>
      <c r="E2668" t="s">
        <v>33</v>
      </c>
      <c r="F2668" t="s">
        <v>43</v>
      </c>
      <c r="G2668" t="s">
        <v>59</v>
      </c>
      <c r="H2668" t="s">
        <v>51</v>
      </c>
      <c r="I2668" t="s">
        <v>61</v>
      </c>
      <c r="J2668" t="s">
        <v>62</v>
      </c>
      <c r="K2668">
        <v>8614</v>
      </c>
      <c r="L2668">
        <v>107</v>
      </c>
      <c r="M2668">
        <v>59.24</v>
      </c>
      <c r="N2668">
        <v>0</v>
      </c>
      <c r="O2668">
        <v>0</v>
      </c>
      <c r="P2668">
        <f t="shared" si="164"/>
        <v>1.2421639192013003E-2</v>
      </c>
      <c r="Q2668">
        <f t="shared" si="164"/>
        <v>0.55364485981308409</v>
      </c>
      <c r="R2668">
        <f t="shared" si="165"/>
        <v>0</v>
      </c>
      <c r="S2668">
        <f t="shared" si="166"/>
        <v>0</v>
      </c>
      <c r="T2668">
        <f t="shared" si="167"/>
        <v>0</v>
      </c>
      <c r="U2668" t="str">
        <f>YEAR('Campaign Data'!$A2668)&amp;"-"&amp;TEXT(MONTH('Campaign Data'!$A2668),"00")</f>
        <v>2026-05</v>
      </c>
    </row>
    <row r="2669" spans="1:21" x14ac:dyDescent="0.25">
      <c r="A2669">
        <v>46167</v>
      </c>
      <c r="B2669" t="s">
        <v>177</v>
      </c>
      <c r="C2669" t="s">
        <v>178</v>
      </c>
      <c r="D2669" t="s">
        <v>41</v>
      </c>
      <c r="E2669" t="s">
        <v>49</v>
      </c>
      <c r="F2669" t="s">
        <v>34</v>
      </c>
      <c r="G2669" t="s">
        <v>107</v>
      </c>
      <c r="H2669" t="s">
        <v>90</v>
      </c>
      <c r="I2669" t="s">
        <v>37</v>
      </c>
      <c r="J2669" t="s">
        <v>62</v>
      </c>
      <c r="K2669">
        <v>4119</v>
      </c>
      <c r="L2669">
        <v>242</v>
      </c>
      <c r="M2669">
        <v>108.32</v>
      </c>
      <c r="N2669">
        <v>16</v>
      </c>
      <c r="O2669">
        <v>697.65</v>
      </c>
      <c r="P2669">
        <f t="shared" si="164"/>
        <v>5.8752124302015055E-2</v>
      </c>
      <c r="Q2669">
        <f t="shared" si="164"/>
        <v>0.44760330578512392</v>
      </c>
      <c r="R2669">
        <f t="shared" si="165"/>
        <v>6.77</v>
      </c>
      <c r="S2669">
        <f t="shared" si="166"/>
        <v>6.4406388478581977</v>
      </c>
      <c r="T2669">
        <f t="shared" si="167"/>
        <v>6.6115702479338845E-2</v>
      </c>
      <c r="U2669" t="str">
        <f>YEAR('Campaign Data'!$A2669)&amp;"-"&amp;TEXT(MONTH('Campaign Data'!$A2669),"00")</f>
        <v>2026-05</v>
      </c>
    </row>
    <row r="2670" spans="1:21" x14ac:dyDescent="0.25">
      <c r="A2670">
        <v>46167</v>
      </c>
      <c r="B2670" t="s">
        <v>177</v>
      </c>
      <c r="C2670" t="s">
        <v>178</v>
      </c>
      <c r="D2670" t="s">
        <v>41</v>
      </c>
      <c r="E2670" t="s">
        <v>49</v>
      </c>
      <c r="F2670" t="s">
        <v>34</v>
      </c>
      <c r="G2670" t="s">
        <v>107</v>
      </c>
      <c r="H2670" t="s">
        <v>60</v>
      </c>
      <c r="I2670" t="s">
        <v>37</v>
      </c>
      <c r="J2670" t="s">
        <v>29</v>
      </c>
      <c r="K2670">
        <v>3751</v>
      </c>
      <c r="L2670">
        <v>241</v>
      </c>
      <c r="M2670">
        <v>389.84</v>
      </c>
      <c r="N2670">
        <v>11</v>
      </c>
      <c r="O2670">
        <v>1217.2</v>
      </c>
      <c r="P2670">
        <f t="shared" si="164"/>
        <v>6.4249533457744604E-2</v>
      </c>
      <c r="Q2670">
        <f t="shared" si="164"/>
        <v>1.6175933609958506</v>
      </c>
      <c r="R2670">
        <f t="shared" si="165"/>
        <v>35.44</v>
      </c>
      <c r="S2670">
        <f t="shared" si="166"/>
        <v>3.1223065873178744</v>
      </c>
      <c r="T2670">
        <f t="shared" si="167"/>
        <v>4.5643153526970952E-2</v>
      </c>
      <c r="U2670" t="str">
        <f>YEAR('Campaign Data'!$A2670)&amp;"-"&amp;TEXT(MONTH('Campaign Data'!$A2670),"00")</f>
        <v>2026-05</v>
      </c>
    </row>
    <row r="2671" spans="1:21" x14ac:dyDescent="0.25">
      <c r="A2671">
        <v>46167</v>
      </c>
      <c r="B2671" t="s">
        <v>110</v>
      </c>
      <c r="C2671" t="s">
        <v>111</v>
      </c>
      <c r="D2671" t="s">
        <v>23</v>
      </c>
      <c r="E2671" t="s">
        <v>49</v>
      </c>
      <c r="F2671" t="s">
        <v>34</v>
      </c>
      <c r="G2671" t="s">
        <v>50</v>
      </c>
      <c r="H2671" t="s">
        <v>27</v>
      </c>
      <c r="I2671" t="s">
        <v>28</v>
      </c>
      <c r="J2671" t="s">
        <v>87</v>
      </c>
      <c r="K2671">
        <v>7539</v>
      </c>
      <c r="L2671">
        <v>408</v>
      </c>
      <c r="M2671">
        <v>994.97</v>
      </c>
      <c r="N2671">
        <v>20</v>
      </c>
      <c r="O2671">
        <v>1631.92</v>
      </c>
      <c r="P2671">
        <f t="shared" si="164"/>
        <v>5.4118583366494229E-2</v>
      </c>
      <c r="Q2671">
        <f t="shared" si="164"/>
        <v>2.438651960784314</v>
      </c>
      <c r="R2671">
        <f t="shared" si="165"/>
        <v>49.7485</v>
      </c>
      <c r="S2671">
        <f t="shared" si="166"/>
        <v>1.6401700553785541</v>
      </c>
      <c r="T2671">
        <f t="shared" si="167"/>
        <v>4.9019607843137254E-2</v>
      </c>
      <c r="U2671" t="str">
        <f>YEAR('Campaign Data'!$A2671)&amp;"-"&amp;TEXT(MONTH('Campaign Data'!$A2671),"00")</f>
        <v>2026-05</v>
      </c>
    </row>
    <row r="2672" spans="1:21" x14ac:dyDescent="0.25">
      <c r="A2672">
        <v>46167</v>
      </c>
      <c r="B2672" t="s">
        <v>134</v>
      </c>
      <c r="C2672" t="s">
        <v>135</v>
      </c>
      <c r="D2672" t="s">
        <v>32</v>
      </c>
      <c r="E2672" t="s">
        <v>74</v>
      </c>
      <c r="F2672" t="s">
        <v>25</v>
      </c>
      <c r="G2672" t="s">
        <v>107</v>
      </c>
      <c r="H2672" t="s">
        <v>51</v>
      </c>
      <c r="I2672" t="s">
        <v>28</v>
      </c>
      <c r="J2672" t="s">
        <v>45</v>
      </c>
      <c r="K2672">
        <v>20536</v>
      </c>
      <c r="L2672">
        <v>377</v>
      </c>
      <c r="M2672">
        <v>454.25</v>
      </c>
      <c r="N2672">
        <v>8</v>
      </c>
      <c r="O2672">
        <v>585.71</v>
      </c>
      <c r="P2672">
        <f t="shared" si="164"/>
        <v>1.8358005453837162E-2</v>
      </c>
      <c r="Q2672">
        <f t="shared" si="164"/>
        <v>1.2049071618037135</v>
      </c>
      <c r="R2672">
        <f t="shared" si="165"/>
        <v>56.78125</v>
      </c>
      <c r="S2672">
        <f t="shared" si="166"/>
        <v>1.2894001100715466</v>
      </c>
      <c r="T2672">
        <f t="shared" si="167"/>
        <v>2.1220159151193633E-2</v>
      </c>
      <c r="U2672" t="str">
        <f>YEAR('Campaign Data'!$A2672)&amp;"-"&amp;TEXT(MONTH('Campaign Data'!$A2672),"00")</f>
        <v>2026-05</v>
      </c>
    </row>
    <row r="2673" spans="1:21" x14ac:dyDescent="0.25">
      <c r="A2673">
        <v>46167</v>
      </c>
      <c r="B2673" t="s">
        <v>157</v>
      </c>
      <c r="C2673" t="s">
        <v>158</v>
      </c>
      <c r="D2673" t="s">
        <v>58</v>
      </c>
      <c r="E2673" t="s">
        <v>49</v>
      </c>
      <c r="F2673" t="s">
        <v>81</v>
      </c>
      <c r="G2673" t="s">
        <v>50</v>
      </c>
      <c r="H2673" t="s">
        <v>90</v>
      </c>
      <c r="I2673" t="s">
        <v>61</v>
      </c>
      <c r="J2673" t="s">
        <v>38</v>
      </c>
      <c r="K2673">
        <v>2876</v>
      </c>
      <c r="L2673">
        <v>168</v>
      </c>
      <c r="M2673">
        <v>84.66</v>
      </c>
      <c r="N2673">
        <v>10</v>
      </c>
      <c r="O2673">
        <v>50</v>
      </c>
      <c r="P2673">
        <f t="shared" si="164"/>
        <v>5.8414464534075103E-2</v>
      </c>
      <c r="Q2673">
        <f t="shared" si="164"/>
        <v>0.50392857142857139</v>
      </c>
      <c r="R2673">
        <f t="shared" si="165"/>
        <v>8.4659999999999993</v>
      </c>
      <c r="S2673">
        <f t="shared" si="166"/>
        <v>0.59059768485707542</v>
      </c>
      <c r="T2673">
        <f t="shared" si="167"/>
        <v>5.9523809523809521E-2</v>
      </c>
      <c r="U2673" t="str">
        <f>YEAR('Campaign Data'!$A2673)&amp;"-"&amp;TEXT(MONTH('Campaign Data'!$A2673),"00")</f>
        <v>2026-05</v>
      </c>
    </row>
    <row r="2674" spans="1:21" x14ac:dyDescent="0.25">
      <c r="A2674">
        <v>46167</v>
      </c>
      <c r="B2674" t="s">
        <v>157</v>
      </c>
      <c r="C2674" t="s">
        <v>158</v>
      </c>
      <c r="D2674" t="s">
        <v>58</v>
      </c>
      <c r="E2674" t="s">
        <v>49</v>
      </c>
      <c r="F2674" t="s">
        <v>81</v>
      </c>
      <c r="G2674" t="s">
        <v>50</v>
      </c>
      <c r="H2674" t="s">
        <v>71</v>
      </c>
      <c r="I2674" t="s">
        <v>37</v>
      </c>
      <c r="J2674" t="s">
        <v>38</v>
      </c>
      <c r="K2674">
        <v>8396</v>
      </c>
      <c r="L2674">
        <v>364</v>
      </c>
      <c r="M2674">
        <v>495.44</v>
      </c>
      <c r="N2674">
        <v>26</v>
      </c>
      <c r="O2674">
        <v>343.35</v>
      </c>
      <c r="P2674">
        <f t="shared" si="164"/>
        <v>4.3353978084802285E-2</v>
      </c>
      <c r="Q2674">
        <f t="shared" si="164"/>
        <v>1.3610989010989012</v>
      </c>
      <c r="R2674">
        <f t="shared" si="165"/>
        <v>19.055384615384614</v>
      </c>
      <c r="S2674">
        <f t="shared" si="166"/>
        <v>0.69302034555142911</v>
      </c>
      <c r="T2674">
        <f t="shared" si="167"/>
        <v>7.1428571428571425E-2</v>
      </c>
      <c r="U2674" t="str">
        <f>YEAR('Campaign Data'!$A2674)&amp;"-"&amp;TEXT(MONTH('Campaign Data'!$A2674),"00")</f>
        <v>2026-05</v>
      </c>
    </row>
    <row r="2675" spans="1:21" x14ac:dyDescent="0.25">
      <c r="A2675">
        <v>46167</v>
      </c>
      <c r="B2675" t="s">
        <v>114</v>
      </c>
      <c r="C2675" t="s">
        <v>115</v>
      </c>
      <c r="D2675" t="s">
        <v>69</v>
      </c>
      <c r="E2675" t="s">
        <v>49</v>
      </c>
      <c r="F2675" t="s">
        <v>25</v>
      </c>
      <c r="G2675" t="s">
        <v>107</v>
      </c>
      <c r="H2675" t="s">
        <v>71</v>
      </c>
      <c r="I2675" t="s">
        <v>28</v>
      </c>
      <c r="J2675" t="s">
        <v>87</v>
      </c>
      <c r="K2675">
        <v>10367</v>
      </c>
      <c r="L2675">
        <v>501</v>
      </c>
      <c r="M2675">
        <v>1003.38</v>
      </c>
      <c r="N2675">
        <v>28</v>
      </c>
      <c r="O2675">
        <v>4120.58</v>
      </c>
      <c r="P2675">
        <f t="shared" si="164"/>
        <v>4.8326420372335296E-2</v>
      </c>
      <c r="Q2675">
        <f t="shared" si="164"/>
        <v>2.002754491017964</v>
      </c>
      <c r="R2675">
        <f t="shared" si="165"/>
        <v>35.835000000000001</v>
      </c>
      <c r="S2675">
        <f t="shared" si="166"/>
        <v>4.1066993561761249</v>
      </c>
      <c r="T2675">
        <f t="shared" si="167"/>
        <v>5.588822355289421E-2</v>
      </c>
      <c r="U2675" t="str">
        <f>YEAR('Campaign Data'!$A2675)&amp;"-"&amp;TEXT(MONTH('Campaign Data'!$A2675),"00")</f>
        <v>2026-05</v>
      </c>
    </row>
    <row r="2676" spans="1:21" x14ac:dyDescent="0.25">
      <c r="A2676">
        <v>46167</v>
      </c>
      <c r="B2676" t="s">
        <v>141</v>
      </c>
      <c r="C2676" t="s">
        <v>142</v>
      </c>
      <c r="D2676" t="s">
        <v>80</v>
      </c>
      <c r="E2676" t="s">
        <v>49</v>
      </c>
      <c r="F2676" t="s">
        <v>81</v>
      </c>
      <c r="G2676" t="s">
        <v>97</v>
      </c>
      <c r="H2676" t="s">
        <v>60</v>
      </c>
      <c r="I2676" t="s">
        <v>37</v>
      </c>
      <c r="J2676" t="s">
        <v>29</v>
      </c>
      <c r="K2676">
        <v>8016</v>
      </c>
      <c r="L2676">
        <v>414</v>
      </c>
      <c r="M2676">
        <v>481.58</v>
      </c>
      <c r="N2676">
        <v>21</v>
      </c>
      <c r="O2676">
        <v>332.19</v>
      </c>
      <c r="P2676">
        <f t="shared" si="164"/>
        <v>5.1646706586826345E-2</v>
      </c>
      <c r="Q2676">
        <f t="shared" si="164"/>
        <v>1.1632367149758454</v>
      </c>
      <c r="R2676">
        <f t="shared" si="165"/>
        <v>22.932380952380953</v>
      </c>
      <c r="S2676">
        <f t="shared" si="166"/>
        <v>0.68979193488101664</v>
      </c>
      <c r="T2676">
        <f t="shared" si="167"/>
        <v>5.0724637681159424E-2</v>
      </c>
      <c r="U2676" t="str">
        <f>YEAR('Campaign Data'!$A2676)&amp;"-"&amp;TEXT(MONTH('Campaign Data'!$A2676),"00")</f>
        <v>2026-05</v>
      </c>
    </row>
    <row r="2677" spans="1:21" x14ac:dyDescent="0.25">
      <c r="A2677">
        <v>46167</v>
      </c>
      <c r="B2677" t="s">
        <v>136</v>
      </c>
      <c r="C2677" t="s">
        <v>137</v>
      </c>
      <c r="D2677" t="s">
        <v>32</v>
      </c>
      <c r="E2677" t="s">
        <v>49</v>
      </c>
      <c r="F2677" t="s">
        <v>75</v>
      </c>
      <c r="G2677" t="s">
        <v>97</v>
      </c>
      <c r="H2677" t="s">
        <v>90</v>
      </c>
      <c r="I2677" t="s">
        <v>28</v>
      </c>
      <c r="J2677" t="s">
        <v>62</v>
      </c>
      <c r="K2677">
        <v>59740</v>
      </c>
      <c r="L2677">
        <v>2548</v>
      </c>
      <c r="M2677">
        <v>1222.6600000000001</v>
      </c>
      <c r="N2677">
        <v>188</v>
      </c>
      <c r="O2677">
        <v>2146.7399999999998</v>
      </c>
      <c r="P2677">
        <f t="shared" si="164"/>
        <v>4.265148978908604E-2</v>
      </c>
      <c r="Q2677">
        <f t="shared" si="164"/>
        <v>0.47985086342229205</v>
      </c>
      <c r="R2677">
        <f t="shared" si="165"/>
        <v>6.5035106382978727</v>
      </c>
      <c r="S2677">
        <f t="shared" si="166"/>
        <v>1.7557947426103737</v>
      </c>
      <c r="T2677">
        <f t="shared" si="167"/>
        <v>7.378335949764521E-2</v>
      </c>
      <c r="U2677" t="str">
        <f>YEAR('Campaign Data'!$A2677)&amp;"-"&amp;TEXT(MONTH('Campaign Data'!$A2677),"00")</f>
        <v>2026-05</v>
      </c>
    </row>
    <row r="2678" spans="1:21" x14ac:dyDescent="0.25">
      <c r="A2678">
        <v>46167</v>
      </c>
      <c r="B2678" t="s">
        <v>63</v>
      </c>
      <c r="C2678" t="s">
        <v>64</v>
      </c>
      <c r="D2678" t="s">
        <v>65</v>
      </c>
      <c r="E2678" t="s">
        <v>24</v>
      </c>
      <c r="F2678" t="s">
        <v>43</v>
      </c>
      <c r="G2678" t="s">
        <v>66</v>
      </c>
      <c r="H2678" t="s">
        <v>90</v>
      </c>
      <c r="I2678" t="s">
        <v>28</v>
      </c>
      <c r="J2678" t="s">
        <v>87</v>
      </c>
      <c r="K2678">
        <v>5351</v>
      </c>
      <c r="L2678">
        <v>64</v>
      </c>
      <c r="M2678">
        <v>14.15</v>
      </c>
      <c r="N2678">
        <v>0</v>
      </c>
      <c r="O2678">
        <v>0</v>
      </c>
      <c r="P2678">
        <f t="shared" si="164"/>
        <v>1.1960381237151934E-2</v>
      </c>
      <c r="Q2678">
        <f t="shared" si="164"/>
        <v>0.22109375000000001</v>
      </c>
      <c r="R2678">
        <f t="shared" si="165"/>
        <v>0</v>
      </c>
      <c r="S2678">
        <f t="shared" si="166"/>
        <v>0</v>
      </c>
      <c r="T2678">
        <f t="shared" si="167"/>
        <v>0</v>
      </c>
      <c r="U2678" t="str">
        <f>YEAR('Campaign Data'!$A2678)&amp;"-"&amp;TEXT(MONTH('Campaign Data'!$A2678),"00")</f>
        <v>2026-05</v>
      </c>
    </row>
    <row r="2679" spans="1:21" x14ac:dyDescent="0.25">
      <c r="A2679">
        <v>46167</v>
      </c>
      <c r="B2679" t="s">
        <v>145</v>
      </c>
      <c r="C2679" t="s">
        <v>146</v>
      </c>
      <c r="D2679" t="s">
        <v>41</v>
      </c>
      <c r="E2679" t="s">
        <v>49</v>
      </c>
      <c r="F2679" t="s">
        <v>75</v>
      </c>
      <c r="G2679" t="s">
        <v>70</v>
      </c>
      <c r="H2679" t="s">
        <v>36</v>
      </c>
      <c r="I2679" t="s">
        <v>37</v>
      </c>
      <c r="J2679" t="s">
        <v>29</v>
      </c>
      <c r="K2679">
        <v>7167</v>
      </c>
      <c r="L2679">
        <v>385</v>
      </c>
      <c r="M2679">
        <v>724.35</v>
      </c>
      <c r="N2679">
        <v>21</v>
      </c>
      <c r="O2679">
        <v>1032.7</v>
      </c>
      <c r="P2679">
        <f t="shared" si="164"/>
        <v>5.3718431700851124E-2</v>
      </c>
      <c r="Q2679">
        <f t="shared" si="164"/>
        <v>1.8814285714285715</v>
      </c>
      <c r="R2679">
        <f t="shared" si="165"/>
        <v>34.492857142857147</v>
      </c>
      <c r="S2679">
        <f t="shared" si="166"/>
        <v>1.4256919997238904</v>
      </c>
      <c r="T2679">
        <f t="shared" si="167"/>
        <v>5.4545454545454543E-2</v>
      </c>
      <c r="U2679" t="str">
        <f>YEAR('Campaign Data'!$A2679)&amp;"-"&amp;TEXT(MONTH('Campaign Data'!$A2679),"00")</f>
        <v>2026-05</v>
      </c>
    </row>
    <row r="2680" spans="1:21" x14ac:dyDescent="0.25">
      <c r="A2680">
        <v>46167</v>
      </c>
      <c r="B2680" t="s">
        <v>76</v>
      </c>
      <c r="C2680" t="s">
        <v>77</v>
      </c>
      <c r="D2680" t="s">
        <v>65</v>
      </c>
      <c r="E2680" t="s">
        <v>42</v>
      </c>
      <c r="F2680" t="s">
        <v>43</v>
      </c>
      <c r="G2680" t="s">
        <v>44</v>
      </c>
      <c r="H2680" t="s">
        <v>27</v>
      </c>
      <c r="I2680" t="s">
        <v>28</v>
      </c>
      <c r="J2680" t="s">
        <v>38</v>
      </c>
      <c r="K2680">
        <v>6818</v>
      </c>
      <c r="L2680">
        <v>44</v>
      </c>
      <c r="M2680">
        <v>354.32</v>
      </c>
      <c r="N2680">
        <v>3</v>
      </c>
      <c r="O2680">
        <v>86.76</v>
      </c>
      <c r="P2680">
        <f t="shared" si="164"/>
        <v>6.4535054268113814E-3</v>
      </c>
      <c r="Q2680">
        <f t="shared" si="164"/>
        <v>8.0527272727272727</v>
      </c>
      <c r="R2680">
        <f t="shared" si="165"/>
        <v>118.10666666666667</v>
      </c>
      <c r="S2680">
        <f t="shared" si="166"/>
        <v>0.24486340031609846</v>
      </c>
      <c r="T2680">
        <f t="shared" si="167"/>
        <v>6.8181818181818177E-2</v>
      </c>
      <c r="U2680" t="str">
        <f>YEAR('Campaign Data'!$A2680)&amp;"-"&amp;TEXT(MONTH('Campaign Data'!$A2680),"00")</f>
        <v>2026-05</v>
      </c>
    </row>
    <row r="2681" spans="1:21" x14ac:dyDescent="0.25">
      <c r="A2681">
        <v>46167</v>
      </c>
      <c r="B2681" t="s">
        <v>122</v>
      </c>
      <c r="C2681" t="s">
        <v>123</v>
      </c>
      <c r="D2681" t="s">
        <v>41</v>
      </c>
      <c r="E2681" t="s">
        <v>33</v>
      </c>
      <c r="F2681" t="s">
        <v>75</v>
      </c>
      <c r="G2681" t="s">
        <v>35</v>
      </c>
      <c r="H2681" t="s">
        <v>51</v>
      </c>
      <c r="I2681" t="s">
        <v>37</v>
      </c>
      <c r="J2681" t="s">
        <v>87</v>
      </c>
      <c r="K2681">
        <v>12358</v>
      </c>
      <c r="L2681">
        <v>92</v>
      </c>
      <c r="M2681">
        <v>58.75</v>
      </c>
      <c r="N2681">
        <v>1</v>
      </c>
      <c r="O2681">
        <v>53.73</v>
      </c>
      <c r="P2681">
        <f t="shared" si="164"/>
        <v>7.4445703188218155E-3</v>
      </c>
      <c r="Q2681">
        <f t="shared" si="164"/>
        <v>0.63858695652173914</v>
      </c>
      <c r="R2681">
        <f t="shared" si="165"/>
        <v>58.75</v>
      </c>
      <c r="S2681">
        <f t="shared" si="166"/>
        <v>0.91455319148936165</v>
      </c>
      <c r="T2681">
        <f t="shared" si="167"/>
        <v>1.0869565217391304E-2</v>
      </c>
      <c r="U2681" t="str">
        <f>YEAR('Campaign Data'!$A2681)&amp;"-"&amp;TEXT(MONTH('Campaign Data'!$A2681),"00")</f>
        <v>2026-05</v>
      </c>
    </row>
    <row r="2682" spans="1:21" x14ac:dyDescent="0.25">
      <c r="A2682">
        <v>46167</v>
      </c>
      <c r="B2682" t="s">
        <v>82</v>
      </c>
      <c r="C2682" t="s">
        <v>83</v>
      </c>
      <c r="D2682" t="s">
        <v>80</v>
      </c>
      <c r="E2682" t="s">
        <v>42</v>
      </c>
      <c r="F2682" t="s">
        <v>34</v>
      </c>
      <c r="G2682" t="s">
        <v>84</v>
      </c>
      <c r="H2682" t="s">
        <v>71</v>
      </c>
      <c r="I2682" t="s">
        <v>37</v>
      </c>
      <c r="J2682" t="s">
        <v>29</v>
      </c>
      <c r="K2682">
        <v>3715</v>
      </c>
      <c r="L2682">
        <v>15</v>
      </c>
      <c r="M2682">
        <v>81.569999999999993</v>
      </c>
      <c r="N2682">
        <v>1</v>
      </c>
      <c r="O2682">
        <v>152.71</v>
      </c>
      <c r="P2682">
        <f t="shared" si="164"/>
        <v>4.0376850605652759E-3</v>
      </c>
      <c r="Q2682">
        <f t="shared" si="164"/>
        <v>5.4379999999999997</v>
      </c>
      <c r="R2682">
        <f t="shared" si="165"/>
        <v>81.569999999999993</v>
      </c>
      <c r="S2682">
        <f t="shared" si="166"/>
        <v>1.8721343631236977</v>
      </c>
      <c r="T2682">
        <f t="shared" si="167"/>
        <v>6.6666666666666666E-2</v>
      </c>
      <c r="U2682" t="str">
        <f>YEAR('Campaign Data'!$A2682)&amp;"-"&amp;TEXT(MONTH('Campaign Data'!$A2682),"00")</f>
        <v>2026-05</v>
      </c>
    </row>
    <row r="2683" spans="1:21" x14ac:dyDescent="0.25">
      <c r="A2683">
        <v>46168</v>
      </c>
      <c r="B2683" t="s">
        <v>21</v>
      </c>
      <c r="C2683" t="s">
        <v>124</v>
      </c>
      <c r="D2683" t="s">
        <v>23</v>
      </c>
      <c r="E2683" t="s">
        <v>24</v>
      </c>
      <c r="F2683" t="s">
        <v>25</v>
      </c>
      <c r="G2683" t="s">
        <v>26</v>
      </c>
      <c r="H2683" t="s">
        <v>36</v>
      </c>
      <c r="I2683" t="s">
        <v>37</v>
      </c>
      <c r="J2683" t="s">
        <v>45</v>
      </c>
      <c r="K2683">
        <v>12799</v>
      </c>
      <c r="L2683">
        <v>158</v>
      </c>
      <c r="M2683">
        <v>154.44</v>
      </c>
      <c r="N2683">
        <v>3</v>
      </c>
      <c r="O2683">
        <v>492.15</v>
      </c>
      <c r="P2683">
        <f t="shared" si="164"/>
        <v>1.2344714430814908E-2</v>
      </c>
      <c r="Q2683">
        <f t="shared" si="164"/>
        <v>0.97746835443037972</v>
      </c>
      <c r="R2683">
        <f t="shared" si="165"/>
        <v>51.48</v>
      </c>
      <c r="S2683">
        <f t="shared" si="166"/>
        <v>3.1866744366744366</v>
      </c>
      <c r="T2683">
        <f t="shared" si="167"/>
        <v>1.8987341772151899E-2</v>
      </c>
      <c r="U2683" t="str">
        <f>YEAR('Campaign Data'!$A2683)&amp;"-"&amp;TEXT(MONTH('Campaign Data'!$A2683),"00")</f>
        <v>2026-05</v>
      </c>
    </row>
    <row r="2684" spans="1:21" x14ac:dyDescent="0.25">
      <c r="A2684">
        <v>46168</v>
      </c>
      <c r="B2684" t="s">
        <v>167</v>
      </c>
      <c r="C2684" t="s">
        <v>168</v>
      </c>
      <c r="D2684" t="s">
        <v>58</v>
      </c>
      <c r="E2684" t="s">
        <v>33</v>
      </c>
      <c r="F2684" t="s">
        <v>75</v>
      </c>
      <c r="G2684" t="s">
        <v>35</v>
      </c>
      <c r="H2684" t="s">
        <v>90</v>
      </c>
      <c r="I2684" t="s">
        <v>28</v>
      </c>
      <c r="J2684" t="s">
        <v>45</v>
      </c>
      <c r="K2684">
        <v>3915</v>
      </c>
      <c r="L2684">
        <v>42</v>
      </c>
      <c r="M2684">
        <v>9.77</v>
      </c>
      <c r="N2684">
        <v>0</v>
      </c>
      <c r="O2684">
        <v>0</v>
      </c>
      <c r="P2684">
        <f t="shared" si="164"/>
        <v>1.0727969348659003E-2</v>
      </c>
      <c r="Q2684">
        <f t="shared" si="164"/>
        <v>0.23261904761904761</v>
      </c>
      <c r="R2684">
        <f t="shared" si="165"/>
        <v>0</v>
      </c>
      <c r="S2684">
        <f t="shared" si="166"/>
        <v>0</v>
      </c>
      <c r="T2684">
        <f t="shared" si="167"/>
        <v>0</v>
      </c>
      <c r="U2684" t="str">
        <f>YEAR('Campaign Data'!$A2684)&amp;"-"&amp;TEXT(MONTH('Campaign Data'!$A2684),"00")</f>
        <v>2026-05</v>
      </c>
    </row>
    <row r="2685" spans="1:21" x14ac:dyDescent="0.25">
      <c r="A2685">
        <v>46168</v>
      </c>
      <c r="B2685" t="s">
        <v>95</v>
      </c>
      <c r="C2685" t="s">
        <v>96</v>
      </c>
      <c r="D2685" t="s">
        <v>23</v>
      </c>
      <c r="E2685" t="s">
        <v>49</v>
      </c>
      <c r="F2685" t="s">
        <v>43</v>
      </c>
      <c r="G2685" t="s">
        <v>97</v>
      </c>
      <c r="H2685" t="s">
        <v>60</v>
      </c>
      <c r="I2685" t="s">
        <v>28</v>
      </c>
      <c r="J2685" t="s">
        <v>87</v>
      </c>
      <c r="K2685">
        <v>2475</v>
      </c>
      <c r="L2685">
        <v>104</v>
      </c>
      <c r="M2685">
        <v>221.86</v>
      </c>
      <c r="N2685">
        <v>3</v>
      </c>
      <c r="O2685">
        <v>124</v>
      </c>
      <c r="P2685">
        <f t="shared" si="164"/>
        <v>4.202020202020202E-2</v>
      </c>
      <c r="Q2685">
        <f t="shared" si="164"/>
        <v>2.1332692307692307</v>
      </c>
      <c r="R2685">
        <f t="shared" si="165"/>
        <v>73.953333333333333</v>
      </c>
      <c r="S2685">
        <f t="shared" si="166"/>
        <v>0.55891102497070222</v>
      </c>
      <c r="T2685">
        <f t="shared" si="167"/>
        <v>2.8846153846153848E-2</v>
      </c>
      <c r="U2685" t="str">
        <f>YEAR('Campaign Data'!$A2685)&amp;"-"&amp;TEXT(MONTH('Campaign Data'!$A2685),"00")</f>
        <v>2026-05</v>
      </c>
    </row>
    <row r="2686" spans="1:21" x14ac:dyDescent="0.25">
      <c r="A2686">
        <v>46168</v>
      </c>
      <c r="B2686" t="s">
        <v>39</v>
      </c>
      <c r="C2686" t="s">
        <v>40</v>
      </c>
      <c r="D2686" t="s">
        <v>41</v>
      </c>
      <c r="E2686" t="s">
        <v>42</v>
      </c>
      <c r="F2686" t="s">
        <v>43</v>
      </c>
      <c r="G2686" t="s">
        <v>44</v>
      </c>
      <c r="H2686" t="s">
        <v>60</v>
      </c>
      <c r="I2686" t="s">
        <v>37</v>
      </c>
      <c r="J2686" t="s">
        <v>45</v>
      </c>
      <c r="K2686">
        <v>10050</v>
      </c>
      <c r="L2686">
        <v>38</v>
      </c>
      <c r="M2686">
        <v>183.53</v>
      </c>
      <c r="N2686">
        <v>1</v>
      </c>
      <c r="O2686">
        <v>22.71</v>
      </c>
      <c r="P2686">
        <f t="shared" si="164"/>
        <v>3.781094527363184E-3</v>
      </c>
      <c r="Q2686">
        <f t="shared" si="164"/>
        <v>4.8297368421052633</v>
      </c>
      <c r="R2686">
        <f t="shared" si="165"/>
        <v>183.53</v>
      </c>
      <c r="S2686">
        <f t="shared" si="166"/>
        <v>0.12373998801285893</v>
      </c>
      <c r="T2686">
        <f t="shared" si="167"/>
        <v>2.6315789473684209E-2</v>
      </c>
      <c r="U2686" t="str">
        <f>YEAR('Campaign Data'!$A2686)&amp;"-"&amp;TEXT(MONTH('Campaign Data'!$A2686),"00")</f>
        <v>2026-05</v>
      </c>
    </row>
    <row r="2687" spans="1:21" x14ac:dyDescent="0.25">
      <c r="A2687">
        <v>46168</v>
      </c>
      <c r="B2687" t="s">
        <v>46</v>
      </c>
      <c r="C2687" t="s">
        <v>47</v>
      </c>
      <c r="D2687" t="s">
        <v>48</v>
      </c>
      <c r="E2687" t="s">
        <v>49</v>
      </c>
      <c r="F2687" t="s">
        <v>43</v>
      </c>
      <c r="G2687" t="s">
        <v>50</v>
      </c>
      <c r="H2687" t="s">
        <v>27</v>
      </c>
      <c r="I2687" t="s">
        <v>28</v>
      </c>
      <c r="J2687" t="s">
        <v>45</v>
      </c>
      <c r="K2687">
        <v>9468</v>
      </c>
      <c r="L2687">
        <v>513</v>
      </c>
      <c r="M2687">
        <v>1518.72</v>
      </c>
      <c r="N2687">
        <v>11</v>
      </c>
      <c r="O2687">
        <v>407.59</v>
      </c>
      <c r="P2687">
        <f t="shared" si="164"/>
        <v>5.418250950570342E-2</v>
      </c>
      <c r="Q2687">
        <f t="shared" si="164"/>
        <v>2.96046783625731</v>
      </c>
      <c r="R2687">
        <f t="shared" si="165"/>
        <v>138.06545454545454</v>
      </c>
      <c r="S2687">
        <f t="shared" si="166"/>
        <v>0.26837731774125578</v>
      </c>
      <c r="T2687">
        <f t="shared" si="167"/>
        <v>2.1442495126705652E-2</v>
      </c>
      <c r="U2687" t="str">
        <f>YEAR('Campaign Data'!$A2687)&amp;"-"&amp;TEXT(MONTH('Campaign Data'!$A2687),"00")</f>
        <v>2026-05</v>
      </c>
    </row>
    <row r="2688" spans="1:21" x14ac:dyDescent="0.25">
      <c r="A2688">
        <v>46168</v>
      </c>
      <c r="B2688" t="s">
        <v>46</v>
      </c>
      <c r="C2688" t="s">
        <v>47</v>
      </c>
      <c r="D2688" t="s">
        <v>48</v>
      </c>
      <c r="E2688" t="s">
        <v>49</v>
      </c>
      <c r="F2688" t="s">
        <v>43</v>
      </c>
      <c r="G2688" t="s">
        <v>50</v>
      </c>
      <c r="H2688" t="s">
        <v>51</v>
      </c>
      <c r="I2688" t="s">
        <v>37</v>
      </c>
      <c r="J2688" t="s">
        <v>62</v>
      </c>
      <c r="K2688">
        <v>16272</v>
      </c>
      <c r="L2688">
        <v>1169</v>
      </c>
      <c r="M2688">
        <v>1862.51</v>
      </c>
      <c r="N2688">
        <v>94</v>
      </c>
      <c r="O2688">
        <v>2306.31</v>
      </c>
      <c r="P2688">
        <f t="shared" si="164"/>
        <v>7.1841199606686335E-2</v>
      </c>
      <c r="Q2688">
        <f t="shared" si="164"/>
        <v>1.5932506415739949</v>
      </c>
      <c r="R2688">
        <f t="shared" si="165"/>
        <v>19.813936170212767</v>
      </c>
      <c r="S2688">
        <f t="shared" si="166"/>
        <v>1.2382805998357056</v>
      </c>
      <c r="T2688">
        <f t="shared" si="167"/>
        <v>8.0410607356715139E-2</v>
      </c>
      <c r="U2688" t="str">
        <f>YEAR('Campaign Data'!$A2688)&amp;"-"&amp;TEXT(MONTH('Campaign Data'!$A2688),"00")</f>
        <v>2026-05</v>
      </c>
    </row>
    <row r="2689" spans="1:21" x14ac:dyDescent="0.25">
      <c r="A2689">
        <v>46168</v>
      </c>
      <c r="B2689" t="s">
        <v>46</v>
      </c>
      <c r="C2689" t="s">
        <v>47</v>
      </c>
      <c r="D2689" t="s">
        <v>48</v>
      </c>
      <c r="E2689" t="s">
        <v>49</v>
      </c>
      <c r="F2689" t="s">
        <v>43</v>
      </c>
      <c r="G2689" t="s">
        <v>50</v>
      </c>
      <c r="H2689" t="s">
        <v>51</v>
      </c>
      <c r="I2689" t="s">
        <v>28</v>
      </c>
      <c r="J2689" t="s">
        <v>38</v>
      </c>
      <c r="K2689">
        <v>13765</v>
      </c>
      <c r="L2689">
        <v>684</v>
      </c>
      <c r="M2689">
        <v>688.6</v>
      </c>
      <c r="N2689">
        <v>39</v>
      </c>
      <c r="O2689">
        <v>1488.02</v>
      </c>
      <c r="P2689">
        <f t="shared" si="164"/>
        <v>4.9691245913548857E-2</v>
      </c>
      <c r="Q2689">
        <f t="shared" si="164"/>
        <v>1.0067251461988305</v>
      </c>
      <c r="R2689">
        <f t="shared" si="165"/>
        <v>17.656410256410258</v>
      </c>
      <c r="S2689">
        <f t="shared" si="166"/>
        <v>2.1609352309032821</v>
      </c>
      <c r="T2689">
        <f t="shared" si="167"/>
        <v>5.701754385964912E-2</v>
      </c>
      <c r="U2689" t="str">
        <f>YEAR('Campaign Data'!$A2689)&amp;"-"&amp;TEXT(MONTH('Campaign Data'!$A2689),"00")</f>
        <v>2026-05</v>
      </c>
    </row>
    <row r="2690" spans="1:21" x14ac:dyDescent="0.25">
      <c r="A2690">
        <v>46168</v>
      </c>
      <c r="B2690" t="s">
        <v>52</v>
      </c>
      <c r="C2690" t="s">
        <v>53</v>
      </c>
      <c r="D2690" t="s">
        <v>32</v>
      </c>
      <c r="E2690" t="s">
        <v>42</v>
      </c>
      <c r="F2690" t="s">
        <v>25</v>
      </c>
      <c r="G2690" t="s">
        <v>54</v>
      </c>
      <c r="H2690" t="s">
        <v>51</v>
      </c>
      <c r="I2690" t="s">
        <v>28</v>
      </c>
      <c r="J2690" t="s">
        <v>62</v>
      </c>
      <c r="K2690">
        <v>11533</v>
      </c>
      <c r="L2690">
        <v>88</v>
      </c>
      <c r="M2690">
        <v>465.61</v>
      </c>
      <c r="N2690">
        <v>4</v>
      </c>
      <c r="O2690">
        <v>584.87</v>
      </c>
      <c r="P2690">
        <f t="shared" ref="P2690:Q2753" si="168">IF(K2690=0,0,L2690/K2690)</f>
        <v>7.6302783317436923E-3</v>
      </c>
      <c r="Q2690">
        <f t="shared" si="168"/>
        <v>5.2910227272727273</v>
      </c>
      <c r="R2690">
        <f t="shared" ref="R2690:R2753" si="169">IF(N2690=0,0,M2690/N2690)</f>
        <v>116.4025</v>
      </c>
      <c r="S2690">
        <f t="shared" ref="S2690:S2753" si="170">IF(M2690=0,0,O2690/M2690)</f>
        <v>1.2561371104572496</v>
      </c>
      <c r="T2690">
        <f t="shared" ref="T2690:T2753" si="171">IF(L2690=0,0,N2690/L2690)</f>
        <v>4.5454545454545456E-2</v>
      </c>
      <c r="U2690" t="str">
        <f>YEAR('Campaign Data'!$A2690)&amp;"-"&amp;TEXT(MONTH('Campaign Data'!$A2690),"00")</f>
        <v>2026-05</v>
      </c>
    </row>
    <row r="2691" spans="1:21" x14ac:dyDescent="0.25">
      <c r="A2691">
        <v>46168</v>
      </c>
      <c r="B2691" t="s">
        <v>169</v>
      </c>
      <c r="C2691" t="s">
        <v>170</v>
      </c>
      <c r="D2691" t="s">
        <v>58</v>
      </c>
      <c r="E2691" t="s">
        <v>74</v>
      </c>
      <c r="F2691" t="s">
        <v>75</v>
      </c>
      <c r="G2691" t="s">
        <v>9</v>
      </c>
      <c r="H2691" t="s">
        <v>90</v>
      </c>
      <c r="I2691" t="s">
        <v>28</v>
      </c>
      <c r="J2691" t="s">
        <v>29</v>
      </c>
      <c r="K2691">
        <v>8769</v>
      </c>
      <c r="L2691">
        <v>260</v>
      </c>
      <c r="M2691">
        <v>78.36</v>
      </c>
      <c r="N2691">
        <v>10</v>
      </c>
      <c r="O2691">
        <v>50</v>
      </c>
      <c r="P2691">
        <f t="shared" si="168"/>
        <v>2.9649903067624588E-2</v>
      </c>
      <c r="Q2691">
        <f t="shared" si="168"/>
        <v>0.30138461538461536</v>
      </c>
      <c r="R2691">
        <f t="shared" si="169"/>
        <v>7.8360000000000003</v>
      </c>
      <c r="S2691">
        <f t="shared" si="170"/>
        <v>0.63808065339458908</v>
      </c>
      <c r="T2691">
        <f t="shared" si="171"/>
        <v>3.8461538461538464E-2</v>
      </c>
      <c r="U2691" t="str">
        <f>YEAR('Campaign Data'!$A2691)&amp;"-"&amp;TEXT(MONTH('Campaign Data'!$A2691),"00")</f>
        <v>2026-05</v>
      </c>
    </row>
    <row r="2692" spans="1:21" x14ac:dyDescent="0.25">
      <c r="A2692">
        <v>46168</v>
      </c>
      <c r="B2692" t="s">
        <v>108</v>
      </c>
      <c r="C2692" t="s">
        <v>109</v>
      </c>
      <c r="D2692" t="s">
        <v>58</v>
      </c>
      <c r="E2692" t="s">
        <v>33</v>
      </c>
      <c r="F2692" t="s">
        <v>43</v>
      </c>
      <c r="G2692" t="s">
        <v>59</v>
      </c>
      <c r="H2692" t="s">
        <v>36</v>
      </c>
      <c r="I2692" t="s">
        <v>37</v>
      </c>
      <c r="J2692" t="s">
        <v>87</v>
      </c>
      <c r="K2692">
        <v>8353</v>
      </c>
      <c r="L2692">
        <v>74</v>
      </c>
      <c r="M2692">
        <v>25.98</v>
      </c>
      <c r="N2692">
        <v>1</v>
      </c>
      <c r="O2692">
        <v>41.04</v>
      </c>
      <c r="P2692">
        <f t="shared" si="168"/>
        <v>8.8590925416018197E-3</v>
      </c>
      <c r="Q2692">
        <f t="shared" si="168"/>
        <v>0.3510810810810811</v>
      </c>
      <c r="R2692">
        <f t="shared" si="169"/>
        <v>25.98</v>
      </c>
      <c r="S2692">
        <f t="shared" si="170"/>
        <v>1.579676674364896</v>
      </c>
      <c r="T2692">
        <f t="shared" si="171"/>
        <v>1.3513513513513514E-2</v>
      </c>
      <c r="U2692" t="str">
        <f>YEAR('Campaign Data'!$A2692)&amp;"-"&amp;TEXT(MONTH('Campaign Data'!$A2692),"00")</f>
        <v>2026-05</v>
      </c>
    </row>
    <row r="2693" spans="1:21" x14ac:dyDescent="0.25">
      <c r="A2693">
        <v>46168</v>
      </c>
      <c r="B2693" t="s">
        <v>179</v>
      </c>
      <c r="C2693" t="s">
        <v>180</v>
      </c>
      <c r="D2693" t="s">
        <v>58</v>
      </c>
      <c r="E2693" t="s">
        <v>42</v>
      </c>
      <c r="F2693" t="s">
        <v>25</v>
      </c>
      <c r="G2693" t="s">
        <v>54</v>
      </c>
      <c r="H2693" t="s">
        <v>90</v>
      </c>
      <c r="I2693" t="s">
        <v>61</v>
      </c>
      <c r="J2693" t="s">
        <v>38</v>
      </c>
      <c r="K2693">
        <v>569</v>
      </c>
      <c r="L2693">
        <v>1</v>
      </c>
      <c r="M2693">
        <v>1.71</v>
      </c>
      <c r="N2693">
        <v>0</v>
      </c>
      <c r="O2693">
        <v>0</v>
      </c>
      <c r="P2693">
        <f t="shared" si="168"/>
        <v>1.7574692442882249E-3</v>
      </c>
      <c r="Q2693">
        <f t="shared" si="168"/>
        <v>1.71</v>
      </c>
      <c r="R2693">
        <f t="shared" si="169"/>
        <v>0</v>
      </c>
      <c r="S2693">
        <f t="shared" si="170"/>
        <v>0</v>
      </c>
      <c r="T2693">
        <f t="shared" si="171"/>
        <v>0</v>
      </c>
      <c r="U2693" t="str">
        <f>YEAR('Campaign Data'!$A2693)&amp;"-"&amp;TEXT(MONTH('Campaign Data'!$A2693),"00")</f>
        <v>2026-05</v>
      </c>
    </row>
    <row r="2694" spans="1:21" x14ac:dyDescent="0.25">
      <c r="A2694">
        <v>46168</v>
      </c>
      <c r="B2694" t="s">
        <v>179</v>
      </c>
      <c r="C2694" t="s">
        <v>180</v>
      </c>
      <c r="D2694" t="s">
        <v>58</v>
      </c>
      <c r="E2694" t="s">
        <v>42</v>
      </c>
      <c r="F2694" t="s">
        <v>25</v>
      </c>
      <c r="G2694" t="s">
        <v>54</v>
      </c>
      <c r="H2694" t="s">
        <v>90</v>
      </c>
      <c r="I2694" t="s">
        <v>37</v>
      </c>
      <c r="J2694" t="s">
        <v>62</v>
      </c>
      <c r="K2694">
        <v>7379</v>
      </c>
      <c r="L2694">
        <v>44</v>
      </c>
      <c r="M2694">
        <v>75.19</v>
      </c>
      <c r="N2694">
        <v>0</v>
      </c>
      <c r="O2694">
        <v>0</v>
      </c>
      <c r="P2694">
        <f t="shared" si="168"/>
        <v>5.9628675972353976E-3</v>
      </c>
      <c r="Q2694">
        <f t="shared" si="168"/>
        <v>1.7088636363636363</v>
      </c>
      <c r="R2694">
        <f t="shared" si="169"/>
        <v>0</v>
      </c>
      <c r="S2694">
        <f t="shared" si="170"/>
        <v>0</v>
      </c>
      <c r="T2694">
        <f t="shared" si="171"/>
        <v>0</v>
      </c>
      <c r="U2694" t="str">
        <f>YEAR('Campaign Data'!$A2694)&amp;"-"&amp;TEXT(MONTH('Campaign Data'!$A2694),"00")</f>
        <v>2026-05</v>
      </c>
    </row>
    <row r="2695" spans="1:21" x14ac:dyDescent="0.25">
      <c r="A2695">
        <v>46168</v>
      </c>
      <c r="B2695" t="s">
        <v>171</v>
      </c>
      <c r="C2695" t="s">
        <v>172</v>
      </c>
      <c r="D2695" t="s">
        <v>23</v>
      </c>
      <c r="E2695" t="s">
        <v>33</v>
      </c>
      <c r="F2695" t="s">
        <v>75</v>
      </c>
      <c r="G2695" t="s">
        <v>59</v>
      </c>
      <c r="H2695" t="s">
        <v>90</v>
      </c>
      <c r="I2695" t="s">
        <v>28</v>
      </c>
      <c r="J2695" t="s">
        <v>38</v>
      </c>
      <c r="K2695">
        <v>6410</v>
      </c>
      <c r="L2695">
        <v>62</v>
      </c>
      <c r="M2695">
        <v>9.2200000000000006</v>
      </c>
      <c r="N2695">
        <v>3</v>
      </c>
      <c r="O2695">
        <v>27.32</v>
      </c>
      <c r="P2695">
        <f t="shared" si="168"/>
        <v>9.6723868954758183E-3</v>
      </c>
      <c r="Q2695">
        <f t="shared" si="168"/>
        <v>0.14870967741935484</v>
      </c>
      <c r="R2695">
        <f t="shared" si="169"/>
        <v>3.0733333333333337</v>
      </c>
      <c r="S2695">
        <f t="shared" si="170"/>
        <v>2.9631236442516267</v>
      </c>
      <c r="T2695">
        <f t="shared" si="171"/>
        <v>4.8387096774193547E-2</v>
      </c>
      <c r="U2695" t="str">
        <f>YEAR('Campaign Data'!$A2695)&amp;"-"&amp;TEXT(MONTH('Campaign Data'!$A2695),"00")</f>
        <v>2026-05</v>
      </c>
    </row>
    <row r="2696" spans="1:21" x14ac:dyDescent="0.25">
      <c r="A2696">
        <v>46168</v>
      </c>
      <c r="B2696" t="s">
        <v>134</v>
      </c>
      <c r="C2696" t="s">
        <v>135</v>
      </c>
      <c r="D2696" t="s">
        <v>32</v>
      </c>
      <c r="E2696" t="s">
        <v>74</v>
      </c>
      <c r="F2696" t="s">
        <v>25</v>
      </c>
      <c r="G2696" t="s">
        <v>107</v>
      </c>
      <c r="H2696" t="s">
        <v>55</v>
      </c>
      <c r="I2696" t="s">
        <v>28</v>
      </c>
      <c r="J2696" t="s">
        <v>45</v>
      </c>
      <c r="K2696">
        <v>14141</v>
      </c>
      <c r="L2696">
        <v>488</v>
      </c>
      <c r="M2696">
        <v>617.30999999999995</v>
      </c>
      <c r="N2696">
        <v>28</v>
      </c>
      <c r="O2696">
        <v>5460.45</v>
      </c>
      <c r="P2696">
        <f t="shared" si="168"/>
        <v>3.4509582066331944E-2</v>
      </c>
      <c r="Q2696">
        <f t="shared" si="168"/>
        <v>1.2649795081967212</v>
      </c>
      <c r="R2696">
        <f t="shared" si="169"/>
        <v>22.046785714285711</v>
      </c>
      <c r="S2696">
        <f t="shared" si="170"/>
        <v>8.8455557175487201</v>
      </c>
      <c r="T2696">
        <f t="shared" si="171"/>
        <v>5.737704918032787E-2</v>
      </c>
      <c r="U2696" t="str">
        <f>YEAR('Campaign Data'!$A2696)&amp;"-"&amp;TEXT(MONTH('Campaign Data'!$A2696),"00")</f>
        <v>2026-05</v>
      </c>
    </row>
    <row r="2697" spans="1:21" x14ac:dyDescent="0.25">
      <c r="A2697">
        <v>46168</v>
      </c>
      <c r="B2697" t="s">
        <v>134</v>
      </c>
      <c r="C2697" t="s">
        <v>135</v>
      </c>
      <c r="D2697" t="s">
        <v>32</v>
      </c>
      <c r="E2697" t="s">
        <v>74</v>
      </c>
      <c r="F2697" t="s">
        <v>25</v>
      </c>
      <c r="G2697" t="s">
        <v>107</v>
      </c>
      <c r="H2697" t="s">
        <v>55</v>
      </c>
      <c r="I2697" t="s">
        <v>37</v>
      </c>
      <c r="J2697" t="s">
        <v>62</v>
      </c>
      <c r="K2697">
        <v>22445</v>
      </c>
      <c r="L2697">
        <v>1343</v>
      </c>
      <c r="M2697">
        <v>2311.88</v>
      </c>
      <c r="N2697">
        <v>49</v>
      </c>
      <c r="O2697">
        <v>3838.06</v>
      </c>
      <c r="P2697">
        <f t="shared" si="168"/>
        <v>5.9835152595232789E-2</v>
      </c>
      <c r="Q2697">
        <f t="shared" si="168"/>
        <v>1.7214296351451974</v>
      </c>
      <c r="R2697">
        <f t="shared" si="169"/>
        <v>47.181224489795923</v>
      </c>
      <c r="S2697">
        <f t="shared" si="170"/>
        <v>1.6601467204180147</v>
      </c>
      <c r="T2697">
        <f t="shared" si="171"/>
        <v>3.6485480268056592E-2</v>
      </c>
      <c r="U2697" t="str">
        <f>YEAR('Campaign Data'!$A2697)&amp;"-"&amp;TEXT(MONTH('Campaign Data'!$A2697),"00")</f>
        <v>2026-05</v>
      </c>
    </row>
    <row r="2698" spans="1:21" x14ac:dyDescent="0.25">
      <c r="A2698">
        <v>46168</v>
      </c>
      <c r="B2698" t="s">
        <v>134</v>
      </c>
      <c r="C2698" t="s">
        <v>135</v>
      </c>
      <c r="D2698" t="s">
        <v>32</v>
      </c>
      <c r="E2698" t="s">
        <v>74</v>
      </c>
      <c r="F2698" t="s">
        <v>25</v>
      </c>
      <c r="G2698" t="s">
        <v>107</v>
      </c>
      <c r="H2698" t="s">
        <v>27</v>
      </c>
      <c r="I2698" t="s">
        <v>28</v>
      </c>
      <c r="J2698" t="s">
        <v>87</v>
      </c>
      <c r="K2698">
        <v>10048</v>
      </c>
      <c r="L2698">
        <v>420</v>
      </c>
      <c r="M2698">
        <v>980.88</v>
      </c>
      <c r="N2698">
        <v>15</v>
      </c>
      <c r="O2698">
        <v>2856.68</v>
      </c>
      <c r="P2698">
        <f t="shared" si="168"/>
        <v>4.1799363057324838E-2</v>
      </c>
      <c r="Q2698">
        <f t="shared" si="168"/>
        <v>2.3354285714285714</v>
      </c>
      <c r="R2698">
        <f t="shared" si="169"/>
        <v>65.391999999999996</v>
      </c>
      <c r="S2698">
        <f t="shared" si="170"/>
        <v>2.9123644074708426</v>
      </c>
      <c r="T2698">
        <f t="shared" si="171"/>
        <v>3.5714285714285712E-2</v>
      </c>
      <c r="U2698" t="str">
        <f>YEAR('Campaign Data'!$A2698)&amp;"-"&amp;TEXT(MONTH('Campaign Data'!$A2698),"00")</f>
        <v>2026-05</v>
      </c>
    </row>
    <row r="2699" spans="1:21" x14ac:dyDescent="0.25">
      <c r="A2699">
        <v>46168</v>
      </c>
      <c r="B2699" t="s">
        <v>143</v>
      </c>
      <c r="C2699" t="s">
        <v>144</v>
      </c>
      <c r="D2699" t="s">
        <v>48</v>
      </c>
      <c r="E2699" t="s">
        <v>42</v>
      </c>
      <c r="F2699" t="s">
        <v>25</v>
      </c>
      <c r="G2699" t="s">
        <v>84</v>
      </c>
      <c r="H2699" t="s">
        <v>36</v>
      </c>
      <c r="I2699" t="s">
        <v>28</v>
      </c>
      <c r="J2699" t="s">
        <v>87</v>
      </c>
      <c r="K2699">
        <v>2258</v>
      </c>
      <c r="L2699">
        <v>6</v>
      </c>
      <c r="M2699">
        <v>26.42</v>
      </c>
      <c r="N2699">
        <v>0</v>
      </c>
      <c r="O2699">
        <v>0</v>
      </c>
      <c r="P2699">
        <f t="shared" si="168"/>
        <v>2.6572187776793621E-3</v>
      </c>
      <c r="Q2699">
        <f t="shared" si="168"/>
        <v>4.4033333333333333</v>
      </c>
      <c r="R2699">
        <f t="shared" si="169"/>
        <v>0</v>
      </c>
      <c r="S2699">
        <f t="shared" si="170"/>
        <v>0</v>
      </c>
      <c r="T2699">
        <f t="shared" si="171"/>
        <v>0</v>
      </c>
      <c r="U2699" t="str">
        <f>YEAR('Campaign Data'!$A2699)&amp;"-"&amp;TEXT(MONTH('Campaign Data'!$A2699),"00")</f>
        <v>2026-05</v>
      </c>
    </row>
    <row r="2700" spans="1:21" x14ac:dyDescent="0.25">
      <c r="A2700">
        <v>46168</v>
      </c>
      <c r="B2700" t="s">
        <v>183</v>
      </c>
      <c r="C2700" t="s">
        <v>184</v>
      </c>
      <c r="D2700" t="s">
        <v>23</v>
      </c>
      <c r="E2700" t="s">
        <v>24</v>
      </c>
      <c r="F2700" t="s">
        <v>81</v>
      </c>
      <c r="G2700" t="s">
        <v>185</v>
      </c>
      <c r="H2700" t="s">
        <v>90</v>
      </c>
      <c r="I2700" t="s">
        <v>37</v>
      </c>
      <c r="J2700" t="s">
        <v>45</v>
      </c>
      <c r="K2700">
        <v>6829</v>
      </c>
      <c r="L2700">
        <v>83</v>
      </c>
      <c r="M2700">
        <v>13.59</v>
      </c>
      <c r="N2700">
        <v>2</v>
      </c>
      <c r="O2700">
        <v>13.75</v>
      </c>
      <c r="P2700">
        <f t="shared" si="168"/>
        <v>1.2154048909064285E-2</v>
      </c>
      <c r="Q2700">
        <f t="shared" si="168"/>
        <v>0.16373493975903614</v>
      </c>
      <c r="R2700">
        <f t="shared" si="169"/>
        <v>6.7949999999999999</v>
      </c>
      <c r="S2700">
        <f t="shared" si="170"/>
        <v>1.0117733627667402</v>
      </c>
      <c r="T2700">
        <f t="shared" si="171"/>
        <v>2.4096385542168676E-2</v>
      </c>
      <c r="U2700" t="str">
        <f>YEAR('Campaign Data'!$A2700)&amp;"-"&amp;TEXT(MONTH('Campaign Data'!$A2700),"00")</f>
        <v>2026-05</v>
      </c>
    </row>
    <row r="2701" spans="1:21" x14ac:dyDescent="0.25">
      <c r="A2701">
        <v>46168</v>
      </c>
      <c r="B2701" t="s">
        <v>118</v>
      </c>
      <c r="C2701" t="s">
        <v>119</v>
      </c>
      <c r="D2701" t="s">
        <v>69</v>
      </c>
      <c r="E2701" t="s">
        <v>33</v>
      </c>
      <c r="F2701" t="s">
        <v>34</v>
      </c>
      <c r="G2701" t="s">
        <v>35</v>
      </c>
      <c r="H2701" t="s">
        <v>27</v>
      </c>
      <c r="I2701" t="s">
        <v>37</v>
      </c>
      <c r="J2701" t="s">
        <v>29</v>
      </c>
      <c r="K2701">
        <v>5728</v>
      </c>
      <c r="L2701">
        <v>37</v>
      </c>
      <c r="M2701">
        <v>31.55</v>
      </c>
      <c r="N2701">
        <v>0</v>
      </c>
      <c r="O2701">
        <v>0</v>
      </c>
      <c r="P2701">
        <f t="shared" si="168"/>
        <v>6.4594972067039107E-3</v>
      </c>
      <c r="Q2701">
        <f t="shared" si="168"/>
        <v>0.85270270270270276</v>
      </c>
      <c r="R2701">
        <f t="shared" si="169"/>
        <v>0</v>
      </c>
      <c r="S2701">
        <f t="shared" si="170"/>
        <v>0</v>
      </c>
      <c r="T2701">
        <f t="shared" si="171"/>
        <v>0</v>
      </c>
      <c r="U2701" t="str">
        <f>YEAR('Campaign Data'!$A2701)&amp;"-"&amp;TEXT(MONTH('Campaign Data'!$A2701),"00")</f>
        <v>2026-05</v>
      </c>
    </row>
    <row r="2702" spans="1:21" x14ac:dyDescent="0.25">
      <c r="A2702">
        <v>46168</v>
      </c>
      <c r="B2702" t="s">
        <v>163</v>
      </c>
      <c r="C2702" t="s">
        <v>164</v>
      </c>
      <c r="D2702" t="s">
        <v>58</v>
      </c>
      <c r="E2702" t="s">
        <v>42</v>
      </c>
      <c r="F2702" t="s">
        <v>43</v>
      </c>
      <c r="G2702" t="s">
        <v>44</v>
      </c>
      <c r="H2702" t="s">
        <v>90</v>
      </c>
      <c r="I2702" t="s">
        <v>37</v>
      </c>
      <c r="J2702" t="s">
        <v>38</v>
      </c>
      <c r="K2702">
        <v>13583</v>
      </c>
      <c r="L2702">
        <v>81</v>
      </c>
      <c r="M2702">
        <v>134.18</v>
      </c>
      <c r="N2702">
        <v>1</v>
      </c>
      <c r="O2702">
        <v>5.6</v>
      </c>
      <c r="P2702">
        <f t="shared" si="168"/>
        <v>5.9633365235956708E-3</v>
      </c>
      <c r="Q2702">
        <f t="shared" si="168"/>
        <v>1.6565432098765434</v>
      </c>
      <c r="R2702">
        <f t="shared" si="169"/>
        <v>134.18</v>
      </c>
      <c r="S2702">
        <f t="shared" si="170"/>
        <v>4.1734982858846324E-2</v>
      </c>
      <c r="T2702">
        <f t="shared" si="171"/>
        <v>1.2345679012345678E-2</v>
      </c>
      <c r="U2702" t="str">
        <f>YEAR('Campaign Data'!$A2702)&amp;"-"&amp;TEXT(MONTH('Campaign Data'!$A2702),"00")</f>
        <v>2026-05</v>
      </c>
    </row>
    <row r="2703" spans="1:21" x14ac:dyDescent="0.25">
      <c r="A2703">
        <v>46168</v>
      </c>
      <c r="B2703" t="s">
        <v>82</v>
      </c>
      <c r="C2703" t="s">
        <v>83</v>
      </c>
      <c r="D2703" t="s">
        <v>80</v>
      </c>
      <c r="E2703" t="s">
        <v>42</v>
      </c>
      <c r="F2703" t="s">
        <v>34</v>
      </c>
      <c r="G2703" t="s">
        <v>84</v>
      </c>
      <c r="H2703" t="s">
        <v>90</v>
      </c>
      <c r="I2703" t="s">
        <v>61</v>
      </c>
      <c r="J2703" t="s">
        <v>38</v>
      </c>
      <c r="K2703">
        <v>5307</v>
      </c>
      <c r="L2703">
        <v>38</v>
      </c>
      <c r="M2703">
        <v>43.6</v>
      </c>
      <c r="N2703">
        <v>0</v>
      </c>
      <c r="O2703">
        <v>0</v>
      </c>
      <c r="P2703">
        <f t="shared" si="168"/>
        <v>7.1603542491049561E-3</v>
      </c>
      <c r="Q2703">
        <f t="shared" si="168"/>
        <v>1.1473684210526316</v>
      </c>
      <c r="R2703">
        <f t="shared" si="169"/>
        <v>0</v>
      </c>
      <c r="S2703">
        <f t="shared" si="170"/>
        <v>0</v>
      </c>
      <c r="T2703">
        <f t="shared" si="171"/>
        <v>0</v>
      </c>
      <c r="U2703" t="str">
        <f>YEAR('Campaign Data'!$A2703)&amp;"-"&amp;TEXT(MONTH('Campaign Data'!$A2703),"00")</f>
        <v>2026-05</v>
      </c>
    </row>
    <row r="2704" spans="1:21" x14ac:dyDescent="0.25">
      <c r="A2704">
        <v>46169</v>
      </c>
      <c r="B2704" t="s">
        <v>85</v>
      </c>
      <c r="C2704" t="s">
        <v>86</v>
      </c>
      <c r="D2704" t="s">
        <v>80</v>
      </c>
      <c r="E2704" t="s">
        <v>33</v>
      </c>
      <c r="F2704" t="s">
        <v>43</v>
      </c>
      <c r="G2704" t="s">
        <v>35</v>
      </c>
      <c r="H2704" t="s">
        <v>36</v>
      </c>
      <c r="I2704" t="s">
        <v>28</v>
      </c>
      <c r="J2704" t="s">
        <v>45</v>
      </c>
      <c r="K2704">
        <v>5653</v>
      </c>
      <c r="L2704">
        <v>31</v>
      </c>
      <c r="M2704">
        <v>21.43</v>
      </c>
      <c r="N2704">
        <v>0</v>
      </c>
      <c r="O2704">
        <v>0</v>
      </c>
      <c r="P2704">
        <f t="shared" si="168"/>
        <v>5.4838139041217052E-3</v>
      </c>
      <c r="Q2704">
        <f t="shared" si="168"/>
        <v>0.69129032258064516</v>
      </c>
      <c r="R2704">
        <f t="shared" si="169"/>
        <v>0</v>
      </c>
      <c r="S2704">
        <f t="shared" si="170"/>
        <v>0</v>
      </c>
      <c r="T2704">
        <f t="shared" si="171"/>
        <v>0</v>
      </c>
      <c r="U2704" t="str">
        <f>YEAR('Campaign Data'!$A2704)&amp;"-"&amp;TEXT(MONTH('Campaign Data'!$A2704),"00")</f>
        <v>2026-05</v>
      </c>
    </row>
    <row r="2705" spans="1:21" x14ac:dyDescent="0.25">
      <c r="A2705">
        <v>46169</v>
      </c>
      <c r="B2705" t="s">
        <v>167</v>
      </c>
      <c r="C2705" t="s">
        <v>168</v>
      </c>
      <c r="D2705" t="s">
        <v>58</v>
      </c>
      <c r="E2705" t="s">
        <v>33</v>
      </c>
      <c r="F2705" t="s">
        <v>75</v>
      </c>
      <c r="G2705" t="s">
        <v>35</v>
      </c>
      <c r="H2705" t="s">
        <v>71</v>
      </c>
      <c r="I2705" t="s">
        <v>37</v>
      </c>
      <c r="J2705" t="s">
        <v>29</v>
      </c>
      <c r="K2705">
        <v>15002</v>
      </c>
      <c r="L2705">
        <v>66</v>
      </c>
      <c r="M2705">
        <v>23.11</v>
      </c>
      <c r="N2705">
        <v>2</v>
      </c>
      <c r="O2705">
        <v>65.38</v>
      </c>
      <c r="P2705">
        <f t="shared" si="168"/>
        <v>4.3994134115451274E-3</v>
      </c>
      <c r="Q2705">
        <f t="shared" si="168"/>
        <v>0.35015151515151516</v>
      </c>
      <c r="R2705">
        <f t="shared" si="169"/>
        <v>11.555</v>
      </c>
      <c r="S2705">
        <f t="shared" si="170"/>
        <v>2.8290783210731285</v>
      </c>
      <c r="T2705">
        <f t="shared" si="171"/>
        <v>3.0303030303030304E-2</v>
      </c>
      <c r="U2705" t="str">
        <f>YEAR('Campaign Data'!$A2705)&amp;"-"&amp;TEXT(MONTH('Campaign Data'!$A2705),"00")</f>
        <v>2026-05</v>
      </c>
    </row>
    <row r="2706" spans="1:21" x14ac:dyDescent="0.25">
      <c r="A2706">
        <v>46169</v>
      </c>
      <c r="B2706" t="s">
        <v>138</v>
      </c>
      <c r="C2706" t="s">
        <v>139</v>
      </c>
      <c r="D2706" t="s">
        <v>58</v>
      </c>
      <c r="E2706" t="s">
        <v>74</v>
      </c>
      <c r="F2706" t="s">
        <v>34</v>
      </c>
      <c r="G2706" t="s">
        <v>9</v>
      </c>
      <c r="H2706" t="s">
        <v>36</v>
      </c>
      <c r="I2706" t="s">
        <v>37</v>
      </c>
      <c r="J2706" t="s">
        <v>62</v>
      </c>
      <c r="K2706">
        <v>2989</v>
      </c>
      <c r="L2706">
        <v>149</v>
      </c>
      <c r="M2706">
        <v>183.19</v>
      </c>
      <c r="N2706">
        <v>9</v>
      </c>
      <c r="O2706">
        <v>352.26</v>
      </c>
      <c r="P2706">
        <f t="shared" si="168"/>
        <v>4.9849447975911676E-2</v>
      </c>
      <c r="Q2706">
        <f t="shared" si="168"/>
        <v>1.2294630872483221</v>
      </c>
      <c r="R2706">
        <f t="shared" si="169"/>
        <v>20.354444444444443</v>
      </c>
      <c r="S2706">
        <f t="shared" si="170"/>
        <v>1.92292155685354</v>
      </c>
      <c r="T2706">
        <f t="shared" si="171"/>
        <v>6.0402684563758392E-2</v>
      </c>
      <c r="U2706" t="str">
        <f>YEAR('Campaign Data'!$A2706)&amp;"-"&amp;TEXT(MONTH('Campaign Data'!$A2706),"00")</f>
        <v>2026-05</v>
      </c>
    </row>
    <row r="2707" spans="1:21" x14ac:dyDescent="0.25">
      <c r="A2707">
        <v>46169</v>
      </c>
      <c r="B2707" t="s">
        <v>186</v>
      </c>
      <c r="C2707" t="s">
        <v>187</v>
      </c>
      <c r="D2707" t="s">
        <v>80</v>
      </c>
      <c r="E2707" t="s">
        <v>33</v>
      </c>
      <c r="F2707" t="s">
        <v>43</v>
      </c>
      <c r="G2707" t="s">
        <v>102</v>
      </c>
      <c r="H2707" t="s">
        <v>55</v>
      </c>
      <c r="I2707" t="s">
        <v>37</v>
      </c>
      <c r="J2707" t="s">
        <v>38</v>
      </c>
      <c r="K2707">
        <v>5963</v>
      </c>
      <c r="L2707">
        <v>81</v>
      </c>
      <c r="M2707">
        <v>45.29</v>
      </c>
      <c r="N2707">
        <v>0</v>
      </c>
      <c r="O2707">
        <v>0</v>
      </c>
      <c r="P2707">
        <f t="shared" si="168"/>
        <v>1.3583766560456146E-2</v>
      </c>
      <c r="Q2707">
        <f t="shared" si="168"/>
        <v>0.55913580246913575</v>
      </c>
      <c r="R2707">
        <f t="shared" si="169"/>
        <v>0</v>
      </c>
      <c r="S2707">
        <f t="shared" si="170"/>
        <v>0</v>
      </c>
      <c r="T2707">
        <f t="shared" si="171"/>
        <v>0</v>
      </c>
      <c r="U2707" t="str">
        <f>YEAR('Campaign Data'!$A2707)&amp;"-"&amp;TEXT(MONTH('Campaign Data'!$A2707),"00")</f>
        <v>2026-05</v>
      </c>
    </row>
    <row r="2708" spans="1:21" x14ac:dyDescent="0.25">
      <c r="A2708">
        <v>46169</v>
      </c>
      <c r="B2708" t="s">
        <v>93</v>
      </c>
      <c r="C2708" t="s">
        <v>94</v>
      </c>
      <c r="D2708" t="s">
        <v>69</v>
      </c>
      <c r="E2708" t="s">
        <v>42</v>
      </c>
      <c r="F2708" t="s">
        <v>75</v>
      </c>
      <c r="G2708" t="s">
        <v>44</v>
      </c>
      <c r="H2708" t="s">
        <v>90</v>
      </c>
      <c r="I2708" t="s">
        <v>37</v>
      </c>
      <c r="J2708" t="s">
        <v>29</v>
      </c>
      <c r="K2708">
        <v>12263</v>
      </c>
      <c r="L2708">
        <v>83</v>
      </c>
      <c r="M2708">
        <v>134.77000000000001</v>
      </c>
      <c r="N2708">
        <v>1</v>
      </c>
      <c r="O2708">
        <v>11.42</v>
      </c>
      <c r="P2708">
        <f t="shared" si="168"/>
        <v>6.7683274891951395E-3</v>
      </c>
      <c r="Q2708">
        <f t="shared" si="168"/>
        <v>1.6237349397590364</v>
      </c>
      <c r="R2708">
        <f t="shared" si="169"/>
        <v>134.77000000000001</v>
      </c>
      <c r="S2708">
        <f t="shared" si="170"/>
        <v>8.4736959263931141E-2</v>
      </c>
      <c r="T2708">
        <f t="shared" si="171"/>
        <v>1.2048192771084338E-2</v>
      </c>
      <c r="U2708" t="str">
        <f>YEAR('Campaign Data'!$A2708)&amp;"-"&amp;TEXT(MONTH('Campaign Data'!$A2708),"00")</f>
        <v>2026-05</v>
      </c>
    </row>
    <row r="2709" spans="1:21" x14ac:dyDescent="0.25">
      <c r="A2709">
        <v>46169</v>
      </c>
      <c r="B2709" t="s">
        <v>169</v>
      </c>
      <c r="C2709" t="s">
        <v>170</v>
      </c>
      <c r="D2709" t="s">
        <v>58</v>
      </c>
      <c r="E2709" t="s">
        <v>74</v>
      </c>
      <c r="F2709" t="s">
        <v>75</v>
      </c>
      <c r="G2709" t="s">
        <v>9</v>
      </c>
      <c r="H2709" t="s">
        <v>27</v>
      </c>
      <c r="I2709" t="s">
        <v>37</v>
      </c>
      <c r="J2709" t="s">
        <v>87</v>
      </c>
      <c r="K2709">
        <v>6167</v>
      </c>
      <c r="L2709">
        <v>120</v>
      </c>
      <c r="M2709">
        <v>336.62</v>
      </c>
      <c r="N2709">
        <v>8</v>
      </c>
      <c r="O2709">
        <v>397.86</v>
      </c>
      <c r="P2709">
        <f t="shared" si="168"/>
        <v>1.9458407653640344E-2</v>
      </c>
      <c r="Q2709">
        <f t="shared" si="168"/>
        <v>2.8051666666666666</v>
      </c>
      <c r="R2709">
        <f t="shared" si="169"/>
        <v>42.077500000000001</v>
      </c>
      <c r="S2709">
        <f t="shared" si="170"/>
        <v>1.1819262075931318</v>
      </c>
      <c r="T2709">
        <f t="shared" si="171"/>
        <v>6.6666666666666666E-2</v>
      </c>
      <c r="U2709" t="str">
        <f>YEAR('Campaign Data'!$A2709)&amp;"-"&amp;TEXT(MONTH('Campaign Data'!$A2709),"00")</f>
        <v>2026-05</v>
      </c>
    </row>
    <row r="2710" spans="1:21" x14ac:dyDescent="0.25">
      <c r="A2710">
        <v>46169</v>
      </c>
      <c r="B2710" t="s">
        <v>130</v>
      </c>
      <c r="C2710" t="s">
        <v>131</v>
      </c>
      <c r="D2710" t="s">
        <v>48</v>
      </c>
      <c r="E2710" t="s">
        <v>33</v>
      </c>
      <c r="F2710" t="s">
        <v>34</v>
      </c>
      <c r="G2710" t="s">
        <v>35</v>
      </c>
      <c r="H2710" t="s">
        <v>51</v>
      </c>
      <c r="I2710" t="s">
        <v>28</v>
      </c>
      <c r="J2710" t="s">
        <v>62</v>
      </c>
      <c r="K2710">
        <v>5929</v>
      </c>
      <c r="L2710">
        <v>61</v>
      </c>
      <c r="M2710">
        <v>28.21</v>
      </c>
      <c r="N2710">
        <v>3</v>
      </c>
      <c r="O2710">
        <v>407.73</v>
      </c>
      <c r="P2710">
        <f t="shared" si="168"/>
        <v>1.0288412885815484E-2</v>
      </c>
      <c r="Q2710">
        <f t="shared" si="168"/>
        <v>0.46245901639344261</v>
      </c>
      <c r="R2710">
        <f t="shared" si="169"/>
        <v>9.4033333333333342</v>
      </c>
      <c r="S2710">
        <f t="shared" si="170"/>
        <v>14.453385324353066</v>
      </c>
      <c r="T2710">
        <f t="shared" si="171"/>
        <v>4.9180327868852458E-2</v>
      </c>
      <c r="U2710" t="str">
        <f>YEAR('Campaign Data'!$A2710)&amp;"-"&amp;TEXT(MONTH('Campaign Data'!$A2710),"00")</f>
        <v>2026-05</v>
      </c>
    </row>
    <row r="2711" spans="1:21" x14ac:dyDescent="0.25">
      <c r="A2711">
        <v>46169</v>
      </c>
      <c r="B2711" t="s">
        <v>130</v>
      </c>
      <c r="C2711" t="s">
        <v>131</v>
      </c>
      <c r="D2711" t="s">
        <v>48</v>
      </c>
      <c r="E2711" t="s">
        <v>33</v>
      </c>
      <c r="F2711" t="s">
        <v>34</v>
      </c>
      <c r="G2711" t="s">
        <v>35</v>
      </c>
      <c r="H2711" t="s">
        <v>27</v>
      </c>
      <c r="I2711" t="s">
        <v>37</v>
      </c>
      <c r="J2711" t="s">
        <v>62</v>
      </c>
      <c r="K2711">
        <v>7611</v>
      </c>
      <c r="L2711">
        <v>86</v>
      </c>
      <c r="M2711">
        <v>71.290000000000006</v>
      </c>
      <c r="N2711">
        <v>3</v>
      </c>
      <c r="O2711">
        <v>670</v>
      </c>
      <c r="P2711">
        <f t="shared" si="168"/>
        <v>1.1299435028248588E-2</v>
      </c>
      <c r="Q2711">
        <f t="shared" si="168"/>
        <v>0.82895348837209315</v>
      </c>
      <c r="R2711">
        <f t="shared" si="169"/>
        <v>23.763333333333335</v>
      </c>
      <c r="S2711">
        <f t="shared" si="170"/>
        <v>9.398232571188105</v>
      </c>
      <c r="T2711">
        <f t="shared" si="171"/>
        <v>3.4883720930232558E-2</v>
      </c>
      <c r="U2711" t="str">
        <f>YEAR('Campaign Data'!$A2711)&amp;"-"&amp;TEXT(MONTH('Campaign Data'!$A2711),"00")</f>
        <v>2026-05</v>
      </c>
    </row>
    <row r="2712" spans="1:21" x14ac:dyDescent="0.25">
      <c r="A2712">
        <v>46169</v>
      </c>
      <c r="B2712" t="s">
        <v>134</v>
      </c>
      <c r="C2712" t="s">
        <v>135</v>
      </c>
      <c r="D2712" t="s">
        <v>32</v>
      </c>
      <c r="E2712" t="s">
        <v>74</v>
      </c>
      <c r="F2712" t="s">
        <v>25</v>
      </c>
      <c r="G2712" t="s">
        <v>107</v>
      </c>
      <c r="H2712" t="s">
        <v>27</v>
      </c>
      <c r="I2712" t="s">
        <v>61</v>
      </c>
      <c r="J2712" t="s">
        <v>29</v>
      </c>
      <c r="K2712">
        <v>6590</v>
      </c>
      <c r="L2712">
        <v>195</v>
      </c>
      <c r="M2712">
        <v>370.71</v>
      </c>
      <c r="N2712">
        <v>16</v>
      </c>
      <c r="O2712">
        <v>3802.97</v>
      </c>
      <c r="P2712">
        <f t="shared" si="168"/>
        <v>2.959028831562974E-2</v>
      </c>
      <c r="Q2712">
        <f t="shared" si="168"/>
        <v>1.9010769230769229</v>
      </c>
      <c r="R2712">
        <f t="shared" si="169"/>
        <v>23.169374999999999</v>
      </c>
      <c r="S2712">
        <f t="shared" si="170"/>
        <v>10.258611852930862</v>
      </c>
      <c r="T2712">
        <f t="shared" si="171"/>
        <v>8.2051282051282051E-2</v>
      </c>
      <c r="U2712" t="str">
        <f>YEAR('Campaign Data'!$A2712)&amp;"-"&amp;TEXT(MONTH('Campaign Data'!$A2712),"00")</f>
        <v>2026-05</v>
      </c>
    </row>
    <row r="2713" spans="1:21" x14ac:dyDescent="0.25">
      <c r="A2713">
        <v>46169</v>
      </c>
      <c r="B2713" t="s">
        <v>141</v>
      </c>
      <c r="C2713" t="s">
        <v>142</v>
      </c>
      <c r="D2713" t="s">
        <v>80</v>
      </c>
      <c r="E2713" t="s">
        <v>49</v>
      </c>
      <c r="F2713" t="s">
        <v>81</v>
      </c>
      <c r="G2713" t="s">
        <v>97</v>
      </c>
      <c r="H2713" t="s">
        <v>60</v>
      </c>
      <c r="I2713" t="s">
        <v>37</v>
      </c>
      <c r="J2713" t="s">
        <v>38</v>
      </c>
      <c r="K2713">
        <v>11308</v>
      </c>
      <c r="L2713">
        <v>521</v>
      </c>
      <c r="M2713">
        <v>1078.7</v>
      </c>
      <c r="N2713">
        <v>23</v>
      </c>
      <c r="O2713">
        <v>726.87</v>
      </c>
      <c r="P2713">
        <f t="shared" si="168"/>
        <v>4.6073576229218254E-2</v>
      </c>
      <c r="Q2713">
        <f t="shared" si="168"/>
        <v>2.0704414587332054</v>
      </c>
      <c r="R2713">
        <f t="shared" si="169"/>
        <v>46.9</v>
      </c>
      <c r="S2713">
        <f t="shared" si="170"/>
        <v>0.67383888013349402</v>
      </c>
      <c r="T2713">
        <f t="shared" si="171"/>
        <v>4.4145873320537425E-2</v>
      </c>
      <c r="U2713" t="str">
        <f>YEAR('Campaign Data'!$A2713)&amp;"-"&amp;TEXT(MONTH('Campaign Data'!$A2713),"00")</f>
        <v>2026-05</v>
      </c>
    </row>
    <row r="2714" spans="1:21" x14ac:dyDescent="0.25">
      <c r="A2714">
        <v>46169</v>
      </c>
      <c r="B2714" t="s">
        <v>67</v>
      </c>
      <c r="C2714" t="s">
        <v>68</v>
      </c>
      <c r="D2714" t="s">
        <v>69</v>
      </c>
      <c r="E2714" t="s">
        <v>49</v>
      </c>
      <c r="F2714" t="s">
        <v>34</v>
      </c>
      <c r="G2714" t="s">
        <v>70</v>
      </c>
      <c r="H2714" t="s">
        <v>90</v>
      </c>
      <c r="I2714" t="s">
        <v>28</v>
      </c>
      <c r="J2714" t="s">
        <v>29</v>
      </c>
      <c r="K2714">
        <v>6401</v>
      </c>
      <c r="L2714">
        <v>170</v>
      </c>
      <c r="M2714">
        <v>59.16</v>
      </c>
      <c r="N2714">
        <v>7</v>
      </c>
      <c r="O2714">
        <v>238.06</v>
      </c>
      <c r="P2714">
        <f t="shared" si="168"/>
        <v>2.6558350257772222E-2</v>
      </c>
      <c r="Q2714">
        <f t="shared" si="168"/>
        <v>0.34799999999999998</v>
      </c>
      <c r="R2714">
        <f t="shared" si="169"/>
        <v>8.4514285714285702</v>
      </c>
      <c r="S2714">
        <f t="shared" si="170"/>
        <v>4.0240027045300879</v>
      </c>
      <c r="T2714">
        <f t="shared" si="171"/>
        <v>4.1176470588235294E-2</v>
      </c>
      <c r="U2714" t="str">
        <f>YEAR('Campaign Data'!$A2714)&amp;"-"&amp;TEXT(MONTH('Campaign Data'!$A2714),"00")</f>
        <v>2026-05</v>
      </c>
    </row>
    <row r="2715" spans="1:21" x14ac:dyDescent="0.25">
      <c r="A2715">
        <v>46169</v>
      </c>
      <c r="B2715" t="s">
        <v>145</v>
      </c>
      <c r="C2715" t="s">
        <v>146</v>
      </c>
      <c r="D2715" t="s">
        <v>41</v>
      </c>
      <c r="E2715" t="s">
        <v>49</v>
      </c>
      <c r="F2715" t="s">
        <v>75</v>
      </c>
      <c r="G2715" t="s">
        <v>70</v>
      </c>
      <c r="H2715" t="s">
        <v>27</v>
      </c>
      <c r="I2715" t="s">
        <v>28</v>
      </c>
      <c r="J2715" t="s">
        <v>45</v>
      </c>
      <c r="K2715">
        <v>6389</v>
      </c>
      <c r="L2715">
        <v>459</v>
      </c>
      <c r="M2715">
        <v>1123.97</v>
      </c>
      <c r="N2715">
        <v>40</v>
      </c>
      <c r="O2715">
        <v>1738.7</v>
      </c>
      <c r="P2715">
        <f t="shared" si="168"/>
        <v>7.1842228830802948E-2</v>
      </c>
      <c r="Q2715">
        <f t="shared" si="168"/>
        <v>2.4487363834422657</v>
      </c>
      <c r="R2715">
        <f t="shared" si="169"/>
        <v>28.099250000000001</v>
      </c>
      <c r="S2715">
        <f t="shared" si="170"/>
        <v>1.5469274090945488</v>
      </c>
      <c r="T2715">
        <f t="shared" si="171"/>
        <v>8.714596949891068E-2</v>
      </c>
      <c r="U2715" t="str">
        <f>YEAR('Campaign Data'!$A2715)&amp;"-"&amp;TEXT(MONTH('Campaign Data'!$A2715),"00")</f>
        <v>2026-05</v>
      </c>
    </row>
    <row r="2716" spans="1:21" x14ac:dyDescent="0.25">
      <c r="A2716">
        <v>46169</v>
      </c>
      <c r="B2716" t="s">
        <v>145</v>
      </c>
      <c r="C2716" t="s">
        <v>146</v>
      </c>
      <c r="D2716" t="s">
        <v>41</v>
      </c>
      <c r="E2716" t="s">
        <v>49</v>
      </c>
      <c r="F2716" t="s">
        <v>75</v>
      </c>
      <c r="G2716" t="s">
        <v>70</v>
      </c>
      <c r="H2716" t="s">
        <v>60</v>
      </c>
      <c r="I2716" t="s">
        <v>37</v>
      </c>
      <c r="J2716" t="s">
        <v>87</v>
      </c>
      <c r="K2716">
        <v>13454</v>
      </c>
      <c r="L2716">
        <v>702</v>
      </c>
      <c r="M2716">
        <v>1598.3</v>
      </c>
      <c r="N2716">
        <v>17</v>
      </c>
      <c r="O2716">
        <v>646.85</v>
      </c>
      <c r="P2716">
        <f t="shared" si="168"/>
        <v>5.2177790991526682E-2</v>
      </c>
      <c r="Q2716">
        <f t="shared" si="168"/>
        <v>2.2767806267806265</v>
      </c>
      <c r="R2716">
        <f t="shared" si="169"/>
        <v>94.017647058823528</v>
      </c>
      <c r="S2716">
        <f t="shared" si="170"/>
        <v>0.40471125570919103</v>
      </c>
      <c r="T2716">
        <f t="shared" si="171"/>
        <v>2.4216524216524215E-2</v>
      </c>
      <c r="U2716" t="str">
        <f>YEAR('Campaign Data'!$A2716)&amp;"-"&amp;TEXT(MONTH('Campaign Data'!$A2716),"00")</f>
        <v>2026-05</v>
      </c>
    </row>
    <row r="2717" spans="1:21" x14ac:dyDescent="0.25">
      <c r="A2717">
        <v>46170</v>
      </c>
      <c r="B2717" t="s">
        <v>85</v>
      </c>
      <c r="C2717" t="s">
        <v>86</v>
      </c>
      <c r="D2717" t="s">
        <v>80</v>
      </c>
      <c r="E2717" t="s">
        <v>33</v>
      </c>
      <c r="F2717" t="s">
        <v>43</v>
      </c>
      <c r="G2717" t="s">
        <v>35</v>
      </c>
      <c r="H2717" t="s">
        <v>55</v>
      </c>
      <c r="I2717" t="s">
        <v>28</v>
      </c>
      <c r="J2717" t="s">
        <v>29</v>
      </c>
      <c r="K2717">
        <v>9286</v>
      </c>
      <c r="L2717">
        <v>79</v>
      </c>
      <c r="M2717">
        <v>41.81</v>
      </c>
      <c r="N2717">
        <v>0</v>
      </c>
      <c r="O2717">
        <v>0</v>
      </c>
      <c r="P2717">
        <f t="shared" si="168"/>
        <v>8.5074305405987514E-3</v>
      </c>
      <c r="Q2717">
        <f t="shared" si="168"/>
        <v>0.5292405063291139</v>
      </c>
      <c r="R2717">
        <f t="shared" si="169"/>
        <v>0</v>
      </c>
      <c r="S2717">
        <f t="shared" si="170"/>
        <v>0</v>
      </c>
      <c r="T2717">
        <f t="shared" si="171"/>
        <v>0</v>
      </c>
      <c r="U2717" t="str">
        <f>YEAR('Campaign Data'!$A2717)&amp;"-"&amp;TEXT(MONTH('Campaign Data'!$A2717),"00")</f>
        <v>2026-05</v>
      </c>
    </row>
    <row r="2718" spans="1:21" x14ac:dyDescent="0.25">
      <c r="A2718">
        <v>46170</v>
      </c>
      <c r="B2718" t="s">
        <v>21</v>
      </c>
      <c r="C2718" t="s">
        <v>124</v>
      </c>
      <c r="D2718" t="s">
        <v>23</v>
      </c>
      <c r="E2718" t="s">
        <v>24</v>
      </c>
      <c r="F2718" t="s">
        <v>25</v>
      </c>
      <c r="G2718" t="s">
        <v>26</v>
      </c>
      <c r="H2718" t="s">
        <v>60</v>
      </c>
      <c r="I2718" t="s">
        <v>37</v>
      </c>
      <c r="J2718" t="s">
        <v>38</v>
      </c>
      <c r="K2718">
        <v>3471</v>
      </c>
      <c r="L2718">
        <v>33</v>
      </c>
      <c r="M2718">
        <v>33.590000000000003</v>
      </c>
      <c r="N2718">
        <v>1</v>
      </c>
      <c r="O2718">
        <v>156.87</v>
      </c>
      <c r="P2718">
        <f t="shared" si="168"/>
        <v>9.5073465859982706E-3</v>
      </c>
      <c r="Q2718">
        <f t="shared" si="168"/>
        <v>1.017878787878788</v>
      </c>
      <c r="R2718">
        <f t="shared" si="169"/>
        <v>33.590000000000003</v>
      </c>
      <c r="S2718">
        <f t="shared" si="170"/>
        <v>4.6701399225960101</v>
      </c>
      <c r="T2718">
        <f t="shared" si="171"/>
        <v>3.0303030303030304E-2</v>
      </c>
      <c r="U2718" t="str">
        <f>YEAR('Campaign Data'!$A2718)&amp;"-"&amp;TEXT(MONTH('Campaign Data'!$A2718),"00")</f>
        <v>2026-05</v>
      </c>
    </row>
    <row r="2719" spans="1:21" x14ac:dyDescent="0.25">
      <c r="A2719">
        <v>46170</v>
      </c>
      <c r="B2719" t="s">
        <v>167</v>
      </c>
      <c r="C2719" t="s">
        <v>168</v>
      </c>
      <c r="D2719" t="s">
        <v>58</v>
      </c>
      <c r="E2719" t="s">
        <v>33</v>
      </c>
      <c r="F2719" t="s">
        <v>75</v>
      </c>
      <c r="G2719" t="s">
        <v>35</v>
      </c>
      <c r="H2719" t="s">
        <v>90</v>
      </c>
      <c r="I2719" t="s">
        <v>37</v>
      </c>
      <c r="J2719" t="s">
        <v>29</v>
      </c>
      <c r="K2719">
        <v>18682</v>
      </c>
      <c r="L2719">
        <v>150</v>
      </c>
      <c r="M2719">
        <v>16.37</v>
      </c>
      <c r="N2719">
        <v>2</v>
      </c>
      <c r="O2719">
        <v>19.36</v>
      </c>
      <c r="P2719">
        <f t="shared" si="168"/>
        <v>8.029118938015202E-3</v>
      </c>
      <c r="Q2719">
        <f t="shared" si="168"/>
        <v>0.10913333333333335</v>
      </c>
      <c r="R2719">
        <f t="shared" si="169"/>
        <v>8.1850000000000005</v>
      </c>
      <c r="S2719">
        <f t="shared" si="170"/>
        <v>1.1826511912034208</v>
      </c>
      <c r="T2719">
        <f t="shared" si="171"/>
        <v>1.3333333333333334E-2</v>
      </c>
      <c r="U2719" t="str">
        <f>YEAR('Campaign Data'!$A2719)&amp;"-"&amp;TEXT(MONTH('Campaign Data'!$A2719),"00")</f>
        <v>2026-05</v>
      </c>
    </row>
    <row r="2720" spans="1:21" x14ac:dyDescent="0.25">
      <c r="A2720">
        <v>46170</v>
      </c>
      <c r="B2720" t="s">
        <v>93</v>
      </c>
      <c r="C2720" t="s">
        <v>94</v>
      </c>
      <c r="D2720" t="s">
        <v>69</v>
      </c>
      <c r="E2720" t="s">
        <v>42</v>
      </c>
      <c r="F2720" t="s">
        <v>75</v>
      </c>
      <c r="G2720" t="s">
        <v>44</v>
      </c>
      <c r="H2720" t="s">
        <v>27</v>
      </c>
      <c r="I2720" t="s">
        <v>37</v>
      </c>
      <c r="J2720" t="s">
        <v>87</v>
      </c>
      <c r="K2720">
        <v>3036</v>
      </c>
      <c r="L2720">
        <v>13</v>
      </c>
      <c r="M2720">
        <v>92.61</v>
      </c>
      <c r="N2720">
        <v>0</v>
      </c>
      <c r="O2720">
        <v>0</v>
      </c>
      <c r="P2720">
        <f t="shared" si="168"/>
        <v>4.281949934123847E-3</v>
      </c>
      <c r="Q2720">
        <f t="shared" si="168"/>
        <v>7.1238461538461539</v>
      </c>
      <c r="R2720">
        <f t="shared" si="169"/>
        <v>0</v>
      </c>
      <c r="S2720">
        <f t="shared" si="170"/>
        <v>0</v>
      </c>
      <c r="T2720">
        <f t="shared" si="171"/>
        <v>0</v>
      </c>
      <c r="U2720" t="str">
        <f>YEAR('Campaign Data'!$A2720)&amp;"-"&amp;TEXT(MONTH('Campaign Data'!$A2720),"00")</f>
        <v>2026-05</v>
      </c>
    </row>
    <row r="2721" spans="1:21" x14ac:dyDescent="0.25">
      <c r="A2721">
        <v>46170</v>
      </c>
      <c r="B2721" t="s">
        <v>93</v>
      </c>
      <c r="C2721" t="s">
        <v>94</v>
      </c>
      <c r="D2721" t="s">
        <v>69</v>
      </c>
      <c r="E2721" t="s">
        <v>42</v>
      </c>
      <c r="F2721" t="s">
        <v>75</v>
      </c>
      <c r="G2721" t="s">
        <v>44</v>
      </c>
      <c r="H2721" t="s">
        <v>55</v>
      </c>
      <c r="I2721" t="s">
        <v>37</v>
      </c>
      <c r="J2721" t="s">
        <v>45</v>
      </c>
      <c r="K2721">
        <v>12382</v>
      </c>
      <c r="L2721">
        <v>86</v>
      </c>
      <c r="M2721">
        <v>505.29</v>
      </c>
      <c r="N2721">
        <v>4</v>
      </c>
      <c r="O2721">
        <v>119.79</v>
      </c>
      <c r="P2721">
        <f t="shared" si="168"/>
        <v>6.9455661444031659E-3</v>
      </c>
      <c r="Q2721">
        <f t="shared" si="168"/>
        <v>5.8754651162790701</v>
      </c>
      <c r="R2721">
        <f t="shared" si="169"/>
        <v>126.32250000000001</v>
      </c>
      <c r="S2721">
        <f t="shared" si="170"/>
        <v>0.23707178056165767</v>
      </c>
      <c r="T2721">
        <f t="shared" si="171"/>
        <v>4.6511627906976744E-2</v>
      </c>
      <c r="U2721" t="str">
        <f>YEAR('Campaign Data'!$A2721)&amp;"-"&amp;TEXT(MONTH('Campaign Data'!$A2721),"00")</f>
        <v>2026-05</v>
      </c>
    </row>
    <row r="2722" spans="1:21" x14ac:dyDescent="0.25">
      <c r="A2722">
        <v>46170</v>
      </c>
      <c r="B2722" t="s">
        <v>46</v>
      </c>
      <c r="C2722" t="s">
        <v>47</v>
      </c>
      <c r="D2722" t="s">
        <v>48</v>
      </c>
      <c r="E2722" t="s">
        <v>49</v>
      </c>
      <c r="F2722" t="s">
        <v>43</v>
      </c>
      <c r="G2722" t="s">
        <v>50</v>
      </c>
      <c r="H2722" t="s">
        <v>36</v>
      </c>
      <c r="I2722" t="s">
        <v>61</v>
      </c>
      <c r="J2722" t="s">
        <v>38</v>
      </c>
      <c r="K2722">
        <v>4596</v>
      </c>
      <c r="L2722">
        <v>347</v>
      </c>
      <c r="M2722">
        <v>546.92999999999995</v>
      </c>
      <c r="N2722">
        <v>20</v>
      </c>
      <c r="O2722">
        <v>473.73</v>
      </c>
      <c r="P2722">
        <f t="shared" si="168"/>
        <v>7.5500435161009571E-2</v>
      </c>
      <c r="Q2722">
        <f t="shared" si="168"/>
        <v>1.5761671469740632</v>
      </c>
      <c r="R2722">
        <f t="shared" si="169"/>
        <v>27.346499999999999</v>
      </c>
      <c r="S2722">
        <f t="shared" si="170"/>
        <v>0.86616203170424011</v>
      </c>
      <c r="T2722">
        <f t="shared" si="171"/>
        <v>5.7636887608069162E-2</v>
      </c>
      <c r="U2722" t="str">
        <f>YEAR('Campaign Data'!$A2722)&amp;"-"&amp;TEXT(MONTH('Campaign Data'!$A2722),"00")</f>
        <v>2026-05</v>
      </c>
    </row>
    <row r="2723" spans="1:21" x14ac:dyDescent="0.25">
      <c r="A2723">
        <v>46170</v>
      </c>
      <c r="B2723" t="s">
        <v>103</v>
      </c>
      <c r="C2723" t="s">
        <v>104</v>
      </c>
      <c r="D2723" t="s">
        <v>65</v>
      </c>
      <c r="E2723" t="s">
        <v>33</v>
      </c>
      <c r="F2723" t="s">
        <v>43</v>
      </c>
      <c r="G2723" t="s">
        <v>102</v>
      </c>
      <c r="H2723" t="s">
        <v>60</v>
      </c>
      <c r="I2723" t="s">
        <v>37</v>
      </c>
      <c r="J2723" t="s">
        <v>62</v>
      </c>
      <c r="K2723">
        <v>14878</v>
      </c>
      <c r="L2723">
        <v>174</v>
      </c>
      <c r="M2723">
        <v>101.54</v>
      </c>
      <c r="N2723">
        <v>5</v>
      </c>
      <c r="O2723">
        <v>99.3</v>
      </c>
      <c r="P2723">
        <f t="shared" si="168"/>
        <v>1.1695120311869875E-2</v>
      </c>
      <c r="Q2723">
        <f t="shared" si="168"/>
        <v>0.58356321839080461</v>
      </c>
      <c r="R2723">
        <f t="shared" si="169"/>
        <v>20.308</v>
      </c>
      <c r="S2723">
        <f t="shared" si="170"/>
        <v>0.97793972818593644</v>
      </c>
      <c r="T2723">
        <f t="shared" si="171"/>
        <v>2.8735632183908046E-2</v>
      </c>
      <c r="U2723" t="str">
        <f>YEAR('Campaign Data'!$A2723)&amp;"-"&amp;TEXT(MONTH('Campaign Data'!$A2723),"00")</f>
        <v>2026-05</v>
      </c>
    </row>
    <row r="2724" spans="1:21" x14ac:dyDescent="0.25">
      <c r="A2724">
        <v>46170</v>
      </c>
      <c r="B2724" t="s">
        <v>105</v>
      </c>
      <c r="C2724" t="s">
        <v>106</v>
      </c>
      <c r="D2724" t="s">
        <v>58</v>
      </c>
      <c r="E2724" t="s">
        <v>49</v>
      </c>
      <c r="F2724" t="s">
        <v>81</v>
      </c>
      <c r="G2724" t="s">
        <v>107</v>
      </c>
      <c r="H2724" t="s">
        <v>60</v>
      </c>
      <c r="I2724" t="s">
        <v>37</v>
      </c>
      <c r="J2724" t="s">
        <v>45</v>
      </c>
      <c r="K2724">
        <v>82028</v>
      </c>
      <c r="L2724">
        <v>2414</v>
      </c>
      <c r="M2724">
        <v>4179.07</v>
      </c>
      <c r="N2724">
        <v>79</v>
      </c>
      <c r="O2724">
        <v>1417.41</v>
      </c>
      <c r="P2724">
        <f t="shared" si="168"/>
        <v>2.942897547179012E-2</v>
      </c>
      <c r="Q2724">
        <f t="shared" si="168"/>
        <v>1.7311806130903065</v>
      </c>
      <c r="R2724">
        <f t="shared" si="169"/>
        <v>52.899620253164557</v>
      </c>
      <c r="S2724">
        <f t="shared" si="170"/>
        <v>0.33916876242800437</v>
      </c>
      <c r="T2724">
        <f t="shared" si="171"/>
        <v>3.2725766362883178E-2</v>
      </c>
      <c r="U2724" t="str">
        <f>YEAR('Campaign Data'!$A2724)&amp;"-"&amp;TEXT(MONTH('Campaign Data'!$A2724),"00")</f>
        <v>2026-05</v>
      </c>
    </row>
    <row r="2725" spans="1:21" x14ac:dyDescent="0.25">
      <c r="A2725">
        <v>46170</v>
      </c>
      <c r="B2725" t="s">
        <v>108</v>
      </c>
      <c r="C2725" t="s">
        <v>109</v>
      </c>
      <c r="D2725" t="s">
        <v>58</v>
      </c>
      <c r="E2725" t="s">
        <v>33</v>
      </c>
      <c r="F2725" t="s">
        <v>43</v>
      </c>
      <c r="G2725" t="s">
        <v>59</v>
      </c>
      <c r="H2725" t="s">
        <v>36</v>
      </c>
      <c r="I2725" t="s">
        <v>28</v>
      </c>
      <c r="J2725" t="s">
        <v>29</v>
      </c>
      <c r="K2725">
        <v>2835</v>
      </c>
      <c r="L2725">
        <v>25</v>
      </c>
      <c r="M2725">
        <v>19.55</v>
      </c>
      <c r="N2725">
        <v>0</v>
      </c>
      <c r="O2725">
        <v>0</v>
      </c>
      <c r="P2725">
        <f t="shared" si="168"/>
        <v>8.8183421516754845E-3</v>
      </c>
      <c r="Q2725">
        <f t="shared" si="168"/>
        <v>0.78200000000000003</v>
      </c>
      <c r="R2725">
        <f t="shared" si="169"/>
        <v>0</v>
      </c>
      <c r="S2725">
        <f t="shared" si="170"/>
        <v>0</v>
      </c>
      <c r="T2725">
        <f t="shared" si="171"/>
        <v>0</v>
      </c>
      <c r="U2725" t="str">
        <f>YEAR('Campaign Data'!$A2725)&amp;"-"&amp;TEXT(MONTH('Campaign Data'!$A2725),"00")</f>
        <v>2026-05</v>
      </c>
    </row>
    <row r="2726" spans="1:21" x14ac:dyDescent="0.25">
      <c r="A2726">
        <v>46170</v>
      </c>
      <c r="B2726" t="s">
        <v>108</v>
      </c>
      <c r="C2726" t="s">
        <v>109</v>
      </c>
      <c r="D2726" t="s">
        <v>58</v>
      </c>
      <c r="E2726" t="s">
        <v>33</v>
      </c>
      <c r="F2726" t="s">
        <v>43</v>
      </c>
      <c r="G2726" t="s">
        <v>59</v>
      </c>
      <c r="H2726" t="s">
        <v>36</v>
      </c>
      <c r="I2726" t="s">
        <v>37</v>
      </c>
      <c r="J2726" t="s">
        <v>45</v>
      </c>
      <c r="K2726">
        <v>12159</v>
      </c>
      <c r="L2726">
        <v>62</v>
      </c>
      <c r="M2726">
        <v>33.24</v>
      </c>
      <c r="N2726">
        <v>0</v>
      </c>
      <c r="O2726">
        <v>0</v>
      </c>
      <c r="P2726">
        <f t="shared" si="168"/>
        <v>5.0991035446994E-3</v>
      </c>
      <c r="Q2726">
        <f t="shared" si="168"/>
        <v>0.53612903225806452</v>
      </c>
      <c r="R2726">
        <f t="shared" si="169"/>
        <v>0</v>
      </c>
      <c r="S2726">
        <f t="shared" si="170"/>
        <v>0</v>
      </c>
      <c r="T2726">
        <f t="shared" si="171"/>
        <v>0</v>
      </c>
      <c r="U2726" t="str">
        <f>YEAR('Campaign Data'!$A2726)&amp;"-"&amp;TEXT(MONTH('Campaign Data'!$A2726),"00")</f>
        <v>2026-05</v>
      </c>
    </row>
    <row r="2727" spans="1:21" x14ac:dyDescent="0.25">
      <c r="A2727">
        <v>46170</v>
      </c>
      <c r="B2727" t="s">
        <v>179</v>
      </c>
      <c r="C2727" t="s">
        <v>180</v>
      </c>
      <c r="D2727" t="s">
        <v>58</v>
      </c>
      <c r="E2727" t="s">
        <v>42</v>
      </c>
      <c r="F2727" t="s">
        <v>25</v>
      </c>
      <c r="G2727" t="s">
        <v>54</v>
      </c>
      <c r="H2727" t="s">
        <v>90</v>
      </c>
      <c r="I2727" t="s">
        <v>28</v>
      </c>
      <c r="J2727" t="s">
        <v>38</v>
      </c>
      <c r="K2727">
        <v>23132</v>
      </c>
      <c r="L2727">
        <v>143</v>
      </c>
      <c r="M2727">
        <v>272.62</v>
      </c>
      <c r="N2727">
        <v>8</v>
      </c>
      <c r="O2727">
        <v>327.9</v>
      </c>
      <c r="P2727">
        <f t="shared" si="168"/>
        <v>6.181912502161508E-3</v>
      </c>
      <c r="Q2727">
        <f t="shared" si="168"/>
        <v>1.9064335664335665</v>
      </c>
      <c r="R2727">
        <f t="shared" si="169"/>
        <v>34.077500000000001</v>
      </c>
      <c r="S2727">
        <f t="shared" si="170"/>
        <v>1.2027730907490279</v>
      </c>
      <c r="T2727">
        <f t="shared" si="171"/>
        <v>5.5944055944055944E-2</v>
      </c>
      <c r="U2727" t="str">
        <f>YEAR('Campaign Data'!$A2727)&amp;"-"&amp;TEXT(MONTH('Campaign Data'!$A2727),"00")</f>
        <v>2026-05</v>
      </c>
    </row>
    <row r="2728" spans="1:21" x14ac:dyDescent="0.25">
      <c r="A2728">
        <v>46170</v>
      </c>
      <c r="B2728" t="s">
        <v>159</v>
      </c>
      <c r="C2728" t="s">
        <v>160</v>
      </c>
      <c r="D2728" t="s">
        <v>65</v>
      </c>
      <c r="E2728" t="s">
        <v>42</v>
      </c>
      <c r="F2728" t="s">
        <v>75</v>
      </c>
      <c r="G2728" t="s">
        <v>54</v>
      </c>
      <c r="H2728" t="s">
        <v>51</v>
      </c>
      <c r="I2728" t="s">
        <v>28</v>
      </c>
      <c r="J2728" t="s">
        <v>45</v>
      </c>
      <c r="K2728">
        <v>10433</v>
      </c>
      <c r="L2728">
        <v>73</v>
      </c>
      <c r="M2728">
        <v>524.21</v>
      </c>
      <c r="N2728">
        <v>5</v>
      </c>
      <c r="O2728">
        <v>138.61000000000001</v>
      </c>
      <c r="P2728">
        <f t="shared" si="168"/>
        <v>6.9970286590625898E-3</v>
      </c>
      <c r="Q2728">
        <f t="shared" si="168"/>
        <v>7.1809589041095894</v>
      </c>
      <c r="R2728">
        <f t="shared" si="169"/>
        <v>104.84200000000001</v>
      </c>
      <c r="S2728">
        <f t="shared" si="170"/>
        <v>0.26441693214551421</v>
      </c>
      <c r="T2728">
        <f t="shared" si="171"/>
        <v>6.8493150684931503E-2</v>
      </c>
      <c r="U2728" t="str">
        <f>YEAR('Campaign Data'!$A2728)&amp;"-"&amp;TEXT(MONTH('Campaign Data'!$A2728),"00")</f>
        <v>2026-05</v>
      </c>
    </row>
    <row r="2729" spans="1:21" x14ac:dyDescent="0.25">
      <c r="A2729">
        <v>46170</v>
      </c>
      <c r="B2729" t="s">
        <v>141</v>
      </c>
      <c r="C2729" t="s">
        <v>142</v>
      </c>
      <c r="D2729" t="s">
        <v>80</v>
      </c>
      <c r="E2729" t="s">
        <v>49</v>
      </c>
      <c r="F2729" t="s">
        <v>81</v>
      </c>
      <c r="G2729" t="s">
        <v>97</v>
      </c>
      <c r="H2729" t="s">
        <v>27</v>
      </c>
      <c r="I2729" t="s">
        <v>28</v>
      </c>
      <c r="J2729" t="s">
        <v>62</v>
      </c>
      <c r="K2729">
        <v>8890</v>
      </c>
      <c r="L2729">
        <v>614</v>
      </c>
      <c r="M2729">
        <v>1452.72</v>
      </c>
      <c r="N2729">
        <v>63</v>
      </c>
      <c r="O2729">
        <v>2388.54</v>
      </c>
      <c r="P2729">
        <f t="shared" si="168"/>
        <v>6.9066366704161983E-2</v>
      </c>
      <c r="Q2729">
        <f t="shared" si="168"/>
        <v>2.3659934853420195</v>
      </c>
      <c r="R2729">
        <f t="shared" si="169"/>
        <v>23.059047619047618</v>
      </c>
      <c r="S2729">
        <f t="shared" si="170"/>
        <v>1.6441847018007598</v>
      </c>
      <c r="T2729">
        <f t="shared" si="171"/>
        <v>0.10260586319218241</v>
      </c>
      <c r="U2729" t="str">
        <f>YEAR('Campaign Data'!$A2729)&amp;"-"&amp;TEXT(MONTH('Campaign Data'!$A2729),"00")</f>
        <v>2026-05</v>
      </c>
    </row>
    <row r="2730" spans="1:21" x14ac:dyDescent="0.25">
      <c r="A2730">
        <v>46170</v>
      </c>
      <c r="B2730" t="s">
        <v>136</v>
      </c>
      <c r="C2730" t="s">
        <v>137</v>
      </c>
      <c r="D2730" t="s">
        <v>32</v>
      </c>
      <c r="E2730" t="s">
        <v>49</v>
      </c>
      <c r="F2730" t="s">
        <v>75</v>
      </c>
      <c r="G2730" t="s">
        <v>97</v>
      </c>
      <c r="H2730" t="s">
        <v>60</v>
      </c>
      <c r="I2730" t="s">
        <v>37</v>
      </c>
      <c r="J2730" t="s">
        <v>87</v>
      </c>
      <c r="K2730">
        <v>5237</v>
      </c>
      <c r="L2730">
        <v>245</v>
      </c>
      <c r="M2730">
        <v>272.75</v>
      </c>
      <c r="N2730">
        <v>2</v>
      </c>
      <c r="O2730">
        <v>61</v>
      </c>
      <c r="P2730">
        <f t="shared" si="168"/>
        <v>4.678250907007829E-2</v>
      </c>
      <c r="Q2730">
        <f t="shared" si="168"/>
        <v>1.1132653061224489</v>
      </c>
      <c r="R2730">
        <f t="shared" si="169"/>
        <v>136.375</v>
      </c>
      <c r="S2730">
        <f t="shared" si="170"/>
        <v>0.22364802933088909</v>
      </c>
      <c r="T2730">
        <f t="shared" si="171"/>
        <v>8.1632653061224497E-3</v>
      </c>
      <c r="U2730" t="str">
        <f>YEAR('Campaign Data'!$A2730)&amp;"-"&amp;TEXT(MONTH('Campaign Data'!$A2730),"00")</f>
        <v>2026-05</v>
      </c>
    </row>
    <row r="2731" spans="1:21" x14ac:dyDescent="0.25">
      <c r="A2731">
        <v>46170</v>
      </c>
      <c r="B2731" t="s">
        <v>63</v>
      </c>
      <c r="C2731" t="s">
        <v>64</v>
      </c>
      <c r="D2731" t="s">
        <v>65</v>
      </c>
      <c r="E2731" t="s">
        <v>24</v>
      </c>
      <c r="F2731" t="s">
        <v>43</v>
      </c>
      <c r="G2731" t="s">
        <v>66</v>
      </c>
      <c r="H2731" t="s">
        <v>36</v>
      </c>
      <c r="I2731" t="s">
        <v>37</v>
      </c>
      <c r="J2731" t="s">
        <v>62</v>
      </c>
      <c r="K2731">
        <v>2458</v>
      </c>
      <c r="L2731">
        <v>39</v>
      </c>
      <c r="M2731">
        <v>27.78</v>
      </c>
      <c r="N2731">
        <v>2</v>
      </c>
      <c r="O2731">
        <v>42.53</v>
      </c>
      <c r="P2731">
        <f t="shared" si="168"/>
        <v>1.5866558177379985E-2</v>
      </c>
      <c r="Q2731">
        <f t="shared" si="168"/>
        <v>0.71230769230769231</v>
      </c>
      <c r="R2731">
        <f t="shared" si="169"/>
        <v>13.89</v>
      </c>
      <c r="S2731">
        <f t="shared" si="170"/>
        <v>1.5309575233981281</v>
      </c>
      <c r="T2731">
        <f t="shared" si="171"/>
        <v>5.128205128205128E-2</v>
      </c>
      <c r="U2731" t="str">
        <f>YEAR('Campaign Data'!$A2731)&amp;"-"&amp;TEXT(MONTH('Campaign Data'!$A2731),"00")</f>
        <v>2026-05</v>
      </c>
    </row>
    <row r="2732" spans="1:21" x14ac:dyDescent="0.25">
      <c r="A2732">
        <v>46170</v>
      </c>
      <c r="B2732" t="s">
        <v>163</v>
      </c>
      <c r="C2732" t="s">
        <v>164</v>
      </c>
      <c r="D2732" t="s">
        <v>58</v>
      </c>
      <c r="E2732" t="s">
        <v>42</v>
      </c>
      <c r="F2732" t="s">
        <v>43</v>
      </c>
      <c r="G2732" t="s">
        <v>44</v>
      </c>
      <c r="H2732" t="s">
        <v>27</v>
      </c>
      <c r="I2732" t="s">
        <v>28</v>
      </c>
      <c r="J2732" t="s">
        <v>87</v>
      </c>
      <c r="K2732">
        <v>7760</v>
      </c>
      <c r="L2732">
        <v>39</v>
      </c>
      <c r="M2732">
        <v>377.06</v>
      </c>
      <c r="N2732">
        <v>1</v>
      </c>
      <c r="O2732">
        <v>25.29</v>
      </c>
      <c r="P2732">
        <f t="shared" si="168"/>
        <v>5.025773195876289E-3</v>
      </c>
      <c r="Q2732">
        <f t="shared" si="168"/>
        <v>9.6682051282051287</v>
      </c>
      <c r="R2732">
        <f t="shared" si="169"/>
        <v>377.06</v>
      </c>
      <c r="S2732">
        <f t="shared" si="170"/>
        <v>6.707155359889673E-2</v>
      </c>
      <c r="T2732">
        <f t="shared" si="171"/>
        <v>2.564102564102564E-2</v>
      </c>
      <c r="U2732" t="str">
        <f>YEAR('Campaign Data'!$A2732)&amp;"-"&amp;TEXT(MONTH('Campaign Data'!$A2732),"00")</f>
        <v>2026-05</v>
      </c>
    </row>
    <row r="2733" spans="1:21" x14ac:dyDescent="0.25">
      <c r="A2733">
        <v>46170</v>
      </c>
      <c r="B2733" t="s">
        <v>163</v>
      </c>
      <c r="C2733" t="s">
        <v>164</v>
      </c>
      <c r="D2733" t="s">
        <v>58</v>
      </c>
      <c r="E2733" t="s">
        <v>42</v>
      </c>
      <c r="F2733" t="s">
        <v>43</v>
      </c>
      <c r="G2733" t="s">
        <v>44</v>
      </c>
      <c r="H2733" t="s">
        <v>90</v>
      </c>
      <c r="I2733" t="s">
        <v>28</v>
      </c>
      <c r="J2733" t="s">
        <v>45</v>
      </c>
      <c r="K2733">
        <v>12382</v>
      </c>
      <c r="L2733">
        <v>75</v>
      </c>
      <c r="M2733">
        <v>140.82</v>
      </c>
      <c r="N2733">
        <v>1</v>
      </c>
      <c r="O2733">
        <v>7.09</v>
      </c>
      <c r="P2733">
        <f t="shared" si="168"/>
        <v>6.0571797770957846E-3</v>
      </c>
      <c r="Q2733">
        <f t="shared" si="168"/>
        <v>1.8775999999999999</v>
      </c>
      <c r="R2733">
        <f t="shared" si="169"/>
        <v>140.82</v>
      </c>
      <c r="S2733">
        <f t="shared" si="170"/>
        <v>5.0347961937224829E-2</v>
      </c>
      <c r="T2733">
        <f t="shared" si="171"/>
        <v>1.3333333333333334E-2</v>
      </c>
      <c r="U2733" t="str">
        <f>YEAR('Campaign Data'!$A2733)&amp;"-"&amp;TEXT(MONTH('Campaign Data'!$A2733),"00")</f>
        <v>2026-05</v>
      </c>
    </row>
    <row r="2734" spans="1:21" x14ac:dyDescent="0.25">
      <c r="A2734">
        <v>46170</v>
      </c>
      <c r="B2734" t="s">
        <v>163</v>
      </c>
      <c r="C2734" t="s">
        <v>164</v>
      </c>
      <c r="D2734" t="s">
        <v>58</v>
      </c>
      <c r="E2734" t="s">
        <v>42</v>
      </c>
      <c r="F2734" t="s">
        <v>43</v>
      </c>
      <c r="G2734" t="s">
        <v>44</v>
      </c>
      <c r="H2734" t="s">
        <v>36</v>
      </c>
      <c r="I2734" t="s">
        <v>37</v>
      </c>
      <c r="J2734" t="s">
        <v>45</v>
      </c>
      <c r="K2734">
        <v>8011</v>
      </c>
      <c r="L2734">
        <v>36</v>
      </c>
      <c r="M2734">
        <v>190.74</v>
      </c>
      <c r="N2734">
        <v>1</v>
      </c>
      <c r="O2734">
        <v>20.88</v>
      </c>
      <c r="P2734">
        <f t="shared" si="168"/>
        <v>4.4938209961303205E-3</v>
      </c>
      <c r="Q2734">
        <f t="shared" si="168"/>
        <v>5.2983333333333338</v>
      </c>
      <c r="R2734">
        <f t="shared" si="169"/>
        <v>190.74</v>
      </c>
      <c r="S2734">
        <f t="shared" si="170"/>
        <v>0.10946838628499526</v>
      </c>
      <c r="T2734">
        <f t="shared" si="171"/>
        <v>2.7777777777777776E-2</v>
      </c>
      <c r="U2734" t="str">
        <f>YEAR('Campaign Data'!$A2734)&amp;"-"&amp;TEXT(MONTH('Campaign Data'!$A2734),"00")</f>
        <v>2026-05</v>
      </c>
    </row>
    <row r="2735" spans="1:21" x14ac:dyDescent="0.25">
      <c r="A2735">
        <v>46170</v>
      </c>
      <c r="B2735" t="s">
        <v>120</v>
      </c>
      <c r="C2735" t="s">
        <v>121</v>
      </c>
      <c r="D2735" t="s">
        <v>23</v>
      </c>
      <c r="E2735" t="s">
        <v>49</v>
      </c>
      <c r="F2735" t="s">
        <v>75</v>
      </c>
      <c r="G2735" t="s">
        <v>70</v>
      </c>
      <c r="H2735" t="s">
        <v>90</v>
      </c>
      <c r="I2735" t="s">
        <v>37</v>
      </c>
      <c r="J2735" t="s">
        <v>45</v>
      </c>
      <c r="K2735">
        <v>6561</v>
      </c>
      <c r="L2735">
        <v>242</v>
      </c>
      <c r="M2735">
        <v>126.44</v>
      </c>
      <c r="N2735">
        <v>10</v>
      </c>
      <c r="O2735">
        <v>101.74</v>
      </c>
      <c r="P2735">
        <f t="shared" si="168"/>
        <v>3.6884621246761166E-2</v>
      </c>
      <c r="Q2735">
        <f t="shared" si="168"/>
        <v>0.52247933884297515</v>
      </c>
      <c r="R2735">
        <f t="shared" si="169"/>
        <v>12.644</v>
      </c>
      <c r="S2735">
        <f t="shared" si="170"/>
        <v>0.80465042708003798</v>
      </c>
      <c r="T2735">
        <f t="shared" si="171"/>
        <v>4.1322314049586778E-2</v>
      </c>
      <c r="U2735" t="str">
        <f>YEAR('Campaign Data'!$A2735)&amp;"-"&amp;TEXT(MONTH('Campaign Data'!$A2735),"00")</f>
        <v>2026-05</v>
      </c>
    </row>
    <row r="2736" spans="1:21" x14ac:dyDescent="0.25">
      <c r="A2736">
        <v>46170</v>
      </c>
      <c r="B2736" t="s">
        <v>82</v>
      </c>
      <c r="C2736" t="s">
        <v>83</v>
      </c>
      <c r="D2736" t="s">
        <v>80</v>
      </c>
      <c r="E2736" t="s">
        <v>42</v>
      </c>
      <c r="F2736" t="s">
        <v>34</v>
      </c>
      <c r="G2736" t="s">
        <v>84</v>
      </c>
      <c r="H2736" t="s">
        <v>51</v>
      </c>
      <c r="I2736" t="s">
        <v>28</v>
      </c>
      <c r="J2736" t="s">
        <v>62</v>
      </c>
      <c r="K2736">
        <v>5895</v>
      </c>
      <c r="L2736">
        <v>39</v>
      </c>
      <c r="M2736">
        <v>246.23</v>
      </c>
      <c r="N2736">
        <v>3</v>
      </c>
      <c r="O2736">
        <v>390.92</v>
      </c>
      <c r="P2736">
        <f t="shared" si="168"/>
        <v>6.6157760814249365E-3</v>
      </c>
      <c r="Q2736">
        <f t="shared" si="168"/>
        <v>6.313589743589743</v>
      </c>
      <c r="R2736">
        <f t="shared" si="169"/>
        <v>82.076666666666668</v>
      </c>
      <c r="S2736">
        <f t="shared" si="170"/>
        <v>1.5876213296511392</v>
      </c>
      <c r="T2736">
        <f t="shared" si="171"/>
        <v>7.6923076923076927E-2</v>
      </c>
      <c r="U2736" t="str">
        <f>YEAR('Campaign Data'!$A2736)&amp;"-"&amp;TEXT(MONTH('Campaign Data'!$A2736),"00")</f>
        <v>2026-05</v>
      </c>
    </row>
    <row r="2737" spans="1:21" x14ac:dyDescent="0.25">
      <c r="A2737">
        <v>46171</v>
      </c>
      <c r="B2737" t="s">
        <v>21</v>
      </c>
      <c r="C2737" t="s">
        <v>124</v>
      </c>
      <c r="D2737" t="s">
        <v>23</v>
      </c>
      <c r="E2737" t="s">
        <v>24</v>
      </c>
      <c r="F2737" t="s">
        <v>25</v>
      </c>
      <c r="G2737" t="s">
        <v>26</v>
      </c>
      <c r="H2737" t="s">
        <v>90</v>
      </c>
      <c r="I2737" t="s">
        <v>37</v>
      </c>
      <c r="J2737" t="s">
        <v>62</v>
      </c>
      <c r="K2737">
        <v>7697</v>
      </c>
      <c r="L2737">
        <v>101</v>
      </c>
      <c r="M2737">
        <v>24.03</v>
      </c>
      <c r="N2737">
        <v>2</v>
      </c>
      <c r="O2737">
        <v>43.99</v>
      </c>
      <c r="P2737">
        <f t="shared" si="168"/>
        <v>1.3121995582694557E-2</v>
      </c>
      <c r="Q2737">
        <f t="shared" si="168"/>
        <v>0.23792079207920794</v>
      </c>
      <c r="R2737">
        <f t="shared" si="169"/>
        <v>12.015000000000001</v>
      </c>
      <c r="S2737">
        <f t="shared" si="170"/>
        <v>1.8306283811901789</v>
      </c>
      <c r="T2737">
        <f t="shared" si="171"/>
        <v>1.9801980198019802E-2</v>
      </c>
      <c r="U2737" t="str">
        <f>YEAR('Campaign Data'!$A2737)&amp;"-"&amp;TEXT(MONTH('Campaign Data'!$A2737),"00")</f>
        <v>2026-05</v>
      </c>
    </row>
    <row r="2738" spans="1:21" x14ac:dyDescent="0.25">
      <c r="A2738">
        <v>46171</v>
      </c>
      <c r="B2738" t="s">
        <v>149</v>
      </c>
      <c r="C2738" t="s">
        <v>150</v>
      </c>
      <c r="D2738" t="s">
        <v>65</v>
      </c>
      <c r="E2738" t="s">
        <v>33</v>
      </c>
      <c r="F2738" t="s">
        <v>43</v>
      </c>
      <c r="G2738" t="s">
        <v>59</v>
      </c>
      <c r="H2738" t="s">
        <v>27</v>
      </c>
      <c r="I2738" t="s">
        <v>28</v>
      </c>
      <c r="J2738" t="s">
        <v>45</v>
      </c>
      <c r="K2738">
        <v>3562</v>
      </c>
      <c r="L2738">
        <v>46</v>
      </c>
      <c r="M2738">
        <v>40.15</v>
      </c>
      <c r="N2738">
        <v>0</v>
      </c>
      <c r="O2738">
        <v>0</v>
      </c>
      <c r="P2738">
        <f t="shared" si="168"/>
        <v>1.2914093206064009E-2</v>
      </c>
      <c r="Q2738">
        <f t="shared" si="168"/>
        <v>0.87282608695652175</v>
      </c>
      <c r="R2738">
        <f t="shared" si="169"/>
        <v>0</v>
      </c>
      <c r="S2738">
        <f t="shared" si="170"/>
        <v>0</v>
      </c>
      <c r="T2738">
        <f t="shared" si="171"/>
        <v>0</v>
      </c>
      <c r="U2738" t="str">
        <f>YEAR('Campaign Data'!$A2738)&amp;"-"&amp;TEXT(MONTH('Campaign Data'!$A2738),"00")</f>
        <v>2026-05</v>
      </c>
    </row>
    <row r="2739" spans="1:21" x14ac:dyDescent="0.25">
      <c r="A2739">
        <v>46171</v>
      </c>
      <c r="B2739" t="s">
        <v>91</v>
      </c>
      <c r="C2739" t="s">
        <v>92</v>
      </c>
      <c r="D2739" t="s">
        <v>41</v>
      </c>
      <c r="E2739" t="s">
        <v>74</v>
      </c>
      <c r="F2739" t="s">
        <v>75</v>
      </c>
      <c r="G2739" t="s">
        <v>9</v>
      </c>
      <c r="H2739" t="s">
        <v>60</v>
      </c>
      <c r="I2739" t="s">
        <v>37</v>
      </c>
      <c r="J2739" t="s">
        <v>29</v>
      </c>
      <c r="K2739">
        <v>10093</v>
      </c>
      <c r="L2739">
        <v>268</v>
      </c>
      <c r="M2739">
        <v>384.33</v>
      </c>
      <c r="N2739">
        <v>13</v>
      </c>
      <c r="O2739">
        <v>495.41</v>
      </c>
      <c r="P2739">
        <f t="shared" si="168"/>
        <v>2.6553056573863074E-2</v>
      </c>
      <c r="Q2739">
        <f t="shared" si="168"/>
        <v>1.4340671641791045</v>
      </c>
      <c r="R2739">
        <f t="shared" si="169"/>
        <v>29.563846153846153</v>
      </c>
      <c r="S2739">
        <f t="shared" si="170"/>
        <v>1.2890224546613589</v>
      </c>
      <c r="T2739">
        <f t="shared" si="171"/>
        <v>4.8507462686567165E-2</v>
      </c>
      <c r="U2739" t="str">
        <f>YEAR('Campaign Data'!$A2739)&amp;"-"&amp;TEXT(MONTH('Campaign Data'!$A2739),"00")</f>
        <v>2026-05</v>
      </c>
    </row>
    <row r="2740" spans="1:21" x14ac:dyDescent="0.25">
      <c r="A2740">
        <v>46171</v>
      </c>
      <c r="B2740" t="s">
        <v>95</v>
      </c>
      <c r="C2740" t="s">
        <v>96</v>
      </c>
      <c r="D2740" t="s">
        <v>23</v>
      </c>
      <c r="E2740" t="s">
        <v>49</v>
      </c>
      <c r="F2740" t="s">
        <v>43</v>
      </c>
      <c r="G2740" t="s">
        <v>97</v>
      </c>
      <c r="H2740" t="s">
        <v>51</v>
      </c>
      <c r="I2740" t="s">
        <v>28</v>
      </c>
      <c r="J2740" t="s">
        <v>45</v>
      </c>
      <c r="K2740">
        <v>9830</v>
      </c>
      <c r="L2740">
        <v>420</v>
      </c>
      <c r="M2740">
        <v>884.04</v>
      </c>
      <c r="N2740">
        <v>10</v>
      </c>
      <c r="O2740">
        <v>253.27</v>
      </c>
      <c r="P2740">
        <f t="shared" si="168"/>
        <v>4.2726347914547304E-2</v>
      </c>
      <c r="Q2740">
        <f t="shared" si="168"/>
        <v>2.104857142857143</v>
      </c>
      <c r="R2740">
        <f t="shared" si="169"/>
        <v>88.403999999999996</v>
      </c>
      <c r="S2740">
        <f t="shared" si="170"/>
        <v>0.28649156146780691</v>
      </c>
      <c r="T2740">
        <f t="shared" si="171"/>
        <v>2.3809523809523808E-2</v>
      </c>
      <c r="U2740" t="str">
        <f>YEAR('Campaign Data'!$A2740)&amp;"-"&amp;TEXT(MONTH('Campaign Data'!$A2740),"00")</f>
        <v>2026-05</v>
      </c>
    </row>
    <row r="2741" spans="1:21" x14ac:dyDescent="0.25">
      <c r="A2741">
        <v>46171</v>
      </c>
      <c r="B2741" t="s">
        <v>95</v>
      </c>
      <c r="C2741" t="s">
        <v>96</v>
      </c>
      <c r="D2741" t="s">
        <v>23</v>
      </c>
      <c r="E2741" t="s">
        <v>49</v>
      </c>
      <c r="F2741" t="s">
        <v>43</v>
      </c>
      <c r="G2741" t="s">
        <v>97</v>
      </c>
      <c r="H2741" t="s">
        <v>90</v>
      </c>
      <c r="I2741" t="s">
        <v>28</v>
      </c>
      <c r="J2741" t="s">
        <v>45</v>
      </c>
      <c r="K2741">
        <v>4194</v>
      </c>
      <c r="L2741">
        <v>199</v>
      </c>
      <c r="M2741">
        <v>146.46</v>
      </c>
      <c r="N2741">
        <v>5</v>
      </c>
      <c r="O2741">
        <v>25</v>
      </c>
      <c r="P2741">
        <f t="shared" si="168"/>
        <v>4.7448736289938009E-2</v>
      </c>
      <c r="Q2741">
        <f t="shared" si="168"/>
        <v>0.73597989949748743</v>
      </c>
      <c r="R2741">
        <f t="shared" si="169"/>
        <v>29.292000000000002</v>
      </c>
      <c r="S2741">
        <f t="shared" si="170"/>
        <v>0.17069507032636896</v>
      </c>
      <c r="T2741">
        <f t="shared" si="171"/>
        <v>2.5125628140703519E-2</v>
      </c>
      <c r="U2741" t="str">
        <f>YEAR('Campaign Data'!$A2741)&amp;"-"&amp;TEXT(MONTH('Campaign Data'!$A2741),"00")</f>
        <v>2026-05</v>
      </c>
    </row>
    <row r="2742" spans="1:21" x14ac:dyDescent="0.25">
      <c r="A2742">
        <v>46171</v>
      </c>
      <c r="B2742" t="s">
        <v>30</v>
      </c>
      <c r="C2742" t="s">
        <v>31</v>
      </c>
      <c r="D2742" t="s">
        <v>32</v>
      </c>
      <c r="E2742" t="s">
        <v>33</v>
      </c>
      <c r="F2742" t="s">
        <v>34</v>
      </c>
      <c r="G2742" t="s">
        <v>35</v>
      </c>
      <c r="H2742" t="s">
        <v>60</v>
      </c>
      <c r="I2742" t="s">
        <v>28</v>
      </c>
      <c r="J2742" t="s">
        <v>38</v>
      </c>
      <c r="K2742">
        <v>2339</v>
      </c>
      <c r="L2742">
        <v>15</v>
      </c>
      <c r="M2742">
        <v>9.3800000000000008</v>
      </c>
      <c r="N2742">
        <v>0</v>
      </c>
      <c r="O2742">
        <v>0</v>
      </c>
      <c r="P2742">
        <f t="shared" si="168"/>
        <v>6.412997007268063E-3</v>
      </c>
      <c r="Q2742">
        <f t="shared" si="168"/>
        <v>0.62533333333333341</v>
      </c>
      <c r="R2742">
        <f t="shared" si="169"/>
        <v>0</v>
      </c>
      <c r="S2742">
        <f t="shared" si="170"/>
        <v>0</v>
      </c>
      <c r="T2742">
        <f t="shared" si="171"/>
        <v>0</v>
      </c>
      <c r="U2742" t="str">
        <f>YEAR('Campaign Data'!$A2742)&amp;"-"&amp;TEXT(MONTH('Campaign Data'!$A2742),"00")</f>
        <v>2026-05</v>
      </c>
    </row>
    <row r="2743" spans="1:21" x14ac:dyDescent="0.25">
      <c r="A2743">
        <v>46171</v>
      </c>
      <c r="B2743" t="s">
        <v>30</v>
      </c>
      <c r="C2743" t="s">
        <v>31</v>
      </c>
      <c r="D2743" t="s">
        <v>32</v>
      </c>
      <c r="E2743" t="s">
        <v>33</v>
      </c>
      <c r="F2743" t="s">
        <v>34</v>
      </c>
      <c r="G2743" t="s">
        <v>35</v>
      </c>
      <c r="H2743" t="s">
        <v>27</v>
      </c>
      <c r="I2743" t="s">
        <v>37</v>
      </c>
      <c r="J2743" t="s">
        <v>45</v>
      </c>
      <c r="K2743">
        <v>1709</v>
      </c>
      <c r="L2743">
        <v>22</v>
      </c>
      <c r="M2743">
        <v>17.98</v>
      </c>
      <c r="N2743">
        <v>0</v>
      </c>
      <c r="O2743">
        <v>0</v>
      </c>
      <c r="P2743">
        <f t="shared" si="168"/>
        <v>1.2873025160912814E-2</v>
      </c>
      <c r="Q2743">
        <f t="shared" si="168"/>
        <v>0.81727272727272726</v>
      </c>
      <c r="R2743">
        <f t="shared" si="169"/>
        <v>0</v>
      </c>
      <c r="S2743">
        <f t="shared" si="170"/>
        <v>0</v>
      </c>
      <c r="T2743">
        <f t="shared" si="171"/>
        <v>0</v>
      </c>
      <c r="U2743" t="str">
        <f>YEAR('Campaign Data'!$A2743)&amp;"-"&amp;TEXT(MONTH('Campaign Data'!$A2743),"00")</f>
        <v>2026-05</v>
      </c>
    </row>
    <row r="2744" spans="1:21" x14ac:dyDescent="0.25">
      <c r="A2744">
        <v>46171</v>
      </c>
      <c r="B2744" t="s">
        <v>169</v>
      </c>
      <c r="C2744" t="s">
        <v>170</v>
      </c>
      <c r="D2744" t="s">
        <v>58</v>
      </c>
      <c r="E2744" t="s">
        <v>74</v>
      </c>
      <c r="F2744" t="s">
        <v>75</v>
      </c>
      <c r="G2744" t="s">
        <v>9</v>
      </c>
      <c r="H2744" t="s">
        <v>27</v>
      </c>
      <c r="I2744" t="s">
        <v>37</v>
      </c>
      <c r="J2744" t="s">
        <v>29</v>
      </c>
      <c r="K2744">
        <v>21964</v>
      </c>
      <c r="L2744">
        <v>628</v>
      </c>
      <c r="M2744">
        <v>1003.03</v>
      </c>
      <c r="N2744">
        <v>25</v>
      </c>
      <c r="O2744">
        <v>869.43</v>
      </c>
      <c r="P2744">
        <f t="shared" si="168"/>
        <v>2.8592241850300491E-2</v>
      </c>
      <c r="Q2744">
        <f t="shared" si="168"/>
        <v>1.5971815286624202</v>
      </c>
      <c r="R2744">
        <f t="shared" si="169"/>
        <v>40.121200000000002</v>
      </c>
      <c r="S2744">
        <f t="shared" si="170"/>
        <v>0.8668035851370347</v>
      </c>
      <c r="T2744">
        <f t="shared" si="171"/>
        <v>3.9808917197452227E-2</v>
      </c>
      <c r="U2744" t="str">
        <f>YEAR('Campaign Data'!$A2744)&amp;"-"&amp;TEXT(MONTH('Campaign Data'!$A2744),"00")</f>
        <v>2026-05</v>
      </c>
    </row>
    <row r="2745" spans="1:21" x14ac:dyDescent="0.25">
      <c r="A2745">
        <v>46171</v>
      </c>
      <c r="B2745" t="s">
        <v>127</v>
      </c>
      <c r="C2745" t="s">
        <v>128</v>
      </c>
      <c r="D2745" t="s">
        <v>58</v>
      </c>
      <c r="E2745" t="s">
        <v>24</v>
      </c>
      <c r="F2745" t="s">
        <v>81</v>
      </c>
      <c r="G2745" t="s">
        <v>129</v>
      </c>
      <c r="H2745" t="s">
        <v>60</v>
      </c>
      <c r="I2745" t="s">
        <v>28</v>
      </c>
      <c r="J2745" t="s">
        <v>87</v>
      </c>
      <c r="K2745">
        <v>4327</v>
      </c>
      <c r="L2745">
        <v>55</v>
      </c>
      <c r="M2745">
        <v>57.11</v>
      </c>
      <c r="N2745">
        <v>1</v>
      </c>
      <c r="O2745">
        <v>28.06</v>
      </c>
      <c r="P2745">
        <f t="shared" si="168"/>
        <v>1.2710885139819737E-2</v>
      </c>
      <c r="Q2745">
        <f t="shared" si="168"/>
        <v>1.0383636363636364</v>
      </c>
      <c r="R2745">
        <f t="shared" si="169"/>
        <v>57.11</v>
      </c>
      <c r="S2745">
        <f t="shared" si="170"/>
        <v>0.49133251619681317</v>
      </c>
      <c r="T2745">
        <f t="shared" si="171"/>
        <v>1.8181818181818181E-2</v>
      </c>
      <c r="U2745" t="str">
        <f>YEAR('Campaign Data'!$A2745)&amp;"-"&amp;TEXT(MONTH('Campaign Data'!$A2745),"00")</f>
        <v>2026-05</v>
      </c>
    </row>
    <row r="2746" spans="1:21" x14ac:dyDescent="0.25">
      <c r="A2746">
        <v>46171</v>
      </c>
      <c r="B2746" t="s">
        <v>134</v>
      </c>
      <c r="C2746" t="s">
        <v>135</v>
      </c>
      <c r="D2746" t="s">
        <v>32</v>
      </c>
      <c r="E2746" t="s">
        <v>74</v>
      </c>
      <c r="F2746" t="s">
        <v>25</v>
      </c>
      <c r="G2746" t="s">
        <v>107</v>
      </c>
      <c r="H2746" t="s">
        <v>90</v>
      </c>
      <c r="I2746" t="s">
        <v>37</v>
      </c>
      <c r="J2746" t="s">
        <v>62</v>
      </c>
      <c r="K2746">
        <v>7668</v>
      </c>
      <c r="L2746">
        <v>238</v>
      </c>
      <c r="M2746">
        <v>95.22</v>
      </c>
      <c r="N2746">
        <v>11</v>
      </c>
      <c r="O2746">
        <v>266.64</v>
      </c>
      <c r="P2746">
        <f t="shared" si="168"/>
        <v>3.1038080333854981E-2</v>
      </c>
      <c r="Q2746">
        <f t="shared" si="168"/>
        <v>0.40008403361344536</v>
      </c>
      <c r="R2746">
        <f t="shared" si="169"/>
        <v>8.6563636363636363</v>
      </c>
      <c r="S2746">
        <f t="shared" si="170"/>
        <v>2.8002520478890989</v>
      </c>
      <c r="T2746">
        <f t="shared" si="171"/>
        <v>4.6218487394957986E-2</v>
      </c>
      <c r="U2746" t="str">
        <f>YEAR('Campaign Data'!$A2746)&amp;"-"&amp;TEXT(MONTH('Campaign Data'!$A2746),"00")</f>
        <v>2026-05</v>
      </c>
    </row>
    <row r="2747" spans="1:21" x14ac:dyDescent="0.25">
      <c r="A2747">
        <v>46171</v>
      </c>
      <c r="B2747" t="s">
        <v>159</v>
      </c>
      <c r="C2747" t="s">
        <v>160</v>
      </c>
      <c r="D2747" t="s">
        <v>65</v>
      </c>
      <c r="E2747" t="s">
        <v>42</v>
      </c>
      <c r="F2747" t="s">
        <v>75</v>
      </c>
      <c r="G2747" t="s">
        <v>54</v>
      </c>
      <c r="H2747" t="s">
        <v>55</v>
      </c>
      <c r="I2747" t="s">
        <v>37</v>
      </c>
      <c r="J2747" t="s">
        <v>87</v>
      </c>
      <c r="K2747">
        <v>6032</v>
      </c>
      <c r="L2747">
        <v>41</v>
      </c>
      <c r="M2747">
        <v>275.25</v>
      </c>
      <c r="N2747">
        <v>3</v>
      </c>
      <c r="O2747">
        <v>103.72</v>
      </c>
      <c r="P2747">
        <f t="shared" si="168"/>
        <v>6.7970822281167107E-3</v>
      </c>
      <c r="Q2747">
        <f t="shared" si="168"/>
        <v>6.7134146341463419</v>
      </c>
      <c r="R2747">
        <f t="shared" si="169"/>
        <v>91.75</v>
      </c>
      <c r="S2747">
        <f t="shared" si="170"/>
        <v>0.37682107175295187</v>
      </c>
      <c r="T2747">
        <f t="shared" si="171"/>
        <v>7.3170731707317069E-2</v>
      </c>
      <c r="U2747" t="str">
        <f>YEAR('Campaign Data'!$A2747)&amp;"-"&amp;TEXT(MONTH('Campaign Data'!$A2747),"00")</f>
        <v>2026-05</v>
      </c>
    </row>
    <row r="2748" spans="1:21" x14ac:dyDescent="0.25">
      <c r="A2748">
        <v>46171</v>
      </c>
      <c r="B2748" t="s">
        <v>63</v>
      </c>
      <c r="C2748" t="s">
        <v>64</v>
      </c>
      <c r="D2748" t="s">
        <v>65</v>
      </c>
      <c r="E2748" t="s">
        <v>24</v>
      </c>
      <c r="F2748" t="s">
        <v>43</v>
      </c>
      <c r="G2748" t="s">
        <v>66</v>
      </c>
      <c r="H2748" t="s">
        <v>36</v>
      </c>
      <c r="I2748" t="s">
        <v>28</v>
      </c>
      <c r="J2748" t="s">
        <v>45</v>
      </c>
      <c r="K2748">
        <v>8312</v>
      </c>
      <c r="L2748">
        <v>119</v>
      </c>
      <c r="M2748">
        <v>116.73</v>
      </c>
      <c r="N2748">
        <v>3</v>
      </c>
      <c r="O2748">
        <v>78.239999999999995</v>
      </c>
      <c r="P2748">
        <f t="shared" si="168"/>
        <v>1.431665062560154E-2</v>
      </c>
      <c r="Q2748">
        <f t="shared" si="168"/>
        <v>0.98092436974789921</v>
      </c>
      <c r="R2748">
        <f t="shared" si="169"/>
        <v>38.910000000000004</v>
      </c>
      <c r="S2748">
        <f t="shared" si="170"/>
        <v>0.6702647134412747</v>
      </c>
      <c r="T2748">
        <f t="shared" si="171"/>
        <v>2.5210084033613446E-2</v>
      </c>
      <c r="U2748" t="str">
        <f>YEAR('Campaign Data'!$A2748)&amp;"-"&amp;TEXT(MONTH('Campaign Data'!$A2748),"00")</f>
        <v>2026-05</v>
      </c>
    </row>
    <row r="2749" spans="1:21" x14ac:dyDescent="0.25">
      <c r="A2749">
        <v>46171</v>
      </c>
      <c r="B2749" t="s">
        <v>183</v>
      </c>
      <c r="C2749" t="s">
        <v>184</v>
      </c>
      <c r="D2749" t="s">
        <v>23</v>
      </c>
      <c r="E2749" t="s">
        <v>24</v>
      </c>
      <c r="F2749" t="s">
        <v>81</v>
      </c>
      <c r="G2749" t="s">
        <v>185</v>
      </c>
      <c r="H2749" t="s">
        <v>90</v>
      </c>
      <c r="I2749" t="s">
        <v>37</v>
      </c>
      <c r="J2749" t="s">
        <v>45</v>
      </c>
      <c r="K2749">
        <v>7180</v>
      </c>
      <c r="L2749">
        <v>61</v>
      </c>
      <c r="M2749">
        <v>11.84</v>
      </c>
      <c r="N2749">
        <v>2</v>
      </c>
      <c r="O2749">
        <v>12.39</v>
      </c>
      <c r="P2749">
        <f t="shared" si="168"/>
        <v>8.495821727019499E-3</v>
      </c>
      <c r="Q2749">
        <f t="shared" si="168"/>
        <v>0.19409836065573771</v>
      </c>
      <c r="R2749">
        <f t="shared" si="169"/>
        <v>5.92</v>
      </c>
      <c r="S2749">
        <f t="shared" si="170"/>
        <v>1.0464527027027029</v>
      </c>
      <c r="T2749">
        <f t="shared" si="171"/>
        <v>3.2786885245901641E-2</v>
      </c>
      <c r="U2749" t="str">
        <f>YEAR('Campaign Data'!$A2749)&amp;"-"&amp;TEXT(MONTH('Campaign Data'!$A2749),"00")</f>
        <v>2026-05</v>
      </c>
    </row>
    <row r="2750" spans="1:21" x14ac:dyDescent="0.25">
      <c r="A2750">
        <v>46171</v>
      </c>
      <c r="B2750" t="s">
        <v>183</v>
      </c>
      <c r="C2750" t="s">
        <v>184</v>
      </c>
      <c r="D2750" t="s">
        <v>23</v>
      </c>
      <c r="E2750" t="s">
        <v>24</v>
      </c>
      <c r="F2750" t="s">
        <v>81</v>
      </c>
      <c r="G2750" t="s">
        <v>185</v>
      </c>
      <c r="H2750" t="s">
        <v>90</v>
      </c>
      <c r="I2750" t="s">
        <v>28</v>
      </c>
      <c r="J2750" t="s">
        <v>62</v>
      </c>
      <c r="K2750">
        <v>12219</v>
      </c>
      <c r="L2750">
        <v>243</v>
      </c>
      <c r="M2750">
        <v>55.02</v>
      </c>
      <c r="N2750">
        <v>9</v>
      </c>
      <c r="O2750">
        <v>45</v>
      </c>
      <c r="P2750">
        <f t="shared" si="168"/>
        <v>1.9887061134299042E-2</v>
      </c>
      <c r="Q2750">
        <f t="shared" si="168"/>
        <v>0.22641975308641976</v>
      </c>
      <c r="R2750">
        <f t="shared" si="169"/>
        <v>6.1133333333333333</v>
      </c>
      <c r="S2750">
        <f t="shared" si="170"/>
        <v>0.81788440567066512</v>
      </c>
      <c r="T2750">
        <f t="shared" si="171"/>
        <v>3.7037037037037035E-2</v>
      </c>
      <c r="U2750" t="str">
        <f>YEAR('Campaign Data'!$A2750)&amp;"-"&amp;TEXT(MONTH('Campaign Data'!$A2750),"00")</f>
        <v>2026-05</v>
      </c>
    </row>
    <row r="2751" spans="1:21" x14ac:dyDescent="0.25">
      <c r="A2751">
        <v>46171</v>
      </c>
      <c r="B2751" t="s">
        <v>67</v>
      </c>
      <c r="C2751" t="s">
        <v>68</v>
      </c>
      <c r="D2751" t="s">
        <v>69</v>
      </c>
      <c r="E2751" t="s">
        <v>49</v>
      </c>
      <c r="F2751" t="s">
        <v>34</v>
      </c>
      <c r="G2751" t="s">
        <v>70</v>
      </c>
      <c r="H2751" t="s">
        <v>27</v>
      </c>
      <c r="I2751" t="s">
        <v>37</v>
      </c>
      <c r="J2751" t="s">
        <v>38</v>
      </c>
      <c r="K2751">
        <v>1060</v>
      </c>
      <c r="L2751">
        <v>47</v>
      </c>
      <c r="M2751">
        <v>92.53</v>
      </c>
      <c r="N2751">
        <v>1</v>
      </c>
      <c r="O2751">
        <v>140.08000000000001</v>
      </c>
      <c r="P2751">
        <f t="shared" si="168"/>
        <v>4.4339622641509431E-2</v>
      </c>
      <c r="Q2751">
        <f t="shared" si="168"/>
        <v>1.9687234042553192</v>
      </c>
      <c r="R2751">
        <f t="shared" si="169"/>
        <v>92.53</v>
      </c>
      <c r="S2751">
        <f t="shared" si="170"/>
        <v>1.5138873878742032</v>
      </c>
      <c r="T2751">
        <f t="shared" si="171"/>
        <v>2.1276595744680851E-2</v>
      </c>
      <c r="U2751" t="str">
        <f>YEAR('Campaign Data'!$A2751)&amp;"-"&amp;TEXT(MONTH('Campaign Data'!$A2751),"00")</f>
        <v>2026-05</v>
      </c>
    </row>
    <row r="2752" spans="1:21" x14ac:dyDescent="0.25">
      <c r="A2752">
        <v>46171</v>
      </c>
      <c r="B2752" t="s">
        <v>67</v>
      </c>
      <c r="C2752" t="s">
        <v>68</v>
      </c>
      <c r="D2752" t="s">
        <v>69</v>
      </c>
      <c r="E2752" t="s">
        <v>49</v>
      </c>
      <c r="F2752" t="s">
        <v>34</v>
      </c>
      <c r="G2752" t="s">
        <v>70</v>
      </c>
      <c r="H2752" t="s">
        <v>55</v>
      </c>
      <c r="I2752" t="s">
        <v>37</v>
      </c>
      <c r="J2752" t="s">
        <v>29</v>
      </c>
      <c r="K2752">
        <v>5906</v>
      </c>
      <c r="L2752">
        <v>224</v>
      </c>
      <c r="M2752">
        <v>361.39</v>
      </c>
      <c r="N2752">
        <v>16</v>
      </c>
      <c r="O2752">
        <v>2436.96</v>
      </c>
      <c r="P2752">
        <f t="shared" si="168"/>
        <v>3.792753132407721E-2</v>
      </c>
      <c r="Q2752">
        <f t="shared" si="168"/>
        <v>1.6133482142857143</v>
      </c>
      <c r="R2752">
        <f t="shared" si="169"/>
        <v>22.586874999999999</v>
      </c>
      <c r="S2752">
        <f t="shared" si="170"/>
        <v>6.7432967154597527</v>
      </c>
      <c r="T2752">
        <f t="shared" si="171"/>
        <v>7.1428571428571425E-2</v>
      </c>
      <c r="U2752" t="str">
        <f>YEAR('Campaign Data'!$A2752)&amp;"-"&amp;TEXT(MONTH('Campaign Data'!$A2752),"00")</f>
        <v>2026-05</v>
      </c>
    </row>
    <row r="2753" spans="1:21" x14ac:dyDescent="0.25">
      <c r="A2753">
        <v>46171</v>
      </c>
      <c r="B2753" t="s">
        <v>116</v>
      </c>
      <c r="C2753" t="s">
        <v>117</v>
      </c>
      <c r="D2753" t="s">
        <v>48</v>
      </c>
      <c r="E2753" t="s">
        <v>24</v>
      </c>
      <c r="F2753" t="s">
        <v>43</v>
      </c>
      <c r="G2753" t="s">
        <v>26</v>
      </c>
      <c r="H2753" t="s">
        <v>27</v>
      </c>
      <c r="I2753" t="s">
        <v>37</v>
      </c>
      <c r="J2753" t="s">
        <v>62</v>
      </c>
      <c r="K2753">
        <v>6778</v>
      </c>
      <c r="L2753">
        <v>99</v>
      </c>
      <c r="M2753">
        <v>129.26</v>
      </c>
      <c r="N2753">
        <v>4</v>
      </c>
      <c r="O2753">
        <v>140.4</v>
      </c>
      <c r="P2753">
        <f t="shared" si="168"/>
        <v>1.4606078489229861E-2</v>
      </c>
      <c r="Q2753">
        <f t="shared" si="168"/>
        <v>1.3056565656565655</v>
      </c>
      <c r="R2753">
        <f t="shared" si="169"/>
        <v>32.314999999999998</v>
      </c>
      <c r="S2753">
        <f t="shared" si="170"/>
        <v>1.0861828872040848</v>
      </c>
      <c r="T2753">
        <f t="shared" si="171"/>
        <v>4.0404040404040407E-2</v>
      </c>
      <c r="U2753" t="str">
        <f>YEAR('Campaign Data'!$A2753)&amp;"-"&amp;TEXT(MONTH('Campaign Data'!$A2753),"00")</f>
        <v>2026-05</v>
      </c>
    </row>
    <row r="2754" spans="1:21" x14ac:dyDescent="0.25">
      <c r="A2754">
        <v>46171</v>
      </c>
      <c r="B2754" t="s">
        <v>145</v>
      </c>
      <c r="C2754" t="s">
        <v>146</v>
      </c>
      <c r="D2754" t="s">
        <v>41</v>
      </c>
      <c r="E2754" t="s">
        <v>49</v>
      </c>
      <c r="F2754" t="s">
        <v>75</v>
      </c>
      <c r="G2754" t="s">
        <v>70</v>
      </c>
      <c r="H2754" t="s">
        <v>36</v>
      </c>
      <c r="I2754" t="s">
        <v>28</v>
      </c>
      <c r="J2754" t="s">
        <v>29</v>
      </c>
      <c r="K2754">
        <v>7613</v>
      </c>
      <c r="L2754">
        <v>333</v>
      </c>
      <c r="M2754">
        <v>464.19</v>
      </c>
      <c r="N2754">
        <v>16</v>
      </c>
      <c r="O2754">
        <v>925.59</v>
      </c>
      <c r="P2754">
        <f t="shared" ref="P2754:Q2817" si="172">IF(K2754=0,0,L2754/K2754)</f>
        <v>4.3740969394456847E-2</v>
      </c>
      <c r="Q2754">
        <f t="shared" si="172"/>
        <v>1.393963963963964</v>
      </c>
      <c r="R2754">
        <f t="shared" ref="R2754:R2817" si="173">IF(N2754=0,0,M2754/N2754)</f>
        <v>29.011875</v>
      </c>
      <c r="S2754">
        <f t="shared" ref="S2754:S2817" si="174">IF(M2754=0,0,O2754/M2754)</f>
        <v>1.9939895301492925</v>
      </c>
      <c r="T2754">
        <f t="shared" ref="T2754:T2817" si="175">IF(L2754=0,0,N2754/L2754)</f>
        <v>4.8048048048048048E-2</v>
      </c>
      <c r="U2754" t="str">
        <f>YEAR('Campaign Data'!$A2754)&amp;"-"&amp;TEXT(MONTH('Campaign Data'!$A2754),"00")</f>
        <v>2026-05</v>
      </c>
    </row>
    <row r="2755" spans="1:21" x14ac:dyDescent="0.25">
      <c r="A2755">
        <v>46171</v>
      </c>
      <c r="B2755" t="s">
        <v>120</v>
      </c>
      <c r="C2755" t="s">
        <v>121</v>
      </c>
      <c r="D2755" t="s">
        <v>23</v>
      </c>
      <c r="E2755" t="s">
        <v>49</v>
      </c>
      <c r="F2755" t="s">
        <v>75</v>
      </c>
      <c r="G2755" t="s">
        <v>70</v>
      </c>
      <c r="H2755" t="s">
        <v>60</v>
      </c>
      <c r="I2755" t="s">
        <v>28</v>
      </c>
      <c r="J2755" t="s">
        <v>29</v>
      </c>
      <c r="K2755">
        <v>4812</v>
      </c>
      <c r="L2755">
        <v>165</v>
      </c>
      <c r="M2755">
        <v>201.19</v>
      </c>
      <c r="N2755">
        <v>14</v>
      </c>
      <c r="O2755">
        <v>616.23</v>
      </c>
      <c r="P2755">
        <f t="shared" si="172"/>
        <v>3.4289276807980051E-2</v>
      </c>
      <c r="Q2755">
        <f t="shared" si="172"/>
        <v>1.2193333333333334</v>
      </c>
      <c r="R2755">
        <f t="shared" si="173"/>
        <v>14.370714285714286</v>
      </c>
      <c r="S2755">
        <f t="shared" si="174"/>
        <v>3.0629255927232966</v>
      </c>
      <c r="T2755">
        <f t="shared" si="175"/>
        <v>8.4848484848484854E-2</v>
      </c>
      <c r="U2755" t="str">
        <f>YEAR('Campaign Data'!$A2755)&amp;"-"&amp;TEXT(MONTH('Campaign Data'!$A2755),"00")</f>
        <v>2026-05</v>
      </c>
    </row>
    <row r="2756" spans="1:21" x14ac:dyDescent="0.25">
      <c r="A2756">
        <v>46172</v>
      </c>
      <c r="B2756" t="s">
        <v>149</v>
      </c>
      <c r="C2756" t="s">
        <v>150</v>
      </c>
      <c r="D2756" t="s">
        <v>65</v>
      </c>
      <c r="E2756" t="s">
        <v>33</v>
      </c>
      <c r="F2756" t="s">
        <v>43</v>
      </c>
      <c r="G2756" t="s">
        <v>59</v>
      </c>
      <c r="H2756" t="s">
        <v>60</v>
      </c>
      <c r="I2756" t="s">
        <v>37</v>
      </c>
      <c r="J2756" t="s">
        <v>87</v>
      </c>
      <c r="K2756">
        <v>4836</v>
      </c>
      <c r="L2756">
        <v>52</v>
      </c>
      <c r="M2756">
        <v>28.53</v>
      </c>
      <c r="N2756">
        <v>1</v>
      </c>
      <c r="O2756">
        <v>24.59</v>
      </c>
      <c r="P2756">
        <f t="shared" si="172"/>
        <v>1.0752688172043012E-2</v>
      </c>
      <c r="Q2756">
        <f t="shared" si="172"/>
        <v>0.54865384615384616</v>
      </c>
      <c r="R2756">
        <f t="shared" si="173"/>
        <v>28.53</v>
      </c>
      <c r="S2756">
        <f t="shared" si="174"/>
        <v>0.86189975464423407</v>
      </c>
      <c r="T2756">
        <f t="shared" si="175"/>
        <v>1.9230769230769232E-2</v>
      </c>
      <c r="U2756" t="str">
        <f>YEAR('Campaign Data'!$A2756)&amp;"-"&amp;TEXT(MONTH('Campaign Data'!$A2756),"00")</f>
        <v>2026-05</v>
      </c>
    </row>
    <row r="2757" spans="1:21" x14ac:dyDescent="0.25">
      <c r="A2757">
        <v>46172</v>
      </c>
      <c r="B2757" t="s">
        <v>149</v>
      </c>
      <c r="C2757" t="s">
        <v>150</v>
      </c>
      <c r="D2757" t="s">
        <v>65</v>
      </c>
      <c r="E2757" t="s">
        <v>33</v>
      </c>
      <c r="F2757" t="s">
        <v>43</v>
      </c>
      <c r="G2757" t="s">
        <v>59</v>
      </c>
      <c r="H2757" t="s">
        <v>27</v>
      </c>
      <c r="I2757" t="s">
        <v>61</v>
      </c>
      <c r="J2757" t="s">
        <v>87</v>
      </c>
      <c r="K2757">
        <v>6134</v>
      </c>
      <c r="L2757">
        <v>43</v>
      </c>
      <c r="M2757">
        <v>28.4</v>
      </c>
      <c r="N2757">
        <v>1</v>
      </c>
      <c r="O2757">
        <v>40.49</v>
      </c>
      <c r="P2757">
        <f t="shared" si="172"/>
        <v>7.0101075970003257E-3</v>
      </c>
      <c r="Q2757">
        <f t="shared" si="172"/>
        <v>0.66046511627906979</v>
      </c>
      <c r="R2757">
        <f t="shared" si="173"/>
        <v>28.4</v>
      </c>
      <c r="S2757">
        <f t="shared" si="174"/>
        <v>1.4257042253521128</v>
      </c>
      <c r="T2757">
        <f t="shared" si="175"/>
        <v>2.3255813953488372E-2</v>
      </c>
      <c r="U2757" t="str">
        <f>YEAR('Campaign Data'!$A2757)&amp;"-"&amp;TEXT(MONTH('Campaign Data'!$A2757),"00")</f>
        <v>2026-05</v>
      </c>
    </row>
    <row r="2758" spans="1:21" x14ac:dyDescent="0.25">
      <c r="A2758">
        <v>46172</v>
      </c>
      <c r="B2758" t="s">
        <v>93</v>
      </c>
      <c r="C2758" t="s">
        <v>94</v>
      </c>
      <c r="D2758" t="s">
        <v>69</v>
      </c>
      <c r="E2758" t="s">
        <v>42</v>
      </c>
      <c r="F2758" t="s">
        <v>75</v>
      </c>
      <c r="G2758" t="s">
        <v>44</v>
      </c>
      <c r="H2758" t="s">
        <v>27</v>
      </c>
      <c r="I2758" t="s">
        <v>37</v>
      </c>
      <c r="J2758" t="s">
        <v>87</v>
      </c>
      <c r="K2758">
        <v>2075</v>
      </c>
      <c r="L2758">
        <v>13</v>
      </c>
      <c r="M2758">
        <v>71.58</v>
      </c>
      <c r="N2758">
        <v>0</v>
      </c>
      <c r="O2758">
        <v>0</v>
      </c>
      <c r="P2758">
        <f t="shared" si="172"/>
        <v>6.265060240963855E-3</v>
      </c>
      <c r="Q2758">
        <f t="shared" si="172"/>
        <v>5.506153846153846</v>
      </c>
      <c r="R2758">
        <f t="shared" si="173"/>
        <v>0</v>
      </c>
      <c r="S2758">
        <f t="shared" si="174"/>
        <v>0</v>
      </c>
      <c r="T2758">
        <f t="shared" si="175"/>
        <v>0</v>
      </c>
      <c r="U2758" t="str">
        <f>YEAR('Campaign Data'!$A2758)&amp;"-"&amp;TEXT(MONTH('Campaign Data'!$A2758),"00")</f>
        <v>2026-05</v>
      </c>
    </row>
    <row r="2759" spans="1:21" x14ac:dyDescent="0.25">
      <c r="A2759">
        <v>46172</v>
      </c>
      <c r="B2759" t="s">
        <v>39</v>
      </c>
      <c r="C2759" t="s">
        <v>40</v>
      </c>
      <c r="D2759" t="s">
        <v>41</v>
      </c>
      <c r="E2759" t="s">
        <v>42</v>
      </c>
      <c r="F2759" t="s">
        <v>43</v>
      </c>
      <c r="G2759" t="s">
        <v>44</v>
      </c>
      <c r="H2759" t="s">
        <v>71</v>
      </c>
      <c r="I2759" t="s">
        <v>37</v>
      </c>
      <c r="J2759" t="s">
        <v>38</v>
      </c>
      <c r="K2759">
        <v>7249</v>
      </c>
      <c r="L2759">
        <v>47</v>
      </c>
      <c r="M2759">
        <v>209.85</v>
      </c>
      <c r="N2759">
        <v>2</v>
      </c>
      <c r="O2759">
        <v>45.77</v>
      </c>
      <c r="P2759">
        <f t="shared" si="172"/>
        <v>6.4836529176438128E-3</v>
      </c>
      <c r="Q2759">
        <f t="shared" si="172"/>
        <v>4.4648936170212767</v>
      </c>
      <c r="R2759">
        <f t="shared" si="173"/>
        <v>104.925</v>
      </c>
      <c r="S2759">
        <f t="shared" si="174"/>
        <v>0.21810817250416967</v>
      </c>
      <c r="T2759">
        <f t="shared" si="175"/>
        <v>4.2553191489361701E-2</v>
      </c>
      <c r="U2759" t="str">
        <f>YEAR('Campaign Data'!$A2759)&amp;"-"&amp;TEXT(MONTH('Campaign Data'!$A2759),"00")</f>
        <v>2026-05</v>
      </c>
    </row>
    <row r="2760" spans="1:21" x14ac:dyDescent="0.25">
      <c r="A2760">
        <v>46172</v>
      </c>
      <c r="B2760" t="s">
        <v>98</v>
      </c>
      <c r="C2760" t="s">
        <v>99</v>
      </c>
      <c r="D2760" t="s">
        <v>69</v>
      </c>
      <c r="E2760" t="s">
        <v>24</v>
      </c>
      <c r="F2760" t="s">
        <v>75</v>
      </c>
      <c r="G2760" t="s">
        <v>66</v>
      </c>
      <c r="H2760" t="s">
        <v>90</v>
      </c>
      <c r="I2760" t="s">
        <v>37</v>
      </c>
      <c r="J2760" t="s">
        <v>38</v>
      </c>
      <c r="K2760">
        <v>9013</v>
      </c>
      <c r="L2760">
        <v>78</v>
      </c>
      <c r="M2760">
        <v>28.12</v>
      </c>
      <c r="N2760">
        <v>1</v>
      </c>
      <c r="O2760">
        <v>12.18</v>
      </c>
      <c r="P2760">
        <f t="shared" si="172"/>
        <v>8.6541662043714638E-3</v>
      </c>
      <c r="Q2760">
        <f t="shared" si="172"/>
        <v>0.36051282051282052</v>
      </c>
      <c r="R2760">
        <f t="shared" si="173"/>
        <v>28.12</v>
      </c>
      <c r="S2760">
        <f t="shared" si="174"/>
        <v>0.43314366998577525</v>
      </c>
      <c r="T2760">
        <f t="shared" si="175"/>
        <v>1.282051282051282E-2</v>
      </c>
      <c r="U2760" t="str">
        <f>YEAR('Campaign Data'!$A2760)&amp;"-"&amp;TEXT(MONTH('Campaign Data'!$A2760),"00")</f>
        <v>2026-05</v>
      </c>
    </row>
    <row r="2761" spans="1:21" x14ac:dyDescent="0.25">
      <c r="A2761">
        <v>46172</v>
      </c>
      <c r="B2761" t="s">
        <v>100</v>
      </c>
      <c r="C2761" t="s">
        <v>101</v>
      </c>
      <c r="D2761" t="s">
        <v>80</v>
      </c>
      <c r="E2761" t="s">
        <v>33</v>
      </c>
      <c r="F2761" t="s">
        <v>25</v>
      </c>
      <c r="G2761" t="s">
        <v>102</v>
      </c>
      <c r="H2761" t="s">
        <v>60</v>
      </c>
      <c r="I2761" t="s">
        <v>28</v>
      </c>
      <c r="J2761" t="s">
        <v>29</v>
      </c>
      <c r="K2761">
        <v>16323</v>
      </c>
      <c r="L2761">
        <v>145</v>
      </c>
      <c r="M2761">
        <v>64.510000000000005</v>
      </c>
      <c r="N2761">
        <v>2</v>
      </c>
      <c r="O2761">
        <v>194.85</v>
      </c>
      <c r="P2761">
        <f t="shared" si="172"/>
        <v>8.8831709857256635E-3</v>
      </c>
      <c r="Q2761">
        <f t="shared" si="172"/>
        <v>0.44489655172413795</v>
      </c>
      <c r="R2761">
        <f t="shared" si="173"/>
        <v>32.255000000000003</v>
      </c>
      <c r="S2761">
        <f t="shared" si="174"/>
        <v>3.0204619438846687</v>
      </c>
      <c r="T2761">
        <f t="shared" si="175"/>
        <v>1.3793103448275862E-2</v>
      </c>
      <c r="U2761" t="str">
        <f>YEAR('Campaign Data'!$A2761)&amp;"-"&amp;TEXT(MONTH('Campaign Data'!$A2761),"00")</f>
        <v>2026-05</v>
      </c>
    </row>
    <row r="2762" spans="1:21" x14ac:dyDescent="0.25">
      <c r="A2762">
        <v>46172</v>
      </c>
      <c r="B2762" t="s">
        <v>169</v>
      </c>
      <c r="C2762" t="s">
        <v>170</v>
      </c>
      <c r="D2762" t="s">
        <v>58</v>
      </c>
      <c r="E2762" t="s">
        <v>74</v>
      </c>
      <c r="F2762" t="s">
        <v>75</v>
      </c>
      <c r="G2762" t="s">
        <v>9</v>
      </c>
      <c r="H2762" t="s">
        <v>90</v>
      </c>
      <c r="I2762" t="s">
        <v>37</v>
      </c>
      <c r="J2762" t="s">
        <v>45</v>
      </c>
      <c r="K2762">
        <v>6014</v>
      </c>
      <c r="L2762">
        <v>201</v>
      </c>
      <c r="M2762">
        <v>78.22</v>
      </c>
      <c r="N2762">
        <v>18</v>
      </c>
      <c r="O2762">
        <v>107.8</v>
      </c>
      <c r="P2762">
        <f t="shared" si="172"/>
        <v>3.3422015297638843E-2</v>
      </c>
      <c r="Q2762">
        <f t="shared" si="172"/>
        <v>0.38915422885572137</v>
      </c>
      <c r="R2762">
        <f t="shared" si="173"/>
        <v>4.3455555555555554</v>
      </c>
      <c r="S2762">
        <f t="shared" si="174"/>
        <v>1.3781641523906929</v>
      </c>
      <c r="T2762">
        <f t="shared" si="175"/>
        <v>8.9552238805970144E-2</v>
      </c>
      <c r="U2762" t="str">
        <f>YEAR('Campaign Data'!$A2762)&amp;"-"&amp;TEXT(MONTH('Campaign Data'!$A2762),"00")</f>
        <v>2026-05</v>
      </c>
    </row>
    <row r="2763" spans="1:21" x14ac:dyDescent="0.25">
      <c r="A2763">
        <v>46172</v>
      </c>
      <c r="B2763" t="s">
        <v>108</v>
      </c>
      <c r="C2763" t="s">
        <v>109</v>
      </c>
      <c r="D2763" t="s">
        <v>58</v>
      </c>
      <c r="E2763" t="s">
        <v>33</v>
      </c>
      <c r="F2763" t="s">
        <v>43</v>
      </c>
      <c r="G2763" t="s">
        <v>59</v>
      </c>
      <c r="H2763" t="s">
        <v>27</v>
      </c>
      <c r="I2763" t="s">
        <v>28</v>
      </c>
      <c r="J2763" t="s">
        <v>87</v>
      </c>
      <c r="K2763">
        <v>7549</v>
      </c>
      <c r="L2763">
        <v>52</v>
      </c>
      <c r="M2763">
        <v>33.770000000000003</v>
      </c>
      <c r="N2763">
        <v>0</v>
      </c>
      <c r="O2763">
        <v>0</v>
      </c>
      <c r="P2763">
        <f t="shared" si="172"/>
        <v>6.8883295800768315E-3</v>
      </c>
      <c r="Q2763">
        <f t="shared" si="172"/>
        <v>0.64942307692307699</v>
      </c>
      <c r="R2763">
        <f t="shared" si="173"/>
        <v>0</v>
      </c>
      <c r="S2763">
        <f t="shared" si="174"/>
        <v>0</v>
      </c>
      <c r="T2763">
        <f t="shared" si="175"/>
        <v>0</v>
      </c>
      <c r="U2763" t="str">
        <f>YEAR('Campaign Data'!$A2763)&amp;"-"&amp;TEXT(MONTH('Campaign Data'!$A2763),"00")</f>
        <v>2026-05</v>
      </c>
    </row>
    <row r="2764" spans="1:21" x14ac:dyDescent="0.25">
      <c r="A2764">
        <v>46172</v>
      </c>
      <c r="B2764" t="s">
        <v>110</v>
      </c>
      <c r="C2764" t="s">
        <v>111</v>
      </c>
      <c r="D2764" t="s">
        <v>23</v>
      </c>
      <c r="E2764" t="s">
        <v>49</v>
      </c>
      <c r="F2764" t="s">
        <v>34</v>
      </c>
      <c r="G2764" t="s">
        <v>50</v>
      </c>
      <c r="H2764" t="s">
        <v>71</v>
      </c>
      <c r="I2764" t="s">
        <v>37</v>
      </c>
      <c r="J2764" t="s">
        <v>62</v>
      </c>
      <c r="K2764">
        <v>13843</v>
      </c>
      <c r="L2764">
        <v>656</v>
      </c>
      <c r="M2764">
        <v>1140.75</v>
      </c>
      <c r="N2764">
        <v>28</v>
      </c>
      <c r="O2764">
        <v>4007.02</v>
      </c>
      <c r="P2764">
        <f t="shared" si="172"/>
        <v>4.7388571841363865E-2</v>
      </c>
      <c r="Q2764">
        <f t="shared" si="172"/>
        <v>1.7389481707317074</v>
      </c>
      <c r="R2764">
        <f t="shared" si="173"/>
        <v>40.741071428571431</v>
      </c>
      <c r="S2764">
        <f t="shared" si="174"/>
        <v>3.5126188910804297</v>
      </c>
      <c r="T2764">
        <f t="shared" si="175"/>
        <v>4.2682926829268296E-2</v>
      </c>
      <c r="U2764" t="str">
        <f>YEAR('Campaign Data'!$A2764)&amp;"-"&amp;TEXT(MONTH('Campaign Data'!$A2764),"00")</f>
        <v>2026-05</v>
      </c>
    </row>
    <row r="2765" spans="1:21" x14ac:dyDescent="0.25">
      <c r="A2765">
        <v>46172</v>
      </c>
      <c r="B2765" t="s">
        <v>161</v>
      </c>
      <c r="C2765" t="s">
        <v>162</v>
      </c>
      <c r="D2765" t="s">
        <v>48</v>
      </c>
      <c r="E2765" t="s">
        <v>74</v>
      </c>
      <c r="F2765" t="s">
        <v>34</v>
      </c>
      <c r="G2765" t="s">
        <v>107</v>
      </c>
      <c r="H2765" t="s">
        <v>90</v>
      </c>
      <c r="I2765" t="s">
        <v>61</v>
      </c>
      <c r="J2765" t="s">
        <v>45</v>
      </c>
      <c r="K2765">
        <v>3965</v>
      </c>
      <c r="L2765">
        <v>126</v>
      </c>
      <c r="M2765">
        <v>32.74</v>
      </c>
      <c r="N2765">
        <v>5</v>
      </c>
      <c r="O2765">
        <v>223.68</v>
      </c>
      <c r="P2765">
        <f t="shared" si="172"/>
        <v>3.1778058007566203E-2</v>
      </c>
      <c r="Q2765">
        <f t="shared" si="172"/>
        <v>0.25984126984126987</v>
      </c>
      <c r="R2765">
        <f t="shared" si="173"/>
        <v>6.548</v>
      </c>
      <c r="S2765">
        <f t="shared" si="174"/>
        <v>6.8320097739767869</v>
      </c>
      <c r="T2765">
        <f t="shared" si="175"/>
        <v>3.968253968253968E-2</v>
      </c>
      <c r="U2765" t="str">
        <f>YEAR('Campaign Data'!$A2765)&amp;"-"&amp;TEXT(MONTH('Campaign Data'!$A2765),"00")</f>
        <v>2026-05</v>
      </c>
    </row>
    <row r="2766" spans="1:21" x14ac:dyDescent="0.25">
      <c r="A2766">
        <v>46172</v>
      </c>
      <c r="B2766" t="s">
        <v>114</v>
      </c>
      <c r="C2766" t="s">
        <v>115</v>
      </c>
      <c r="D2766" t="s">
        <v>69</v>
      </c>
      <c r="E2766" t="s">
        <v>49</v>
      </c>
      <c r="F2766" t="s">
        <v>25</v>
      </c>
      <c r="G2766" t="s">
        <v>107</v>
      </c>
      <c r="H2766" t="s">
        <v>90</v>
      </c>
      <c r="I2766" t="s">
        <v>28</v>
      </c>
      <c r="J2766" t="s">
        <v>38</v>
      </c>
      <c r="K2766">
        <v>3221</v>
      </c>
      <c r="L2766">
        <v>217</v>
      </c>
      <c r="M2766">
        <v>110.82</v>
      </c>
      <c r="N2766">
        <v>9</v>
      </c>
      <c r="O2766">
        <v>135.94999999999999</v>
      </c>
      <c r="P2766">
        <f t="shared" si="172"/>
        <v>6.7370381868984794E-2</v>
      </c>
      <c r="Q2766">
        <f t="shared" si="172"/>
        <v>0.5106912442396313</v>
      </c>
      <c r="R2766">
        <f t="shared" si="173"/>
        <v>12.313333333333333</v>
      </c>
      <c r="S2766">
        <f t="shared" si="174"/>
        <v>1.226764121999639</v>
      </c>
      <c r="T2766">
        <f t="shared" si="175"/>
        <v>4.1474654377880185E-2</v>
      </c>
      <c r="U2766" t="str">
        <f>YEAR('Campaign Data'!$A2766)&amp;"-"&amp;TEXT(MONTH('Campaign Data'!$A2766),"00")</f>
        <v>2026-05</v>
      </c>
    </row>
    <row r="2767" spans="1:21" x14ac:dyDescent="0.25">
      <c r="A2767">
        <v>46172</v>
      </c>
      <c r="B2767" t="s">
        <v>141</v>
      </c>
      <c r="C2767" t="s">
        <v>142</v>
      </c>
      <c r="D2767" t="s">
        <v>80</v>
      </c>
      <c r="E2767" t="s">
        <v>49</v>
      </c>
      <c r="F2767" t="s">
        <v>81</v>
      </c>
      <c r="G2767" t="s">
        <v>97</v>
      </c>
      <c r="H2767" t="s">
        <v>36</v>
      </c>
      <c r="I2767" t="s">
        <v>37</v>
      </c>
      <c r="J2767" t="s">
        <v>38</v>
      </c>
      <c r="K2767">
        <v>14119</v>
      </c>
      <c r="L2767">
        <v>860</v>
      </c>
      <c r="M2767">
        <v>1671.44</v>
      </c>
      <c r="N2767">
        <v>28</v>
      </c>
      <c r="O2767">
        <v>856.2</v>
      </c>
      <c r="P2767">
        <f t="shared" si="172"/>
        <v>6.0910829378851193E-2</v>
      </c>
      <c r="Q2767">
        <f t="shared" si="172"/>
        <v>1.9435348837209303</v>
      </c>
      <c r="R2767">
        <f t="shared" si="173"/>
        <v>59.694285714285719</v>
      </c>
      <c r="S2767">
        <f t="shared" si="174"/>
        <v>0.51225290767242615</v>
      </c>
      <c r="T2767">
        <f t="shared" si="175"/>
        <v>3.255813953488372E-2</v>
      </c>
      <c r="U2767" t="str">
        <f>YEAR('Campaign Data'!$A2767)&amp;"-"&amp;TEXT(MONTH('Campaign Data'!$A2767),"00")</f>
        <v>2026-05</v>
      </c>
    </row>
    <row r="2768" spans="1:21" x14ac:dyDescent="0.25">
      <c r="A2768">
        <v>46172</v>
      </c>
      <c r="B2768" t="s">
        <v>143</v>
      </c>
      <c r="C2768" t="s">
        <v>144</v>
      </c>
      <c r="D2768" t="s">
        <v>48</v>
      </c>
      <c r="E2768" t="s">
        <v>42</v>
      </c>
      <c r="F2768" t="s">
        <v>25</v>
      </c>
      <c r="G2768" t="s">
        <v>84</v>
      </c>
      <c r="H2768" t="s">
        <v>71</v>
      </c>
      <c r="I2768" t="s">
        <v>28</v>
      </c>
      <c r="J2768" t="s">
        <v>29</v>
      </c>
      <c r="K2768">
        <v>4745</v>
      </c>
      <c r="L2768">
        <v>23</v>
      </c>
      <c r="M2768">
        <v>132.86000000000001</v>
      </c>
      <c r="N2768">
        <v>0</v>
      </c>
      <c r="O2768">
        <v>0</v>
      </c>
      <c r="P2768">
        <f t="shared" si="172"/>
        <v>4.8472075869336146E-3</v>
      </c>
      <c r="Q2768">
        <f t="shared" si="172"/>
        <v>5.7765217391304358</v>
      </c>
      <c r="R2768">
        <f t="shared" si="173"/>
        <v>0</v>
      </c>
      <c r="S2768">
        <f t="shared" si="174"/>
        <v>0</v>
      </c>
      <c r="T2768">
        <f t="shared" si="175"/>
        <v>0</v>
      </c>
      <c r="U2768" t="str">
        <f>YEAR('Campaign Data'!$A2768)&amp;"-"&amp;TEXT(MONTH('Campaign Data'!$A2768),"00")</f>
        <v>2026-05</v>
      </c>
    </row>
    <row r="2769" spans="1:21" x14ac:dyDescent="0.25">
      <c r="A2769">
        <v>46173</v>
      </c>
      <c r="B2769" t="s">
        <v>165</v>
      </c>
      <c r="C2769" t="s">
        <v>166</v>
      </c>
      <c r="D2769" t="s">
        <v>41</v>
      </c>
      <c r="E2769" t="s">
        <v>33</v>
      </c>
      <c r="F2769" t="s">
        <v>43</v>
      </c>
      <c r="G2769" t="s">
        <v>59</v>
      </c>
      <c r="H2769" t="s">
        <v>36</v>
      </c>
      <c r="I2769" t="s">
        <v>37</v>
      </c>
      <c r="J2769" t="s">
        <v>38</v>
      </c>
      <c r="K2769">
        <v>14632</v>
      </c>
      <c r="L2769">
        <v>80</v>
      </c>
      <c r="M2769">
        <v>58.73</v>
      </c>
      <c r="N2769">
        <v>2</v>
      </c>
      <c r="O2769">
        <v>31.91</v>
      </c>
      <c r="P2769">
        <f t="shared" si="172"/>
        <v>5.4674685620557679E-3</v>
      </c>
      <c r="Q2769">
        <f t="shared" si="172"/>
        <v>0.73412499999999992</v>
      </c>
      <c r="R2769">
        <f t="shared" si="173"/>
        <v>29.364999999999998</v>
      </c>
      <c r="S2769">
        <f t="shared" si="174"/>
        <v>0.54333390090243494</v>
      </c>
      <c r="T2769">
        <f t="shared" si="175"/>
        <v>2.5000000000000001E-2</v>
      </c>
      <c r="U2769" t="str">
        <f>YEAR('Campaign Data'!$A2769)&amp;"-"&amp;TEXT(MONTH('Campaign Data'!$A2769),"00")</f>
        <v>2026-05</v>
      </c>
    </row>
    <row r="2770" spans="1:21" x14ac:dyDescent="0.25">
      <c r="A2770">
        <v>46173</v>
      </c>
      <c r="B2770" t="s">
        <v>138</v>
      </c>
      <c r="C2770" t="s">
        <v>139</v>
      </c>
      <c r="D2770" t="s">
        <v>58</v>
      </c>
      <c r="E2770" t="s">
        <v>74</v>
      </c>
      <c r="F2770" t="s">
        <v>34</v>
      </c>
      <c r="G2770" t="s">
        <v>9</v>
      </c>
      <c r="H2770" t="s">
        <v>90</v>
      </c>
      <c r="I2770" t="s">
        <v>37</v>
      </c>
      <c r="J2770" t="s">
        <v>87</v>
      </c>
      <c r="K2770">
        <v>3530</v>
      </c>
      <c r="L2770">
        <v>71</v>
      </c>
      <c r="M2770">
        <v>21.55</v>
      </c>
      <c r="N2770">
        <v>1</v>
      </c>
      <c r="O2770">
        <v>47.79</v>
      </c>
      <c r="P2770">
        <f t="shared" si="172"/>
        <v>2.0113314447592068E-2</v>
      </c>
      <c r="Q2770">
        <f t="shared" si="172"/>
        <v>0.30352112676056336</v>
      </c>
      <c r="R2770">
        <f t="shared" si="173"/>
        <v>21.55</v>
      </c>
      <c r="S2770">
        <f t="shared" si="174"/>
        <v>2.2176334106728537</v>
      </c>
      <c r="T2770">
        <f t="shared" si="175"/>
        <v>1.4084507042253521E-2</v>
      </c>
      <c r="U2770" t="str">
        <f>YEAR('Campaign Data'!$A2770)&amp;"-"&amp;TEXT(MONTH('Campaign Data'!$A2770),"00")</f>
        <v>2026-05</v>
      </c>
    </row>
    <row r="2771" spans="1:21" x14ac:dyDescent="0.25">
      <c r="A2771">
        <v>46173</v>
      </c>
      <c r="B2771" t="s">
        <v>138</v>
      </c>
      <c r="C2771" t="s">
        <v>139</v>
      </c>
      <c r="D2771" t="s">
        <v>58</v>
      </c>
      <c r="E2771" t="s">
        <v>74</v>
      </c>
      <c r="F2771" t="s">
        <v>34</v>
      </c>
      <c r="G2771" t="s">
        <v>9</v>
      </c>
      <c r="H2771" t="s">
        <v>90</v>
      </c>
      <c r="I2771" t="s">
        <v>28</v>
      </c>
      <c r="J2771" t="s">
        <v>38</v>
      </c>
      <c r="K2771">
        <v>5607</v>
      </c>
      <c r="L2771">
        <v>134</v>
      </c>
      <c r="M2771">
        <v>45.18</v>
      </c>
      <c r="N2771">
        <v>7</v>
      </c>
      <c r="O2771">
        <v>224.17</v>
      </c>
      <c r="P2771">
        <f t="shared" si="172"/>
        <v>2.3898698056001425E-2</v>
      </c>
      <c r="Q2771">
        <f t="shared" si="172"/>
        <v>0.3371641791044776</v>
      </c>
      <c r="R2771">
        <f t="shared" si="173"/>
        <v>6.4542857142857146</v>
      </c>
      <c r="S2771">
        <f t="shared" si="174"/>
        <v>4.9617087206728643</v>
      </c>
      <c r="T2771">
        <f t="shared" si="175"/>
        <v>5.2238805970149252E-2</v>
      </c>
      <c r="U2771" t="str">
        <f>YEAR('Campaign Data'!$A2771)&amp;"-"&amp;TEXT(MONTH('Campaign Data'!$A2771),"00")</f>
        <v>2026-05</v>
      </c>
    </row>
    <row r="2772" spans="1:21" x14ac:dyDescent="0.25">
      <c r="A2772">
        <v>46173</v>
      </c>
      <c r="B2772" t="s">
        <v>149</v>
      </c>
      <c r="C2772" t="s">
        <v>150</v>
      </c>
      <c r="D2772" t="s">
        <v>65</v>
      </c>
      <c r="E2772" t="s">
        <v>33</v>
      </c>
      <c r="F2772" t="s">
        <v>43</v>
      </c>
      <c r="G2772" t="s">
        <v>59</v>
      </c>
      <c r="H2772" t="s">
        <v>27</v>
      </c>
      <c r="I2772" t="s">
        <v>28</v>
      </c>
      <c r="J2772" t="s">
        <v>62</v>
      </c>
      <c r="K2772">
        <v>3302</v>
      </c>
      <c r="L2772">
        <v>31</v>
      </c>
      <c r="M2772">
        <v>31.99</v>
      </c>
      <c r="N2772">
        <v>0</v>
      </c>
      <c r="O2772">
        <v>0</v>
      </c>
      <c r="P2772">
        <f t="shared" si="172"/>
        <v>9.3882495457298602E-3</v>
      </c>
      <c r="Q2772">
        <f t="shared" si="172"/>
        <v>1.0319354838709678</v>
      </c>
      <c r="R2772">
        <f t="shared" si="173"/>
        <v>0</v>
      </c>
      <c r="S2772">
        <f t="shared" si="174"/>
        <v>0</v>
      </c>
      <c r="T2772">
        <f t="shared" si="175"/>
        <v>0</v>
      </c>
      <c r="U2772" t="str">
        <f>YEAR('Campaign Data'!$A2772)&amp;"-"&amp;TEXT(MONTH('Campaign Data'!$A2772),"00")</f>
        <v>2026-05</v>
      </c>
    </row>
    <row r="2773" spans="1:21" x14ac:dyDescent="0.25">
      <c r="A2773">
        <v>46173</v>
      </c>
      <c r="B2773" t="s">
        <v>103</v>
      </c>
      <c r="C2773" t="s">
        <v>104</v>
      </c>
      <c r="D2773" t="s">
        <v>65</v>
      </c>
      <c r="E2773" t="s">
        <v>33</v>
      </c>
      <c r="F2773" t="s">
        <v>43</v>
      </c>
      <c r="G2773" t="s">
        <v>102</v>
      </c>
      <c r="H2773" t="s">
        <v>90</v>
      </c>
      <c r="I2773" t="s">
        <v>28</v>
      </c>
      <c r="J2773" t="s">
        <v>29</v>
      </c>
      <c r="K2773">
        <v>9797</v>
      </c>
      <c r="L2773">
        <v>37</v>
      </c>
      <c r="M2773">
        <v>6.84</v>
      </c>
      <c r="N2773">
        <v>0</v>
      </c>
      <c r="O2773">
        <v>0</v>
      </c>
      <c r="P2773">
        <f t="shared" si="172"/>
        <v>3.7766663264264572E-3</v>
      </c>
      <c r="Q2773">
        <f t="shared" si="172"/>
        <v>0.18486486486486486</v>
      </c>
      <c r="R2773">
        <f t="shared" si="173"/>
        <v>0</v>
      </c>
      <c r="S2773">
        <f t="shared" si="174"/>
        <v>0</v>
      </c>
      <c r="T2773">
        <f t="shared" si="175"/>
        <v>0</v>
      </c>
      <c r="U2773" t="str">
        <f>YEAR('Campaign Data'!$A2773)&amp;"-"&amp;TEXT(MONTH('Campaign Data'!$A2773),"00")</f>
        <v>2026-05</v>
      </c>
    </row>
    <row r="2774" spans="1:21" x14ac:dyDescent="0.25">
      <c r="A2774">
        <v>46173</v>
      </c>
      <c r="B2774" t="s">
        <v>132</v>
      </c>
      <c r="C2774" t="s">
        <v>133</v>
      </c>
      <c r="D2774" t="s">
        <v>23</v>
      </c>
      <c r="E2774" t="s">
        <v>42</v>
      </c>
      <c r="F2774" t="s">
        <v>75</v>
      </c>
      <c r="G2774" t="s">
        <v>84</v>
      </c>
      <c r="H2774" t="s">
        <v>90</v>
      </c>
      <c r="I2774" t="s">
        <v>37</v>
      </c>
      <c r="J2774" t="s">
        <v>62</v>
      </c>
      <c r="K2774">
        <v>3955</v>
      </c>
      <c r="L2774">
        <v>25</v>
      </c>
      <c r="M2774">
        <v>28.68</v>
      </c>
      <c r="N2774">
        <v>0</v>
      </c>
      <c r="O2774">
        <v>0</v>
      </c>
      <c r="P2774">
        <f t="shared" si="172"/>
        <v>6.321112515802781E-3</v>
      </c>
      <c r="Q2774">
        <f t="shared" si="172"/>
        <v>1.1472</v>
      </c>
      <c r="R2774">
        <f t="shared" si="173"/>
        <v>0</v>
      </c>
      <c r="S2774">
        <f t="shared" si="174"/>
        <v>0</v>
      </c>
      <c r="T2774">
        <f t="shared" si="175"/>
        <v>0</v>
      </c>
      <c r="U2774" t="str">
        <f>YEAR('Campaign Data'!$A2774)&amp;"-"&amp;TEXT(MONTH('Campaign Data'!$A2774),"00")</f>
        <v>2026-05</v>
      </c>
    </row>
    <row r="2775" spans="1:21" x14ac:dyDescent="0.25">
      <c r="A2775">
        <v>46173</v>
      </c>
      <c r="B2775" t="s">
        <v>179</v>
      </c>
      <c r="C2775" t="s">
        <v>180</v>
      </c>
      <c r="D2775" t="s">
        <v>58</v>
      </c>
      <c r="E2775" t="s">
        <v>42</v>
      </c>
      <c r="F2775" t="s">
        <v>25</v>
      </c>
      <c r="G2775" t="s">
        <v>54</v>
      </c>
      <c r="H2775" t="s">
        <v>51</v>
      </c>
      <c r="I2775" t="s">
        <v>37</v>
      </c>
      <c r="J2775" t="s">
        <v>38</v>
      </c>
      <c r="K2775">
        <v>15054</v>
      </c>
      <c r="L2775">
        <v>104</v>
      </c>
      <c r="M2775">
        <v>526.77</v>
      </c>
      <c r="N2775">
        <v>6</v>
      </c>
      <c r="O2775">
        <v>823.94</v>
      </c>
      <c r="P2775">
        <f t="shared" si="172"/>
        <v>6.9084628670120895E-3</v>
      </c>
      <c r="Q2775">
        <f t="shared" si="172"/>
        <v>5.0650961538461541</v>
      </c>
      <c r="R2775">
        <f t="shared" si="173"/>
        <v>87.795000000000002</v>
      </c>
      <c r="S2775">
        <f t="shared" si="174"/>
        <v>1.5641361505021167</v>
      </c>
      <c r="T2775">
        <f t="shared" si="175"/>
        <v>5.7692307692307696E-2</v>
      </c>
      <c r="U2775" t="str">
        <f>YEAR('Campaign Data'!$A2775)&amp;"-"&amp;TEXT(MONTH('Campaign Data'!$A2775),"00")</f>
        <v>2026-05</v>
      </c>
    </row>
    <row r="2776" spans="1:21" x14ac:dyDescent="0.25">
      <c r="A2776">
        <v>46173</v>
      </c>
      <c r="B2776" t="s">
        <v>112</v>
      </c>
      <c r="C2776" t="s">
        <v>113</v>
      </c>
      <c r="D2776" t="s">
        <v>32</v>
      </c>
      <c r="E2776" t="s">
        <v>24</v>
      </c>
      <c r="F2776" t="s">
        <v>75</v>
      </c>
      <c r="G2776" t="s">
        <v>66</v>
      </c>
      <c r="H2776" t="s">
        <v>90</v>
      </c>
      <c r="I2776" t="s">
        <v>37</v>
      </c>
      <c r="J2776" t="s">
        <v>87</v>
      </c>
      <c r="K2776">
        <v>12576</v>
      </c>
      <c r="L2776">
        <v>93</v>
      </c>
      <c r="M2776">
        <v>24.35</v>
      </c>
      <c r="N2776">
        <v>2</v>
      </c>
      <c r="O2776">
        <v>15.3</v>
      </c>
      <c r="P2776">
        <f t="shared" si="172"/>
        <v>7.3950381679389315E-3</v>
      </c>
      <c r="Q2776">
        <f t="shared" si="172"/>
        <v>0.26182795698924732</v>
      </c>
      <c r="R2776">
        <f t="shared" si="173"/>
        <v>12.175000000000001</v>
      </c>
      <c r="S2776">
        <f t="shared" si="174"/>
        <v>0.62833675564681724</v>
      </c>
      <c r="T2776">
        <f t="shared" si="175"/>
        <v>2.1505376344086023E-2</v>
      </c>
      <c r="U2776" t="str">
        <f>YEAR('Campaign Data'!$A2776)&amp;"-"&amp;TEXT(MONTH('Campaign Data'!$A2776),"00")</f>
        <v>2026-05</v>
      </c>
    </row>
    <row r="2777" spans="1:21" x14ac:dyDescent="0.25">
      <c r="A2777">
        <v>46173</v>
      </c>
      <c r="B2777" t="s">
        <v>159</v>
      </c>
      <c r="C2777" t="s">
        <v>160</v>
      </c>
      <c r="D2777" t="s">
        <v>65</v>
      </c>
      <c r="E2777" t="s">
        <v>42</v>
      </c>
      <c r="F2777" t="s">
        <v>75</v>
      </c>
      <c r="G2777" t="s">
        <v>54</v>
      </c>
      <c r="H2777" t="s">
        <v>27</v>
      </c>
      <c r="I2777" t="s">
        <v>37</v>
      </c>
      <c r="J2777" t="s">
        <v>87</v>
      </c>
      <c r="K2777">
        <v>3370</v>
      </c>
      <c r="L2777">
        <v>20</v>
      </c>
      <c r="M2777">
        <v>176.48</v>
      </c>
      <c r="N2777">
        <v>0</v>
      </c>
      <c r="O2777">
        <v>0</v>
      </c>
      <c r="P2777">
        <f t="shared" si="172"/>
        <v>5.9347181008902079E-3</v>
      </c>
      <c r="Q2777">
        <f t="shared" si="172"/>
        <v>8.8239999999999998</v>
      </c>
      <c r="R2777">
        <f t="shared" si="173"/>
        <v>0</v>
      </c>
      <c r="S2777">
        <f t="shared" si="174"/>
        <v>0</v>
      </c>
      <c r="T2777">
        <f t="shared" si="175"/>
        <v>0</v>
      </c>
      <c r="U2777" t="str">
        <f>YEAR('Campaign Data'!$A2777)&amp;"-"&amp;TEXT(MONTH('Campaign Data'!$A2777),"00")</f>
        <v>2026-05</v>
      </c>
    </row>
    <row r="2778" spans="1:21" x14ac:dyDescent="0.25">
      <c r="A2778">
        <v>46173</v>
      </c>
      <c r="B2778" t="s">
        <v>161</v>
      </c>
      <c r="C2778" t="s">
        <v>162</v>
      </c>
      <c r="D2778" t="s">
        <v>48</v>
      </c>
      <c r="E2778" t="s">
        <v>74</v>
      </c>
      <c r="F2778" t="s">
        <v>34</v>
      </c>
      <c r="G2778" t="s">
        <v>107</v>
      </c>
      <c r="H2778" t="s">
        <v>51</v>
      </c>
      <c r="I2778" t="s">
        <v>37</v>
      </c>
      <c r="J2778" t="s">
        <v>29</v>
      </c>
      <c r="K2778">
        <v>16065</v>
      </c>
      <c r="L2778">
        <v>554</v>
      </c>
      <c r="M2778">
        <v>632.45000000000005</v>
      </c>
      <c r="N2778">
        <v>7</v>
      </c>
      <c r="O2778">
        <v>1140.6199999999999</v>
      </c>
      <c r="P2778">
        <f t="shared" si="172"/>
        <v>3.4484905073140365E-2</v>
      </c>
      <c r="Q2778">
        <f t="shared" si="172"/>
        <v>1.1416064981949459</v>
      </c>
      <c r="R2778">
        <f t="shared" si="173"/>
        <v>90.350000000000009</v>
      </c>
      <c r="S2778">
        <f t="shared" si="174"/>
        <v>1.8034943473792391</v>
      </c>
      <c r="T2778">
        <f t="shared" si="175"/>
        <v>1.263537906137184E-2</v>
      </c>
      <c r="U2778" t="str">
        <f>YEAR('Campaign Data'!$A2778)&amp;"-"&amp;TEXT(MONTH('Campaign Data'!$A2778),"00")</f>
        <v>2026-05</v>
      </c>
    </row>
    <row r="2779" spans="1:21" x14ac:dyDescent="0.25">
      <c r="A2779">
        <v>46173</v>
      </c>
      <c r="B2779" t="s">
        <v>141</v>
      </c>
      <c r="C2779" t="s">
        <v>142</v>
      </c>
      <c r="D2779" t="s">
        <v>80</v>
      </c>
      <c r="E2779" t="s">
        <v>49</v>
      </c>
      <c r="F2779" t="s">
        <v>81</v>
      </c>
      <c r="G2779" t="s">
        <v>97</v>
      </c>
      <c r="H2779" t="s">
        <v>27</v>
      </c>
      <c r="I2779" t="s">
        <v>37</v>
      </c>
      <c r="J2779" t="s">
        <v>62</v>
      </c>
      <c r="K2779">
        <v>7218</v>
      </c>
      <c r="L2779">
        <v>621</v>
      </c>
      <c r="M2779">
        <v>1517.35</v>
      </c>
      <c r="N2779">
        <v>66</v>
      </c>
      <c r="O2779">
        <v>1289.55</v>
      </c>
      <c r="P2779">
        <f t="shared" si="172"/>
        <v>8.6034912718204487E-2</v>
      </c>
      <c r="Q2779">
        <f t="shared" si="172"/>
        <v>2.4433977455716587</v>
      </c>
      <c r="R2779">
        <f t="shared" si="173"/>
        <v>22.990151515151513</v>
      </c>
      <c r="S2779">
        <f t="shared" si="174"/>
        <v>0.84986983886380862</v>
      </c>
      <c r="T2779">
        <f t="shared" si="175"/>
        <v>0.10628019323671498</v>
      </c>
      <c r="U2779" t="str">
        <f>YEAR('Campaign Data'!$A2779)&amp;"-"&amp;TEXT(MONTH('Campaign Data'!$A2779),"00")</f>
        <v>2026-05</v>
      </c>
    </row>
    <row r="2780" spans="1:21" x14ac:dyDescent="0.25">
      <c r="A2780">
        <v>46173</v>
      </c>
      <c r="B2780" t="s">
        <v>63</v>
      </c>
      <c r="C2780" t="s">
        <v>64</v>
      </c>
      <c r="D2780" t="s">
        <v>65</v>
      </c>
      <c r="E2780" t="s">
        <v>24</v>
      </c>
      <c r="F2780" t="s">
        <v>43</v>
      </c>
      <c r="G2780" t="s">
        <v>66</v>
      </c>
      <c r="H2780" t="s">
        <v>36</v>
      </c>
      <c r="I2780" t="s">
        <v>37</v>
      </c>
      <c r="J2780" t="s">
        <v>87</v>
      </c>
      <c r="K2780">
        <v>8421</v>
      </c>
      <c r="L2780">
        <v>113</v>
      </c>
      <c r="M2780">
        <v>144.72</v>
      </c>
      <c r="N2780">
        <v>2</v>
      </c>
      <c r="O2780">
        <v>58.29</v>
      </c>
      <c r="P2780">
        <f t="shared" si="172"/>
        <v>1.3418833867711673E-2</v>
      </c>
      <c r="Q2780">
        <f t="shared" si="172"/>
        <v>1.2807079646017698</v>
      </c>
      <c r="R2780">
        <f t="shared" si="173"/>
        <v>72.36</v>
      </c>
      <c r="S2780">
        <f t="shared" si="174"/>
        <v>0.40277777777777779</v>
      </c>
      <c r="T2780">
        <f t="shared" si="175"/>
        <v>1.7699115044247787E-2</v>
      </c>
      <c r="U2780" t="str">
        <f>YEAR('Campaign Data'!$A2780)&amp;"-"&amp;TEXT(MONTH('Campaign Data'!$A2780),"00")</f>
        <v>2026-05</v>
      </c>
    </row>
    <row r="2781" spans="1:21" x14ac:dyDescent="0.25">
      <c r="A2781">
        <v>46173</v>
      </c>
      <c r="B2781" t="s">
        <v>72</v>
      </c>
      <c r="C2781" t="s">
        <v>73</v>
      </c>
      <c r="D2781" t="s">
        <v>69</v>
      </c>
      <c r="E2781" t="s">
        <v>74</v>
      </c>
      <c r="F2781" t="s">
        <v>75</v>
      </c>
      <c r="G2781" t="s">
        <v>9</v>
      </c>
      <c r="H2781" t="s">
        <v>27</v>
      </c>
      <c r="I2781" t="s">
        <v>37</v>
      </c>
      <c r="J2781" t="s">
        <v>29</v>
      </c>
      <c r="K2781">
        <v>7083</v>
      </c>
      <c r="L2781">
        <v>300</v>
      </c>
      <c r="M2781">
        <v>488.45</v>
      </c>
      <c r="N2781">
        <v>18</v>
      </c>
      <c r="O2781">
        <v>861.58</v>
      </c>
      <c r="P2781">
        <f t="shared" si="172"/>
        <v>4.2354934349851756E-2</v>
      </c>
      <c r="Q2781">
        <f t="shared" si="172"/>
        <v>1.6281666666666665</v>
      </c>
      <c r="R2781">
        <f t="shared" si="173"/>
        <v>27.136111111111109</v>
      </c>
      <c r="S2781">
        <f t="shared" si="174"/>
        <v>1.7639062340055278</v>
      </c>
      <c r="T2781">
        <f t="shared" si="175"/>
        <v>0.06</v>
      </c>
      <c r="U2781" t="str">
        <f>YEAR('Campaign Data'!$A2781)&amp;"-"&amp;TEXT(MONTH('Campaign Data'!$A2781),"00")</f>
        <v>2026-05</v>
      </c>
    </row>
    <row r="2782" spans="1:21" x14ac:dyDescent="0.25">
      <c r="A2782">
        <v>46173</v>
      </c>
      <c r="B2782" t="s">
        <v>72</v>
      </c>
      <c r="C2782" t="s">
        <v>73</v>
      </c>
      <c r="D2782" t="s">
        <v>69</v>
      </c>
      <c r="E2782" t="s">
        <v>74</v>
      </c>
      <c r="F2782" t="s">
        <v>75</v>
      </c>
      <c r="G2782" t="s">
        <v>9</v>
      </c>
      <c r="H2782" t="s">
        <v>27</v>
      </c>
      <c r="I2782" t="s">
        <v>28</v>
      </c>
      <c r="J2782" t="s">
        <v>87</v>
      </c>
      <c r="K2782">
        <v>6986</v>
      </c>
      <c r="L2782">
        <v>192</v>
      </c>
      <c r="M2782">
        <v>220.63</v>
      </c>
      <c r="N2782">
        <v>9</v>
      </c>
      <c r="O2782">
        <v>184.44</v>
      </c>
      <c r="P2782">
        <f t="shared" si="172"/>
        <v>2.7483538505582595E-2</v>
      </c>
      <c r="Q2782">
        <f t="shared" si="172"/>
        <v>1.1491145833333334</v>
      </c>
      <c r="R2782">
        <f t="shared" si="173"/>
        <v>24.514444444444443</v>
      </c>
      <c r="S2782">
        <f t="shared" si="174"/>
        <v>0.83596972306576622</v>
      </c>
      <c r="T2782">
        <f t="shared" si="175"/>
        <v>4.6875E-2</v>
      </c>
      <c r="U2782" t="str">
        <f>YEAR('Campaign Data'!$A2782)&amp;"-"&amp;TEXT(MONTH('Campaign Data'!$A2782),"00")</f>
        <v>2026-05</v>
      </c>
    </row>
    <row r="2783" spans="1:21" x14ac:dyDescent="0.25">
      <c r="A2783">
        <v>46173</v>
      </c>
      <c r="B2783" t="s">
        <v>116</v>
      </c>
      <c r="C2783" t="s">
        <v>117</v>
      </c>
      <c r="D2783" t="s">
        <v>48</v>
      </c>
      <c r="E2783" t="s">
        <v>24</v>
      </c>
      <c r="F2783" t="s">
        <v>43</v>
      </c>
      <c r="G2783" t="s">
        <v>26</v>
      </c>
      <c r="H2783" t="s">
        <v>27</v>
      </c>
      <c r="I2783" t="s">
        <v>37</v>
      </c>
      <c r="J2783" t="s">
        <v>45</v>
      </c>
      <c r="K2783">
        <v>19445</v>
      </c>
      <c r="L2783">
        <v>216</v>
      </c>
      <c r="M2783">
        <v>363.74</v>
      </c>
      <c r="N2783">
        <v>6</v>
      </c>
      <c r="O2783">
        <v>142.69999999999999</v>
      </c>
      <c r="P2783">
        <f t="shared" si="172"/>
        <v>1.1108254049884289E-2</v>
      </c>
      <c r="Q2783">
        <f t="shared" si="172"/>
        <v>1.6839814814814815</v>
      </c>
      <c r="R2783">
        <f t="shared" si="173"/>
        <v>60.623333333333335</v>
      </c>
      <c r="S2783">
        <f t="shared" si="174"/>
        <v>0.39231319074063886</v>
      </c>
      <c r="T2783">
        <f t="shared" si="175"/>
        <v>2.7777777777777776E-2</v>
      </c>
      <c r="U2783" t="str">
        <f>YEAR('Campaign Data'!$A2783)&amp;"-"&amp;TEXT(MONTH('Campaign Data'!$A2783),"00")</f>
        <v>2026-05</v>
      </c>
    </row>
    <row r="2784" spans="1:21" x14ac:dyDescent="0.25">
      <c r="A2784">
        <v>46173</v>
      </c>
      <c r="B2784" t="s">
        <v>163</v>
      </c>
      <c r="C2784" t="s">
        <v>164</v>
      </c>
      <c r="D2784" t="s">
        <v>58</v>
      </c>
      <c r="E2784" t="s">
        <v>42</v>
      </c>
      <c r="F2784" t="s">
        <v>43</v>
      </c>
      <c r="G2784" t="s">
        <v>44</v>
      </c>
      <c r="H2784" t="s">
        <v>27</v>
      </c>
      <c r="I2784" t="s">
        <v>37</v>
      </c>
      <c r="J2784" t="s">
        <v>29</v>
      </c>
      <c r="K2784">
        <v>4925</v>
      </c>
      <c r="L2784">
        <v>23</v>
      </c>
      <c r="M2784">
        <v>108.34</v>
      </c>
      <c r="N2784">
        <v>2</v>
      </c>
      <c r="O2784">
        <v>55.55</v>
      </c>
      <c r="P2784">
        <f t="shared" si="172"/>
        <v>4.6700507614213195E-3</v>
      </c>
      <c r="Q2784">
        <f t="shared" si="172"/>
        <v>4.7104347826086954</v>
      </c>
      <c r="R2784">
        <f t="shared" si="173"/>
        <v>54.17</v>
      </c>
      <c r="S2784">
        <f t="shared" si="174"/>
        <v>0.51273767768137346</v>
      </c>
      <c r="T2784">
        <f t="shared" si="175"/>
        <v>8.6956521739130432E-2</v>
      </c>
      <c r="U2784" t="str">
        <f>YEAR('Campaign Data'!$A2784)&amp;"-"&amp;TEXT(MONTH('Campaign Data'!$A2784),"00")</f>
        <v>2026-05</v>
      </c>
    </row>
    <row r="2785" spans="1:21" x14ac:dyDescent="0.25">
      <c r="A2785">
        <v>46173</v>
      </c>
      <c r="B2785" t="s">
        <v>76</v>
      </c>
      <c r="C2785" t="s">
        <v>77</v>
      </c>
      <c r="D2785" t="s">
        <v>65</v>
      </c>
      <c r="E2785" t="s">
        <v>42</v>
      </c>
      <c r="F2785" t="s">
        <v>43</v>
      </c>
      <c r="G2785" t="s">
        <v>44</v>
      </c>
      <c r="H2785" t="s">
        <v>60</v>
      </c>
      <c r="I2785" t="s">
        <v>37</v>
      </c>
      <c r="J2785" t="s">
        <v>29</v>
      </c>
      <c r="K2785">
        <v>2767</v>
      </c>
      <c r="L2785">
        <v>15</v>
      </c>
      <c r="M2785">
        <v>43.65</v>
      </c>
      <c r="N2785">
        <v>2</v>
      </c>
      <c r="O2785">
        <v>31.05</v>
      </c>
      <c r="P2785">
        <f t="shared" si="172"/>
        <v>5.4210336104083849E-3</v>
      </c>
      <c r="Q2785">
        <f t="shared" si="172"/>
        <v>2.9099999999999997</v>
      </c>
      <c r="R2785">
        <f t="shared" si="173"/>
        <v>21.824999999999999</v>
      </c>
      <c r="S2785">
        <f t="shared" si="174"/>
        <v>0.71134020618556704</v>
      </c>
      <c r="T2785">
        <f t="shared" si="175"/>
        <v>0.13333333333333333</v>
      </c>
      <c r="U2785" t="str">
        <f>YEAR('Campaign Data'!$A2785)&amp;"-"&amp;TEXT(MONTH('Campaign Data'!$A2785),"00")</f>
        <v>2026-05</v>
      </c>
    </row>
    <row r="2786" spans="1:21" x14ac:dyDescent="0.25">
      <c r="A2786">
        <v>46173</v>
      </c>
      <c r="B2786" t="s">
        <v>78</v>
      </c>
      <c r="C2786" t="s">
        <v>79</v>
      </c>
      <c r="D2786" t="s">
        <v>80</v>
      </c>
      <c r="E2786" t="s">
        <v>24</v>
      </c>
      <c r="F2786" t="s">
        <v>81</v>
      </c>
      <c r="G2786" t="s">
        <v>66</v>
      </c>
      <c r="H2786" t="s">
        <v>90</v>
      </c>
      <c r="I2786" t="s">
        <v>37</v>
      </c>
      <c r="J2786" t="s">
        <v>29</v>
      </c>
      <c r="K2786">
        <v>3422</v>
      </c>
      <c r="L2786">
        <v>32</v>
      </c>
      <c r="M2786">
        <v>7.1</v>
      </c>
      <c r="N2786">
        <v>0</v>
      </c>
      <c r="O2786">
        <v>0</v>
      </c>
      <c r="P2786">
        <f t="shared" si="172"/>
        <v>9.3512565751022788E-3</v>
      </c>
      <c r="Q2786">
        <f t="shared" si="172"/>
        <v>0.22187499999999999</v>
      </c>
      <c r="R2786">
        <f t="shared" si="173"/>
        <v>0</v>
      </c>
      <c r="S2786">
        <f t="shared" si="174"/>
        <v>0</v>
      </c>
      <c r="T2786">
        <f t="shared" si="175"/>
        <v>0</v>
      </c>
      <c r="U2786" t="str">
        <f>YEAR('Campaign Data'!$A2786)&amp;"-"&amp;TEXT(MONTH('Campaign Data'!$A2786),"00")</f>
        <v>2026-05</v>
      </c>
    </row>
    <row r="2787" spans="1:21" x14ac:dyDescent="0.25">
      <c r="A2787">
        <v>46173</v>
      </c>
      <c r="B2787" t="s">
        <v>78</v>
      </c>
      <c r="C2787" t="s">
        <v>79</v>
      </c>
      <c r="D2787" t="s">
        <v>80</v>
      </c>
      <c r="E2787" t="s">
        <v>24</v>
      </c>
      <c r="F2787" t="s">
        <v>81</v>
      </c>
      <c r="G2787" t="s">
        <v>66</v>
      </c>
      <c r="H2787" t="s">
        <v>55</v>
      </c>
      <c r="I2787" t="s">
        <v>37</v>
      </c>
      <c r="J2787" t="s">
        <v>62</v>
      </c>
      <c r="K2787">
        <v>3916</v>
      </c>
      <c r="L2787">
        <v>41</v>
      </c>
      <c r="M2787">
        <v>38.97</v>
      </c>
      <c r="N2787">
        <v>2</v>
      </c>
      <c r="O2787">
        <v>44.17</v>
      </c>
      <c r="P2787">
        <f t="shared" si="172"/>
        <v>1.0469867211440245E-2</v>
      </c>
      <c r="Q2787">
        <f t="shared" si="172"/>
        <v>0.95048780487804874</v>
      </c>
      <c r="R2787">
        <f t="shared" si="173"/>
        <v>19.484999999999999</v>
      </c>
      <c r="S2787">
        <f t="shared" si="174"/>
        <v>1.1334359763920965</v>
      </c>
      <c r="T2787">
        <f t="shared" si="175"/>
        <v>4.878048780487805E-2</v>
      </c>
      <c r="U2787" t="str">
        <f>YEAR('Campaign Data'!$A2787)&amp;"-"&amp;TEXT(MONTH('Campaign Data'!$A2787),"00")</f>
        <v>2026-05</v>
      </c>
    </row>
    <row r="2788" spans="1:21" x14ac:dyDescent="0.25">
      <c r="A2788">
        <v>46173</v>
      </c>
      <c r="B2788" t="s">
        <v>120</v>
      </c>
      <c r="C2788" t="s">
        <v>121</v>
      </c>
      <c r="D2788" t="s">
        <v>23</v>
      </c>
      <c r="E2788" t="s">
        <v>49</v>
      </c>
      <c r="F2788" t="s">
        <v>75</v>
      </c>
      <c r="G2788" t="s">
        <v>70</v>
      </c>
      <c r="H2788" t="s">
        <v>71</v>
      </c>
      <c r="I2788" t="s">
        <v>28</v>
      </c>
      <c r="J2788" t="s">
        <v>62</v>
      </c>
      <c r="K2788">
        <v>12051</v>
      </c>
      <c r="L2788">
        <v>780</v>
      </c>
      <c r="M2788">
        <v>1368.35</v>
      </c>
      <c r="N2788">
        <v>69</v>
      </c>
      <c r="O2788">
        <v>2412.6</v>
      </c>
      <c r="P2788">
        <f t="shared" si="172"/>
        <v>6.4724919093851127E-2</v>
      </c>
      <c r="Q2788">
        <f t="shared" si="172"/>
        <v>1.7542948717948716</v>
      </c>
      <c r="R2788">
        <f t="shared" si="173"/>
        <v>19.831159420289854</v>
      </c>
      <c r="S2788">
        <f t="shared" si="174"/>
        <v>1.7631453940877699</v>
      </c>
      <c r="T2788">
        <f t="shared" si="175"/>
        <v>8.8461538461538466E-2</v>
      </c>
      <c r="U2788" t="str">
        <f>YEAR('Campaign Data'!$A2788)&amp;"-"&amp;TEXT(MONTH('Campaign Data'!$A2788),"00")</f>
        <v>2026-05</v>
      </c>
    </row>
    <row r="2789" spans="1:21" x14ac:dyDescent="0.25">
      <c r="A2789">
        <v>46174</v>
      </c>
      <c r="B2789" t="s">
        <v>85</v>
      </c>
      <c r="C2789" t="s">
        <v>86</v>
      </c>
      <c r="D2789" t="s">
        <v>80</v>
      </c>
      <c r="E2789" t="s">
        <v>33</v>
      </c>
      <c r="F2789" t="s">
        <v>43</v>
      </c>
      <c r="G2789" t="s">
        <v>35</v>
      </c>
      <c r="H2789" t="s">
        <v>90</v>
      </c>
      <c r="I2789" t="s">
        <v>37</v>
      </c>
      <c r="J2789" t="s">
        <v>45</v>
      </c>
      <c r="K2789">
        <v>7356</v>
      </c>
      <c r="L2789">
        <v>72</v>
      </c>
      <c r="M2789">
        <v>12.69</v>
      </c>
      <c r="N2789">
        <v>1</v>
      </c>
      <c r="O2789">
        <v>9.65</v>
      </c>
      <c r="P2789">
        <f t="shared" si="172"/>
        <v>9.7879282218597055E-3</v>
      </c>
      <c r="Q2789">
        <f t="shared" si="172"/>
        <v>0.17624999999999999</v>
      </c>
      <c r="R2789">
        <f t="shared" si="173"/>
        <v>12.69</v>
      </c>
      <c r="S2789">
        <f t="shared" si="174"/>
        <v>0.76044129235618607</v>
      </c>
      <c r="T2789">
        <f t="shared" si="175"/>
        <v>1.3888888888888888E-2</v>
      </c>
      <c r="U2789" t="str">
        <f>YEAR('Campaign Data'!$A2789)&amp;"-"&amp;TEXT(MONTH('Campaign Data'!$A2789),"00")</f>
        <v>2026-06</v>
      </c>
    </row>
    <row r="2790" spans="1:21" x14ac:dyDescent="0.25">
      <c r="A2790">
        <v>46174</v>
      </c>
      <c r="B2790" t="s">
        <v>91</v>
      </c>
      <c r="C2790" t="s">
        <v>92</v>
      </c>
      <c r="D2790" t="s">
        <v>41</v>
      </c>
      <c r="E2790" t="s">
        <v>74</v>
      </c>
      <c r="F2790" t="s">
        <v>75</v>
      </c>
      <c r="G2790" t="s">
        <v>9</v>
      </c>
      <c r="H2790" t="s">
        <v>27</v>
      </c>
      <c r="I2790" t="s">
        <v>37</v>
      </c>
      <c r="J2790" t="s">
        <v>45</v>
      </c>
      <c r="K2790">
        <v>21301</v>
      </c>
      <c r="L2790">
        <v>442</v>
      </c>
      <c r="M2790">
        <v>653.19000000000005</v>
      </c>
      <c r="N2790">
        <v>11</v>
      </c>
      <c r="O2790">
        <v>287.18</v>
      </c>
      <c r="P2790">
        <f t="shared" si="172"/>
        <v>2.0750199521149242E-2</v>
      </c>
      <c r="Q2790">
        <f t="shared" si="172"/>
        <v>1.4778054298642536</v>
      </c>
      <c r="R2790">
        <f t="shared" si="173"/>
        <v>59.380909090909093</v>
      </c>
      <c r="S2790">
        <f t="shared" si="174"/>
        <v>0.43965768000122474</v>
      </c>
      <c r="T2790">
        <f t="shared" si="175"/>
        <v>2.4886877828054297E-2</v>
      </c>
      <c r="U2790" t="str">
        <f>YEAR('Campaign Data'!$A2790)&amp;"-"&amp;TEXT(MONTH('Campaign Data'!$A2790),"00")</f>
        <v>2026-06</v>
      </c>
    </row>
    <row r="2791" spans="1:21" x14ac:dyDescent="0.25">
      <c r="A2791">
        <v>46174</v>
      </c>
      <c r="B2791" t="s">
        <v>186</v>
      </c>
      <c r="C2791" t="s">
        <v>187</v>
      </c>
      <c r="D2791" t="s">
        <v>80</v>
      </c>
      <c r="E2791" t="s">
        <v>33</v>
      </c>
      <c r="F2791" t="s">
        <v>43</v>
      </c>
      <c r="G2791" t="s">
        <v>102</v>
      </c>
      <c r="H2791" t="s">
        <v>60</v>
      </c>
      <c r="I2791" t="s">
        <v>28</v>
      </c>
      <c r="J2791" t="s">
        <v>45</v>
      </c>
      <c r="K2791">
        <v>8530</v>
      </c>
      <c r="L2791">
        <v>45</v>
      </c>
      <c r="M2791">
        <v>23.4</v>
      </c>
      <c r="N2791">
        <v>2</v>
      </c>
      <c r="O2791">
        <v>15.67</v>
      </c>
      <c r="P2791">
        <f t="shared" si="172"/>
        <v>5.275498241500586E-3</v>
      </c>
      <c r="Q2791">
        <f t="shared" si="172"/>
        <v>0.52</v>
      </c>
      <c r="R2791">
        <f t="shared" si="173"/>
        <v>11.7</v>
      </c>
      <c r="S2791">
        <f t="shared" si="174"/>
        <v>0.66965811965811972</v>
      </c>
      <c r="T2791">
        <f t="shared" si="175"/>
        <v>4.4444444444444446E-2</v>
      </c>
      <c r="U2791" t="str">
        <f>YEAR('Campaign Data'!$A2791)&amp;"-"&amp;TEXT(MONTH('Campaign Data'!$A2791),"00")</f>
        <v>2026-06</v>
      </c>
    </row>
    <row r="2792" spans="1:21" x14ac:dyDescent="0.25">
      <c r="A2792">
        <v>46174</v>
      </c>
      <c r="B2792" t="s">
        <v>95</v>
      </c>
      <c r="C2792" t="s">
        <v>96</v>
      </c>
      <c r="D2792" t="s">
        <v>23</v>
      </c>
      <c r="E2792" t="s">
        <v>49</v>
      </c>
      <c r="F2792" t="s">
        <v>43</v>
      </c>
      <c r="G2792" t="s">
        <v>97</v>
      </c>
      <c r="H2792" t="s">
        <v>90</v>
      </c>
      <c r="I2792" t="s">
        <v>28</v>
      </c>
      <c r="J2792" t="s">
        <v>38</v>
      </c>
      <c r="K2792">
        <v>4716</v>
      </c>
      <c r="L2792">
        <v>258</v>
      </c>
      <c r="M2792">
        <v>101.47</v>
      </c>
      <c r="N2792">
        <v>10</v>
      </c>
      <c r="O2792">
        <v>106.11</v>
      </c>
      <c r="P2792">
        <f t="shared" si="172"/>
        <v>5.4707379134860054E-2</v>
      </c>
      <c r="Q2792">
        <f t="shared" si="172"/>
        <v>0.39329457364341086</v>
      </c>
      <c r="R2792">
        <f t="shared" si="173"/>
        <v>10.147</v>
      </c>
      <c r="S2792">
        <f t="shared" si="174"/>
        <v>1.0457278013205873</v>
      </c>
      <c r="T2792">
        <f t="shared" si="175"/>
        <v>3.875968992248062E-2</v>
      </c>
      <c r="U2792" t="str">
        <f>YEAR('Campaign Data'!$A2792)&amp;"-"&amp;TEXT(MONTH('Campaign Data'!$A2792),"00")</f>
        <v>2026-06</v>
      </c>
    </row>
    <row r="2793" spans="1:21" x14ac:dyDescent="0.25">
      <c r="A2793">
        <v>46174</v>
      </c>
      <c r="B2793" t="s">
        <v>151</v>
      </c>
      <c r="C2793" t="s">
        <v>152</v>
      </c>
      <c r="D2793" t="s">
        <v>48</v>
      </c>
      <c r="E2793" t="s">
        <v>24</v>
      </c>
      <c r="F2793" t="s">
        <v>81</v>
      </c>
      <c r="G2793" t="s">
        <v>129</v>
      </c>
      <c r="H2793" t="s">
        <v>27</v>
      </c>
      <c r="I2793" t="s">
        <v>28</v>
      </c>
      <c r="J2793" t="s">
        <v>62</v>
      </c>
      <c r="K2793">
        <v>6167</v>
      </c>
      <c r="L2793">
        <v>114</v>
      </c>
      <c r="M2793">
        <v>148.08000000000001</v>
      </c>
      <c r="N2793">
        <v>3</v>
      </c>
      <c r="O2793">
        <v>79.02</v>
      </c>
      <c r="P2793">
        <f t="shared" si="172"/>
        <v>1.8485487270958327E-2</v>
      </c>
      <c r="Q2793">
        <f t="shared" si="172"/>
        <v>1.2989473684210529</v>
      </c>
      <c r="R2793">
        <f t="shared" si="173"/>
        <v>49.360000000000007</v>
      </c>
      <c r="S2793">
        <f t="shared" si="174"/>
        <v>0.53363047001620734</v>
      </c>
      <c r="T2793">
        <f t="shared" si="175"/>
        <v>2.6315789473684209E-2</v>
      </c>
      <c r="U2793" t="str">
        <f>YEAR('Campaign Data'!$A2793)&amp;"-"&amp;TEXT(MONTH('Campaign Data'!$A2793),"00")</f>
        <v>2026-06</v>
      </c>
    </row>
    <row r="2794" spans="1:21" x14ac:dyDescent="0.25">
      <c r="A2794">
        <v>46174</v>
      </c>
      <c r="B2794" t="s">
        <v>108</v>
      </c>
      <c r="C2794" t="s">
        <v>109</v>
      </c>
      <c r="D2794" t="s">
        <v>58</v>
      </c>
      <c r="E2794" t="s">
        <v>33</v>
      </c>
      <c r="F2794" t="s">
        <v>43</v>
      </c>
      <c r="G2794" t="s">
        <v>59</v>
      </c>
      <c r="H2794" t="s">
        <v>27</v>
      </c>
      <c r="I2794" t="s">
        <v>37</v>
      </c>
      <c r="J2794" t="s">
        <v>62</v>
      </c>
      <c r="K2794">
        <v>8796</v>
      </c>
      <c r="L2794">
        <v>87</v>
      </c>
      <c r="M2794">
        <v>72.209999999999994</v>
      </c>
      <c r="N2794">
        <v>4</v>
      </c>
      <c r="O2794">
        <v>66.08</v>
      </c>
      <c r="P2794">
        <f t="shared" si="172"/>
        <v>9.8908594815825378E-3</v>
      </c>
      <c r="Q2794">
        <f t="shared" si="172"/>
        <v>0.83</v>
      </c>
      <c r="R2794">
        <f t="shared" si="173"/>
        <v>18.052499999999998</v>
      </c>
      <c r="S2794">
        <f t="shared" si="174"/>
        <v>0.91510871070488853</v>
      </c>
      <c r="T2794">
        <f t="shared" si="175"/>
        <v>4.5977011494252873E-2</v>
      </c>
      <c r="U2794" t="str">
        <f>YEAR('Campaign Data'!$A2794)&amp;"-"&amp;TEXT(MONTH('Campaign Data'!$A2794),"00")</f>
        <v>2026-06</v>
      </c>
    </row>
    <row r="2795" spans="1:21" x14ac:dyDescent="0.25">
      <c r="A2795">
        <v>46174</v>
      </c>
      <c r="B2795" t="s">
        <v>132</v>
      </c>
      <c r="C2795" t="s">
        <v>133</v>
      </c>
      <c r="D2795" t="s">
        <v>23</v>
      </c>
      <c r="E2795" t="s">
        <v>42</v>
      </c>
      <c r="F2795" t="s">
        <v>75</v>
      </c>
      <c r="G2795" t="s">
        <v>84</v>
      </c>
      <c r="H2795" t="s">
        <v>27</v>
      </c>
      <c r="I2795" t="s">
        <v>28</v>
      </c>
      <c r="J2795" t="s">
        <v>45</v>
      </c>
      <c r="K2795">
        <v>6992</v>
      </c>
      <c r="L2795">
        <v>24</v>
      </c>
      <c r="M2795">
        <v>212.37</v>
      </c>
      <c r="N2795">
        <v>3</v>
      </c>
      <c r="O2795">
        <v>222.97</v>
      </c>
      <c r="P2795">
        <f t="shared" si="172"/>
        <v>3.4324942791762012E-3</v>
      </c>
      <c r="Q2795">
        <f t="shared" si="172"/>
        <v>8.8487500000000008</v>
      </c>
      <c r="R2795">
        <f t="shared" si="173"/>
        <v>70.790000000000006</v>
      </c>
      <c r="S2795">
        <f t="shared" si="174"/>
        <v>1.0499128878843527</v>
      </c>
      <c r="T2795">
        <f t="shared" si="175"/>
        <v>0.125</v>
      </c>
      <c r="U2795" t="str">
        <f>YEAR('Campaign Data'!$A2795)&amp;"-"&amp;TEXT(MONTH('Campaign Data'!$A2795),"00")</f>
        <v>2026-06</v>
      </c>
    </row>
    <row r="2796" spans="1:21" x14ac:dyDescent="0.25">
      <c r="A2796">
        <v>46174</v>
      </c>
      <c r="B2796" t="s">
        <v>177</v>
      </c>
      <c r="C2796" t="s">
        <v>178</v>
      </c>
      <c r="D2796" t="s">
        <v>41</v>
      </c>
      <c r="E2796" t="s">
        <v>49</v>
      </c>
      <c r="F2796" t="s">
        <v>34</v>
      </c>
      <c r="G2796" t="s">
        <v>107</v>
      </c>
      <c r="H2796" t="s">
        <v>90</v>
      </c>
      <c r="I2796" t="s">
        <v>37</v>
      </c>
      <c r="J2796" t="s">
        <v>29</v>
      </c>
      <c r="K2796">
        <v>29288</v>
      </c>
      <c r="L2796">
        <v>1199</v>
      </c>
      <c r="M2796">
        <v>469.36</v>
      </c>
      <c r="N2796">
        <v>43</v>
      </c>
      <c r="O2796">
        <v>1747.04</v>
      </c>
      <c r="P2796">
        <f t="shared" si="172"/>
        <v>4.0938268232723299E-2</v>
      </c>
      <c r="Q2796">
        <f t="shared" si="172"/>
        <v>0.39145954962468726</v>
      </c>
      <c r="R2796">
        <f t="shared" si="173"/>
        <v>10.915348837209303</v>
      </c>
      <c r="S2796">
        <f t="shared" si="174"/>
        <v>3.7221748764274754</v>
      </c>
      <c r="T2796">
        <f t="shared" si="175"/>
        <v>3.5863219349457881E-2</v>
      </c>
      <c r="U2796" t="str">
        <f>YEAR('Campaign Data'!$A2796)&amp;"-"&amp;TEXT(MONTH('Campaign Data'!$A2796),"00")</f>
        <v>2026-06</v>
      </c>
    </row>
    <row r="2797" spans="1:21" x14ac:dyDescent="0.25">
      <c r="A2797">
        <v>46174</v>
      </c>
      <c r="B2797" t="s">
        <v>179</v>
      </c>
      <c r="C2797" t="s">
        <v>180</v>
      </c>
      <c r="D2797" t="s">
        <v>58</v>
      </c>
      <c r="E2797" t="s">
        <v>42</v>
      </c>
      <c r="F2797" t="s">
        <v>25</v>
      </c>
      <c r="G2797" t="s">
        <v>54</v>
      </c>
      <c r="H2797" t="s">
        <v>36</v>
      </c>
      <c r="I2797" t="s">
        <v>37</v>
      </c>
      <c r="J2797" t="s">
        <v>45</v>
      </c>
      <c r="K2797">
        <v>4919</v>
      </c>
      <c r="L2797">
        <v>15</v>
      </c>
      <c r="M2797">
        <v>93.43</v>
      </c>
      <c r="N2797">
        <v>2</v>
      </c>
      <c r="O2797">
        <v>297.93</v>
      </c>
      <c r="P2797">
        <f t="shared" si="172"/>
        <v>3.0494002846106934E-3</v>
      </c>
      <c r="Q2797">
        <f t="shared" si="172"/>
        <v>6.2286666666666672</v>
      </c>
      <c r="R2797">
        <f t="shared" si="173"/>
        <v>46.715000000000003</v>
      </c>
      <c r="S2797">
        <f t="shared" si="174"/>
        <v>3.1888044525313068</v>
      </c>
      <c r="T2797">
        <f t="shared" si="175"/>
        <v>0.13333333333333333</v>
      </c>
      <c r="U2797" t="str">
        <f>YEAR('Campaign Data'!$A2797)&amp;"-"&amp;TEXT(MONTH('Campaign Data'!$A2797),"00")</f>
        <v>2026-06</v>
      </c>
    </row>
    <row r="2798" spans="1:21" x14ac:dyDescent="0.25">
      <c r="A2798">
        <v>46174</v>
      </c>
      <c r="B2798" t="s">
        <v>140</v>
      </c>
      <c r="C2798" t="s">
        <v>40</v>
      </c>
      <c r="D2798" t="s">
        <v>41</v>
      </c>
      <c r="E2798" t="s">
        <v>42</v>
      </c>
      <c r="F2798" t="s">
        <v>43</v>
      </c>
      <c r="G2798" t="s">
        <v>44</v>
      </c>
      <c r="H2798" t="s">
        <v>27</v>
      </c>
      <c r="I2798" t="s">
        <v>61</v>
      </c>
      <c r="J2798" t="s">
        <v>62</v>
      </c>
      <c r="K2798">
        <v>5289</v>
      </c>
      <c r="L2798">
        <v>29</v>
      </c>
      <c r="M2798">
        <v>180.46</v>
      </c>
      <c r="N2798">
        <v>0</v>
      </c>
      <c r="O2798">
        <v>0</v>
      </c>
      <c r="P2798">
        <f t="shared" si="172"/>
        <v>5.4830780865948196E-3</v>
      </c>
      <c r="Q2798">
        <f t="shared" si="172"/>
        <v>6.222758620689655</v>
      </c>
      <c r="R2798">
        <f t="shared" si="173"/>
        <v>0</v>
      </c>
      <c r="S2798">
        <f t="shared" si="174"/>
        <v>0</v>
      </c>
      <c r="T2798">
        <f t="shared" si="175"/>
        <v>0</v>
      </c>
      <c r="U2798" t="str">
        <f>YEAR('Campaign Data'!$A2798)&amp;"-"&amp;TEXT(MONTH('Campaign Data'!$A2798),"00")</f>
        <v>2026-06</v>
      </c>
    </row>
    <row r="2799" spans="1:21" x14ac:dyDescent="0.25">
      <c r="A2799">
        <v>46174</v>
      </c>
      <c r="B2799" t="s">
        <v>134</v>
      </c>
      <c r="C2799" t="s">
        <v>135</v>
      </c>
      <c r="D2799" t="s">
        <v>32</v>
      </c>
      <c r="E2799" t="s">
        <v>74</v>
      </c>
      <c r="F2799" t="s">
        <v>25</v>
      </c>
      <c r="G2799" t="s">
        <v>107</v>
      </c>
      <c r="H2799" t="s">
        <v>90</v>
      </c>
      <c r="I2799" t="s">
        <v>28</v>
      </c>
      <c r="J2799" t="s">
        <v>87</v>
      </c>
      <c r="K2799">
        <v>31569</v>
      </c>
      <c r="L2799">
        <v>973</v>
      </c>
      <c r="M2799">
        <v>155.03</v>
      </c>
      <c r="N2799">
        <v>73</v>
      </c>
      <c r="O2799">
        <v>1907.87</v>
      </c>
      <c r="P2799">
        <f t="shared" si="172"/>
        <v>3.0821375399917642E-2</v>
      </c>
      <c r="Q2799">
        <f t="shared" si="172"/>
        <v>0.15933196300102775</v>
      </c>
      <c r="R2799">
        <f t="shared" si="173"/>
        <v>2.1236986301369862</v>
      </c>
      <c r="S2799">
        <f t="shared" si="174"/>
        <v>12.306456814810035</v>
      </c>
      <c r="T2799">
        <f t="shared" si="175"/>
        <v>7.5025693730729703E-2</v>
      </c>
      <c r="U2799" t="str">
        <f>YEAR('Campaign Data'!$A2799)&amp;"-"&amp;TEXT(MONTH('Campaign Data'!$A2799),"00")</f>
        <v>2026-06</v>
      </c>
    </row>
    <row r="2800" spans="1:21" x14ac:dyDescent="0.25">
      <c r="A2800">
        <v>46174</v>
      </c>
      <c r="B2800" t="s">
        <v>134</v>
      </c>
      <c r="C2800" t="s">
        <v>135</v>
      </c>
      <c r="D2800" t="s">
        <v>32</v>
      </c>
      <c r="E2800" t="s">
        <v>74</v>
      </c>
      <c r="F2800" t="s">
        <v>25</v>
      </c>
      <c r="G2800" t="s">
        <v>107</v>
      </c>
      <c r="H2800" t="s">
        <v>27</v>
      </c>
      <c r="I2800" t="s">
        <v>37</v>
      </c>
      <c r="J2800" t="s">
        <v>62</v>
      </c>
      <c r="K2800">
        <v>8561</v>
      </c>
      <c r="L2800">
        <v>331</v>
      </c>
      <c r="M2800">
        <v>546.54999999999995</v>
      </c>
      <c r="N2800">
        <v>23</v>
      </c>
      <c r="O2800">
        <v>6084.25</v>
      </c>
      <c r="P2800">
        <f t="shared" si="172"/>
        <v>3.8663707510804814E-2</v>
      </c>
      <c r="Q2800">
        <f t="shared" si="172"/>
        <v>1.6512084592145013</v>
      </c>
      <c r="R2800">
        <f t="shared" si="173"/>
        <v>23.763043478260869</v>
      </c>
      <c r="S2800">
        <f t="shared" si="174"/>
        <v>11.132101363095783</v>
      </c>
      <c r="T2800">
        <f t="shared" si="175"/>
        <v>6.9486404833836862E-2</v>
      </c>
      <c r="U2800" t="str">
        <f>YEAR('Campaign Data'!$A2800)&amp;"-"&amp;TEXT(MONTH('Campaign Data'!$A2800),"00")</f>
        <v>2026-06</v>
      </c>
    </row>
    <row r="2801" spans="1:21" x14ac:dyDescent="0.25">
      <c r="A2801">
        <v>46174</v>
      </c>
      <c r="B2801" t="s">
        <v>112</v>
      </c>
      <c r="C2801" t="s">
        <v>113</v>
      </c>
      <c r="D2801" t="s">
        <v>32</v>
      </c>
      <c r="E2801" t="s">
        <v>24</v>
      </c>
      <c r="F2801" t="s">
        <v>75</v>
      </c>
      <c r="G2801" t="s">
        <v>66</v>
      </c>
      <c r="H2801" t="s">
        <v>27</v>
      </c>
      <c r="I2801" t="s">
        <v>28</v>
      </c>
      <c r="J2801" t="s">
        <v>87</v>
      </c>
      <c r="K2801">
        <v>34126</v>
      </c>
      <c r="L2801">
        <v>294</v>
      </c>
      <c r="M2801">
        <v>434.34</v>
      </c>
      <c r="N2801">
        <v>1</v>
      </c>
      <c r="O2801">
        <v>54.45</v>
      </c>
      <c r="P2801">
        <f t="shared" si="172"/>
        <v>8.6151321572994193E-3</v>
      </c>
      <c r="Q2801">
        <f t="shared" si="172"/>
        <v>1.47734693877551</v>
      </c>
      <c r="R2801">
        <f t="shared" si="173"/>
        <v>434.34</v>
      </c>
      <c r="S2801">
        <f t="shared" si="174"/>
        <v>0.12536261914629093</v>
      </c>
      <c r="T2801">
        <f t="shared" si="175"/>
        <v>3.4013605442176869E-3</v>
      </c>
      <c r="U2801" t="str">
        <f>YEAR('Campaign Data'!$A2801)&amp;"-"&amp;TEXT(MONTH('Campaign Data'!$A2801),"00")</f>
        <v>2026-06</v>
      </c>
    </row>
    <row r="2802" spans="1:21" x14ac:dyDescent="0.25">
      <c r="A2802">
        <v>46174</v>
      </c>
      <c r="B2802" t="s">
        <v>159</v>
      </c>
      <c r="C2802" t="s">
        <v>160</v>
      </c>
      <c r="D2802" t="s">
        <v>65</v>
      </c>
      <c r="E2802" t="s">
        <v>42</v>
      </c>
      <c r="F2802" t="s">
        <v>75</v>
      </c>
      <c r="G2802" t="s">
        <v>54</v>
      </c>
      <c r="H2802" t="s">
        <v>90</v>
      </c>
      <c r="I2802" t="s">
        <v>37</v>
      </c>
      <c r="J2802" t="s">
        <v>45</v>
      </c>
      <c r="K2802">
        <v>2185</v>
      </c>
      <c r="L2802">
        <v>11</v>
      </c>
      <c r="M2802">
        <v>21.82</v>
      </c>
      <c r="N2802">
        <v>0</v>
      </c>
      <c r="O2802">
        <v>0</v>
      </c>
      <c r="P2802">
        <f t="shared" si="172"/>
        <v>5.0343249427917619E-3</v>
      </c>
      <c r="Q2802">
        <f t="shared" si="172"/>
        <v>1.9836363636363636</v>
      </c>
      <c r="R2802">
        <f t="shared" si="173"/>
        <v>0</v>
      </c>
      <c r="S2802">
        <f t="shared" si="174"/>
        <v>0</v>
      </c>
      <c r="T2802">
        <f t="shared" si="175"/>
        <v>0</v>
      </c>
      <c r="U2802" t="str">
        <f>YEAR('Campaign Data'!$A2802)&amp;"-"&amp;TEXT(MONTH('Campaign Data'!$A2802),"00")</f>
        <v>2026-06</v>
      </c>
    </row>
    <row r="2803" spans="1:21" x14ac:dyDescent="0.25">
      <c r="A2803">
        <v>46174</v>
      </c>
      <c r="B2803" t="s">
        <v>118</v>
      </c>
      <c r="C2803" t="s">
        <v>119</v>
      </c>
      <c r="D2803" t="s">
        <v>69</v>
      </c>
      <c r="E2803" t="s">
        <v>33</v>
      </c>
      <c r="F2803" t="s">
        <v>34</v>
      </c>
      <c r="G2803" t="s">
        <v>35</v>
      </c>
      <c r="H2803" t="s">
        <v>60</v>
      </c>
      <c r="I2803" t="s">
        <v>37</v>
      </c>
      <c r="J2803" t="s">
        <v>62</v>
      </c>
      <c r="K2803">
        <v>670</v>
      </c>
      <c r="L2803">
        <v>7</v>
      </c>
      <c r="M2803">
        <v>5.33</v>
      </c>
      <c r="N2803">
        <v>0</v>
      </c>
      <c r="O2803">
        <v>0</v>
      </c>
      <c r="P2803">
        <f t="shared" si="172"/>
        <v>1.0447761194029851E-2</v>
      </c>
      <c r="Q2803">
        <f t="shared" si="172"/>
        <v>0.76142857142857145</v>
      </c>
      <c r="R2803">
        <f t="shared" si="173"/>
        <v>0</v>
      </c>
      <c r="S2803">
        <f t="shared" si="174"/>
        <v>0</v>
      </c>
      <c r="T2803">
        <f t="shared" si="175"/>
        <v>0</v>
      </c>
      <c r="U2803" t="str">
        <f>YEAR('Campaign Data'!$A2803)&amp;"-"&amp;TEXT(MONTH('Campaign Data'!$A2803),"00")</f>
        <v>2026-06</v>
      </c>
    </row>
    <row r="2804" spans="1:21" x14ac:dyDescent="0.25">
      <c r="A2804">
        <v>46174</v>
      </c>
      <c r="B2804" t="s">
        <v>163</v>
      </c>
      <c r="C2804" t="s">
        <v>164</v>
      </c>
      <c r="D2804" t="s">
        <v>58</v>
      </c>
      <c r="E2804" t="s">
        <v>42</v>
      </c>
      <c r="F2804" t="s">
        <v>43</v>
      </c>
      <c r="G2804" t="s">
        <v>44</v>
      </c>
      <c r="H2804" t="s">
        <v>71</v>
      </c>
      <c r="I2804" t="s">
        <v>37</v>
      </c>
      <c r="J2804" t="s">
        <v>87</v>
      </c>
      <c r="K2804">
        <v>3499</v>
      </c>
      <c r="L2804">
        <v>29</v>
      </c>
      <c r="M2804">
        <v>204.56</v>
      </c>
      <c r="N2804">
        <v>0</v>
      </c>
      <c r="O2804">
        <v>0</v>
      </c>
      <c r="P2804">
        <f t="shared" si="172"/>
        <v>8.2880823092312088E-3</v>
      </c>
      <c r="Q2804">
        <f t="shared" si="172"/>
        <v>7.0537931034482764</v>
      </c>
      <c r="R2804">
        <f t="shared" si="173"/>
        <v>0</v>
      </c>
      <c r="S2804">
        <f t="shared" si="174"/>
        <v>0</v>
      </c>
      <c r="T2804">
        <f t="shared" si="175"/>
        <v>0</v>
      </c>
      <c r="U2804" t="str">
        <f>YEAR('Campaign Data'!$A2804)&amp;"-"&amp;TEXT(MONTH('Campaign Data'!$A2804),"00")</f>
        <v>2026-06</v>
      </c>
    </row>
    <row r="2805" spans="1:21" x14ac:dyDescent="0.25">
      <c r="A2805">
        <v>46174</v>
      </c>
      <c r="B2805" t="s">
        <v>76</v>
      </c>
      <c r="C2805" t="s">
        <v>77</v>
      </c>
      <c r="D2805" t="s">
        <v>65</v>
      </c>
      <c r="E2805" t="s">
        <v>42</v>
      </c>
      <c r="F2805" t="s">
        <v>43</v>
      </c>
      <c r="G2805" t="s">
        <v>44</v>
      </c>
      <c r="H2805" t="s">
        <v>27</v>
      </c>
      <c r="I2805" t="s">
        <v>28</v>
      </c>
      <c r="J2805" t="s">
        <v>29</v>
      </c>
      <c r="K2805">
        <v>16306</v>
      </c>
      <c r="L2805">
        <v>67</v>
      </c>
      <c r="M2805">
        <v>580.91</v>
      </c>
      <c r="N2805">
        <v>0</v>
      </c>
      <c r="O2805">
        <v>0</v>
      </c>
      <c r="P2805">
        <f t="shared" si="172"/>
        <v>4.1089169630810747E-3</v>
      </c>
      <c r="Q2805">
        <f t="shared" si="172"/>
        <v>8.6702985074626859</v>
      </c>
      <c r="R2805">
        <f t="shared" si="173"/>
        <v>0</v>
      </c>
      <c r="S2805">
        <f t="shared" si="174"/>
        <v>0</v>
      </c>
      <c r="T2805">
        <f t="shared" si="175"/>
        <v>0</v>
      </c>
      <c r="U2805" t="str">
        <f>YEAR('Campaign Data'!$A2805)&amp;"-"&amp;TEXT(MONTH('Campaign Data'!$A2805),"00")</f>
        <v>2026-06</v>
      </c>
    </row>
    <row r="2806" spans="1:21" x14ac:dyDescent="0.25">
      <c r="A2806">
        <v>46175</v>
      </c>
      <c r="B2806" t="s">
        <v>165</v>
      </c>
      <c r="C2806" t="s">
        <v>166</v>
      </c>
      <c r="D2806" t="s">
        <v>41</v>
      </c>
      <c r="E2806" t="s">
        <v>33</v>
      </c>
      <c r="F2806" t="s">
        <v>43</v>
      </c>
      <c r="G2806" t="s">
        <v>59</v>
      </c>
      <c r="H2806" t="s">
        <v>71</v>
      </c>
      <c r="I2806" t="s">
        <v>37</v>
      </c>
      <c r="J2806" t="s">
        <v>62</v>
      </c>
      <c r="K2806">
        <v>7896</v>
      </c>
      <c r="L2806">
        <v>98</v>
      </c>
      <c r="M2806">
        <v>42.41</v>
      </c>
      <c r="N2806">
        <v>1</v>
      </c>
      <c r="O2806">
        <v>26.98</v>
      </c>
      <c r="P2806">
        <f t="shared" si="172"/>
        <v>1.2411347517730497E-2</v>
      </c>
      <c r="Q2806">
        <f t="shared" si="172"/>
        <v>0.4327551020408163</v>
      </c>
      <c r="R2806">
        <f t="shared" si="173"/>
        <v>42.41</v>
      </c>
      <c r="S2806">
        <f t="shared" si="174"/>
        <v>0.6361707144541382</v>
      </c>
      <c r="T2806">
        <f t="shared" si="175"/>
        <v>1.020408163265306E-2</v>
      </c>
      <c r="U2806" t="str">
        <f>YEAR('Campaign Data'!$A2806)&amp;"-"&amp;TEXT(MONTH('Campaign Data'!$A2806),"00")</f>
        <v>2026-06</v>
      </c>
    </row>
    <row r="2807" spans="1:21" x14ac:dyDescent="0.25">
      <c r="A2807">
        <v>46175</v>
      </c>
      <c r="B2807" t="s">
        <v>173</v>
      </c>
      <c r="C2807" t="s">
        <v>174</v>
      </c>
      <c r="D2807" t="s">
        <v>48</v>
      </c>
      <c r="E2807" t="s">
        <v>74</v>
      </c>
      <c r="F2807" t="s">
        <v>25</v>
      </c>
      <c r="G2807" t="s">
        <v>9</v>
      </c>
      <c r="H2807" t="s">
        <v>55</v>
      </c>
      <c r="I2807" t="s">
        <v>28</v>
      </c>
      <c r="J2807" t="s">
        <v>45</v>
      </c>
      <c r="K2807">
        <v>21277</v>
      </c>
      <c r="L2807">
        <v>740</v>
      </c>
      <c r="M2807">
        <v>888.22</v>
      </c>
      <c r="N2807">
        <v>21</v>
      </c>
      <c r="O2807">
        <v>2126.1</v>
      </c>
      <c r="P2807">
        <f t="shared" si="172"/>
        <v>3.4779339192555339E-2</v>
      </c>
      <c r="Q2807">
        <f t="shared" si="172"/>
        <v>1.2002972972972974</v>
      </c>
      <c r="R2807">
        <f t="shared" si="173"/>
        <v>42.296190476190475</v>
      </c>
      <c r="S2807">
        <f t="shared" si="174"/>
        <v>2.3936637319582985</v>
      </c>
      <c r="T2807">
        <f t="shared" si="175"/>
        <v>2.837837837837838E-2</v>
      </c>
      <c r="U2807" t="str">
        <f>YEAR('Campaign Data'!$A2807)&amp;"-"&amp;TEXT(MONTH('Campaign Data'!$A2807),"00")</f>
        <v>2026-06</v>
      </c>
    </row>
    <row r="2808" spans="1:21" x14ac:dyDescent="0.25">
      <c r="A2808">
        <v>46175</v>
      </c>
      <c r="B2808" t="s">
        <v>93</v>
      </c>
      <c r="C2808" t="s">
        <v>94</v>
      </c>
      <c r="D2808" t="s">
        <v>69</v>
      </c>
      <c r="E2808" t="s">
        <v>42</v>
      </c>
      <c r="F2808" t="s">
        <v>75</v>
      </c>
      <c r="G2808" t="s">
        <v>44</v>
      </c>
      <c r="H2808" t="s">
        <v>90</v>
      </c>
      <c r="I2808" t="s">
        <v>37</v>
      </c>
      <c r="J2808" t="s">
        <v>87</v>
      </c>
      <c r="K2808">
        <v>7396</v>
      </c>
      <c r="L2808">
        <v>17</v>
      </c>
      <c r="M2808">
        <v>21.05</v>
      </c>
      <c r="N2808">
        <v>1</v>
      </c>
      <c r="O2808">
        <v>9.25</v>
      </c>
      <c r="P2808">
        <f t="shared" si="172"/>
        <v>2.2985397512168739E-3</v>
      </c>
      <c r="Q2808">
        <f t="shared" si="172"/>
        <v>1.2382352941176471</v>
      </c>
      <c r="R2808">
        <f t="shared" si="173"/>
        <v>21.05</v>
      </c>
      <c r="S2808">
        <f t="shared" si="174"/>
        <v>0.4394299287410926</v>
      </c>
      <c r="T2808">
        <f t="shared" si="175"/>
        <v>5.8823529411764705E-2</v>
      </c>
      <c r="U2808" t="str">
        <f>YEAR('Campaign Data'!$A2808)&amp;"-"&amp;TEXT(MONTH('Campaign Data'!$A2808),"00")</f>
        <v>2026-06</v>
      </c>
    </row>
    <row r="2809" spans="1:21" x14ac:dyDescent="0.25">
      <c r="A2809">
        <v>46175</v>
      </c>
      <c r="B2809" t="s">
        <v>93</v>
      </c>
      <c r="C2809" t="s">
        <v>94</v>
      </c>
      <c r="D2809" t="s">
        <v>69</v>
      </c>
      <c r="E2809" t="s">
        <v>42</v>
      </c>
      <c r="F2809" t="s">
        <v>75</v>
      </c>
      <c r="G2809" t="s">
        <v>44</v>
      </c>
      <c r="H2809" t="s">
        <v>55</v>
      </c>
      <c r="I2809" t="s">
        <v>37</v>
      </c>
      <c r="J2809" t="s">
        <v>38</v>
      </c>
      <c r="K2809">
        <v>6540</v>
      </c>
      <c r="L2809">
        <v>42</v>
      </c>
      <c r="M2809">
        <v>210.69</v>
      </c>
      <c r="N2809">
        <v>1</v>
      </c>
      <c r="O2809">
        <v>28.93</v>
      </c>
      <c r="P2809">
        <f t="shared" si="172"/>
        <v>6.4220183486238536E-3</v>
      </c>
      <c r="Q2809">
        <f t="shared" si="172"/>
        <v>5.0164285714285715</v>
      </c>
      <c r="R2809">
        <f t="shared" si="173"/>
        <v>210.69</v>
      </c>
      <c r="S2809">
        <f t="shared" si="174"/>
        <v>0.13731074089895107</v>
      </c>
      <c r="T2809">
        <f t="shared" si="175"/>
        <v>2.3809523809523808E-2</v>
      </c>
      <c r="U2809" t="str">
        <f>YEAR('Campaign Data'!$A2809)&amp;"-"&amp;TEXT(MONTH('Campaign Data'!$A2809),"00")</f>
        <v>2026-06</v>
      </c>
    </row>
    <row r="2810" spans="1:21" x14ac:dyDescent="0.25">
      <c r="A2810">
        <v>46175</v>
      </c>
      <c r="B2810" t="s">
        <v>95</v>
      </c>
      <c r="C2810" t="s">
        <v>96</v>
      </c>
      <c r="D2810" t="s">
        <v>23</v>
      </c>
      <c r="E2810" t="s">
        <v>49</v>
      </c>
      <c r="F2810" t="s">
        <v>43</v>
      </c>
      <c r="G2810" t="s">
        <v>97</v>
      </c>
      <c r="H2810" t="s">
        <v>90</v>
      </c>
      <c r="I2810" t="s">
        <v>37</v>
      </c>
      <c r="J2810" t="s">
        <v>38</v>
      </c>
      <c r="K2810">
        <v>6341</v>
      </c>
      <c r="L2810">
        <v>210</v>
      </c>
      <c r="M2810">
        <v>90.56</v>
      </c>
      <c r="N2810">
        <v>7</v>
      </c>
      <c r="O2810">
        <v>57.01</v>
      </c>
      <c r="P2810">
        <f t="shared" si="172"/>
        <v>3.3117804762655731E-2</v>
      </c>
      <c r="Q2810">
        <f t="shared" si="172"/>
        <v>0.43123809523809525</v>
      </c>
      <c r="R2810">
        <f t="shared" si="173"/>
        <v>12.937142857142858</v>
      </c>
      <c r="S2810">
        <f t="shared" si="174"/>
        <v>0.62952738515901052</v>
      </c>
      <c r="T2810">
        <f t="shared" si="175"/>
        <v>3.3333333333333333E-2</v>
      </c>
      <c r="U2810" t="str">
        <f>YEAR('Campaign Data'!$A2810)&amp;"-"&amp;TEXT(MONTH('Campaign Data'!$A2810),"00")</f>
        <v>2026-06</v>
      </c>
    </row>
    <row r="2811" spans="1:21" x14ac:dyDescent="0.25">
      <c r="A2811">
        <v>46175</v>
      </c>
      <c r="B2811" t="s">
        <v>52</v>
      </c>
      <c r="C2811" t="s">
        <v>53</v>
      </c>
      <c r="D2811" t="s">
        <v>32</v>
      </c>
      <c r="E2811" t="s">
        <v>42</v>
      </c>
      <c r="F2811" t="s">
        <v>25</v>
      </c>
      <c r="G2811" t="s">
        <v>54</v>
      </c>
      <c r="H2811" t="s">
        <v>51</v>
      </c>
      <c r="I2811" t="s">
        <v>37</v>
      </c>
      <c r="J2811" t="s">
        <v>45</v>
      </c>
      <c r="K2811">
        <v>12866</v>
      </c>
      <c r="L2811">
        <v>80</v>
      </c>
      <c r="M2811">
        <v>671.76</v>
      </c>
      <c r="N2811">
        <v>1</v>
      </c>
      <c r="O2811">
        <v>122.31</v>
      </c>
      <c r="P2811">
        <f t="shared" si="172"/>
        <v>6.2179387533032801E-3</v>
      </c>
      <c r="Q2811">
        <f t="shared" si="172"/>
        <v>8.3970000000000002</v>
      </c>
      <c r="R2811">
        <f t="shared" si="173"/>
        <v>671.76</v>
      </c>
      <c r="S2811">
        <f t="shared" si="174"/>
        <v>0.18207395498392284</v>
      </c>
      <c r="T2811">
        <f t="shared" si="175"/>
        <v>1.2500000000000001E-2</v>
      </c>
      <c r="U2811" t="str">
        <f>YEAR('Campaign Data'!$A2811)&amp;"-"&amp;TEXT(MONTH('Campaign Data'!$A2811),"00")</f>
        <v>2026-06</v>
      </c>
    </row>
    <row r="2812" spans="1:21" x14ac:dyDescent="0.25">
      <c r="A2812">
        <v>46175</v>
      </c>
      <c r="B2812" t="s">
        <v>103</v>
      </c>
      <c r="C2812" t="s">
        <v>104</v>
      </c>
      <c r="D2812" t="s">
        <v>65</v>
      </c>
      <c r="E2812" t="s">
        <v>33</v>
      </c>
      <c r="F2812" t="s">
        <v>43</v>
      </c>
      <c r="G2812" t="s">
        <v>102</v>
      </c>
      <c r="H2812" t="s">
        <v>90</v>
      </c>
      <c r="I2812" t="s">
        <v>37</v>
      </c>
      <c r="J2812" t="s">
        <v>62</v>
      </c>
      <c r="K2812">
        <v>6655</v>
      </c>
      <c r="L2812">
        <v>71</v>
      </c>
      <c r="M2812">
        <v>11.49</v>
      </c>
      <c r="N2812">
        <v>0</v>
      </c>
      <c r="O2812">
        <v>0</v>
      </c>
      <c r="P2812">
        <f t="shared" si="172"/>
        <v>1.0668670172802404E-2</v>
      </c>
      <c r="Q2812">
        <f t="shared" si="172"/>
        <v>0.16183098591549297</v>
      </c>
      <c r="R2812">
        <f t="shared" si="173"/>
        <v>0</v>
      </c>
      <c r="S2812">
        <f t="shared" si="174"/>
        <v>0</v>
      </c>
      <c r="T2812">
        <f t="shared" si="175"/>
        <v>0</v>
      </c>
      <c r="U2812" t="str">
        <f>YEAR('Campaign Data'!$A2812)&amp;"-"&amp;TEXT(MONTH('Campaign Data'!$A2812),"00")</f>
        <v>2026-06</v>
      </c>
    </row>
    <row r="2813" spans="1:21" x14ac:dyDescent="0.25">
      <c r="A2813">
        <v>46175</v>
      </c>
      <c r="B2813" t="s">
        <v>132</v>
      </c>
      <c r="C2813" t="s">
        <v>133</v>
      </c>
      <c r="D2813" t="s">
        <v>23</v>
      </c>
      <c r="E2813" t="s">
        <v>42</v>
      </c>
      <c r="F2813" t="s">
        <v>75</v>
      </c>
      <c r="G2813" t="s">
        <v>84</v>
      </c>
      <c r="H2813" t="s">
        <v>27</v>
      </c>
      <c r="I2813" t="s">
        <v>37</v>
      </c>
      <c r="J2813" t="s">
        <v>62</v>
      </c>
      <c r="K2813">
        <v>11225</v>
      </c>
      <c r="L2813">
        <v>91</v>
      </c>
      <c r="M2813">
        <v>570.47</v>
      </c>
      <c r="N2813">
        <v>3</v>
      </c>
      <c r="O2813">
        <v>175.57</v>
      </c>
      <c r="P2813">
        <f t="shared" si="172"/>
        <v>8.1069042316258347E-3</v>
      </c>
      <c r="Q2813">
        <f t="shared" si="172"/>
        <v>6.2689010989010994</v>
      </c>
      <c r="R2813">
        <f t="shared" si="173"/>
        <v>190.15666666666667</v>
      </c>
      <c r="S2813">
        <f t="shared" si="174"/>
        <v>0.30776377373043279</v>
      </c>
      <c r="T2813">
        <f t="shared" si="175"/>
        <v>3.2967032967032968E-2</v>
      </c>
      <c r="U2813" t="str">
        <f>YEAR('Campaign Data'!$A2813)&amp;"-"&amp;TEXT(MONTH('Campaign Data'!$A2813),"00")</f>
        <v>2026-06</v>
      </c>
    </row>
    <row r="2814" spans="1:21" x14ac:dyDescent="0.25">
      <c r="A2814">
        <v>46175</v>
      </c>
      <c r="B2814" t="s">
        <v>132</v>
      </c>
      <c r="C2814" t="s">
        <v>133</v>
      </c>
      <c r="D2814" t="s">
        <v>23</v>
      </c>
      <c r="E2814" t="s">
        <v>42</v>
      </c>
      <c r="F2814" t="s">
        <v>75</v>
      </c>
      <c r="G2814" t="s">
        <v>84</v>
      </c>
      <c r="H2814" t="s">
        <v>71</v>
      </c>
      <c r="I2814" t="s">
        <v>28</v>
      </c>
      <c r="J2814" t="s">
        <v>38</v>
      </c>
      <c r="K2814">
        <v>2564</v>
      </c>
      <c r="L2814">
        <v>16</v>
      </c>
      <c r="M2814">
        <v>111.74</v>
      </c>
      <c r="N2814">
        <v>2</v>
      </c>
      <c r="O2814">
        <v>37.5</v>
      </c>
      <c r="P2814">
        <f t="shared" si="172"/>
        <v>6.2402496099843996E-3</v>
      </c>
      <c r="Q2814">
        <f t="shared" si="172"/>
        <v>6.9837499999999997</v>
      </c>
      <c r="R2814">
        <f t="shared" si="173"/>
        <v>55.87</v>
      </c>
      <c r="S2814">
        <f t="shared" si="174"/>
        <v>0.33560050116341511</v>
      </c>
      <c r="T2814">
        <f t="shared" si="175"/>
        <v>0.125</v>
      </c>
      <c r="U2814" t="str">
        <f>YEAR('Campaign Data'!$A2814)&amp;"-"&amp;TEXT(MONTH('Campaign Data'!$A2814),"00")</f>
        <v>2026-06</v>
      </c>
    </row>
    <row r="2815" spans="1:21" x14ac:dyDescent="0.25">
      <c r="A2815">
        <v>46175</v>
      </c>
      <c r="B2815" t="s">
        <v>132</v>
      </c>
      <c r="C2815" t="s">
        <v>133</v>
      </c>
      <c r="D2815" t="s">
        <v>23</v>
      </c>
      <c r="E2815" t="s">
        <v>42</v>
      </c>
      <c r="F2815" t="s">
        <v>75</v>
      </c>
      <c r="G2815" t="s">
        <v>84</v>
      </c>
      <c r="H2815" t="s">
        <v>71</v>
      </c>
      <c r="I2815" t="s">
        <v>28</v>
      </c>
      <c r="J2815" t="s">
        <v>62</v>
      </c>
      <c r="K2815">
        <v>4951</v>
      </c>
      <c r="L2815">
        <v>25</v>
      </c>
      <c r="M2815">
        <v>109.37</v>
      </c>
      <c r="N2815">
        <v>2</v>
      </c>
      <c r="O2815">
        <v>66.87</v>
      </c>
      <c r="P2815">
        <f t="shared" si="172"/>
        <v>5.0494849525348417E-3</v>
      </c>
      <c r="Q2815">
        <f t="shared" si="172"/>
        <v>4.3748000000000005</v>
      </c>
      <c r="R2815">
        <f t="shared" si="173"/>
        <v>54.685000000000002</v>
      </c>
      <c r="S2815">
        <f t="shared" si="174"/>
        <v>0.61141080735119324</v>
      </c>
      <c r="T2815">
        <f t="shared" si="175"/>
        <v>0.08</v>
      </c>
      <c r="U2815" t="str">
        <f>YEAR('Campaign Data'!$A2815)&amp;"-"&amp;TEXT(MONTH('Campaign Data'!$A2815),"00")</f>
        <v>2026-06</v>
      </c>
    </row>
    <row r="2816" spans="1:21" x14ac:dyDescent="0.25">
      <c r="A2816">
        <v>46175</v>
      </c>
      <c r="B2816" t="s">
        <v>177</v>
      </c>
      <c r="C2816" t="s">
        <v>178</v>
      </c>
      <c r="D2816" t="s">
        <v>41</v>
      </c>
      <c r="E2816" t="s">
        <v>49</v>
      </c>
      <c r="F2816" t="s">
        <v>34</v>
      </c>
      <c r="G2816" t="s">
        <v>107</v>
      </c>
      <c r="H2816" t="s">
        <v>90</v>
      </c>
      <c r="I2816" t="s">
        <v>61</v>
      </c>
      <c r="J2816" t="s">
        <v>38</v>
      </c>
      <c r="K2816">
        <v>5396</v>
      </c>
      <c r="L2816">
        <v>244</v>
      </c>
      <c r="M2816">
        <v>130.41</v>
      </c>
      <c r="N2816">
        <v>11</v>
      </c>
      <c r="O2816">
        <v>518.47</v>
      </c>
      <c r="P2816">
        <f t="shared" si="172"/>
        <v>4.5218680504077097E-2</v>
      </c>
      <c r="Q2816">
        <f t="shared" si="172"/>
        <v>0.53446721311475409</v>
      </c>
      <c r="R2816">
        <f t="shared" si="173"/>
        <v>11.855454545454545</v>
      </c>
      <c r="S2816">
        <f t="shared" si="174"/>
        <v>3.9756920481558167</v>
      </c>
      <c r="T2816">
        <f t="shared" si="175"/>
        <v>4.5081967213114756E-2</v>
      </c>
      <c r="U2816" t="str">
        <f>YEAR('Campaign Data'!$A2816)&amp;"-"&amp;TEXT(MONTH('Campaign Data'!$A2816),"00")</f>
        <v>2026-06</v>
      </c>
    </row>
    <row r="2817" spans="1:21" x14ac:dyDescent="0.25">
      <c r="A2817">
        <v>46175</v>
      </c>
      <c r="B2817" t="s">
        <v>110</v>
      </c>
      <c r="C2817" t="s">
        <v>111</v>
      </c>
      <c r="D2817" t="s">
        <v>23</v>
      </c>
      <c r="E2817" t="s">
        <v>49</v>
      </c>
      <c r="F2817" t="s">
        <v>34</v>
      </c>
      <c r="G2817" t="s">
        <v>50</v>
      </c>
      <c r="H2817" t="s">
        <v>60</v>
      </c>
      <c r="I2817" t="s">
        <v>28</v>
      </c>
      <c r="J2817" t="s">
        <v>87</v>
      </c>
      <c r="K2817">
        <v>5481</v>
      </c>
      <c r="L2817">
        <v>345</v>
      </c>
      <c r="M2817">
        <v>590.04</v>
      </c>
      <c r="N2817">
        <v>31</v>
      </c>
      <c r="O2817">
        <v>4623.08</v>
      </c>
      <c r="P2817">
        <f t="shared" si="172"/>
        <v>6.2944718117131912E-2</v>
      </c>
      <c r="Q2817">
        <f t="shared" si="172"/>
        <v>1.7102608695652173</v>
      </c>
      <c r="R2817">
        <f t="shared" si="173"/>
        <v>19.033548387096772</v>
      </c>
      <c r="S2817">
        <f t="shared" si="174"/>
        <v>7.8351976137211041</v>
      </c>
      <c r="T2817">
        <f t="shared" si="175"/>
        <v>8.9855072463768115E-2</v>
      </c>
      <c r="U2817" t="str">
        <f>YEAR('Campaign Data'!$A2817)&amp;"-"&amp;TEXT(MONTH('Campaign Data'!$A2817),"00")</f>
        <v>2026-06</v>
      </c>
    </row>
    <row r="2818" spans="1:21" x14ac:dyDescent="0.25">
      <c r="A2818">
        <v>46175</v>
      </c>
      <c r="B2818" t="s">
        <v>159</v>
      </c>
      <c r="C2818" t="s">
        <v>160</v>
      </c>
      <c r="D2818" t="s">
        <v>65</v>
      </c>
      <c r="E2818" t="s">
        <v>42</v>
      </c>
      <c r="F2818" t="s">
        <v>75</v>
      </c>
      <c r="G2818" t="s">
        <v>54</v>
      </c>
      <c r="H2818" t="s">
        <v>60</v>
      </c>
      <c r="I2818" t="s">
        <v>28</v>
      </c>
      <c r="J2818" t="s">
        <v>62</v>
      </c>
      <c r="K2818">
        <v>2166</v>
      </c>
      <c r="L2818">
        <v>20</v>
      </c>
      <c r="M2818">
        <v>109.51</v>
      </c>
      <c r="N2818">
        <v>0</v>
      </c>
      <c r="O2818">
        <v>0</v>
      </c>
      <c r="P2818">
        <f t="shared" ref="P2818:Q2881" si="176">IF(K2818=0,0,L2818/K2818)</f>
        <v>9.2336103416435829E-3</v>
      </c>
      <c r="Q2818">
        <f t="shared" si="176"/>
        <v>5.4755000000000003</v>
      </c>
      <c r="R2818">
        <f t="shared" ref="R2818:R2881" si="177">IF(N2818=0,0,M2818/N2818)</f>
        <v>0</v>
      </c>
      <c r="S2818">
        <f t="shared" ref="S2818:S2881" si="178">IF(M2818=0,0,O2818/M2818)</f>
        <v>0</v>
      </c>
      <c r="T2818">
        <f t="shared" ref="T2818:T2881" si="179">IF(L2818=0,0,N2818/L2818)</f>
        <v>0</v>
      </c>
      <c r="U2818" t="str">
        <f>YEAR('Campaign Data'!$A2818)&amp;"-"&amp;TEXT(MONTH('Campaign Data'!$A2818),"00")</f>
        <v>2026-06</v>
      </c>
    </row>
    <row r="2819" spans="1:21" x14ac:dyDescent="0.25">
      <c r="A2819">
        <v>46175</v>
      </c>
      <c r="B2819" t="s">
        <v>141</v>
      </c>
      <c r="C2819" t="s">
        <v>142</v>
      </c>
      <c r="D2819" t="s">
        <v>80</v>
      </c>
      <c r="E2819" t="s">
        <v>49</v>
      </c>
      <c r="F2819" t="s">
        <v>81</v>
      </c>
      <c r="G2819" t="s">
        <v>97</v>
      </c>
      <c r="H2819" t="s">
        <v>27</v>
      </c>
      <c r="I2819" t="s">
        <v>28</v>
      </c>
      <c r="J2819" t="s">
        <v>87</v>
      </c>
      <c r="K2819">
        <v>5352</v>
      </c>
      <c r="L2819">
        <v>126</v>
      </c>
      <c r="M2819">
        <v>293.89</v>
      </c>
      <c r="N2819">
        <v>4</v>
      </c>
      <c r="O2819">
        <v>124.77</v>
      </c>
      <c r="P2819">
        <f t="shared" si="176"/>
        <v>2.3542600896860985E-2</v>
      </c>
      <c r="Q2819">
        <f t="shared" si="176"/>
        <v>2.3324603174603173</v>
      </c>
      <c r="R2819">
        <f t="shared" si="177"/>
        <v>73.472499999999997</v>
      </c>
      <c r="S2819">
        <f t="shared" si="178"/>
        <v>0.42454659906767839</v>
      </c>
      <c r="T2819">
        <f t="shared" si="179"/>
        <v>3.1746031746031744E-2</v>
      </c>
      <c r="U2819" t="str">
        <f>YEAR('Campaign Data'!$A2819)&amp;"-"&amp;TEXT(MONTH('Campaign Data'!$A2819),"00")</f>
        <v>2026-06</v>
      </c>
    </row>
    <row r="2820" spans="1:21" x14ac:dyDescent="0.25">
      <c r="A2820">
        <v>46175</v>
      </c>
      <c r="B2820" t="s">
        <v>136</v>
      </c>
      <c r="C2820" t="s">
        <v>137</v>
      </c>
      <c r="D2820" t="s">
        <v>32</v>
      </c>
      <c r="E2820" t="s">
        <v>49</v>
      </c>
      <c r="F2820" t="s">
        <v>75</v>
      </c>
      <c r="G2820" t="s">
        <v>97</v>
      </c>
      <c r="H2820" t="s">
        <v>71</v>
      </c>
      <c r="I2820" t="s">
        <v>37</v>
      </c>
      <c r="J2820" t="s">
        <v>38</v>
      </c>
      <c r="K2820">
        <v>5232</v>
      </c>
      <c r="L2820">
        <v>387</v>
      </c>
      <c r="M2820">
        <v>638.79999999999995</v>
      </c>
      <c r="N2820">
        <v>20</v>
      </c>
      <c r="O2820">
        <v>1096.4100000000001</v>
      </c>
      <c r="P2820">
        <f t="shared" si="176"/>
        <v>7.3967889908256881E-2</v>
      </c>
      <c r="Q2820">
        <f t="shared" si="176"/>
        <v>1.6506459948320413</v>
      </c>
      <c r="R2820">
        <f t="shared" si="177"/>
        <v>31.939999999999998</v>
      </c>
      <c r="S2820">
        <f t="shared" si="178"/>
        <v>1.7163587977457735</v>
      </c>
      <c r="T2820">
        <f t="shared" si="179"/>
        <v>5.1679586563307491E-2</v>
      </c>
      <c r="U2820" t="str">
        <f>YEAR('Campaign Data'!$A2820)&amp;"-"&amp;TEXT(MONTH('Campaign Data'!$A2820),"00")</f>
        <v>2026-06</v>
      </c>
    </row>
    <row r="2821" spans="1:21" x14ac:dyDescent="0.25">
      <c r="A2821">
        <v>46175</v>
      </c>
      <c r="B2821" t="s">
        <v>143</v>
      </c>
      <c r="C2821" t="s">
        <v>144</v>
      </c>
      <c r="D2821" t="s">
        <v>48</v>
      </c>
      <c r="E2821" t="s">
        <v>42</v>
      </c>
      <c r="F2821" t="s">
        <v>25</v>
      </c>
      <c r="G2821" t="s">
        <v>84</v>
      </c>
      <c r="H2821" t="s">
        <v>27</v>
      </c>
      <c r="I2821" t="s">
        <v>28</v>
      </c>
      <c r="J2821" t="s">
        <v>62</v>
      </c>
      <c r="K2821">
        <v>2532</v>
      </c>
      <c r="L2821">
        <v>10</v>
      </c>
      <c r="M2821">
        <v>88.24</v>
      </c>
      <c r="N2821">
        <v>0</v>
      </c>
      <c r="O2821">
        <v>0</v>
      </c>
      <c r="P2821">
        <f t="shared" si="176"/>
        <v>3.9494470774091624E-3</v>
      </c>
      <c r="Q2821">
        <f t="shared" si="176"/>
        <v>8.8239999999999998</v>
      </c>
      <c r="R2821">
        <f t="shared" si="177"/>
        <v>0</v>
      </c>
      <c r="S2821">
        <f t="shared" si="178"/>
        <v>0</v>
      </c>
      <c r="T2821">
        <f t="shared" si="179"/>
        <v>0</v>
      </c>
      <c r="U2821" t="str">
        <f>YEAR('Campaign Data'!$A2821)&amp;"-"&amp;TEXT(MONTH('Campaign Data'!$A2821),"00")</f>
        <v>2026-06</v>
      </c>
    </row>
    <row r="2822" spans="1:21" x14ac:dyDescent="0.25">
      <c r="A2822">
        <v>46175</v>
      </c>
      <c r="B2822" t="s">
        <v>63</v>
      </c>
      <c r="C2822" t="s">
        <v>64</v>
      </c>
      <c r="D2822" t="s">
        <v>65</v>
      </c>
      <c r="E2822" t="s">
        <v>24</v>
      </c>
      <c r="F2822" t="s">
        <v>43</v>
      </c>
      <c r="G2822" t="s">
        <v>66</v>
      </c>
      <c r="H2822" t="s">
        <v>27</v>
      </c>
      <c r="I2822" t="s">
        <v>37</v>
      </c>
      <c r="J2822" t="s">
        <v>45</v>
      </c>
      <c r="K2822">
        <v>4201</v>
      </c>
      <c r="L2822">
        <v>52</v>
      </c>
      <c r="M2822">
        <v>57.69</v>
      </c>
      <c r="N2822">
        <v>1</v>
      </c>
      <c r="O2822">
        <v>32.18</v>
      </c>
      <c r="P2822">
        <f t="shared" si="176"/>
        <v>1.237800523684837E-2</v>
      </c>
      <c r="Q2822">
        <f t="shared" si="176"/>
        <v>1.1094230769230768</v>
      </c>
      <c r="R2822">
        <f t="shared" si="177"/>
        <v>57.69</v>
      </c>
      <c r="S2822">
        <f t="shared" si="178"/>
        <v>0.55780897902582771</v>
      </c>
      <c r="T2822">
        <f t="shared" si="179"/>
        <v>1.9230769230769232E-2</v>
      </c>
      <c r="U2822" t="str">
        <f>YEAR('Campaign Data'!$A2822)&amp;"-"&amp;TEXT(MONTH('Campaign Data'!$A2822),"00")</f>
        <v>2026-06</v>
      </c>
    </row>
    <row r="2823" spans="1:21" x14ac:dyDescent="0.25">
      <c r="A2823">
        <v>46175</v>
      </c>
      <c r="B2823" t="s">
        <v>122</v>
      </c>
      <c r="C2823" t="s">
        <v>123</v>
      </c>
      <c r="D2823" t="s">
        <v>41</v>
      </c>
      <c r="E2823" t="s">
        <v>33</v>
      </c>
      <c r="F2823" t="s">
        <v>75</v>
      </c>
      <c r="G2823" t="s">
        <v>35</v>
      </c>
      <c r="H2823" t="s">
        <v>60</v>
      </c>
      <c r="I2823" t="s">
        <v>37</v>
      </c>
      <c r="J2823" t="s">
        <v>38</v>
      </c>
      <c r="K2823">
        <v>9950</v>
      </c>
      <c r="L2823">
        <v>109</v>
      </c>
      <c r="M2823">
        <v>69.56</v>
      </c>
      <c r="N2823">
        <v>4</v>
      </c>
      <c r="O2823">
        <v>141.26</v>
      </c>
      <c r="P2823">
        <f t="shared" si="176"/>
        <v>1.0954773869346734E-2</v>
      </c>
      <c r="Q2823">
        <f t="shared" si="176"/>
        <v>0.63816513761467897</v>
      </c>
      <c r="R2823">
        <f t="shared" si="177"/>
        <v>17.39</v>
      </c>
      <c r="S2823">
        <f t="shared" si="178"/>
        <v>2.0307648073605518</v>
      </c>
      <c r="T2823">
        <f t="shared" si="179"/>
        <v>3.669724770642202E-2</v>
      </c>
      <c r="U2823" t="str">
        <f>YEAR('Campaign Data'!$A2823)&amp;"-"&amp;TEXT(MONTH('Campaign Data'!$A2823),"00")</f>
        <v>2026-06</v>
      </c>
    </row>
    <row r="2824" spans="1:21" x14ac:dyDescent="0.25">
      <c r="A2824">
        <v>46175</v>
      </c>
      <c r="B2824" t="s">
        <v>122</v>
      </c>
      <c r="C2824" t="s">
        <v>123</v>
      </c>
      <c r="D2824" t="s">
        <v>41</v>
      </c>
      <c r="E2824" t="s">
        <v>33</v>
      </c>
      <c r="F2824" t="s">
        <v>75</v>
      </c>
      <c r="G2824" t="s">
        <v>35</v>
      </c>
      <c r="H2824" t="s">
        <v>27</v>
      </c>
      <c r="I2824" t="s">
        <v>37</v>
      </c>
      <c r="J2824" t="s">
        <v>62</v>
      </c>
      <c r="K2824">
        <v>3017</v>
      </c>
      <c r="L2824">
        <v>59</v>
      </c>
      <c r="M2824">
        <v>39.53</v>
      </c>
      <c r="N2824">
        <v>1</v>
      </c>
      <c r="O2824">
        <v>46.24</v>
      </c>
      <c r="P2824">
        <f t="shared" si="176"/>
        <v>1.9555850182300299E-2</v>
      </c>
      <c r="Q2824">
        <f t="shared" si="176"/>
        <v>0.67</v>
      </c>
      <c r="R2824">
        <f t="shared" si="177"/>
        <v>39.53</v>
      </c>
      <c r="S2824">
        <f t="shared" si="178"/>
        <v>1.1697444978497344</v>
      </c>
      <c r="T2824">
        <f t="shared" si="179"/>
        <v>1.6949152542372881E-2</v>
      </c>
      <c r="U2824" t="str">
        <f>YEAR('Campaign Data'!$A2824)&amp;"-"&amp;TEXT(MONTH('Campaign Data'!$A2824),"00")</f>
        <v>2026-06</v>
      </c>
    </row>
    <row r="2825" spans="1:21" x14ac:dyDescent="0.25">
      <c r="A2825">
        <v>46176</v>
      </c>
      <c r="B2825" t="s">
        <v>173</v>
      </c>
      <c r="C2825" t="s">
        <v>174</v>
      </c>
      <c r="D2825" t="s">
        <v>48</v>
      </c>
      <c r="E2825" t="s">
        <v>74</v>
      </c>
      <c r="F2825" t="s">
        <v>25</v>
      </c>
      <c r="G2825" t="s">
        <v>9</v>
      </c>
      <c r="H2825" t="s">
        <v>60</v>
      </c>
      <c r="I2825" t="s">
        <v>37</v>
      </c>
      <c r="J2825" t="s">
        <v>87</v>
      </c>
      <c r="K2825">
        <v>5651</v>
      </c>
      <c r="L2825">
        <v>214</v>
      </c>
      <c r="M2825">
        <v>202.53</v>
      </c>
      <c r="N2825">
        <v>15</v>
      </c>
      <c r="O2825">
        <v>2388.9899999999998</v>
      </c>
      <c r="P2825">
        <f t="shared" si="176"/>
        <v>3.7869403645372501E-2</v>
      </c>
      <c r="Q2825">
        <f t="shared" si="176"/>
        <v>0.94640186915887847</v>
      </c>
      <c r="R2825">
        <f t="shared" si="177"/>
        <v>13.502000000000001</v>
      </c>
      <c r="S2825">
        <f t="shared" si="178"/>
        <v>11.795733965338467</v>
      </c>
      <c r="T2825">
        <f t="shared" si="179"/>
        <v>7.0093457943925228E-2</v>
      </c>
      <c r="U2825" t="str">
        <f>YEAR('Campaign Data'!$A2825)&amp;"-"&amp;TEXT(MONTH('Campaign Data'!$A2825),"00")</f>
        <v>2026-06</v>
      </c>
    </row>
    <row r="2826" spans="1:21" x14ac:dyDescent="0.25">
      <c r="A2826">
        <v>46176</v>
      </c>
      <c r="B2826" t="s">
        <v>147</v>
      </c>
      <c r="C2826" t="s">
        <v>148</v>
      </c>
      <c r="D2826" t="s">
        <v>23</v>
      </c>
      <c r="E2826" t="s">
        <v>42</v>
      </c>
      <c r="F2826" t="s">
        <v>75</v>
      </c>
      <c r="G2826" t="s">
        <v>44</v>
      </c>
      <c r="H2826" t="s">
        <v>71</v>
      </c>
      <c r="I2826" t="s">
        <v>37</v>
      </c>
      <c r="J2826" t="s">
        <v>45</v>
      </c>
      <c r="K2826">
        <v>15866</v>
      </c>
      <c r="L2826">
        <v>96</v>
      </c>
      <c r="M2826">
        <v>575.35</v>
      </c>
      <c r="N2826">
        <v>6</v>
      </c>
      <c r="O2826">
        <v>301.44</v>
      </c>
      <c r="P2826">
        <f t="shared" si="176"/>
        <v>6.0506743980839528E-3</v>
      </c>
      <c r="Q2826">
        <f t="shared" si="176"/>
        <v>5.9932291666666666</v>
      </c>
      <c r="R2826">
        <f t="shared" si="177"/>
        <v>95.891666666666666</v>
      </c>
      <c r="S2826">
        <f t="shared" si="178"/>
        <v>0.52392456765447115</v>
      </c>
      <c r="T2826">
        <f t="shared" si="179"/>
        <v>6.25E-2</v>
      </c>
      <c r="U2826" t="str">
        <f>YEAR('Campaign Data'!$A2826)&amp;"-"&amp;TEXT(MONTH('Campaign Data'!$A2826),"00")</f>
        <v>2026-06</v>
      </c>
    </row>
    <row r="2827" spans="1:21" x14ac:dyDescent="0.25">
      <c r="A2827">
        <v>46176</v>
      </c>
      <c r="B2827" t="s">
        <v>125</v>
      </c>
      <c r="C2827" t="s">
        <v>126</v>
      </c>
      <c r="D2827" t="s">
        <v>41</v>
      </c>
      <c r="E2827" t="s">
        <v>42</v>
      </c>
      <c r="F2827" t="s">
        <v>81</v>
      </c>
      <c r="G2827" t="s">
        <v>44</v>
      </c>
      <c r="H2827" t="s">
        <v>51</v>
      </c>
      <c r="I2827" t="s">
        <v>37</v>
      </c>
      <c r="J2827" t="s">
        <v>62</v>
      </c>
      <c r="K2827">
        <v>19545</v>
      </c>
      <c r="L2827">
        <v>138</v>
      </c>
      <c r="M2827">
        <v>1041.04</v>
      </c>
      <c r="N2827">
        <v>8</v>
      </c>
      <c r="O2827">
        <v>190.88</v>
      </c>
      <c r="P2827">
        <f t="shared" si="176"/>
        <v>7.0606293169608592E-3</v>
      </c>
      <c r="Q2827">
        <f t="shared" si="176"/>
        <v>7.5437681159420285</v>
      </c>
      <c r="R2827">
        <f t="shared" si="177"/>
        <v>130.13</v>
      </c>
      <c r="S2827">
        <f t="shared" si="178"/>
        <v>0.18335510643202951</v>
      </c>
      <c r="T2827">
        <f t="shared" si="179"/>
        <v>5.7971014492753624E-2</v>
      </c>
      <c r="U2827" t="str">
        <f>YEAR('Campaign Data'!$A2827)&amp;"-"&amp;TEXT(MONTH('Campaign Data'!$A2827),"00")</f>
        <v>2026-06</v>
      </c>
    </row>
    <row r="2828" spans="1:21" x14ac:dyDescent="0.25">
      <c r="A2828">
        <v>46176</v>
      </c>
      <c r="B2828" t="s">
        <v>186</v>
      </c>
      <c r="C2828" t="s">
        <v>187</v>
      </c>
      <c r="D2828" t="s">
        <v>80</v>
      </c>
      <c r="E2828" t="s">
        <v>33</v>
      </c>
      <c r="F2828" t="s">
        <v>43</v>
      </c>
      <c r="G2828" t="s">
        <v>102</v>
      </c>
      <c r="H2828" t="s">
        <v>27</v>
      </c>
      <c r="I2828" t="s">
        <v>61</v>
      </c>
      <c r="J2828" t="s">
        <v>38</v>
      </c>
      <c r="K2828">
        <v>12020</v>
      </c>
      <c r="L2828">
        <v>91</v>
      </c>
      <c r="M2828">
        <v>61.39</v>
      </c>
      <c r="N2828">
        <v>2</v>
      </c>
      <c r="O2828">
        <v>27.49</v>
      </c>
      <c r="P2828">
        <f t="shared" si="176"/>
        <v>7.5707154742096503E-3</v>
      </c>
      <c r="Q2828">
        <f t="shared" si="176"/>
        <v>0.67461538461538462</v>
      </c>
      <c r="R2828">
        <f t="shared" si="177"/>
        <v>30.695</v>
      </c>
      <c r="S2828">
        <f t="shared" si="178"/>
        <v>0.44779280013031436</v>
      </c>
      <c r="T2828">
        <f t="shared" si="179"/>
        <v>2.197802197802198E-2</v>
      </c>
      <c r="U2828" t="str">
        <f>YEAR('Campaign Data'!$A2828)&amp;"-"&amp;TEXT(MONTH('Campaign Data'!$A2828),"00")</f>
        <v>2026-06</v>
      </c>
    </row>
    <row r="2829" spans="1:21" x14ac:dyDescent="0.25">
      <c r="A2829">
        <v>46176</v>
      </c>
      <c r="B2829" t="s">
        <v>105</v>
      </c>
      <c r="C2829" t="s">
        <v>106</v>
      </c>
      <c r="D2829" t="s">
        <v>58</v>
      </c>
      <c r="E2829" t="s">
        <v>49</v>
      </c>
      <c r="F2829" t="s">
        <v>81</v>
      </c>
      <c r="G2829" t="s">
        <v>107</v>
      </c>
      <c r="H2829" t="s">
        <v>71</v>
      </c>
      <c r="I2829" t="s">
        <v>37</v>
      </c>
      <c r="J2829" t="s">
        <v>62</v>
      </c>
      <c r="K2829">
        <v>5156</v>
      </c>
      <c r="L2829">
        <v>349</v>
      </c>
      <c r="M2829">
        <v>592.47</v>
      </c>
      <c r="N2829">
        <v>20</v>
      </c>
      <c r="O2829">
        <v>191.96</v>
      </c>
      <c r="P2829">
        <f t="shared" si="176"/>
        <v>6.7688130333591931E-2</v>
      </c>
      <c r="Q2829">
        <f t="shared" si="176"/>
        <v>1.697621776504298</v>
      </c>
      <c r="R2829">
        <f t="shared" si="177"/>
        <v>29.6235</v>
      </c>
      <c r="S2829">
        <f t="shared" si="178"/>
        <v>0.32399952740223131</v>
      </c>
      <c r="T2829">
        <f t="shared" si="179"/>
        <v>5.730659025787966E-2</v>
      </c>
      <c r="U2829" t="str">
        <f>YEAR('Campaign Data'!$A2829)&amp;"-"&amp;TEXT(MONTH('Campaign Data'!$A2829),"00")</f>
        <v>2026-06</v>
      </c>
    </row>
    <row r="2830" spans="1:21" x14ac:dyDescent="0.25">
      <c r="A2830">
        <v>46176</v>
      </c>
      <c r="B2830" t="s">
        <v>108</v>
      </c>
      <c r="C2830" t="s">
        <v>109</v>
      </c>
      <c r="D2830" t="s">
        <v>58</v>
      </c>
      <c r="E2830" t="s">
        <v>33</v>
      </c>
      <c r="F2830" t="s">
        <v>43</v>
      </c>
      <c r="G2830" t="s">
        <v>59</v>
      </c>
      <c r="H2830" t="s">
        <v>71</v>
      </c>
      <c r="I2830" t="s">
        <v>61</v>
      </c>
      <c r="J2830" t="s">
        <v>38</v>
      </c>
      <c r="K2830">
        <v>5613</v>
      </c>
      <c r="L2830">
        <v>37</v>
      </c>
      <c r="M2830">
        <v>23.57</v>
      </c>
      <c r="N2830">
        <v>0</v>
      </c>
      <c r="O2830">
        <v>0</v>
      </c>
      <c r="P2830">
        <f t="shared" si="176"/>
        <v>6.5918403705683233E-3</v>
      </c>
      <c r="Q2830">
        <f t="shared" si="176"/>
        <v>0.63702702702702707</v>
      </c>
      <c r="R2830">
        <f t="shared" si="177"/>
        <v>0</v>
      </c>
      <c r="S2830">
        <f t="shared" si="178"/>
        <v>0</v>
      </c>
      <c r="T2830">
        <f t="shared" si="179"/>
        <v>0</v>
      </c>
      <c r="U2830" t="str">
        <f>YEAR('Campaign Data'!$A2830)&amp;"-"&amp;TEXT(MONTH('Campaign Data'!$A2830),"00")</f>
        <v>2026-06</v>
      </c>
    </row>
    <row r="2831" spans="1:21" x14ac:dyDescent="0.25">
      <c r="A2831">
        <v>46176</v>
      </c>
      <c r="B2831" t="s">
        <v>177</v>
      </c>
      <c r="C2831" t="s">
        <v>178</v>
      </c>
      <c r="D2831" t="s">
        <v>41</v>
      </c>
      <c r="E2831" t="s">
        <v>49</v>
      </c>
      <c r="F2831" t="s">
        <v>34</v>
      </c>
      <c r="G2831" t="s">
        <v>107</v>
      </c>
      <c r="H2831" t="s">
        <v>60</v>
      </c>
      <c r="I2831" t="s">
        <v>37</v>
      </c>
      <c r="J2831" t="s">
        <v>38</v>
      </c>
      <c r="K2831">
        <v>6312</v>
      </c>
      <c r="L2831">
        <v>343</v>
      </c>
      <c r="M2831">
        <v>617.23</v>
      </c>
      <c r="N2831">
        <v>13</v>
      </c>
      <c r="O2831">
        <v>1564.94</v>
      </c>
      <c r="P2831">
        <f t="shared" si="176"/>
        <v>5.4340937896070973E-2</v>
      </c>
      <c r="Q2831">
        <f t="shared" si="176"/>
        <v>1.7995043731778426</v>
      </c>
      <c r="R2831">
        <f t="shared" si="177"/>
        <v>47.479230769230767</v>
      </c>
      <c r="S2831">
        <f t="shared" si="178"/>
        <v>2.5354243960922185</v>
      </c>
      <c r="T2831">
        <f t="shared" si="179"/>
        <v>3.7900874635568516E-2</v>
      </c>
      <c r="U2831" t="str">
        <f>YEAR('Campaign Data'!$A2831)&amp;"-"&amp;TEXT(MONTH('Campaign Data'!$A2831),"00")</f>
        <v>2026-06</v>
      </c>
    </row>
    <row r="2832" spans="1:21" x14ac:dyDescent="0.25">
      <c r="A2832">
        <v>46176</v>
      </c>
      <c r="B2832" t="s">
        <v>153</v>
      </c>
      <c r="C2832" t="s">
        <v>154</v>
      </c>
      <c r="D2832" t="s">
        <v>48</v>
      </c>
      <c r="E2832" t="s">
        <v>33</v>
      </c>
      <c r="F2832" t="s">
        <v>43</v>
      </c>
      <c r="G2832" t="s">
        <v>59</v>
      </c>
      <c r="H2832" t="s">
        <v>36</v>
      </c>
      <c r="I2832" t="s">
        <v>37</v>
      </c>
      <c r="J2832" t="s">
        <v>87</v>
      </c>
      <c r="K2832">
        <v>4502</v>
      </c>
      <c r="L2832">
        <v>19</v>
      </c>
      <c r="M2832">
        <v>13.21</v>
      </c>
      <c r="N2832">
        <v>2</v>
      </c>
      <c r="O2832">
        <v>69.38</v>
      </c>
      <c r="P2832">
        <f t="shared" si="176"/>
        <v>4.2203465126610393E-3</v>
      </c>
      <c r="Q2832">
        <f t="shared" si="176"/>
        <v>0.69526315789473692</v>
      </c>
      <c r="R2832">
        <f t="shared" si="177"/>
        <v>6.6050000000000004</v>
      </c>
      <c r="S2832">
        <f t="shared" si="178"/>
        <v>5.2520817562452677</v>
      </c>
      <c r="T2832">
        <f t="shared" si="179"/>
        <v>0.10526315789473684</v>
      </c>
      <c r="U2832" t="str">
        <f>YEAR('Campaign Data'!$A2832)&amp;"-"&amp;TEXT(MONTH('Campaign Data'!$A2832),"00")</f>
        <v>2026-06</v>
      </c>
    </row>
    <row r="2833" spans="1:21" x14ac:dyDescent="0.25">
      <c r="A2833">
        <v>46176</v>
      </c>
      <c r="B2833" t="s">
        <v>171</v>
      </c>
      <c r="C2833" t="s">
        <v>172</v>
      </c>
      <c r="D2833" t="s">
        <v>23</v>
      </c>
      <c r="E2833" t="s">
        <v>33</v>
      </c>
      <c r="F2833" t="s">
        <v>75</v>
      </c>
      <c r="G2833" t="s">
        <v>59</v>
      </c>
      <c r="H2833" t="s">
        <v>27</v>
      </c>
      <c r="I2833" t="s">
        <v>37</v>
      </c>
      <c r="J2833" t="s">
        <v>45</v>
      </c>
      <c r="K2833">
        <v>6408</v>
      </c>
      <c r="L2833">
        <v>87</v>
      </c>
      <c r="M2833">
        <v>85.06</v>
      </c>
      <c r="N2833">
        <v>1</v>
      </c>
      <c r="O2833">
        <v>57.33</v>
      </c>
      <c r="P2833">
        <f t="shared" si="176"/>
        <v>1.3576779026217229E-2</v>
      </c>
      <c r="Q2833">
        <f t="shared" si="176"/>
        <v>0.97770114942528741</v>
      </c>
      <c r="R2833">
        <f t="shared" si="177"/>
        <v>85.06</v>
      </c>
      <c r="S2833">
        <f t="shared" si="178"/>
        <v>0.67399482718081349</v>
      </c>
      <c r="T2833">
        <f t="shared" si="179"/>
        <v>1.1494252873563218E-2</v>
      </c>
      <c r="U2833" t="str">
        <f>YEAR('Campaign Data'!$A2833)&amp;"-"&amp;TEXT(MONTH('Campaign Data'!$A2833),"00")</f>
        <v>2026-06</v>
      </c>
    </row>
    <row r="2834" spans="1:21" x14ac:dyDescent="0.25">
      <c r="A2834">
        <v>46176</v>
      </c>
      <c r="B2834" t="s">
        <v>110</v>
      </c>
      <c r="C2834" t="s">
        <v>111</v>
      </c>
      <c r="D2834" t="s">
        <v>23</v>
      </c>
      <c r="E2834" t="s">
        <v>49</v>
      </c>
      <c r="F2834" t="s">
        <v>34</v>
      </c>
      <c r="G2834" t="s">
        <v>50</v>
      </c>
      <c r="H2834" t="s">
        <v>90</v>
      </c>
      <c r="I2834" t="s">
        <v>28</v>
      </c>
      <c r="J2834" t="s">
        <v>29</v>
      </c>
      <c r="K2834">
        <v>5813</v>
      </c>
      <c r="L2834">
        <v>163</v>
      </c>
      <c r="M2834">
        <v>71.819999999999993</v>
      </c>
      <c r="N2834">
        <v>4</v>
      </c>
      <c r="O2834">
        <v>198.18</v>
      </c>
      <c r="P2834">
        <f t="shared" si="176"/>
        <v>2.8040598658179941E-2</v>
      </c>
      <c r="Q2834">
        <f t="shared" si="176"/>
        <v>0.44061349693251528</v>
      </c>
      <c r="R2834">
        <f t="shared" si="177"/>
        <v>17.954999999999998</v>
      </c>
      <c r="S2834">
        <f t="shared" si="178"/>
        <v>2.759398496240602</v>
      </c>
      <c r="T2834">
        <f t="shared" si="179"/>
        <v>2.4539877300613498E-2</v>
      </c>
      <c r="U2834" t="str">
        <f>YEAR('Campaign Data'!$A2834)&amp;"-"&amp;TEXT(MONTH('Campaign Data'!$A2834),"00")</f>
        <v>2026-06</v>
      </c>
    </row>
    <row r="2835" spans="1:21" x14ac:dyDescent="0.25">
      <c r="A2835">
        <v>46176</v>
      </c>
      <c r="B2835" t="s">
        <v>155</v>
      </c>
      <c r="C2835" t="s">
        <v>156</v>
      </c>
      <c r="D2835" t="s">
        <v>32</v>
      </c>
      <c r="E2835" t="s">
        <v>24</v>
      </c>
      <c r="F2835" t="s">
        <v>34</v>
      </c>
      <c r="G2835" t="s">
        <v>129</v>
      </c>
      <c r="H2835" t="s">
        <v>55</v>
      </c>
      <c r="I2835" t="s">
        <v>37</v>
      </c>
      <c r="J2835" t="s">
        <v>87</v>
      </c>
      <c r="K2835">
        <v>18267</v>
      </c>
      <c r="L2835">
        <v>281</v>
      </c>
      <c r="M2835">
        <v>328.52</v>
      </c>
      <c r="N2835">
        <v>3</v>
      </c>
      <c r="O2835">
        <v>597.33000000000004</v>
      </c>
      <c r="P2835">
        <f t="shared" si="176"/>
        <v>1.5382930968412985E-2</v>
      </c>
      <c r="Q2835">
        <f t="shared" si="176"/>
        <v>1.1691103202846975</v>
      </c>
      <c r="R2835">
        <f t="shared" si="177"/>
        <v>109.50666666666666</v>
      </c>
      <c r="S2835">
        <f t="shared" si="178"/>
        <v>1.8182454645074884</v>
      </c>
      <c r="T2835">
        <f t="shared" si="179"/>
        <v>1.0676156583629894E-2</v>
      </c>
      <c r="U2835" t="str">
        <f>YEAR('Campaign Data'!$A2835)&amp;"-"&amp;TEXT(MONTH('Campaign Data'!$A2835),"00")</f>
        <v>2026-06</v>
      </c>
    </row>
    <row r="2836" spans="1:21" x14ac:dyDescent="0.25">
      <c r="A2836">
        <v>46176</v>
      </c>
      <c r="B2836" t="s">
        <v>155</v>
      </c>
      <c r="C2836" t="s">
        <v>156</v>
      </c>
      <c r="D2836" t="s">
        <v>32</v>
      </c>
      <c r="E2836" t="s">
        <v>24</v>
      </c>
      <c r="F2836" t="s">
        <v>34</v>
      </c>
      <c r="G2836" t="s">
        <v>129</v>
      </c>
      <c r="H2836" t="s">
        <v>27</v>
      </c>
      <c r="I2836" t="s">
        <v>28</v>
      </c>
      <c r="J2836" t="s">
        <v>38</v>
      </c>
      <c r="K2836">
        <v>16485</v>
      </c>
      <c r="L2836">
        <v>229</v>
      </c>
      <c r="M2836">
        <v>220.27</v>
      </c>
      <c r="N2836">
        <v>7</v>
      </c>
      <c r="O2836">
        <v>1092.98</v>
      </c>
      <c r="P2836">
        <f t="shared" si="176"/>
        <v>1.389141643918714E-2</v>
      </c>
      <c r="Q2836">
        <f t="shared" si="176"/>
        <v>0.96187772925764192</v>
      </c>
      <c r="R2836">
        <f t="shared" si="177"/>
        <v>31.467142857142857</v>
      </c>
      <c r="S2836">
        <f t="shared" si="178"/>
        <v>4.9620011803695467</v>
      </c>
      <c r="T2836">
        <f t="shared" si="179"/>
        <v>3.0567685589519649E-2</v>
      </c>
      <c r="U2836" t="str">
        <f>YEAR('Campaign Data'!$A2836)&amp;"-"&amp;TEXT(MONTH('Campaign Data'!$A2836),"00")</f>
        <v>2026-06</v>
      </c>
    </row>
    <row r="2837" spans="1:21" x14ac:dyDescent="0.25">
      <c r="A2837">
        <v>46176</v>
      </c>
      <c r="B2837" t="s">
        <v>134</v>
      </c>
      <c r="C2837" t="s">
        <v>135</v>
      </c>
      <c r="D2837" t="s">
        <v>32</v>
      </c>
      <c r="E2837" t="s">
        <v>74</v>
      </c>
      <c r="F2837" t="s">
        <v>25</v>
      </c>
      <c r="G2837" t="s">
        <v>107</v>
      </c>
      <c r="H2837" t="s">
        <v>27</v>
      </c>
      <c r="I2837" t="s">
        <v>37</v>
      </c>
      <c r="J2837" t="s">
        <v>29</v>
      </c>
      <c r="K2837">
        <v>13510</v>
      </c>
      <c r="L2837">
        <v>597</v>
      </c>
      <c r="M2837">
        <v>1364.09</v>
      </c>
      <c r="N2837">
        <v>8</v>
      </c>
      <c r="O2837">
        <v>1085.1199999999999</v>
      </c>
      <c r="P2837">
        <f t="shared" si="176"/>
        <v>4.4189489267209475E-2</v>
      </c>
      <c r="Q2837">
        <f t="shared" si="176"/>
        <v>2.2849078726968175</v>
      </c>
      <c r="R2837">
        <f t="shared" si="177"/>
        <v>170.51124999999999</v>
      </c>
      <c r="S2837">
        <f t="shared" si="178"/>
        <v>0.79549003364880611</v>
      </c>
      <c r="T2837">
        <f t="shared" si="179"/>
        <v>1.340033500837521E-2</v>
      </c>
      <c r="U2837" t="str">
        <f>YEAR('Campaign Data'!$A2837)&amp;"-"&amp;TEXT(MONTH('Campaign Data'!$A2837),"00")</f>
        <v>2026-06</v>
      </c>
    </row>
    <row r="2838" spans="1:21" x14ac:dyDescent="0.25">
      <c r="A2838">
        <v>46176</v>
      </c>
      <c r="B2838" t="s">
        <v>183</v>
      </c>
      <c r="C2838" t="s">
        <v>184</v>
      </c>
      <c r="D2838" t="s">
        <v>23</v>
      </c>
      <c r="E2838" t="s">
        <v>24</v>
      </c>
      <c r="F2838" t="s">
        <v>81</v>
      </c>
      <c r="G2838" t="s">
        <v>185</v>
      </c>
      <c r="H2838" t="s">
        <v>27</v>
      </c>
      <c r="I2838" t="s">
        <v>37</v>
      </c>
      <c r="J2838" t="s">
        <v>87</v>
      </c>
      <c r="K2838">
        <v>4066</v>
      </c>
      <c r="L2838">
        <v>26</v>
      </c>
      <c r="M2838">
        <v>28.16</v>
      </c>
      <c r="N2838">
        <v>0</v>
      </c>
      <c r="O2838">
        <v>0</v>
      </c>
      <c r="P2838">
        <f t="shared" si="176"/>
        <v>6.3944909001475651E-3</v>
      </c>
      <c r="Q2838">
        <f t="shared" si="176"/>
        <v>1.083076923076923</v>
      </c>
      <c r="R2838">
        <f t="shared" si="177"/>
        <v>0</v>
      </c>
      <c r="S2838">
        <f t="shared" si="178"/>
        <v>0</v>
      </c>
      <c r="T2838">
        <f t="shared" si="179"/>
        <v>0</v>
      </c>
      <c r="U2838" t="str">
        <f>YEAR('Campaign Data'!$A2838)&amp;"-"&amp;TEXT(MONTH('Campaign Data'!$A2838),"00")</f>
        <v>2026-06</v>
      </c>
    </row>
    <row r="2839" spans="1:21" x14ac:dyDescent="0.25">
      <c r="A2839">
        <v>46176</v>
      </c>
      <c r="B2839" t="s">
        <v>72</v>
      </c>
      <c r="C2839" t="s">
        <v>73</v>
      </c>
      <c r="D2839" t="s">
        <v>69</v>
      </c>
      <c r="E2839" t="s">
        <v>74</v>
      </c>
      <c r="F2839" t="s">
        <v>75</v>
      </c>
      <c r="G2839" t="s">
        <v>9</v>
      </c>
      <c r="H2839" t="s">
        <v>90</v>
      </c>
      <c r="I2839" t="s">
        <v>37</v>
      </c>
      <c r="J2839" t="s">
        <v>29</v>
      </c>
      <c r="K2839">
        <v>6477</v>
      </c>
      <c r="L2839">
        <v>175</v>
      </c>
      <c r="M2839">
        <v>83.34</v>
      </c>
      <c r="N2839">
        <v>10</v>
      </c>
      <c r="O2839">
        <v>83.48</v>
      </c>
      <c r="P2839">
        <f t="shared" si="176"/>
        <v>2.7018681488343368E-2</v>
      </c>
      <c r="Q2839">
        <f t="shared" si="176"/>
        <v>0.47622857142857145</v>
      </c>
      <c r="R2839">
        <f t="shared" si="177"/>
        <v>8.3339999999999996</v>
      </c>
      <c r="S2839">
        <f t="shared" si="178"/>
        <v>1.0016798656107511</v>
      </c>
      <c r="T2839">
        <f t="shared" si="179"/>
        <v>5.7142857142857141E-2</v>
      </c>
      <c r="U2839" t="str">
        <f>YEAR('Campaign Data'!$A2839)&amp;"-"&amp;TEXT(MONTH('Campaign Data'!$A2839),"00")</f>
        <v>2026-06</v>
      </c>
    </row>
    <row r="2840" spans="1:21" x14ac:dyDescent="0.25">
      <c r="A2840">
        <v>46176</v>
      </c>
      <c r="B2840" t="s">
        <v>118</v>
      </c>
      <c r="C2840" t="s">
        <v>119</v>
      </c>
      <c r="D2840" t="s">
        <v>69</v>
      </c>
      <c r="E2840" t="s">
        <v>33</v>
      </c>
      <c r="F2840" t="s">
        <v>34</v>
      </c>
      <c r="G2840" t="s">
        <v>35</v>
      </c>
      <c r="H2840" t="s">
        <v>90</v>
      </c>
      <c r="I2840" t="s">
        <v>37</v>
      </c>
      <c r="J2840" t="s">
        <v>87</v>
      </c>
      <c r="K2840">
        <v>4131</v>
      </c>
      <c r="L2840">
        <v>38</v>
      </c>
      <c r="M2840">
        <v>4.88</v>
      </c>
      <c r="N2840">
        <v>0</v>
      </c>
      <c r="O2840">
        <v>0</v>
      </c>
      <c r="P2840">
        <f t="shared" si="176"/>
        <v>9.198741224885015E-3</v>
      </c>
      <c r="Q2840">
        <f t="shared" si="176"/>
        <v>0.12842105263157894</v>
      </c>
      <c r="R2840">
        <f t="shared" si="177"/>
        <v>0</v>
      </c>
      <c r="S2840">
        <f t="shared" si="178"/>
        <v>0</v>
      </c>
      <c r="T2840">
        <f t="shared" si="179"/>
        <v>0</v>
      </c>
      <c r="U2840" t="str">
        <f>YEAR('Campaign Data'!$A2840)&amp;"-"&amp;TEXT(MONTH('Campaign Data'!$A2840),"00")</f>
        <v>2026-06</v>
      </c>
    </row>
    <row r="2841" spans="1:21" x14ac:dyDescent="0.25">
      <c r="A2841">
        <v>46176</v>
      </c>
      <c r="B2841" t="s">
        <v>163</v>
      </c>
      <c r="C2841" t="s">
        <v>164</v>
      </c>
      <c r="D2841" t="s">
        <v>58</v>
      </c>
      <c r="E2841" t="s">
        <v>42</v>
      </c>
      <c r="F2841" t="s">
        <v>43</v>
      </c>
      <c r="G2841" t="s">
        <v>44</v>
      </c>
      <c r="H2841" t="s">
        <v>51</v>
      </c>
      <c r="I2841" t="s">
        <v>28</v>
      </c>
      <c r="J2841" t="s">
        <v>62</v>
      </c>
      <c r="K2841">
        <v>11655</v>
      </c>
      <c r="L2841">
        <v>94</v>
      </c>
      <c r="M2841">
        <v>458.48</v>
      </c>
      <c r="N2841">
        <v>1</v>
      </c>
      <c r="O2841">
        <v>22.87</v>
      </c>
      <c r="P2841">
        <f t="shared" si="176"/>
        <v>8.0652080652080654E-3</v>
      </c>
      <c r="Q2841">
        <f t="shared" si="176"/>
        <v>4.8774468085106388</v>
      </c>
      <c r="R2841">
        <f t="shared" si="177"/>
        <v>458.48</v>
      </c>
      <c r="S2841">
        <f t="shared" si="178"/>
        <v>4.9882219507939279E-2</v>
      </c>
      <c r="T2841">
        <f t="shared" si="179"/>
        <v>1.0638297872340425E-2</v>
      </c>
      <c r="U2841" t="str">
        <f>YEAR('Campaign Data'!$A2841)&amp;"-"&amp;TEXT(MONTH('Campaign Data'!$A2841),"00")</f>
        <v>2026-06</v>
      </c>
    </row>
    <row r="2842" spans="1:21" x14ac:dyDescent="0.25">
      <c r="A2842">
        <v>46176</v>
      </c>
      <c r="B2842" t="s">
        <v>120</v>
      </c>
      <c r="C2842" t="s">
        <v>121</v>
      </c>
      <c r="D2842" t="s">
        <v>23</v>
      </c>
      <c r="E2842" t="s">
        <v>49</v>
      </c>
      <c r="F2842" t="s">
        <v>75</v>
      </c>
      <c r="G2842" t="s">
        <v>70</v>
      </c>
      <c r="H2842" t="s">
        <v>90</v>
      </c>
      <c r="I2842" t="s">
        <v>37</v>
      </c>
      <c r="J2842" t="s">
        <v>38</v>
      </c>
      <c r="K2842">
        <v>6933</v>
      </c>
      <c r="L2842">
        <v>308</v>
      </c>
      <c r="M2842">
        <v>196.72</v>
      </c>
      <c r="N2842">
        <v>20</v>
      </c>
      <c r="O2842">
        <v>203.53</v>
      </c>
      <c r="P2842">
        <f t="shared" si="176"/>
        <v>4.4425212750613008E-2</v>
      </c>
      <c r="Q2842">
        <f t="shared" si="176"/>
        <v>0.63870129870129866</v>
      </c>
      <c r="R2842">
        <f t="shared" si="177"/>
        <v>9.8360000000000003</v>
      </c>
      <c r="S2842">
        <f t="shared" si="178"/>
        <v>1.0346177307848718</v>
      </c>
      <c r="T2842">
        <f t="shared" si="179"/>
        <v>6.4935064935064929E-2</v>
      </c>
      <c r="U2842" t="str">
        <f>YEAR('Campaign Data'!$A2842)&amp;"-"&amp;TEXT(MONTH('Campaign Data'!$A2842),"00")</f>
        <v>2026-06</v>
      </c>
    </row>
    <row r="2843" spans="1:21" x14ac:dyDescent="0.25">
      <c r="A2843">
        <v>46177</v>
      </c>
      <c r="B2843" t="s">
        <v>173</v>
      </c>
      <c r="C2843" t="s">
        <v>174</v>
      </c>
      <c r="D2843" t="s">
        <v>48</v>
      </c>
      <c r="E2843" t="s">
        <v>74</v>
      </c>
      <c r="F2843" t="s">
        <v>25</v>
      </c>
      <c r="G2843" t="s">
        <v>9</v>
      </c>
      <c r="H2843" t="s">
        <v>55</v>
      </c>
      <c r="I2843" t="s">
        <v>37</v>
      </c>
      <c r="J2843" t="s">
        <v>87</v>
      </c>
      <c r="K2843">
        <v>13996</v>
      </c>
      <c r="L2843">
        <v>458</v>
      </c>
      <c r="M2843">
        <v>362.16</v>
      </c>
      <c r="N2843">
        <v>13</v>
      </c>
      <c r="O2843">
        <v>2127.5500000000002</v>
      </c>
      <c r="P2843">
        <f t="shared" si="176"/>
        <v>3.2723635324378393E-2</v>
      </c>
      <c r="Q2843">
        <f t="shared" si="176"/>
        <v>0.79074235807860271</v>
      </c>
      <c r="R2843">
        <f t="shared" si="177"/>
        <v>27.85846153846154</v>
      </c>
      <c r="S2843">
        <f t="shared" si="178"/>
        <v>5.8746134305279432</v>
      </c>
      <c r="T2843">
        <f t="shared" si="179"/>
        <v>2.8384279475982533E-2</v>
      </c>
      <c r="U2843" t="str">
        <f>YEAR('Campaign Data'!$A2843)&amp;"-"&amp;TEXT(MONTH('Campaign Data'!$A2843),"00")</f>
        <v>2026-06</v>
      </c>
    </row>
    <row r="2844" spans="1:21" x14ac:dyDescent="0.25">
      <c r="A2844">
        <v>46177</v>
      </c>
      <c r="B2844" t="s">
        <v>175</v>
      </c>
      <c r="C2844" t="s">
        <v>176</v>
      </c>
      <c r="D2844" t="s">
        <v>65</v>
      </c>
      <c r="E2844" t="s">
        <v>49</v>
      </c>
      <c r="F2844" t="s">
        <v>75</v>
      </c>
      <c r="G2844" t="s">
        <v>70</v>
      </c>
      <c r="H2844" t="s">
        <v>36</v>
      </c>
      <c r="I2844" t="s">
        <v>37</v>
      </c>
      <c r="J2844" t="s">
        <v>45</v>
      </c>
      <c r="K2844">
        <v>10650</v>
      </c>
      <c r="L2844">
        <v>450</v>
      </c>
      <c r="M2844">
        <v>680.19</v>
      </c>
      <c r="N2844">
        <v>21</v>
      </c>
      <c r="O2844">
        <v>940.38</v>
      </c>
      <c r="P2844">
        <f t="shared" si="176"/>
        <v>4.2253521126760563E-2</v>
      </c>
      <c r="Q2844">
        <f t="shared" si="176"/>
        <v>1.5115333333333334</v>
      </c>
      <c r="R2844">
        <f t="shared" si="177"/>
        <v>32.39</v>
      </c>
      <c r="S2844">
        <f t="shared" si="178"/>
        <v>1.3825254708243284</v>
      </c>
      <c r="T2844">
        <f t="shared" si="179"/>
        <v>4.6666666666666669E-2</v>
      </c>
      <c r="U2844" t="str">
        <f>YEAR('Campaign Data'!$A2844)&amp;"-"&amp;TEXT(MONTH('Campaign Data'!$A2844),"00")</f>
        <v>2026-06</v>
      </c>
    </row>
    <row r="2845" spans="1:21" x14ac:dyDescent="0.25">
      <c r="A2845">
        <v>46177</v>
      </c>
      <c r="B2845" t="s">
        <v>85</v>
      </c>
      <c r="C2845" t="s">
        <v>86</v>
      </c>
      <c r="D2845" t="s">
        <v>80</v>
      </c>
      <c r="E2845" t="s">
        <v>33</v>
      </c>
      <c r="F2845" t="s">
        <v>43</v>
      </c>
      <c r="G2845" t="s">
        <v>35</v>
      </c>
      <c r="H2845" t="s">
        <v>90</v>
      </c>
      <c r="I2845" t="s">
        <v>37</v>
      </c>
      <c r="J2845" t="s">
        <v>38</v>
      </c>
      <c r="K2845">
        <v>6319</v>
      </c>
      <c r="L2845">
        <v>45</v>
      </c>
      <c r="M2845">
        <v>8.64</v>
      </c>
      <c r="N2845">
        <v>0</v>
      </c>
      <c r="O2845">
        <v>0</v>
      </c>
      <c r="P2845">
        <f t="shared" si="176"/>
        <v>7.1213799651843645E-3</v>
      </c>
      <c r="Q2845">
        <f t="shared" si="176"/>
        <v>0.192</v>
      </c>
      <c r="R2845">
        <f t="shared" si="177"/>
        <v>0</v>
      </c>
      <c r="S2845">
        <f t="shared" si="178"/>
        <v>0</v>
      </c>
      <c r="T2845">
        <f t="shared" si="179"/>
        <v>0</v>
      </c>
      <c r="U2845" t="str">
        <f>YEAR('Campaign Data'!$A2845)&amp;"-"&amp;TEXT(MONTH('Campaign Data'!$A2845),"00")</f>
        <v>2026-06</v>
      </c>
    </row>
    <row r="2846" spans="1:21" x14ac:dyDescent="0.25">
      <c r="A2846">
        <v>46177</v>
      </c>
      <c r="B2846" t="s">
        <v>167</v>
      </c>
      <c r="C2846" t="s">
        <v>168</v>
      </c>
      <c r="D2846" t="s">
        <v>58</v>
      </c>
      <c r="E2846" t="s">
        <v>33</v>
      </c>
      <c r="F2846" t="s">
        <v>75</v>
      </c>
      <c r="G2846" t="s">
        <v>35</v>
      </c>
      <c r="H2846" t="s">
        <v>90</v>
      </c>
      <c r="I2846" t="s">
        <v>37</v>
      </c>
      <c r="J2846" t="s">
        <v>62</v>
      </c>
      <c r="K2846">
        <v>7785</v>
      </c>
      <c r="L2846">
        <v>88</v>
      </c>
      <c r="M2846">
        <v>11.43</v>
      </c>
      <c r="N2846">
        <v>4</v>
      </c>
      <c r="O2846">
        <v>27.58</v>
      </c>
      <c r="P2846">
        <f t="shared" si="176"/>
        <v>1.1303789338471419E-2</v>
      </c>
      <c r="Q2846">
        <f t="shared" si="176"/>
        <v>0.12988636363636363</v>
      </c>
      <c r="R2846">
        <f t="shared" si="177"/>
        <v>2.8574999999999999</v>
      </c>
      <c r="S2846">
        <f t="shared" si="178"/>
        <v>2.4129483814523183</v>
      </c>
      <c r="T2846">
        <f t="shared" si="179"/>
        <v>4.5454545454545456E-2</v>
      </c>
      <c r="U2846" t="str">
        <f>YEAR('Campaign Data'!$A2846)&amp;"-"&amp;TEXT(MONTH('Campaign Data'!$A2846),"00")</f>
        <v>2026-06</v>
      </c>
    </row>
    <row r="2847" spans="1:21" x14ac:dyDescent="0.25">
      <c r="A2847">
        <v>46177</v>
      </c>
      <c r="B2847" t="s">
        <v>93</v>
      </c>
      <c r="C2847" t="s">
        <v>94</v>
      </c>
      <c r="D2847" t="s">
        <v>69</v>
      </c>
      <c r="E2847" t="s">
        <v>42</v>
      </c>
      <c r="F2847" t="s">
        <v>75</v>
      </c>
      <c r="G2847" t="s">
        <v>44</v>
      </c>
      <c r="H2847" t="s">
        <v>90</v>
      </c>
      <c r="I2847" t="s">
        <v>37</v>
      </c>
      <c r="J2847" t="s">
        <v>38</v>
      </c>
      <c r="K2847">
        <v>5410</v>
      </c>
      <c r="L2847">
        <v>33</v>
      </c>
      <c r="M2847">
        <v>34.5</v>
      </c>
      <c r="N2847">
        <v>2</v>
      </c>
      <c r="O2847">
        <v>15.35</v>
      </c>
      <c r="P2847">
        <f t="shared" si="176"/>
        <v>6.0998151571164507E-3</v>
      </c>
      <c r="Q2847">
        <f t="shared" si="176"/>
        <v>1.0454545454545454</v>
      </c>
      <c r="R2847">
        <f t="shared" si="177"/>
        <v>17.25</v>
      </c>
      <c r="S2847">
        <f t="shared" si="178"/>
        <v>0.44492753623188402</v>
      </c>
      <c r="T2847">
        <f t="shared" si="179"/>
        <v>6.0606060606060608E-2</v>
      </c>
      <c r="U2847" t="str">
        <f>YEAR('Campaign Data'!$A2847)&amp;"-"&amp;TEXT(MONTH('Campaign Data'!$A2847),"00")</f>
        <v>2026-06</v>
      </c>
    </row>
    <row r="2848" spans="1:21" x14ac:dyDescent="0.25">
      <c r="A2848">
        <v>46177</v>
      </c>
      <c r="B2848" t="s">
        <v>95</v>
      </c>
      <c r="C2848" t="s">
        <v>96</v>
      </c>
      <c r="D2848" t="s">
        <v>23</v>
      </c>
      <c r="E2848" t="s">
        <v>49</v>
      </c>
      <c r="F2848" t="s">
        <v>43</v>
      </c>
      <c r="G2848" t="s">
        <v>97</v>
      </c>
      <c r="H2848" t="s">
        <v>36</v>
      </c>
      <c r="I2848" t="s">
        <v>37</v>
      </c>
      <c r="J2848" t="s">
        <v>62</v>
      </c>
      <c r="K2848">
        <v>2582</v>
      </c>
      <c r="L2848">
        <v>103</v>
      </c>
      <c r="M2848">
        <v>155</v>
      </c>
      <c r="N2848">
        <v>3</v>
      </c>
      <c r="O2848">
        <v>76.27</v>
      </c>
      <c r="P2848">
        <f t="shared" si="176"/>
        <v>3.9891556932610379E-2</v>
      </c>
      <c r="Q2848">
        <f t="shared" si="176"/>
        <v>1.5048543689320388</v>
      </c>
      <c r="R2848">
        <f t="shared" si="177"/>
        <v>51.666666666666664</v>
      </c>
      <c r="S2848">
        <f t="shared" si="178"/>
        <v>0.49206451612903224</v>
      </c>
      <c r="T2848">
        <f t="shared" si="179"/>
        <v>2.9126213592233011E-2</v>
      </c>
      <c r="U2848" t="str">
        <f>YEAR('Campaign Data'!$A2848)&amp;"-"&amp;TEXT(MONTH('Campaign Data'!$A2848),"00")</f>
        <v>2026-06</v>
      </c>
    </row>
    <row r="2849" spans="1:21" x14ac:dyDescent="0.25">
      <c r="A2849">
        <v>46177</v>
      </c>
      <c r="B2849" t="s">
        <v>151</v>
      </c>
      <c r="C2849" t="s">
        <v>152</v>
      </c>
      <c r="D2849" t="s">
        <v>48</v>
      </c>
      <c r="E2849" t="s">
        <v>24</v>
      </c>
      <c r="F2849" t="s">
        <v>81</v>
      </c>
      <c r="G2849" t="s">
        <v>129</v>
      </c>
      <c r="H2849" t="s">
        <v>55</v>
      </c>
      <c r="I2849" t="s">
        <v>37</v>
      </c>
      <c r="J2849" t="s">
        <v>29</v>
      </c>
      <c r="K2849">
        <v>6369</v>
      </c>
      <c r="L2849">
        <v>71</v>
      </c>
      <c r="M2849">
        <v>53.59</v>
      </c>
      <c r="N2849">
        <v>3</v>
      </c>
      <c r="O2849">
        <v>48.92</v>
      </c>
      <c r="P2849">
        <f t="shared" si="176"/>
        <v>1.1147746899042237E-2</v>
      </c>
      <c r="Q2849">
        <f t="shared" si="176"/>
        <v>0.75478873239436628</v>
      </c>
      <c r="R2849">
        <f t="shared" si="177"/>
        <v>17.863333333333333</v>
      </c>
      <c r="S2849">
        <f t="shared" si="178"/>
        <v>0.91285687628288859</v>
      </c>
      <c r="T2849">
        <f t="shared" si="179"/>
        <v>4.2253521126760563E-2</v>
      </c>
      <c r="U2849" t="str">
        <f>YEAR('Campaign Data'!$A2849)&amp;"-"&amp;TEXT(MONTH('Campaign Data'!$A2849),"00")</f>
        <v>2026-06</v>
      </c>
    </row>
    <row r="2850" spans="1:21" x14ac:dyDescent="0.25">
      <c r="A2850">
        <v>46177</v>
      </c>
      <c r="B2850" t="s">
        <v>127</v>
      </c>
      <c r="C2850" t="s">
        <v>128</v>
      </c>
      <c r="D2850" t="s">
        <v>58</v>
      </c>
      <c r="E2850" t="s">
        <v>24</v>
      </c>
      <c r="F2850" t="s">
        <v>81</v>
      </c>
      <c r="G2850" t="s">
        <v>129</v>
      </c>
      <c r="H2850" t="s">
        <v>71</v>
      </c>
      <c r="I2850" t="s">
        <v>37</v>
      </c>
      <c r="J2850" t="s">
        <v>45</v>
      </c>
      <c r="K2850">
        <v>4250</v>
      </c>
      <c r="L2850">
        <v>59</v>
      </c>
      <c r="M2850">
        <v>48.79</v>
      </c>
      <c r="N2850">
        <v>1</v>
      </c>
      <c r="O2850">
        <v>19.059999999999999</v>
      </c>
      <c r="P2850">
        <f t="shared" si="176"/>
        <v>1.3882352941176471E-2</v>
      </c>
      <c r="Q2850">
        <f t="shared" si="176"/>
        <v>0.82694915254237289</v>
      </c>
      <c r="R2850">
        <f t="shared" si="177"/>
        <v>48.79</v>
      </c>
      <c r="S2850">
        <f t="shared" si="178"/>
        <v>0.39065382250461156</v>
      </c>
      <c r="T2850">
        <f t="shared" si="179"/>
        <v>1.6949152542372881E-2</v>
      </c>
      <c r="U2850" t="str">
        <f>YEAR('Campaign Data'!$A2850)&amp;"-"&amp;TEXT(MONTH('Campaign Data'!$A2850),"00")</f>
        <v>2026-06</v>
      </c>
    </row>
    <row r="2851" spans="1:21" x14ac:dyDescent="0.25">
      <c r="A2851">
        <v>46177</v>
      </c>
      <c r="B2851" t="s">
        <v>127</v>
      </c>
      <c r="C2851" t="s">
        <v>128</v>
      </c>
      <c r="D2851" t="s">
        <v>58</v>
      </c>
      <c r="E2851" t="s">
        <v>24</v>
      </c>
      <c r="F2851" t="s">
        <v>81</v>
      </c>
      <c r="G2851" t="s">
        <v>129</v>
      </c>
      <c r="H2851" t="s">
        <v>90</v>
      </c>
      <c r="I2851" t="s">
        <v>37</v>
      </c>
      <c r="J2851" t="s">
        <v>45</v>
      </c>
      <c r="K2851">
        <v>3552</v>
      </c>
      <c r="L2851">
        <v>26</v>
      </c>
      <c r="M2851">
        <v>6.39</v>
      </c>
      <c r="N2851">
        <v>1</v>
      </c>
      <c r="O2851">
        <v>6.7</v>
      </c>
      <c r="P2851">
        <f t="shared" si="176"/>
        <v>7.3198198198198196E-3</v>
      </c>
      <c r="Q2851">
        <f t="shared" si="176"/>
        <v>0.24576923076923077</v>
      </c>
      <c r="R2851">
        <f t="shared" si="177"/>
        <v>6.39</v>
      </c>
      <c r="S2851">
        <f t="shared" si="178"/>
        <v>1.0485133020344288</v>
      </c>
      <c r="T2851">
        <f t="shared" si="179"/>
        <v>3.8461538461538464E-2</v>
      </c>
      <c r="U2851" t="str">
        <f>YEAR('Campaign Data'!$A2851)&amp;"-"&amp;TEXT(MONTH('Campaign Data'!$A2851),"00")</f>
        <v>2026-06</v>
      </c>
    </row>
    <row r="2852" spans="1:21" x14ac:dyDescent="0.25">
      <c r="A2852">
        <v>46177</v>
      </c>
      <c r="B2852" t="s">
        <v>103</v>
      </c>
      <c r="C2852" t="s">
        <v>104</v>
      </c>
      <c r="D2852" t="s">
        <v>65</v>
      </c>
      <c r="E2852" t="s">
        <v>33</v>
      </c>
      <c r="F2852" t="s">
        <v>43</v>
      </c>
      <c r="G2852" t="s">
        <v>102</v>
      </c>
      <c r="H2852" t="s">
        <v>71</v>
      </c>
      <c r="I2852" t="s">
        <v>37</v>
      </c>
      <c r="J2852" t="s">
        <v>62</v>
      </c>
      <c r="K2852">
        <v>13527</v>
      </c>
      <c r="L2852">
        <v>167</v>
      </c>
      <c r="M2852">
        <v>112.07</v>
      </c>
      <c r="N2852">
        <v>4</v>
      </c>
      <c r="O2852">
        <v>67.09</v>
      </c>
      <c r="P2852">
        <f t="shared" si="176"/>
        <v>1.2345679012345678E-2</v>
      </c>
      <c r="Q2852">
        <f t="shared" si="176"/>
        <v>0.67107784431137718</v>
      </c>
      <c r="R2852">
        <f t="shared" si="177"/>
        <v>28.017499999999998</v>
      </c>
      <c r="S2852">
        <f t="shared" si="178"/>
        <v>0.59864370482734008</v>
      </c>
      <c r="T2852">
        <f t="shared" si="179"/>
        <v>2.3952095808383235E-2</v>
      </c>
      <c r="U2852" t="str">
        <f>YEAR('Campaign Data'!$A2852)&amp;"-"&amp;TEXT(MONTH('Campaign Data'!$A2852),"00")</f>
        <v>2026-06</v>
      </c>
    </row>
    <row r="2853" spans="1:21" x14ac:dyDescent="0.25">
      <c r="A2853">
        <v>46177</v>
      </c>
      <c r="B2853" t="s">
        <v>171</v>
      </c>
      <c r="C2853" t="s">
        <v>172</v>
      </c>
      <c r="D2853" t="s">
        <v>23</v>
      </c>
      <c r="E2853" t="s">
        <v>33</v>
      </c>
      <c r="F2853" t="s">
        <v>75</v>
      </c>
      <c r="G2853" t="s">
        <v>59</v>
      </c>
      <c r="H2853" t="s">
        <v>36</v>
      </c>
      <c r="I2853" t="s">
        <v>37</v>
      </c>
      <c r="J2853" t="s">
        <v>87</v>
      </c>
      <c r="K2853">
        <v>15375</v>
      </c>
      <c r="L2853">
        <v>119</v>
      </c>
      <c r="M2853">
        <v>52.2</v>
      </c>
      <c r="N2853">
        <v>2</v>
      </c>
      <c r="O2853">
        <v>44.7</v>
      </c>
      <c r="P2853">
        <f t="shared" si="176"/>
        <v>7.7398373983739834E-3</v>
      </c>
      <c r="Q2853">
        <f t="shared" si="176"/>
        <v>0.438655462184874</v>
      </c>
      <c r="R2853">
        <f t="shared" si="177"/>
        <v>26.1</v>
      </c>
      <c r="S2853">
        <f t="shared" si="178"/>
        <v>0.85632183908045978</v>
      </c>
      <c r="T2853">
        <f t="shared" si="179"/>
        <v>1.680672268907563E-2</v>
      </c>
      <c r="U2853" t="str">
        <f>YEAR('Campaign Data'!$A2853)&amp;"-"&amp;TEXT(MONTH('Campaign Data'!$A2853),"00")</f>
        <v>2026-06</v>
      </c>
    </row>
    <row r="2854" spans="1:21" x14ac:dyDescent="0.25">
      <c r="A2854">
        <v>46177</v>
      </c>
      <c r="B2854" t="s">
        <v>159</v>
      </c>
      <c r="C2854" t="s">
        <v>160</v>
      </c>
      <c r="D2854" t="s">
        <v>65</v>
      </c>
      <c r="E2854" t="s">
        <v>42</v>
      </c>
      <c r="F2854" t="s">
        <v>75</v>
      </c>
      <c r="G2854" t="s">
        <v>54</v>
      </c>
      <c r="H2854" t="s">
        <v>36</v>
      </c>
      <c r="I2854" t="s">
        <v>28</v>
      </c>
      <c r="J2854" t="s">
        <v>62</v>
      </c>
      <c r="K2854">
        <v>7790</v>
      </c>
      <c r="L2854">
        <v>75</v>
      </c>
      <c r="M2854">
        <v>516.16</v>
      </c>
      <c r="N2854">
        <v>5</v>
      </c>
      <c r="O2854">
        <v>220.34</v>
      </c>
      <c r="P2854">
        <f t="shared" si="176"/>
        <v>9.6277278562259313E-3</v>
      </c>
      <c r="Q2854">
        <f t="shared" si="176"/>
        <v>6.882133333333333</v>
      </c>
      <c r="R2854">
        <f t="shared" si="177"/>
        <v>103.232</v>
      </c>
      <c r="S2854">
        <f t="shared" si="178"/>
        <v>0.42688313701177932</v>
      </c>
      <c r="T2854">
        <f t="shared" si="179"/>
        <v>6.6666666666666666E-2</v>
      </c>
      <c r="U2854" t="str">
        <f>YEAR('Campaign Data'!$A2854)&amp;"-"&amp;TEXT(MONTH('Campaign Data'!$A2854),"00")</f>
        <v>2026-06</v>
      </c>
    </row>
    <row r="2855" spans="1:21" x14ac:dyDescent="0.25">
      <c r="A2855">
        <v>46177</v>
      </c>
      <c r="B2855" t="s">
        <v>161</v>
      </c>
      <c r="C2855" t="s">
        <v>162</v>
      </c>
      <c r="D2855" t="s">
        <v>48</v>
      </c>
      <c r="E2855" t="s">
        <v>74</v>
      </c>
      <c r="F2855" t="s">
        <v>34</v>
      </c>
      <c r="G2855" t="s">
        <v>107</v>
      </c>
      <c r="H2855" t="s">
        <v>55</v>
      </c>
      <c r="I2855" t="s">
        <v>37</v>
      </c>
      <c r="J2855" t="s">
        <v>45</v>
      </c>
      <c r="K2855">
        <v>30232</v>
      </c>
      <c r="L2855">
        <v>907</v>
      </c>
      <c r="M2855">
        <v>1012.44</v>
      </c>
      <c r="N2855">
        <v>43</v>
      </c>
      <c r="O2855">
        <v>2187.52</v>
      </c>
      <c r="P2855">
        <f t="shared" si="176"/>
        <v>3.0001323101349564E-2</v>
      </c>
      <c r="Q2855">
        <f t="shared" si="176"/>
        <v>1.1162513781697905</v>
      </c>
      <c r="R2855">
        <f t="shared" si="177"/>
        <v>23.54511627906977</v>
      </c>
      <c r="S2855">
        <f t="shared" si="178"/>
        <v>2.1606416182687367</v>
      </c>
      <c r="T2855">
        <f t="shared" si="179"/>
        <v>4.7409040793825796E-2</v>
      </c>
      <c r="U2855" t="str">
        <f>YEAR('Campaign Data'!$A2855)&amp;"-"&amp;TEXT(MONTH('Campaign Data'!$A2855),"00")</f>
        <v>2026-06</v>
      </c>
    </row>
    <row r="2856" spans="1:21" x14ac:dyDescent="0.25">
      <c r="A2856">
        <v>46177</v>
      </c>
      <c r="B2856" t="s">
        <v>76</v>
      </c>
      <c r="C2856" t="s">
        <v>77</v>
      </c>
      <c r="D2856" t="s">
        <v>65</v>
      </c>
      <c r="E2856" t="s">
        <v>42</v>
      </c>
      <c r="F2856" t="s">
        <v>43</v>
      </c>
      <c r="G2856" t="s">
        <v>44</v>
      </c>
      <c r="H2856" t="s">
        <v>36</v>
      </c>
      <c r="I2856" t="s">
        <v>37</v>
      </c>
      <c r="J2856" t="s">
        <v>29</v>
      </c>
      <c r="K2856">
        <v>5592</v>
      </c>
      <c r="L2856">
        <v>42</v>
      </c>
      <c r="M2856">
        <v>217.31</v>
      </c>
      <c r="N2856">
        <v>0</v>
      </c>
      <c r="O2856">
        <v>0</v>
      </c>
      <c r="P2856">
        <f t="shared" si="176"/>
        <v>7.5107296137339056E-3</v>
      </c>
      <c r="Q2856">
        <f t="shared" si="176"/>
        <v>5.1740476190476192</v>
      </c>
      <c r="R2856">
        <f t="shared" si="177"/>
        <v>0</v>
      </c>
      <c r="S2856">
        <f t="shared" si="178"/>
        <v>0</v>
      </c>
      <c r="T2856">
        <f t="shared" si="179"/>
        <v>0</v>
      </c>
      <c r="U2856" t="str">
        <f>YEAR('Campaign Data'!$A2856)&amp;"-"&amp;TEXT(MONTH('Campaign Data'!$A2856),"00")</f>
        <v>2026-06</v>
      </c>
    </row>
    <row r="2857" spans="1:21" x14ac:dyDescent="0.25">
      <c r="A2857">
        <v>46178</v>
      </c>
      <c r="B2857" t="s">
        <v>165</v>
      </c>
      <c r="C2857" t="s">
        <v>166</v>
      </c>
      <c r="D2857" t="s">
        <v>41</v>
      </c>
      <c r="E2857" t="s">
        <v>33</v>
      </c>
      <c r="F2857" t="s">
        <v>43</v>
      </c>
      <c r="G2857" t="s">
        <v>59</v>
      </c>
      <c r="H2857" t="s">
        <v>90</v>
      </c>
      <c r="I2857" t="s">
        <v>37</v>
      </c>
      <c r="J2857" t="s">
        <v>62</v>
      </c>
      <c r="K2857">
        <v>12514</v>
      </c>
      <c r="L2857">
        <v>76</v>
      </c>
      <c r="M2857">
        <v>14.57</v>
      </c>
      <c r="N2857">
        <v>2</v>
      </c>
      <c r="O2857">
        <v>12.33</v>
      </c>
      <c r="P2857">
        <f t="shared" si="176"/>
        <v>6.0731980182195944E-3</v>
      </c>
      <c r="Q2857">
        <f t="shared" si="176"/>
        <v>0.19171052631578947</v>
      </c>
      <c r="R2857">
        <f t="shared" si="177"/>
        <v>7.2850000000000001</v>
      </c>
      <c r="S2857">
        <f t="shared" si="178"/>
        <v>0.84625943719972541</v>
      </c>
      <c r="T2857">
        <f t="shared" si="179"/>
        <v>2.6315789473684209E-2</v>
      </c>
      <c r="U2857" t="str">
        <f>YEAR('Campaign Data'!$A2857)&amp;"-"&amp;TEXT(MONTH('Campaign Data'!$A2857),"00")</f>
        <v>2026-06</v>
      </c>
    </row>
    <row r="2858" spans="1:21" x14ac:dyDescent="0.25">
      <c r="A2858">
        <v>46178</v>
      </c>
      <c r="B2858" t="s">
        <v>165</v>
      </c>
      <c r="C2858" t="s">
        <v>166</v>
      </c>
      <c r="D2858" t="s">
        <v>41</v>
      </c>
      <c r="E2858" t="s">
        <v>33</v>
      </c>
      <c r="F2858" t="s">
        <v>43</v>
      </c>
      <c r="G2858" t="s">
        <v>59</v>
      </c>
      <c r="H2858" t="s">
        <v>60</v>
      </c>
      <c r="I2858" t="s">
        <v>37</v>
      </c>
      <c r="J2858" t="s">
        <v>87</v>
      </c>
      <c r="K2858">
        <v>5215</v>
      </c>
      <c r="L2858">
        <v>71</v>
      </c>
      <c r="M2858">
        <v>38.909999999999997</v>
      </c>
      <c r="N2858">
        <v>0</v>
      </c>
      <c r="O2858">
        <v>0</v>
      </c>
      <c r="P2858">
        <f t="shared" si="176"/>
        <v>1.361457334611697E-2</v>
      </c>
      <c r="Q2858">
        <f t="shared" si="176"/>
        <v>0.54802816901408447</v>
      </c>
      <c r="R2858">
        <f t="shared" si="177"/>
        <v>0</v>
      </c>
      <c r="S2858">
        <f t="shared" si="178"/>
        <v>0</v>
      </c>
      <c r="T2858">
        <f t="shared" si="179"/>
        <v>0</v>
      </c>
      <c r="U2858" t="str">
        <f>YEAR('Campaign Data'!$A2858)&amp;"-"&amp;TEXT(MONTH('Campaign Data'!$A2858),"00")</f>
        <v>2026-06</v>
      </c>
    </row>
    <row r="2859" spans="1:21" x14ac:dyDescent="0.25">
      <c r="A2859">
        <v>46178</v>
      </c>
      <c r="B2859" t="s">
        <v>175</v>
      </c>
      <c r="C2859" t="s">
        <v>176</v>
      </c>
      <c r="D2859" t="s">
        <v>65</v>
      </c>
      <c r="E2859" t="s">
        <v>49</v>
      </c>
      <c r="F2859" t="s">
        <v>75</v>
      </c>
      <c r="G2859" t="s">
        <v>70</v>
      </c>
      <c r="H2859" t="s">
        <v>90</v>
      </c>
      <c r="I2859" t="s">
        <v>37</v>
      </c>
      <c r="J2859" t="s">
        <v>38</v>
      </c>
      <c r="K2859">
        <v>11007</v>
      </c>
      <c r="L2859">
        <v>483</v>
      </c>
      <c r="M2859">
        <v>217.28</v>
      </c>
      <c r="N2859">
        <v>27</v>
      </c>
      <c r="O2859">
        <v>174.73</v>
      </c>
      <c r="P2859">
        <f t="shared" si="176"/>
        <v>4.3881166530389752E-2</v>
      </c>
      <c r="Q2859">
        <f t="shared" si="176"/>
        <v>0.4498550724637681</v>
      </c>
      <c r="R2859">
        <f t="shared" si="177"/>
        <v>8.0474074074074071</v>
      </c>
      <c r="S2859">
        <f t="shared" si="178"/>
        <v>0.80416973490427091</v>
      </c>
      <c r="T2859">
        <f t="shared" si="179"/>
        <v>5.5900621118012424E-2</v>
      </c>
      <c r="U2859" t="str">
        <f>YEAR('Campaign Data'!$A2859)&amp;"-"&amp;TEXT(MONTH('Campaign Data'!$A2859),"00")</f>
        <v>2026-06</v>
      </c>
    </row>
    <row r="2860" spans="1:21" x14ac:dyDescent="0.25">
      <c r="A2860">
        <v>46178</v>
      </c>
      <c r="B2860" t="s">
        <v>21</v>
      </c>
      <c r="C2860" t="s">
        <v>124</v>
      </c>
      <c r="D2860" t="s">
        <v>23</v>
      </c>
      <c r="E2860" t="s">
        <v>24</v>
      </c>
      <c r="F2860" t="s">
        <v>25</v>
      </c>
      <c r="G2860" t="s">
        <v>26</v>
      </c>
      <c r="H2860" t="s">
        <v>90</v>
      </c>
      <c r="I2860" t="s">
        <v>37</v>
      </c>
      <c r="J2860" t="s">
        <v>38</v>
      </c>
      <c r="K2860">
        <v>10198</v>
      </c>
      <c r="L2860">
        <v>131</v>
      </c>
      <c r="M2860">
        <v>43.27</v>
      </c>
      <c r="N2860">
        <v>4</v>
      </c>
      <c r="O2860">
        <v>108.66</v>
      </c>
      <c r="P2860">
        <f t="shared" si="176"/>
        <v>1.2845656010982545E-2</v>
      </c>
      <c r="Q2860">
        <f t="shared" si="176"/>
        <v>0.33030534351145041</v>
      </c>
      <c r="R2860">
        <f t="shared" si="177"/>
        <v>10.817500000000001</v>
      </c>
      <c r="S2860">
        <f t="shared" si="178"/>
        <v>2.5112086896232952</v>
      </c>
      <c r="T2860">
        <f t="shared" si="179"/>
        <v>3.0534351145038167E-2</v>
      </c>
      <c r="U2860" t="str">
        <f>YEAR('Campaign Data'!$A2860)&amp;"-"&amp;TEXT(MONTH('Campaign Data'!$A2860),"00")</f>
        <v>2026-06</v>
      </c>
    </row>
    <row r="2861" spans="1:21" x14ac:dyDescent="0.25">
      <c r="A2861">
        <v>46178</v>
      </c>
      <c r="B2861" t="s">
        <v>91</v>
      </c>
      <c r="C2861" t="s">
        <v>92</v>
      </c>
      <c r="D2861" t="s">
        <v>41</v>
      </c>
      <c r="E2861" t="s">
        <v>74</v>
      </c>
      <c r="F2861" t="s">
        <v>75</v>
      </c>
      <c r="G2861" t="s">
        <v>9</v>
      </c>
      <c r="H2861" t="s">
        <v>60</v>
      </c>
      <c r="I2861" t="s">
        <v>37</v>
      </c>
      <c r="J2861" t="s">
        <v>45</v>
      </c>
      <c r="K2861">
        <v>3388</v>
      </c>
      <c r="L2861">
        <v>87</v>
      </c>
      <c r="M2861">
        <v>104.77</v>
      </c>
      <c r="N2861">
        <v>7</v>
      </c>
      <c r="O2861">
        <v>278.61</v>
      </c>
      <c r="P2861">
        <f t="shared" si="176"/>
        <v>2.5678866587957497E-2</v>
      </c>
      <c r="Q2861">
        <f t="shared" si="176"/>
        <v>1.2042528735632183</v>
      </c>
      <c r="R2861">
        <f t="shared" si="177"/>
        <v>14.967142857142857</v>
      </c>
      <c r="S2861">
        <f t="shared" si="178"/>
        <v>2.6592536031306673</v>
      </c>
      <c r="T2861">
        <f t="shared" si="179"/>
        <v>8.0459770114942528E-2</v>
      </c>
      <c r="U2861" t="str">
        <f>YEAR('Campaign Data'!$A2861)&amp;"-"&amp;TEXT(MONTH('Campaign Data'!$A2861),"00")</f>
        <v>2026-06</v>
      </c>
    </row>
    <row r="2862" spans="1:21" x14ac:dyDescent="0.25">
      <c r="A2862">
        <v>46178</v>
      </c>
      <c r="B2862" t="s">
        <v>52</v>
      </c>
      <c r="C2862" t="s">
        <v>53</v>
      </c>
      <c r="D2862" t="s">
        <v>32</v>
      </c>
      <c r="E2862" t="s">
        <v>42</v>
      </c>
      <c r="F2862" t="s">
        <v>25</v>
      </c>
      <c r="G2862" t="s">
        <v>54</v>
      </c>
      <c r="H2862" t="s">
        <v>55</v>
      </c>
      <c r="I2862" t="s">
        <v>37</v>
      </c>
      <c r="J2862" t="s">
        <v>38</v>
      </c>
      <c r="K2862">
        <v>5015</v>
      </c>
      <c r="L2862">
        <v>32</v>
      </c>
      <c r="M2862">
        <v>183.59</v>
      </c>
      <c r="N2862">
        <v>2</v>
      </c>
      <c r="O2862">
        <v>257.48</v>
      </c>
      <c r="P2862">
        <f t="shared" si="176"/>
        <v>6.3808574277168491E-3</v>
      </c>
      <c r="Q2862">
        <f t="shared" si="176"/>
        <v>5.7371875000000001</v>
      </c>
      <c r="R2862">
        <f t="shared" si="177"/>
        <v>91.795000000000002</v>
      </c>
      <c r="S2862">
        <f t="shared" si="178"/>
        <v>1.4024729015741599</v>
      </c>
      <c r="T2862">
        <f t="shared" si="179"/>
        <v>6.25E-2</v>
      </c>
      <c r="U2862" t="str">
        <f>YEAR('Campaign Data'!$A2862)&amp;"-"&amp;TEXT(MONTH('Campaign Data'!$A2862),"00")</f>
        <v>2026-06</v>
      </c>
    </row>
    <row r="2863" spans="1:21" x14ac:dyDescent="0.25">
      <c r="A2863">
        <v>46178</v>
      </c>
      <c r="B2863" t="s">
        <v>155</v>
      </c>
      <c r="C2863" t="s">
        <v>156</v>
      </c>
      <c r="D2863" t="s">
        <v>32</v>
      </c>
      <c r="E2863" t="s">
        <v>24</v>
      </c>
      <c r="F2863" t="s">
        <v>34</v>
      </c>
      <c r="G2863" t="s">
        <v>129</v>
      </c>
      <c r="H2863" t="s">
        <v>27</v>
      </c>
      <c r="I2863" t="s">
        <v>37</v>
      </c>
      <c r="J2863" t="s">
        <v>29</v>
      </c>
      <c r="K2863">
        <v>11907</v>
      </c>
      <c r="L2863">
        <v>251</v>
      </c>
      <c r="M2863">
        <v>299.70999999999998</v>
      </c>
      <c r="N2863">
        <v>6</v>
      </c>
      <c r="O2863">
        <v>758.54</v>
      </c>
      <c r="P2863">
        <f t="shared" si="176"/>
        <v>2.1080036953052828E-2</v>
      </c>
      <c r="Q2863">
        <f t="shared" si="176"/>
        <v>1.1940637450199203</v>
      </c>
      <c r="R2863">
        <f t="shared" si="177"/>
        <v>49.951666666666661</v>
      </c>
      <c r="S2863">
        <f t="shared" si="178"/>
        <v>2.5309132161089054</v>
      </c>
      <c r="T2863">
        <f t="shared" si="179"/>
        <v>2.3904382470119521E-2</v>
      </c>
      <c r="U2863" t="str">
        <f>YEAR('Campaign Data'!$A2863)&amp;"-"&amp;TEXT(MONTH('Campaign Data'!$A2863),"00")</f>
        <v>2026-06</v>
      </c>
    </row>
    <row r="2864" spans="1:21" x14ac:dyDescent="0.25">
      <c r="A2864">
        <v>46178</v>
      </c>
      <c r="B2864" t="s">
        <v>134</v>
      </c>
      <c r="C2864" t="s">
        <v>135</v>
      </c>
      <c r="D2864" t="s">
        <v>32</v>
      </c>
      <c r="E2864" t="s">
        <v>74</v>
      </c>
      <c r="F2864" t="s">
        <v>25</v>
      </c>
      <c r="G2864" t="s">
        <v>107</v>
      </c>
      <c r="H2864" t="s">
        <v>27</v>
      </c>
      <c r="I2864" t="s">
        <v>61</v>
      </c>
      <c r="J2864" t="s">
        <v>38</v>
      </c>
      <c r="K2864">
        <v>3776</v>
      </c>
      <c r="L2864">
        <v>83</v>
      </c>
      <c r="M2864">
        <v>135.66999999999999</v>
      </c>
      <c r="N2864">
        <v>1</v>
      </c>
      <c r="O2864">
        <v>106.94</v>
      </c>
      <c r="P2864">
        <f t="shared" si="176"/>
        <v>2.1980932203389831E-2</v>
      </c>
      <c r="Q2864">
        <f t="shared" si="176"/>
        <v>1.6345783132530118</v>
      </c>
      <c r="R2864">
        <f t="shared" si="177"/>
        <v>135.66999999999999</v>
      </c>
      <c r="S2864">
        <f t="shared" si="178"/>
        <v>0.78823616127367879</v>
      </c>
      <c r="T2864">
        <f t="shared" si="179"/>
        <v>1.2048192771084338E-2</v>
      </c>
      <c r="U2864" t="str">
        <f>YEAR('Campaign Data'!$A2864)&amp;"-"&amp;TEXT(MONTH('Campaign Data'!$A2864),"00")</f>
        <v>2026-06</v>
      </c>
    </row>
    <row r="2865" spans="1:21" x14ac:dyDescent="0.25">
      <c r="A2865">
        <v>46178</v>
      </c>
      <c r="B2865" t="s">
        <v>134</v>
      </c>
      <c r="C2865" t="s">
        <v>135</v>
      </c>
      <c r="D2865" t="s">
        <v>32</v>
      </c>
      <c r="E2865" t="s">
        <v>74</v>
      </c>
      <c r="F2865" t="s">
        <v>25</v>
      </c>
      <c r="G2865" t="s">
        <v>107</v>
      </c>
      <c r="H2865" t="s">
        <v>90</v>
      </c>
      <c r="I2865" t="s">
        <v>37</v>
      </c>
      <c r="J2865" t="s">
        <v>45</v>
      </c>
      <c r="K2865">
        <v>5831</v>
      </c>
      <c r="L2865">
        <v>155</v>
      </c>
      <c r="M2865">
        <v>56.74</v>
      </c>
      <c r="N2865">
        <v>10</v>
      </c>
      <c r="O2865">
        <v>599.87</v>
      </c>
      <c r="P2865">
        <f t="shared" si="176"/>
        <v>2.6582061395986966E-2</v>
      </c>
      <c r="Q2865">
        <f t="shared" si="176"/>
        <v>0.36606451612903229</v>
      </c>
      <c r="R2865">
        <f t="shared" si="177"/>
        <v>5.6740000000000004</v>
      </c>
      <c r="S2865">
        <f t="shared" si="178"/>
        <v>10.572259428974268</v>
      </c>
      <c r="T2865">
        <f t="shared" si="179"/>
        <v>6.4516129032258063E-2</v>
      </c>
      <c r="U2865" t="str">
        <f>YEAR('Campaign Data'!$A2865)&amp;"-"&amp;TEXT(MONTH('Campaign Data'!$A2865),"00")</f>
        <v>2026-06</v>
      </c>
    </row>
    <row r="2866" spans="1:21" x14ac:dyDescent="0.25">
      <c r="A2866">
        <v>46178</v>
      </c>
      <c r="B2866" t="s">
        <v>72</v>
      </c>
      <c r="C2866" t="s">
        <v>73</v>
      </c>
      <c r="D2866" t="s">
        <v>69</v>
      </c>
      <c r="E2866" t="s">
        <v>74</v>
      </c>
      <c r="F2866" t="s">
        <v>75</v>
      </c>
      <c r="G2866" t="s">
        <v>9</v>
      </c>
      <c r="H2866" t="s">
        <v>27</v>
      </c>
      <c r="I2866" t="s">
        <v>37</v>
      </c>
      <c r="J2866" t="s">
        <v>62</v>
      </c>
      <c r="K2866">
        <v>3645</v>
      </c>
      <c r="L2866">
        <v>168</v>
      </c>
      <c r="M2866">
        <v>272.24</v>
      </c>
      <c r="N2866">
        <v>18</v>
      </c>
      <c r="O2866">
        <v>392.84</v>
      </c>
      <c r="P2866">
        <f t="shared" si="176"/>
        <v>4.6090534979423871E-2</v>
      </c>
      <c r="Q2866">
        <f t="shared" si="176"/>
        <v>1.6204761904761906</v>
      </c>
      <c r="R2866">
        <f t="shared" si="177"/>
        <v>15.124444444444444</v>
      </c>
      <c r="S2866">
        <f t="shared" si="178"/>
        <v>1.4429914781075521</v>
      </c>
      <c r="T2866">
        <f t="shared" si="179"/>
        <v>0.10714285714285714</v>
      </c>
      <c r="U2866" t="str">
        <f>YEAR('Campaign Data'!$A2866)&amp;"-"&amp;TEXT(MONTH('Campaign Data'!$A2866),"00")</f>
        <v>2026-06</v>
      </c>
    </row>
    <row r="2867" spans="1:21" x14ac:dyDescent="0.25">
      <c r="A2867">
        <v>46178</v>
      </c>
      <c r="B2867" t="s">
        <v>116</v>
      </c>
      <c r="C2867" t="s">
        <v>117</v>
      </c>
      <c r="D2867" t="s">
        <v>48</v>
      </c>
      <c r="E2867" t="s">
        <v>24</v>
      </c>
      <c r="F2867" t="s">
        <v>43</v>
      </c>
      <c r="G2867" t="s">
        <v>26</v>
      </c>
      <c r="H2867" t="s">
        <v>27</v>
      </c>
      <c r="I2867" t="s">
        <v>28</v>
      </c>
      <c r="J2867" t="s">
        <v>45</v>
      </c>
      <c r="K2867">
        <v>9524</v>
      </c>
      <c r="L2867">
        <v>130</v>
      </c>
      <c r="M2867">
        <v>193.33</v>
      </c>
      <c r="N2867">
        <v>0</v>
      </c>
      <c r="O2867">
        <v>0</v>
      </c>
      <c r="P2867">
        <f t="shared" si="176"/>
        <v>1.3649727005459892E-2</v>
      </c>
      <c r="Q2867">
        <f t="shared" si="176"/>
        <v>1.4871538461538463</v>
      </c>
      <c r="R2867">
        <f t="shared" si="177"/>
        <v>0</v>
      </c>
      <c r="S2867">
        <f t="shared" si="178"/>
        <v>0</v>
      </c>
      <c r="T2867">
        <f t="shared" si="179"/>
        <v>0</v>
      </c>
      <c r="U2867" t="str">
        <f>YEAR('Campaign Data'!$A2867)&amp;"-"&amp;TEXT(MONTH('Campaign Data'!$A2867),"00")</f>
        <v>2026-06</v>
      </c>
    </row>
    <row r="2868" spans="1:21" x14ac:dyDescent="0.25">
      <c r="A2868">
        <v>46178</v>
      </c>
      <c r="B2868" t="s">
        <v>78</v>
      </c>
      <c r="C2868" t="s">
        <v>79</v>
      </c>
      <c r="D2868" t="s">
        <v>80</v>
      </c>
      <c r="E2868" t="s">
        <v>24</v>
      </c>
      <c r="F2868" t="s">
        <v>81</v>
      </c>
      <c r="G2868" t="s">
        <v>66</v>
      </c>
      <c r="H2868" t="s">
        <v>60</v>
      </c>
      <c r="I2868" t="s">
        <v>37</v>
      </c>
      <c r="J2868" t="s">
        <v>38</v>
      </c>
      <c r="K2868">
        <v>5282</v>
      </c>
      <c r="L2868">
        <v>67</v>
      </c>
      <c r="M2868">
        <v>52.06</v>
      </c>
      <c r="N2868">
        <v>2</v>
      </c>
      <c r="O2868">
        <v>25.3</v>
      </c>
      <c r="P2868">
        <f t="shared" si="176"/>
        <v>1.2684589170768649E-2</v>
      </c>
      <c r="Q2868">
        <f t="shared" si="176"/>
        <v>0.77701492537313432</v>
      </c>
      <c r="R2868">
        <f t="shared" si="177"/>
        <v>26.03</v>
      </c>
      <c r="S2868">
        <f t="shared" si="178"/>
        <v>0.48597771801767192</v>
      </c>
      <c r="T2868">
        <f t="shared" si="179"/>
        <v>2.9850746268656716E-2</v>
      </c>
      <c r="U2868" t="str">
        <f>YEAR('Campaign Data'!$A2868)&amp;"-"&amp;TEXT(MONTH('Campaign Data'!$A2868),"00")</f>
        <v>2026-06</v>
      </c>
    </row>
    <row r="2869" spans="1:21" x14ac:dyDescent="0.25">
      <c r="A2869">
        <v>46179</v>
      </c>
      <c r="B2869" t="s">
        <v>165</v>
      </c>
      <c r="C2869" t="s">
        <v>166</v>
      </c>
      <c r="D2869" t="s">
        <v>41</v>
      </c>
      <c r="E2869" t="s">
        <v>33</v>
      </c>
      <c r="F2869" t="s">
        <v>43</v>
      </c>
      <c r="G2869" t="s">
        <v>59</v>
      </c>
      <c r="H2869" t="s">
        <v>90</v>
      </c>
      <c r="I2869" t="s">
        <v>37</v>
      </c>
      <c r="J2869" t="s">
        <v>38</v>
      </c>
      <c r="K2869">
        <v>14420</v>
      </c>
      <c r="L2869">
        <v>114</v>
      </c>
      <c r="M2869">
        <v>17.03</v>
      </c>
      <c r="N2869">
        <v>1</v>
      </c>
      <c r="O2869">
        <v>5</v>
      </c>
      <c r="P2869">
        <f t="shared" si="176"/>
        <v>7.9056865464632448E-3</v>
      </c>
      <c r="Q2869">
        <f t="shared" si="176"/>
        <v>0.14938596491228071</v>
      </c>
      <c r="R2869">
        <f t="shared" si="177"/>
        <v>17.03</v>
      </c>
      <c r="S2869">
        <f t="shared" si="178"/>
        <v>0.29359953024075158</v>
      </c>
      <c r="T2869">
        <f t="shared" si="179"/>
        <v>8.771929824561403E-3</v>
      </c>
      <c r="U2869" t="str">
        <f>YEAR('Campaign Data'!$A2869)&amp;"-"&amp;TEXT(MONTH('Campaign Data'!$A2869),"00")</f>
        <v>2026-06</v>
      </c>
    </row>
    <row r="2870" spans="1:21" x14ac:dyDescent="0.25">
      <c r="A2870">
        <v>46179</v>
      </c>
      <c r="B2870" t="s">
        <v>125</v>
      </c>
      <c r="C2870" t="s">
        <v>126</v>
      </c>
      <c r="D2870" t="s">
        <v>41</v>
      </c>
      <c r="E2870" t="s">
        <v>42</v>
      </c>
      <c r="F2870" t="s">
        <v>81</v>
      </c>
      <c r="G2870" t="s">
        <v>44</v>
      </c>
      <c r="H2870" t="s">
        <v>60</v>
      </c>
      <c r="I2870" t="s">
        <v>37</v>
      </c>
      <c r="J2870" t="s">
        <v>45</v>
      </c>
      <c r="K2870">
        <v>3304</v>
      </c>
      <c r="L2870">
        <v>24</v>
      </c>
      <c r="M2870">
        <v>168.15</v>
      </c>
      <c r="N2870">
        <v>1</v>
      </c>
      <c r="O2870">
        <v>11.08</v>
      </c>
      <c r="P2870">
        <f t="shared" si="176"/>
        <v>7.2639225181598066E-3</v>
      </c>
      <c r="Q2870">
        <f t="shared" si="176"/>
        <v>7.0062500000000005</v>
      </c>
      <c r="R2870">
        <f t="shared" si="177"/>
        <v>168.15</v>
      </c>
      <c r="S2870">
        <f t="shared" si="178"/>
        <v>6.589354742789176E-2</v>
      </c>
      <c r="T2870">
        <f t="shared" si="179"/>
        <v>4.1666666666666664E-2</v>
      </c>
      <c r="U2870" t="str">
        <f>YEAR('Campaign Data'!$A2870)&amp;"-"&amp;TEXT(MONTH('Campaign Data'!$A2870),"00")</f>
        <v>2026-06</v>
      </c>
    </row>
    <row r="2871" spans="1:21" x14ac:dyDescent="0.25">
      <c r="A2871">
        <v>46179</v>
      </c>
      <c r="B2871" t="s">
        <v>138</v>
      </c>
      <c r="C2871" t="s">
        <v>139</v>
      </c>
      <c r="D2871" t="s">
        <v>58</v>
      </c>
      <c r="E2871" t="s">
        <v>74</v>
      </c>
      <c r="F2871" t="s">
        <v>34</v>
      </c>
      <c r="G2871" t="s">
        <v>9</v>
      </c>
      <c r="H2871" t="s">
        <v>90</v>
      </c>
      <c r="I2871" t="s">
        <v>61</v>
      </c>
      <c r="J2871" t="s">
        <v>62</v>
      </c>
      <c r="K2871">
        <v>6365</v>
      </c>
      <c r="L2871">
        <v>288</v>
      </c>
      <c r="M2871">
        <v>132.58000000000001</v>
      </c>
      <c r="N2871">
        <v>22</v>
      </c>
      <c r="O2871">
        <v>692.84</v>
      </c>
      <c r="P2871">
        <f t="shared" si="176"/>
        <v>4.5247446975648073E-2</v>
      </c>
      <c r="Q2871">
        <f t="shared" si="176"/>
        <v>0.46034722222222224</v>
      </c>
      <c r="R2871">
        <f t="shared" si="177"/>
        <v>6.0263636363636373</v>
      </c>
      <c r="S2871">
        <f t="shared" si="178"/>
        <v>5.2258259164278167</v>
      </c>
      <c r="T2871">
        <f t="shared" si="179"/>
        <v>7.6388888888888895E-2</v>
      </c>
      <c r="U2871" t="str">
        <f>YEAR('Campaign Data'!$A2871)&amp;"-"&amp;TEXT(MONTH('Campaign Data'!$A2871),"00")</f>
        <v>2026-06</v>
      </c>
    </row>
    <row r="2872" spans="1:21" x14ac:dyDescent="0.25">
      <c r="A2872">
        <v>46179</v>
      </c>
      <c r="B2872" t="s">
        <v>91</v>
      </c>
      <c r="C2872" t="s">
        <v>92</v>
      </c>
      <c r="D2872" t="s">
        <v>41</v>
      </c>
      <c r="E2872" t="s">
        <v>74</v>
      </c>
      <c r="F2872" t="s">
        <v>75</v>
      </c>
      <c r="G2872" t="s">
        <v>9</v>
      </c>
      <c r="H2872" t="s">
        <v>90</v>
      </c>
      <c r="I2872" t="s">
        <v>28</v>
      </c>
      <c r="J2872" t="s">
        <v>62</v>
      </c>
      <c r="K2872">
        <v>9088</v>
      </c>
      <c r="L2872">
        <v>372</v>
      </c>
      <c r="M2872">
        <v>122.18</v>
      </c>
      <c r="N2872">
        <v>25</v>
      </c>
      <c r="O2872">
        <v>242.66</v>
      </c>
      <c r="P2872">
        <f t="shared" si="176"/>
        <v>4.0933098591549297E-2</v>
      </c>
      <c r="Q2872">
        <f t="shared" si="176"/>
        <v>0.32844086021505381</v>
      </c>
      <c r="R2872">
        <f t="shared" si="177"/>
        <v>4.8872</v>
      </c>
      <c r="S2872">
        <f t="shared" si="178"/>
        <v>1.9860861024717629</v>
      </c>
      <c r="T2872">
        <f t="shared" si="179"/>
        <v>6.7204301075268813E-2</v>
      </c>
      <c r="U2872" t="str">
        <f>YEAR('Campaign Data'!$A2872)&amp;"-"&amp;TEXT(MONTH('Campaign Data'!$A2872),"00")</f>
        <v>2026-06</v>
      </c>
    </row>
    <row r="2873" spans="1:21" x14ac:dyDescent="0.25">
      <c r="A2873">
        <v>46179</v>
      </c>
      <c r="B2873" t="s">
        <v>186</v>
      </c>
      <c r="C2873" t="s">
        <v>187</v>
      </c>
      <c r="D2873" t="s">
        <v>80</v>
      </c>
      <c r="E2873" t="s">
        <v>33</v>
      </c>
      <c r="F2873" t="s">
        <v>43</v>
      </c>
      <c r="G2873" t="s">
        <v>102</v>
      </c>
      <c r="H2873" t="s">
        <v>36</v>
      </c>
      <c r="I2873" t="s">
        <v>37</v>
      </c>
      <c r="J2873" t="s">
        <v>29</v>
      </c>
      <c r="K2873">
        <v>2750</v>
      </c>
      <c r="L2873">
        <v>40</v>
      </c>
      <c r="M2873">
        <v>23.84</v>
      </c>
      <c r="N2873">
        <v>0</v>
      </c>
      <c r="O2873">
        <v>0</v>
      </c>
      <c r="P2873">
        <f t="shared" si="176"/>
        <v>1.4545454545454545E-2</v>
      </c>
      <c r="Q2873">
        <f t="shared" si="176"/>
        <v>0.59599999999999997</v>
      </c>
      <c r="R2873">
        <f t="shared" si="177"/>
        <v>0</v>
      </c>
      <c r="S2873">
        <f t="shared" si="178"/>
        <v>0</v>
      </c>
      <c r="T2873">
        <f t="shared" si="179"/>
        <v>0</v>
      </c>
      <c r="U2873" t="str">
        <f>YEAR('Campaign Data'!$A2873)&amp;"-"&amp;TEXT(MONTH('Campaign Data'!$A2873),"00")</f>
        <v>2026-06</v>
      </c>
    </row>
    <row r="2874" spans="1:21" x14ac:dyDescent="0.25">
      <c r="A2874">
        <v>46179</v>
      </c>
      <c r="B2874" t="s">
        <v>95</v>
      </c>
      <c r="C2874" t="s">
        <v>96</v>
      </c>
      <c r="D2874" t="s">
        <v>23</v>
      </c>
      <c r="E2874" t="s">
        <v>49</v>
      </c>
      <c r="F2874" t="s">
        <v>43</v>
      </c>
      <c r="G2874" t="s">
        <v>97</v>
      </c>
      <c r="H2874" t="s">
        <v>27</v>
      </c>
      <c r="I2874" t="s">
        <v>28</v>
      </c>
      <c r="J2874" t="s">
        <v>29</v>
      </c>
      <c r="K2874">
        <v>29154</v>
      </c>
      <c r="L2874">
        <v>1171</v>
      </c>
      <c r="M2874">
        <v>3516</v>
      </c>
      <c r="N2874">
        <v>73</v>
      </c>
      <c r="O2874">
        <v>365</v>
      </c>
      <c r="P2874">
        <f t="shared" si="176"/>
        <v>4.01660149550662E-2</v>
      </c>
      <c r="Q2874">
        <f t="shared" si="176"/>
        <v>3.0025619128949614</v>
      </c>
      <c r="R2874">
        <f t="shared" si="177"/>
        <v>48.164383561643838</v>
      </c>
      <c r="S2874">
        <f t="shared" si="178"/>
        <v>0.10381114903299203</v>
      </c>
      <c r="T2874">
        <f t="shared" si="179"/>
        <v>6.2339880444064903E-2</v>
      </c>
      <c r="U2874" t="str">
        <f>YEAR('Campaign Data'!$A2874)&amp;"-"&amp;TEXT(MONTH('Campaign Data'!$A2874),"00")</f>
        <v>2026-06</v>
      </c>
    </row>
    <row r="2875" spans="1:21" x14ac:dyDescent="0.25">
      <c r="A2875">
        <v>46179</v>
      </c>
      <c r="B2875" t="s">
        <v>46</v>
      </c>
      <c r="C2875" t="s">
        <v>47</v>
      </c>
      <c r="D2875" t="s">
        <v>48</v>
      </c>
      <c r="E2875" t="s">
        <v>49</v>
      </c>
      <c r="F2875" t="s">
        <v>43</v>
      </c>
      <c r="G2875" t="s">
        <v>50</v>
      </c>
      <c r="H2875" t="s">
        <v>55</v>
      </c>
      <c r="I2875" t="s">
        <v>37</v>
      </c>
      <c r="J2875" t="s">
        <v>29</v>
      </c>
      <c r="K2875">
        <v>4050</v>
      </c>
      <c r="L2875">
        <v>119</v>
      </c>
      <c r="M2875">
        <v>213.83</v>
      </c>
      <c r="N2875">
        <v>2</v>
      </c>
      <c r="O2875">
        <v>18.059999999999999</v>
      </c>
      <c r="P2875">
        <f t="shared" si="176"/>
        <v>2.9382716049382716E-2</v>
      </c>
      <c r="Q2875">
        <f t="shared" si="176"/>
        <v>1.7968907563025212</v>
      </c>
      <c r="R2875">
        <f t="shared" si="177"/>
        <v>106.91500000000001</v>
      </c>
      <c r="S2875">
        <f t="shared" si="178"/>
        <v>8.4459617453116947E-2</v>
      </c>
      <c r="T2875">
        <f t="shared" si="179"/>
        <v>1.680672268907563E-2</v>
      </c>
      <c r="U2875" t="str">
        <f>YEAR('Campaign Data'!$A2875)&amp;"-"&amp;TEXT(MONTH('Campaign Data'!$A2875),"00")</f>
        <v>2026-06</v>
      </c>
    </row>
    <row r="2876" spans="1:21" x14ac:dyDescent="0.25">
      <c r="A2876">
        <v>46179</v>
      </c>
      <c r="B2876" t="s">
        <v>100</v>
      </c>
      <c r="C2876" t="s">
        <v>101</v>
      </c>
      <c r="D2876" t="s">
        <v>80</v>
      </c>
      <c r="E2876" t="s">
        <v>33</v>
      </c>
      <c r="F2876" t="s">
        <v>25</v>
      </c>
      <c r="G2876" t="s">
        <v>102</v>
      </c>
      <c r="H2876" t="s">
        <v>71</v>
      </c>
      <c r="I2876" t="s">
        <v>28</v>
      </c>
      <c r="J2876" t="s">
        <v>29</v>
      </c>
      <c r="K2876">
        <v>1967</v>
      </c>
      <c r="L2876">
        <v>15</v>
      </c>
      <c r="M2876">
        <v>10.26</v>
      </c>
      <c r="N2876">
        <v>0</v>
      </c>
      <c r="O2876">
        <v>0</v>
      </c>
      <c r="P2876">
        <f t="shared" si="176"/>
        <v>7.6258261311642093E-3</v>
      </c>
      <c r="Q2876">
        <f t="shared" si="176"/>
        <v>0.68399999999999994</v>
      </c>
      <c r="R2876">
        <f t="shared" si="177"/>
        <v>0</v>
      </c>
      <c r="S2876">
        <f t="shared" si="178"/>
        <v>0</v>
      </c>
      <c r="T2876">
        <f t="shared" si="179"/>
        <v>0</v>
      </c>
      <c r="U2876" t="str">
        <f>YEAR('Campaign Data'!$A2876)&amp;"-"&amp;TEXT(MONTH('Campaign Data'!$A2876),"00")</f>
        <v>2026-06</v>
      </c>
    </row>
    <row r="2877" spans="1:21" x14ac:dyDescent="0.25">
      <c r="A2877">
        <v>46179</v>
      </c>
      <c r="B2877" t="s">
        <v>169</v>
      </c>
      <c r="C2877" t="s">
        <v>170</v>
      </c>
      <c r="D2877" t="s">
        <v>58</v>
      </c>
      <c r="E2877" t="s">
        <v>74</v>
      </c>
      <c r="F2877" t="s">
        <v>75</v>
      </c>
      <c r="G2877" t="s">
        <v>9</v>
      </c>
      <c r="H2877" t="s">
        <v>27</v>
      </c>
      <c r="I2877" t="s">
        <v>28</v>
      </c>
      <c r="J2877" t="s">
        <v>38</v>
      </c>
      <c r="K2877">
        <v>7048</v>
      </c>
      <c r="L2877">
        <v>262</v>
      </c>
      <c r="M2877">
        <v>527.91</v>
      </c>
      <c r="N2877">
        <v>5</v>
      </c>
      <c r="O2877">
        <v>283.88</v>
      </c>
      <c r="P2877">
        <f t="shared" si="176"/>
        <v>3.7173666288308739E-2</v>
      </c>
      <c r="Q2877">
        <f t="shared" si="176"/>
        <v>2.0149236641221373</v>
      </c>
      <c r="R2877">
        <f t="shared" si="177"/>
        <v>105.58199999999999</v>
      </c>
      <c r="S2877">
        <f t="shared" si="178"/>
        <v>0.53774317592013787</v>
      </c>
      <c r="T2877">
        <f t="shared" si="179"/>
        <v>1.9083969465648856E-2</v>
      </c>
      <c r="U2877" t="str">
        <f>YEAR('Campaign Data'!$A2877)&amp;"-"&amp;TEXT(MONTH('Campaign Data'!$A2877),"00")</f>
        <v>2026-06</v>
      </c>
    </row>
    <row r="2878" spans="1:21" x14ac:dyDescent="0.25">
      <c r="A2878">
        <v>46179</v>
      </c>
      <c r="B2878" t="s">
        <v>103</v>
      </c>
      <c r="C2878" t="s">
        <v>104</v>
      </c>
      <c r="D2878" t="s">
        <v>65</v>
      </c>
      <c r="E2878" t="s">
        <v>33</v>
      </c>
      <c r="F2878" t="s">
        <v>43</v>
      </c>
      <c r="G2878" t="s">
        <v>102</v>
      </c>
      <c r="H2878" t="s">
        <v>36</v>
      </c>
      <c r="I2878" t="s">
        <v>61</v>
      </c>
      <c r="J2878" t="s">
        <v>29</v>
      </c>
      <c r="K2878">
        <v>5149</v>
      </c>
      <c r="L2878">
        <v>56</v>
      </c>
      <c r="M2878">
        <v>39.04</v>
      </c>
      <c r="N2878">
        <v>1</v>
      </c>
      <c r="O2878">
        <v>22.74</v>
      </c>
      <c r="P2878">
        <f t="shared" si="176"/>
        <v>1.0875898232666537E-2</v>
      </c>
      <c r="Q2878">
        <f t="shared" si="176"/>
        <v>0.69714285714285718</v>
      </c>
      <c r="R2878">
        <f t="shared" si="177"/>
        <v>39.04</v>
      </c>
      <c r="S2878">
        <f t="shared" si="178"/>
        <v>0.58247950819672123</v>
      </c>
      <c r="T2878">
        <f t="shared" si="179"/>
        <v>1.7857142857142856E-2</v>
      </c>
      <c r="U2878" t="str">
        <f>YEAR('Campaign Data'!$A2878)&amp;"-"&amp;TEXT(MONTH('Campaign Data'!$A2878),"00")</f>
        <v>2026-06</v>
      </c>
    </row>
    <row r="2879" spans="1:21" x14ac:dyDescent="0.25">
      <c r="A2879">
        <v>46179</v>
      </c>
      <c r="B2879" t="s">
        <v>105</v>
      </c>
      <c r="C2879" t="s">
        <v>106</v>
      </c>
      <c r="D2879" t="s">
        <v>58</v>
      </c>
      <c r="E2879" t="s">
        <v>49</v>
      </c>
      <c r="F2879" t="s">
        <v>81</v>
      </c>
      <c r="G2879" t="s">
        <v>107</v>
      </c>
      <c r="H2879" t="s">
        <v>27</v>
      </c>
      <c r="I2879" t="s">
        <v>37</v>
      </c>
      <c r="J2879" t="s">
        <v>62</v>
      </c>
      <c r="K2879">
        <v>7540</v>
      </c>
      <c r="L2879">
        <v>424</v>
      </c>
      <c r="M2879">
        <v>699.4</v>
      </c>
      <c r="N2879">
        <v>37</v>
      </c>
      <c r="O2879">
        <v>637.12</v>
      </c>
      <c r="P2879">
        <f t="shared" si="176"/>
        <v>5.6233421750663128E-2</v>
      </c>
      <c r="Q2879">
        <f t="shared" si="176"/>
        <v>1.6495283018867923</v>
      </c>
      <c r="R2879">
        <f t="shared" si="177"/>
        <v>18.902702702702701</v>
      </c>
      <c r="S2879">
        <f t="shared" si="178"/>
        <v>0.91095224478124115</v>
      </c>
      <c r="T2879">
        <f t="shared" si="179"/>
        <v>8.7264150943396221E-2</v>
      </c>
      <c r="U2879" t="str">
        <f>YEAR('Campaign Data'!$A2879)&amp;"-"&amp;TEXT(MONTH('Campaign Data'!$A2879),"00")</f>
        <v>2026-06</v>
      </c>
    </row>
    <row r="2880" spans="1:21" x14ac:dyDescent="0.25">
      <c r="A2880">
        <v>46179</v>
      </c>
      <c r="B2880" t="s">
        <v>108</v>
      </c>
      <c r="C2880" t="s">
        <v>109</v>
      </c>
      <c r="D2880" t="s">
        <v>58</v>
      </c>
      <c r="E2880" t="s">
        <v>33</v>
      </c>
      <c r="F2880" t="s">
        <v>43</v>
      </c>
      <c r="G2880" t="s">
        <v>59</v>
      </c>
      <c r="H2880" t="s">
        <v>27</v>
      </c>
      <c r="I2880" t="s">
        <v>37</v>
      </c>
      <c r="J2880" t="s">
        <v>29</v>
      </c>
      <c r="K2880">
        <v>3528</v>
      </c>
      <c r="L2880">
        <v>37</v>
      </c>
      <c r="M2880">
        <v>33.15</v>
      </c>
      <c r="N2880">
        <v>0</v>
      </c>
      <c r="O2880">
        <v>0</v>
      </c>
      <c r="P2880">
        <f t="shared" si="176"/>
        <v>1.0487528344671202E-2</v>
      </c>
      <c r="Q2880">
        <f t="shared" si="176"/>
        <v>0.8959459459459459</v>
      </c>
      <c r="R2880">
        <f t="shared" si="177"/>
        <v>0</v>
      </c>
      <c r="S2880">
        <f t="shared" si="178"/>
        <v>0</v>
      </c>
      <c r="T2880">
        <f t="shared" si="179"/>
        <v>0</v>
      </c>
      <c r="U2880" t="str">
        <f>YEAR('Campaign Data'!$A2880)&amp;"-"&amp;TEXT(MONTH('Campaign Data'!$A2880),"00")</f>
        <v>2026-06</v>
      </c>
    </row>
    <row r="2881" spans="1:21" x14ac:dyDescent="0.25">
      <c r="A2881">
        <v>46179</v>
      </c>
      <c r="B2881" t="s">
        <v>110</v>
      </c>
      <c r="C2881" t="s">
        <v>111</v>
      </c>
      <c r="D2881" t="s">
        <v>23</v>
      </c>
      <c r="E2881" t="s">
        <v>49</v>
      </c>
      <c r="F2881" t="s">
        <v>34</v>
      </c>
      <c r="G2881" t="s">
        <v>50</v>
      </c>
      <c r="H2881" t="s">
        <v>36</v>
      </c>
      <c r="I2881" t="s">
        <v>37</v>
      </c>
      <c r="J2881" t="s">
        <v>62</v>
      </c>
      <c r="K2881">
        <v>1712</v>
      </c>
      <c r="L2881">
        <v>114</v>
      </c>
      <c r="M2881">
        <v>190.58</v>
      </c>
      <c r="N2881">
        <v>8</v>
      </c>
      <c r="O2881">
        <v>1023.94</v>
      </c>
      <c r="P2881">
        <f t="shared" si="176"/>
        <v>6.6588785046728965E-2</v>
      </c>
      <c r="Q2881">
        <f t="shared" si="176"/>
        <v>1.6717543859649124</v>
      </c>
      <c r="R2881">
        <f t="shared" si="177"/>
        <v>23.822500000000002</v>
      </c>
      <c r="S2881">
        <f t="shared" si="178"/>
        <v>5.3727568475181027</v>
      </c>
      <c r="T2881">
        <f t="shared" si="179"/>
        <v>7.0175438596491224E-2</v>
      </c>
      <c r="U2881" t="str">
        <f>YEAR('Campaign Data'!$A2881)&amp;"-"&amp;TEXT(MONTH('Campaign Data'!$A2881),"00")</f>
        <v>2026-06</v>
      </c>
    </row>
    <row r="2882" spans="1:21" x14ac:dyDescent="0.25">
      <c r="A2882">
        <v>46179</v>
      </c>
      <c r="B2882" t="s">
        <v>112</v>
      </c>
      <c r="C2882" t="s">
        <v>113</v>
      </c>
      <c r="D2882" t="s">
        <v>32</v>
      </c>
      <c r="E2882" t="s">
        <v>24</v>
      </c>
      <c r="F2882" t="s">
        <v>75</v>
      </c>
      <c r="G2882" t="s">
        <v>66</v>
      </c>
      <c r="H2882" t="s">
        <v>36</v>
      </c>
      <c r="I2882" t="s">
        <v>37</v>
      </c>
      <c r="J2882" t="s">
        <v>45</v>
      </c>
      <c r="K2882">
        <v>3360</v>
      </c>
      <c r="L2882">
        <v>38</v>
      </c>
      <c r="M2882">
        <v>39.43</v>
      </c>
      <c r="N2882">
        <v>1</v>
      </c>
      <c r="O2882">
        <v>37.93</v>
      </c>
      <c r="P2882">
        <f t="shared" ref="P2882:Q2945" si="180">IF(K2882=0,0,L2882/K2882)</f>
        <v>1.1309523809523809E-2</v>
      </c>
      <c r="Q2882">
        <f t="shared" si="180"/>
        <v>1.0376315789473685</v>
      </c>
      <c r="R2882">
        <f t="shared" ref="R2882:R2945" si="181">IF(N2882=0,0,M2882/N2882)</f>
        <v>39.43</v>
      </c>
      <c r="S2882">
        <f t="shared" ref="S2882:S2945" si="182">IF(M2882=0,0,O2882/M2882)</f>
        <v>0.96195790007608417</v>
      </c>
      <c r="T2882">
        <f t="shared" ref="T2882:T2945" si="183">IF(L2882=0,0,N2882/L2882)</f>
        <v>2.6315789473684209E-2</v>
      </c>
      <c r="U2882" t="str">
        <f>YEAR('Campaign Data'!$A2882)&amp;"-"&amp;TEXT(MONTH('Campaign Data'!$A2882),"00")</f>
        <v>2026-06</v>
      </c>
    </row>
    <row r="2883" spans="1:21" x14ac:dyDescent="0.25">
      <c r="A2883">
        <v>46179</v>
      </c>
      <c r="B2883" t="s">
        <v>161</v>
      </c>
      <c r="C2883" t="s">
        <v>162</v>
      </c>
      <c r="D2883" t="s">
        <v>48</v>
      </c>
      <c r="E2883" t="s">
        <v>74</v>
      </c>
      <c r="F2883" t="s">
        <v>34</v>
      </c>
      <c r="G2883" t="s">
        <v>107</v>
      </c>
      <c r="H2883" t="s">
        <v>51</v>
      </c>
      <c r="I2883" t="s">
        <v>28</v>
      </c>
      <c r="J2883" t="s">
        <v>62</v>
      </c>
      <c r="K2883">
        <v>22986</v>
      </c>
      <c r="L2883">
        <v>651</v>
      </c>
      <c r="M2883">
        <v>827.96</v>
      </c>
      <c r="N2883">
        <v>46</v>
      </c>
      <c r="O2883">
        <v>6261.7</v>
      </c>
      <c r="P2883">
        <f t="shared" si="180"/>
        <v>2.8321587052988775E-2</v>
      </c>
      <c r="Q2883">
        <f t="shared" si="180"/>
        <v>1.2718279569892474</v>
      </c>
      <c r="R2883">
        <f t="shared" si="181"/>
        <v>17.999130434782611</v>
      </c>
      <c r="S2883">
        <f t="shared" si="182"/>
        <v>7.5628049664234984</v>
      </c>
      <c r="T2883">
        <f t="shared" si="183"/>
        <v>7.0660522273425494E-2</v>
      </c>
      <c r="U2883" t="str">
        <f>YEAR('Campaign Data'!$A2883)&amp;"-"&amp;TEXT(MONTH('Campaign Data'!$A2883),"00")</f>
        <v>2026-06</v>
      </c>
    </row>
    <row r="2884" spans="1:21" x14ac:dyDescent="0.25">
      <c r="A2884">
        <v>46179</v>
      </c>
      <c r="B2884" t="s">
        <v>67</v>
      </c>
      <c r="C2884" t="s">
        <v>68</v>
      </c>
      <c r="D2884" t="s">
        <v>69</v>
      </c>
      <c r="E2884" t="s">
        <v>49</v>
      </c>
      <c r="F2884" t="s">
        <v>34</v>
      </c>
      <c r="G2884" t="s">
        <v>70</v>
      </c>
      <c r="H2884" t="s">
        <v>55</v>
      </c>
      <c r="I2884" t="s">
        <v>28</v>
      </c>
      <c r="J2884" t="s">
        <v>62</v>
      </c>
      <c r="K2884">
        <v>2577</v>
      </c>
      <c r="L2884">
        <v>154</v>
      </c>
      <c r="M2884">
        <v>256.95999999999998</v>
      </c>
      <c r="N2884">
        <v>11</v>
      </c>
      <c r="O2884">
        <v>1512.92</v>
      </c>
      <c r="P2884">
        <f t="shared" si="180"/>
        <v>5.9759410166860691E-2</v>
      </c>
      <c r="Q2884">
        <f t="shared" si="180"/>
        <v>1.6685714285714284</v>
      </c>
      <c r="R2884">
        <f t="shared" si="181"/>
        <v>23.36</v>
      </c>
      <c r="S2884">
        <f t="shared" si="182"/>
        <v>5.8877646326276469</v>
      </c>
      <c r="T2884">
        <f t="shared" si="183"/>
        <v>7.1428571428571425E-2</v>
      </c>
      <c r="U2884" t="str">
        <f>YEAR('Campaign Data'!$A2884)&amp;"-"&amp;TEXT(MONTH('Campaign Data'!$A2884),"00")</f>
        <v>2026-06</v>
      </c>
    </row>
    <row r="2885" spans="1:21" x14ac:dyDescent="0.25">
      <c r="A2885">
        <v>46179</v>
      </c>
      <c r="B2885" t="s">
        <v>163</v>
      </c>
      <c r="C2885" t="s">
        <v>164</v>
      </c>
      <c r="D2885" t="s">
        <v>58</v>
      </c>
      <c r="E2885" t="s">
        <v>42</v>
      </c>
      <c r="F2885" t="s">
        <v>43</v>
      </c>
      <c r="G2885" t="s">
        <v>44</v>
      </c>
      <c r="H2885" t="s">
        <v>55</v>
      </c>
      <c r="I2885" t="s">
        <v>28</v>
      </c>
      <c r="J2885" t="s">
        <v>38</v>
      </c>
      <c r="K2885">
        <v>9457</v>
      </c>
      <c r="L2885">
        <v>50</v>
      </c>
      <c r="M2885">
        <v>329.97</v>
      </c>
      <c r="N2885">
        <v>0</v>
      </c>
      <c r="O2885">
        <v>0</v>
      </c>
      <c r="P2885">
        <f t="shared" si="180"/>
        <v>5.2870889288357831E-3</v>
      </c>
      <c r="Q2885">
        <f t="shared" si="180"/>
        <v>6.5994000000000002</v>
      </c>
      <c r="R2885">
        <f t="shared" si="181"/>
        <v>0</v>
      </c>
      <c r="S2885">
        <f t="shared" si="182"/>
        <v>0</v>
      </c>
      <c r="T2885">
        <f t="shared" si="183"/>
        <v>0</v>
      </c>
      <c r="U2885" t="str">
        <f>YEAR('Campaign Data'!$A2885)&amp;"-"&amp;TEXT(MONTH('Campaign Data'!$A2885),"00")</f>
        <v>2026-06</v>
      </c>
    </row>
    <row r="2886" spans="1:21" x14ac:dyDescent="0.25">
      <c r="A2886">
        <v>46179</v>
      </c>
      <c r="B2886" t="s">
        <v>76</v>
      </c>
      <c r="C2886" t="s">
        <v>77</v>
      </c>
      <c r="D2886" t="s">
        <v>65</v>
      </c>
      <c r="E2886" t="s">
        <v>42</v>
      </c>
      <c r="F2886" t="s">
        <v>43</v>
      </c>
      <c r="G2886" t="s">
        <v>44</v>
      </c>
      <c r="H2886" t="s">
        <v>51</v>
      </c>
      <c r="I2886" t="s">
        <v>37</v>
      </c>
      <c r="J2886" t="s">
        <v>45</v>
      </c>
      <c r="K2886">
        <v>6902</v>
      </c>
      <c r="L2886">
        <v>39</v>
      </c>
      <c r="M2886">
        <v>255.39</v>
      </c>
      <c r="N2886">
        <v>3</v>
      </c>
      <c r="O2886">
        <v>62.88</v>
      </c>
      <c r="P2886">
        <f t="shared" si="180"/>
        <v>5.6505360764995656E-3</v>
      </c>
      <c r="Q2886">
        <f t="shared" si="180"/>
        <v>6.5484615384615381</v>
      </c>
      <c r="R2886">
        <f t="shared" si="181"/>
        <v>85.13</v>
      </c>
      <c r="S2886">
        <f t="shared" si="182"/>
        <v>0.24621167625983792</v>
      </c>
      <c r="T2886">
        <f t="shared" si="183"/>
        <v>7.6923076923076927E-2</v>
      </c>
      <c r="U2886" t="str">
        <f>YEAR('Campaign Data'!$A2886)&amp;"-"&amp;TEXT(MONTH('Campaign Data'!$A2886),"00")</f>
        <v>2026-06</v>
      </c>
    </row>
    <row r="2887" spans="1:21" x14ac:dyDescent="0.25">
      <c r="A2887">
        <v>46179</v>
      </c>
      <c r="B2887" t="s">
        <v>82</v>
      </c>
      <c r="C2887" t="s">
        <v>83</v>
      </c>
      <c r="D2887" t="s">
        <v>80</v>
      </c>
      <c r="E2887" t="s">
        <v>42</v>
      </c>
      <c r="F2887" t="s">
        <v>34</v>
      </c>
      <c r="G2887" t="s">
        <v>84</v>
      </c>
      <c r="H2887" t="s">
        <v>51</v>
      </c>
      <c r="I2887" t="s">
        <v>37</v>
      </c>
      <c r="J2887" t="s">
        <v>87</v>
      </c>
      <c r="K2887">
        <v>14666</v>
      </c>
      <c r="L2887">
        <v>93</v>
      </c>
      <c r="M2887">
        <v>562.48</v>
      </c>
      <c r="N2887">
        <v>0</v>
      </c>
      <c r="O2887">
        <v>0</v>
      </c>
      <c r="P2887">
        <f t="shared" si="180"/>
        <v>6.3411973271512339E-3</v>
      </c>
      <c r="Q2887">
        <f t="shared" si="180"/>
        <v>6.0481720430107533</v>
      </c>
      <c r="R2887">
        <f t="shared" si="181"/>
        <v>0</v>
      </c>
      <c r="S2887">
        <f t="shared" si="182"/>
        <v>0</v>
      </c>
      <c r="T2887">
        <f t="shared" si="183"/>
        <v>0</v>
      </c>
      <c r="U2887" t="str">
        <f>YEAR('Campaign Data'!$A2887)&amp;"-"&amp;TEXT(MONTH('Campaign Data'!$A2887),"00")</f>
        <v>2026-06</v>
      </c>
    </row>
    <row r="2888" spans="1:21" x14ac:dyDescent="0.25">
      <c r="A2888">
        <v>46179</v>
      </c>
      <c r="B2888" t="s">
        <v>82</v>
      </c>
      <c r="C2888" t="s">
        <v>83</v>
      </c>
      <c r="D2888" t="s">
        <v>80</v>
      </c>
      <c r="E2888" t="s">
        <v>42</v>
      </c>
      <c r="F2888" t="s">
        <v>34</v>
      </c>
      <c r="G2888" t="s">
        <v>84</v>
      </c>
      <c r="H2888" t="s">
        <v>51</v>
      </c>
      <c r="I2888" t="s">
        <v>37</v>
      </c>
      <c r="J2888" t="s">
        <v>62</v>
      </c>
      <c r="K2888">
        <v>1633</v>
      </c>
      <c r="L2888">
        <v>3</v>
      </c>
      <c r="M2888">
        <v>16.829999999999998</v>
      </c>
      <c r="N2888">
        <v>0</v>
      </c>
      <c r="O2888">
        <v>0</v>
      </c>
      <c r="P2888">
        <f t="shared" si="180"/>
        <v>1.837109614206981E-3</v>
      </c>
      <c r="Q2888">
        <f t="shared" si="180"/>
        <v>5.6099999999999994</v>
      </c>
      <c r="R2888">
        <f t="shared" si="181"/>
        <v>0</v>
      </c>
      <c r="S2888">
        <f t="shared" si="182"/>
        <v>0</v>
      </c>
      <c r="T2888">
        <f t="shared" si="183"/>
        <v>0</v>
      </c>
      <c r="U2888" t="str">
        <f>YEAR('Campaign Data'!$A2888)&amp;"-"&amp;TEXT(MONTH('Campaign Data'!$A2888),"00")</f>
        <v>2026-06</v>
      </c>
    </row>
    <row r="2889" spans="1:21" x14ac:dyDescent="0.25">
      <c r="A2889">
        <v>46180</v>
      </c>
      <c r="B2889" t="s">
        <v>138</v>
      </c>
      <c r="C2889" t="s">
        <v>139</v>
      </c>
      <c r="D2889" t="s">
        <v>58</v>
      </c>
      <c r="E2889" t="s">
        <v>74</v>
      </c>
      <c r="F2889" t="s">
        <v>34</v>
      </c>
      <c r="G2889" t="s">
        <v>9</v>
      </c>
      <c r="H2889" t="s">
        <v>27</v>
      </c>
      <c r="I2889" t="s">
        <v>61</v>
      </c>
      <c r="J2889" t="s">
        <v>45</v>
      </c>
      <c r="K2889">
        <v>11247</v>
      </c>
      <c r="L2889">
        <v>498</v>
      </c>
      <c r="M2889">
        <v>728.18</v>
      </c>
      <c r="N2889">
        <v>21</v>
      </c>
      <c r="O2889">
        <v>2583.39</v>
      </c>
      <c r="P2889">
        <f t="shared" si="180"/>
        <v>4.4278474259802615E-2</v>
      </c>
      <c r="Q2889">
        <f t="shared" si="180"/>
        <v>1.4622088353413654</v>
      </c>
      <c r="R2889">
        <f t="shared" si="181"/>
        <v>34.675238095238093</v>
      </c>
      <c r="S2889">
        <f t="shared" si="182"/>
        <v>3.5477354500260927</v>
      </c>
      <c r="T2889">
        <f t="shared" si="183"/>
        <v>4.2168674698795178E-2</v>
      </c>
      <c r="U2889" t="str">
        <f>YEAR('Campaign Data'!$A2889)&amp;"-"&amp;TEXT(MONTH('Campaign Data'!$A2889),"00")</f>
        <v>2026-06</v>
      </c>
    </row>
    <row r="2890" spans="1:21" x14ac:dyDescent="0.25">
      <c r="A2890">
        <v>46180</v>
      </c>
      <c r="B2890" t="s">
        <v>95</v>
      </c>
      <c r="C2890" t="s">
        <v>96</v>
      </c>
      <c r="D2890" t="s">
        <v>23</v>
      </c>
      <c r="E2890" t="s">
        <v>49</v>
      </c>
      <c r="F2890" t="s">
        <v>43</v>
      </c>
      <c r="G2890" t="s">
        <v>97</v>
      </c>
      <c r="H2890" t="s">
        <v>90</v>
      </c>
      <c r="I2890" t="s">
        <v>37</v>
      </c>
      <c r="J2890" t="s">
        <v>45</v>
      </c>
      <c r="K2890">
        <v>3670</v>
      </c>
      <c r="L2890">
        <v>81</v>
      </c>
      <c r="M2890">
        <v>26.53</v>
      </c>
      <c r="N2890">
        <v>6</v>
      </c>
      <c r="O2890">
        <v>37</v>
      </c>
      <c r="P2890">
        <f t="shared" si="180"/>
        <v>2.2070844686648501E-2</v>
      </c>
      <c r="Q2890">
        <f t="shared" si="180"/>
        <v>0.32753086419753086</v>
      </c>
      <c r="R2890">
        <f t="shared" si="181"/>
        <v>4.4216666666666669</v>
      </c>
      <c r="S2890">
        <f t="shared" si="182"/>
        <v>1.394647568790049</v>
      </c>
      <c r="T2890">
        <f t="shared" si="183"/>
        <v>7.407407407407407E-2</v>
      </c>
      <c r="U2890" t="str">
        <f>YEAR('Campaign Data'!$A2890)&amp;"-"&amp;TEXT(MONTH('Campaign Data'!$A2890),"00")</f>
        <v>2026-06</v>
      </c>
    </row>
    <row r="2891" spans="1:21" x14ac:dyDescent="0.25">
      <c r="A2891">
        <v>46180</v>
      </c>
      <c r="B2891" t="s">
        <v>151</v>
      </c>
      <c r="C2891" t="s">
        <v>152</v>
      </c>
      <c r="D2891" t="s">
        <v>48</v>
      </c>
      <c r="E2891" t="s">
        <v>24</v>
      </c>
      <c r="F2891" t="s">
        <v>81</v>
      </c>
      <c r="G2891" t="s">
        <v>129</v>
      </c>
      <c r="H2891" t="s">
        <v>90</v>
      </c>
      <c r="I2891" t="s">
        <v>37</v>
      </c>
      <c r="J2891" t="s">
        <v>45</v>
      </c>
      <c r="K2891">
        <v>12196</v>
      </c>
      <c r="L2891">
        <v>129</v>
      </c>
      <c r="M2891">
        <v>36.79</v>
      </c>
      <c r="N2891">
        <v>7</v>
      </c>
      <c r="O2891">
        <v>35</v>
      </c>
      <c r="P2891">
        <f t="shared" si="180"/>
        <v>1.0577238438832404E-2</v>
      </c>
      <c r="Q2891">
        <f t="shared" si="180"/>
        <v>0.2851937984496124</v>
      </c>
      <c r="R2891">
        <f t="shared" si="181"/>
        <v>5.2557142857142853</v>
      </c>
      <c r="S2891">
        <f t="shared" si="182"/>
        <v>0.95134547431367222</v>
      </c>
      <c r="T2891">
        <f t="shared" si="183"/>
        <v>5.4263565891472867E-2</v>
      </c>
      <c r="U2891" t="str">
        <f>YEAR('Campaign Data'!$A2891)&amp;"-"&amp;TEXT(MONTH('Campaign Data'!$A2891),"00")</f>
        <v>2026-06</v>
      </c>
    </row>
    <row r="2892" spans="1:21" x14ac:dyDescent="0.25">
      <c r="A2892">
        <v>46180</v>
      </c>
      <c r="B2892" t="s">
        <v>100</v>
      </c>
      <c r="C2892" t="s">
        <v>101</v>
      </c>
      <c r="D2892" t="s">
        <v>80</v>
      </c>
      <c r="E2892" t="s">
        <v>33</v>
      </c>
      <c r="F2892" t="s">
        <v>25</v>
      </c>
      <c r="G2892" t="s">
        <v>102</v>
      </c>
      <c r="H2892" t="s">
        <v>36</v>
      </c>
      <c r="I2892" t="s">
        <v>28</v>
      </c>
      <c r="J2892" t="s">
        <v>62</v>
      </c>
      <c r="K2892">
        <v>9201</v>
      </c>
      <c r="L2892">
        <v>94</v>
      </c>
      <c r="M2892">
        <v>57.53</v>
      </c>
      <c r="N2892">
        <v>4</v>
      </c>
      <c r="O2892">
        <v>368.23</v>
      </c>
      <c r="P2892">
        <f t="shared" si="180"/>
        <v>1.0216280839039235E-2</v>
      </c>
      <c r="Q2892">
        <f t="shared" si="180"/>
        <v>0.61202127659574468</v>
      </c>
      <c r="R2892">
        <f t="shared" si="181"/>
        <v>14.3825</v>
      </c>
      <c r="S2892">
        <f t="shared" si="182"/>
        <v>6.4006605249435076</v>
      </c>
      <c r="T2892">
        <f t="shared" si="183"/>
        <v>4.2553191489361701E-2</v>
      </c>
      <c r="U2892" t="str">
        <f>YEAR('Campaign Data'!$A2892)&amp;"-"&amp;TEXT(MONTH('Campaign Data'!$A2892),"00")</f>
        <v>2026-06</v>
      </c>
    </row>
    <row r="2893" spans="1:21" x14ac:dyDescent="0.25">
      <c r="A2893">
        <v>46180</v>
      </c>
      <c r="B2893" t="s">
        <v>100</v>
      </c>
      <c r="C2893" t="s">
        <v>101</v>
      </c>
      <c r="D2893" t="s">
        <v>80</v>
      </c>
      <c r="E2893" t="s">
        <v>33</v>
      </c>
      <c r="F2893" t="s">
        <v>25</v>
      </c>
      <c r="G2893" t="s">
        <v>102</v>
      </c>
      <c r="H2893" t="s">
        <v>27</v>
      </c>
      <c r="I2893" t="s">
        <v>37</v>
      </c>
      <c r="J2893" t="s">
        <v>38</v>
      </c>
      <c r="K2893">
        <v>1877</v>
      </c>
      <c r="L2893">
        <v>17</v>
      </c>
      <c r="M2893">
        <v>13.36</v>
      </c>
      <c r="N2893">
        <v>0</v>
      </c>
      <c r="O2893">
        <v>0</v>
      </c>
      <c r="P2893">
        <f t="shared" si="180"/>
        <v>9.0570058604155564E-3</v>
      </c>
      <c r="Q2893">
        <f t="shared" si="180"/>
        <v>0.78588235294117648</v>
      </c>
      <c r="R2893">
        <f t="shared" si="181"/>
        <v>0</v>
      </c>
      <c r="S2893">
        <f t="shared" si="182"/>
        <v>0</v>
      </c>
      <c r="T2893">
        <f t="shared" si="183"/>
        <v>0</v>
      </c>
      <c r="U2893" t="str">
        <f>YEAR('Campaign Data'!$A2893)&amp;"-"&amp;TEXT(MONTH('Campaign Data'!$A2893),"00")</f>
        <v>2026-06</v>
      </c>
    </row>
    <row r="2894" spans="1:21" x14ac:dyDescent="0.25">
      <c r="A2894">
        <v>46180</v>
      </c>
      <c r="B2894" t="s">
        <v>169</v>
      </c>
      <c r="C2894" t="s">
        <v>170</v>
      </c>
      <c r="D2894" t="s">
        <v>58</v>
      </c>
      <c r="E2894" t="s">
        <v>74</v>
      </c>
      <c r="F2894" t="s">
        <v>75</v>
      </c>
      <c r="G2894" t="s">
        <v>9</v>
      </c>
      <c r="H2894" t="s">
        <v>27</v>
      </c>
      <c r="I2894" t="s">
        <v>37</v>
      </c>
      <c r="J2894" t="s">
        <v>62</v>
      </c>
      <c r="K2894">
        <v>5709</v>
      </c>
      <c r="L2894">
        <v>166</v>
      </c>
      <c r="M2894">
        <v>191.9</v>
      </c>
      <c r="N2894">
        <v>12</v>
      </c>
      <c r="O2894">
        <v>421.86</v>
      </c>
      <c r="P2894">
        <f t="shared" si="180"/>
        <v>2.9076896128919252E-2</v>
      </c>
      <c r="Q2894">
        <f t="shared" si="180"/>
        <v>1.1560240963855422</v>
      </c>
      <c r="R2894">
        <f t="shared" si="181"/>
        <v>15.991666666666667</v>
      </c>
      <c r="S2894">
        <f t="shared" si="182"/>
        <v>2.1983324648254299</v>
      </c>
      <c r="T2894">
        <f t="shared" si="183"/>
        <v>7.2289156626506021E-2</v>
      </c>
      <c r="U2894" t="str">
        <f>YEAR('Campaign Data'!$A2894)&amp;"-"&amp;TEXT(MONTH('Campaign Data'!$A2894),"00")</f>
        <v>2026-06</v>
      </c>
    </row>
    <row r="2895" spans="1:21" x14ac:dyDescent="0.25">
      <c r="A2895">
        <v>46180</v>
      </c>
      <c r="B2895" t="s">
        <v>127</v>
      </c>
      <c r="C2895" t="s">
        <v>128</v>
      </c>
      <c r="D2895" t="s">
        <v>58</v>
      </c>
      <c r="E2895" t="s">
        <v>24</v>
      </c>
      <c r="F2895" t="s">
        <v>81</v>
      </c>
      <c r="G2895" t="s">
        <v>129</v>
      </c>
      <c r="H2895" t="s">
        <v>90</v>
      </c>
      <c r="I2895" t="s">
        <v>61</v>
      </c>
      <c r="J2895" t="s">
        <v>38</v>
      </c>
      <c r="K2895">
        <v>8138</v>
      </c>
      <c r="L2895">
        <v>137</v>
      </c>
      <c r="M2895">
        <v>37.22</v>
      </c>
      <c r="N2895">
        <v>7</v>
      </c>
      <c r="O2895">
        <v>37.25</v>
      </c>
      <c r="P2895">
        <f t="shared" si="180"/>
        <v>1.6834603096583928E-2</v>
      </c>
      <c r="Q2895">
        <f t="shared" si="180"/>
        <v>0.27167883211678834</v>
      </c>
      <c r="R2895">
        <f t="shared" si="181"/>
        <v>5.3171428571428567</v>
      </c>
      <c r="S2895">
        <f t="shared" si="182"/>
        <v>1.0008060182697476</v>
      </c>
      <c r="T2895">
        <f t="shared" si="183"/>
        <v>5.1094890510948905E-2</v>
      </c>
      <c r="U2895" t="str">
        <f>YEAR('Campaign Data'!$A2895)&amp;"-"&amp;TEXT(MONTH('Campaign Data'!$A2895),"00")</f>
        <v>2026-06</v>
      </c>
    </row>
    <row r="2896" spans="1:21" x14ac:dyDescent="0.25">
      <c r="A2896">
        <v>46180</v>
      </c>
      <c r="B2896" t="s">
        <v>127</v>
      </c>
      <c r="C2896" t="s">
        <v>128</v>
      </c>
      <c r="D2896" t="s">
        <v>58</v>
      </c>
      <c r="E2896" t="s">
        <v>24</v>
      </c>
      <c r="F2896" t="s">
        <v>81</v>
      </c>
      <c r="G2896" t="s">
        <v>129</v>
      </c>
      <c r="H2896" t="s">
        <v>55</v>
      </c>
      <c r="I2896" t="s">
        <v>37</v>
      </c>
      <c r="J2896" t="s">
        <v>87</v>
      </c>
      <c r="K2896">
        <v>5638</v>
      </c>
      <c r="L2896">
        <v>66</v>
      </c>
      <c r="M2896">
        <v>61.5</v>
      </c>
      <c r="N2896">
        <v>2</v>
      </c>
      <c r="O2896">
        <v>42.07</v>
      </c>
      <c r="P2896">
        <f t="shared" si="180"/>
        <v>1.1706278822277403E-2</v>
      </c>
      <c r="Q2896">
        <f t="shared" si="180"/>
        <v>0.93181818181818177</v>
      </c>
      <c r="R2896">
        <f t="shared" si="181"/>
        <v>30.75</v>
      </c>
      <c r="S2896">
        <f t="shared" si="182"/>
        <v>0.68406504065040652</v>
      </c>
      <c r="T2896">
        <f t="shared" si="183"/>
        <v>3.0303030303030304E-2</v>
      </c>
      <c r="U2896" t="str">
        <f>YEAR('Campaign Data'!$A2896)&amp;"-"&amp;TEXT(MONTH('Campaign Data'!$A2896),"00")</f>
        <v>2026-06</v>
      </c>
    </row>
    <row r="2897" spans="1:21" x14ac:dyDescent="0.25">
      <c r="A2897">
        <v>46180</v>
      </c>
      <c r="B2897" t="s">
        <v>105</v>
      </c>
      <c r="C2897" t="s">
        <v>106</v>
      </c>
      <c r="D2897" t="s">
        <v>58</v>
      </c>
      <c r="E2897" t="s">
        <v>49</v>
      </c>
      <c r="F2897" t="s">
        <v>81</v>
      </c>
      <c r="G2897" t="s">
        <v>107</v>
      </c>
      <c r="H2897" t="s">
        <v>27</v>
      </c>
      <c r="I2897" t="s">
        <v>37</v>
      </c>
      <c r="J2897" t="s">
        <v>29</v>
      </c>
      <c r="K2897">
        <v>6672</v>
      </c>
      <c r="L2897">
        <v>343</v>
      </c>
      <c r="M2897">
        <v>689.88</v>
      </c>
      <c r="N2897">
        <v>19</v>
      </c>
      <c r="O2897">
        <v>595.30999999999995</v>
      </c>
      <c r="P2897">
        <f t="shared" si="180"/>
        <v>5.1408872901678657E-2</v>
      </c>
      <c r="Q2897">
        <f t="shared" si="180"/>
        <v>2.0113119533527697</v>
      </c>
      <c r="R2897">
        <f t="shared" si="181"/>
        <v>36.309473684210523</v>
      </c>
      <c r="S2897">
        <f t="shared" si="182"/>
        <v>0.8629181886704933</v>
      </c>
      <c r="T2897">
        <f t="shared" si="183"/>
        <v>5.5393586005830907E-2</v>
      </c>
      <c r="U2897" t="str">
        <f>YEAR('Campaign Data'!$A2897)&amp;"-"&amp;TEXT(MONTH('Campaign Data'!$A2897),"00")</f>
        <v>2026-06</v>
      </c>
    </row>
    <row r="2898" spans="1:21" x14ac:dyDescent="0.25">
      <c r="A2898">
        <v>46180</v>
      </c>
      <c r="B2898" t="s">
        <v>132</v>
      </c>
      <c r="C2898" t="s">
        <v>133</v>
      </c>
      <c r="D2898" t="s">
        <v>23</v>
      </c>
      <c r="E2898" t="s">
        <v>42</v>
      </c>
      <c r="F2898" t="s">
        <v>75</v>
      </c>
      <c r="G2898" t="s">
        <v>84</v>
      </c>
      <c r="H2898" t="s">
        <v>51</v>
      </c>
      <c r="I2898" t="s">
        <v>28</v>
      </c>
      <c r="J2898" t="s">
        <v>87</v>
      </c>
      <c r="K2898">
        <v>4006</v>
      </c>
      <c r="L2898">
        <v>16</v>
      </c>
      <c r="M2898">
        <v>96.19</v>
      </c>
      <c r="N2898">
        <v>0</v>
      </c>
      <c r="O2898">
        <v>0</v>
      </c>
      <c r="P2898">
        <f t="shared" si="180"/>
        <v>3.99400898652022E-3</v>
      </c>
      <c r="Q2898">
        <f t="shared" si="180"/>
        <v>6.0118749999999999</v>
      </c>
      <c r="R2898">
        <f t="shared" si="181"/>
        <v>0</v>
      </c>
      <c r="S2898">
        <f t="shared" si="182"/>
        <v>0</v>
      </c>
      <c r="T2898">
        <f t="shared" si="183"/>
        <v>0</v>
      </c>
      <c r="U2898" t="str">
        <f>YEAR('Campaign Data'!$A2898)&amp;"-"&amp;TEXT(MONTH('Campaign Data'!$A2898),"00")</f>
        <v>2026-06</v>
      </c>
    </row>
    <row r="2899" spans="1:21" x14ac:dyDescent="0.25">
      <c r="A2899">
        <v>46180</v>
      </c>
      <c r="B2899" t="s">
        <v>155</v>
      </c>
      <c r="C2899" t="s">
        <v>156</v>
      </c>
      <c r="D2899" t="s">
        <v>32</v>
      </c>
      <c r="E2899" t="s">
        <v>24</v>
      </c>
      <c r="F2899" t="s">
        <v>34</v>
      </c>
      <c r="G2899" t="s">
        <v>129</v>
      </c>
      <c r="H2899" t="s">
        <v>36</v>
      </c>
      <c r="I2899" t="s">
        <v>28</v>
      </c>
      <c r="J2899" t="s">
        <v>29</v>
      </c>
      <c r="K2899">
        <v>13260</v>
      </c>
      <c r="L2899">
        <v>176</v>
      </c>
      <c r="M2899">
        <v>203.08</v>
      </c>
      <c r="N2899">
        <v>4</v>
      </c>
      <c r="O2899">
        <v>498.33</v>
      </c>
      <c r="P2899">
        <f t="shared" si="180"/>
        <v>1.3273001508295626E-2</v>
      </c>
      <c r="Q2899">
        <f t="shared" si="180"/>
        <v>1.1538636363636365</v>
      </c>
      <c r="R2899">
        <f t="shared" si="181"/>
        <v>50.77</v>
      </c>
      <c r="S2899">
        <f t="shared" si="182"/>
        <v>2.4538605475674609</v>
      </c>
      <c r="T2899">
        <f t="shared" si="183"/>
        <v>2.2727272727272728E-2</v>
      </c>
      <c r="U2899" t="str">
        <f>YEAR('Campaign Data'!$A2899)&amp;"-"&amp;TEXT(MONTH('Campaign Data'!$A2899),"00")</f>
        <v>2026-06</v>
      </c>
    </row>
    <row r="2900" spans="1:21" x14ac:dyDescent="0.25">
      <c r="A2900">
        <v>46180</v>
      </c>
      <c r="B2900" t="s">
        <v>134</v>
      </c>
      <c r="C2900" t="s">
        <v>135</v>
      </c>
      <c r="D2900" t="s">
        <v>32</v>
      </c>
      <c r="E2900" t="s">
        <v>74</v>
      </c>
      <c r="F2900" t="s">
        <v>25</v>
      </c>
      <c r="G2900" t="s">
        <v>107</v>
      </c>
      <c r="H2900" t="s">
        <v>90</v>
      </c>
      <c r="I2900" t="s">
        <v>37</v>
      </c>
      <c r="J2900" t="s">
        <v>38</v>
      </c>
      <c r="K2900">
        <v>5213</v>
      </c>
      <c r="L2900">
        <v>125</v>
      </c>
      <c r="M2900">
        <v>38.47</v>
      </c>
      <c r="N2900">
        <v>7</v>
      </c>
      <c r="O2900">
        <v>199.66</v>
      </c>
      <c r="P2900">
        <f t="shared" si="180"/>
        <v>2.3978515250335699E-2</v>
      </c>
      <c r="Q2900">
        <f t="shared" si="180"/>
        <v>0.30775999999999998</v>
      </c>
      <c r="R2900">
        <f t="shared" si="181"/>
        <v>5.4957142857142856</v>
      </c>
      <c r="S2900">
        <f t="shared" si="182"/>
        <v>5.1900181959968812</v>
      </c>
      <c r="T2900">
        <f t="shared" si="183"/>
        <v>5.6000000000000001E-2</v>
      </c>
      <c r="U2900" t="str">
        <f>YEAR('Campaign Data'!$A2900)&amp;"-"&amp;TEXT(MONTH('Campaign Data'!$A2900),"00")</f>
        <v>2026-06</v>
      </c>
    </row>
    <row r="2901" spans="1:21" x14ac:dyDescent="0.25">
      <c r="A2901">
        <v>46180</v>
      </c>
      <c r="B2901" t="s">
        <v>161</v>
      </c>
      <c r="C2901" t="s">
        <v>162</v>
      </c>
      <c r="D2901" t="s">
        <v>48</v>
      </c>
      <c r="E2901" t="s">
        <v>74</v>
      </c>
      <c r="F2901" t="s">
        <v>34</v>
      </c>
      <c r="G2901" t="s">
        <v>107</v>
      </c>
      <c r="H2901" t="s">
        <v>60</v>
      </c>
      <c r="I2901" t="s">
        <v>37</v>
      </c>
      <c r="J2901" t="s">
        <v>38</v>
      </c>
      <c r="K2901">
        <v>9608</v>
      </c>
      <c r="L2901">
        <v>285</v>
      </c>
      <c r="M2901">
        <v>366</v>
      </c>
      <c r="N2901">
        <v>15</v>
      </c>
      <c r="O2901">
        <v>2059.92</v>
      </c>
      <c r="P2901">
        <f t="shared" si="180"/>
        <v>2.966278101582015E-2</v>
      </c>
      <c r="Q2901">
        <f t="shared" si="180"/>
        <v>1.2842105263157895</v>
      </c>
      <c r="R2901">
        <f t="shared" si="181"/>
        <v>24.4</v>
      </c>
      <c r="S2901">
        <f t="shared" si="182"/>
        <v>5.6281967213114754</v>
      </c>
      <c r="T2901">
        <f t="shared" si="183"/>
        <v>5.2631578947368418E-2</v>
      </c>
      <c r="U2901" t="str">
        <f>YEAR('Campaign Data'!$A2901)&amp;"-"&amp;TEXT(MONTH('Campaign Data'!$A2901),"00")</f>
        <v>2026-06</v>
      </c>
    </row>
    <row r="2902" spans="1:21" x14ac:dyDescent="0.25">
      <c r="A2902">
        <v>46180</v>
      </c>
      <c r="B2902" t="s">
        <v>56</v>
      </c>
      <c r="C2902" t="s">
        <v>57</v>
      </c>
      <c r="D2902" t="s">
        <v>58</v>
      </c>
      <c r="E2902" t="s">
        <v>33</v>
      </c>
      <c r="F2902" t="s">
        <v>43</v>
      </c>
      <c r="G2902" t="s">
        <v>59</v>
      </c>
      <c r="H2902" t="s">
        <v>90</v>
      </c>
      <c r="I2902" t="s">
        <v>37</v>
      </c>
      <c r="J2902" t="s">
        <v>45</v>
      </c>
      <c r="K2902">
        <v>3254</v>
      </c>
      <c r="L2902">
        <v>23</v>
      </c>
      <c r="M2902">
        <v>3.13</v>
      </c>
      <c r="N2902">
        <v>1</v>
      </c>
      <c r="O2902">
        <v>10.65</v>
      </c>
      <c r="P2902">
        <f t="shared" si="180"/>
        <v>7.0682237246465886E-3</v>
      </c>
      <c r="Q2902">
        <f t="shared" si="180"/>
        <v>0.13608695652173913</v>
      </c>
      <c r="R2902">
        <f t="shared" si="181"/>
        <v>3.13</v>
      </c>
      <c r="S2902">
        <f t="shared" si="182"/>
        <v>3.4025559105431311</v>
      </c>
      <c r="T2902">
        <f t="shared" si="183"/>
        <v>4.3478260869565216E-2</v>
      </c>
      <c r="U2902" t="str">
        <f>YEAR('Campaign Data'!$A2902)&amp;"-"&amp;TEXT(MONTH('Campaign Data'!$A2902),"00")</f>
        <v>2026-06</v>
      </c>
    </row>
    <row r="2903" spans="1:21" x14ac:dyDescent="0.25">
      <c r="A2903">
        <v>46180</v>
      </c>
      <c r="B2903" t="s">
        <v>141</v>
      </c>
      <c r="C2903" t="s">
        <v>142</v>
      </c>
      <c r="D2903" t="s">
        <v>80</v>
      </c>
      <c r="E2903" t="s">
        <v>49</v>
      </c>
      <c r="F2903" t="s">
        <v>81</v>
      </c>
      <c r="G2903" t="s">
        <v>97</v>
      </c>
      <c r="H2903" t="s">
        <v>36</v>
      </c>
      <c r="I2903" t="s">
        <v>37</v>
      </c>
      <c r="J2903" t="s">
        <v>87</v>
      </c>
      <c r="K2903">
        <v>2910</v>
      </c>
      <c r="L2903">
        <v>82</v>
      </c>
      <c r="M2903">
        <v>197.69</v>
      </c>
      <c r="N2903">
        <v>2</v>
      </c>
      <c r="O2903">
        <v>28.31</v>
      </c>
      <c r="P2903">
        <f t="shared" si="180"/>
        <v>2.8178694158075602E-2</v>
      </c>
      <c r="Q2903">
        <f t="shared" si="180"/>
        <v>2.4108536585365852</v>
      </c>
      <c r="R2903">
        <f t="shared" si="181"/>
        <v>98.844999999999999</v>
      </c>
      <c r="S2903">
        <f t="shared" si="182"/>
        <v>0.14320400627244675</v>
      </c>
      <c r="T2903">
        <f t="shared" si="183"/>
        <v>2.4390243902439025E-2</v>
      </c>
      <c r="U2903" t="str">
        <f>YEAR('Campaign Data'!$A2903)&amp;"-"&amp;TEXT(MONTH('Campaign Data'!$A2903),"00")</f>
        <v>2026-06</v>
      </c>
    </row>
    <row r="2904" spans="1:21" x14ac:dyDescent="0.25">
      <c r="A2904">
        <v>46180</v>
      </c>
      <c r="B2904" t="s">
        <v>72</v>
      </c>
      <c r="C2904" t="s">
        <v>73</v>
      </c>
      <c r="D2904" t="s">
        <v>69</v>
      </c>
      <c r="E2904" t="s">
        <v>74</v>
      </c>
      <c r="F2904" t="s">
        <v>75</v>
      </c>
      <c r="G2904" t="s">
        <v>9</v>
      </c>
      <c r="H2904" t="s">
        <v>27</v>
      </c>
      <c r="I2904" t="s">
        <v>37</v>
      </c>
      <c r="J2904" t="s">
        <v>62</v>
      </c>
      <c r="K2904">
        <v>8215</v>
      </c>
      <c r="L2904">
        <v>305</v>
      </c>
      <c r="M2904">
        <v>658.49</v>
      </c>
      <c r="N2904">
        <v>28</v>
      </c>
      <c r="O2904">
        <v>1025.45</v>
      </c>
      <c r="P2904">
        <f t="shared" si="180"/>
        <v>3.7127206329884359E-2</v>
      </c>
      <c r="Q2904">
        <f t="shared" si="180"/>
        <v>2.1589836065573769</v>
      </c>
      <c r="R2904">
        <f t="shared" si="181"/>
        <v>23.517500000000002</v>
      </c>
      <c r="S2904">
        <f t="shared" si="182"/>
        <v>1.5572749776002672</v>
      </c>
      <c r="T2904">
        <f t="shared" si="183"/>
        <v>9.1803278688524587E-2</v>
      </c>
      <c r="U2904" t="str">
        <f>YEAR('Campaign Data'!$A2904)&amp;"-"&amp;TEXT(MONTH('Campaign Data'!$A2904),"00")</f>
        <v>2026-06</v>
      </c>
    </row>
    <row r="2905" spans="1:21" x14ac:dyDescent="0.25">
      <c r="A2905">
        <v>46180</v>
      </c>
      <c r="B2905" t="s">
        <v>116</v>
      </c>
      <c r="C2905" t="s">
        <v>117</v>
      </c>
      <c r="D2905" t="s">
        <v>48</v>
      </c>
      <c r="E2905" t="s">
        <v>24</v>
      </c>
      <c r="F2905" t="s">
        <v>43</v>
      </c>
      <c r="G2905" t="s">
        <v>26</v>
      </c>
      <c r="H2905" t="s">
        <v>90</v>
      </c>
      <c r="I2905" t="s">
        <v>37</v>
      </c>
      <c r="J2905" t="s">
        <v>87</v>
      </c>
      <c r="K2905">
        <v>7124</v>
      </c>
      <c r="L2905">
        <v>85</v>
      </c>
      <c r="M2905">
        <v>21.71</v>
      </c>
      <c r="N2905">
        <v>3</v>
      </c>
      <c r="O2905">
        <v>23.54</v>
      </c>
      <c r="P2905">
        <f t="shared" si="180"/>
        <v>1.193149915777653E-2</v>
      </c>
      <c r="Q2905">
        <f t="shared" si="180"/>
        <v>0.25541176470588234</v>
      </c>
      <c r="R2905">
        <f t="shared" si="181"/>
        <v>7.2366666666666672</v>
      </c>
      <c r="S2905">
        <f t="shared" si="182"/>
        <v>1.0842929525564255</v>
      </c>
      <c r="T2905">
        <f t="shared" si="183"/>
        <v>3.5294117647058823E-2</v>
      </c>
      <c r="U2905" t="str">
        <f>YEAR('Campaign Data'!$A2905)&amp;"-"&amp;TEXT(MONTH('Campaign Data'!$A2905),"00")</f>
        <v>2026-06</v>
      </c>
    </row>
    <row r="2906" spans="1:21" x14ac:dyDescent="0.25">
      <c r="A2906">
        <v>46180</v>
      </c>
      <c r="B2906" t="s">
        <v>82</v>
      </c>
      <c r="C2906" t="s">
        <v>83</v>
      </c>
      <c r="D2906" t="s">
        <v>80</v>
      </c>
      <c r="E2906" t="s">
        <v>42</v>
      </c>
      <c r="F2906" t="s">
        <v>34</v>
      </c>
      <c r="G2906" t="s">
        <v>84</v>
      </c>
      <c r="H2906" t="s">
        <v>90</v>
      </c>
      <c r="I2906" t="s">
        <v>37</v>
      </c>
      <c r="J2906" t="s">
        <v>29</v>
      </c>
      <c r="K2906">
        <v>9504</v>
      </c>
      <c r="L2906">
        <v>73</v>
      </c>
      <c r="M2906">
        <v>81.75</v>
      </c>
      <c r="N2906">
        <v>2</v>
      </c>
      <c r="O2906">
        <v>85.57</v>
      </c>
      <c r="P2906">
        <f t="shared" si="180"/>
        <v>7.6809764309764307E-3</v>
      </c>
      <c r="Q2906">
        <f t="shared" si="180"/>
        <v>1.1198630136986301</v>
      </c>
      <c r="R2906">
        <f t="shared" si="181"/>
        <v>40.875</v>
      </c>
      <c r="S2906">
        <f t="shared" si="182"/>
        <v>1.0467278287461772</v>
      </c>
      <c r="T2906">
        <f t="shared" si="183"/>
        <v>2.7397260273972601E-2</v>
      </c>
      <c r="U2906" t="str">
        <f>YEAR('Campaign Data'!$A2906)&amp;"-"&amp;TEXT(MONTH('Campaign Data'!$A2906),"00")</f>
        <v>2026-06</v>
      </c>
    </row>
    <row r="2907" spans="1:21" x14ac:dyDescent="0.25">
      <c r="A2907">
        <v>46181</v>
      </c>
      <c r="B2907" t="s">
        <v>175</v>
      </c>
      <c r="C2907" t="s">
        <v>176</v>
      </c>
      <c r="D2907" t="s">
        <v>65</v>
      </c>
      <c r="E2907" t="s">
        <v>49</v>
      </c>
      <c r="F2907" t="s">
        <v>75</v>
      </c>
      <c r="G2907" t="s">
        <v>70</v>
      </c>
      <c r="H2907" t="s">
        <v>36</v>
      </c>
      <c r="I2907" t="s">
        <v>37</v>
      </c>
      <c r="J2907" t="s">
        <v>45</v>
      </c>
      <c r="K2907">
        <v>11876</v>
      </c>
      <c r="L2907">
        <v>369</v>
      </c>
      <c r="M2907">
        <v>741.1</v>
      </c>
      <c r="N2907">
        <v>1</v>
      </c>
      <c r="O2907">
        <v>51.37</v>
      </c>
      <c r="P2907">
        <f t="shared" si="180"/>
        <v>3.1071067699562142E-2</v>
      </c>
      <c r="Q2907">
        <f t="shared" si="180"/>
        <v>2.0084010840108402</v>
      </c>
      <c r="R2907">
        <f t="shared" si="181"/>
        <v>741.1</v>
      </c>
      <c r="S2907">
        <f t="shared" si="182"/>
        <v>6.9315881797328296E-2</v>
      </c>
      <c r="T2907">
        <f t="shared" si="183"/>
        <v>2.7100271002710027E-3</v>
      </c>
      <c r="U2907" t="str">
        <f>YEAR('Campaign Data'!$A2907)&amp;"-"&amp;TEXT(MONTH('Campaign Data'!$A2907),"00")</f>
        <v>2026-06</v>
      </c>
    </row>
    <row r="2908" spans="1:21" x14ac:dyDescent="0.25">
      <c r="A2908">
        <v>46181</v>
      </c>
      <c r="B2908" t="s">
        <v>88</v>
      </c>
      <c r="C2908" t="s">
        <v>89</v>
      </c>
      <c r="D2908" t="s">
        <v>23</v>
      </c>
      <c r="E2908" t="s">
        <v>49</v>
      </c>
      <c r="F2908" t="s">
        <v>81</v>
      </c>
      <c r="G2908" t="s">
        <v>50</v>
      </c>
      <c r="H2908" t="s">
        <v>51</v>
      </c>
      <c r="I2908" t="s">
        <v>37</v>
      </c>
      <c r="J2908" t="s">
        <v>87</v>
      </c>
      <c r="K2908">
        <v>18494</v>
      </c>
      <c r="L2908">
        <v>980</v>
      </c>
      <c r="M2908">
        <v>1635.89</v>
      </c>
      <c r="N2908">
        <v>69</v>
      </c>
      <c r="O2908">
        <v>1456.1</v>
      </c>
      <c r="P2908">
        <f t="shared" si="180"/>
        <v>5.299015897047691E-2</v>
      </c>
      <c r="Q2908">
        <f t="shared" si="180"/>
        <v>1.6692755102040817</v>
      </c>
      <c r="R2908">
        <f t="shared" si="181"/>
        <v>23.708550724637682</v>
      </c>
      <c r="S2908">
        <f t="shared" si="182"/>
        <v>0.89009652238231163</v>
      </c>
      <c r="T2908">
        <f t="shared" si="183"/>
        <v>7.040816326530612E-2</v>
      </c>
      <c r="U2908" t="str">
        <f>YEAR('Campaign Data'!$A2908)&amp;"-"&amp;TEXT(MONTH('Campaign Data'!$A2908),"00")</f>
        <v>2026-06</v>
      </c>
    </row>
    <row r="2909" spans="1:21" x14ac:dyDescent="0.25">
      <c r="A2909">
        <v>46181</v>
      </c>
      <c r="B2909" t="s">
        <v>125</v>
      </c>
      <c r="C2909" t="s">
        <v>126</v>
      </c>
      <c r="D2909" t="s">
        <v>41</v>
      </c>
      <c r="E2909" t="s">
        <v>42</v>
      </c>
      <c r="F2909" t="s">
        <v>81</v>
      </c>
      <c r="G2909" t="s">
        <v>44</v>
      </c>
      <c r="H2909" t="s">
        <v>60</v>
      </c>
      <c r="I2909" t="s">
        <v>37</v>
      </c>
      <c r="J2909" t="s">
        <v>45</v>
      </c>
      <c r="K2909">
        <v>4744</v>
      </c>
      <c r="L2909">
        <v>22</v>
      </c>
      <c r="M2909">
        <v>134.15</v>
      </c>
      <c r="N2909">
        <v>0</v>
      </c>
      <c r="O2909">
        <v>0</v>
      </c>
      <c r="P2909">
        <f t="shared" si="180"/>
        <v>4.6374367622259698E-3</v>
      </c>
      <c r="Q2909">
        <f t="shared" si="180"/>
        <v>6.0977272727272727</v>
      </c>
      <c r="R2909">
        <f t="shared" si="181"/>
        <v>0</v>
      </c>
      <c r="S2909">
        <f t="shared" si="182"/>
        <v>0</v>
      </c>
      <c r="T2909">
        <f t="shared" si="183"/>
        <v>0</v>
      </c>
      <c r="U2909" t="str">
        <f>YEAR('Campaign Data'!$A2909)&amp;"-"&amp;TEXT(MONTH('Campaign Data'!$A2909),"00")</f>
        <v>2026-06</v>
      </c>
    </row>
    <row r="2910" spans="1:21" x14ac:dyDescent="0.25">
      <c r="A2910">
        <v>46181</v>
      </c>
      <c r="B2910" t="s">
        <v>91</v>
      </c>
      <c r="C2910" t="s">
        <v>92</v>
      </c>
      <c r="D2910" t="s">
        <v>41</v>
      </c>
      <c r="E2910" t="s">
        <v>74</v>
      </c>
      <c r="F2910" t="s">
        <v>75</v>
      </c>
      <c r="G2910" t="s">
        <v>9</v>
      </c>
      <c r="H2910" t="s">
        <v>51</v>
      </c>
      <c r="I2910" t="s">
        <v>37</v>
      </c>
      <c r="J2910" t="s">
        <v>87</v>
      </c>
      <c r="K2910">
        <v>2176</v>
      </c>
      <c r="L2910">
        <v>74</v>
      </c>
      <c r="M2910">
        <v>69.36</v>
      </c>
      <c r="N2910">
        <v>3</v>
      </c>
      <c r="O2910">
        <v>142.4</v>
      </c>
      <c r="P2910">
        <f t="shared" si="180"/>
        <v>3.4007352941176468E-2</v>
      </c>
      <c r="Q2910">
        <f t="shared" si="180"/>
        <v>0.93729729729729727</v>
      </c>
      <c r="R2910">
        <f t="shared" si="181"/>
        <v>23.12</v>
      </c>
      <c r="S2910">
        <f t="shared" si="182"/>
        <v>2.0530565167243369</v>
      </c>
      <c r="T2910">
        <f t="shared" si="183"/>
        <v>4.0540540540540543E-2</v>
      </c>
      <c r="U2910" t="str">
        <f>YEAR('Campaign Data'!$A2910)&amp;"-"&amp;TEXT(MONTH('Campaign Data'!$A2910),"00")</f>
        <v>2026-06</v>
      </c>
    </row>
    <row r="2911" spans="1:21" x14ac:dyDescent="0.25">
      <c r="A2911">
        <v>46181</v>
      </c>
      <c r="B2911" t="s">
        <v>186</v>
      </c>
      <c r="C2911" t="s">
        <v>187</v>
      </c>
      <c r="D2911" t="s">
        <v>80</v>
      </c>
      <c r="E2911" t="s">
        <v>33</v>
      </c>
      <c r="F2911" t="s">
        <v>43</v>
      </c>
      <c r="G2911" t="s">
        <v>102</v>
      </c>
      <c r="H2911" t="s">
        <v>90</v>
      </c>
      <c r="I2911" t="s">
        <v>37</v>
      </c>
      <c r="J2911" t="s">
        <v>62</v>
      </c>
      <c r="K2911">
        <v>2330</v>
      </c>
      <c r="L2911">
        <v>27</v>
      </c>
      <c r="M2911">
        <v>2.91</v>
      </c>
      <c r="N2911">
        <v>0</v>
      </c>
      <c r="O2911">
        <v>0</v>
      </c>
      <c r="P2911">
        <f t="shared" si="180"/>
        <v>1.1587982832618025E-2</v>
      </c>
      <c r="Q2911">
        <f t="shared" si="180"/>
        <v>0.10777777777777778</v>
      </c>
      <c r="R2911">
        <f t="shared" si="181"/>
        <v>0</v>
      </c>
      <c r="S2911">
        <f t="shared" si="182"/>
        <v>0</v>
      </c>
      <c r="T2911">
        <f t="shared" si="183"/>
        <v>0</v>
      </c>
      <c r="U2911" t="str">
        <f>YEAR('Campaign Data'!$A2911)&amp;"-"&amp;TEXT(MONTH('Campaign Data'!$A2911),"00")</f>
        <v>2026-06</v>
      </c>
    </row>
    <row r="2912" spans="1:21" x14ac:dyDescent="0.25">
      <c r="A2912">
        <v>46181</v>
      </c>
      <c r="B2912" t="s">
        <v>93</v>
      </c>
      <c r="C2912" t="s">
        <v>94</v>
      </c>
      <c r="D2912" t="s">
        <v>69</v>
      </c>
      <c r="E2912" t="s">
        <v>42</v>
      </c>
      <c r="F2912" t="s">
        <v>75</v>
      </c>
      <c r="G2912" t="s">
        <v>44</v>
      </c>
      <c r="H2912" t="s">
        <v>27</v>
      </c>
      <c r="I2912" t="s">
        <v>37</v>
      </c>
      <c r="J2912" t="s">
        <v>62</v>
      </c>
      <c r="K2912">
        <v>3892</v>
      </c>
      <c r="L2912">
        <v>23</v>
      </c>
      <c r="M2912">
        <v>129.59</v>
      </c>
      <c r="N2912">
        <v>0</v>
      </c>
      <c r="O2912">
        <v>0</v>
      </c>
      <c r="P2912">
        <f t="shared" si="180"/>
        <v>5.9095580678314493E-3</v>
      </c>
      <c r="Q2912">
        <f t="shared" si="180"/>
        <v>5.6343478260869571</v>
      </c>
      <c r="R2912">
        <f t="shared" si="181"/>
        <v>0</v>
      </c>
      <c r="S2912">
        <f t="shared" si="182"/>
        <v>0</v>
      </c>
      <c r="T2912">
        <f t="shared" si="183"/>
        <v>0</v>
      </c>
      <c r="U2912" t="str">
        <f>YEAR('Campaign Data'!$A2912)&amp;"-"&amp;TEXT(MONTH('Campaign Data'!$A2912),"00")</f>
        <v>2026-06</v>
      </c>
    </row>
    <row r="2913" spans="1:21" x14ac:dyDescent="0.25">
      <c r="A2913">
        <v>46181</v>
      </c>
      <c r="B2913" t="s">
        <v>151</v>
      </c>
      <c r="C2913" t="s">
        <v>152</v>
      </c>
      <c r="D2913" t="s">
        <v>48</v>
      </c>
      <c r="E2913" t="s">
        <v>24</v>
      </c>
      <c r="F2913" t="s">
        <v>81</v>
      </c>
      <c r="G2913" t="s">
        <v>129</v>
      </c>
      <c r="H2913" t="s">
        <v>51</v>
      </c>
      <c r="I2913" t="s">
        <v>37</v>
      </c>
      <c r="J2913" t="s">
        <v>62</v>
      </c>
      <c r="K2913">
        <v>7199</v>
      </c>
      <c r="L2913">
        <v>137</v>
      </c>
      <c r="M2913">
        <v>150.55000000000001</v>
      </c>
      <c r="N2913">
        <v>3</v>
      </c>
      <c r="O2913">
        <v>29.84</v>
      </c>
      <c r="P2913">
        <f t="shared" si="180"/>
        <v>1.9030420891790526E-2</v>
      </c>
      <c r="Q2913">
        <f t="shared" si="180"/>
        <v>1.0989051094890512</v>
      </c>
      <c r="R2913">
        <f t="shared" si="181"/>
        <v>50.183333333333337</v>
      </c>
      <c r="S2913">
        <f t="shared" si="182"/>
        <v>0.19820657588840915</v>
      </c>
      <c r="T2913">
        <f t="shared" si="183"/>
        <v>2.1897810218978103E-2</v>
      </c>
      <c r="U2913" t="str">
        <f>YEAR('Campaign Data'!$A2913)&amp;"-"&amp;TEXT(MONTH('Campaign Data'!$A2913),"00")</f>
        <v>2026-06</v>
      </c>
    </row>
    <row r="2914" spans="1:21" x14ac:dyDescent="0.25">
      <c r="A2914">
        <v>46181</v>
      </c>
      <c r="B2914" t="s">
        <v>151</v>
      </c>
      <c r="C2914" t="s">
        <v>152</v>
      </c>
      <c r="D2914" t="s">
        <v>48</v>
      </c>
      <c r="E2914" t="s">
        <v>24</v>
      </c>
      <c r="F2914" t="s">
        <v>81</v>
      </c>
      <c r="G2914" t="s">
        <v>129</v>
      </c>
      <c r="H2914" t="s">
        <v>60</v>
      </c>
      <c r="I2914" t="s">
        <v>61</v>
      </c>
      <c r="J2914" t="s">
        <v>38</v>
      </c>
      <c r="K2914">
        <v>11906</v>
      </c>
      <c r="L2914">
        <v>157</v>
      </c>
      <c r="M2914">
        <v>158.94999999999999</v>
      </c>
      <c r="N2914">
        <v>1</v>
      </c>
      <c r="O2914">
        <v>26.38</v>
      </c>
      <c r="P2914">
        <f t="shared" si="180"/>
        <v>1.3186628590626574E-2</v>
      </c>
      <c r="Q2914">
        <f t="shared" si="180"/>
        <v>1.012420382165605</v>
      </c>
      <c r="R2914">
        <f t="shared" si="181"/>
        <v>158.94999999999999</v>
      </c>
      <c r="S2914">
        <f t="shared" si="182"/>
        <v>0.16596413966656182</v>
      </c>
      <c r="T2914">
        <f t="shared" si="183"/>
        <v>6.369426751592357E-3</v>
      </c>
      <c r="U2914" t="str">
        <f>YEAR('Campaign Data'!$A2914)&amp;"-"&amp;TEXT(MONTH('Campaign Data'!$A2914),"00")</f>
        <v>2026-06</v>
      </c>
    </row>
    <row r="2915" spans="1:21" x14ac:dyDescent="0.25">
      <c r="A2915">
        <v>46181</v>
      </c>
      <c r="B2915" t="s">
        <v>98</v>
      </c>
      <c r="C2915" t="s">
        <v>99</v>
      </c>
      <c r="D2915" t="s">
        <v>69</v>
      </c>
      <c r="E2915" t="s">
        <v>24</v>
      </c>
      <c r="F2915" t="s">
        <v>75</v>
      </c>
      <c r="G2915" t="s">
        <v>66</v>
      </c>
      <c r="H2915" t="s">
        <v>71</v>
      </c>
      <c r="I2915" t="s">
        <v>37</v>
      </c>
      <c r="J2915" t="s">
        <v>87</v>
      </c>
      <c r="K2915">
        <v>1683</v>
      </c>
      <c r="L2915">
        <v>14</v>
      </c>
      <c r="M2915">
        <v>15.27</v>
      </c>
      <c r="N2915">
        <v>0</v>
      </c>
      <c r="O2915">
        <v>0</v>
      </c>
      <c r="P2915">
        <f t="shared" si="180"/>
        <v>8.3184789067142009E-3</v>
      </c>
      <c r="Q2915">
        <f t="shared" si="180"/>
        <v>1.0907142857142857</v>
      </c>
      <c r="R2915">
        <f t="shared" si="181"/>
        <v>0</v>
      </c>
      <c r="S2915">
        <f t="shared" si="182"/>
        <v>0</v>
      </c>
      <c r="T2915">
        <f t="shared" si="183"/>
        <v>0</v>
      </c>
      <c r="U2915" t="str">
        <f>YEAR('Campaign Data'!$A2915)&amp;"-"&amp;TEXT(MONTH('Campaign Data'!$A2915),"00")</f>
        <v>2026-06</v>
      </c>
    </row>
    <row r="2916" spans="1:21" x14ac:dyDescent="0.25">
      <c r="A2916">
        <v>46181</v>
      </c>
      <c r="B2916" t="s">
        <v>127</v>
      </c>
      <c r="C2916" t="s">
        <v>128</v>
      </c>
      <c r="D2916" t="s">
        <v>58</v>
      </c>
      <c r="E2916" t="s">
        <v>24</v>
      </c>
      <c r="F2916" t="s">
        <v>81</v>
      </c>
      <c r="G2916" t="s">
        <v>129</v>
      </c>
      <c r="H2916" t="s">
        <v>51</v>
      </c>
      <c r="I2916" t="s">
        <v>28</v>
      </c>
      <c r="J2916" t="s">
        <v>87</v>
      </c>
      <c r="K2916">
        <v>3643</v>
      </c>
      <c r="L2916">
        <v>53</v>
      </c>
      <c r="M2916">
        <v>49.53</v>
      </c>
      <c r="N2916">
        <v>0</v>
      </c>
      <c r="O2916">
        <v>0</v>
      </c>
      <c r="P2916">
        <f t="shared" si="180"/>
        <v>1.4548449080428218E-2</v>
      </c>
      <c r="Q2916">
        <f t="shared" si="180"/>
        <v>0.93452830188679248</v>
      </c>
      <c r="R2916">
        <f t="shared" si="181"/>
        <v>0</v>
      </c>
      <c r="S2916">
        <f t="shared" si="182"/>
        <v>0</v>
      </c>
      <c r="T2916">
        <f t="shared" si="183"/>
        <v>0</v>
      </c>
      <c r="U2916" t="str">
        <f>YEAR('Campaign Data'!$A2916)&amp;"-"&amp;TEXT(MONTH('Campaign Data'!$A2916),"00")</f>
        <v>2026-06</v>
      </c>
    </row>
    <row r="2917" spans="1:21" x14ac:dyDescent="0.25">
      <c r="A2917">
        <v>46181</v>
      </c>
      <c r="B2917" t="s">
        <v>103</v>
      </c>
      <c r="C2917" t="s">
        <v>104</v>
      </c>
      <c r="D2917" t="s">
        <v>65</v>
      </c>
      <c r="E2917" t="s">
        <v>33</v>
      </c>
      <c r="F2917" t="s">
        <v>43</v>
      </c>
      <c r="G2917" t="s">
        <v>102</v>
      </c>
      <c r="H2917" t="s">
        <v>60</v>
      </c>
      <c r="I2917" t="s">
        <v>37</v>
      </c>
      <c r="J2917" t="s">
        <v>38</v>
      </c>
      <c r="K2917">
        <v>28575</v>
      </c>
      <c r="L2917">
        <v>258</v>
      </c>
      <c r="M2917">
        <v>148.24</v>
      </c>
      <c r="N2917">
        <v>2</v>
      </c>
      <c r="O2917">
        <v>53.3</v>
      </c>
      <c r="P2917">
        <f t="shared" si="180"/>
        <v>9.028871391076115E-3</v>
      </c>
      <c r="Q2917">
        <f t="shared" si="180"/>
        <v>0.57457364341085271</v>
      </c>
      <c r="R2917">
        <f t="shared" si="181"/>
        <v>74.12</v>
      </c>
      <c r="S2917">
        <f t="shared" si="182"/>
        <v>0.35955207771181863</v>
      </c>
      <c r="T2917">
        <f t="shared" si="183"/>
        <v>7.7519379844961239E-3</v>
      </c>
      <c r="U2917" t="str">
        <f>YEAR('Campaign Data'!$A2917)&amp;"-"&amp;TEXT(MONTH('Campaign Data'!$A2917),"00")</f>
        <v>2026-06</v>
      </c>
    </row>
    <row r="2918" spans="1:21" x14ac:dyDescent="0.25">
      <c r="A2918">
        <v>46181</v>
      </c>
      <c r="B2918" t="s">
        <v>161</v>
      </c>
      <c r="C2918" t="s">
        <v>162</v>
      </c>
      <c r="D2918" t="s">
        <v>48</v>
      </c>
      <c r="E2918" t="s">
        <v>74</v>
      </c>
      <c r="F2918" t="s">
        <v>34</v>
      </c>
      <c r="G2918" t="s">
        <v>107</v>
      </c>
      <c r="H2918" t="s">
        <v>27</v>
      </c>
      <c r="I2918" t="s">
        <v>28</v>
      </c>
      <c r="J2918" t="s">
        <v>38</v>
      </c>
      <c r="K2918">
        <v>1976</v>
      </c>
      <c r="L2918">
        <v>77</v>
      </c>
      <c r="M2918">
        <v>92.79</v>
      </c>
      <c r="N2918">
        <v>5</v>
      </c>
      <c r="O2918">
        <v>903.53</v>
      </c>
      <c r="P2918">
        <f t="shared" si="180"/>
        <v>3.8967611336032389E-2</v>
      </c>
      <c r="Q2918">
        <f t="shared" si="180"/>
        <v>1.2050649350649352</v>
      </c>
      <c r="R2918">
        <f t="shared" si="181"/>
        <v>18.558</v>
      </c>
      <c r="S2918">
        <f t="shared" si="182"/>
        <v>9.7373639400797494</v>
      </c>
      <c r="T2918">
        <f t="shared" si="183"/>
        <v>6.4935064935064929E-2</v>
      </c>
      <c r="U2918" t="str">
        <f>YEAR('Campaign Data'!$A2918)&amp;"-"&amp;TEXT(MONTH('Campaign Data'!$A2918),"00")</f>
        <v>2026-06</v>
      </c>
    </row>
    <row r="2919" spans="1:21" x14ac:dyDescent="0.25">
      <c r="A2919">
        <v>46181</v>
      </c>
      <c r="B2919" t="s">
        <v>143</v>
      </c>
      <c r="C2919" t="s">
        <v>144</v>
      </c>
      <c r="D2919" t="s">
        <v>48</v>
      </c>
      <c r="E2919" t="s">
        <v>42</v>
      </c>
      <c r="F2919" t="s">
        <v>25</v>
      </c>
      <c r="G2919" t="s">
        <v>84</v>
      </c>
      <c r="H2919" t="s">
        <v>51</v>
      </c>
      <c r="I2919" t="s">
        <v>37</v>
      </c>
      <c r="J2919" t="s">
        <v>38</v>
      </c>
      <c r="K2919">
        <v>5030</v>
      </c>
      <c r="L2919">
        <v>16</v>
      </c>
      <c r="M2919">
        <v>95.2</v>
      </c>
      <c r="N2919">
        <v>1</v>
      </c>
      <c r="O2919">
        <v>174.7</v>
      </c>
      <c r="P2919">
        <f t="shared" si="180"/>
        <v>3.1809145129224653E-3</v>
      </c>
      <c r="Q2919">
        <f t="shared" si="180"/>
        <v>5.95</v>
      </c>
      <c r="R2919">
        <f t="shared" si="181"/>
        <v>95.2</v>
      </c>
      <c r="S2919">
        <f t="shared" si="182"/>
        <v>1.8350840336134453</v>
      </c>
      <c r="T2919">
        <f t="shared" si="183"/>
        <v>6.25E-2</v>
      </c>
      <c r="U2919" t="str">
        <f>YEAR('Campaign Data'!$A2919)&amp;"-"&amp;TEXT(MONTH('Campaign Data'!$A2919),"00")</f>
        <v>2026-06</v>
      </c>
    </row>
    <row r="2920" spans="1:21" x14ac:dyDescent="0.25">
      <c r="A2920">
        <v>46181</v>
      </c>
      <c r="B2920" t="s">
        <v>143</v>
      </c>
      <c r="C2920" t="s">
        <v>144</v>
      </c>
      <c r="D2920" t="s">
        <v>48</v>
      </c>
      <c r="E2920" t="s">
        <v>42</v>
      </c>
      <c r="F2920" t="s">
        <v>25</v>
      </c>
      <c r="G2920" t="s">
        <v>84</v>
      </c>
      <c r="H2920" t="s">
        <v>90</v>
      </c>
      <c r="I2920" t="s">
        <v>37</v>
      </c>
      <c r="J2920" t="s">
        <v>62</v>
      </c>
      <c r="K2920">
        <v>6462</v>
      </c>
      <c r="L2920">
        <v>57</v>
      </c>
      <c r="M2920">
        <v>43.17</v>
      </c>
      <c r="N2920">
        <v>4</v>
      </c>
      <c r="O2920">
        <v>119.53</v>
      </c>
      <c r="P2920">
        <f t="shared" si="180"/>
        <v>8.820798514391829E-3</v>
      </c>
      <c r="Q2920">
        <f t="shared" si="180"/>
        <v>0.75736842105263158</v>
      </c>
      <c r="R2920">
        <f t="shared" si="181"/>
        <v>10.7925</v>
      </c>
      <c r="S2920">
        <f t="shared" si="182"/>
        <v>2.7688209404679176</v>
      </c>
      <c r="T2920">
        <f t="shared" si="183"/>
        <v>7.0175438596491224E-2</v>
      </c>
      <c r="U2920" t="str">
        <f>YEAR('Campaign Data'!$A2920)&amp;"-"&amp;TEXT(MONTH('Campaign Data'!$A2920),"00")</f>
        <v>2026-06</v>
      </c>
    </row>
    <row r="2921" spans="1:21" x14ac:dyDescent="0.25">
      <c r="A2921">
        <v>46181</v>
      </c>
      <c r="B2921" t="s">
        <v>183</v>
      </c>
      <c r="C2921" t="s">
        <v>184</v>
      </c>
      <c r="D2921" t="s">
        <v>23</v>
      </c>
      <c r="E2921" t="s">
        <v>24</v>
      </c>
      <c r="F2921" t="s">
        <v>81</v>
      </c>
      <c r="G2921" t="s">
        <v>185</v>
      </c>
      <c r="H2921" t="s">
        <v>90</v>
      </c>
      <c r="I2921" t="s">
        <v>37</v>
      </c>
      <c r="J2921" t="s">
        <v>45</v>
      </c>
      <c r="K2921">
        <v>3692</v>
      </c>
      <c r="L2921">
        <v>42</v>
      </c>
      <c r="M2921">
        <v>10.199999999999999</v>
      </c>
      <c r="N2921">
        <v>0</v>
      </c>
      <c r="O2921">
        <v>0</v>
      </c>
      <c r="P2921">
        <f t="shared" si="180"/>
        <v>1.1375947995666305E-2</v>
      </c>
      <c r="Q2921">
        <f t="shared" si="180"/>
        <v>0.24285714285714283</v>
      </c>
      <c r="R2921">
        <f t="shared" si="181"/>
        <v>0</v>
      </c>
      <c r="S2921">
        <f t="shared" si="182"/>
        <v>0</v>
      </c>
      <c r="T2921">
        <f t="shared" si="183"/>
        <v>0</v>
      </c>
      <c r="U2921" t="str">
        <f>YEAR('Campaign Data'!$A2921)&amp;"-"&amp;TEXT(MONTH('Campaign Data'!$A2921),"00")</f>
        <v>2026-06</v>
      </c>
    </row>
    <row r="2922" spans="1:21" x14ac:dyDescent="0.25">
      <c r="A2922">
        <v>46181</v>
      </c>
      <c r="B2922" t="s">
        <v>163</v>
      </c>
      <c r="C2922" t="s">
        <v>164</v>
      </c>
      <c r="D2922" t="s">
        <v>58</v>
      </c>
      <c r="E2922" t="s">
        <v>42</v>
      </c>
      <c r="F2922" t="s">
        <v>43</v>
      </c>
      <c r="G2922" t="s">
        <v>44</v>
      </c>
      <c r="H2922" t="s">
        <v>51</v>
      </c>
      <c r="I2922" t="s">
        <v>37</v>
      </c>
      <c r="J2922" t="s">
        <v>45</v>
      </c>
      <c r="K2922">
        <v>2404</v>
      </c>
      <c r="L2922">
        <v>13</v>
      </c>
      <c r="M2922">
        <v>73.31</v>
      </c>
      <c r="N2922">
        <v>1</v>
      </c>
      <c r="O2922">
        <v>33.94</v>
      </c>
      <c r="P2922">
        <f t="shared" si="180"/>
        <v>5.4076539101497508E-3</v>
      </c>
      <c r="Q2922">
        <f t="shared" si="180"/>
        <v>5.6392307692307693</v>
      </c>
      <c r="R2922">
        <f t="shared" si="181"/>
        <v>73.31</v>
      </c>
      <c r="S2922">
        <f t="shared" si="182"/>
        <v>0.46296548901923334</v>
      </c>
      <c r="T2922">
        <f t="shared" si="183"/>
        <v>7.6923076923076927E-2</v>
      </c>
      <c r="U2922" t="str">
        <f>YEAR('Campaign Data'!$A2922)&amp;"-"&amp;TEXT(MONTH('Campaign Data'!$A2922),"00")</f>
        <v>2026-06</v>
      </c>
    </row>
    <row r="2923" spans="1:21" x14ac:dyDescent="0.25">
      <c r="A2923">
        <v>46182</v>
      </c>
      <c r="B2923" t="s">
        <v>165</v>
      </c>
      <c r="C2923" t="s">
        <v>166</v>
      </c>
      <c r="D2923" t="s">
        <v>41</v>
      </c>
      <c r="E2923" t="s">
        <v>33</v>
      </c>
      <c r="F2923" t="s">
        <v>43</v>
      </c>
      <c r="G2923" t="s">
        <v>59</v>
      </c>
      <c r="H2923" t="s">
        <v>90</v>
      </c>
      <c r="I2923" t="s">
        <v>28</v>
      </c>
      <c r="J2923" t="s">
        <v>45</v>
      </c>
      <c r="K2923">
        <v>2487</v>
      </c>
      <c r="L2923">
        <v>24</v>
      </c>
      <c r="M2923">
        <v>3.72</v>
      </c>
      <c r="N2923">
        <v>0</v>
      </c>
      <c r="O2923">
        <v>0</v>
      </c>
      <c r="P2923">
        <f t="shared" si="180"/>
        <v>9.6501809408926411E-3</v>
      </c>
      <c r="Q2923">
        <f t="shared" si="180"/>
        <v>0.155</v>
      </c>
      <c r="R2923">
        <f t="shared" si="181"/>
        <v>0</v>
      </c>
      <c r="S2923">
        <f t="shared" si="182"/>
        <v>0</v>
      </c>
      <c r="T2923">
        <f t="shared" si="183"/>
        <v>0</v>
      </c>
      <c r="U2923" t="str">
        <f>YEAR('Campaign Data'!$A2923)&amp;"-"&amp;TEXT(MONTH('Campaign Data'!$A2923),"00")</f>
        <v>2026-06</v>
      </c>
    </row>
    <row r="2924" spans="1:21" x14ac:dyDescent="0.25">
      <c r="A2924">
        <v>46182</v>
      </c>
      <c r="B2924" t="s">
        <v>165</v>
      </c>
      <c r="C2924" t="s">
        <v>166</v>
      </c>
      <c r="D2924" t="s">
        <v>41</v>
      </c>
      <c r="E2924" t="s">
        <v>33</v>
      </c>
      <c r="F2924" t="s">
        <v>43</v>
      </c>
      <c r="G2924" t="s">
        <v>59</v>
      </c>
      <c r="H2924" t="s">
        <v>27</v>
      </c>
      <c r="I2924" t="s">
        <v>37</v>
      </c>
      <c r="J2924" t="s">
        <v>38</v>
      </c>
      <c r="K2924">
        <v>4356</v>
      </c>
      <c r="L2924">
        <v>39</v>
      </c>
      <c r="M2924">
        <v>37.4</v>
      </c>
      <c r="N2924">
        <v>0</v>
      </c>
      <c r="O2924">
        <v>0</v>
      </c>
      <c r="P2924">
        <f t="shared" si="180"/>
        <v>8.9531680440771352E-3</v>
      </c>
      <c r="Q2924">
        <f t="shared" si="180"/>
        <v>0.9589743589743589</v>
      </c>
      <c r="R2924">
        <f t="shared" si="181"/>
        <v>0</v>
      </c>
      <c r="S2924">
        <f t="shared" si="182"/>
        <v>0</v>
      </c>
      <c r="T2924">
        <f t="shared" si="183"/>
        <v>0</v>
      </c>
      <c r="U2924" t="str">
        <f>YEAR('Campaign Data'!$A2924)&amp;"-"&amp;TEXT(MONTH('Campaign Data'!$A2924),"00")</f>
        <v>2026-06</v>
      </c>
    </row>
    <row r="2925" spans="1:21" x14ac:dyDescent="0.25">
      <c r="A2925">
        <v>46182</v>
      </c>
      <c r="B2925" t="s">
        <v>125</v>
      </c>
      <c r="C2925" t="s">
        <v>126</v>
      </c>
      <c r="D2925" t="s">
        <v>41</v>
      </c>
      <c r="E2925" t="s">
        <v>42</v>
      </c>
      <c r="F2925" t="s">
        <v>81</v>
      </c>
      <c r="G2925" t="s">
        <v>44</v>
      </c>
      <c r="H2925" t="s">
        <v>71</v>
      </c>
      <c r="I2925" t="s">
        <v>37</v>
      </c>
      <c r="J2925" t="s">
        <v>45</v>
      </c>
      <c r="K2925">
        <v>8201</v>
      </c>
      <c r="L2925">
        <v>72</v>
      </c>
      <c r="M2925">
        <v>483.97</v>
      </c>
      <c r="N2925">
        <v>0</v>
      </c>
      <c r="O2925">
        <v>0</v>
      </c>
      <c r="P2925">
        <f t="shared" si="180"/>
        <v>8.7794171442507011E-3</v>
      </c>
      <c r="Q2925">
        <f t="shared" si="180"/>
        <v>6.721805555555556</v>
      </c>
      <c r="R2925">
        <f t="shared" si="181"/>
        <v>0</v>
      </c>
      <c r="S2925">
        <f t="shared" si="182"/>
        <v>0</v>
      </c>
      <c r="T2925">
        <f t="shared" si="183"/>
        <v>0</v>
      </c>
      <c r="U2925" t="str">
        <f>YEAR('Campaign Data'!$A2925)&amp;"-"&amp;TEXT(MONTH('Campaign Data'!$A2925),"00")</f>
        <v>2026-06</v>
      </c>
    </row>
    <row r="2926" spans="1:21" x14ac:dyDescent="0.25">
      <c r="A2926">
        <v>46182</v>
      </c>
      <c r="B2926" t="s">
        <v>151</v>
      </c>
      <c r="C2926" t="s">
        <v>152</v>
      </c>
      <c r="D2926" t="s">
        <v>48</v>
      </c>
      <c r="E2926" t="s">
        <v>24</v>
      </c>
      <c r="F2926" t="s">
        <v>81</v>
      </c>
      <c r="G2926" t="s">
        <v>129</v>
      </c>
      <c r="H2926" t="s">
        <v>71</v>
      </c>
      <c r="I2926" t="s">
        <v>37</v>
      </c>
      <c r="J2926" t="s">
        <v>45</v>
      </c>
      <c r="K2926">
        <v>9289</v>
      </c>
      <c r="L2926">
        <v>104</v>
      </c>
      <c r="M2926">
        <v>54.71</v>
      </c>
      <c r="N2926">
        <v>0</v>
      </c>
      <c r="O2926">
        <v>0</v>
      </c>
      <c r="P2926">
        <f t="shared" si="180"/>
        <v>1.1196038324900419E-2</v>
      </c>
      <c r="Q2926">
        <f t="shared" si="180"/>
        <v>0.52605769230769228</v>
      </c>
      <c r="R2926">
        <f t="shared" si="181"/>
        <v>0</v>
      </c>
      <c r="S2926">
        <f t="shared" si="182"/>
        <v>0</v>
      </c>
      <c r="T2926">
        <f t="shared" si="183"/>
        <v>0</v>
      </c>
      <c r="U2926" t="str">
        <f>YEAR('Campaign Data'!$A2926)&amp;"-"&amp;TEXT(MONTH('Campaign Data'!$A2926),"00")</f>
        <v>2026-06</v>
      </c>
    </row>
    <row r="2927" spans="1:21" x14ac:dyDescent="0.25">
      <c r="A2927">
        <v>46182</v>
      </c>
      <c r="B2927" t="s">
        <v>52</v>
      </c>
      <c r="C2927" t="s">
        <v>53</v>
      </c>
      <c r="D2927" t="s">
        <v>32</v>
      </c>
      <c r="E2927" t="s">
        <v>42</v>
      </c>
      <c r="F2927" t="s">
        <v>25</v>
      </c>
      <c r="G2927" t="s">
        <v>54</v>
      </c>
      <c r="H2927" t="s">
        <v>27</v>
      </c>
      <c r="I2927" t="s">
        <v>37</v>
      </c>
      <c r="J2927" t="s">
        <v>29</v>
      </c>
      <c r="K2927">
        <v>12684</v>
      </c>
      <c r="L2927">
        <v>97</v>
      </c>
      <c r="M2927">
        <v>662.22</v>
      </c>
      <c r="N2927">
        <v>3</v>
      </c>
      <c r="O2927">
        <v>678.29</v>
      </c>
      <c r="P2927">
        <f t="shared" si="180"/>
        <v>7.6474298328602962E-3</v>
      </c>
      <c r="Q2927">
        <f t="shared" si="180"/>
        <v>6.827010309278351</v>
      </c>
      <c r="R2927">
        <f t="shared" si="181"/>
        <v>220.74</v>
      </c>
      <c r="S2927">
        <f t="shared" si="182"/>
        <v>1.0242668599559057</v>
      </c>
      <c r="T2927">
        <f t="shared" si="183"/>
        <v>3.0927835051546393E-2</v>
      </c>
      <c r="U2927" t="str">
        <f>YEAR('Campaign Data'!$A2927)&amp;"-"&amp;TEXT(MONTH('Campaign Data'!$A2927),"00")</f>
        <v>2026-06</v>
      </c>
    </row>
    <row r="2928" spans="1:21" x14ac:dyDescent="0.25">
      <c r="A2928">
        <v>46182</v>
      </c>
      <c r="B2928" t="s">
        <v>169</v>
      </c>
      <c r="C2928" t="s">
        <v>170</v>
      </c>
      <c r="D2928" t="s">
        <v>58</v>
      </c>
      <c r="E2928" t="s">
        <v>74</v>
      </c>
      <c r="F2928" t="s">
        <v>75</v>
      </c>
      <c r="G2928" t="s">
        <v>9</v>
      </c>
      <c r="H2928" t="s">
        <v>60</v>
      </c>
      <c r="I2928" t="s">
        <v>37</v>
      </c>
      <c r="J2928" t="s">
        <v>87</v>
      </c>
      <c r="K2928">
        <v>9235</v>
      </c>
      <c r="L2928">
        <v>279</v>
      </c>
      <c r="M2928">
        <v>322.45</v>
      </c>
      <c r="N2928">
        <v>23</v>
      </c>
      <c r="O2928">
        <v>515.04999999999995</v>
      </c>
      <c r="P2928">
        <f t="shared" si="180"/>
        <v>3.0211153221440173E-2</v>
      </c>
      <c r="Q2928">
        <f t="shared" si="180"/>
        <v>1.1557347670250895</v>
      </c>
      <c r="R2928">
        <f t="shared" si="181"/>
        <v>14.019565217391303</v>
      </c>
      <c r="S2928">
        <f t="shared" si="182"/>
        <v>1.5973019072724453</v>
      </c>
      <c r="T2928">
        <f t="shared" si="183"/>
        <v>8.2437275985663083E-2</v>
      </c>
      <c r="U2928" t="str">
        <f>YEAR('Campaign Data'!$A2928)&amp;"-"&amp;TEXT(MONTH('Campaign Data'!$A2928),"00")</f>
        <v>2026-06</v>
      </c>
    </row>
    <row r="2929" spans="1:21" x14ac:dyDescent="0.25">
      <c r="A2929">
        <v>46182</v>
      </c>
      <c r="B2929" t="s">
        <v>127</v>
      </c>
      <c r="C2929" t="s">
        <v>128</v>
      </c>
      <c r="D2929" t="s">
        <v>58</v>
      </c>
      <c r="E2929" t="s">
        <v>24</v>
      </c>
      <c r="F2929" t="s">
        <v>81</v>
      </c>
      <c r="G2929" t="s">
        <v>129</v>
      </c>
      <c r="H2929" t="s">
        <v>90</v>
      </c>
      <c r="I2929" t="s">
        <v>28</v>
      </c>
      <c r="J2929" t="s">
        <v>29</v>
      </c>
      <c r="K2929">
        <v>4169</v>
      </c>
      <c r="L2929">
        <v>43</v>
      </c>
      <c r="M2929">
        <v>11.53</v>
      </c>
      <c r="N2929">
        <v>1</v>
      </c>
      <c r="O2929">
        <v>6.07</v>
      </c>
      <c r="P2929">
        <f t="shared" si="180"/>
        <v>1.0314224034540657E-2</v>
      </c>
      <c r="Q2929">
        <f t="shared" si="180"/>
        <v>0.26813953488372094</v>
      </c>
      <c r="R2929">
        <f t="shared" si="181"/>
        <v>11.53</v>
      </c>
      <c r="S2929">
        <f t="shared" si="182"/>
        <v>0.52645273200346931</v>
      </c>
      <c r="T2929">
        <f t="shared" si="183"/>
        <v>2.3255813953488372E-2</v>
      </c>
      <c r="U2929" t="str">
        <f>YEAR('Campaign Data'!$A2929)&amp;"-"&amp;TEXT(MONTH('Campaign Data'!$A2929),"00")</f>
        <v>2026-06</v>
      </c>
    </row>
    <row r="2930" spans="1:21" x14ac:dyDescent="0.25">
      <c r="A2930">
        <v>46182</v>
      </c>
      <c r="B2930" t="s">
        <v>153</v>
      </c>
      <c r="C2930" t="s">
        <v>154</v>
      </c>
      <c r="D2930" t="s">
        <v>48</v>
      </c>
      <c r="E2930" t="s">
        <v>33</v>
      </c>
      <c r="F2930" t="s">
        <v>43</v>
      </c>
      <c r="G2930" t="s">
        <v>59</v>
      </c>
      <c r="H2930" t="s">
        <v>36</v>
      </c>
      <c r="I2930" t="s">
        <v>37</v>
      </c>
      <c r="J2930" t="s">
        <v>45</v>
      </c>
      <c r="K2930">
        <v>6207</v>
      </c>
      <c r="L2930">
        <v>65</v>
      </c>
      <c r="M2930">
        <v>36.17</v>
      </c>
      <c r="N2930">
        <v>0</v>
      </c>
      <c r="O2930">
        <v>0</v>
      </c>
      <c r="P2930">
        <f t="shared" si="180"/>
        <v>1.0472047688094087E-2</v>
      </c>
      <c r="Q2930">
        <f t="shared" si="180"/>
        <v>0.55646153846153845</v>
      </c>
      <c r="R2930">
        <f t="shared" si="181"/>
        <v>0</v>
      </c>
      <c r="S2930">
        <f t="shared" si="182"/>
        <v>0</v>
      </c>
      <c r="T2930">
        <f t="shared" si="183"/>
        <v>0</v>
      </c>
      <c r="U2930" t="str">
        <f>YEAR('Campaign Data'!$A2930)&amp;"-"&amp;TEXT(MONTH('Campaign Data'!$A2930),"00")</f>
        <v>2026-06</v>
      </c>
    </row>
    <row r="2931" spans="1:21" x14ac:dyDescent="0.25">
      <c r="A2931">
        <v>46182</v>
      </c>
      <c r="B2931" t="s">
        <v>179</v>
      </c>
      <c r="C2931" t="s">
        <v>180</v>
      </c>
      <c r="D2931" t="s">
        <v>58</v>
      </c>
      <c r="E2931" t="s">
        <v>42</v>
      </c>
      <c r="F2931" t="s">
        <v>25</v>
      </c>
      <c r="G2931" t="s">
        <v>54</v>
      </c>
      <c r="H2931" t="s">
        <v>90</v>
      </c>
      <c r="I2931" t="s">
        <v>28</v>
      </c>
      <c r="J2931" t="s">
        <v>29</v>
      </c>
      <c r="K2931">
        <v>494</v>
      </c>
      <c r="L2931">
        <v>1</v>
      </c>
      <c r="M2931">
        <v>1.3</v>
      </c>
      <c r="N2931">
        <v>0</v>
      </c>
      <c r="O2931">
        <v>0</v>
      </c>
      <c r="P2931">
        <f t="shared" si="180"/>
        <v>2.0242914979757085E-3</v>
      </c>
      <c r="Q2931">
        <f t="shared" si="180"/>
        <v>1.3</v>
      </c>
      <c r="R2931">
        <f t="shared" si="181"/>
        <v>0</v>
      </c>
      <c r="S2931">
        <f t="shared" si="182"/>
        <v>0</v>
      </c>
      <c r="T2931">
        <f t="shared" si="183"/>
        <v>0</v>
      </c>
      <c r="U2931" t="str">
        <f>YEAR('Campaign Data'!$A2931)&amp;"-"&amp;TEXT(MONTH('Campaign Data'!$A2931),"00")</f>
        <v>2026-06</v>
      </c>
    </row>
    <row r="2932" spans="1:21" x14ac:dyDescent="0.25">
      <c r="A2932">
        <v>46182</v>
      </c>
      <c r="B2932" t="s">
        <v>110</v>
      </c>
      <c r="C2932" t="s">
        <v>111</v>
      </c>
      <c r="D2932" t="s">
        <v>23</v>
      </c>
      <c r="E2932" t="s">
        <v>49</v>
      </c>
      <c r="F2932" t="s">
        <v>34</v>
      </c>
      <c r="G2932" t="s">
        <v>50</v>
      </c>
      <c r="H2932" t="s">
        <v>90</v>
      </c>
      <c r="I2932" t="s">
        <v>28</v>
      </c>
      <c r="J2932" t="s">
        <v>29</v>
      </c>
      <c r="K2932">
        <v>8605</v>
      </c>
      <c r="L2932">
        <v>402</v>
      </c>
      <c r="M2932">
        <v>130.25</v>
      </c>
      <c r="N2932">
        <v>21</v>
      </c>
      <c r="O2932">
        <v>1073.99</v>
      </c>
      <c r="P2932">
        <f t="shared" si="180"/>
        <v>4.671702498547356E-2</v>
      </c>
      <c r="Q2932">
        <f t="shared" si="180"/>
        <v>0.32400497512437809</v>
      </c>
      <c r="R2932">
        <f t="shared" si="181"/>
        <v>6.2023809523809526</v>
      </c>
      <c r="S2932">
        <f t="shared" si="182"/>
        <v>8.2456046065259123</v>
      </c>
      <c r="T2932">
        <f t="shared" si="183"/>
        <v>5.2238805970149252E-2</v>
      </c>
      <c r="U2932" t="str">
        <f>YEAR('Campaign Data'!$A2932)&amp;"-"&amp;TEXT(MONTH('Campaign Data'!$A2932),"00")</f>
        <v>2026-06</v>
      </c>
    </row>
    <row r="2933" spans="1:21" x14ac:dyDescent="0.25">
      <c r="A2933">
        <v>46182</v>
      </c>
      <c r="B2933" t="s">
        <v>161</v>
      </c>
      <c r="C2933" t="s">
        <v>162</v>
      </c>
      <c r="D2933" t="s">
        <v>48</v>
      </c>
      <c r="E2933" t="s">
        <v>74</v>
      </c>
      <c r="F2933" t="s">
        <v>34</v>
      </c>
      <c r="G2933" t="s">
        <v>107</v>
      </c>
      <c r="H2933" t="s">
        <v>51</v>
      </c>
      <c r="I2933" t="s">
        <v>37</v>
      </c>
      <c r="J2933" t="s">
        <v>87</v>
      </c>
      <c r="K2933">
        <v>6911</v>
      </c>
      <c r="L2933">
        <v>208</v>
      </c>
      <c r="M2933">
        <v>295.25</v>
      </c>
      <c r="N2933">
        <v>11</v>
      </c>
      <c r="O2933">
        <v>1955.75</v>
      </c>
      <c r="P2933">
        <f t="shared" si="180"/>
        <v>3.0096946896252353E-2</v>
      </c>
      <c r="Q2933">
        <f t="shared" si="180"/>
        <v>1.4194711538461537</v>
      </c>
      <c r="R2933">
        <f t="shared" si="181"/>
        <v>26.84090909090909</v>
      </c>
      <c r="S2933">
        <f t="shared" si="182"/>
        <v>6.6240474174428448</v>
      </c>
      <c r="T2933">
        <f t="shared" si="183"/>
        <v>5.2884615384615384E-2</v>
      </c>
      <c r="U2933" t="str">
        <f>YEAR('Campaign Data'!$A2933)&amp;"-"&amp;TEXT(MONTH('Campaign Data'!$A2933),"00")</f>
        <v>2026-06</v>
      </c>
    </row>
    <row r="2934" spans="1:21" x14ac:dyDescent="0.25">
      <c r="A2934">
        <v>46182</v>
      </c>
      <c r="B2934" t="s">
        <v>114</v>
      </c>
      <c r="C2934" t="s">
        <v>115</v>
      </c>
      <c r="D2934" t="s">
        <v>69</v>
      </c>
      <c r="E2934" t="s">
        <v>49</v>
      </c>
      <c r="F2934" t="s">
        <v>25</v>
      </c>
      <c r="G2934" t="s">
        <v>107</v>
      </c>
      <c r="H2934" t="s">
        <v>60</v>
      </c>
      <c r="I2934" t="s">
        <v>61</v>
      </c>
      <c r="J2934" t="s">
        <v>45</v>
      </c>
      <c r="K2934">
        <v>2968</v>
      </c>
      <c r="L2934">
        <v>178</v>
      </c>
      <c r="M2934">
        <v>283.27</v>
      </c>
      <c r="N2934">
        <v>8</v>
      </c>
      <c r="O2934">
        <v>817.85</v>
      </c>
      <c r="P2934">
        <f t="shared" si="180"/>
        <v>5.9973045822102423E-2</v>
      </c>
      <c r="Q2934">
        <f t="shared" si="180"/>
        <v>1.5914044943820225</v>
      </c>
      <c r="R2934">
        <f t="shared" si="181"/>
        <v>35.408749999999998</v>
      </c>
      <c r="S2934">
        <f t="shared" si="182"/>
        <v>2.8871747802449961</v>
      </c>
      <c r="T2934">
        <f t="shared" si="183"/>
        <v>4.49438202247191E-2</v>
      </c>
      <c r="U2934" t="str">
        <f>YEAR('Campaign Data'!$A2934)&amp;"-"&amp;TEXT(MONTH('Campaign Data'!$A2934),"00")</f>
        <v>2026-06</v>
      </c>
    </row>
    <row r="2935" spans="1:21" x14ac:dyDescent="0.25">
      <c r="A2935">
        <v>46182</v>
      </c>
      <c r="B2935" t="s">
        <v>63</v>
      </c>
      <c r="C2935" t="s">
        <v>64</v>
      </c>
      <c r="D2935" t="s">
        <v>65</v>
      </c>
      <c r="E2935" t="s">
        <v>24</v>
      </c>
      <c r="F2935" t="s">
        <v>43</v>
      </c>
      <c r="G2935" t="s">
        <v>66</v>
      </c>
      <c r="H2935" t="s">
        <v>71</v>
      </c>
      <c r="I2935" t="s">
        <v>37</v>
      </c>
      <c r="J2935" t="s">
        <v>29</v>
      </c>
      <c r="K2935">
        <v>3191</v>
      </c>
      <c r="L2935">
        <v>48</v>
      </c>
      <c r="M2935">
        <v>50.64</v>
      </c>
      <c r="N2935">
        <v>0</v>
      </c>
      <c r="O2935">
        <v>0</v>
      </c>
      <c r="P2935">
        <f t="shared" si="180"/>
        <v>1.5042306486994672E-2</v>
      </c>
      <c r="Q2935">
        <f t="shared" si="180"/>
        <v>1.0549999999999999</v>
      </c>
      <c r="R2935">
        <f t="shared" si="181"/>
        <v>0</v>
      </c>
      <c r="S2935">
        <f t="shared" si="182"/>
        <v>0</v>
      </c>
      <c r="T2935">
        <f t="shared" si="183"/>
        <v>0</v>
      </c>
      <c r="U2935" t="str">
        <f>YEAR('Campaign Data'!$A2935)&amp;"-"&amp;TEXT(MONTH('Campaign Data'!$A2935),"00")</f>
        <v>2026-06</v>
      </c>
    </row>
    <row r="2936" spans="1:21" x14ac:dyDescent="0.25">
      <c r="A2936">
        <v>46182</v>
      </c>
      <c r="B2936" t="s">
        <v>116</v>
      </c>
      <c r="C2936" t="s">
        <v>117</v>
      </c>
      <c r="D2936" t="s">
        <v>48</v>
      </c>
      <c r="E2936" t="s">
        <v>24</v>
      </c>
      <c r="F2936" t="s">
        <v>43</v>
      </c>
      <c r="G2936" t="s">
        <v>26</v>
      </c>
      <c r="H2936" t="s">
        <v>71</v>
      </c>
      <c r="I2936" t="s">
        <v>37</v>
      </c>
      <c r="J2936" t="s">
        <v>45</v>
      </c>
      <c r="K2936">
        <v>13301</v>
      </c>
      <c r="L2936">
        <v>115</v>
      </c>
      <c r="M2936">
        <v>110.14</v>
      </c>
      <c r="N2936">
        <v>2</v>
      </c>
      <c r="O2936">
        <v>28.88</v>
      </c>
      <c r="P2936">
        <f t="shared" si="180"/>
        <v>8.645966468686565E-3</v>
      </c>
      <c r="Q2936">
        <f t="shared" si="180"/>
        <v>0.95773913043478265</v>
      </c>
      <c r="R2936">
        <f t="shared" si="181"/>
        <v>55.07</v>
      </c>
      <c r="S2936">
        <f t="shared" si="182"/>
        <v>0.26221173052478663</v>
      </c>
      <c r="T2936">
        <f t="shared" si="183"/>
        <v>1.7391304347826087E-2</v>
      </c>
      <c r="U2936" t="str">
        <f>YEAR('Campaign Data'!$A2936)&amp;"-"&amp;TEXT(MONTH('Campaign Data'!$A2936),"00")</f>
        <v>2026-06</v>
      </c>
    </row>
    <row r="2937" spans="1:21" x14ac:dyDescent="0.25">
      <c r="A2937">
        <v>46182</v>
      </c>
      <c r="B2937" t="s">
        <v>145</v>
      </c>
      <c r="C2937" t="s">
        <v>146</v>
      </c>
      <c r="D2937" t="s">
        <v>41</v>
      </c>
      <c r="E2937" t="s">
        <v>49</v>
      </c>
      <c r="F2937" t="s">
        <v>75</v>
      </c>
      <c r="G2937" t="s">
        <v>70</v>
      </c>
      <c r="H2937" t="s">
        <v>27</v>
      </c>
      <c r="I2937" t="s">
        <v>37</v>
      </c>
      <c r="J2937" t="s">
        <v>29</v>
      </c>
      <c r="K2937">
        <v>34347</v>
      </c>
      <c r="L2937">
        <v>1887</v>
      </c>
      <c r="M2937">
        <v>3865.48</v>
      </c>
      <c r="N2937">
        <v>60</v>
      </c>
      <c r="O2937">
        <v>2513.96</v>
      </c>
      <c r="P2937">
        <f t="shared" si="180"/>
        <v>5.4939296008385013E-2</v>
      </c>
      <c r="Q2937">
        <f t="shared" si="180"/>
        <v>2.0484790673025968</v>
      </c>
      <c r="R2937">
        <f t="shared" si="181"/>
        <v>64.424666666666667</v>
      </c>
      <c r="S2937">
        <f t="shared" si="182"/>
        <v>0.65036166271717877</v>
      </c>
      <c r="T2937">
        <f t="shared" si="183"/>
        <v>3.1796502384737677E-2</v>
      </c>
      <c r="U2937" t="str">
        <f>YEAR('Campaign Data'!$A2937)&amp;"-"&amp;TEXT(MONTH('Campaign Data'!$A2937),"00")</f>
        <v>2026-06</v>
      </c>
    </row>
    <row r="2938" spans="1:21" x14ac:dyDescent="0.25">
      <c r="A2938">
        <v>46182</v>
      </c>
      <c r="B2938" t="s">
        <v>76</v>
      </c>
      <c r="C2938" t="s">
        <v>77</v>
      </c>
      <c r="D2938" t="s">
        <v>65</v>
      </c>
      <c r="E2938" t="s">
        <v>42</v>
      </c>
      <c r="F2938" t="s">
        <v>43</v>
      </c>
      <c r="G2938" t="s">
        <v>44</v>
      </c>
      <c r="H2938" t="s">
        <v>60</v>
      </c>
      <c r="I2938" t="s">
        <v>37</v>
      </c>
      <c r="J2938" t="s">
        <v>38</v>
      </c>
      <c r="K2938">
        <v>9561</v>
      </c>
      <c r="L2938">
        <v>43</v>
      </c>
      <c r="M2938">
        <v>250.36</v>
      </c>
      <c r="N2938">
        <v>0</v>
      </c>
      <c r="O2938">
        <v>0</v>
      </c>
      <c r="P2938">
        <f t="shared" si="180"/>
        <v>4.4974375065369729E-3</v>
      </c>
      <c r="Q2938">
        <f t="shared" si="180"/>
        <v>5.8223255813953489</v>
      </c>
      <c r="R2938">
        <f t="shared" si="181"/>
        <v>0</v>
      </c>
      <c r="S2938">
        <f t="shared" si="182"/>
        <v>0</v>
      </c>
      <c r="T2938">
        <f t="shared" si="183"/>
        <v>0</v>
      </c>
      <c r="U2938" t="str">
        <f>YEAR('Campaign Data'!$A2938)&amp;"-"&amp;TEXT(MONTH('Campaign Data'!$A2938),"00")</f>
        <v>2026-06</v>
      </c>
    </row>
    <row r="2939" spans="1:21" x14ac:dyDescent="0.25">
      <c r="A2939">
        <v>46182</v>
      </c>
      <c r="B2939" t="s">
        <v>78</v>
      </c>
      <c r="C2939" t="s">
        <v>79</v>
      </c>
      <c r="D2939" t="s">
        <v>80</v>
      </c>
      <c r="E2939" t="s">
        <v>24</v>
      </c>
      <c r="F2939" t="s">
        <v>81</v>
      </c>
      <c r="G2939" t="s">
        <v>66</v>
      </c>
      <c r="H2939" t="s">
        <v>36</v>
      </c>
      <c r="I2939" t="s">
        <v>28</v>
      </c>
      <c r="J2939" t="s">
        <v>38</v>
      </c>
      <c r="K2939">
        <v>1755</v>
      </c>
      <c r="L2939">
        <v>24</v>
      </c>
      <c r="M2939">
        <v>21.2</v>
      </c>
      <c r="N2939">
        <v>0</v>
      </c>
      <c r="O2939">
        <v>0</v>
      </c>
      <c r="P2939">
        <f t="shared" si="180"/>
        <v>1.3675213675213675E-2</v>
      </c>
      <c r="Q2939">
        <f t="shared" si="180"/>
        <v>0.8833333333333333</v>
      </c>
      <c r="R2939">
        <f t="shared" si="181"/>
        <v>0</v>
      </c>
      <c r="S2939">
        <f t="shared" si="182"/>
        <v>0</v>
      </c>
      <c r="T2939">
        <f t="shared" si="183"/>
        <v>0</v>
      </c>
      <c r="U2939" t="str">
        <f>YEAR('Campaign Data'!$A2939)&amp;"-"&amp;TEXT(MONTH('Campaign Data'!$A2939),"00")</f>
        <v>2026-06</v>
      </c>
    </row>
    <row r="2940" spans="1:21" x14ac:dyDescent="0.25">
      <c r="A2940">
        <v>46183</v>
      </c>
      <c r="B2940" t="s">
        <v>175</v>
      </c>
      <c r="C2940" t="s">
        <v>176</v>
      </c>
      <c r="D2940" t="s">
        <v>65</v>
      </c>
      <c r="E2940" t="s">
        <v>49</v>
      </c>
      <c r="F2940" t="s">
        <v>75</v>
      </c>
      <c r="G2940" t="s">
        <v>70</v>
      </c>
      <c r="H2940" t="s">
        <v>71</v>
      </c>
      <c r="I2940" t="s">
        <v>37</v>
      </c>
      <c r="J2940" t="s">
        <v>38</v>
      </c>
      <c r="K2940">
        <v>3538</v>
      </c>
      <c r="L2940">
        <v>150</v>
      </c>
      <c r="M2940">
        <v>138.28</v>
      </c>
      <c r="N2940">
        <v>11</v>
      </c>
      <c r="O2940">
        <v>495.85</v>
      </c>
      <c r="P2940">
        <f t="shared" si="180"/>
        <v>4.2396834369700397E-2</v>
      </c>
      <c r="Q2940">
        <f t="shared" si="180"/>
        <v>0.92186666666666672</v>
      </c>
      <c r="R2940">
        <f t="shared" si="181"/>
        <v>12.57090909090909</v>
      </c>
      <c r="S2940">
        <f t="shared" si="182"/>
        <v>3.5858403239803298</v>
      </c>
      <c r="T2940">
        <f t="shared" si="183"/>
        <v>7.3333333333333334E-2</v>
      </c>
      <c r="U2940" t="str">
        <f>YEAR('Campaign Data'!$A2940)&amp;"-"&amp;TEXT(MONTH('Campaign Data'!$A2940),"00")</f>
        <v>2026-06</v>
      </c>
    </row>
    <row r="2941" spans="1:21" x14ac:dyDescent="0.25">
      <c r="A2941">
        <v>46183</v>
      </c>
      <c r="B2941" t="s">
        <v>85</v>
      </c>
      <c r="C2941" t="s">
        <v>86</v>
      </c>
      <c r="D2941" t="s">
        <v>80</v>
      </c>
      <c r="E2941" t="s">
        <v>33</v>
      </c>
      <c r="F2941" t="s">
        <v>43</v>
      </c>
      <c r="G2941" t="s">
        <v>35</v>
      </c>
      <c r="H2941" t="s">
        <v>55</v>
      </c>
      <c r="I2941" t="s">
        <v>61</v>
      </c>
      <c r="J2941" t="s">
        <v>87</v>
      </c>
      <c r="K2941">
        <v>32994</v>
      </c>
      <c r="L2941">
        <v>377</v>
      </c>
      <c r="M2941">
        <v>217.99</v>
      </c>
      <c r="N2941">
        <v>2</v>
      </c>
      <c r="O2941">
        <v>69.33</v>
      </c>
      <c r="P2941">
        <f t="shared" si="180"/>
        <v>1.1426319936958234E-2</v>
      </c>
      <c r="Q2941">
        <f t="shared" si="180"/>
        <v>0.57822281167108758</v>
      </c>
      <c r="R2941">
        <f t="shared" si="181"/>
        <v>108.995</v>
      </c>
      <c r="S2941">
        <f t="shared" si="182"/>
        <v>0.31804211202348731</v>
      </c>
      <c r="T2941">
        <f t="shared" si="183"/>
        <v>5.3050397877984082E-3</v>
      </c>
      <c r="U2941" t="str">
        <f>YEAR('Campaign Data'!$A2941)&amp;"-"&amp;TEXT(MONTH('Campaign Data'!$A2941),"00")</f>
        <v>2026-06</v>
      </c>
    </row>
    <row r="2942" spans="1:21" x14ac:dyDescent="0.25">
      <c r="A2942">
        <v>46183</v>
      </c>
      <c r="B2942" t="s">
        <v>88</v>
      </c>
      <c r="C2942" t="s">
        <v>89</v>
      </c>
      <c r="D2942" t="s">
        <v>23</v>
      </c>
      <c r="E2942" t="s">
        <v>49</v>
      </c>
      <c r="F2942" t="s">
        <v>81</v>
      </c>
      <c r="G2942" t="s">
        <v>50</v>
      </c>
      <c r="H2942" t="s">
        <v>60</v>
      </c>
      <c r="I2942" t="s">
        <v>28</v>
      </c>
      <c r="J2942" t="s">
        <v>45</v>
      </c>
      <c r="K2942">
        <v>4068</v>
      </c>
      <c r="L2942">
        <v>145</v>
      </c>
      <c r="M2942">
        <v>210.6</v>
      </c>
      <c r="N2942">
        <v>2</v>
      </c>
      <c r="O2942">
        <v>46.14</v>
      </c>
      <c r="P2942">
        <f t="shared" si="180"/>
        <v>3.5644051130776795E-2</v>
      </c>
      <c r="Q2942">
        <f t="shared" si="180"/>
        <v>1.4524137931034482</v>
      </c>
      <c r="R2942">
        <f t="shared" si="181"/>
        <v>105.3</v>
      </c>
      <c r="S2942">
        <f t="shared" si="182"/>
        <v>0.21908831908831911</v>
      </c>
      <c r="T2942">
        <f t="shared" si="183"/>
        <v>1.3793103448275862E-2</v>
      </c>
      <c r="U2942" t="str">
        <f>YEAR('Campaign Data'!$A2942)&amp;"-"&amp;TEXT(MONTH('Campaign Data'!$A2942),"00")</f>
        <v>2026-06</v>
      </c>
    </row>
    <row r="2943" spans="1:21" x14ac:dyDescent="0.25">
      <c r="A2943">
        <v>46183</v>
      </c>
      <c r="B2943" t="s">
        <v>147</v>
      </c>
      <c r="C2943" t="s">
        <v>148</v>
      </c>
      <c r="D2943" t="s">
        <v>23</v>
      </c>
      <c r="E2943" t="s">
        <v>42</v>
      </c>
      <c r="F2943" t="s">
        <v>75</v>
      </c>
      <c r="G2943" t="s">
        <v>44</v>
      </c>
      <c r="H2943" t="s">
        <v>71</v>
      </c>
      <c r="I2943" t="s">
        <v>37</v>
      </c>
      <c r="J2943" t="s">
        <v>87</v>
      </c>
      <c r="K2943">
        <v>6865</v>
      </c>
      <c r="L2943">
        <v>37</v>
      </c>
      <c r="M2943">
        <v>306.43</v>
      </c>
      <c r="N2943">
        <v>0</v>
      </c>
      <c r="O2943">
        <v>0</v>
      </c>
      <c r="P2943">
        <f t="shared" si="180"/>
        <v>5.3896576839038606E-3</v>
      </c>
      <c r="Q2943">
        <f t="shared" si="180"/>
        <v>8.2818918918918918</v>
      </c>
      <c r="R2943">
        <f t="shared" si="181"/>
        <v>0</v>
      </c>
      <c r="S2943">
        <f t="shared" si="182"/>
        <v>0</v>
      </c>
      <c r="T2943">
        <f t="shared" si="183"/>
        <v>0</v>
      </c>
      <c r="U2943" t="str">
        <f>YEAR('Campaign Data'!$A2943)&amp;"-"&amp;TEXT(MONTH('Campaign Data'!$A2943),"00")</f>
        <v>2026-06</v>
      </c>
    </row>
    <row r="2944" spans="1:21" x14ac:dyDescent="0.25">
      <c r="A2944">
        <v>46183</v>
      </c>
      <c r="B2944" t="s">
        <v>138</v>
      </c>
      <c r="C2944" t="s">
        <v>139</v>
      </c>
      <c r="D2944" t="s">
        <v>58</v>
      </c>
      <c r="E2944" t="s">
        <v>74</v>
      </c>
      <c r="F2944" t="s">
        <v>34</v>
      </c>
      <c r="G2944" t="s">
        <v>9</v>
      </c>
      <c r="H2944" t="s">
        <v>90</v>
      </c>
      <c r="I2944" t="s">
        <v>28</v>
      </c>
      <c r="J2944" t="s">
        <v>62</v>
      </c>
      <c r="K2944">
        <v>10517</v>
      </c>
      <c r="L2944">
        <v>427</v>
      </c>
      <c r="M2944">
        <v>153.38999999999999</v>
      </c>
      <c r="N2944">
        <v>10</v>
      </c>
      <c r="O2944">
        <v>158.44999999999999</v>
      </c>
      <c r="P2944">
        <f t="shared" si="180"/>
        <v>4.0600931824664829E-2</v>
      </c>
      <c r="Q2944">
        <f t="shared" si="180"/>
        <v>0.3592271662763466</v>
      </c>
      <c r="R2944">
        <f t="shared" si="181"/>
        <v>15.338999999999999</v>
      </c>
      <c r="S2944">
        <f t="shared" si="182"/>
        <v>1.0329878088532498</v>
      </c>
      <c r="T2944">
        <f t="shared" si="183"/>
        <v>2.3419203747072601E-2</v>
      </c>
      <c r="U2944" t="str">
        <f>YEAR('Campaign Data'!$A2944)&amp;"-"&amp;TEXT(MONTH('Campaign Data'!$A2944),"00")</f>
        <v>2026-06</v>
      </c>
    </row>
    <row r="2945" spans="1:21" x14ac:dyDescent="0.25">
      <c r="A2945">
        <v>46183</v>
      </c>
      <c r="B2945" t="s">
        <v>149</v>
      </c>
      <c r="C2945" t="s">
        <v>150</v>
      </c>
      <c r="D2945" t="s">
        <v>65</v>
      </c>
      <c r="E2945" t="s">
        <v>33</v>
      </c>
      <c r="F2945" t="s">
        <v>43</v>
      </c>
      <c r="G2945" t="s">
        <v>59</v>
      </c>
      <c r="H2945" t="s">
        <v>71</v>
      </c>
      <c r="I2945" t="s">
        <v>37</v>
      </c>
      <c r="J2945" t="s">
        <v>45</v>
      </c>
      <c r="K2945">
        <v>8368</v>
      </c>
      <c r="L2945">
        <v>58</v>
      </c>
      <c r="M2945">
        <v>35.74</v>
      </c>
      <c r="N2945">
        <v>1</v>
      </c>
      <c r="O2945">
        <v>24.61</v>
      </c>
      <c r="P2945">
        <f t="shared" si="180"/>
        <v>6.9311663479923518E-3</v>
      </c>
      <c r="Q2945">
        <f t="shared" si="180"/>
        <v>0.61620689655172423</v>
      </c>
      <c r="R2945">
        <f t="shared" si="181"/>
        <v>35.74</v>
      </c>
      <c r="S2945">
        <f t="shared" si="182"/>
        <v>0.68858421936205927</v>
      </c>
      <c r="T2945">
        <f t="shared" si="183"/>
        <v>1.7241379310344827E-2</v>
      </c>
      <c r="U2945" t="str">
        <f>YEAR('Campaign Data'!$A2945)&amp;"-"&amp;TEXT(MONTH('Campaign Data'!$A2945),"00")</f>
        <v>2026-06</v>
      </c>
    </row>
    <row r="2946" spans="1:21" x14ac:dyDescent="0.25">
      <c r="A2946">
        <v>46183</v>
      </c>
      <c r="B2946" t="s">
        <v>46</v>
      </c>
      <c r="C2946" t="s">
        <v>47</v>
      </c>
      <c r="D2946" t="s">
        <v>48</v>
      </c>
      <c r="E2946" t="s">
        <v>49</v>
      </c>
      <c r="F2946" t="s">
        <v>43</v>
      </c>
      <c r="G2946" t="s">
        <v>50</v>
      </c>
      <c r="H2946" t="s">
        <v>90</v>
      </c>
      <c r="I2946" t="s">
        <v>37</v>
      </c>
      <c r="J2946" t="s">
        <v>87</v>
      </c>
      <c r="K2946">
        <v>7452</v>
      </c>
      <c r="L2946">
        <v>468</v>
      </c>
      <c r="M2946">
        <v>210.69</v>
      </c>
      <c r="N2946">
        <v>18</v>
      </c>
      <c r="O2946">
        <v>122.75</v>
      </c>
      <c r="P2946">
        <f t="shared" ref="P2946:Q3009" si="184">IF(K2946=0,0,L2946/K2946)</f>
        <v>6.280193236714976E-2</v>
      </c>
      <c r="Q2946">
        <f t="shared" si="184"/>
        <v>0.45019230769230767</v>
      </c>
      <c r="R2946">
        <f t="shared" ref="R2946:R3009" si="185">IF(N2946=0,0,M2946/N2946)</f>
        <v>11.705</v>
      </c>
      <c r="S2946">
        <f t="shared" ref="S2946:S3009" si="186">IF(M2946=0,0,O2946/M2946)</f>
        <v>0.58260952109734687</v>
      </c>
      <c r="T2946">
        <f t="shared" ref="T2946:T3009" si="187">IF(L2946=0,0,N2946/L2946)</f>
        <v>3.8461538461538464E-2</v>
      </c>
      <c r="U2946" t="str">
        <f>YEAR('Campaign Data'!$A2946)&amp;"-"&amp;TEXT(MONTH('Campaign Data'!$A2946),"00")</f>
        <v>2026-06</v>
      </c>
    </row>
    <row r="2947" spans="1:21" x14ac:dyDescent="0.25">
      <c r="A2947">
        <v>46183</v>
      </c>
      <c r="B2947" t="s">
        <v>169</v>
      </c>
      <c r="C2947" t="s">
        <v>170</v>
      </c>
      <c r="D2947" t="s">
        <v>58</v>
      </c>
      <c r="E2947" t="s">
        <v>74</v>
      </c>
      <c r="F2947" t="s">
        <v>75</v>
      </c>
      <c r="G2947" t="s">
        <v>9</v>
      </c>
      <c r="H2947" t="s">
        <v>71</v>
      </c>
      <c r="I2947" t="s">
        <v>37</v>
      </c>
      <c r="J2947" t="s">
        <v>29</v>
      </c>
      <c r="K2947">
        <v>13647</v>
      </c>
      <c r="L2947">
        <v>490</v>
      </c>
      <c r="M2947">
        <v>519.79</v>
      </c>
      <c r="N2947">
        <v>8</v>
      </c>
      <c r="O2947">
        <v>327.35000000000002</v>
      </c>
      <c r="P2947">
        <f t="shared" si="184"/>
        <v>3.590532717813439E-2</v>
      </c>
      <c r="Q2947">
        <f t="shared" si="184"/>
        <v>1.0607959183673468</v>
      </c>
      <c r="R2947">
        <f t="shared" si="185"/>
        <v>64.973749999999995</v>
      </c>
      <c r="S2947">
        <f t="shared" si="186"/>
        <v>0.62977356240020022</v>
      </c>
      <c r="T2947">
        <f t="shared" si="187"/>
        <v>1.6326530612244899E-2</v>
      </c>
      <c r="U2947" t="str">
        <f>YEAR('Campaign Data'!$A2947)&amp;"-"&amp;TEXT(MONTH('Campaign Data'!$A2947),"00")</f>
        <v>2026-06</v>
      </c>
    </row>
    <row r="2948" spans="1:21" x14ac:dyDescent="0.25">
      <c r="A2948">
        <v>46183</v>
      </c>
      <c r="B2948" t="s">
        <v>108</v>
      </c>
      <c r="C2948" t="s">
        <v>109</v>
      </c>
      <c r="D2948" t="s">
        <v>58</v>
      </c>
      <c r="E2948" t="s">
        <v>33</v>
      </c>
      <c r="F2948" t="s">
        <v>43</v>
      </c>
      <c r="G2948" t="s">
        <v>59</v>
      </c>
      <c r="H2948" t="s">
        <v>27</v>
      </c>
      <c r="I2948" t="s">
        <v>37</v>
      </c>
      <c r="J2948" t="s">
        <v>29</v>
      </c>
      <c r="K2948">
        <v>6220</v>
      </c>
      <c r="L2948">
        <v>59</v>
      </c>
      <c r="M2948">
        <v>29.82</v>
      </c>
      <c r="N2948">
        <v>0</v>
      </c>
      <c r="O2948">
        <v>0</v>
      </c>
      <c r="P2948">
        <f t="shared" si="184"/>
        <v>9.4855305466237938E-3</v>
      </c>
      <c r="Q2948">
        <f t="shared" si="184"/>
        <v>0.50542372881355935</v>
      </c>
      <c r="R2948">
        <f t="shared" si="185"/>
        <v>0</v>
      </c>
      <c r="S2948">
        <f t="shared" si="186"/>
        <v>0</v>
      </c>
      <c r="T2948">
        <f t="shared" si="187"/>
        <v>0</v>
      </c>
      <c r="U2948" t="str">
        <f>YEAR('Campaign Data'!$A2948)&amp;"-"&amp;TEXT(MONTH('Campaign Data'!$A2948),"00")</f>
        <v>2026-06</v>
      </c>
    </row>
    <row r="2949" spans="1:21" x14ac:dyDescent="0.25">
      <c r="A2949">
        <v>46183</v>
      </c>
      <c r="B2949" t="s">
        <v>157</v>
      </c>
      <c r="C2949" t="s">
        <v>158</v>
      </c>
      <c r="D2949" t="s">
        <v>58</v>
      </c>
      <c r="E2949" t="s">
        <v>49</v>
      </c>
      <c r="F2949" t="s">
        <v>81</v>
      </c>
      <c r="G2949" t="s">
        <v>50</v>
      </c>
      <c r="H2949" t="s">
        <v>71</v>
      </c>
      <c r="I2949" t="s">
        <v>28</v>
      </c>
      <c r="J2949" t="s">
        <v>62</v>
      </c>
      <c r="K2949">
        <v>4403</v>
      </c>
      <c r="L2949">
        <v>265</v>
      </c>
      <c r="M2949">
        <v>391.84</v>
      </c>
      <c r="N2949">
        <v>20</v>
      </c>
      <c r="O2949">
        <v>173.56</v>
      </c>
      <c r="P2949">
        <f t="shared" si="184"/>
        <v>6.018623665682489E-2</v>
      </c>
      <c r="Q2949">
        <f t="shared" si="184"/>
        <v>1.4786415094339622</v>
      </c>
      <c r="R2949">
        <f t="shared" si="185"/>
        <v>19.591999999999999</v>
      </c>
      <c r="S2949">
        <f t="shared" si="186"/>
        <v>0.44293589220089835</v>
      </c>
      <c r="T2949">
        <f t="shared" si="187"/>
        <v>7.5471698113207544E-2</v>
      </c>
      <c r="U2949" t="str">
        <f>YEAR('Campaign Data'!$A2949)&amp;"-"&amp;TEXT(MONTH('Campaign Data'!$A2949),"00")</f>
        <v>2026-06</v>
      </c>
    </row>
    <row r="2950" spans="1:21" x14ac:dyDescent="0.25">
      <c r="A2950">
        <v>46183</v>
      </c>
      <c r="B2950" t="s">
        <v>143</v>
      </c>
      <c r="C2950" t="s">
        <v>144</v>
      </c>
      <c r="D2950" t="s">
        <v>48</v>
      </c>
      <c r="E2950" t="s">
        <v>42</v>
      </c>
      <c r="F2950" t="s">
        <v>25</v>
      </c>
      <c r="G2950" t="s">
        <v>84</v>
      </c>
      <c r="H2950" t="s">
        <v>90</v>
      </c>
      <c r="I2950" t="s">
        <v>37</v>
      </c>
      <c r="J2950" t="s">
        <v>62</v>
      </c>
      <c r="K2950">
        <v>1677</v>
      </c>
      <c r="L2950">
        <v>23</v>
      </c>
      <c r="M2950">
        <v>45.14</v>
      </c>
      <c r="N2950">
        <v>1</v>
      </c>
      <c r="O2950">
        <v>35.33</v>
      </c>
      <c r="P2950">
        <f t="shared" si="184"/>
        <v>1.3714967203339297E-2</v>
      </c>
      <c r="Q2950">
        <f t="shared" si="184"/>
        <v>1.962608695652174</v>
      </c>
      <c r="R2950">
        <f t="shared" si="185"/>
        <v>45.14</v>
      </c>
      <c r="S2950">
        <f t="shared" si="186"/>
        <v>0.78267611874169252</v>
      </c>
      <c r="T2950">
        <f t="shared" si="187"/>
        <v>4.3478260869565216E-2</v>
      </c>
      <c r="U2950" t="str">
        <f>YEAR('Campaign Data'!$A2950)&amp;"-"&amp;TEXT(MONTH('Campaign Data'!$A2950),"00")</f>
        <v>2026-06</v>
      </c>
    </row>
    <row r="2951" spans="1:21" x14ac:dyDescent="0.25">
      <c r="A2951">
        <v>46183</v>
      </c>
      <c r="B2951" t="s">
        <v>67</v>
      </c>
      <c r="C2951" t="s">
        <v>68</v>
      </c>
      <c r="D2951" t="s">
        <v>69</v>
      </c>
      <c r="E2951" t="s">
        <v>49</v>
      </c>
      <c r="F2951" t="s">
        <v>34</v>
      </c>
      <c r="G2951" t="s">
        <v>70</v>
      </c>
      <c r="H2951" t="s">
        <v>90</v>
      </c>
      <c r="I2951" t="s">
        <v>28</v>
      </c>
      <c r="J2951" t="s">
        <v>87</v>
      </c>
      <c r="K2951">
        <v>9857</v>
      </c>
      <c r="L2951">
        <v>291</v>
      </c>
      <c r="M2951">
        <v>154.30000000000001</v>
      </c>
      <c r="N2951">
        <v>18</v>
      </c>
      <c r="O2951">
        <v>757.6</v>
      </c>
      <c r="P2951">
        <f t="shared" si="184"/>
        <v>2.952216698792736E-2</v>
      </c>
      <c r="Q2951">
        <f t="shared" si="184"/>
        <v>0.5302405498281787</v>
      </c>
      <c r="R2951">
        <f t="shared" si="185"/>
        <v>8.5722222222222229</v>
      </c>
      <c r="S2951">
        <f t="shared" si="186"/>
        <v>4.9099157485418017</v>
      </c>
      <c r="T2951">
        <f t="shared" si="187"/>
        <v>6.1855670103092786E-2</v>
      </c>
      <c r="U2951" t="str">
        <f>YEAR('Campaign Data'!$A2951)&amp;"-"&amp;TEXT(MONTH('Campaign Data'!$A2951),"00")</f>
        <v>2026-06</v>
      </c>
    </row>
    <row r="2952" spans="1:21" x14ac:dyDescent="0.25">
      <c r="A2952">
        <v>46183</v>
      </c>
      <c r="B2952" t="s">
        <v>76</v>
      </c>
      <c r="C2952" t="s">
        <v>77</v>
      </c>
      <c r="D2952" t="s">
        <v>65</v>
      </c>
      <c r="E2952" t="s">
        <v>42</v>
      </c>
      <c r="F2952" t="s">
        <v>43</v>
      </c>
      <c r="G2952" t="s">
        <v>44</v>
      </c>
      <c r="H2952" t="s">
        <v>90</v>
      </c>
      <c r="I2952" t="s">
        <v>28</v>
      </c>
      <c r="J2952" t="s">
        <v>45</v>
      </c>
      <c r="K2952">
        <v>21848</v>
      </c>
      <c r="L2952">
        <v>85</v>
      </c>
      <c r="M2952">
        <v>85.4</v>
      </c>
      <c r="N2952">
        <v>1</v>
      </c>
      <c r="O2952">
        <v>7.14</v>
      </c>
      <c r="P2952">
        <f t="shared" si="184"/>
        <v>3.8905162943976565E-3</v>
      </c>
      <c r="Q2952">
        <f t="shared" si="184"/>
        <v>1.0047058823529413</v>
      </c>
      <c r="R2952">
        <f t="shared" si="185"/>
        <v>85.4</v>
      </c>
      <c r="S2952">
        <f t="shared" si="186"/>
        <v>8.3606557377049168E-2</v>
      </c>
      <c r="T2952">
        <f t="shared" si="187"/>
        <v>1.1764705882352941E-2</v>
      </c>
      <c r="U2952" t="str">
        <f>YEAR('Campaign Data'!$A2952)&amp;"-"&amp;TEXT(MONTH('Campaign Data'!$A2952),"00")</f>
        <v>2026-06</v>
      </c>
    </row>
    <row r="2953" spans="1:21" x14ac:dyDescent="0.25">
      <c r="A2953">
        <v>46184</v>
      </c>
      <c r="B2953" t="s">
        <v>165</v>
      </c>
      <c r="C2953" t="s">
        <v>166</v>
      </c>
      <c r="D2953" t="s">
        <v>41</v>
      </c>
      <c r="E2953" t="s">
        <v>33</v>
      </c>
      <c r="F2953" t="s">
        <v>43</v>
      </c>
      <c r="G2953" t="s">
        <v>59</v>
      </c>
      <c r="H2953" t="s">
        <v>27</v>
      </c>
      <c r="I2953" t="s">
        <v>37</v>
      </c>
      <c r="J2953" t="s">
        <v>87</v>
      </c>
      <c r="K2953">
        <v>7041</v>
      </c>
      <c r="L2953">
        <v>25</v>
      </c>
      <c r="M2953">
        <v>16.350000000000001</v>
      </c>
      <c r="N2953">
        <v>1</v>
      </c>
      <c r="O2953">
        <v>36.130000000000003</v>
      </c>
      <c r="P2953">
        <f t="shared" si="184"/>
        <v>3.5506320124982249E-3</v>
      </c>
      <c r="Q2953">
        <f t="shared" si="184"/>
        <v>0.65400000000000003</v>
      </c>
      <c r="R2953">
        <f t="shared" si="185"/>
        <v>16.350000000000001</v>
      </c>
      <c r="S2953">
        <f t="shared" si="186"/>
        <v>2.2097859327217124</v>
      </c>
      <c r="T2953">
        <f t="shared" si="187"/>
        <v>0.04</v>
      </c>
      <c r="U2953" t="str">
        <f>YEAR('Campaign Data'!$A2953)&amp;"-"&amp;TEXT(MONTH('Campaign Data'!$A2953),"00")</f>
        <v>2026-06</v>
      </c>
    </row>
    <row r="2954" spans="1:21" x14ac:dyDescent="0.25">
      <c r="A2954">
        <v>46184</v>
      </c>
      <c r="B2954" t="s">
        <v>165</v>
      </c>
      <c r="C2954" t="s">
        <v>166</v>
      </c>
      <c r="D2954" t="s">
        <v>41</v>
      </c>
      <c r="E2954" t="s">
        <v>33</v>
      </c>
      <c r="F2954" t="s">
        <v>43</v>
      </c>
      <c r="G2954" t="s">
        <v>59</v>
      </c>
      <c r="H2954" t="s">
        <v>90</v>
      </c>
      <c r="I2954" t="s">
        <v>28</v>
      </c>
      <c r="J2954" t="s">
        <v>45</v>
      </c>
      <c r="K2954">
        <v>2340</v>
      </c>
      <c r="L2954">
        <v>14</v>
      </c>
      <c r="M2954">
        <v>2.23</v>
      </c>
      <c r="N2954">
        <v>0</v>
      </c>
      <c r="O2954">
        <v>0</v>
      </c>
      <c r="P2954">
        <f t="shared" si="184"/>
        <v>5.9829059829059833E-3</v>
      </c>
      <c r="Q2954">
        <f t="shared" si="184"/>
        <v>0.15928571428571428</v>
      </c>
      <c r="R2954">
        <f t="shared" si="185"/>
        <v>0</v>
      </c>
      <c r="S2954">
        <f t="shared" si="186"/>
        <v>0</v>
      </c>
      <c r="T2954">
        <f t="shared" si="187"/>
        <v>0</v>
      </c>
      <c r="U2954" t="str">
        <f>YEAR('Campaign Data'!$A2954)&amp;"-"&amp;TEXT(MONTH('Campaign Data'!$A2954),"00")</f>
        <v>2026-06</v>
      </c>
    </row>
    <row r="2955" spans="1:21" x14ac:dyDescent="0.25">
      <c r="A2955">
        <v>46184</v>
      </c>
      <c r="B2955" t="s">
        <v>21</v>
      </c>
      <c r="C2955" t="s">
        <v>124</v>
      </c>
      <c r="D2955" t="s">
        <v>23</v>
      </c>
      <c r="E2955" t="s">
        <v>24</v>
      </c>
      <c r="F2955" t="s">
        <v>25</v>
      </c>
      <c r="G2955" t="s">
        <v>26</v>
      </c>
      <c r="H2955" t="s">
        <v>60</v>
      </c>
      <c r="I2955" t="s">
        <v>37</v>
      </c>
      <c r="J2955" t="s">
        <v>38</v>
      </c>
      <c r="K2955">
        <v>6971</v>
      </c>
      <c r="L2955">
        <v>67</v>
      </c>
      <c r="M2955">
        <v>34.29</v>
      </c>
      <c r="N2955">
        <v>0</v>
      </c>
      <c r="O2955">
        <v>0</v>
      </c>
      <c r="P2955">
        <f t="shared" si="184"/>
        <v>9.6112465930282606E-3</v>
      </c>
      <c r="Q2955">
        <f t="shared" si="184"/>
        <v>0.51179104477611936</v>
      </c>
      <c r="R2955">
        <f t="shared" si="185"/>
        <v>0</v>
      </c>
      <c r="S2955">
        <f t="shared" si="186"/>
        <v>0</v>
      </c>
      <c r="T2955">
        <f t="shared" si="187"/>
        <v>0</v>
      </c>
      <c r="U2955" t="str">
        <f>YEAR('Campaign Data'!$A2955)&amp;"-"&amp;TEXT(MONTH('Campaign Data'!$A2955),"00")</f>
        <v>2026-06</v>
      </c>
    </row>
    <row r="2956" spans="1:21" x14ac:dyDescent="0.25">
      <c r="A2956">
        <v>46184</v>
      </c>
      <c r="B2956" t="s">
        <v>167</v>
      </c>
      <c r="C2956" t="s">
        <v>168</v>
      </c>
      <c r="D2956" t="s">
        <v>58</v>
      </c>
      <c r="E2956" t="s">
        <v>33</v>
      </c>
      <c r="F2956" t="s">
        <v>75</v>
      </c>
      <c r="G2956" t="s">
        <v>35</v>
      </c>
      <c r="H2956" t="s">
        <v>55</v>
      </c>
      <c r="I2956" t="s">
        <v>28</v>
      </c>
      <c r="J2956" t="s">
        <v>29</v>
      </c>
      <c r="K2956">
        <v>2856</v>
      </c>
      <c r="L2956">
        <v>32</v>
      </c>
      <c r="M2956">
        <v>23.59</v>
      </c>
      <c r="N2956">
        <v>1</v>
      </c>
      <c r="O2956">
        <v>50.48</v>
      </c>
      <c r="P2956">
        <f t="shared" si="184"/>
        <v>1.1204481792717087E-2</v>
      </c>
      <c r="Q2956">
        <f t="shared" si="184"/>
        <v>0.7371875</v>
      </c>
      <c r="R2956">
        <f t="shared" si="185"/>
        <v>23.59</v>
      </c>
      <c r="S2956">
        <f t="shared" si="186"/>
        <v>2.1398897838066975</v>
      </c>
      <c r="T2956">
        <f t="shared" si="187"/>
        <v>3.125E-2</v>
      </c>
      <c r="U2956" t="str">
        <f>YEAR('Campaign Data'!$A2956)&amp;"-"&amp;TEXT(MONTH('Campaign Data'!$A2956),"00")</f>
        <v>2026-06</v>
      </c>
    </row>
    <row r="2957" spans="1:21" x14ac:dyDescent="0.25">
      <c r="A2957">
        <v>46184</v>
      </c>
      <c r="B2957" t="s">
        <v>138</v>
      </c>
      <c r="C2957" t="s">
        <v>139</v>
      </c>
      <c r="D2957" t="s">
        <v>58</v>
      </c>
      <c r="E2957" t="s">
        <v>74</v>
      </c>
      <c r="F2957" t="s">
        <v>34</v>
      </c>
      <c r="G2957" t="s">
        <v>9</v>
      </c>
      <c r="H2957" t="s">
        <v>71</v>
      </c>
      <c r="I2957" t="s">
        <v>37</v>
      </c>
      <c r="J2957" t="s">
        <v>38</v>
      </c>
      <c r="K2957">
        <v>10617</v>
      </c>
      <c r="L2957">
        <v>297</v>
      </c>
      <c r="M2957">
        <v>480.45</v>
      </c>
      <c r="N2957">
        <v>4</v>
      </c>
      <c r="O2957">
        <v>456.97</v>
      </c>
      <c r="P2957">
        <f t="shared" si="184"/>
        <v>2.797400395591975E-2</v>
      </c>
      <c r="Q2957">
        <f t="shared" si="184"/>
        <v>1.6176767676767676</v>
      </c>
      <c r="R2957">
        <f t="shared" si="185"/>
        <v>120.1125</v>
      </c>
      <c r="S2957">
        <f t="shared" si="186"/>
        <v>0.95112914975543772</v>
      </c>
      <c r="T2957">
        <f t="shared" si="187"/>
        <v>1.3468013468013467E-2</v>
      </c>
      <c r="U2957" t="str">
        <f>YEAR('Campaign Data'!$A2957)&amp;"-"&amp;TEXT(MONTH('Campaign Data'!$A2957),"00")</f>
        <v>2026-06</v>
      </c>
    </row>
    <row r="2958" spans="1:21" x14ac:dyDescent="0.25">
      <c r="A2958">
        <v>46184</v>
      </c>
      <c r="B2958" t="s">
        <v>186</v>
      </c>
      <c r="C2958" t="s">
        <v>187</v>
      </c>
      <c r="D2958" t="s">
        <v>80</v>
      </c>
      <c r="E2958" t="s">
        <v>33</v>
      </c>
      <c r="F2958" t="s">
        <v>43</v>
      </c>
      <c r="G2958" t="s">
        <v>102</v>
      </c>
      <c r="H2958" t="s">
        <v>60</v>
      </c>
      <c r="I2958" t="s">
        <v>37</v>
      </c>
      <c r="J2958" t="s">
        <v>87</v>
      </c>
      <c r="K2958">
        <v>4771</v>
      </c>
      <c r="L2958">
        <v>60</v>
      </c>
      <c r="M2958">
        <v>57.32</v>
      </c>
      <c r="N2958">
        <v>0</v>
      </c>
      <c r="O2958">
        <v>0</v>
      </c>
      <c r="P2958">
        <f t="shared" si="184"/>
        <v>1.2575979878432194E-2</v>
      </c>
      <c r="Q2958">
        <f t="shared" si="184"/>
        <v>0.95533333333333337</v>
      </c>
      <c r="R2958">
        <f t="shared" si="185"/>
        <v>0</v>
      </c>
      <c r="S2958">
        <f t="shared" si="186"/>
        <v>0</v>
      </c>
      <c r="T2958">
        <f t="shared" si="187"/>
        <v>0</v>
      </c>
      <c r="U2958" t="str">
        <f>YEAR('Campaign Data'!$A2958)&amp;"-"&amp;TEXT(MONTH('Campaign Data'!$A2958),"00")</f>
        <v>2026-06</v>
      </c>
    </row>
    <row r="2959" spans="1:21" x14ac:dyDescent="0.25">
      <c r="A2959">
        <v>46184</v>
      </c>
      <c r="B2959" t="s">
        <v>39</v>
      </c>
      <c r="C2959" t="s">
        <v>40</v>
      </c>
      <c r="D2959" t="s">
        <v>41</v>
      </c>
      <c r="E2959" t="s">
        <v>42</v>
      </c>
      <c r="F2959" t="s">
        <v>43</v>
      </c>
      <c r="G2959" t="s">
        <v>44</v>
      </c>
      <c r="H2959" t="s">
        <v>71</v>
      </c>
      <c r="I2959" t="s">
        <v>28</v>
      </c>
      <c r="J2959" t="s">
        <v>29</v>
      </c>
      <c r="K2959">
        <v>4541</v>
      </c>
      <c r="L2959">
        <v>24</v>
      </c>
      <c r="M2959">
        <v>117.91</v>
      </c>
      <c r="N2959">
        <v>2</v>
      </c>
      <c r="O2959">
        <v>62.67</v>
      </c>
      <c r="P2959">
        <f t="shared" si="184"/>
        <v>5.2851794758863686E-3</v>
      </c>
      <c r="Q2959">
        <f t="shared" si="184"/>
        <v>4.9129166666666668</v>
      </c>
      <c r="R2959">
        <f t="shared" si="185"/>
        <v>58.954999999999998</v>
      </c>
      <c r="S2959">
        <f t="shared" si="186"/>
        <v>0.53150708167246208</v>
      </c>
      <c r="T2959">
        <f t="shared" si="187"/>
        <v>8.3333333333333329E-2</v>
      </c>
      <c r="U2959" t="str">
        <f>YEAR('Campaign Data'!$A2959)&amp;"-"&amp;TEXT(MONTH('Campaign Data'!$A2959),"00")</f>
        <v>2026-06</v>
      </c>
    </row>
    <row r="2960" spans="1:21" x14ac:dyDescent="0.25">
      <c r="A2960">
        <v>46184</v>
      </c>
      <c r="B2960" t="s">
        <v>46</v>
      </c>
      <c r="C2960" t="s">
        <v>47</v>
      </c>
      <c r="D2960" t="s">
        <v>48</v>
      </c>
      <c r="E2960" t="s">
        <v>49</v>
      </c>
      <c r="F2960" t="s">
        <v>43</v>
      </c>
      <c r="G2960" t="s">
        <v>50</v>
      </c>
      <c r="H2960" t="s">
        <v>71</v>
      </c>
      <c r="I2960" t="s">
        <v>37</v>
      </c>
      <c r="J2960" t="s">
        <v>38</v>
      </c>
      <c r="K2960">
        <v>4892</v>
      </c>
      <c r="L2960">
        <v>230</v>
      </c>
      <c r="M2960">
        <v>535.38</v>
      </c>
      <c r="N2960">
        <v>8</v>
      </c>
      <c r="O2960">
        <v>101.3</v>
      </c>
      <c r="P2960">
        <f t="shared" si="184"/>
        <v>4.7015535568274737E-2</v>
      </c>
      <c r="Q2960">
        <f t="shared" si="184"/>
        <v>2.3277391304347828</v>
      </c>
      <c r="R2960">
        <f t="shared" si="185"/>
        <v>66.922499999999999</v>
      </c>
      <c r="S2960">
        <f t="shared" si="186"/>
        <v>0.18921140124771191</v>
      </c>
      <c r="T2960">
        <f t="shared" si="187"/>
        <v>3.4782608695652174E-2</v>
      </c>
      <c r="U2960" t="str">
        <f>YEAR('Campaign Data'!$A2960)&amp;"-"&amp;TEXT(MONTH('Campaign Data'!$A2960),"00")</f>
        <v>2026-06</v>
      </c>
    </row>
    <row r="2961" spans="1:21" x14ac:dyDescent="0.25">
      <c r="A2961">
        <v>46184</v>
      </c>
      <c r="B2961" t="s">
        <v>127</v>
      </c>
      <c r="C2961" t="s">
        <v>128</v>
      </c>
      <c r="D2961" t="s">
        <v>58</v>
      </c>
      <c r="E2961" t="s">
        <v>24</v>
      </c>
      <c r="F2961" t="s">
        <v>81</v>
      </c>
      <c r="G2961" t="s">
        <v>129</v>
      </c>
      <c r="H2961" t="s">
        <v>90</v>
      </c>
      <c r="I2961" t="s">
        <v>28</v>
      </c>
      <c r="J2961" t="s">
        <v>29</v>
      </c>
      <c r="K2961">
        <v>9515</v>
      </c>
      <c r="L2961">
        <v>132</v>
      </c>
      <c r="M2961">
        <v>28.73</v>
      </c>
      <c r="N2961">
        <v>2</v>
      </c>
      <c r="O2961">
        <v>13.6</v>
      </c>
      <c r="P2961">
        <f t="shared" si="184"/>
        <v>1.3872832369942197E-2</v>
      </c>
      <c r="Q2961">
        <f t="shared" si="184"/>
        <v>0.21765151515151515</v>
      </c>
      <c r="R2961">
        <f t="shared" si="185"/>
        <v>14.365</v>
      </c>
      <c r="S2961">
        <f t="shared" si="186"/>
        <v>0.47337278106508873</v>
      </c>
      <c r="T2961">
        <f t="shared" si="187"/>
        <v>1.5151515151515152E-2</v>
      </c>
      <c r="U2961" t="str">
        <f>YEAR('Campaign Data'!$A2961)&amp;"-"&amp;TEXT(MONTH('Campaign Data'!$A2961),"00")</f>
        <v>2026-06</v>
      </c>
    </row>
    <row r="2962" spans="1:21" x14ac:dyDescent="0.25">
      <c r="A2962">
        <v>46184</v>
      </c>
      <c r="B2962" t="s">
        <v>179</v>
      </c>
      <c r="C2962" t="s">
        <v>180</v>
      </c>
      <c r="D2962" t="s">
        <v>58</v>
      </c>
      <c r="E2962" t="s">
        <v>42</v>
      </c>
      <c r="F2962" t="s">
        <v>25</v>
      </c>
      <c r="G2962" t="s">
        <v>54</v>
      </c>
      <c r="H2962" t="s">
        <v>71</v>
      </c>
      <c r="I2962" t="s">
        <v>28</v>
      </c>
      <c r="J2962" t="s">
        <v>38</v>
      </c>
      <c r="K2962">
        <v>7642</v>
      </c>
      <c r="L2962">
        <v>31</v>
      </c>
      <c r="M2962">
        <v>173.26</v>
      </c>
      <c r="N2962">
        <v>1</v>
      </c>
      <c r="O2962">
        <v>163.29</v>
      </c>
      <c r="P2962">
        <f t="shared" si="184"/>
        <v>4.0565297042658988E-3</v>
      </c>
      <c r="Q2962">
        <f t="shared" si="184"/>
        <v>5.589032258064516</v>
      </c>
      <c r="R2962">
        <f t="shared" si="185"/>
        <v>173.26</v>
      </c>
      <c r="S2962">
        <f t="shared" si="186"/>
        <v>0.94245642387163797</v>
      </c>
      <c r="T2962">
        <f t="shared" si="187"/>
        <v>3.2258064516129031E-2</v>
      </c>
      <c r="U2962" t="str">
        <f>YEAR('Campaign Data'!$A2962)&amp;"-"&amp;TEXT(MONTH('Campaign Data'!$A2962),"00")</f>
        <v>2026-06</v>
      </c>
    </row>
    <row r="2963" spans="1:21" x14ac:dyDescent="0.25">
      <c r="A2963">
        <v>46184</v>
      </c>
      <c r="B2963" t="s">
        <v>140</v>
      </c>
      <c r="C2963" t="s">
        <v>40</v>
      </c>
      <c r="D2963" t="s">
        <v>41</v>
      </c>
      <c r="E2963" t="s">
        <v>42</v>
      </c>
      <c r="F2963" t="s">
        <v>43</v>
      </c>
      <c r="G2963" t="s">
        <v>44</v>
      </c>
      <c r="H2963" t="s">
        <v>71</v>
      </c>
      <c r="I2963" t="s">
        <v>37</v>
      </c>
      <c r="J2963" t="s">
        <v>62</v>
      </c>
      <c r="K2963">
        <v>6303</v>
      </c>
      <c r="L2963">
        <v>92</v>
      </c>
      <c r="M2963">
        <v>344.26</v>
      </c>
      <c r="N2963">
        <v>7</v>
      </c>
      <c r="O2963">
        <v>208.88</v>
      </c>
      <c r="P2963">
        <f t="shared" si="184"/>
        <v>1.459622402030779E-2</v>
      </c>
      <c r="Q2963">
        <f t="shared" si="184"/>
        <v>3.7419565217391302</v>
      </c>
      <c r="R2963">
        <f t="shared" si="185"/>
        <v>49.18</v>
      </c>
      <c r="S2963">
        <f t="shared" si="186"/>
        <v>0.60675071167141115</v>
      </c>
      <c r="T2963">
        <f t="shared" si="187"/>
        <v>7.6086956521739135E-2</v>
      </c>
      <c r="U2963" t="str">
        <f>YEAR('Campaign Data'!$A2963)&amp;"-"&amp;TEXT(MONTH('Campaign Data'!$A2963),"00")</f>
        <v>2026-06</v>
      </c>
    </row>
    <row r="2964" spans="1:21" x14ac:dyDescent="0.25">
      <c r="A2964">
        <v>46184</v>
      </c>
      <c r="B2964" t="s">
        <v>140</v>
      </c>
      <c r="C2964" t="s">
        <v>40</v>
      </c>
      <c r="D2964" t="s">
        <v>41</v>
      </c>
      <c r="E2964" t="s">
        <v>42</v>
      </c>
      <c r="F2964" t="s">
        <v>43</v>
      </c>
      <c r="G2964" t="s">
        <v>44</v>
      </c>
      <c r="H2964" t="s">
        <v>36</v>
      </c>
      <c r="I2964" t="s">
        <v>28</v>
      </c>
      <c r="J2964" t="s">
        <v>45</v>
      </c>
      <c r="K2964">
        <v>12434</v>
      </c>
      <c r="L2964">
        <v>116</v>
      </c>
      <c r="M2964">
        <v>420.01</v>
      </c>
      <c r="N2964">
        <v>5</v>
      </c>
      <c r="O2964">
        <v>103.41</v>
      </c>
      <c r="P2964">
        <f t="shared" si="184"/>
        <v>9.329258484799742E-3</v>
      </c>
      <c r="Q2964">
        <f t="shared" si="184"/>
        <v>3.6207758620689656</v>
      </c>
      <c r="R2964">
        <f t="shared" si="185"/>
        <v>84.001999999999995</v>
      </c>
      <c r="S2964">
        <f t="shared" si="186"/>
        <v>0.2462084236089617</v>
      </c>
      <c r="T2964">
        <f t="shared" si="187"/>
        <v>4.3103448275862072E-2</v>
      </c>
      <c r="U2964" t="str">
        <f>YEAR('Campaign Data'!$A2964)&amp;"-"&amp;TEXT(MONTH('Campaign Data'!$A2964),"00")</f>
        <v>2026-06</v>
      </c>
    </row>
    <row r="2965" spans="1:21" x14ac:dyDescent="0.25">
      <c r="A2965">
        <v>46184</v>
      </c>
      <c r="B2965" t="s">
        <v>181</v>
      </c>
      <c r="C2965" t="s">
        <v>182</v>
      </c>
      <c r="D2965" t="s">
        <v>32</v>
      </c>
      <c r="E2965" t="s">
        <v>33</v>
      </c>
      <c r="F2965" t="s">
        <v>75</v>
      </c>
      <c r="G2965" t="s">
        <v>59</v>
      </c>
      <c r="H2965" t="s">
        <v>36</v>
      </c>
      <c r="I2965" t="s">
        <v>37</v>
      </c>
      <c r="J2965" t="s">
        <v>38</v>
      </c>
      <c r="K2965">
        <v>4358</v>
      </c>
      <c r="L2965">
        <v>35</v>
      </c>
      <c r="M2965">
        <v>19.68</v>
      </c>
      <c r="N2965">
        <v>0</v>
      </c>
      <c r="O2965">
        <v>0</v>
      </c>
      <c r="P2965">
        <f t="shared" si="184"/>
        <v>8.0312069756769168E-3</v>
      </c>
      <c r="Q2965">
        <f t="shared" si="184"/>
        <v>0.56228571428571428</v>
      </c>
      <c r="R2965">
        <f t="shared" si="185"/>
        <v>0</v>
      </c>
      <c r="S2965">
        <f t="shared" si="186"/>
        <v>0</v>
      </c>
      <c r="T2965">
        <f t="shared" si="187"/>
        <v>0</v>
      </c>
      <c r="U2965" t="str">
        <f>YEAR('Campaign Data'!$A2965)&amp;"-"&amp;TEXT(MONTH('Campaign Data'!$A2965),"00")</f>
        <v>2026-06</v>
      </c>
    </row>
    <row r="2966" spans="1:21" x14ac:dyDescent="0.25">
      <c r="A2966">
        <v>46184</v>
      </c>
      <c r="B2966" t="s">
        <v>141</v>
      </c>
      <c r="C2966" t="s">
        <v>142</v>
      </c>
      <c r="D2966" t="s">
        <v>80</v>
      </c>
      <c r="E2966" t="s">
        <v>49</v>
      </c>
      <c r="F2966" t="s">
        <v>81</v>
      </c>
      <c r="G2966" t="s">
        <v>97</v>
      </c>
      <c r="H2966" t="s">
        <v>27</v>
      </c>
      <c r="I2966" t="s">
        <v>37</v>
      </c>
      <c r="J2966" t="s">
        <v>62</v>
      </c>
      <c r="K2966">
        <v>4719</v>
      </c>
      <c r="L2966">
        <v>175</v>
      </c>
      <c r="M2966">
        <v>359.94</v>
      </c>
      <c r="N2966">
        <v>18</v>
      </c>
      <c r="O2966">
        <v>446.19</v>
      </c>
      <c r="P2966">
        <f t="shared" si="184"/>
        <v>3.7084127993218904E-2</v>
      </c>
      <c r="Q2966">
        <f t="shared" si="184"/>
        <v>2.0568</v>
      </c>
      <c r="R2966">
        <f t="shared" si="185"/>
        <v>19.996666666666666</v>
      </c>
      <c r="S2966">
        <f t="shared" si="186"/>
        <v>1.2396232705450909</v>
      </c>
      <c r="T2966">
        <f t="shared" si="187"/>
        <v>0.10285714285714286</v>
      </c>
      <c r="U2966" t="str">
        <f>YEAR('Campaign Data'!$A2966)&amp;"-"&amp;TEXT(MONTH('Campaign Data'!$A2966),"00")</f>
        <v>2026-06</v>
      </c>
    </row>
    <row r="2967" spans="1:21" x14ac:dyDescent="0.25">
      <c r="A2967">
        <v>46184</v>
      </c>
      <c r="B2967" t="s">
        <v>183</v>
      </c>
      <c r="C2967" t="s">
        <v>184</v>
      </c>
      <c r="D2967" t="s">
        <v>23</v>
      </c>
      <c r="E2967" t="s">
        <v>24</v>
      </c>
      <c r="F2967" t="s">
        <v>81</v>
      </c>
      <c r="G2967" t="s">
        <v>185</v>
      </c>
      <c r="H2967" t="s">
        <v>36</v>
      </c>
      <c r="I2967" t="s">
        <v>37</v>
      </c>
      <c r="J2967" t="s">
        <v>29</v>
      </c>
      <c r="K2967">
        <v>2004</v>
      </c>
      <c r="L2967">
        <v>30</v>
      </c>
      <c r="M2967">
        <v>34.19</v>
      </c>
      <c r="N2967">
        <v>1</v>
      </c>
      <c r="O2967">
        <v>9.7200000000000006</v>
      </c>
      <c r="P2967">
        <f t="shared" si="184"/>
        <v>1.4970059880239521E-2</v>
      </c>
      <c r="Q2967">
        <f t="shared" si="184"/>
        <v>1.1396666666666666</v>
      </c>
      <c r="R2967">
        <f t="shared" si="185"/>
        <v>34.19</v>
      </c>
      <c r="S2967">
        <f t="shared" si="186"/>
        <v>0.28429365311494592</v>
      </c>
      <c r="T2967">
        <f t="shared" si="187"/>
        <v>3.3333333333333333E-2</v>
      </c>
      <c r="U2967" t="str">
        <f>YEAR('Campaign Data'!$A2967)&amp;"-"&amp;TEXT(MONTH('Campaign Data'!$A2967),"00")</f>
        <v>2026-06</v>
      </c>
    </row>
    <row r="2968" spans="1:21" x14ac:dyDescent="0.25">
      <c r="A2968">
        <v>46184</v>
      </c>
      <c r="B2968" t="s">
        <v>76</v>
      </c>
      <c r="C2968" t="s">
        <v>77</v>
      </c>
      <c r="D2968" t="s">
        <v>65</v>
      </c>
      <c r="E2968" t="s">
        <v>42</v>
      </c>
      <c r="F2968" t="s">
        <v>43</v>
      </c>
      <c r="G2968" t="s">
        <v>44</v>
      </c>
      <c r="H2968" t="s">
        <v>51</v>
      </c>
      <c r="I2968" t="s">
        <v>37</v>
      </c>
      <c r="J2968" t="s">
        <v>29</v>
      </c>
      <c r="K2968">
        <v>3823</v>
      </c>
      <c r="L2968">
        <v>32</v>
      </c>
      <c r="M2968">
        <v>154.58000000000001</v>
      </c>
      <c r="N2968">
        <v>1</v>
      </c>
      <c r="O2968">
        <v>20.399999999999999</v>
      </c>
      <c r="P2968">
        <f t="shared" si="184"/>
        <v>8.37038974627256E-3</v>
      </c>
      <c r="Q2968">
        <f t="shared" si="184"/>
        <v>4.8306250000000004</v>
      </c>
      <c r="R2968">
        <f t="shared" si="185"/>
        <v>154.58000000000001</v>
      </c>
      <c r="S2968">
        <f t="shared" si="186"/>
        <v>0.13197050071160563</v>
      </c>
      <c r="T2968">
        <f t="shared" si="187"/>
        <v>3.125E-2</v>
      </c>
      <c r="U2968" t="str">
        <f>YEAR('Campaign Data'!$A2968)&amp;"-"&amp;TEXT(MONTH('Campaign Data'!$A2968),"00")</f>
        <v>2026-06</v>
      </c>
    </row>
    <row r="2969" spans="1:21" x14ac:dyDescent="0.25">
      <c r="A2969">
        <v>46185</v>
      </c>
      <c r="B2969" t="s">
        <v>88</v>
      </c>
      <c r="C2969" t="s">
        <v>89</v>
      </c>
      <c r="D2969" t="s">
        <v>23</v>
      </c>
      <c r="E2969" t="s">
        <v>49</v>
      </c>
      <c r="F2969" t="s">
        <v>81</v>
      </c>
      <c r="G2969" t="s">
        <v>50</v>
      </c>
      <c r="H2969" t="s">
        <v>90</v>
      </c>
      <c r="I2969" t="s">
        <v>28</v>
      </c>
      <c r="J2969" t="s">
        <v>38</v>
      </c>
      <c r="K2969">
        <v>5049</v>
      </c>
      <c r="L2969">
        <v>149</v>
      </c>
      <c r="M2969">
        <v>71.209999999999994</v>
      </c>
      <c r="N2969">
        <v>3</v>
      </c>
      <c r="O2969">
        <v>18.84</v>
      </c>
      <c r="P2969">
        <f t="shared" si="184"/>
        <v>2.9510794216676569E-2</v>
      </c>
      <c r="Q2969">
        <f t="shared" si="184"/>
        <v>0.47791946308724825</v>
      </c>
      <c r="R2969">
        <f t="shared" si="185"/>
        <v>23.736666666666665</v>
      </c>
      <c r="S2969">
        <f t="shared" si="186"/>
        <v>0.26456958292374666</v>
      </c>
      <c r="T2969">
        <f t="shared" si="187"/>
        <v>2.0134228187919462E-2</v>
      </c>
      <c r="U2969" t="str">
        <f>YEAR('Campaign Data'!$A2969)&amp;"-"&amp;TEXT(MONTH('Campaign Data'!$A2969),"00")</f>
        <v>2026-06</v>
      </c>
    </row>
    <row r="2970" spans="1:21" x14ac:dyDescent="0.25">
      <c r="A2970">
        <v>46185</v>
      </c>
      <c r="B2970" t="s">
        <v>167</v>
      </c>
      <c r="C2970" t="s">
        <v>168</v>
      </c>
      <c r="D2970" t="s">
        <v>58</v>
      </c>
      <c r="E2970" t="s">
        <v>33</v>
      </c>
      <c r="F2970" t="s">
        <v>75</v>
      </c>
      <c r="G2970" t="s">
        <v>35</v>
      </c>
      <c r="H2970" t="s">
        <v>27</v>
      </c>
      <c r="I2970" t="s">
        <v>37</v>
      </c>
      <c r="J2970" t="s">
        <v>45</v>
      </c>
      <c r="K2970">
        <v>3511</v>
      </c>
      <c r="L2970">
        <v>31</v>
      </c>
      <c r="M2970">
        <v>20.83</v>
      </c>
      <c r="N2970">
        <v>0</v>
      </c>
      <c r="O2970">
        <v>0</v>
      </c>
      <c r="P2970">
        <f t="shared" si="184"/>
        <v>8.8293933352321281E-3</v>
      </c>
      <c r="Q2970">
        <f t="shared" si="184"/>
        <v>0.67193548387096769</v>
      </c>
      <c r="R2970">
        <f t="shared" si="185"/>
        <v>0</v>
      </c>
      <c r="S2970">
        <f t="shared" si="186"/>
        <v>0</v>
      </c>
      <c r="T2970">
        <f t="shared" si="187"/>
        <v>0</v>
      </c>
      <c r="U2970" t="str">
        <f>YEAR('Campaign Data'!$A2970)&amp;"-"&amp;TEXT(MONTH('Campaign Data'!$A2970),"00")</f>
        <v>2026-06</v>
      </c>
    </row>
    <row r="2971" spans="1:21" x14ac:dyDescent="0.25">
      <c r="A2971">
        <v>46185</v>
      </c>
      <c r="B2971" t="s">
        <v>138</v>
      </c>
      <c r="C2971" t="s">
        <v>139</v>
      </c>
      <c r="D2971" t="s">
        <v>58</v>
      </c>
      <c r="E2971" t="s">
        <v>74</v>
      </c>
      <c r="F2971" t="s">
        <v>34</v>
      </c>
      <c r="G2971" t="s">
        <v>9</v>
      </c>
      <c r="H2971" t="s">
        <v>90</v>
      </c>
      <c r="I2971" t="s">
        <v>37</v>
      </c>
      <c r="J2971" t="s">
        <v>45</v>
      </c>
      <c r="K2971">
        <v>2164</v>
      </c>
      <c r="L2971">
        <v>64</v>
      </c>
      <c r="M2971">
        <v>25.52</v>
      </c>
      <c r="N2971">
        <v>5</v>
      </c>
      <c r="O2971">
        <v>239.12</v>
      </c>
      <c r="P2971">
        <f t="shared" si="184"/>
        <v>2.9574861367837338E-2</v>
      </c>
      <c r="Q2971">
        <f t="shared" si="184"/>
        <v>0.39874999999999999</v>
      </c>
      <c r="R2971">
        <f t="shared" si="185"/>
        <v>5.1040000000000001</v>
      </c>
      <c r="S2971">
        <f t="shared" si="186"/>
        <v>9.3699059561128522</v>
      </c>
      <c r="T2971">
        <f t="shared" si="187"/>
        <v>7.8125E-2</v>
      </c>
      <c r="U2971" t="str">
        <f>YEAR('Campaign Data'!$A2971)&amp;"-"&amp;TEXT(MONTH('Campaign Data'!$A2971),"00")</f>
        <v>2026-06</v>
      </c>
    </row>
    <row r="2972" spans="1:21" x14ac:dyDescent="0.25">
      <c r="A2972">
        <v>46185</v>
      </c>
      <c r="B2972" t="s">
        <v>149</v>
      </c>
      <c r="C2972" t="s">
        <v>150</v>
      </c>
      <c r="D2972" t="s">
        <v>65</v>
      </c>
      <c r="E2972" t="s">
        <v>33</v>
      </c>
      <c r="F2972" t="s">
        <v>43</v>
      </c>
      <c r="G2972" t="s">
        <v>59</v>
      </c>
      <c r="H2972" t="s">
        <v>90</v>
      </c>
      <c r="I2972" t="s">
        <v>37</v>
      </c>
      <c r="J2972" t="s">
        <v>29</v>
      </c>
      <c r="K2972">
        <v>4866</v>
      </c>
      <c r="L2972">
        <v>50</v>
      </c>
      <c r="M2972">
        <v>8.9600000000000009</v>
      </c>
      <c r="N2972">
        <v>2</v>
      </c>
      <c r="O2972">
        <v>19.2</v>
      </c>
      <c r="P2972">
        <f t="shared" si="184"/>
        <v>1.0275380189066995E-2</v>
      </c>
      <c r="Q2972">
        <f t="shared" si="184"/>
        <v>0.17920000000000003</v>
      </c>
      <c r="R2972">
        <f t="shared" si="185"/>
        <v>4.4800000000000004</v>
      </c>
      <c r="S2972">
        <f t="shared" si="186"/>
        <v>2.1428571428571428</v>
      </c>
      <c r="T2972">
        <f t="shared" si="187"/>
        <v>0.04</v>
      </c>
      <c r="U2972" t="str">
        <f>YEAR('Campaign Data'!$A2972)&amp;"-"&amp;TEXT(MONTH('Campaign Data'!$A2972),"00")</f>
        <v>2026-06</v>
      </c>
    </row>
    <row r="2973" spans="1:21" x14ac:dyDescent="0.25">
      <c r="A2973">
        <v>46185</v>
      </c>
      <c r="B2973" t="s">
        <v>39</v>
      </c>
      <c r="C2973" t="s">
        <v>40</v>
      </c>
      <c r="D2973" t="s">
        <v>41</v>
      </c>
      <c r="E2973" t="s">
        <v>42</v>
      </c>
      <c r="F2973" t="s">
        <v>43</v>
      </c>
      <c r="G2973" t="s">
        <v>44</v>
      </c>
      <c r="H2973" t="s">
        <v>27</v>
      </c>
      <c r="I2973" t="s">
        <v>28</v>
      </c>
      <c r="J2973" t="s">
        <v>87</v>
      </c>
      <c r="K2973">
        <v>14858</v>
      </c>
      <c r="L2973">
        <v>54</v>
      </c>
      <c r="M2973">
        <v>515.53</v>
      </c>
      <c r="N2973">
        <v>3</v>
      </c>
      <c r="O2973">
        <v>60.41</v>
      </c>
      <c r="P2973">
        <f t="shared" si="184"/>
        <v>3.6344057073630369E-3</v>
      </c>
      <c r="Q2973">
        <f t="shared" si="184"/>
        <v>9.5468518518518515</v>
      </c>
      <c r="R2973">
        <f t="shared" si="185"/>
        <v>171.84333333333333</v>
      </c>
      <c r="S2973">
        <f t="shared" si="186"/>
        <v>0.11718037747560762</v>
      </c>
      <c r="T2973">
        <f t="shared" si="187"/>
        <v>5.5555555555555552E-2</v>
      </c>
      <c r="U2973" t="str">
        <f>YEAR('Campaign Data'!$A2973)&amp;"-"&amp;TEXT(MONTH('Campaign Data'!$A2973),"00")</f>
        <v>2026-06</v>
      </c>
    </row>
    <row r="2974" spans="1:21" x14ac:dyDescent="0.25">
      <c r="A2974">
        <v>46185</v>
      </c>
      <c r="B2974" t="s">
        <v>39</v>
      </c>
      <c r="C2974" t="s">
        <v>40</v>
      </c>
      <c r="D2974" t="s">
        <v>41</v>
      </c>
      <c r="E2974" t="s">
        <v>42</v>
      </c>
      <c r="F2974" t="s">
        <v>43</v>
      </c>
      <c r="G2974" t="s">
        <v>44</v>
      </c>
      <c r="H2974" t="s">
        <v>90</v>
      </c>
      <c r="I2974" t="s">
        <v>28</v>
      </c>
      <c r="J2974" t="s">
        <v>87</v>
      </c>
      <c r="K2974">
        <v>7901</v>
      </c>
      <c r="L2974">
        <v>37</v>
      </c>
      <c r="M2974">
        <v>42.15</v>
      </c>
      <c r="N2974">
        <v>1</v>
      </c>
      <c r="O2974">
        <v>6</v>
      </c>
      <c r="P2974">
        <f t="shared" si="184"/>
        <v>4.6829515251234025E-3</v>
      </c>
      <c r="Q2974">
        <f t="shared" si="184"/>
        <v>1.1391891891891892</v>
      </c>
      <c r="R2974">
        <f t="shared" si="185"/>
        <v>42.15</v>
      </c>
      <c r="S2974">
        <f t="shared" si="186"/>
        <v>0.14234875444839859</v>
      </c>
      <c r="T2974">
        <f t="shared" si="187"/>
        <v>2.7027027027027029E-2</v>
      </c>
      <c r="U2974" t="str">
        <f>YEAR('Campaign Data'!$A2974)&amp;"-"&amp;TEXT(MONTH('Campaign Data'!$A2974),"00")</f>
        <v>2026-06</v>
      </c>
    </row>
    <row r="2975" spans="1:21" x14ac:dyDescent="0.25">
      <c r="A2975">
        <v>46185</v>
      </c>
      <c r="B2975" t="s">
        <v>169</v>
      </c>
      <c r="C2975" t="s">
        <v>170</v>
      </c>
      <c r="D2975" t="s">
        <v>58</v>
      </c>
      <c r="E2975" t="s">
        <v>74</v>
      </c>
      <c r="F2975" t="s">
        <v>75</v>
      </c>
      <c r="G2975" t="s">
        <v>9</v>
      </c>
      <c r="H2975" t="s">
        <v>90</v>
      </c>
      <c r="I2975" t="s">
        <v>28</v>
      </c>
      <c r="J2975" t="s">
        <v>87</v>
      </c>
      <c r="K2975">
        <v>9093</v>
      </c>
      <c r="L2975">
        <v>264</v>
      </c>
      <c r="M2975">
        <v>73.680000000000007</v>
      </c>
      <c r="N2975">
        <v>5</v>
      </c>
      <c r="O2975">
        <v>58.59</v>
      </c>
      <c r="P2975">
        <f t="shared" si="184"/>
        <v>2.9033322335862751E-2</v>
      </c>
      <c r="Q2975">
        <f t="shared" si="184"/>
        <v>0.27909090909090911</v>
      </c>
      <c r="R2975">
        <f t="shared" si="185"/>
        <v>14.736000000000001</v>
      </c>
      <c r="S2975">
        <f t="shared" si="186"/>
        <v>0.79519543973941365</v>
      </c>
      <c r="T2975">
        <f t="shared" si="187"/>
        <v>1.893939393939394E-2</v>
      </c>
      <c r="U2975" t="str">
        <f>YEAR('Campaign Data'!$A2975)&amp;"-"&amp;TEXT(MONTH('Campaign Data'!$A2975),"00")</f>
        <v>2026-06</v>
      </c>
    </row>
    <row r="2976" spans="1:21" x14ac:dyDescent="0.25">
      <c r="A2976">
        <v>46185</v>
      </c>
      <c r="B2976" t="s">
        <v>127</v>
      </c>
      <c r="C2976" t="s">
        <v>128</v>
      </c>
      <c r="D2976" t="s">
        <v>58</v>
      </c>
      <c r="E2976" t="s">
        <v>24</v>
      </c>
      <c r="F2976" t="s">
        <v>81</v>
      </c>
      <c r="G2976" t="s">
        <v>129</v>
      </c>
      <c r="H2976" t="s">
        <v>55</v>
      </c>
      <c r="I2976" t="s">
        <v>37</v>
      </c>
      <c r="J2976" t="s">
        <v>87</v>
      </c>
      <c r="K2976">
        <v>4652</v>
      </c>
      <c r="L2976">
        <v>25</v>
      </c>
      <c r="M2976">
        <v>26.57</v>
      </c>
      <c r="N2976">
        <v>2</v>
      </c>
      <c r="O2976">
        <v>38.93</v>
      </c>
      <c r="P2976">
        <f t="shared" si="184"/>
        <v>5.3740326741186584E-3</v>
      </c>
      <c r="Q2976">
        <f t="shared" si="184"/>
        <v>1.0628</v>
      </c>
      <c r="R2976">
        <f t="shared" si="185"/>
        <v>13.285</v>
      </c>
      <c r="S2976">
        <f t="shared" si="186"/>
        <v>1.4651863003387278</v>
      </c>
      <c r="T2976">
        <f t="shared" si="187"/>
        <v>0.08</v>
      </c>
      <c r="U2976" t="str">
        <f>YEAR('Campaign Data'!$A2976)&amp;"-"&amp;TEXT(MONTH('Campaign Data'!$A2976),"00")</f>
        <v>2026-06</v>
      </c>
    </row>
    <row r="2977" spans="1:21" x14ac:dyDescent="0.25">
      <c r="A2977">
        <v>46185</v>
      </c>
      <c r="B2977" t="s">
        <v>130</v>
      </c>
      <c r="C2977" t="s">
        <v>131</v>
      </c>
      <c r="D2977" t="s">
        <v>48</v>
      </c>
      <c r="E2977" t="s">
        <v>33</v>
      </c>
      <c r="F2977" t="s">
        <v>34</v>
      </c>
      <c r="G2977" t="s">
        <v>35</v>
      </c>
      <c r="H2977" t="s">
        <v>90</v>
      </c>
      <c r="I2977" t="s">
        <v>37</v>
      </c>
      <c r="J2977" t="s">
        <v>87</v>
      </c>
      <c r="K2977">
        <v>7210</v>
      </c>
      <c r="L2977">
        <v>60</v>
      </c>
      <c r="M2977">
        <v>6.9</v>
      </c>
      <c r="N2977">
        <v>0</v>
      </c>
      <c r="O2977">
        <v>0</v>
      </c>
      <c r="P2977">
        <f t="shared" si="184"/>
        <v>8.321775312066574E-3</v>
      </c>
      <c r="Q2977">
        <f t="shared" si="184"/>
        <v>0.115</v>
      </c>
      <c r="R2977">
        <f t="shared" si="185"/>
        <v>0</v>
      </c>
      <c r="S2977">
        <f t="shared" si="186"/>
        <v>0</v>
      </c>
      <c r="T2977">
        <f t="shared" si="187"/>
        <v>0</v>
      </c>
      <c r="U2977" t="str">
        <f>YEAR('Campaign Data'!$A2977)&amp;"-"&amp;TEXT(MONTH('Campaign Data'!$A2977),"00")</f>
        <v>2026-06</v>
      </c>
    </row>
    <row r="2978" spans="1:21" x14ac:dyDescent="0.25">
      <c r="A2978">
        <v>46185</v>
      </c>
      <c r="B2978" t="s">
        <v>110</v>
      </c>
      <c r="C2978" t="s">
        <v>111</v>
      </c>
      <c r="D2978" t="s">
        <v>23</v>
      </c>
      <c r="E2978" t="s">
        <v>49</v>
      </c>
      <c r="F2978" t="s">
        <v>34</v>
      </c>
      <c r="G2978" t="s">
        <v>50</v>
      </c>
      <c r="H2978" t="s">
        <v>36</v>
      </c>
      <c r="I2978" t="s">
        <v>28</v>
      </c>
      <c r="J2978" t="s">
        <v>45</v>
      </c>
      <c r="K2978">
        <v>3798</v>
      </c>
      <c r="L2978">
        <v>206</v>
      </c>
      <c r="M2978">
        <v>289.81</v>
      </c>
      <c r="N2978">
        <v>4</v>
      </c>
      <c r="O2978">
        <v>642.38</v>
      </c>
      <c r="P2978">
        <f t="shared" si="184"/>
        <v>5.4239073196419171E-2</v>
      </c>
      <c r="Q2978">
        <f t="shared" si="184"/>
        <v>1.4068446601941749</v>
      </c>
      <c r="R2978">
        <f t="shared" si="185"/>
        <v>72.452500000000001</v>
      </c>
      <c r="S2978">
        <f t="shared" si="186"/>
        <v>2.2165556744073704</v>
      </c>
      <c r="T2978">
        <f t="shared" si="187"/>
        <v>1.9417475728155338E-2</v>
      </c>
      <c r="U2978" t="str">
        <f>YEAR('Campaign Data'!$A2978)&amp;"-"&amp;TEXT(MONTH('Campaign Data'!$A2978),"00")</f>
        <v>2026-06</v>
      </c>
    </row>
    <row r="2979" spans="1:21" x14ac:dyDescent="0.25">
      <c r="A2979">
        <v>46185</v>
      </c>
      <c r="B2979" t="s">
        <v>141</v>
      </c>
      <c r="C2979" t="s">
        <v>142</v>
      </c>
      <c r="D2979" t="s">
        <v>80</v>
      </c>
      <c r="E2979" t="s">
        <v>49</v>
      </c>
      <c r="F2979" t="s">
        <v>81</v>
      </c>
      <c r="G2979" t="s">
        <v>97</v>
      </c>
      <c r="H2979" t="s">
        <v>90</v>
      </c>
      <c r="I2979" t="s">
        <v>37</v>
      </c>
      <c r="J2979" t="s">
        <v>62</v>
      </c>
      <c r="K2979">
        <v>19762</v>
      </c>
      <c r="L2979">
        <v>1605</v>
      </c>
      <c r="M2979">
        <v>1098.02</v>
      </c>
      <c r="N2979">
        <v>108</v>
      </c>
      <c r="O2979">
        <v>540</v>
      </c>
      <c r="P2979">
        <f t="shared" si="184"/>
        <v>8.1216476065175583E-2</v>
      </c>
      <c r="Q2979">
        <f t="shared" si="184"/>
        <v>0.68412461059190033</v>
      </c>
      <c r="R2979">
        <f t="shared" si="185"/>
        <v>10.166851851851852</v>
      </c>
      <c r="S2979">
        <f t="shared" si="186"/>
        <v>0.49179432068632628</v>
      </c>
      <c r="T2979">
        <f t="shared" si="187"/>
        <v>6.7289719626168226E-2</v>
      </c>
      <c r="U2979" t="str">
        <f>YEAR('Campaign Data'!$A2979)&amp;"-"&amp;TEXT(MONTH('Campaign Data'!$A2979),"00")</f>
        <v>2026-06</v>
      </c>
    </row>
    <row r="2980" spans="1:21" x14ac:dyDescent="0.25">
      <c r="A2980">
        <v>46185</v>
      </c>
      <c r="B2980" t="s">
        <v>63</v>
      </c>
      <c r="C2980" t="s">
        <v>64</v>
      </c>
      <c r="D2980" t="s">
        <v>65</v>
      </c>
      <c r="E2980" t="s">
        <v>24</v>
      </c>
      <c r="F2980" t="s">
        <v>43</v>
      </c>
      <c r="G2980" t="s">
        <v>66</v>
      </c>
      <c r="H2980" t="s">
        <v>27</v>
      </c>
      <c r="I2980" t="s">
        <v>61</v>
      </c>
      <c r="J2980" t="s">
        <v>62</v>
      </c>
      <c r="K2980">
        <v>4086</v>
      </c>
      <c r="L2980">
        <v>53</v>
      </c>
      <c r="M2980">
        <v>48.15</v>
      </c>
      <c r="N2980">
        <v>2</v>
      </c>
      <c r="O2980">
        <v>60.69</v>
      </c>
      <c r="P2980">
        <f t="shared" si="184"/>
        <v>1.297112090063632E-2</v>
      </c>
      <c r="Q2980">
        <f t="shared" si="184"/>
        <v>0.90849056603773581</v>
      </c>
      <c r="R2980">
        <f t="shared" si="185"/>
        <v>24.074999999999999</v>
      </c>
      <c r="S2980">
        <f t="shared" si="186"/>
        <v>1.260436137071651</v>
      </c>
      <c r="T2980">
        <f t="shared" si="187"/>
        <v>3.7735849056603772E-2</v>
      </c>
      <c r="U2980" t="str">
        <f>YEAR('Campaign Data'!$A2980)&amp;"-"&amp;TEXT(MONTH('Campaign Data'!$A2980),"00")</f>
        <v>2026-06</v>
      </c>
    </row>
    <row r="2981" spans="1:21" x14ac:dyDescent="0.25">
      <c r="A2981">
        <v>46185</v>
      </c>
      <c r="B2981" t="s">
        <v>67</v>
      </c>
      <c r="C2981" t="s">
        <v>68</v>
      </c>
      <c r="D2981" t="s">
        <v>69</v>
      </c>
      <c r="E2981" t="s">
        <v>49</v>
      </c>
      <c r="F2981" t="s">
        <v>34</v>
      </c>
      <c r="G2981" t="s">
        <v>70</v>
      </c>
      <c r="H2981" t="s">
        <v>71</v>
      </c>
      <c r="I2981" t="s">
        <v>37</v>
      </c>
      <c r="J2981" t="s">
        <v>45</v>
      </c>
      <c r="K2981">
        <v>1346</v>
      </c>
      <c r="L2981">
        <v>68</v>
      </c>
      <c r="M2981">
        <v>107.86</v>
      </c>
      <c r="N2981">
        <v>1</v>
      </c>
      <c r="O2981">
        <v>90.74</v>
      </c>
      <c r="P2981">
        <f t="shared" si="184"/>
        <v>5.0520059435364043E-2</v>
      </c>
      <c r="Q2981">
        <f t="shared" si="184"/>
        <v>1.5861764705882353</v>
      </c>
      <c r="R2981">
        <f t="shared" si="185"/>
        <v>107.86</v>
      </c>
      <c r="S2981">
        <f t="shared" si="186"/>
        <v>0.84127572779529014</v>
      </c>
      <c r="T2981">
        <f t="shared" si="187"/>
        <v>1.4705882352941176E-2</v>
      </c>
      <c r="U2981" t="str">
        <f>YEAR('Campaign Data'!$A2981)&amp;"-"&amp;TEXT(MONTH('Campaign Data'!$A2981),"00")</f>
        <v>2026-06</v>
      </c>
    </row>
    <row r="2982" spans="1:21" x14ac:dyDescent="0.25">
      <c r="A2982">
        <v>46185</v>
      </c>
      <c r="B2982" t="s">
        <v>76</v>
      </c>
      <c r="C2982" t="s">
        <v>77</v>
      </c>
      <c r="D2982" t="s">
        <v>65</v>
      </c>
      <c r="E2982" t="s">
        <v>42</v>
      </c>
      <c r="F2982" t="s">
        <v>43</v>
      </c>
      <c r="G2982" t="s">
        <v>44</v>
      </c>
      <c r="H2982" t="s">
        <v>51</v>
      </c>
      <c r="I2982" t="s">
        <v>37</v>
      </c>
      <c r="J2982" t="s">
        <v>38</v>
      </c>
      <c r="K2982">
        <v>10707</v>
      </c>
      <c r="L2982">
        <v>70</v>
      </c>
      <c r="M2982">
        <v>177.94</v>
      </c>
      <c r="N2982">
        <v>0</v>
      </c>
      <c r="O2982">
        <v>0</v>
      </c>
      <c r="P2982">
        <f t="shared" si="184"/>
        <v>6.5377790230690203E-3</v>
      </c>
      <c r="Q2982">
        <f t="shared" si="184"/>
        <v>2.5419999999999998</v>
      </c>
      <c r="R2982">
        <f t="shared" si="185"/>
        <v>0</v>
      </c>
      <c r="S2982">
        <f t="shared" si="186"/>
        <v>0</v>
      </c>
      <c r="T2982">
        <f t="shared" si="187"/>
        <v>0</v>
      </c>
      <c r="U2982" t="str">
        <f>YEAR('Campaign Data'!$A2982)&amp;"-"&amp;TEXT(MONTH('Campaign Data'!$A2982),"00")</f>
        <v>2026-06</v>
      </c>
    </row>
    <row r="2983" spans="1:21" x14ac:dyDescent="0.25">
      <c r="A2983">
        <v>46185</v>
      </c>
      <c r="B2983" t="s">
        <v>122</v>
      </c>
      <c r="C2983" t="s">
        <v>123</v>
      </c>
      <c r="D2983" t="s">
        <v>41</v>
      </c>
      <c r="E2983" t="s">
        <v>33</v>
      </c>
      <c r="F2983" t="s">
        <v>75</v>
      </c>
      <c r="G2983" t="s">
        <v>35</v>
      </c>
      <c r="H2983" t="s">
        <v>90</v>
      </c>
      <c r="I2983" t="s">
        <v>37</v>
      </c>
      <c r="J2983" t="s">
        <v>62</v>
      </c>
      <c r="K2983">
        <v>21337</v>
      </c>
      <c r="L2983">
        <v>187</v>
      </c>
      <c r="M2983">
        <v>27.31</v>
      </c>
      <c r="N2983">
        <v>6</v>
      </c>
      <c r="O2983">
        <v>61.68</v>
      </c>
      <c r="P2983">
        <f t="shared" si="184"/>
        <v>8.764118667104092E-3</v>
      </c>
      <c r="Q2983">
        <f t="shared" si="184"/>
        <v>0.14604278074866309</v>
      </c>
      <c r="R2983">
        <f t="shared" si="185"/>
        <v>4.5516666666666667</v>
      </c>
      <c r="S2983">
        <f t="shared" si="186"/>
        <v>2.2585133650677407</v>
      </c>
      <c r="T2983">
        <f t="shared" si="187"/>
        <v>3.2085561497326207E-2</v>
      </c>
      <c r="U2983" t="str">
        <f>YEAR('Campaign Data'!$A2983)&amp;"-"&amp;TEXT(MONTH('Campaign Data'!$A2983),"00")</f>
        <v>2026-06</v>
      </c>
    </row>
    <row r="2984" spans="1:21" x14ac:dyDescent="0.25">
      <c r="A2984">
        <v>46186</v>
      </c>
      <c r="B2984" t="s">
        <v>165</v>
      </c>
      <c r="C2984" t="s">
        <v>166</v>
      </c>
      <c r="D2984" t="s">
        <v>41</v>
      </c>
      <c r="E2984" t="s">
        <v>33</v>
      </c>
      <c r="F2984" t="s">
        <v>43</v>
      </c>
      <c r="G2984" t="s">
        <v>59</v>
      </c>
      <c r="H2984" t="s">
        <v>90</v>
      </c>
      <c r="I2984" t="s">
        <v>37</v>
      </c>
      <c r="J2984" t="s">
        <v>62</v>
      </c>
      <c r="K2984">
        <v>4349</v>
      </c>
      <c r="L2984">
        <v>48</v>
      </c>
      <c r="M2984">
        <v>5.69</v>
      </c>
      <c r="N2984">
        <v>0</v>
      </c>
      <c r="O2984">
        <v>0</v>
      </c>
      <c r="P2984">
        <f t="shared" si="184"/>
        <v>1.1037020004598759E-2</v>
      </c>
      <c r="Q2984">
        <f t="shared" si="184"/>
        <v>0.11854166666666667</v>
      </c>
      <c r="R2984">
        <f t="shared" si="185"/>
        <v>0</v>
      </c>
      <c r="S2984">
        <f t="shared" si="186"/>
        <v>0</v>
      </c>
      <c r="T2984">
        <f t="shared" si="187"/>
        <v>0</v>
      </c>
      <c r="U2984" t="str">
        <f>YEAR('Campaign Data'!$A2984)&amp;"-"&amp;TEXT(MONTH('Campaign Data'!$A2984),"00")</f>
        <v>2026-06</v>
      </c>
    </row>
    <row r="2985" spans="1:21" x14ac:dyDescent="0.25">
      <c r="A2985">
        <v>46186</v>
      </c>
      <c r="B2985" t="s">
        <v>167</v>
      </c>
      <c r="C2985" t="s">
        <v>168</v>
      </c>
      <c r="D2985" t="s">
        <v>58</v>
      </c>
      <c r="E2985" t="s">
        <v>33</v>
      </c>
      <c r="F2985" t="s">
        <v>75</v>
      </c>
      <c r="G2985" t="s">
        <v>35</v>
      </c>
      <c r="H2985" t="s">
        <v>27</v>
      </c>
      <c r="I2985" t="s">
        <v>37</v>
      </c>
      <c r="J2985" t="s">
        <v>87</v>
      </c>
      <c r="K2985">
        <v>8143</v>
      </c>
      <c r="L2985">
        <v>50</v>
      </c>
      <c r="M2985">
        <v>41.4</v>
      </c>
      <c r="N2985">
        <v>0</v>
      </c>
      <c r="O2985">
        <v>0</v>
      </c>
      <c r="P2985">
        <f t="shared" si="184"/>
        <v>6.140243153628884E-3</v>
      </c>
      <c r="Q2985">
        <f t="shared" si="184"/>
        <v>0.82799999999999996</v>
      </c>
      <c r="R2985">
        <f t="shared" si="185"/>
        <v>0</v>
      </c>
      <c r="S2985">
        <f t="shared" si="186"/>
        <v>0</v>
      </c>
      <c r="T2985">
        <f t="shared" si="187"/>
        <v>0</v>
      </c>
      <c r="U2985" t="str">
        <f>YEAR('Campaign Data'!$A2985)&amp;"-"&amp;TEXT(MONTH('Campaign Data'!$A2985),"00")</f>
        <v>2026-06</v>
      </c>
    </row>
    <row r="2986" spans="1:21" x14ac:dyDescent="0.25">
      <c r="A2986">
        <v>46186</v>
      </c>
      <c r="B2986" t="s">
        <v>147</v>
      </c>
      <c r="C2986" t="s">
        <v>148</v>
      </c>
      <c r="D2986" t="s">
        <v>23</v>
      </c>
      <c r="E2986" t="s">
        <v>42</v>
      </c>
      <c r="F2986" t="s">
        <v>75</v>
      </c>
      <c r="G2986" t="s">
        <v>44</v>
      </c>
      <c r="H2986" t="s">
        <v>27</v>
      </c>
      <c r="I2986" t="s">
        <v>37</v>
      </c>
      <c r="J2986" t="s">
        <v>38</v>
      </c>
      <c r="K2986">
        <v>6444</v>
      </c>
      <c r="L2986">
        <v>30</v>
      </c>
      <c r="M2986">
        <v>265.14999999999998</v>
      </c>
      <c r="N2986">
        <v>0</v>
      </c>
      <c r="O2986">
        <v>0</v>
      </c>
      <c r="P2986">
        <f t="shared" si="184"/>
        <v>4.6554934823091251E-3</v>
      </c>
      <c r="Q2986">
        <f t="shared" si="184"/>
        <v>8.8383333333333329</v>
      </c>
      <c r="R2986">
        <f t="shared" si="185"/>
        <v>0</v>
      </c>
      <c r="S2986">
        <f t="shared" si="186"/>
        <v>0</v>
      </c>
      <c r="T2986">
        <f t="shared" si="187"/>
        <v>0</v>
      </c>
      <c r="U2986" t="str">
        <f>YEAR('Campaign Data'!$A2986)&amp;"-"&amp;TEXT(MONTH('Campaign Data'!$A2986),"00")</f>
        <v>2026-06</v>
      </c>
    </row>
    <row r="2987" spans="1:21" x14ac:dyDescent="0.25">
      <c r="A2987">
        <v>46186</v>
      </c>
      <c r="B2987" t="s">
        <v>125</v>
      </c>
      <c r="C2987" t="s">
        <v>126</v>
      </c>
      <c r="D2987" t="s">
        <v>41</v>
      </c>
      <c r="E2987" t="s">
        <v>42</v>
      </c>
      <c r="F2987" t="s">
        <v>81</v>
      </c>
      <c r="G2987" t="s">
        <v>44</v>
      </c>
      <c r="H2987" t="s">
        <v>90</v>
      </c>
      <c r="I2987" t="s">
        <v>37</v>
      </c>
      <c r="J2987" t="s">
        <v>62</v>
      </c>
      <c r="K2987">
        <v>7909</v>
      </c>
      <c r="L2987">
        <v>57</v>
      </c>
      <c r="M2987">
        <v>82.19</v>
      </c>
      <c r="N2987">
        <v>3</v>
      </c>
      <c r="O2987">
        <v>17.57</v>
      </c>
      <c r="P2987">
        <f t="shared" si="184"/>
        <v>7.206979390567708E-3</v>
      </c>
      <c r="Q2987">
        <f t="shared" si="184"/>
        <v>1.4419298245614034</v>
      </c>
      <c r="R2987">
        <f t="shared" si="185"/>
        <v>27.396666666666665</v>
      </c>
      <c r="S2987">
        <f t="shared" si="186"/>
        <v>0.21377296508091009</v>
      </c>
      <c r="T2987">
        <f t="shared" si="187"/>
        <v>5.2631578947368418E-2</v>
      </c>
      <c r="U2987" t="str">
        <f>YEAR('Campaign Data'!$A2987)&amp;"-"&amp;TEXT(MONTH('Campaign Data'!$A2987),"00")</f>
        <v>2026-06</v>
      </c>
    </row>
    <row r="2988" spans="1:21" x14ac:dyDescent="0.25">
      <c r="A2988">
        <v>46186</v>
      </c>
      <c r="B2988" t="s">
        <v>186</v>
      </c>
      <c r="C2988" t="s">
        <v>187</v>
      </c>
      <c r="D2988" t="s">
        <v>80</v>
      </c>
      <c r="E2988" t="s">
        <v>33</v>
      </c>
      <c r="F2988" t="s">
        <v>43</v>
      </c>
      <c r="G2988" t="s">
        <v>102</v>
      </c>
      <c r="H2988" t="s">
        <v>55</v>
      </c>
      <c r="I2988" t="s">
        <v>37</v>
      </c>
      <c r="J2988" t="s">
        <v>87</v>
      </c>
      <c r="K2988">
        <v>5657</v>
      </c>
      <c r="L2988">
        <v>73</v>
      </c>
      <c r="M2988">
        <v>24.76</v>
      </c>
      <c r="N2988">
        <v>1</v>
      </c>
      <c r="O2988">
        <v>20.98</v>
      </c>
      <c r="P2988">
        <f t="shared" si="184"/>
        <v>1.2904366271875552E-2</v>
      </c>
      <c r="Q2988">
        <f t="shared" si="184"/>
        <v>0.33917808219178086</v>
      </c>
      <c r="R2988">
        <f t="shared" si="185"/>
        <v>24.76</v>
      </c>
      <c r="S2988">
        <f t="shared" si="186"/>
        <v>0.84733441033925683</v>
      </c>
      <c r="T2988">
        <f t="shared" si="187"/>
        <v>1.3698630136986301E-2</v>
      </c>
      <c r="U2988" t="str">
        <f>YEAR('Campaign Data'!$A2988)&amp;"-"&amp;TEXT(MONTH('Campaign Data'!$A2988),"00")</f>
        <v>2026-06</v>
      </c>
    </row>
    <row r="2989" spans="1:21" x14ac:dyDescent="0.25">
      <c r="A2989">
        <v>46186</v>
      </c>
      <c r="B2989" t="s">
        <v>95</v>
      </c>
      <c r="C2989" t="s">
        <v>96</v>
      </c>
      <c r="D2989" t="s">
        <v>23</v>
      </c>
      <c r="E2989" t="s">
        <v>49</v>
      </c>
      <c r="F2989" t="s">
        <v>43</v>
      </c>
      <c r="G2989" t="s">
        <v>97</v>
      </c>
      <c r="H2989" t="s">
        <v>27</v>
      </c>
      <c r="I2989" t="s">
        <v>37</v>
      </c>
      <c r="J2989" t="s">
        <v>62</v>
      </c>
      <c r="K2989">
        <v>3929</v>
      </c>
      <c r="L2989">
        <v>185</v>
      </c>
      <c r="M2989">
        <v>409.13</v>
      </c>
      <c r="N2989">
        <v>10</v>
      </c>
      <c r="O2989">
        <v>347.61</v>
      </c>
      <c r="P2989">
        <f t="shared" si="184"/>
        <v>4.7085772461186053E-2</v>
      </c>
      <c r="Q2989">
        <f t="shared" si="184"/>
        <v>2.2115135135135136</v>
      </c>
      <c r="R2989">
        <f t="shared" si="185"/>
        <v>40.912999999999997</v>
      </c>
      <c r="S2989">
        <f t="shared" si="186"/>
        <v>0.84963214626157946</v>
      </c>
      <c r="T2989">
        <f t="shared" si="187"/>
        <v>5.4054054054054057E-2</v>
      </c>
      <c r="U2989" t="str">
        <f>YEAR('Campaign Data'!$A2989)&amp;"-"&amp;TEXT(MONTH('Campaign Data'!$A2989),"00")</f>
        <v>2026-06</v>
      </c>
    </row>
    <row r="2990" spans="1:21" x14ac:dyDescent="0.25">
      <c r="A2990">
        <v>46186</v>
      </c>
      <c r="B2990" t="s">
        <v>103</v>
      </c>
      <c r="C2990" t="s">
        <v>104</v>
      </c>
      <c r="D2990" t="s">
        <v>65</v>
      </c>
      <c r="E2990" t="s">
        <v>33</v>
      </c>
      <c r="F2990" t="s">
        <v>43</v>
      </c>
      <c r="G2990" t="s">
        <v>102</v>
      </c>
      <c r="H2990" t="s">
        <v>36</v>
      </c>
      <c r="I2990" t="s">
        <v>61</v>
      </c>
      <c r="J2990" t="s">
        <v>29</v>
      </c>
      <c r="K2990">
        <v>3514</v>
      </c>
      <c r="L2990">
        <v>39</v>
      </c>
      <c r="M2990">
        <v>30.38</v>
      </c>
      <c r="N2990">
        <v>0</v>
      </c>
      <c r="O2990">
        <v>0</v>
      </c>
      <c r="P2990">
        <f t="shared" si="184"/>
        <v>1.109846328969835E-2</v>
      </c>
      <c r="Q2990">
        <f t="shared" si="184"/>
        <v>0.77897435897435896</v>
      </c>
      <c r="R2990">
        <f t="shared" si="185"/>
        <v>0</v>
      </c>
      <c r="S2990">
        <f t="shared" si="186"/>
        <v>0</v>
      </c>
      <c r="T2990">
        <f t="shared" si="187"/>
        <v>0</v>
      </c>
      <c r="U2990" t="str">
        <f>YEAR('Campaign Data'!$A2990)&amp;"-"&amp;TEXT(MONTH('Campaign Data'!$A2990),"00")</f>
        <v>2026-06</v>
      </c>
    </row>
    <row r="2991" spans="1:21" x14ac:dyDescent="0.25">
      <c r="A2991">
        <v>46186</v>
      </c>
      <c r="B2991" t="s">
        <v>103</v>
      </c>
      <c r="C2991" t="s">
        <v>104</v>
      </c>
      <c r="D2991" t="s">
        <v>65</v>
      </c>
      <c r="E2991" t="s">
        <v>33</v>
      </c>
      <c r="F2991" t="s">
        <v>43</v>
      </c>
      <c r="G2991" t="s">
        <v>102</v>
      </c>
      <c r="H2991" t="s">
        <v>36</v>
      </c>
      <c r="I2991" t="s">
        <v>37</v>
      </c>
      <c r="J2991" t="s">
        <v>29</v>
      </c>
      <c r="K2991">
        <v>6450</v>
      </c>
      <c r="L2991">
        <v>42</v>
      </c>
      <c r="M2991">
        <v>22.32</v>
      </c>
      <c r="N2991">
        <v>0</v>
      </c>
      <c r="O2991">
        <v>0</v>
      </c>
      <c r="P2991">
        <f t="shared" si="184"/>
        <v>6.5116279069767444E-3</v>
      </c>
      <c r="Q2991">
        <f t="shared" si="184"/>
        <v>0.53142857142857147</v>
      </c>
      <c r="R2991">
        <f t="shared" si="185"/>
        <v>0</v>
      </c>
      <c r="S2991">
        <f t="shared" si="186"/>
        <v>0</v>
      </c>
      <c r="T2991">
        <f t="shared" si="187"/>
        <v>0</v>
      </c>
      <c r="U2991" t="str">
        <f>YEAR('Campaign Data'!$A2991)&amp;"-"&amp;TEXT(MONTH('Campaign Data'!$A2991),"00")</f>
        <v>2026-06</v>
      </c>
    </row>
    <row r="2992" spans="1:21" x14ac:dyDescent="0.25">
      <c r="A2992">
        <v>46186</v>
      </c>
      <c r="B2992" t="s">
        <v>105</v>
      </c>
      <c r="C2992" t="s">
        <v>106</v>
      </c>
      <c r="D2992" t="s">
        <v>58</v>
      </c>
      <c r="E2992" t="s">
        <v>49</v>
      </c>
      <c r="F2992" t="s">
        <v>81</v>
      </c>
      <c r="G2992" t="s">
        <v>107</v>
      </c>
      <c r="H2992" t="s">
        <v>36</v>
      </c>
      <c r="I2992" t="s">
        <v>28</v>
      </c>
      <c r="J2992" t="s">
        <v>45</v>
      </c>
      <c r="K2992">
        <v>11866</v>
      </c>
      <c r="L2992">
        <v>540</v>
      </c>
      <c r="M2992">
        <v>1140.48</v>
      </c>
      <c r="N2992">
        <v>39</v>
      </c>
      <c r="O2992">
        <v>781.67</v>
      </c>
      <c r="P2992">
        <f t="shared" si="184"/>
        <v>4.5508174616551489E-2</v>
      </c>
      <c r="Q2992">
        <f t="shared" si="184"/>
        <v>2.1120000000000001</v>
      </c>
      <c r="R2992">
        <f t="shared" si="185"/>
        <v>29.243076923076924</v>
      </c>
      <c r="S2992">
        <f t="shared" si="186"/>
        <v>0.68538685465768789</v>
      </c>
      <c r="T2992">
        <f t="shared" si="187"/>
        <v>7.2222222222222215E-2</v>
      </c>
      <c r="U2992" t="str">
        <f>YEAR('Campaign Data'!$A2992)&amp;"-"&amp;TEXT(MONTH('Campaign Data'!$A2992),"00")</f>
        <v>2026-06</v>
      </c>
    </row>
    <row r="2993" spans="1:21" x14ac:dyDescent="0.25">
      <c r="A2993">
        <v>46186</v>
      </c>
      <c r="B2993" t="s">
        <v>130</v>
      </c>
      <c r="C2993" t="s">
        <v>131</v>
      </c>
      <c r="D2993" t="s">
        <v>48</v>
      </c>
      <c r="E2993" t="s">
        <v>33</v>
      </c>
      <c r="F2993" t="s">
        <v>34</v>
      </c>
      <c r="G2993" t="s">
        <v>35</v>
      </c>
      <c r="H2993" t="s">
        <v>90</v>
      </c>
      <c r="I2993" t="s">
        <v>37</v>
      </c>
      <c r="J2993" t="s">
        <v>45</v>
      </c>
      <c r="K2993">
        <v>11486</v>
      </c>
      <c r="L2993">
        <v>54</v>
      </c>
      <c r="M2993">
        <v>9.91</v>
      </c>
      <c r="N2993">
        <v>0</v>
      </c>
      <c r="O2993">
        <v>0</v>
      </c>
      <c r="P2993">
        <f t="shared" si="184"/>
        <v>4.7013755876719483E-3</v>
      </c>
      <c r="Q2993">
        <f t="shared" si="184"/>
        <v>0.18351851851851853</v>
      </c>
      <c r="R2993">
        <f t="shared" si="185"/>
        <v>0</v>
      </c>
      <c r="S2993">
        <f t="shared" si="186"/>
        <v>0</v>
      </c>
      <c r="T2993">
        <f t="shared" si="187"/>
        <v>0</v>
      </c>
      <c r="U2993" t="str">
        <f>YEAR('Campaign Data'!$A2993)&amp;"-"&amp;TEXT(MONTH('Campaign Data'!$A2993),"00")</f>
        <v>2026-06</v>
      </c>
    </row>
    <row r="2994" spans="1:21" x14ac:dyDescent="0.25">
      <c r="A2994">
        <v>46186</v>
      </c>
      <c r="B2994" t="s">
        <v>153</v>
      </c>
      <c r="C2994" t="s">
        <v>154</v>
      </c>
      <c r="D2994" t="s">
        <v>48</v>
      </c>
      <c r="E2994" t="s">
        <v>33</v>
      </c>
      <c r="F2994" t="s">
        <v>43</v>
      </c>
      <c r="G2994" t="s">
        <v>59</v>
      </c>
      <c r="H2994" t="s">
        <v>27</v>
      </c>
      <c r="I2994" t="s">
        <v>28</v>
      </c>
      <c r="J2994" t="s">
        <v>62</v>
      </c>
      <c r="K2994">
        <v>14777</v>
      </c>
      <c r="L2994">
        <v>167</v>
      </c>
      <c r="M2994">
        <v>130.09</v>
      </c>
      <c r="N2994">
        <v>2</v>
      </c>
      <c r="O2994">
        <v>66.739999999999995</v>
      </c>
      <c r="P2994">
        <f t="shared" si="184"/>
        <v>1.1301346687419639E-2</v>
      </c>
      <c r="Q2994">
        <f t="shared" si="184"/>
        <v>0.77898203592814375</v>
      </c>
      <c r="R2994">
        <f t="shared" si="185"/>
        <v>65.045000000000002</v>
      </c>
      <c r="S2994">
        <f t="shared" si="186"/>
        <v>0.51302944115612259</v>
      </c>
      <c r="T2994">
        <f t="shared" si="187"/>
        <v>1.1976047904191617E-2</v>
      </c>
      <c r="U2994" t="str">
        <f>YEAR('Campaign Data'!$A2994)&amp;"-"&amp;TEXT(MONTH('Campaign Data'!$A2994),"00")</f>
        <v>2026-06</v>
      </c>
    </row>
    <row r="2995" spans="1:21" x14ac:dyDescent="0.25">
      <c r="A2995">
        <v>46186</v>
      </c>
      <c r="B2995" t="s">
        <v>153</v>
      </c>
      <c r="C2995" t="s">
        <v>154</v>
      </c>
      <c r="D2995" t="s">
        <v>48</v>
      </c>
      <c r="E2995" t="s">
        <v>33</v>
      </c>
      <c r="F2995" t="s">
        <v>43</v>
      </c>
      <c r="G2995" t="s">
        <v>59</v>
      </c>
      <c r="H2995" t="s">
        <v>36</v>
      </c>
      <c r="I2995" t="s">
        <v>28</v>
      </c>
      <c r="J2995" t="s">
        <v>87</v>
      </c>
      <c r="K2995">
        <v>5217</v>
      </c>
      <c r="L2995">
        <v>41</v>
      </c>
      <c r="M2995">
        <v>17.91</v>
      </c>
      <c r="N2995">
        <v>0</v>
      </c>
      <c r="O2995">
        <v>0</v>
      </c>
      <c r="P2995">
        <f t="shared" si="184"/>
        <v>7.8589227525397744E-3</v>
      </c>
      <c r="Q2995">
        <f t="shared" si="184"/>
        <v>0.43682926829268293</v>
      </c>
      <c r="R2995">
        <f t="shared" si="185"/>
        <v>0</v>
      </c>
      <c r="S2995">
        <f t="shared" si="186"/>
        <v>0</v>
      </c>
      <c r="T2995">
        <f t="shared" si="187"/>
        <v>0</v>
      </c>
      <c r="U2995" t="str">
        <f>YEAR('Campaign Data'!$A2995)&amp;"-"&amp;TEXT(MONTH('Campaign Data'!$A2995),"00")</f>
        <v>2026-06</v>
      </c>
    </row>
    <row r="2996" spans="1:21" x14ac:dyDescent="0.25">
      <c r="A2996">
        <v>46186</v>
      </c>
      <c r="B2996" t="s">
        <v>140</v>
      </c>
      <c r="C2996" t="s">
        <v>40</v>
      </c>
      <c r="D2996" t="s">
        <v>41</v>
      </c>
      <c r="E2996" t="s">
        <v>42</v>
      </c>
      <c r="F2996" t="s">
        <v>43</v>
      </c>
      <c r="G2996" t="s">
        <v>44</v>
      </c>
      <c r="H2996" t="s">
        <v>27</v>
      </c>
      <c r="I2996" t="s">
        <v>28</v>
      </c>
      <c r="J2996" t="s">
        <v>62</v>
      </c>
      <c r="K2996">
        <v>9483</v>
      </c>
      <c r="L2996">
        <v>59</v>
      </c>
      <c r="M2996">
        <v>429.67</v>
      </c>
      <c r="N2996">
        <v>2</v>
      </c>
      <c r="O2996">
        <v>43.66</v>
      </c>
      <c r="P2996">
        <f t="shared" si="184"/>
        <v>6.2216598122956874E-3</v>
      </c>
      <c r="Q2996">
        <f t="shared" si="184"/>
        <v>7.2825423728813563</v>
      </c>
      <c r="R2996">
        <f t="shared" si="185"/>
        <v>214.83500000000001</v>
      </c>
      <c r="S2996">
        <f t="shared" si="186"/>
        <v>0.10161286568762072</v>
      </c>
      <c r="T2996">
        <f t="shared" si="187"/>
        <v>3.3898305084745763E-2</v>
      </c>
      <c r="U2996" t="str">
        <f>YEAR('Campaign Data'!$A2996)&amp;"-"&amp;TEXT(MONTH('Campaign Data'!$A2996),"00")</f>
        <v>2026-06</v>
      </c>
    </row>
    <row r="2997" spans="1:21" x14ac:dyDescent="0.25">
      <c r="A2997">
        <v>46186</v>
      </c>
      <c r="B2997" t="s">
        <v>110</v>
      </c>
      <c r="C2997" t="s">
        <v>111</v>
      </c>
      <c r="D2997" t="s">
        <v>23</v>
      </c>
      <c r="E2997" t="s">
        <v>49</v>
      </c>
      <c r="F2997" t="s">
        <v>34</v>
      </c>
      <c r="G2997" t="s">
        <v>50</v>
      </c>
      <c r="H2997" t="s">
        <v>71</v>
      </c>
      <c r="I2997" t="s">
        <v>37</v>
      </c>
      <c r="J2997" t="s">
        <v>38</v>
      </c>
      <c r="K2997">
        <v>2552</v>
      </c>
      <c r="L2997">
        <v>62</v>
      </c>
      <c r="M2997">
        <v>93.39</v>
      </c>
      <c r="N2997">
        <v>2</v>
      </c>
      <c r="O2997">
        <v>235.15</v>
      </c>
      <c r="P2997">
        <f t="shared" si="184"/>
        <v>2.4294670846394983E-2</v>
      </c>
      <c r="Q2997">
        <f t="shared" si="184"/>
        <v>1.5062903225806452</v>
      </c>
      <c r="R2997">
        <f t="shared" si="185"/>
        <v>46.695</v>
      </c>
      <c r="S2997">
        <f t="shared" si="186"/>
        <v>2.5179355391369524</v>
      </c>
      <c r="T2997">
        <f t="shared" si="187"/>
        <v>3.2258064516129031E-2</v>
      </c>
      <c r="U2997" t="str">
        <f>YEAR('Campaign Data'!$A2997)&amp;"-"&amp;TEXT(MONTH('Campaign Data'!$A2997),"00")</f>
        <v>2026-06</v>
      </c>
    </row>
    <row r="2998" spans="1:21" x14ac:dyDescent="0.25">
      <c r="A2998">
        <v>46186</v>
      </c>
      <c r="B2998" t="s">
        <v>155</v>
      </c>
      <c r="C2998" t="s">
        <v>156</v>
      </c>
      <c r="D2998" t="s">
        <v>32</v>
      </c>
      <c r="E2998" t="s">
        <v>24</v>
      </c>
      <c r="F2998" t="s">
        <v>34</v>
      </c>
      <c r="G2998" t="s">
        <v>129</v>
      </c>
      <c r="H2998" t="s">
        <v>90</v>
      </c>
      <c r="I2998" t="s">
        <v>37</v>
      </c>
      <c r="J2998" t="s">
        <v>45</v>
      </c>
      <c r="K2998">
        <v>1812</v>
      </c>
      <c r="L2998">
        <v>27</v>
      </c>
      <c r="M2998">
        <v>8.07</v>
      </c>
      <c r="N2998">
        <v>0</v>
      </c>
      <c r="O2998">
        <v>0</v>
      </c>
      <c r="P2998">
        <f t="shared" si="184"/>
        <v>1.4900662251655629E-2</v>
      </c>
      <c r="Q2998">
        <f t="shared" si="184"/>
        <v>0.29888888888888893</v>
      </c>
      <c r="R2998">
        <f t="shared" si="185"/>
        <v>0</v>
      </c>
      <c r="S2998">
        <f t="shared" si="186"/>
        <v>0</v>
      </c>
      <c r="T2998">
        <f t="shared" si="187"/>
        <v>0</v>
      </c>
      <c r="U2998" t="str">
        <f>YEAR('Campaign Data'!$A2998)&amp;"-"&amp;TEXT(MONTH('Campaign Data'!$A2998),"00")</f>
        <v>2026-06</v>
      </c>
    </row>
    <row r="2999" spans="1:21" x14ac:dyDescent="0.25">
      <c r="A2999">
        <v>46186</v>
      </c>
      <c r="B2999" t="s">
        <v>134</v>
      </c>
      <c r="C2999" t="s">
        <v>135</v>
      </c>
      <c r="D2999" t="s">
        <v>32</v>
      </c>
      <c r="E2999" t="s">
        <v>74</v>
      </c>
      <c r="F2999" t="s">
        <v>25</v>
      </c>
      <c r="G2999" t="s">
        <v>107</v>
      </c>
      <c r="H2999" t="s">
        <v>36</v>
      </c>
      <c r="I2999" t="s">
        <v>37</v>
      </c>
      <c r="J2999" t="s">
        <v>45</v>
      </c>
      <c r="K2999">
        <v>15639</v>
      </c>
      <c r="L2999">
        <v>426</v>
      </c>
      <c r="M2999">
        <v>541.27</v>
      </c>
      <c r="N2999">
        <v>15</v>
      </c>
      <c r="O2999">
        <v>2364.66</v>
      </c>
      <c r="P2999">
        <f t="shared" si="184"/>
        <v>2.7239593324381355E-2</v>
      </c>
      <c r="Q2999">
        <f t="shared" si="184"/>
        <v>1.2705868544600938</v>
      </c>
      <c r="R2999">
        <f t="shared" si="185"/>
        <v>36.084666666666664</v>
      </c>
      <c r="S2999">
        <f t="shared" si="186"/>
        <v>4.3687254050658639</v>
      </c>
      <c r="T2999">
        <f t="shared" si="187"/>
        <v>3.5211267605633804E-2</v>
      </c>
      <c r="U2999" t="str">
        <f>YEAR('Campaign Data'!$A2999)&amp;"-"&amp;TEXT(MONTH('Campaign Data'!$A2999),"00")</f>
        <v>2026-06</v>
      </c>
    </row>
    <row r="3000" spans="1:21" x14ac:dyDescent="0.25">
      <c r="A3000">
        <v>46186</v>
      </c>
      <c r="B3000" t="s">
        <v>159</v>
      </c>
      <c r="C3000" t="s">
        <v>160</v>
      </c>
      <c r="D3000" t="s">
        <v>65</v>
      </c>
      <c r="E3000" t="s">
        <v>42</v>
      </c>
      <c r="F3000" t="s">
        <v>75</v>
      </c>
      <c r="G3000" t="s">
        <v>54</v>
      </c>
      <c r="H3000" t="s">
        <v>90</v>
      </c>
      <c r="I3000" t="s">
        <v>37</v>
      </c>
      <c r="J3000" t="s">
        <v>38</v>
      </c>
      <c r="K3000">
        <v>7734</v>
      </c>
      <c r="L3000">
        <v>73</v>
      </c>
      <c r="M3000">
        <v>145.46</v>
      </c>
      <c r="N3000">
        <v>6</v>
      </c>
      <c r="O3000">
        <v>69.78</v>
      </c>
      <c r="P3000">
        <f t="shared" si="184"/>
        <v>9.4388414791828287E-3</v>
      </c>
      <c r="Q3000">
        <f t="shared" si="184"/>
        <v>1.9926027397260275</v>
      </c>
      <c r="R3000">
        <f t="shared" si="185"/>
        <v>24.243333333333336</v>
      </c>
      <c r="S3000">
        <f t="shared" si="186"/>
        <v>0.47971951051835554</v>
      </c>
      <c r="T3000">
        <f t="shared" si="187"/>
        <v>8.2191780821917804E-2</v>
      </c>
      <c r="U3000" t="str">
        <f>YEAR('Campaign Data'!$A3000)&amp;"-"&amp;TEXT(MONTH('Campaign Data'!$A3000),"00")</f>
        <v>2026-06</v>
      </c>
    </row>
    <row r="3001" spans="1:21" x14ac:dyDescent="0.25">
      <c r="A3001">
        <v>46186</v>
      </c>
      <c r="B3001" t="s">
        <v>136</v>
      </c>
      <c r="C3001" t="s">
        <v>137</v>
      </c>
      <c r="D3001" t="s">
        <v>32</v>
      </c>
      <c r="E3001" t="s">
        <v>49</v>
      </c>
      <c r="F3001" t="s">
        <v>75</v>
      </c>
      <c r="G3001" t="s">
        <v>97</v>
      </c>
      <c r="H3001" t="s">
        <v>60</v>
      </c>
      <c r="I3001" t="s">
        <v>28</v>
      </c>
      <c r="J3001" t="s">
        <v>38</v>
      </c>
      <c r="K3001">
        <v>3289</v>
      </c>
      <c r="L3001">
        <v>195</v>
      </c>
      <c r="M3001">
        <v>407.03</v>
      </c>
      <c r="N3001">
        <v>9</v>
      </c>
      <c r="O3001">
        <v>120.05</v>
      </c>
      <c r="P3001">
        <f t="shared" si="184"/>
        <v>5.9288537549407112E-2</v>
      </c>
      <c r="Q3001">
        <f t="shared" si="184"/>
        <v>2.087333333333333</v>
      </c>
      <c r="R3001">
        <f t="shared" si="185"/>
        <v>45.225555555555552</v>
      </c>
      <c r="S3001">
        <f t="shared" si="186"/>
        <v>0.29494140481045622</v>
      </c>
      <c r="T3001">
        <f t="shared" si="187"/>
        <v>4.6153846153846156E-2</v>
      </c>
      <c r="U3001" t="str">
        <f>YEAR('Campaign Data'!$A3001)&amp;"-"&amp;TEXT(MONTH('Campaign Data'!$A3001),"00")</f>
        <v>2026-06</v>
      </c>
    </row>
    <row r="3002" spans="1:21" x14ac:dyDescent="0.25">
      <c r="A3002">
        <v>46186</v>
      </c>
      <c r="B3002" t="s">
        <v>67</v>
      </c>
      <c r="C3002" t="s">
        <v>68</v>
      </c>
      <c r="D3002" t="s">
        <v>69</v>
      </c>
      <c r="E3002" t="s">
        <v>49</v>
      </c>
      <c r="F3002" t="s">
        <v>34</v>
      </c>
      <c r="G3002" t="s">
        <v>70</v>
      </c>
      <c r="H3002" t="s">
        <v>27</v>
      </c>
      <c r="I3002" t="s">
        <v>28</v>
      </c>
      <c r="J3002" t="s">
        <v>29</v>
      </c>
      <c r="K3002">
        <v>14817</v>
      </c>
      <c r="L3002">
        <v>655</v>
      </c>
      <c r="M3002">
        <v>1223.19</v>
      </c>
      <c r="N3002">
        <v>34</v>
      </c>
      <c r="O3002">
        <v>5617.07</v>
      </c>
      <c r="P3002">
        <f t="shared" si="184"/>
        <v>4.4205979618006347E-2</v>
      </c>
      <c r="Q3002">
        <f t="shared" si="184"/>
        <v>1.8674656488549619</v>
      </c>
      <c r="R3002">
        <f t="shared" si="185"/>
        <v>35.976176470588236</v>
      </c>
      <c r="S3002">
        <f t="shared" si="186"/>
        <v>4.5921483988587211</v>
      </c>
      <c r="T3002">
        <f t="shared" si="187"/>
        <v>5.1908396946564885E-2</v>
      </c>
      <c r="U3002" t="str">
        <f>YEAR('Campaign Data'!$A3002)&amp;"-"&amp;TEXT(MONTH('Campaign Data'!$A3002),"00")</f>
        <v>2026-06</v>
      </c>
    </row>
    <row r="3003" spans="1:21" x14ac:dyDescent="0.25">
      <c r="A3003">
        <v>46186</v>
      </c>
      <c r="B3003" t="s">
        <v>145</v>
      </c>
      <c r="C3003" t="s">
        <v>146</v>
      </c>
      <c r="D3003" t="s">
        <v>41</v>
      </c>
      <c r="E3003" t="s">
        <v>49</v>
      </c>
      <c r="F3003" t="s">
        <v>75</v>
      </c>
      <c r="G3003" t="s">
        <v>70</v>
      </c>
      <c r="H3003" t="s">
        <v>36</v>
      </c>
      <c r="I3003" t="s">
        <v>37</v>
      </c>
      <c r="J3003" t="s">
        <v>45</v>
      </c>
      <c r="K3003">
        <v>10972</v>
      </c>
      <c r="L3003">
        <v>449</v>
      </c>
      <c r="M3003">
        <v>546.70000000000005</v>
      </c>
      <c r="N3003">
        <v>21</v>
      </c>
      <c r="O3003">
        <v>987.49</v>
      </c>
      <c r="P3003">
        <f t="shared" si="184"/>
        <v>4.0922347794385708E-2</v>
      </c>
      <c r="Q3003">
        <f t="shared" si="184"/>
        <v>1.2175946547884189</v>
      </c>
      <c r="R3003">
        <f t="shared" si="185"/>
        <v>26.033333333333335</v>
      </c>
      <c r="S3003">
        <f t="shared" si="186"/>
        <v>1.8062740076824582</v>
      </c>
      <c r="T3003">
        <f t="shared" si="187"/>
        <v>4.6770601336302897E-2</v>
      </c>
      <c r="U3003" t="str">
        <f>YEAR('Campaign Data'!$A3003)&amp;"-"&amp;TEXT(MONTH('Campaign Data'!$A3003),"00")</f>
        <v>2026-06</v>
      </c>
    </row>
    <row r="3004" spans="1:21" x14ac:dyDescent="0.25">
      <c r="A3004">
        <v>46186</v>
      </c>
      <c r="B3004" t="s">
        <v>76</v>
      </c>
      <c r="C3004" t="s">
        <v>77</v>
      </c>
      <c r="D3004" t="s">
        <v>65</v>
      </c>
      <c r="E3004" t="s">
        <v>42</v>
      </c>
      <c r="F3004" t="s">
        <v>43</v>
      </c>
      <c r="G3004" t="s">
        <v>44</v>
      </c>
      <c r="H3004" t="s">
        <v>55</v>
      </c>
      <c r="I3004" t="s">
        <v>37</v>
      </c>
      <c r="J3004" t="s">
        <v>29</v>
      </c>
      <c r="K3004">
        <v>1874</v>
      </c>
      <c r="L3004">
        <v>5</v>
      </c>
      <c r="M3004">
        <v>33.6</v>
      </c>
      <c r="N3004">
        <v>0</v>
      </c>
      <c r="O3004">
        <v>0</v>
      </c>
      <c r="P3004">
        <f t="shared" si="184"/>
        <v>2.6680896478121665E-3</v>
      </c>
      <c r="Q3004">
        <f t="shared" si="184"/>
        <v>6.7200000000000006</v>
      </c>
      <c r="R3004">
        <f t="shared" si="185"/>
        <v>0</v>
      </c>
      <c r="S3004">
        <f t="shared" si="186"/>
        <v>0</v>
      </c>
      <c r="T3004">
        <f t="shared" si="187"/>
        <v>0</v>
      </c>
      <c r="U3004" t="str">
        <f>YEAR('Campaign Data'!$A3004)&amp;"-"&amp;TEXT(MONTH('Campaign Data'!$A3004),"00")</f>
        <v>2026-06</v>
      </c>
    </row>
    <row r="3005" spans="1:21" x14ac:dyDescent="0.25">
      <c r="A3005">
        <v>46187</v>
      </c>
      <c r="B3005" t="s">
        <v>165</v>
      </c>
      <c r="C3005" t="s">
        <v>166</v>
      </c>
      <c r="D3005" t="s">
        <v>41</v>
      </c>
      <c r="E3005" t="s">
        <v>33</v>
      </c>
      <c r="F3005" t="s">
        <v>43</v>
      </c>
      <c r="G3005" t="s">
        <v>59</v>
      </c>
      <c r="H3005" t="s">
        <v>55</v>
      </c>
      <c r="I3005" t="s">
        <v>37</v>
      </c>
      <c r="J3005" t="s">
        <v>38</v>
      </c>
      <c r="K3005">
        <v>5407</v>
      </c>
      <c r="L3005">
        <v>53</v>
      </c>
      <c r="M3005">
        <v>31.63</v>
      </c>
      <c r="N3005">
        <v>1</v>
      </c>
      <c r="O3005">
        <v>15.52</v>
      </c>
      <c r="P3005">
        <f t="shared" si="184"/>
        <v>9.8021083780284821E-3</v>
      </c>
      <c r="Q3005">
        <f t="shared" si="184"/>
        <v>0.59679245283018867</v>
      </c>
      <c r="R3005">
        <f t="shared" si="185"/>
        <v>31.63</v>
      </c>
      <c r="S3005">
        <f t="shared" si="186"/>
        <v>0.49067341131836861</v>
      </c>
      <c r="T3005">
        <f t="shared" si="187"/>
        <v>1.8867924528301886E-2</v>
      </c>
      <c r="U3005" t="str">
        <f>YEAR('Campaign Data'!$A3005)&amp;"-"&amp;TEXT(MONTH('Campaign Data'!$A3005),"00")</f>
        <v>2026-06</v>
      </c>
    </row>
    <row r="3006" spans="1:21" x14ac:dyDescent="0.25">
      <c r="A3006">
        <v>46187</v>
      </c>
      <c r="B3006" t="s">
        <v>165</v>
      </c>
      <c r="C3006" t="s">
        <v>166</v>
      </c>
      <c r="D3006" t="s">
        <v>41</v>
      </c>
      <c r="E3006" t="s">
        <v>33</v>
      </c>
      <c r="F3006" t="s">
        <v>43</v>
      </c>
      <c r="G3006" t="s">
        <v>59</v>
      </c>
      <c r="H3006" t="s">
        <v>90</v>
      </c>
      <c r="I3006" t="s">
        <v>28</v>
      </c>
      <c r="J3006" t="s">
        <v>29</v>
      </c>
      <c r="K3006">
        <v>1457</v>
      </c>
      <c r="L3006">
        <v>4</v>
      </c>
      <c r="M3006">
        <v>0.83</v>
      </c>
      <c r="N3006">
        <v>0</v>
      </c>
      <c r="O3006">
        <v>0</v>
      </c>
      <c r="P3006">
        <f t="shared" si="184"/>
        <v>2.7453671928620452E-3</v>
      </c>
      <c r="Q3006">
        <f t="shared" si="184"/>
        <v>0.20749999999999999</v>
      </c>
      <c r="R3006">
        <f t="shared" si="185"/>
        <v>0</v>
      </c>
      <c r="S3006">
        <f t="shared" si="186"/>
        <v>0</v>
      </c>
      <c r="T3006">
        <f t="shared" si="187"/>
        <v>0</v>
      </c>
      <c r="U3006" t="str">
        <f>YEAR('Campaign Data'!$A3006)&amp;"-"&amp;TEXT(MONTH('Campaign Data'!$A3006),"00")</f>
        <v>2026-06</v>
      </c>
    </row>
    <row r="3007" spans="1:21" x14ac:dyDescent="0.25">
      <c r="A3007">
        <v>46187</v>
      </c>
      <c r="B3007" t="s">
        <v>173</v>
      </c>
      <c r="C3007" t="s">
        <v>174</v>
      </c>
      <c r="D3007" t="s">
        <v>48</v>
      </c>
      <c r="E3007" t="s">
        <v>74</v>
      </c>
      <c r="F3007" t="s">
        <v>25</v>
      </c>
      <c r="G3007" t="s">
        <v>9</v>
      </c>
      <c r="H3007" t="s">
        <v>55</v>
      </c>
      <c r="I3007" t="s">
        <v>37</v>
      </c>
      <c r="J3007" t="s">
        <v>38</v>
      </c>
      <c r="K3007">
        <v>3468</v>
      </c>
      <c r="L3007">
        <v>103</v>
      </c>
      <c r="M3007">
        <v>102.71</v>
      </c>
      <c r="N3007">
        <v>1</v>
      </c>
      <c r="O3007">
        <v>121.03</v>
      </c>
      <c r="P3007">
        <f t="shared" si="184"/>
        <v>2.9700115340253748E-2</v>
      </c>
      <c r="Q3007">
        <f t="shared" si="184"/>
        <v>0.99718446601941746</v>
      </c>
      <c r="R3007">
        <f t="shared" si="185"/>
        <v>102.71</v>
      </c>
      <c r="S3007">
        <f t="shared" si="186"/>
        <v>1.1783662739752703</v>
      </c>
      <c r="T3007">
        <f t="shared" si="187"/>
        <v>9.7087378640776691E-3</v>
      </c>
      <c r="U3007" t="str">
        <f>YEAR('Campaign Data'!$A3007)&amp;"-"&amp;TEXT(MONTH('Campaign Data'!$A3007),"00")</f>
        <v>2026-06</v>
      </c>
    </row>
    <row r="3008" spans="1:21" x14ac:dyDescent="0.25">
      <c r="A3008">
        <v>46187</v>
      </c>
      <c r="B3008" t="s">
        <v>95</v>
      </c>
      <c r="C3008" t="s">
        <v>96</v>
      </c>
      <c r="D3008" t="s">
        <v>23</v>
      </c>
      <c r="E3008" t="s">
        <v>49</v>
      </c>
      <c r="F3008" t="s">
        <v>43</v>
      </c>
      <c r="G3008" t="s">
        <v>97</v>
      </c>
      <c r="H3008" t="s">
        <v>36</v>
      </c>
      <c r="I3008" t="s">
        <v>28</v>
      </c>
      <c r="J3008" t="s">
        <v>29</v>
      </c>
      <c r="K3008">
        <v>7981</v>
      </c>
      <c r="L3008">
        <v>275</v>
      </c>
      <c r="M3008">
        <v>559</v>
      </c>
      <c r="N3008">
        <v>14</v>
      </c>
      <c r="O3008">
        <v>234.42</v>
      </c>
      <c r="P3008">
        <f t="shared" si="184"/>
        <v>3.4456834983084828E-2</v>
      </c>
      <c r="Q3008">
        <f t="shared" si="184"/>
        <v>2.0327272727272727</v>
      </c>
      <c r="R3008">
        <f t="shared" si="185"/>
        <v>39.928571428571431</v>
      </c>
      <c r="S3008">
        <f t="shared" si="186"/>
        <v>0.41935599284436492</v>
      </c>
      <c r="T3008">
        <f t="shared" si="187"/>
        <v>5.0909090909090911E-2</v>
      </c>
      <c r="U3008" t="str">
        <f>YEAR('Campaign Data'!$A3008)&amp;"-"&amp;TEXT(MONTH('Campaign Data'!$A3008),"00")</f>
        <v>2026-06</v>
      </c>
    </row>
    <row r="3009" spans="1:21" x14ac:dyDescent="0.25">
      <c r="A3009">
        <v>46187</v>
      </c>
      <c r="B3009" t="s">
        <v>151</v>
      </c>
      <c r="C3009" t="s">
        <v>152</v>
      </c>
      <c r="D3009" t="s">
        <v>48</v>
      </c>
      <c r="E3009" t="s">
        <v>24</v>
      </c>
      <c r="F3009" t="s">
        <v>81</v>
      </c>
      <c r="G3009" t="s">
        <v>129</v>
      </c>
      <c r="H3009" t="s">
        <v>90</v>
      </c>
      <c r="I3009" t="s">
        <v>37</v>
      </c>
      <c r="J3009" t="s">
        <v>62</v>
      </c>
      <c r="K3009">
        <v>20535</v>
      </c>
      <c r="L3009">
        <v>419</v>
      </c>
      <c r="M3009">
        <v>103.92</v>
      </c>
      <c r="N3009">
        <v>15</v>
      </c>
      <c r="O3009">
        <v>93.91</v>
      </c>
      <c r="P3009">
        <f t="shared" si="184"/>
        <v>2.0404187971755538E-2</v>
      </c>
      <c r="Q3009">
        <f t="shared" si="184"/>
        <v>0.24801909307875897</v>
      </c>
      <c r="R3009">
        <f t="shared" si="185"/>
        <v>6.9279999999999999</v>
      </c>
      <c r="S3009">
        <f t="shared" si="186"/>
        <v>0.90367590454195534</v>
      </c>
      <c r="T3009">
        <f t="shared" si="187"/>
        <v>3.5799522673031027E-2</v>
      </c>
      <c r="U3009" t="str">
        <f>YEAR('Campaign Data'!$A3009)&amp;"-"&amp;TEXT(MONTH('Campaign Data'!$A3009),"00")</f>
        <v>2026-06</v>
      </c>
    </row>
    <row r="3010" spans="1:21" x14ac:dyDescent="0.25">
      <c r="A3010">
        <v>46187</v>
      </c>
      <c r="B3010" t="s">
        <v>151</v>
      </c>
      <c r="C3010" t="s">
        <v>152</v>
      </c>
      <c r="D3010" t="s">
        <v>48</v>
      </c>
      <c r="E3010" t="s">
        <v>24</v>
      </c>
      <c r="F3010" t="s">
        <v>81</v>
      </c>
      <c r="G3010" t="s">
        <v>129</v>
      </c>
      <c r="H3010" t="s">
        <v>90</v>
      </c>
      <c r="I3010" t="s">
        <v>37</v>
      </c>
      <c r="J3010" t="s">
        <v>87</v>
      </c>
      <c r="K3010">
        <v>2419</v>
      </c>
      <c r="L3010">
        <v>30</v>
      </c>
      <c r="M3010">
        <v>9.0500000000000007</v>
      </c>
      <c r="N3010">
        <v>0</v>
      </c>
      <c r="O3010">
        <v>0</v>
      </c>
      <c r="P3010">
        <f t="shared" ref="P3010:Q3073" si="188">IF(K3010=0,0,L3010/K3010)</f>
        <v>1.2401818933443571E-2</v>
      </c>
      <c r="Q3010">
        <f t="shared" si="188"/>
        <v>0.30166666666666669</v>
      </c>
      <c r="R3010">
        <f t="shared" ref="R3010:R3073" si="189">IF(N3010=0,0,M3010/N3010)</f>
        <v>0</v>
      </c>
      <c r="S3010">
        <f t="shared" ref="S3010:S3073" si="190">IF(M3010=0,0,O3010/M3010)</f>
        <v>0</v>
      </c>
      <c r="T3010">
        <f t="shared" ref="T3010:T3073" si="191">IF(L3010=0,0,N3010/L3010)</f>
        <v>0</v>
      </c>
      <c r="U3010" t="str">
        <f>YEAR('Campaign Data'!$A3010)&amp;"-"&amp;TEXT(MONTH('Campaign Data'!$A3010),"00")</f>
        <v>2026-06</v>
      </c>
    </row>
    <row r="3011" spans="1:21" x14ac:dyDescent="0.25">
      <c r="A3011">
        <v>46187</v>
      </c>
      <c r="B3011" t="s">
        <v>98</v>
      </c>
      <c r="C3011" t="s">
        <v>99</v>
      </c>
      <c r="D3011" t="s">
        <v>69</v>
      </c>
      <c r="E3011" t="s">
        <v>24</v>
      </c>
      <c r="F3011" t="s">
        <v>75</v>
      </c>
      <c r="G3011" t="s">
        <v>66</v>
      </c>
      <c r="H3011" t="s">
        <v>51</v>
      </c>
      <c r="I3011" t="s">
        <v>37</v>
      </c>
      <c r="J3011" t="s">
        <v>62</v>
      </c>
      <c r="K3011">
        <v>1971</v>
      </c>
      <c r="L3011">
        <v>35</v>
      </c>
      <c r="M3011">
        <v>37.020000000000003</v>
      </c>
      <c r="N3011">
        <v>1</v>
      </c>
      <c r="O3011">
        <v>60.5</v>
      </c>
      <c r="P3011">
        <f t="shared" si="188"/>
        <v>1.7757483510908167E-2</v>
      </c>
      <c r="Q3011">
        <f t="shared" si="188"/>
        <v>1.0577142857142858</v>
      </c>
      <c r="R3011">
        <f t="shared" si="189"/>
        <v>37.020000000000003</v>
      </c>
      <c r="S3011">
        <f t="shared" si="190"/>
        <v>1.6342517558076715</v>
      </c>
      <c r="T3011">
        <f t="shared" si="191"/>
        <v>2.8571428571428571E-2</v>
      </c>
      <c r="U3011" t="str">
        <f>YEAR('Campaign Data'!$A3011)&amp;"-"&amp;TEXT(MONTH('Campaign Data'!$A3011),"00")</f>
        <v>2026-06</v>
      </c>
    </row>
    <row r="3012" spans="1:21" x14ac:dyDescent="0.25">
      <c r="A3012">
        <v>46187</v>
      </c>
      <c r="B3012" t="s">
        <v>98</v>
      </c>
      <c r="C3012" t="s">
        <v>99</v>
      </c>
      <c r="D3012" t="s">
        <v>69</v>
      </c>
      <c r="E3012" t="s">
        <v>24</v>
      </c>
      <c r="F3012" t="s">
        <v>75</v>
      </c>
      <c r="G3012" t="s">
        <v>66</v>
      </c>
      <c r="H3012" t="s">
        <v>51</v>
      </c>
      <c r="I3012" t="s">
        <v>37</v>
      </c>
      <c r="J3012" t="s">
        <v>62</v>
      </c>
      <c r="K3012">
        <v>7356</v>
      </c>
      <c r="L3012">
        <v>123</v>
      </c>
      <c r="M3012">
        <v>111.7</v>
      </c>
      <c r="N3012">
        <v>3</v>
      </c>
      <c r="O3012">
        <v>123.05</v>
      </c>
      <c r="P3012">
        <f t="shared" si="188"/>
        <v>1.6721044045676998E-2</v>
      </c>
      <c r="Q3012">
        <f t="shared" si="188"/>
        <v>0.90813008130081307</v>
      </c>
      <c r="R3012">
        <f t="shared" si="189"/>
        <v>37.233333333333334</v>
      </c>
      <c r="S3012">
        <f t="shared" si="190"/>
        <v>1.1016114592658908</v>
      </c>
      <c r="T3012">
        <f t="shared" si="191"/>
        <v>2.4390243902439025E-2</v>
      </c>
      <c r="U3012" t="str">
        <f>YEAR('Campaign Data'!$A3012)&amp;"-"&amp;TEXT(MONTH('Campaign Data'!$A3012),"00")</f>
        <v>2026-06</v>
      </c>
    </row>
    <row r="3013" spans="1:21" x14ac:dyDescent="0.25">
      <c r="A3013">
        <v>46187</v>
      </c>
      <c r="B3013" t="s">
        <v>108</v>
      </c>
      <c r="C3013" t="s">
        <v>109</v>
      </c>
      <c r="D3013" t="s">
        <v>58</v>
      </c>
      <c r="E3013" t="s">
        <v>33</v>
      </c>
      <c r="F3013" t="s">
        <v>43</v>
      </c>
      <c r="G3013" t="s">
        <v>59</v>
      </c>
      <c r="H3013" t="s">
        <v>90</v>
      </c>
      <c r="I3013" t="s">
        <v>28</v>
      </c>
      <c r="J3013" t="s">
        <v>38</v>
      </c>
      <c r="K3013">
        <v>8947</v>
      </c>
      <c r="L3013">
        <v>76</v>
      </c>
      <c r="M3013">
        <v>13.91</v>
      </c>
      <c r="N3013">
        <v>4</v>
      </c>
      <c r="O3013">
        <v>20</v>
      </c>
      <c r="P3013">
        <f t="shared" si="188"/>
        <v>8.4944674192466742E-3</v>
      </c>
      <c r="Q3013">
        <f t="shared" si="188"/>
        <v>0.18302631578947368</v>
      </c>
      <c r="R3013">
        <f t="shared" si="189"/>
        <v>3.4775</v>
      </c>
      <c r="S3013">
        <f t="shared" si="190"/>
        <v>1.4378145219266714</v>
      </c>
      <c r="T3013">
        <f t="shared" si="191"/>
        <v>5.2631578947368418E-2</v>
      </c>
      <c r="U3013" t="str">
        <f>YEAR('Campaign Data'!$A3013)&amp;"-"&amp;TEXT(MONTH('Campaign Data'!$A3013),"00")</f>
        <v>2026-06</v>
      </c>
    </row>
    <row r="3014" spans="1:21" x14ac:dyDescent="0.25">
      <c r="A3014">
        <v>46187</v>
      </c>
      <c r="B3014" t="s">
        <v>153</v>
      </c>
      <c r="C3014" t="s">
        <v>154</v>
      </c>
      <c r="D3014" t="s">
        <v>48</v>
      </c>
      <c r="E3014" t="s">
        <v>33</v>
      </c>
      <c r="F3014" t="s">
        <v>43</v>
      </c>
      <c r="G3014" t="s">
        <v>59</v>
      </c>
      <c r="H3014" t="s">
        <v>27</v>
      </c>
      <c r="I3014" t="s">
        <v>37</v>
      </c>
      <c r="J3014" t="s">
        <v>62</v>
      </c>
      <c r="K3014">
        <v>4204</v>
      </c>
      <c r="L3014">
        <v>51</v>
      </c>
      <c r="M3014">
        <v>49.48</v>
      </c>
      <c r="N3014">
        <v>1</v>
      </c>
      <c r="O3014">
        <v>41.68</v>
      </c>
      <c r="P3014">
        <f t="shared" si="188"/>
        <v>1.2131303520456709E-2</v>
      </c>
      <c r="Q3014">
        <f t="shared" si="188"/>
        <v>0.97019607843137246</v>
      </c>
      <c r="R3014">
        <f t="shared" si="189"/>
        <v>49.48</v>
      </c>
      <c r="S3014">
        <f t="shared" si="190"/>
        <v>0.84236054971705743</v>
      </c>
      <c r="T3014">
        <f t="shared" si="191"/>
        <v>1.9607843137254902E-2</v>
      </c>
      <c r="U3014" t="str">
        <f>YEAR('Campaign Data'!$A3014)&amp;"-"&amp;TEXT(MONTH('Campaign Data'!$A3014),"00")</f>
        <v>2026-06</v>
      </c>
    </row>
    <row r="3015" spans="1:21" x14ac:dyDescent="0.25">
      <c r="A3015">
        <v>46187</v>
      </c>
      <c r="B3015" t="s">
        <v>171</v>
      </c>
      <c r="C3015" t="s">
        <v>172</v>
      </c>
      <c r="D3015" t="s">
        <v>23</v>
      </c>
      <c r="E3015" t="s">
        <v>33</v>
      </c>
      <c r="F3015" t="s">
        <v>75</v>
      </c>
      <c r="G3015" t="s">
        <v>59</v>
      </c>
      <c r="H3015" t="s">
        <v>90</v>
      </c>
      <c r="I3015" t="s">
        <v>28</v>
      </c>
      <c r="J3015" t="s">
        <v>87</v>
      </c>
      <c r="K3015">
        <v>4841</v>
      </c>
      <c r="L3015">
        <v>28</v>
      </c>
      <c r="M3015">
        <v>3.46</v>
      </c>
      <c r="N3015">
        <v>0</v>
      </c>
      <c r="O3015">
        <v>0</v>
      </c>
      <c r="P3015">
        <f t="shared" si="188"/>
        <v>5.7839289403015907E-3</v>
      </c>
      <c r="Q3015">
        <f t="shared" si="188"/>
        <v>0.12357142857142857</v>
      </c>
      <c r="R3015">
        <f t="shared" si="189"/>
        <v>0</v>
      </c>
      <c r="S3015">
        <f t="shared" si="190"/>
        <v>0</v>
      </c>
      <c r="T3015">
        <f t="shared" si="191"/>
        <v>0</v>
      </c>
      <c r="U3015" t="str">
        <f>YEAR('Campaign Data'!$A3015)&amp;"-"&amp;TEXT(MONTH('Campaign Data'!$A3015),"00")</f>
        <v>2026-06</v>
      </c>
    </row>
    <row r="3016" spans="1:21" x14ac:dyDescent="0.25">
      <c r="A3016">
        <v>46187</v>
      </c>
      <c r="B3016" t="s">
        <v>155</v>
      </c>
      <c r="C3016" t="s">
        <v>156</v>
      </c>
      <c r="D3016" t="s">
        <v>32</v>
      </c>
      <c r="E3016" t="s">
        <v>24</v>
      </c>
      <c r="F3016" t="s">
        <v>34</v>
      </c>
      <c r="G3016" t="s">
        <v>129</v>
      </c>
      <c r="H3016" t="s">
        <v>27</v>
      </c>
      <c r="I3016" t="s">
        <v>28</v>
      </c>
      <c r="J3016" t="s">
        <v>87</v>
      </c>
      <c r="K3016">
        <v>1902</v>
      </c>
      <c r="L3016">
        <v>16</v>
      </c>
      <c r="M3016">
        <v>19.18</v>
      </c>
      <c r="N3016">
        <v>0</v>
      </c>
      <c r="O3016">
        <v>0</v>
      </c>
      <c r="P3016">
        <f t="shared" si="188"/>
        <v>8.4121976866456359E-3</v>
      </c>
      <c r="Q3016">
        <f t="shared" si="188"/>
        <v>1.19875</v>
      </c>
      <c r="R3016">
        <f t="shared" si="189"/>
        <v>0</v>
      </c>
      <c r="S3016">
        <f t="shared" si="190"/>
        <v>0</v>
      </c>
      <c r="T3016">
        <f t="shared" si="191"/>
        <v>0</v>
      </c>
      <c r="U3016" t="str">
        <f>YEAR('Campaign Data'!$A3016)&amp;"-"&amp;TEXT(MONTH('Campaign Data'!$A3016),"00")</f>
        <v>2026-06</v>
      </c>
    </row>
    <row r="3017" spans="1:21" x14ac:dyDescent="0.25">
      <c r="A3017">
        <v>46187</v>
      </c>
      <c r="B3017" t="s">
        <v>112</v>
      </c>
      <c r="C3017" t="s">
        <v>113</v>
      </c>
      <c r="D3017" t="s">
        <v>32</v>
      </c>
      <c r="E3017" t="s">
        <v>24</v>
      </c>
      <c r="F3017" t="s">
        <v>75</v>
      </c>
      <c r="G3017" t="s">
        <v>66</v>
      </c>
      <c r="H3017" t="s">
        <v>60</v>
      </c>
      <c r="I3017" t="s">
        <v>37</v>
      </c>
      <c r="J3017" t="s">
        <v>62</v>
      </c>
      <c r="K3017">
        <v>6676</v>
      </c>
      <c r="L3017">
        <v>97</v>
      </c>
      <c r="M3017">
        <v>110.04</v>
      </c>
      <c r="N3017">
        <v>3</v>
      </c>
      <c r="O3017">
        <v>96.53</v>
      </c>
      <c r="P3017">
        <f t="shared" si="188"/>
        <v>1.4529658478130618E-2</v>
      </c>
      <c r="Q3017">
        <f t="shared" si="188"/>
        <v>1.1344329896907217</v>
      </c>
      <c r="R3017">
        <f t="shared" si="189"/>
        <v>36.68</v>
      </c>
      <c r="S3017">
        <f t="shared" si="190"/>
        <v>0.87722646310432562</v>
      </c>
      <c r="T3017">
        <f t="shared" si="191"/>
        <v>3.0927835051546393E-2</v>
      </c>
      <c r="U3017" t="str">
        <f>YEAR('Campaign Data'!$A3017)&amp;"-"&amp;TEXT(MONTH('Campaign Data'!$A3017),"00")</f>
        <v>2026-06</v>
      </c>
    </row>
    <row r="3018" spans="1:21" x14ac:dyDescent="0.25">
      <c r="A3018">
        <v>46187</v>
      </c>
      <c r="B3018" t="s">
        <v>141</v>
      </c>
      <c r="C3018" t="s">
        <v>142</v>
      </c>
      <c r="D3018" t="s">
        <v>80</v>
      </c>
      <c r="E3018" t="s">
        <v>49</v>
      </c>
      <c r="F3018" t="s">
        <v>81</v>
      </c>
      <c r="G3018" t="s">
        <v>97</v>
      </c>
      <c r="H3018" t="s">
        <v>90</v>
      </c>
      <c r="I3018" t="s">
        <v>28</v>
      </c>
      <c r="J3018" t="s">
        <v>87</v>
      </c>
      <c r="K3018">
        <v>5182</v>
      </c>
      <c r="L3018">
        <v>204</v>
      </c>
      <c r="M3018">
        <v>81.72</v>
      </c>
      <c r="N3018">
        <v>9</v>
      </c>
      <c r="O3018">
        <v>45</v>
      </c>
      <c r="P3018">
        <f t="shared" si="188"/>
        <v>3.936703975299112E-2</v>
      </c>
      <c r="Q3018">
        <f t="shared" si="188"/>
        <v>0.40058823529411763</v>
      </c>
      <c r="R3018">
        <f t="shared" si="189"/>
        <v>9.08</v>
      </c>
      <c r="S3018">
        <f t="shared" si="190"/>
        <v>0.55066079295154191</v>
      </c>
      <c r="T3018">
        <f t="shared" si="191"/>
        <v>4.4117647058823532E-2</v>
      </c>
      <c r="U3018" t="str">
        <f>YEAR('Campaign Data'!$A3018)&amp;"-"&amp;TEXT(MONTH('Campaign Data'!$A3018),"00")</f>
        <v>2026-06</v>
      </c>
    </row>
    <row r="3019" spans="1:21" x14ac:dyDescent="0.25">
      <c r="A3019">
        <v>46187</v>
      </c>
      <c r="B3019" t="s">
        <v>136</v>
      </c>
      <c r="C3019" t="s">
        <v>137</v>
      </c>
      <c r="D3019" t="s">
        <v>32</v>
      </c>
      <c r="E3019" t="s">
        <v>49</v>
      </c>
      <c r="F3019" t="s">
        <v>75</v>
      </c>
      <c r="G3019" t="s">
        <v>97</v>
      </c>
      <c r="H3019" t="s">
        <v>27</v>
      </c>
      <c r="I3019" t="s">
        <v>28</v>
      </c>
      <c r="J3019" t="s">
        <v>38</v>
      </c>
      <c r="K3019">
        <v>1854</v>
      </c>
      <c r="L3019">
        <v>110</v>
      </c>
      <c r="M3019">
        <v>337.01</v>
      </c>
      <c r="N3019">
        <v>4</v>
      </c>
      <c r="O3019">
        <v>171.66</v>
      </c>
      <c r="P3019">
        <f t="shared" si="188"/>
        <v>5.9331175836030203E-2</v>
      </c>
      <c r="Q3019">
        <f t="shared" si="188"/>
        <v>3.0637272727272729</v>
      </c>
      <c r="R3019">
        <f t="shared" si="189"/>
        <v>84.252499999999998</v>
      </c>
      <c r="S3019">
        <f t="shared" si="190"/>
        <v>0.50936174000771495</v>
      </c>
      <c r="T3019">
        <f t="shared" si="191"/>
        <v>3.6363636363636362E-2</v>
      </c>
      <c r="U3019" t="str">
        <f>YEAR('Campaign Data'!$A3019)&amp;"-"&amp;TEXT(MONTH('Campaign Data'!$A3019),"00")</f>
        <v>2026-06</v>
      </c>
    </row>
    <row r="3020" spans="1:21" x14ac:dyDescent="0.25">
      <c r="A3020">
        <v>46187</v>
      </c>
      <c r="B3020" t="s">
        <v>136</v>
      </c>
      <c r="C3020" t="s">
        <v>137</v>
      </c>
      <c r="D3020" t="s">
        <v>32</v>
      </c>
      <c r="E3020" t="s">
        <v>49</v>
      </c>
      <c r="F3020" t="s">
        <v>75</v>
      </c>
      <c r="G3020" t="s">
        <v>97</v>
      </c>
      <c r="H3020" t="s">
        <v>90</v>
      </c>
      <c r="I3020" t="s">
        <v>37</v>
      </c>
      <c r="J3020" t="s">
        <v>45</v>
      </c>
      <c r="K3020">
        <v>3895</v>
      </c>
      <c r="L3020">
        <v>141</v>
      </c>
      <c r="M3020">
        <v>83.98</v>
      </c>
      <c r="N3020">
        <v>6</v>
      </c>
      <c r="O3020">
        <v>30</v>
      </c>
      <c r="P3020">
        <f t="shared" si="188"/>
        <v>3.6200256739409499E-2</v>
      </c>
      <c r="Q3020">
        <f t="shared" si="188"/>
        <v>0.59560283687943261</v>
      </c>
      <c r="R3020">
        <f t="shared" si="189"/>
        <v>13.996666666666668</v>
      </c>
      <c r="S3020">
        <f t="shared" si="190"/>
        <v>0.35722791140747795</v>
      </c>
      <c r="T3020">
        <f t="shared" si="191"/>
        <v>4.2553191489361701E-2</v>
      </c>
      <c r="U3020" t="str">
        <f>YEAR('Campaign Data'!$A3020)&amp;"-"&amp;TEXT(MONTH('Campaign Data'!$A3020),"00")</f>
        <v>2026-06</v>
      </c>
    </row>
    <row r="3021" spans="1:21" x14ac:dyDescent="0.25">
      <c r="A3021">
        <v>46187</v>
      </c>
      <c r="B3021" t="s">
        <v>67</v>
      </c>
      <c r="C3021" t="s">
        <v>68</v>
      </c>
      <c r="D3021" t="s">
        <v>69</v>
      </c>
      <c r="E3021" t="s">
        <v>49</v>
      </c>
      <c r="F3021" t="s">
        <v>34</v>
      </c>
      <c r="G3021" t="s">
        <v>70</v>
      </c>
      <c r="H3021" t="s">
        <v>90</v>
      </c>
      <c r="I3021" t="s">
        <v>37</v>
      </c>
      <c r="J3021" t="s">
        <v>45</v>
      </c>
      <c r="K3021">
        <v>7059</v>
      </c>
      <c r="L3021">
        <v>476</v>
      </c>
      <c r="M3021">
        <v>176.99</v>
      </c>
      <c r="N3021">
        <v>29</v>
      </c>
      <c r="O3021">
        <v>741.92</v>
      </c>
      <c r="P3021">
        <f t="shared" si="188"/>
        <v>6.7431647542144785E-2</v>
      </c>
      <c r="Q3021">
        <f t="shared" si="188"/>
        <v>0.371827731092437</v>
      </c>
      <c r="R3021">
        <f t="shared" si="189"/>
        <v>6.1031034482758626</v>
      </c>
      <c r="S3021">
        <f t="shared" si="190"/>
        <v>4.1918752471891061</v>
      </c>
      <c r="T3021">
        <f t="shared" si="191"/>
        <v>6.0924369747899158E-2</v>
      </c>
      <c r="U3021" t="str">
        <f>YEAR('Campaign Data'!$A3021)&amp;"-"&amp;TEXT(MONTH('Campaign Data'!$A3021),"00")</f>
        <v>2026-06</v>
      </c>
    </row>
    <row r="3022" spans="1:21" x14ac:dyDescent="0.25">
      <c r="A3022">
        <v>46187</v>
      </c>
      <c r="B3022" t="s">
        <v>163</v>
      </c>
      <c r="C3022" t="s">
        <v>164</v>
      </c>
      <c r="D3022" t="s">
        <v>58</v>
      </c>
      <c r="E3022" t="s">
        <v>42</v>
      </c>
      <c r="F3022" t="s">
        <v>43</v>
      </c>
      <c r="G3022" t="s">
        <v>44</v>
      </c>
      <c r="H3022" t="s">
        <v>27</v>
      </c>
      <c r="I3022" t="s">
        <v>28</v>
      </c>
      <c r="J3022" t="s">
        <v>38</v>
      </c>
      <c r="K3022">
        <v>4680</v>
      </c>
      <c r="L3022">
        <v>45</v>
      </c>
      <c r="M3022">
        <v>277.45999999999998</v>
      </c>
      <c r="N3022">
        <v>0</v>
      </c>
      <c r="O3022">
        <v>0</v>
      </c>
      <c r="P3022">
        <f t="shared" si="188"/>
        <v>9.6153846153846159E-3</v>
      </c>
      <c r="Q3022">
        <f t="shared" si="188"/>
        <v>6.1657777777777776</v>
      </c>
      <c r="R3022">
        <f t="shared" si="189"/>
        <v>0</v>
      </c>
      <c r="S3022">
        <f t="shared" si="190"/>
        <v>0</v>
      </c>
      <c r="T3022">
        <f t="shared" si="191"/>
        <v>0</v>
      </c>
      <c r="U3022" t="str">
        <f>YEAR('Campaign Data'!$A3022)&amp;"-"&amp;TEXT(MONTH('Campaign Data'!$A3022),"00")</f>
        <v>2026-06</v>
      </c>
    </row>
    <row r="3023" spans="1:21" x14ac:dyDescent="0.25">
      <c r="A3023">
        <v>46187</v>
      </c>
      <c r="B3023" t="s">
        <v>120</v>
      </c>
      <c r="C3023" t="s">
        <v>121</v>
      </c>
      <c r="D3023" t="s">
        <v>23</v>
      </c>
      <c r="E3023" t="s">
        <v>49</v>
      </c>
      <c r="F3023" t="s">
        <v>75</v>
      </c>
      <c r="G3023" t="s">
        <v>70</v>
      </c>
      <c r="H3023" t="s">
        <v>27</v>
      </c>
      <c r="I3023" t="s">
        <v>37</v>
      </c>
      <c r="J3023" t="s">
        <v>38</v>
      </c>
      <c r="K3023">
        <v>953</v>
      </c>
      <c r="L3023">
        <v>33</v>
      </c>
      <c r="M3023">
        <v>56.96</v>
      </c>
      <c r="N3023">
        <v>2</v>
      </c>
      <c r="O3023">
        <v>88.37</v>
      </c>
      <c r="P3023">
        <f t="shared" si="188"/>
        <v>3.4627492130115428E-2</v>
      </c>
      <c r="Q3023">
        <f t="shared" si="188"/>
        <v>1.7260606060606061</v>
      </c>
      <c r="R3023">
        <f t="shared" si="189"/>
        <v>28.48</v>
      </c>
      <c r="S3023">
        <f t="shared" si="190"/>
        <v>1.551439606741573</v>
      </c>
      <c r="T3023">
        <f t="shared" si="191"/>
        <v>6.0606060606060608E-2</v>
      </c>
      <c r="U3023" t="str">
        <f>YEAR('Campaign Data'!$A3023)&amp;"-"&amp;TEXT(MONTH('Campaign Data'!$A3023),"00")</f>
        <v>2026-06</v>
      </c>
    </row>
    <row r="3024" spans="1:21" x14ac:dyDescent="0.25">
      <c r="A3024">
        <v>46187</v>
      </c>
      <c r="B3024" t="s">
        <v>120</v>
      </c>
      <c r="C3024" t="s">
        <v>121</v>
      </c>
      <c r="D3024" t="s">
        <v>23</v>
      </c>
      <c r="E3024" t="s">
        <v>49</v>
      </c>
      <c r="F3024" t="s">
        <v>75</v>
      </c>
      <c r="G3024" t="s">
        <v>70</v>
      </c>
      <c r="H3024" t="s">
        <v>51</v>
      </c>
      <c r="I3024" t="s">
        <v>37</v>
      </c>
      <c r="J3024" t="s">
        <v>87</v>
      </c>
      <c r="K3024">
        <v>2540</v>
      </c>
      <c r="L3024">
        <v>104</v>
      </c>
      <c r="M3024">
        <v>165.4</v>
      </c>
      <c r="N3024">
        <v>5</v>
      </c>
      <c r="O3024">
        <v>126.54</v>
      </c>
      <c r="P3024">
        <f t="shared" si="188"/>
        <v>4.0944881889763779E-2</v>
      </c>
      <c r="Q3024">
        <f t="shared" si="188"/>
        <v>1.5903846153846155</v>
      </c>
      <c r="R3024">
        <f t="shared" si="189"/>
        <v>33.08</v>
      </c>
      <c r="S3024">
        <f t="shared" si="190"/>
        <v>0.76505441354292625</v>
      </c>
      <c r="T3024">
        <f t="shared" si="191"/>
        <v>4.807692307692308E-2</v>
      </c>
      <c r="U3024" t="str">
        <f>YEAR('Campaign Data'!$A3024)&amp;"-"&amp;TEXT(MONTH('Campaign Data'!$A3024),"00")</f>
        <v>2026-06</v>
      </c>
    </row>
    <row r="3025" spans="1:21" x14ac:dyDescent="0.25">
      <c r="A3025">
        <v>46188</v>
      </c>
      <c r="B3025" t="s">
        <v>165</v>
      </c>
      <c r="C3025" t="s">
        <v>166</v>
      </c>
      <c r="D3025" t="s">
        <v>41</v>
      </c>
      <c r="E3025" t="s">
        <v>33</v>
      </c>
      <c r="F3025" t="s">
        <v>43</v>
      </c>
      <c r="G3025" t="s">
        <v>59</v>
      </c>
      <c r="H3025" t="s">
        <v>71</v>
      </c>
      <c r="I3025" t="s">
        <v>37</v>
      </c>
      <c r="J3025" t="s">
        <v>62</v>
      </c>
      <c r="K3025">
        <v>9457</v>
      </c>
      <c r="L3025">
        <v>131</v>
      </c>
      <c r="M3025">
        <v>59.37</v>
      </c>
      <c r="N3025">
        <v>2</v>
      </c>
      <c r="O3025">
        <v>48.24</v>
      </c>
      <c r="P3025">
        <f t="shared" si="188"/>
        <v>1.3852172993549752E-2</v>
      </c>
      <c r="Q3025">
        <f t="shared" si="188"/>
        <v>0.453206106870229</v>
      </c>
      <c r="R3025">
        <f t="shared" si="189"/>
        <v>29.684999999999999</v>
      </c>
      <c r="S3025">
        <f t="shared" si="190"/>
        <v>0.81253158160687222</v>
      </c>
      <c r="T3025">
        <f t="shared" si="191"/>
        <v>1.5267175572519083E-2</v>
      </c>
      <c r="U3025" t="str">
        <f>YEAR('Campaign Data'!$A3025)&amp;"-"&amp;TEXT(MONTH('Campaign Data'!$A3025),"00")</f>
        <v>2026-06</v>
      </c>
    </row>
    <row r="3026" spans="1:21" x14ac:dyDescent="0.25">
      <c r="A3026">
        <v>46188</v>
      </c>
      <c r="B3026" t="s">
        <v>175</v>
      </c>
      <c r="C3026" t="s">
        <v>176</v>
      </c>
      <c r="D3026" t="s">
        <v>65</v>
      </c>
      <c r="E3026" t="s">
        <v>49</v>
      </c>
      <c r="F3026" t="s">
        <v>75</v>
      </c>
      <c r="G3026" t="s">
        <v>70</v>
      </c>
      <c r="H3026" t="s">
        <v>36</v>
      </c>
      <c r="I3026" t="s">
        <v>37</v>
      </c>
      <c r="J3026" t="s">
        <v>87</v>
      </c>
      <c r="K3026">
        <v>6700</v>
      </c>
      <c r="L3026">
        <v>167</v>
      </c>
      <c r="M3026">
        <v>291.38</v>
      </c>
      <c r="N3026">
        <v>1</v>
      </c>
      <c r="O3026">
        <v>41.61</v>
      </c>
      <c r="P3026">
        <f t="shared" si="188"/>
        <v>2.4925373134328358E-2</v>
      </c>
      <c r="Q3026">
        <f t="shared" si="188"/>
        <v>1.7447904191616765</v>
      </c>
      <c r="R3026">
        <f t="shared" si="189"/>
        <v>291.38</v>
      </c>
      <c r="S3026">
        <f t="shared" si="190"/>
        <v>0.14280321230008924</v>
      </c>
      <c r="T3026">
        <f t="shared" si="191"/>
        <v>5.9880239520958087E-3</v>
      </c>
      <c r="U3026" t="str">
        <f>YEAR('Campaign Data'!$A3026)&amp;"-"&amp;TEXT(MONTH('Campaign Data'!$A3026),"00")</f>
        <v>2026-06</v>
      </c>
    </row>
    <row r="3027" spans="1:21" x14ac:dyDescent="0.25">
      <c r="A3027">
        <v>46188</v>
      </c>
      <c r="B3027" t="s">
        <v>21</v>
      </c>
      <c r="C3027" t="s">
        <v>124</v>
      </c>
      <c r="D3027" t="s">
        <v>23</v>
      </c>
      <c r="E3027" t="s">
        <v>24</v>
      </c>
      <c r="F3027" t="s">
        <v>25</v>
      </c>
      <c r="G3027" t="s">
        <v>26</v>
      </c>
      <c r="H3027" t="s">
        <v>27</v>
      </c>
      <c r="I3027" t="s">
        <v>28</v>
      </c>
      <c r="J3027" t="s">
        <v>62</v>
      </c>
      <c r="K3027">
        <v>7689</v>
      </c>
      <c r="L3027">
        <v>129</v>
      </c>
      <c r="M3027">
        <v>168.52</v>
      </c>
      <c r="N3027">
        <v>2</v>
      </c>
      <c r="O3027">
        <v>441.29</v>
      </c>
      <c r="P3027">
        <f t="shared" si="188"/>
        <v>1.6777214202106906E-2</v>
      </c>
      <c r="Q3027">
        <f t="shared" si="188"/>
        <v>1.3063565891472868</v>
      </c>
      <c r="R3027">
        <f t="shared" si="189"/>
        <v>84.26</v>
      </c>
      <c r="S3027">
        <f t="shared" si="190"/>
        <v>2.6186209352005698</v>
      </c>
      <c r="T3027">
        <f t="shared" si="191"/>
        <v>1.5503875968992248E-2</v>
      </c>
      <c r="U3027" t="str">
        <f>YEAR('Campaign Data'!$A3027)&amp;"-"&amp;TEXT(MONTH('Campaign Data'!$A3027),"00")</f>
        <v>2026-06</v>
      </c>
    </row>
    <row r="3028" spans="1:21" x14ac:dyDescent="0.25">
      <c r="A3028">
        <v>46188</v>
      </c>
      <c r="B3028" t="s">
        <v>91</v>
      </c>
      <c r="C3028" t="s">
        <v>92</v>
      </c>
      <c r="D3028" t="s">
        <v>41</v>
      </c>
      <c r="E3028" t="s">
        <v>74</v>
      </c>
      <c r="F3028" t="s">
        <v>75</v>
      </c>
      <c r="G3028" t="s">
        <v>9</v>
      </c>
      <c r="H3028" t="s">
        <v>60</v>
      </c>
      <c r="I3028" t="s">
        <v>28</v>
      </c>
      <c r="J3028" t="s">
        <v>45</v>
      </c>
      <c r="K3028">
        <v>10119</v>
      </c>
      <c r="L3028">
        <v>373</v>
      </c>
      <c r="M3028">
        <v>474.23</v>
      </c>
      <c r="N3028">
        <v>15</v>
      </c>
      <c r="O3028">
        <v>424.74</v>
      </c>
      <c r="P3028">
        <f t="shared" si="188"/>
        <v>3.6861349935764405E-2</v>
      </c>
      <c r="Q3028">
        <f t="shared" si="188"/>
        <v>1.2713941018766757</v>
      </c>
      <c r="R3028">
        <f t="shared" si="189"/>
        <v>31.615333333333336</v>
      </c>
      <c r="S3028">
        <f t="shared" si="190"/>
        <v>0.89564135546043055</v>
      </c>
      <c r="T3028">
        <f t="shared" si="191"/>
        <v>4.0214477211796246E-2</v>
      </c>
      <c r="U3028" t="str">
        <f>YEAR('Campaign Data'!$A3028)&amp;"-"&amp;TEXT(MONTH('Campaign Data'!$A3028),"00")</f>
        <v>2026-06</v>
      </c>
    </row>
    <row r="3029" spans="1:21" x14ac:dyDescent="0.25">
      <c r="A3029">
        <v>46188</v>
      </c>
      <c r="B3029" t="s">
        <v>93</v>
      </c>
      <c r="C3029" t="s">
        <v>94</v>
      </c>
      <c r="D3029" t="s">
        <v>69</v>
      </c>
      <c r="E3029" t="s">
        <v>42</v>
      </c>
      <c r="F3029" t="s">
        <v>75</v>
      </c>
      <c r="G3029" t="s">
        <v>44</v>
      </c>
      <c r="H3029" t="s">
        <v>36</v>
      </c>
      <c r="I3029" t="s">
        <v>37</v>
      </c>
      <c r="J3029" t="s">
        <v>62</v>
      </c>
      <c r="K3029">
        <v>6042</v>
      </c>
      <c r="L3029">
        <v>48</v>
      </c>
      <c r="M3029">
        <v>373.19</v>
      </c>
      <c r="N3029">
        <v>4</v>
      </c>
      <c r="O3029">
        <v>155.63999999999999</v>
      </c>
      <c r="P3029">
        <f t="shared" si="188"/>
        <v>7.9443892750744784E-3</v>
      </c>
      <c r="Q3029">
        <f t="shared" si="188"/>
        <v>7.7747916666666663</v>
      </c>
      <c r="R3029">
        <f t="shared" si="189"/>
        <v>93.297499999999999</v>
      </c>
      <c r="S3029">
        <f t="shared" si="190"/>
        <v>0.41705297569602612</v>
      </c>
      <c r="T3029">
        <f t="shared" si="191"/>
        <v>8.3333333333333329E-2</v>
      </c>
      <c r="U3029" t="str">
        <f>YEAR('Campaign Data'!$A3029)&amp;"-"&amp;TEXT(MONTH('Campaign Data'!$A3029),"00")</f>
        <v>2026-06</v>
      </c>
    </row>
    <row r="3030" spans="1:21" x14ac:dyDescent="0.25">
      <c r="A3030">
        <v>46188</v>
      </c>
      <c r="B3030" t="s">
        <v>46</v>
      </c>
      <c r="C3030" t="s">
        <v>47</v>
      </c>
      <c r="D3030" t="s">
        <v>48</v>
      </c>
      <c r="E3030" t="s">
        <v>49</v>
      </c>
      <c r="F3030" t="s">
        <v>43</v>
      </c>
      <c r="G3030" t="s">
        <v>50</v>
      </c>
      <c r="H3030" t="s">
        <v>60</v>
      </c>
      <c r="I3030" t="s">
        <v>37</v>
      </c>
      <c r="J3030" t="s">
        <v>62</v>
      </c>
      <c r="K3030">
        <v>13259</v>
      </c>
      <c r="L3030">
        <v>722</v>
      </c>
      <c r="M3030">
        <v>1551.94</v>
      </c>
      <c r="N3030">
        <v>50</v>
      </c>
      <c r="O3030">
        <v>1103.71</v>
      </c>
      <c r="P3030">
        <f t="shared" si="188"/>
        <v>5.4453578701259525E-2</v>
      </c>
      <c r="Q3030">
        <f t="shared" si="188"/>
        <v>2.1495013850415514</v>
      </c>
      <c r="R3030">
        <f t="shared" si="189"/>
        <v>31.038800000000002</v>
      </c>
      <c r="S3030">
        <f t="shared" si="190"/>
        <v>0.71118084462028175</v>
      </c>
      <c r="T3030">
        <f t="shared" si="191"/>
        <v>6.9252077562326875E-2</v>
      </c>
      <c r="U3030" t="str">
        <f>YEAR('Campaign Data'!$A3030)&amp;"-"&amp;TEXT(MONTH('Campaign Data'!$A3030),"00")</f>
        <v>2026-06</v>
      </c>
    </row>
    <row r="3031" spans="1:21" x14ac:dyDescent="0.25">
      <c r="A3031">
        <v>46188</v>
      </c>
      <c r="B3031" t="s">
        <v>177</v>
      </c>
      <c r="C3031" t="s">
        <v>178</v>
      </c>
      <c r="D3031" t="s">
        <v>41</v>
      </c>
      <c r="E3031" t="s">
        <v>49</v>
      </c>
      <c r="F3031" t="s">
        <v>34</v>
      </c>
      <c r="G3031" t="s">
        <v>107</v>
      </c>
      <c r="H3031" t="s">
        <v>36</v>
      </c>
      <c r="I3031" t="s">
        <v>28</v>
      </c>
      <c r="J3031" t="s">
        <v>38</v>
      </c>
      <c r="K3031">
        <v>8712</v>
      </c>
      <c r="L3031">
        <v>438</v>
      </c>
      <c r="M3031">
        <v>808.29</v>
      </c>
      <c r="N3031">
        <v>29</v>
      </c>
      <c r="O3031">
        <v>4338.0200000000004</v>
      </c>
      <c r="P3031">
        <f t="shared" si="188"/>
        <v>5.0275482093663913E-2</v>
      </c>
      <c r="Q3031">
        <f t="shared" si="188"/>
        <v>1.8454109589041094</v>
      </c>
      <c r="R3031">
        <f t="shared" si="189"/>
        <v>27.87206896551724</v>
      </c>
      <c r="S3031">
        <f t="shared" si="190"/>
        <v>5.366910391072512</v>
      </c>
      <c r="T3031">
        <f t="shared" si="191"/>
        <v>6.6210045662100453E-2</v>
      </c>
      <c r="U3031" t="str">
        <f>YEAR('Campaign Data'!$A3031)&amp;"-"&amp;TEXT(MONTH('Campaign Data'!$A3031),"00")</f>
        <v>2026-06</v>
      </c>
    </row>
    <row r="3032" spans="1:21" x14ac:dyDescent="0.25">
      <c r="A3032">
        <v>46188</v>
      </c>
      <c r="B3032" t="s">
        <v>161</v>
      </c>
      <c r="C3032" t="s">
        <v>162</v>
      </c>
      <c r="D3032" t="s">
        <v>48</v>
      </c>
      <c r="E3032" t="s">
        <v>74</v>
      </c>
      <c r="F3032" t="s">
        <v>34</v>
      </c>
      <c r="G3032" t="s">
        <v>107</v>
      </c>
      <c r="H3032" t="s">
        <v>27</v>
      </c>
      <c r="I3032" t="s">
        <v>37</v>
      </c>
      <c r="J3032" t="s">
        <v>29</v>
      </c>
      <c r="K3032">
        <v>1907</v>
      </c>
      <c r="L3032">
        <v>82</v>
      </c>
      <c r="M3032">
        <v>121.56</v>
      </c>
      <c r="N3032">
        <v>6</v>
      </c>
      <c r="O3032">
        <v>1582.4</v>
      </c>
      <c r="P3032">
        <f t="shared" si="188"/>
        <v>4.2999475616151021E-2</v>
      </c>
      <c r="Q3032">
        <f t="shared" si="188"/>
        <v>1.4824390243902439</v>
      </c>
      <c r="R3032">
        <f t="shared" si="189"/>
        <v>20.260000000000002</v>
      </c>
      <c r="S3032">
        <f t="shared" si="190"/>
        <v>13.017439947351102</v>
      </c>
      <c r="T3032">
        <f t="shared" si="191"/>
        <v>7.3170731707317069E-2</v>
      </c>
      <c r="U3032" t="str">
        <f>YEAR('Campaign Data'!$A3032)&amp;"-"&amp;TEXT(MONTH('Campaign Data'!$A3032),"00")</f>
        <v>2026-06</v>
      </c>
    </row>
    <row r="3033" spans="1:21" x14ac:dyDescent="0.25">
      <c r="A3033">
        <v>46188</v>
      </c>
      <c r="B3033" t="s">
        <v>183</v>
      </c>
      <c r="C3033" t="s">
        <v>184</v>
      </c>
      <c r="D3033" t="s">
        <v>23</v>
      </c>
      <c r="E3033" t="s">
        <v>24</v>
      </c>
      <c r="F3033" t="s">
        <v>81</v>
      </c>
      <c r="G3033" t="s">
        <v>185</v>
      </c>
      <c r="H3033" t="s">
        <v>27</v>
      </c>
      <c r="I3033" t="s">
        <v>28</v>
      </c>
      <c r="J3033" t="s">
        <v>45</v>
      </c>
      <c r="K3033">
        <v>7064</v>
      </c>
      <c r="L3033">
        <v>111</v>
      </c>
      <c r="M3033">
        <v>165.23</v>
      </c>
      <c r="N3033">
        <v>4</v>
      </c>
      <c r="O3033">
        <v>131.54</v>
      </c>
      <c r="P3033">
        <f t="shared" si="188"/>
        <v>1.5713476783691959E-2</v>
      </c>
      <c r="Q3033">
        <f t="shared" si="188"/>
        <v>1.4885585585585586</v>
      </c>
      <c r="R3033">
        <f t="shared" si="189"/>
        <v>41.307499999999997</v>
      </c>
      <c r="S3033">
        <f t="shared" si="190"/>
        <v>0.796102402711372</v>
      </c>
      <c r="T3033">
        <f t="shared" si="191"/>
        <v>3.6036036036036036E-2</v>
      </c>
      <c r="U3033" t="str">
        <f>YEAR('Campaign Data'!$A3033)&amp;"-"&amp;TEXT(MONTH('Campaign Data'!$A3033),"00")</f>
        <v>2026-06</v>
      </c>
    </row>
    <row r="3034" spans="1:21" x14ac:dyDescent="0.25">
      <c r="A3034">
        <v>46188</v>
      </c>
      <c r="B3034" t="s">
        <v>76</v>
      </c>
      <c r="C3034" t="s">
        <v>77</v>
      </c>
      <c r="D3034" t="s">
        <v>65</v>
      </c>
      <c r="E3034" t="s">
        <v>42</v>
      </c>
      <c r="F3034" t="s">
        <v>43</v>
      </c>
      <c r="G3034" t="s">
        <v>44</v>
      </c>
      <c r="H3034" t="s">
        <v>27</v>
      </c>
      <c r="I3034" t="s">
        <v>37</v>
      </c>
      <c r="J3034" t="s">
        <v>29</v>
      </c>
      <c r="K3034">
        <v>12002</v>
      </c>
      <c r="L3034">
        <v>57</v>
      </c>
      <c r="M3034">
        <v>344.6</v>
      </c>
      <c r="N3034">
        <v>2</v>
      </c>
      <c r="O3034">
        <v>19.88</v>
      </c>
      <c r="P3034">
        <f t="shared" si="188"/>
        <v>4.7492084652557909E-3</v>
      </c>
      <c r="Q3034">
        <f t="shared" si="188"/>
        <v>6.0456140350877199</v>
      </c>
      <c r="R3034">
        <f t="shared" si="189"/>
        <v>172.3</v>
      </c>
      <c r="S3034">
        <f t="shared" si="190"/>
        <v>5.769007544979686E-2</v>
      </c>
      <c r="T3034">
        <f t="shared" si="191"/>
        <v>3.5087719298245612E-2</v>
      </c>
      <c r="U3034" t="str">
        <f>YEAR('Campaign Data'!$A3034)&amp;"-"&amp;TEXT(MONTH('Campaign Data'!$A3034),"00")</f>
        <v>2026-06</v>
      </c>
    </row>
    <row r="3035" spans="1:21" x14ac:dyDescent="0.25">
      <c r="A3035">
        <v>46189</v>
      </c>
      <c r="B3035" t="s">
        <v>125</v>
      </c>
      <c r="C3035" t="s">
        <v>126</v>
      </c>
      <c r="D3035" t="s">
        <v>41</v>
      </c>
      <c r="E3035" t="s">
        <v>42</v>
      </c>
      <c r="F3035" t="s">
        <v>81</v>
      </c>
      <c r="G3035" t="s">
        <v>44</v>
      </c>
      <c r="H3035" t="s">
        <v>27</v>
      </c>
      <c r="I3035" t="s">
        <v>37</v>
      </c>
      <c r="J3035" t="s">
        <v>87</v>
      </c>
      <c r="K3035">
        <v>2850</v>
      </c>
      <c r="L3035">
        <v>7</v>
      </c>
      <c r="M3035">
        <v>45.32</v>
      </c>
      <c r="N3035">
        <v>1</v>
      </c>
      <c r="O3035">
        <v>18.239999999999998</v>
      </c>
      <c r="P3035">
        <f t="shared" si="188"/>
        <v>2.4561403508771931E-3</v>
      </c>
      <c r="Q3035">
        <f t="shared" si="188"/>
        <v>6.4742857142857142</v>
      </c>
      <c r="R3035">
        <f t="shared" si="189"/>
        <v>45.32</v>
      </c>
      <c r="S3035">
        <f t="shared" si="190"/>
        <v>0.40247131509267425</v>
      </c>
      <c r="T3035">
        <f t="shared" si="191"/>
        <v>0.14285714285714285</v>
      </c>
      <c r="U3035" t="str">
        <f>YEAR('Campaign Data'!$A3035)&amp;"-"&amp;TEXT(MONTH('Campaign Data'!$A3035),"00")</f>
        <v>2026-06</v>
      </c>
    </row>
    <row r="3036" spans="1:21" x14ac:dyDescent="0.25">
      <c r="A3036">
        <v>46189</v>
      </c>
      <c r="B3036" t="s">
        <v>186</v>
      </c>
      <c r="C3036" t="s">
        <v>187</v>
      </c>
      <c r="D3036" t="s">
        <v>80</v>
      </c>
      <c r="E3036" t="s">
        <v>33</v>
      </c>
      <c r="F3036" t="s">
        <v>43</v>
      </c>
      <c r="G3036" t="s">
        <v>102</v>
      </c>
      <c r="H3036" t="s">
        <v>27</v>
      </c>
      <c r="I3036" t="s">
        <v>28</v>
      </c>
      <c r="J3036" t="s">
        <v>87</v>
      </c>
      <c r="K3036">
        <v>10415</v>
      </c>
      <c r="L3036">
        <v>101</v>
      </c>
      <c r="M3036">
        <v>89.37</v>
      </c>
      <c r="N3036">
        <v>2</v>
      </c>
      <c r="O3036">
        <v>34.89</v>
      </c>
      <c r="P3036">
        <f t="shared" si="188"/>
        <v>9.6975516082573217E-3</v>
      </c>
      <c r="Q3036">
        <f t="shared" si="188"/>
        <v>0.88485148514851486</v>
      </c>
      <c r="R3036">
        <f t="shared" si="189"/>
        <v>44.685000000000002</v>
      </c>
      <c r="S3036">
        <f t="shared" si="190"/>
        <v>0.39039946290701577</v>
      </c>
      <c r="T3036">
        <f t="shared" si="191"/>
        <v>1.9801980198019802E-2</v>
      </c>
      <c r="U3036" t="str">
        <f>YEAR('Campaign Data'!$A3036)&amp;"-"&amp;TEXT(MONTH('Campaign Data'!$A3036),"00")</f>
        <v>2026-06</v>
      </c>
    </row>
    <row r="3037" spans="1:21" x14ac:dyDescent="0.25">
      <c r="A3037">
        <v>46189</v>
      </c>
      <c r="B3037" t="s">
        <v>151</v>
      </c>
      <c r="C3037" t="s">
        <v>152</v>
      </c>
      <c r="D3037" t="s">
        <v>48</v>
      </c>
      <c r="E3037" t="s">
        <v>24</v>
      </c>
      <c r="F3037" t="s">
        <v>81</v>
      </c>
      <c r="G3037" t="s">
        <v>129</v>
      </c>
      <c r="H3037" t="s">
        <v>55</v>
      </c>
      <c r="I3037" t="s">
        <v>28</v>
      </c>
      <c r="J3037" t="s">
        <v>29</v>
      </c>
      <c r="K3037">
        <v>6884</v>
      </c>
      <c r="L3037">
        <v>119</v>
      </c>
      <c r="M3037">
        <v>117.72</v>
      </c>
      <c r="N3037">
        <v>7</v>
      </c>
      <c r="O3037">
        <v>133.61000000000001</v>
      </c>
      <c r="P3037">
        <f t="shared" si="188"/>
        <v>1.7286461359674609E-2</v>
      </c>
      <c r="Q3037">
        <f t="shared" si="188"/>
        <v>0.98924369747899155</v>
      </c>
      <c r="R3037">
        <f t="shared" si="189"/>
        <v>16.817142857142859</v>
      </c>
      <c r="S3037">
        <f t="shared" si="190"/>
        <v>1.1349813115868164</v>
      </c>
      <c r="T3037">
        <f t="shared" si="191"/>
        <v>5.8823529411764705E-2</v>
      </c>
      <c r="U3037" t="str">
        <f>YEAR('Campaign Data'!$A3037)&amp;"-"&amp;TEXT(MONTH('Campaign Data'!$A3037),"00")</f>
        <v>2026-06</v>
      </c>
    </row>
    <row r="3038" spans="1:21" x14ac:dyDescent="0.25">
      <c r="A3038">
        <v>46189</v>
      </c>
      <c r="B3038" t="s">
        <v>98</v>
      </c>
      <c r="C3038" t="s">
        <v>99</v>
      </c>
      <c r="D3038" t="s">
        <v>69</v>
      </c>
      <c r="E3038" t="s">
        <v>24</v>
      </c>
      <c r="F3038" t="s">
        <v>75</v>
      </c>
      <c r="G3038" t="s">
        <v>66</v>
      </c>
      <c r="H3038" t="s">
        <v>36</v>
      </c>
      <c r="I3038" t="s">
        <v>37</v>
      </c>
      <c r="J3038" t="s">
        <v>45</v>
      </c>
      <c r="K3038">
        <v>3266</v>
      </c>
      <c r="L3038">
        <v>50</v>
      </c>
      <c r="M3038">
        <v>57.49</v>
      </c>
      <c r="N3038">
        <v>2</v>
      </c>
      <c r="O3038">
        <v>92.74</v>
      </c>
      <c r="P3038">
        <f t="shared" si="188"/>
        <v>1.5309246785058175E-2</v>
      </c>
      <c r="Q3038">
        <f t="shared" si="188"/>
        <v>1.1497999999999999</v>
      </c>
      <c r="R3038">
        <f t="shared" si="189"/>
        <v>28.745000000000001</v>
      </c>
      <c r="S3038">
        <f t="shared" si="190"/>
        <v>1.6131501130631414</v>
      </c>
      <c r="T3038">
        <f t="shared" si="191"/>
        <v>0.04</v>
      </c>
      <c r="U3038" t="str">
        <f>YEAR('Campaign Data'!$A3038)&amp;"-"&amp;TEXT(MONTH('Campaign Data'!$A3038),"00")</f>
        <v>2026-06</v>
      </c>
    </row>
    <row r="3039" spans="1:21" x14ac:dyDescent="0.25">
      <c r="A3039">
        <v>46189</v>
      </c>
      <c r="B3039" t="s">
        <v>98</v>
      </c>
      <c r="C3039" t="s">
        <v>99</v>
      </c>
      <c r="D3039" t="s">
        <v>69</v>
      </c>
      <c r="E3039" t="s">
        <v>24</v>
      </c>
      <c r="F3039" t="s">
        <v>75</v>
      </c>
      <c r="G3039" t="s">
        <v>66</v>
      </c>
      <c r="H3039" t="s">
        <v>55</v>
      </c>
      <c r="I3039" t="s">
        <v>37</v>
      </c>
      <c r="J3039" t="s">
        <v>62</v>
      </c>
      <c r="K3039">
        <v>5476</v>
      </c>
      <c r="L3039">
        <v>97</v>
      </c>
      <c r="M3039">
        <v>91.26</v>
      </c>
      <c r="N3039">
        <v>9</v>
      </c>
      <c r="O3039">
        <v>154.94999999999999</v>
      </c>
      <c r="P3039">
        <f t="shared" si="188"/>
        <v>1.7713659605551497E-2</v>
      </c>
      <c r="Q3039">
        <f t="shared" si="188"/>
        <v>0.94082474226804125</v>
      </c>
      <c r="R3039">
        <f t="shared" si="189"/>
        <v>10.14</v>
      </c>
      <c r="S3039">
        <f t="shared" si="190"/>
        <v>1.6978961209730439</v>
      </c>
      <c r="T3039">
        <f t="shared" si="191"/>
        <v>9.2783505154639179E-2</v>
      </c>
      <c r="U3039" t="str">
        <f>YEAR('Campaign Data'!$A3039)&amp;"-"&amp;TEXT(MONTH('Campaign Data'!$A3039),"00")</f>
        <v>2026-06</v>
      </c>
    </row>
    <row r="3040" spans="1:21" x14ac:dyDescent="0.25">
      <c r="A3040">
        <v>46189</v>
      </c>
      <c r="B3040" t="s">
        <v>52</v>
      </c>
      <c r="C3040" t="s">
        <v>53</v>
      </c>
      <c r="D3040" t="s">
        <v>32</v>
      </c>
      <c r="E3040" t="s">
        <v>42</v>
      </c>
      <c r="F3040" t="s">
        <v>25</v>
      </c>
      <c r="G3040" t="s">
        <v>54</v>
      </c>
      <c r="H3040" t="s">
        <v>90</v>
      </c>
      <c r="I3040" t="s">
        <v>37</v>
      </c>
      <c r="J3040" t="s">
        <v>87</v>
      </c>
      <c r="K3040">
        <v>14590</v>
      </c>
      <c r="L3040">
        <v>102</v>
      </c>
      <c r="M3040">
        <v>208.45</v>
      </c>
      <c r="N3040">
        <v>4</v>
      </c>
      <c r="O3040">
        <v>64.03</v>
      </c>
      <c r="P3040">
        <f t="shared" si="188"/>
        <v>6.9910897875257024E-3</v>
      </c>
      <c r="Q3040">
        <f t="shared" si="188"/>
        <v>2.043627450980392</v>
      </c>
      <c r="R3040">
        <f t="shared" si="189"/>
        <v>52.112499999999997</v>
      </c>
      <c r="S3040">
        <f t="shared" si="190"/>
        <v>0.30717198368913412</v>
      </c>
      <c r="T3040">
        <f t="shared" si="191"/>
        <v>3.9215686274509803E-2</v>
      </c>
      <c r="U3040" t="str">
        <f>YEAR('Campaign Data'!$A3040)&amp;"-"&amp;TEXT(MONTH('Campaign Data'!$A3040),"00")</f>
        <v>2026-06</v>
      </c>
    </row>
    <row r="3041" spans="1:21" x14ac:dyDescent="0.25">
      <c r="A3041">
        <v>46189</v>
      </c>
      <c r="B3041" t="s">
        <v>52</v>
      </c>
      <c r="C3041" t="s">
        <v>53</v>
      </c>
      <c r="D3041" t="s">
        <v>32</v>
      </c>
      <c r="E3041" t="s">
        <v>42</v>
      </c>
      <c r="F3041" t="s">
        <v>25</v>
      </c>
      <c r="G3041" t="s">
        <v>54</v>
      </c>
      <c r="H3041" t="s">
        <v>71</v>
      </c>
      <c r="I3041" t="s">
        <v>37</v>
      </c>
      <c r="J3041" t="s">
        <v>87</v>
      </c>
      <c r="K3041">
        <v>13688</v>
      </c>
      <c r="L3041">
        <v>101</v>
      </c>
      <c r="M3041">
        <v>549.26</v>
      </c>
      <c r="N3041">
        <v>3</v>
      </c>
      <c r="O3041">
        <v>385.84</v>
      </c>
      <c r="P3041">
        <f t="shared" si="188"/>
        <v>7.3787258912916421E-3</v>
      </c>
      <c r="Q3041">
        <f t="shared" si="188"/>
        <v>5.4382178217821782</v>
      </c>
      <c r="R3041">
        <f t="shared" si="189"/>
        <v>183.08666666666667</v>
      </c>
      <c r="S3041">
        <f t="shared" si="190"/>
        <v>0.70247241743436617</v>
      </c>
      <c r="T3041">
        <f t="shared" si="191"/>
        <v>2.9702970297029702E-2</v>
      </c>
      <c r="U3041" t="str">
        <f>YEAR('Campaign Data'!$A3041)&amp;"-"&amp;TEXT(MONTH('Campaign Data'!$A3041),"00")</f>
        <v>2026-06</v>
      </c>
    </row>
    <row r="3042" spans="1:21" x14ac:dyDescent="0.25">
      <c r="A3042">
        <v>46189</v>
      </c>
      <c r="B3042" t="s">
        <v>100</v>
      </c>
      <c r="C3042" t="s">
        <v>101</v>
      </c>
      <c r="D3042" t="s">
        <v>80</v>
      </c>
      <c r="E3042" t="s">
        <v>33</v>
      </c>
      <c r="F3042" t="s">
        <v>25</v>
      </c>
      <c r="G3042" t="s">
        <v>102</v>
      </c>
      <c r="H3042" t="s">
        <v>27</v>
      </c>
      <c r="I3042" t="s">
        <v>28</v>
      </c>
      <c r="J3042" t="s">
        <v>62</v>
      </c>
      <c r="K3042">
        <v>3555</v>
      </c>
      <c r="L3042">
        <v>46</v>
      </c>
      <c r="M3042">
        <v>17.86</v>
      </c>
      <c r="N3042">
        <v>3</v>
      </c>
      <c r="O3042">
        <v>685.22</v>
      </c>
      <c r="P3042">
        <f t="shared" si="188"/>
        <v>1.2939521800281293E-2</v>
      </c>
      <c r="Q3042">
        <f t="shared" si="188"/>
        <v>0.38826086956521738</v>
      </c>
      <c r="R3042">
        <f t="shared" si="189"/>
        <v>5.9533333333333331</v>
      </c>
      <c r="S3042">
        <f t="shared" si="190"/>
        <v>38.366181410974249</v>
      </c>
      <c r="T3042">
        <f t="shared" si="191"/>
        <v>6.5217391304347824E-2</v>
      </c>
      <c r="U3042" t="str">
        <f>YEAR('Campaign Data'!$A3042)&amp;"-"&amp;TEXT(MONTH('Campaign Data'!$A3042),"00")</f>
        <v>2026-06</v>
      </c>
    </row>
    <row r="3043" spans="1:21" x14ac:dyDescent="0.25">
      <c r="A3043">
        <v>46189</v>
      </c>
      <c r="B3043" t="s">
        <v>105</v>
      </c>
      <c r="C3043" t="s">
        <v>106</v>
      </c>
      <c r="D3043" t="s">
        <v>58</v>
      </c>
      <c r="E3043" t="s">
        <v>49</v>
      </c>
      <c r="F3043" t="s">
        <v>81</v>
      </c>
      <c r="G3043" t="s">
        <v>107</v>
      </c>
      <c r="H3043" t="s">
        <v>27</v>
      </c>
      <c r="I3043" t="s">
        <v>37</v>
      </c>
      <c r="J3043" t="s">
        <v>38</v>
      </c>
      <c r="K3043">
        <v>5963</v>
      </c>
      <c r="L3043">
        <v>142</v>
      </c>
      <c r="M3043">
        <v>391.02</v>
      </c>
      <c r="N3043">
        <v>8</v>
      </c>
      <c r="O3043">
        <v>212.53</v>
      </c>
      <c r="P3043">
        <f t="shared" si="188"/>
        <v>2.3813516686231762E-2</v>
      </c>
      <c r="Q3043">
        <f t="shared" si="188"/>
        <v>2.7536619718309856</v>
      </c>
      <c r="R3043">
        <f t="shared" si="189"/>
        <v>48.877499999999998</v>
      </c>
      <c r="S3043">
        <f t="shared" si="190"/>
        <v>0.54352718531021438</v>
      </c>
      <c r="T3043">
        <f t="shared" si="191"/>
        <v>5.6338028169014086E-2</v>
      </c>
      <c r="U3043" t="str">
        <f>YEAR('Campaign Data'!$A3043)&amp;"-"&amp;TEXT(MONTH('Campaign Data'!$A3043),"00")</f>
        <v>2026-06</v>
      </c>
    </row>
    <row r="3044" spans="1:21" x14ac:dyDescent="0.25">
      <c r="A3044">
        <v>46189</v>
      </c>
      <c r="B3044" t="s">
        <v>130</v>
      </c>
      <c r="C3044" t="s">
        <v>131</v>
      </c>
      <c r="D3044" t="s">
        <v>48</v>
      </c>
      <c r="E3044" t="s">
        <v>33</v>
      </c>
      <c r="F3044" t="s">
        <v>34</v>
      </c>
      <c r="G3044" t="s">
        <v>35</v>
      </c>
      <c r="H3044" t="s">
        <v>90</v>
      </c>
      <c r="I3044" t="s">
        <v>37</v>
      </c>
      <c r="J3044" t="s">
        <v>87</v>
      </c>
      <c r="K3044">
        <v>2537</v>
      </c>
      <c r="L3044">
        <v>30</v>
      </c>
      <c r="M3044">
        <v>5.28</v>
      </c>
      <c r="N3044">
        <v>0</v>
      </c>
      <c r="O3044">
        <v>0</v>
      </c>
      <c r="P3044">
        <f t="shared" si="188"/>
        <v>1.1824990145841546E-2</v>
      </c>
      <c r="Q3044">
        <f t="shared" si="188"/>
        <v>0.17600000000000002</v>
      </c>
      <c r="R3044">
        <f t="shared" si="189"/>
        <v>0</v>
      </c>
      <c r="S3044">
        <f t="shared" si="190"/>
        <v>0</v>
      </c>
      <c r="T3044">
        <f t="shared" si="191"/>
        <v>0</v>
      </c>
      <c r="U3044" t="str">
        <f>YEAR('Campaign Data'!$A3044)&amp;"-"&amp;TEXT(MONTH('Campaign Data'!$A3044),"00")</f>
        <v>2026-06</v>
      </c>
    </row>
    <row r="3045" spans="1:21" x14ac:dyDescent="0.25">
      <c r="A3045">
        <v>46189</v>
      </c>
      <c r="B3045" t="s">
        <v>130</v>
      </c>
      <c r="C3045" t="s">
        <v>131</v>
      </c>
      <c r="D3045" t="s">
        <v>48</v>
      </c>
      <c r="E3045" t="s">
        <v>33</v>
      </c>
      <c r="F3045" t="s">
        <v>34</v>
      </c>
      <c r="G3045" t="s">
        <v>35</v>
      </c>
      <c r="H3045" t="s">
        <v>60</v>
      </c>
      <c r="I3045" t="s">
        <v>28</v>
      </c>
      <c r="J3045" t="s">
        <v>29</v>
      </c>
      <c r="K3045">
        <v>5771</v>
      </c>
      <c r="L3045">
        <v>44</v>
      </c>
      <c r="M3045">
        <v>18.649999999999999</v>
      </c>
      <c r="N3045">
        <v>1</v>
      </c>
      <c r="O3045">
        <v>101.9</v>
      </c>
      <c r="P3045">
        <f t="shared" si="188"/>
        <v>7.6243285392479637E-3</v>
      </c>
      <c r="Q3045">
        <f t="shared" si="188"/>
        <v>0.42386363636363633</v>
      </c>
      <c r="R3045">
        <f t="shared" si="189"/>
        <v>18.649999999999999</v>
      </c>
      <c r="S3045">
        <f t="shared" si="190"/>
        <v>5.4638069705093839</v>
      </c>
      <c r="T3045">
        <f t="shared" si="191"/>
        <v>2.2727272727272728E-2</v>
      </c>
      <c r="U3045" t="str">
        <f>YEAR('Campaign Data'!$A3045)&amp;"-"&amp;TEXT(MONTH('Campaign Data'!$A3045),"00")</f>
        <v>2026-06</v>
      </c>
    </row>
    <row r="3046" spans="1:21" x14ac:dyDescent="0.25">
      <c r="A3046">
        <v>46189</v>
      </c>
      <c r="B3046" t="s">
        <v>132</v>
      </c>
      <c r="C3046" t="s">
        <v>133</v>
      </c>
      <c r="D3046" t="s">
        <v>23</v>
      </c>
      <c r="E3046" t="s">
        <v>42</v>
      </c>
      <c r="F3046" t="s">
        <v>75</v>
      </c>
      <c r="G3046" t="s">
        <v>84</v>
      </c>
      <c r="H3046" t="s">
        <v>27</v>
      </c>
      <c r="I3046" t="s">
        <v>37</v>
      </c>
      <c r="J3046" t="s">
        <v>38</v>
      </c>
      <c r="K3046">
        <v>9205</v>
      </c>
      <c r="L3046">
        <v>51</v>
      </c>
      <c r="M3046">
        <v>368.79</v>
      </c>
      <c r="N3046">
        <v>2</v>
      </c>
      <c r="O3046">
        <v>106.62</v>
      </c>
      <c r="P3046">
        <f t="shared" si="188"/>
        <v>5.5404671374253128E-3</v>
      </c>
      <c r="Q3046">
        <f t="shared" si="188"/>
        <v>7.2311764705882355</v>
      </c>
      <c r="R3046">
        <f t="shared" si="189"/>
        <v>184.39500000000001</v>
      </c>
      <c r="S3046">
        <f t="shared" si="190"/>
        <v>0.28910762222402991</v>
      </c>
      <c r="T3046">
        <f t="shared" si="191"/>
        <v>3.9215686274509803E-2</v>
      </c>
      <c r="U3046" t="str">
        <f>YEAR('Campaign Data'!$A3046)&amp;"-"&amp;TEXT(MONTH('Campaign Data'!$A3046),"00")</f>
        <v>2026-06</v>
      </c>
    </row>
    <row r="3047" spans="1:21" x14ac:dyDescent="0.25">
      <c r="A3047">
        <v>46189</v>
      </c>
      <c r="B3047" t="s">
        <v>110</v>
      </c>
      <c r="C3047" t="s">
        <v>111</v>
      </c>
      <c r="D3047" t="s">
        <v>23</v>
      </c>
      <c r="E3047" t="s">
        <v>49</v>
      </c>
      <c r="F3047" t="s">
        <v>34</v>
      </c>
      <c r="G3047" t="s">
        <v>50</v>
      </c>
      <c r="H3047" t="s">
        <v>36</v>
      </c>
      <c r="I3047" t="s">
        <v>37</v>
      </c>
      <c r="J3047" t="s">
        <v>29</v>
      </c>
      <c r="K3047">
        <v>4604</v>
      </c>
      <c r="L3047">
        <v>290</v>
      </c>
      <c r="M3047">
        <v>358.27</v>
      </c>
      <c r="N3047">
        <v>25</v>
      </c>
      <c r="O3047">
        <v>5385.73</v>
      </c>
      <c r="P3047">
        <f t="shared" si="188"/>
        <v>6.29887054735013E-2</v>
      </c>
      <c r="Q3047">
        <f t="shared" si="188"/>
        <v>1.2354137931034481</v>
      </c>
      <c r="R3047">
        <f t="shared" si="189"/>
        <v>14.3308</v>
      </c>
      <c r="S3047">
        <f t="shared" si="190"/>
        <v>15.032601110894017</v>
      </c>
      <c r="T3047">
        <f t="shared" si="191"/>
        <v>8.6206896551724144E-2</v>
      </c>
      <c r="U3047" t="str">
        <f>YEAR('Campaign Data'!$A3047)&amp;"-"&amp;TEXT(MONTH('Campaign Data'!$A3047),"00")</f>
        <v>2026-06</v>
      </c>
    </row>
    <row r="3048" spans="1:21" x14ac:dyDescent="0.25">
      <c r="A3048">
        <v>46189</v>
      </c>
      <c r="B3048" t="s">
        <v>110</v>
      </c>
      <c r="C3048" t="s">
        <v>111</v>
      </c>
      <c r="D3048" t="s">
        <v>23</v>
      </c>
      <c r="E3048" t="s">
        <v>49</v>
      </c>
      <c r="F3048" t="s">
        <v>34</v>
      </c>
      <c r="G3048" t="s">
        <v>50</v>
      </c>
      <c r="H3048" t="s">
        <v>36</v>
      </c>
      <c r="I3048" t="s">
        <v>37</v>
      </c>
      <c r="J3048" t="s">
        <v>45</v>
      </c>
      <c r="K3048">
        <v>4028</v>
      </c>
      <c r="L3048">
        <v>200</v>
      </c>
      <c r="M3048">
        <v>275.52999999999997</v>
      </c>
      <c r="N3048">
        <v>17</v>
      </c>
      <c r="O3048">
        <v>2212.5700000000002</v>
      </c>
      <c r="P3048">
        <f t="shared" si="188"/>
        <v>4.9652432969215489E-2</v>
      </c>
      <c r="Q3048">
        <f t="shared" si="188"/>
        <v>1.3776499999999998</v>
      </c>
      <c r="R3048">
        <f t="shared" si="189"/>
        <v>16.207647058823529</v>
      </c>
      <c r="S3048">
        <f t="shared" si="190"/>
        <v>8.0302326425434636</v>
      </c>
      <c r="T3048">
        <f t="shared" si="191"/>
        <v>8.5000000000000006E-2</v>
      </c>
      <c r="U3048" t="str">
        <f>YEAR('Campaign Data'!$A3048)&amp;"-"&amp;TEXT(MONTH('Campaign Data'!$A3048),"00")</f>
        <v>2026-06</v>
      </c>
    </row>
    <row r="3049" spans="1:21" x14ac:dyDescent="0.25">
      <c r="A3049">
        <v>46189</v>
      </c>
      <c r="B3049" t="s">
        <v>155</v>
      </c>
      <c r="C3049" t="s">
        <v>156</v>
      </c>
      <c r="D3049" t="s">
        <v>32</v>
      </c>
      <c r="E3049" t="s">
        <v>24</v>
      </c>
      <c r="F3049" t="s">
        <v>34</v>
      </c>
      <c r="G3049" t="s">
        <v>129</v>
      </c>
      <c r="H3049" t="s">
        <v>51</v>
      </c>
      <c r="I3049" t="s">
        <v>37</v>
      </c>
      <c r="J3049" t="s">
        <v>38</v>
      </c>
      <c r="K3049">
        <v>5419</v>
      </c>
      <c r="L3049">
        <v>51</v>
      </c>
      <c r="M3049">
        <v>45.64</v>
      </c>
      <c r="N3049">
        <v>1</v>
      </c>
      <c r="O3049">
        <v>143.88999999999999</v>
      </c>
      <c r="P3049">
        <f t="shared" si="188"/>
        <v>9.4113305037829866E-3</v>
      </c>
      <c r="Q3049">
        <f t="shared" si="188"/>
        <v>0.89490196078431372</v>
      </c>
      <c r="R3049">
        <f t="shared" si="189"/>
        <v>45.64</v>
      </c>
      <c r="S3049">
        <f t="shared" si="190"/>
        <v>3.1527169149868532</v>
      </c>
      <c r="T3049">
        <f t="shared" si="191"/>
        <v>1.9607843137254902E-2</v>
      </c>
      <c r="U3049" t="str">
        <f>YEAR('Campaign Data'!$A3049)&amp;"-"&amp;TEXT(MONTH('Campaign Data'!$A3049),"00")</f>
        <v>2026-06</v>
      </c>
    </row>
    <row r="3050" spans="1:21" x14ac:dyDescent="0.25">
      <c r="A3050">
        <v>46189</v>
      </c>
      <c r="B3050" t="s">
        <v>157</v>
      </c>
      <c r="C3050" t="s">
        <v>158</v>
      </c>
      <c r="D3050" t="s">
        <v>58</v>
      </c>
      <c r="E3050" t="s">
        <v>49</v>
      </c>
      <c r="F3050" t="s">
        <v>81</v>
      </c>
      <c r="G3050" t="s">
        <v>50</v>
      </c>
      <c r="H3050" t="s">
        <v>27</v>
      </c>
      <c r="I3050" t="s">
        <v>28</v>
      </c>
      <c r="J3050" t="s">
        <v>45</v>
      </c>
      <c r="K3050">
        <v>3850</v>
      </c>
      <c r="L3050">
        <v>62</v>
      </c>
      <c r="M3050">
        <v>129.22</v>
      </c>
      <c r="N3050">
        <v>2</v>
      </c>
      <c r="O3050">
        <v>55.15</v>
      </c>
      <c r="P3050">
        <f t="shared" si="188"/>
        <v>1.6103896103896103E-2</v>
      </c>
      <c r="Q3050">
        <f t="shared" si="188"/>
        <v>2.0841935483870966</v>
      </c>
      <c r="R3050">
        <f t="shared" si="189"/>
        <v>64.61</v>
      </c>
      <c r="S3050">
        <f t="shared" si="190"/>
        <v>0.42679151834081414</v>
      </c>
      <c r="T3050">
        <f t="shared" si="191"/>
        <v>3.2258064516129031E-2</v>
      </c>
      <c r="U3050" t="str">
        <f>YEAR('Campaign Data'!$A3050)&amp;"-"&amp;TEXT(MONTH('Campaign Data'!$A3050),"00")</f>
        <v>2026-06</v>
      </c>
    </row>
    <row r="3051" spans="1:21" x14ac:dyDescent="0.25">
      <c r="A3051">
        <v>46189</v>
      </c>
      <c r="B3051" t="s">
        <v>159</v>
      </c>
      <c r="C3051" t="s">
        <v>160</v>
      </c>
      <c r="D3051" t="s">
        <v>65</v>
      </c>
      <c r="E3051" t="s">
        <v>42</v>
      </c>
      <c r="F3051" t="s">
        <v>75</v>
      </c>
      <c r="G3051" t="s">
        <v>54</v>
      </c>
      <c r="H3051" t="s">
        <v>27</v>
      </c>
      <c r="I3051" t="s">
        <v>37</v>
      </c>
      <c r="J3051" t="s">
        <v>38</v>
      </c>
      <c r="K3051">
        <v>10832</v>
      </c>
      <c r="L3051">
        <v>70</v>
      </c>
      <c r="M3051">
        <v>404.36</v>
      </c>
      <c r="N3051">
        <v>3</v>
      </c>
      <c r="O3051">
        <v>153.63999999999999</v>
      </c>
      <c r="P3051">
        <f t="shared" si="188"/>
        <v>6.4623338257016249E-3</v>
      </c>
      <c r="Q3051">
        <f t="shared" si="188"/>
        <v>5.7765714285714287</v>
      </c>
      <c r="R3051">
        <f t="shared" si="189"/>
        <v>134.78666666666666</v>
      </c>
      <c r="S3051">
        <f t="shared" si="190"/>
        <v>0.37995845286378471</v>
      </c>
      <c r="T3051">
        <f t="shared" si="191"/>
        <v>4.2857142857142858E-2</v>
      </c>
      <c r="U3051" t="str">
        <f>YEAR('Campaign Data'!$A3051)&amp;"-"&amp;TEXT(MONTH('Campaign Data'!$A3051),"00")</f>
        <v>2026-06</v>
      </c>
    </row>
    <row r="3052" spans="1:21" x14ac:dyDescent="0.25">
      <c r="A3052">
        <v>46189</v>
      </c>
      <c r="B3052" t="s">
        <v>56</v>
      </c>
      <c r="C3052" t="s">
        <v>57</v>
      </c>
      <c r="D3052" t="s">
        <v>58</v>
      </c>
      <c r="E3052" t="s">
        <v>33</v>
      </c>
      <c r="F3052" t="s">
        <v>43</v>
      </c>
      <c r="G3052" t="s">
        <v>59</v>
      </c>
      <c r="H3052" t="s">
        <v>51</v>
      </c>
      <c r="I3052" t="s">
        <v>37</v>
      </c>
      <c r="J3052" t="s">
        <v>45</v>
      </c>
      <c r="K3052">
        <v>9374</v>
      </c>
      <c r="L3052">
        <v>67</v>
      </c>
      <c r="M3052">
        <v>52.15</v>
      </c>
      <c r="N3052">
        <v>1</v>
      </c>
      <c r="O3052">
        <v>21.08</v>
      </c>
      <c r="P3052">
        <f t="shared" si="188"/>
        <v>7.1474290590996369E-3</v>
      </c>
      <c r="Q3052">
        <f t="shared" si="188"/>
        <v>0.7783582089552239</v>
      </c>
      <c r="R3052">
        <f t="shared" si="189"/>
        <v>52.15</v>
      </c>
      <c r="S3052">
        <f t="shared" si="190"/>
        <v>0.40421860019175454</v>
      </c>
      <c r="T3052">
        <f t="shared" si="191"/>
        <v>1.4925373134328358E-2</v>
      </c>
      <c r="U3052" t="str">
        <f>YEAR('Campaign Data'!$A3052)&amp;"-"&amp;TEXT(MONTH('Campaign Data'!$A3052),"00")</f>
        <v>2026-06</v>
      </c>
    </row>
    <row r="3053" spans="1:21" x14ac:dyDescent="0.25">
      <c r="A3053">
        <v>46189</v>
      </c>
      <c r="B3053" t="s">
        <v>56</v>
      </c>
      <c r="C3053" t="s">
        <v>57</v>
      </c>
      <c r="D3053" t="s">
        <v>58</v>
      </c>
      <c r="E3053" t="s">
        <v>33</v>
      </c>
      <c r="F3053" t="s">
        <v>43</v>
      </c>
      <c r="G3053" t="s">
        <v>59</v>
      </c>
      <c r="H3053" t="s">
        <v>27</v>
      </c>
      <c r="I3053" t="s">
        <v>28</v>
      </c>
      <c r="J3053" t="s">
        <v>45</v>
      </c>
      <c r="K3053">
        <v>3996</v>
      </c>
      <c r="L3053">
        <v>21</v>
      </c>
      <c r="M3053">
        <v>17.52</v>
      </c>
      <c r="N3053">
        <v>0</v>
      </c>
      <c r="O3053">
        <v>0</v>
      </c>
      <c r="P3053">
        <f t="shared" si="188"/>
        <v>5.2552552552552556E-3</v>
      </c>
      <c r="Q3053">
        <f t="shared" si="188"/>
        <v>0.8342857142857143</v>
      </c>
      <c r="R3053">
        <f t="shared" si="189"/>
        <v>0</v>
      </c>
      <c r="S3053">
        <f t="shared" si="190"/>
        <v>0</v>
      </c>
      <c r="T3053">
        <f t="shared" si="191"/>
        <v>0</v>
      </c>
      <c r="U3053" t="str">
        <f>YEAR('Campaign Data'!$A3053)&amp;"-"&amp;TEXT(MONTH('Campaign Data'!$A3053),"00")</f>
        <v>2026-06</v>
      </c>
    </row>
    <row r="3054" spans="1:21" x14ac:dyDescent="0.25">
      <c r="A3054">
        <v>46189</v>
      </c>
      <c r="B3054" t="s">
        <v>141</v>
      </c>
      <c r="C3054" t="s">
        <v>142</v>
      </c>
      <c r="D3054" t="s">
        <v>80</v>
      </c>
      <c r="E3054" t="s">
        <v>49</v>
      </c>
      <c r="F3054" t="s">
        <v>81</v>
      </c>
      <c r="G3054" t="s">
        <v>97</v>
      </c>
      <c r="H3054" t="s">
        <v>90</v>
      </c>
      <c r="I3054" t="s">
        <v>37</v>
      </c>
      <c r="J3054" t="s">
        <v>38</v>
      </c>
      <c r="K3054">
        <v>6273</v>
      </c>
      <c r="L3054">
        <v>157</v>
      </c>
      <c r="M3054">
        <v>67.31</v>
      </c>
      <c r="N3054">
        <v>5</v>
      </c>
      <c r="O3054">
        <v>29.79</v>
      </c>
      <c r="P3054">
        <f t="shared" si="188"/>
        <v>2.5027897337796909E-2</v>
      </c>
      <c r="Q3054">
        <f t="shared" si="188"/>
        <v>0.42872611464968152</v>
      </c>
      <c r="R3054">
        <f t="shared" si="189"/>
        <v>13.462</v>
      </c>
      <c r="S3054">
        <f t="shared" si="190"/>
        <v>0.44257911157331747</v>
      </c>
      <c r="T3054">
        <f t="shared" si="191"/>
        <v>3.1847133757961783E-2</v>
      </c>
      <c r="U3054" t="str">
        <f>YEAR('Campaign Data'!$A3054)&amp;"-"&amp;TEXT(MONTH('Campaign Data'!$A3054),"00")</f>
        <v>2026-06</v>
      </c>
    </row>
    <row r="3055" spans="1:21" x14ac:dyDescent="0.25">
      <c r="A3055">
        <v>46189</v>
      </c>
      <c r="B3055" t="s">
        <v>141</v>
      </c>
      <c r="C3055" t="s">
        <v>142</v>
      </c>
      <c r="D3055" t="s">
        <v>80</v>
      </c>
      <c r="E3055" t="s">
        <v>49</v>
      </c>
      <c r="F3055" t="s">
        <v>81</v>
      </c>
      <c r="G3055" t="s">
        <v>97</v>
      </c>
      <c r="H3055" t="s">
        <v>55</v>
      </c>
      <c r="I3055" t="s">
        <v>37</v>
      </c>
      <c r="J3055" t="s">
        <v>38</v>
      </c>
      <c r="K3055">
        <v>18477</v>
      </c>
      <c r="L3055">
        <v>903</v>
      </c>
      <c r="M3055">
        <v>1665.67</v>
      </c>
      <c r="N3055">
        <v>43</v>
      </c>
      <c r="O3055">
        <v>374.74</v>
      </c>
      <c r="P3055">
        <f t="shared" si="188"/>
        <v>4.8871570060074684E-2</v>
      </c>
      <c r="Q3055">
        <f t="shared" si="188"/>
        <v>1.8445957918050941</v>
      </c>
      <c r="R3055">
        <f t="shared" si="189"/>
        <v>38.736511627906978</v>
      </c>
      <c r="S3055">
        <f t="shared" si="190"/>
        <v>0.22497853716522481</v>
      </c>
      <c r="T3055">
        <f t="shared" si="191"/>
        <v>4.7619047619047616E-2</v>
      </c>
      <c r="U3055" t="str">
        <f>YEAR('Campaign Data'!$A3055)&amp;"-"&amp;TEXT(MONTH('Campaign Data'!$A3055),"00")</f>
        <v>2026-06</v>
      </c>
    </row>
    <row r="3056" spans="1:21" x14ac:dyDescent="0.25">
      <c r="A3056">
        <v>46189</v>
      </c>
      <c r="B3056" t="s">
        <v>136</v>
      </c>
      <c r="C3056" t="s">
        <v>137</v>
      </c>
      <c r="D3056" t="s">
        <v>32</v>
      </c>
      <c r="E3056" t="s">
        <v>49</v>
      </c>
      <c r="F3056" t="s">
        <v>75</v>
      </c>
      <c r="G3056" t="s">
        <v>97</v>
      </c>
      <c r="H3056" t="s">
        <v>71</v>
      </c>
      <c r="I3056" t="s">
        <v>37</v>
      </c>
      <c r="J3056" t="s">
        <v>45</v>
      </c>
      <c r="K3056">
        <v>5136</v>
      </c>
      <c r="L3056">
        <v>187</v>
      </c>
      <c r="M3056">
        <v>203.25</v>
      </c>
      <c r="N3056">
        <v>16</v>
      </c>
      <c r="O3056">
        <v>318.77</v>
      </c>
      <c r="P3056">
        <f t="shared" si="188"/>
        <v>3.6409657320872271E-2</v>
      </c>
      <c r="Q3056">
        <f t="shared" si="188"/>
        <v>1.0868983957219251</v>
      </c>
      <c r="R3056">
        <f t="shared" si="189"/>
        <v>12.703125</v>
      </c>
      <c r="S3056">
        <f t="shared" si="190"/>
        <v>1.5683640836408363</v>
      </c>
      <c r="T3056">
        <f t="shared" si="191"/>
        <v>8.5561497326203204E-2</v>
      </c>
      <c r="U3056" t="str">
        <f>YEAR('Campaign Data'!$A3056)&amp;"-"&amp;TEXT(MONTH('Campaign Data'!$A3056),"00")</f>
        <v>2026-06</v>
      </c>
    </row>
    <row r="3057" spans="1:21" x14ac:dyDescent="0.25">
      <c r="A3057">
        <v>46189</v>
      </c>
      <c r="B3057" t="s">
        <v>163</v>
      </c>
      <c r="C3057" t="s">
        <v>164</v>
      </c>
      <c r="D3057" t="s">
        <v>58</v>
      </c>
      <c r="E3057" t="s">
        <v>42</v>
      </c>
      <c r="F3057" t="s">
        <v>43</v>
      </c>
      <c r="G3057" t="s">
        <v>44</v>
      </c>
      <c r="H3057" t="s">
        <v>90</v>
      </c>
      <c r="I3057" t="s">
        <v>37</v>
      </c>
      <c r="J3057" t="s">
        <v>62</v>
      </c>
      <c r="K3057">
        <v>10289</v>
      </c>
      <c r="L3057">
        <v>82</v>
      </c>
      <c r="M3057">
        <v>148.9</v>
      </c>
      <c r="N3057">
        <v>3</v>
      </c>
      <c r="O3057">
        <v>17</v>
      </c>
      <c r="P3057">
        <f t="shared" si="188"/>
        <v>7.9696763533871132E-3</v>
      </c>
      <c r="Q3057">
        <f t="shared" si="188"/>
        <v>1.8158536585365854</v>
      </c>
      <c r="R3057">
        <f t="shared" si="189"/>
        <v>49.633333333333333</v>
      </c>
      <c r="S3057">
        <f t="shared" si="190"/>
        <v>0.11417058428475486</v>
      </c>
      <c r="T3057">
        <f t="shared" si="191"/>
        <v>3.6585365853658534E-2</v>
      </c>
      <c r="U3057" t="str">
        <f>YEAR('Campaign Data'!$A3057)&amp;"-"&amp;TEXT(MONTH('Campaign Data'!$A3057),"00")</f>
        <v>2026-06</v>
      </c>
    </row>
    <row r="3058" spans="1:21" x14ac:dyDescent="0.25">
      <c r="A3058">
        <v>46189</v>
      </c>
      <c r="B3058" t="s">
        <v>122</v>
      </c>
      <c r="C3058" t="s">
        <v>123</v>
      </c>
      <c r="D3058" t="s">
        <v>41</v>
      </c>
      <c r="E3058" t="s">
        <v>33</v>
      </c>
      <c r="F3058" t="s">
        <v>75</v>
      </c>
      <c r="G3058" t="s">
        <v>35</v>
      </c>
      <c r="H3058" t="s">
        <v>27</v>
      </c>
      <c r="I3058" t="s">
        <v>28</v>
      </c>
      <c r="J3058" t="s">
        <v>87</v>
      </c>
      <c r="K3058">
        <v>2998</v>
      </c>
      <c r="L3058">
        <v>13</v>
      </c>
      <c r="M3058">
        <v>10.53</v>
      </c>
      <c r="N3058">
        <v>0</v>
      </c>
      <c r="O3058">
        <v>0</v>
      </c>
      <c r="P3058">
        <f t="shared" si="188"/>
        <v>4.3362241494329552E-3</v>
      </c>
      <c r="Q3058">
        <f t="shared" si="188"/>
        <v>0.80999999999999994</v>
      </c>
      <c r="R3058">
        <f t="shared" si="189"/>
        <v>0</v>
      </c>
      <c r="S3058">
        <f t="shared" si="190"/>
        <v>0</v>
      </c>
      <c r="T3058">
        <f t="shared" si="191"/>
        <v>0</v>
      </c>
      <c r="U3058" t="str">
        <f>YEAR('Campaign Data'!$A3058)&amp;"-"&amp;TEXT(MONTH('Campaign Data'!$A3058),"00")</f>
        <v>2026-06</v>
      </c>
    </row>
    <row r="3059" spans="1:21" x14ac:dyDescent="0.25">
      <c r="A3059">
        <v>46189</v>
      </c>
      <c r="B3059" t="s">
        <v>122</v>
      </c>
      <c r="C3059" t="s">
        <v>123</v>
      </c>
      <c r="D3059" t="s">
        <v>41</v>
      </c>
      <c r="E3059" t="s">
        <v>33</v>
      </c>
      <c r="F3059" t="s">
        <v>75</v>
      </c>
      <c r="G3059" t="s">
        <v>35</v>
      </c>
      <c r="H3059" t="s">
        <v>90</v>
      </c>
      <c r="I3059" t="s">
        <v>37</v>
      </c>
      <c r="J3059" t="s">
        <v>38</v>
      </c>
      <c r="K3059">
        <v>12890</v>
      </c>
      <c r="L3059">
        <v>102</v>
      </c>
      <c r="M3059">
        <v>22.03</v>
      </c>
      <c r="N3059">
        <v>0</v>
      </c>
      <c r="O3059">
        <v>0</v>
      </c>
      <c r="P3059">
        <f t="shared" si="188"/>
        <v>7.9131109387121801E-3</v>
      </c>
      <c r="Q3059">
        <f t="shared" si="188"/>
        <v>0.21598039215686277</v>
      </c>
      <c r="R3059">
        <f t="shared" si="189"/>
        <v>0</v>
      </c>
      <c r="S3059">
        <f t="shared" si="190"/>
        <v>0</v>
      </c>
      <c r="T3059">
        <f t="shared" si="191"/>
        <v>0</v>
      </c>
      <c r="U3059" t="str">
        <f>YEAR('Campaign Data'!$A3059)&amp;"-"&amp;TEXT(MONTH('Campaign Data'!$A3059),"00")</f>
        <v>2026-06</v>
      </c>
    </row>
    <row r="3060" spans="1:21" x14ac:dyDescent="0.25">
      <c r="A3060">
        <v>46189</v>
      </c>
      <c r="B3060" t="s">
        <v>82</v>
      </c>
      <c r="C3060" t="s">
        <v>83</v>
      </c>
      <c r="D3060" t="s">
        <v>80</v>
      </c>
      <c r="E3060" t="s">
        <v>42</v>
      </c>
      <c r="F3060" t="s">
        <v>34</v>
      </c>
      <c r="G3060" t="s">
        <v>84</v>
      </c>
      <c r="H3060" t="s">
        <v>27</v>
      </c>
      <c r="I3060" t="s">
        <v>28</v>
      </c>
      <c r="J3060" t="s">
        <v>29</v>
      </c>
      <c r="K3060">
        <v>16345</v>
      </c>
      <c r="L3060">
        <v>118</v>
      </c>
      <c r="M3060">
        <v>735.46</v>
      </c>
      <c r="N3060">
        <v>1</v>
      </c>
      <c r="O3060">
        <v>97.91</v>
      </c>
      <c r="P3060">
        <f t="shared" si="188"/>
        <v>7.2193331293973692E-3</v>
      </c>
      <c r="Q3060">
        <f t="shared" si="188"/>
        <v>6.23271186440678</v>
      </c>
      <c r="R3060">
        <f t="shared" si="189"/>
        <v>735.46</v>
      </c>
      <c r="S3060">
        <f t="shared" si="190"/>
        <v>0.13312756642101542</v>
      </c>
      <c r="T3060">
        <f t="shared" si="191"/>
        <v>8.4745762711864406E-3</v>
      </c>
      <c r="U3060" t="str">
        <f>YEAR('Campaign Data'!$A3060)&amp;"-"&amp;TEXT(MONTH('Campaign Data'!$A3060),"00")</f>
        <v>2026-06</v>
      </c>
    </row>
    <row r="3061" spans="1:21" x14ac:dyDescent="0.25">
      <c r="A3061">
        <v>46189</v>
      </c>
      <c r="B3061" t="s">
        <v>82</v>
      </c>
      <c r="C3061" t="s">
        <v>83</v>
      </c>
      <c r="D3061" t="s">
        <v>80</v>
      </c>
      <c r="E3061" t="s">
        <v>42</v>
      </c>
      <c r="F3061" t="s">
        <v>34</v>
      </c>
      <c r="G3061" t="s">
        <v>84</v>
      </c>
      <c r="H3061" t="s">
        <v>90</v>
      </c>
      <c r="I3061" t="s">
        <v>37</v>
      </c>
      <c r="J3061" t="s">
        <v>45</v>
      </c>
      <c r="K3061">
        <v>8765</v>
      </c>
      <c r="L3061">
        <v>62</v>
      </c>
      <c r="M3061">
        <v>105.47</v>
      </c>
      <c r="N3061">
        <v>2</v>
      </c>
      <c r="O3061">
        <v>79.16</v>
      </c>
      <c r="P3061">
        <f t="shared" si="188"/>
        <v>7.0735881346263548E-3</v>
      </c>
      <c r="Q3061">
        <f t="shared" si="188"/>
        <v>1.7011290322580646</v>
      </c>
      <c r="R3061">
        <f t="shared" si="189"/>
        <v>52.734999999999999</v>
      </c>
      <c r="S3061">
        <f t="shared" si="190"/>
        <v>0.75054517872380766</v>
      </c>
      <c r="T3061">
        <f t="shared" si="191"/>
        <v>3.2258064516129031E-2</v>
      </c>
      <c r="U3061" t="str">
        <f>YEAR('Campaign Data'!$A3061)&amp;"-"&amp;TEXT(MONTH('Campaign Data'!$A3061),"00")</f>
        <v>2026-06</v>
      </c>
    </row>
    <row r="3062" spans="1:21" x14ac:dyDescent="0.25">
      <c r="A3062">
        <v>46190</v>
      </c>
      <c r="B3062" t="s">
        <v>165</v>
      </c>
      <c r="C3062" t="s">
        <v>166</v>
      </c>
      <c r="D3062" t="s">
        <v>41</v>
      </c>
      <c r="E3062" t="s">
        <v>33</v>
      </c>
      <c r="F3062" t="s">
        <v>43</v>
      </c>
      <c r="G3062" t="s">
        <v>59</v>
      </c>
      <c r="H3062" t="s">
        <v>51</v>
      </c>
      <c r="I3062" t="s">
        <v>28</v>
      </c>
      <c r="J3062" t="s">
        <v>62</v>
      </c>
      <c r="K3062">
        <v>5202</v>
      </c>
      <c r="L3062">
        <v>88</v>
      </c>
      <c r="M3062">
        <v>48.76</v>
      </c>
      <c r="N3062">
        <v>1</v>
      </c>
      <c r="O3062">
        <v>29.99</v>
      </c>
      <c r="P3062">
        <f t="shared" si="188"/>
        <v>1.6916570549788543E-2</v>
      </c>
      <c r="Q3062">
        <f t="shared" si="188"/>
        <v>0.55409090909090908</v>
      </c>
      <c r="R3062">
        <f t="shared" si="189"/>
        <v>48.76</v>
      </c>
      <c r="S3062">
        <f t="shared" si="190"/>
        <v>0.61505332239540611</v>
      </c>
      <c r="T3062">
        <f t="shared" si="191"/>
        <v>1.1363636363636364E-2</v>
      </c>
      <c r="U3062" t="str">
        <f>YEAR('Campaign Data'!$A3062)&amp;"-"&amp;TEXT(MONTH('Campaign Data'!$A3062),"00")</f>
        <v>2026-06</v>
      </c>
    </row>
    <row r="3063" spans="1:21" x14ac:dyDescent="0.25">
      <c r="A3063">
        <v>46190</v>
      </c>
      <c r="B3063" t="s">
        <v>125</v>
      </c>
      <c r="C3063" t="s">
        <v>126</v>
      </c>
      <c r="D3063" t="s">
        <v>41</v>
      </c>
      <c r="E3063" t="s">
        <v>42</v>
      </c>
      <c r="F3063" t="s">
        <v>81</v>
      </c>
      <c r="G3063" t="s">
        <v>44</v>
      </c>
      <c r="H3063" t="s">
        <v>90</v>
      </c>
      <c r="I3063" t="s">
        <v>28</v>
      </c>
      <c r="J3063" t="s">
        <v>45</v>
      </c>
      <c r="K3063">
        <v>5746</v>
      </c>
      <c r="L3063">
        <v>28</v>
      </c>
      <c r="M3063">
        <v>35.770000000000003</v>
      </c>
      <c r="N3063">
        <v>1</v>
      </c>
      <c r="O3063">
        <v>7.36</v>
      </c>
      <c r="P3063">
        <f t="shared" si="188"/>
        <v>4.8729550991994429E-3</v>
      </c>
      <c r="Q3063">
        <f t="shared" si="188"/>
        <v>1.2775000000000001</v>
      </c>
      <c r="R3063">
        <f t="shared" si="189"/>
        <v>35.770000000000003</v>
      </c>
      <c r="S3063">
        <f t="shared" si="190"/>
        <v>0.20575901593514118</v>
      </c>
      <c r="T3063">
        <f t="shared" si="191"/>
        <v>3.5714285714285712E-2</v>
      </c>
      <c r="U3063" t="str">
        <f>YEAR('Campaign Data'!$A3063)&amp;"-"&amp;TEXT(MONTH('Campaign Data'!$A3063),"00")</f>
        <v>2026-06</v>
      </c>
    </row>
    <row r="3064" spans="1:21" x14ac:dyDescent="0.25">
      <c r="A3064">
        <v>46190</v>
      </c>
      <c r="B3064" t="s">
        <v>186</v>
      </c>
      <c r="C3064" t="s">
        <v>187</v>
      </c>
      <c r="D3064" t="s">
        <v>80</v>
      </c>
      <c r="E3064" t="s">
        <v>33</v>
      </c>
      <c r="F3064" t="s">
        <v>43</v>
      </c>
      <c r="G3064" t="s">
        <v>102</v>
      </c>
      <c r="H3064" t="s">
        <v>36</v>
      </c>
      <c r="I3064" t="s">
        <v>37</v>
      </c>
      <c r="J3064" t="s">
        <v>45</v>
      </c>
      <c r="K3064">
        <v>5765</v>
      </c>
      <c r="L3064">
        <v>47</v>
      </c>
      <c r="M3064">
        <v>33.909999999999997</v>
      </c>
      <c r="N3064">
        <v>2</v>
      </c>
      <c r="O3064">
        <v>28.77</v>
      </c>
      <c r="P3064">
        <f t="shared" si="188"/>
        <v>8.1526452732003461E-3</v>
      </c>
      <c r="Q3064">
        <f t="shared" si="188"/>
        <v>0.72148936170212763</v>
      </c>
      <c r="R3064">
        <f t="shared" si="189"/>
        <v>16.954999999999998</v>
      </c>
      <c r="S3064">
        <f t="shared" si="190"/>
        <v>0.84842229430846361</v>
      </c>
      <c r="T3064">
        <f t="shared" si="191"/>
        <v>4.2553191489361701E-2</v>
      </c>
      <c r="U3064" t="str">
        <f>YEAR('Campaign Data'!$A3064)&amp;"-"&amp;TEXT(MONTH('Campaign Data'!$A3064),"00")</f>
        <v>2026-06</v>
      </c>
    </row>
    <row r="3065" spans="1:21" x14ac:dyDescent="0.25">
      <c r="A3065">
        <v>46190</v>
      </c>
      <c r="B3065" t="s">
        <v>30</v>
      </c>
      <c r="C3065" t="s">
        <v>31</v>
      </c>
      <c r="D3065" t="s">
        <v>32</v>
      </c>
      <c r="E3065" t="s">
        <v>33</v>
      </c>
      <c r="F3065" t="s">
        <v>34</v>
      </c>
      <c r="G3065" t="s">
        <v>35</v>
      </c>
      <c r="H3065" t="s">
        <v>27</v>
      </c>
      <c r="I3065" t="s">
        <v>37</v>
      </c>
      <c r="J3065" t="s">
        <v>62</v>
      </c>
      <c r="K3065">
        <v>7728</v>
      </c>
      <c r="L3065">
        <v>61</v>
      </c>
      <c r="M3065">
        <v>46.8</v>
      </c>
      <c r="N3065">
        <v>2</v>
      </c>
      <c r="O3065">
        <v>480.82</v>
      </c>
      <c r="P3065">
        <f t="shared" si="188"/>
        <v>7.893374741200828E-3</v>
      </c>
      <c r="Q3065">
        <f t="shared" si="188"/>
        <v>0.76721311475409837</v>
      </c>
      <c r="R3065">
        <f t="shared" si="189"/>
        <v>23.4</v>
      </c>
      <c r="S3065">
        <f t="shared" si="190"/>
        <v>10.273931623931624</v>
      </c>
      <c r="T3065">
        <f t="shared" si="191"/>
        <v>3.2786885245901641E-2</v>
      </c>
      <c r="U3065" t="str">
        <f>YEAR('Campaign Data'!$A3065)&amp;"-"&amp;TEXT(MONTH('Campaign Data'!$A3065),"00")</f>
        <v>2026-06</v>
      </c>
    </row>
    <row r="3066" spans="1:21" x14ac:dyDescent="0.25">
      <c r="A3066">
        <v>46190</v>
      </c>
      <c r="B3066" t="s">
        <v>151</v>
      </c>
      <c r="C3066" t="s">
        <v>152</v>
      </c>
      <c r="D3066" t="s">
        <v>48</v>
      </c>
      <c r="E3066" t="s">
        <v>24</v>
      </c>
      <c r="F3066" t="s">
        <v>81</v>
      </c>
      <c r="G3066" t="s">
        <v>129</v>
      </c>
      <c r="H3066" t="s">
        <v>27</v>
      </c>
      <c r="I3066" t="s">
        <v>37</v>
      </c>
      <c r="J3066" t="s">
        <v>38</v>
      </c>
      <c r="K3066">
        <v>5351</v>
      </c>
      <c r="L3066">
        <v>63</v>
      </c>
      <c r="M3066">
        <v>71.03</v>
      </c>
      <c r="N3066">
        <v>2</v>
      </c>
      <c r="O3066">
        <v>64.36</v>
      </c>
      <c r="P3066">
        <f t="shared" si="188"/>
        <v>1.1773500280321435E-2</v>
      </c>
      <c r="Q3066">
        <f t="shared" si="188"/>
        <v>1.1274603174603175</v>
      </c>
      <c r="R3066">
        <f t="shared" si="189"/>
        <v>35.515000000000001</v>
      </c>
      <c r="S3066">
        <f t="shared" si="190"/>
        <v>0.90609601576798537</v>
      </c>
      <c r="T3066">
        <f t="shared" si="191"/>
        <v>3.1746031746031744E-2</v>
      </c>
      <c r="U3066" t="str">
        <f>YEAR('Campaign Data'!$A3066)&amp;"-"&amp;TEXT(MONTH('Campaign Data'!$A3066),"00")</f>
        <v>2026-06</v>
      </c>
    </row>
    <row r="3067" spans="1:21" x14ac:dyDescent="0.25">
      <c r="A3067">
        <v>46190</v>
      </c>
      <c r="B3067" t="s">
        <v>98</v>
      </c>
      <c r="C3067" t="s">
        <v>99</v>
      </c>
      <c r="D3067" t="s">
        <v>69</v>
      </c>
      <c r="E3067" t="s">
        <v>24</v>
      </c>
      <c r="F3067" t="s">
        <v>75</v>
      </c>
      <c r="G3067" t="s">
        <v>66</v>
      </c>
      <c r="H3067" t="s">
        <v>55</v>
      </c>
      <c r="I3067" t="s">
        <v>37</v>
      </c>
      <c r="J3067" t="s">
        <v>45</v>
      </c>
      <c r="K3067">
        <v>44625</v>
      </c>
      <c r="L3067">
        <v>727</v>
      </c>
      <c r="M3067">
        <v>620.13</v>
      </c>
      <c r="N3067">
        <v>20</v>
      </c>
      <c r="O3067">
        <v>521.35</v>
      </c>
      <c r="P3067">
        <f t="shared" si="188"/>
        <v>1.6291316526610644E-2</v>
      </c>
      <c r="Q3067">
        <f t="shared" si="188"/>
        <v>0.85299862448418151</v>
      </c>
      <c r="R3067">
        <f t="shared" si="189"/>
        <v>31.006499999999999</v>
      </c>
      <c r="S3067">
        <f t="shared" si="190"/>
        <v>0.84071081869930497</v>
      </c>
      <c r="T3067">
        <f t="shared" si="191"/>
        <v>2.7510316368638238E-2</v>
      </c>
      <c r="U3067" t="str">
        <f>YEAR('Campaign Data'!$A3067)&amp;"-"&amp;TEXT(MONTH('Campaign Data'!$A3067),"00")</f>
        <v>2026-06</v>
      </c>
    </row>
    <row r="3068" spans="1:21" x14ac:dyDescent="0.25">
      <c r="A3068">
        <v>46190</v>
      </c>
      <c r="B3068" t="s">
        <v>100</v>
      </c>
      <c r="C3068" t="s">
        <v>101</v>
      </c>
      <c r="D3068" t="s">
        <v>80</v>
      </c>
      <c r="E3068" t="s">
        <v>33</v>
      </c>
      <c r="F3068" t="s">
        <v>25</v>
      </c>
      <c r="G3068" t="s">
        <v>102</v>
      </c>
      <c r="H3068" t="s">
        <v>36</v>
      </c>
      <c r="I3068" t="s">
        <v>37</v>
      </c>
      <c r="J3068" t="s">
        <v>29</v>
      </c>
      <c r="K3068">
        <v>5942</v>
      </c>
      <c r="L3068">
        <v>46</v>
      </c>
      <c r="M3068">
        <v>32.5</v>
      </c>
      <c r="N3068">
        <v>0</v>
      </c>
      <c r="O3068">
        <v>0</v>
      </c>
      <c r="P3068">
        <f t="shared" si="188"/>
        <v>7.7415011780545273E-3</v>
      </c>
      <c r="Q3068">
        <f t="shared" si="188"/>
        <v>0.70652173913043481</v>
      </c>
      <c r="R3068">
        <f t="shared" si="189"/>
        <v>0</v>
      </c>
      <c r="S3068">
        <f t="shared" si="190"/>
        <v>0</v>
      </c>
      <c r="T3068">
        <f t="shared" si="191"/>
        <v>0</v>
      </c>
      <c r="U3068" t="str">
        <f>YEAR('Campaign Data'!$A3068)&amp;"-"&amp;TEXT(MONTH('Campaign Data'!$A3068),"00")</f>
        <v>2026-06</v>
      </c>
    </row>
    <row r="3069" spans="1:21" x14ac:dyDescent="0.25">
      <c r="A3069">
        <v>46190</v>
      </c>
      <c r="B3069" t="s">
        <v>169</v>
      </c>
      <c r="C3069" t="s">
        <v>170</v>
      </c>
      <c r="D3069" t="s">
        <v>58</v>
      </c>
      <c r="E3069" t="s">
        <v>74</v>
      </c>
      <c r="F3069" t="s">
        <v>75</v>
      </c>
      <c r="G3069" t="s">
        <v>9</v>
      </c>
      <c r="H3069" t="s">
        <v>55</v>
      </c>
      <c r="I3069" t="s">
        <v>37</v>
      </c>
      <c r="J3069" t="s">
        <v>38</v>
      </c>
      <c r="K3069">
        <v>14049</v>
      </c>
      <c r="L3069">
        <v>463</v>
      </c>
      <c r="M3069">
        <v>517.33000000000004</v>
      </c>
      <c r="N3069">
        <v>19</v>
      </c>
      <c r="O3069">
        <v>600.72</v>
      </c>
      <c r="P3069">
        <f t="shared" si="188"/>
        <v>3.2956082283436543E-2</v>
      </c>
      <c r="Q3069">
        <f t="shared" si="188"/>
        <v>1.1173434125269979</v>
      </c>
      <c r="R3069">
        <f t="shared" si="189"/>
        <v>27.227894736842106</v>
      </c>
      <c r="S3069">
        <f t="shared" si="190"/>
        <v>1.1611930489242843</v>
      </c>
      <c r="T3069">
        <f t="shared" si="191"/>
        <v>4.1036717062634988E-2</v>
      </c>
      <c r="U3069" t="str">
        <f>YEAR('Campaign Data'!$A3069)&amp;"-"&amp;TEXT(MONTH('Campaign Data'!$A3069),"00")</f>
        <v>2026-06</v>
      </c>
    </row>
    <row r="3070" spans="1:21" x14ac:dyDescent="0.25">
      <c r="A3070">
        <v>46190</v>
      </c>
      <c r="B3070" t="s">
        <v>105</v>
      </c>
      <c r="C3070" t="s">
        <v>106</v>
      </c>
      <c r="D3070" t="s">
        <v>58</v>
      </c>
      <c r="E3070" t="s">
        <v>49</v>
      </c>
      <c r="F3070" t="s">
        <v>81</v>
      </c>
      <c r="G3070" t="s">
        <v>107</v>
      </c>
      <c r="H3070" t="s">
        <v>51</v>
      </c>
      <c r="I3070" t="s">
        <v>28</v>
      </c>
      <c r="J3070" t="s">
        <v>45</v>
      </c>
      <c r="K3070">
        <v>2851</v>
      </c>
      <c r="L3070">
        <v>130</v>
      </c>
      <c r="M3070">
        <v>307.77</v>
      </c>
      <c r="N3070">
        <v>9</v>
      </c>
      <c r="O3070">
        <v>149.16999999999999</v>
      </c>
      <c r="P3070">
        <f t="shared" si="188"/>
        <v>4.5598035776920377E-2</v>
      </c>
      <c r="Q3070">
        <f t="shared" si="188"/>
        <v>2.3674615384615385</v>
      </c>
      <c r="R3070">
        <f t="shared" si="189"/>
        <v>34.196666666666665</v>
      </c>
      <c r="S3070">
        <f t="shared" si="190"/>
        <v>0.48468011827013679</v>
      </c>
      <c r="T3070">
        <f t="shared" si="191"/>
        <v>6.9230769230769235E-2</v>
      </c>
      <c r="U3070" t="str">
        <f>YEAR('Campaign Data'!$A3070)&amp;"-"&amp;TEXT(MONTH('Campaign Data'!$A3070),"00")</f>
        <v>2026-06</v>
      </c>
    </row>
    <row r="3071" spans="1:21" x14ac:dyDescent="0.25">
      <c r="A3071">
        <v>46190</v>
      </c>
      <c r="B3071" t="s">
        <v>171</v>
      </c>
      <c r="C3071" t="s">
        <v>172</v>
      </c>
      <c r="D3071" t="s">
        <v>23</v>
      </c>
      <c r="E3071" t="s">
        <v>33</v>
      </c>
      <c r="F3071" t="s">
        <v>75</v>
      </c>
      <c r="G3071" t="s">
        <v>59</v>
      </c>
      <c r="H3071" t="s">
        <v>90</v>
      </c>
      <c r="I3071" t="s">
        <v>28</v>
      </c>
      <c r="J3071" t="s">
        <v>45</v>
      </c>
      <c r="K3071">
        <v>2450</v>
      </c>
      <c r="L3071">
        <v>12</v>
      </c>
      <c r="M3071">
        <v>1.52</v>
      </c>
      <c r="N3071">
        <v>0</v>
      </c>
      <c r="O3071">
        <v>0</v>
      </c>
      <c r="P3071">
        <f t="shared" si="188"/>
        <v>4.8979591836734691E-3</v>
      </c>
      <c r="Q3071">
        <f t="shared" si="188"/>
        <v>0.12666666666666668</v>
      </c>
      <c r="R3071">
        <f t="shared" si="189"/>
        <v>0</v>
      </c>
      <c r="S3071">
        <f t="shared" si="190"/>
        <v>0</v>
      </c>
      <c r="T3071">
        <f t="shared" si="191"/>
        <v>0</v>
      </c>
      <c r="U3071" t="str">
        <f>YEAR('Campaign Data'!$A3071)&amp;"-"&amp;TEXT(MONTH('Campaign Data'!$A3071),"00")</f>
        <v>2026-06</v>
      </c>
    </row>
    <row r="3072" spans="1:21" x14ac:dyDescent="0.25">
      <c r="A3072">
        <v>46190</v>
      </c>
      <c r="B3072" t="s">
        <v>171</v>
      </c>
      <c r="C3072" t="s">
        <v>172</v>
      </c>
      <c r="D3072" t="s">
        <v>23</v>
      </c>
      <c r="E3072" t="s">
        <v>33</v>
      </c>
      <c r="F3072" t="s">
        <v>75</v>
      </c>
      <c r="G3072" t="s">
        <v>59</v>
      </c>
      <c r="H3072" t="s">
        <v>36</v>
      </c>
      <c r="I3072" t="s">
        <v>37</v>
      </c>
      <c r="J3072" t="s">
        <v>87</v>
      </c>
      <c r="K3072">
        <v>9979</v>
      </c>
      <c r="L3072">
        <v>99</v>
      </c>
      <c r="M3072">
        <v>67.22</v>
      </c>
      <c r="N3072">
        <v>2</v>
      </c>
      <c r="O3072">
        <v>71.05</v>
      </c>
      <c r="P3072">
        <f t="shared" si="188"/>
        <v>9.920833750876842E-3</v>
      </c>
      <c r="Q3072">
        <f t="shared" si="188"/>
        <v>0.67898989898989903</v>
      </c>
      <c r="R3072">
        <f t="shared" si="189"/>
        <v>33.61</v>
      </c>
      <c r="S3072">
        <f t="shared" si="190"/>
        <v>1.0569770901517406</v>
      </c>
      <c r="T3072">
        <f t="shared" si="191"/>
        <v>2.0202020202020204E-2</v>
      </c>
      <c r="U3072" t="str">
        <f>YEAR('Campaign Data'!$A3072)&amp;"-"&amp;TEXT(MONTH('Campaign Data'!$A3072),"00")</f>
        <v>2026-06</v>
      </c>
    </row>
    <row r="3073" spans="1:21" x14ac:dyDescent="0.25">
      <c r="A3073">
        <v>46190</v>
      </c>
      <c r="B3073" t="s">
        <v>140</v>
      </c>
      <c r="C3073" t="s">
        <v>40</v>
      </c>
      <c r="D3073" t="s">
        <v>41</v>
      </c>
      <c r="E3073" t="s">
        <v>42</v>
      </c>
      <c r="F3073" t="s">
        <v>43</v>
      </c>
      <c r="G3073" t="s">
        <v>44</v>
      </c>
      <c r="H3073" t="s">
        <v>90</v>
      </c>
      <c r="I3073" t="s">
        <v>28</v>
      </c>
      <c r="J3073" t="s">
        <v>62</v>
      </c>
      <c r="K3073">
        <v>4414</v>
      </c>
      <c r="L3073">
        <v>26</v>
      </c>
      <c r="M3073">
        <v>45.1</v>
      </c>
      <c r="N3073">
        <v>1</v>
      </c>
      <c r="O3073">
        <v>5</v>
      </c>
      <c r="P3073">
        <f t="shared" si="188"/>
        <v>5.8903488898957865E-3</v>
      </c>
      <c r="Q3073">
        <f t="shared" si="188"/>
        <v>1.7346153846153847</v>
      </c>
      <c r="R3073">
        <f t="shared" si="189"/>
        <v>45.1</v>
      </c>
      <c r="S3073">
        <f t="shared" si="190"/>
        <v>0.11086474501108647</v>
      </c>
      <c r="T3073">
        <f t="shared" si="191"/>
        <v>3.8461538461538464E-2</v>
      </c>
      <c r="U3073" t="str">
        <f>YEAR('Campaign Data'!$A3073)&amp;"-"&amp;TEXT(MONTH('Campaign Data'!$A3073),"00")</f>
        <v>2026-06</v>
      </c>
    </row>
    <row r="3074" spans="1:21" x14ac:dyDescent="0.25">
      <c r="A3074">
        <v>46190</v>
      </c>
      <c r="B3074" t="s">
        <v>157</v>
      </c>
      <c r="C3074" t="s">
        <v>158</v>
      </c>
      <c r="D3074" t="s">
        <v>58</v>
      </c>
      <c r="E3074" t="s">
        <v>49</v>
      </c>
      <c r="F3074" t="s">
        <v>81</v>
      </c>
      <c r="G3074" t="s">
        <v>50</v>
      </c>
      <c r="H3074" t="s">
        <v>36</v>
      </c>
      <c r="I3074" t="s">
        <v>37</v>
      </c>
      <c r="J3074" t="s">
        <v>29</v>
      </c>
      <c r="K3074">
        <v>4516</v>
      </c>
      <c r="L3074">
        <v>219</v>
      </c>
      <c r="M3074">
        <v>466.66</v>
      </c>
      <c r="N3074">
        <v>10</v>
      </c>
      <c r="O3074">
        <v>258.86</v>
      </c>
      <c r="P3074">
        <f t="shared" ref="P3074:Q3137" si="192">IF(K3074=0,0,L3074/K3074)</f>
        <v>4.8494242692648362E-2</v>
      </c>
      <c r="Q3074">
        <f t="shared" si="192"/>
        <v>2.130867579908676</v>
      </c>
      <c r="R3074">
        <f t="shared" ref="R3074:R3137" si="193">IF(N3074=0,0,M3074/N3074)</f>
        <v>46.666000000000004</v>
      </c>
      <c r="S3074">
        <f t="shared" ref="S3074:S3137" si="194">IF(M3074=0,0,O3074/M3074)</f>
        <v>0.55470792439892003</v>
      </c>
      <c r="T3074">
        <f t="shared" ref="T3074:T3137" si="195">IF(L3074=0,0,N3074/L3074)</f>
        <v>4.5662100456621002E-2</v>
      </c>
      <c r="U3074" t="str">
        <f>YEAR('Campaign Data'!$A3074)&amp;"-"&amp;TEXT(MONTH('Campaign Data'!$A3074),"00")</f>
        <v>2026-06</v>
      </c>
    </row>
    <row r="3075" spans="1:21" x14ac:dyDescent="0.25">
      <c r="A3075">
        <v>46190</v>
      </c>
      <c r="B3075" t="s">
        <v>159</v>
      </c>
      <c r="C3075" t="s">
        <v>160</v>
      </c>
      <c r="D3075" t="s">
        <v>65</v>
      </c>
      <c r="E3075" t="s">
        <v>42</v>
      </c>
      <c r="F3075" t="s">
        <v>75</v>
      </c>
      <c r="G3075" t="s">
        <v>54</v>
      </c>
      <c r="H3075" t="s">
        <v>36</v>
      </c>
      <c r="I3075" t="s">
        <v>37</v>
      </c>
      <c r="J3075" t="s">
        <v>87</v>
      </c>
      <c r="K3075">
        <v>8228</v>
      </c>
      <c r="L3075">
        <v>41</v>
      </c>
      <c r="M3075">
        <v>426.26</v>
      </c>
      <c r="N3075">
        <v>0</v>
      </c>
      <c r="O3075">
        <v>0</v>
      </c>
      <c r="P3075">
        <f t="shared" si="192"/>
        <v>4.9829849295089934E-3</v>
      </c>
      <c r="Q3075">
        <f t="shared" si="192"/>
        <v>10.396585365853658</v>
      </c>
      <c r="R3075">
        <f t="shared" si="193"/>
        <v>0</v>
      </c>
      <c r="S3075">
        <f t="shared" si="194"/>
        <v>0</v>
      </c>
      <c r="T3075">
        <f t="shared" si="195"/>
        <v>0</v>
      </c>
      <c r="U3075" t="str">
        <f>YEAR('Campaign Data'!$A3075)&amp;"-"&amp;TEXT(MONTH('Campaign Data'!$A3075),"00")</f>
        <v>2026-06</v>
      </c>
    </row>
    <row r="3076" spans="1:21" x14ac:dyDescent="0.25">
      <c r="A3076">
        <v>46190</v>
      </c>
      <c r="B3076" t="s">
        <v>114</v>
      </c>
      <c r="C3076" t="s">
        <v>115</v>
      </c>
      <c r="D3076" t="s">
        <v>69</v>
      </c>
      <c r="E3076" t="s">
        <v>49</v>
      </c>
      <c r="F3076" t="s">
        <v>25</v>
      </c>
      <c r="G3076" t="s">
        <v>107</v>
      </c>
      <c r="H3076" t="s">
        <v>27</v>
      </c>
      <c r="I3076" t="s">
        <v>37</v>
      </c>
      <c r="J3076" t="s">
        <v>62</v>
      </c>
      <c r="K3076">
        <v>29142</v>
      </c>
      <c r="L3076">
        <v>1787</v>
      </c>
      <c r="M3076">
        <v>3001.3</v>
      </c>
      <c r="N3076">
        <v>106</v>
      </c>
      <c r="O3076">
        <v>17936.53</v>
      </c>
      <c r="P3076">
        <f t="shared" si="192"/>
        <v>6.1320430993068421E-2</v>
      </c>
      <c r="Q3076">
        <f t="shared" si="192"/>
        <v>1.6795187465025183</v>
      </c>
      <c r="R3076">
        <f t="shared" si="193"/>
        <v>28.314150943396228</v>
      </c>
      <c r="S3076">
        <f t="shared" si="194"/>
        <v>5.9762536234298462</v>
      </c>
      <c r="T3076">
        <f t="shared" si="195"/>
        <v>5.9317291550083938E-2</v>
      </c>
      <c r="U3076" t="str">
        <f>YEAR('Campaign Data'!$A3076)&amp;"-"&amp;TEXT(MONTH('Campaign Data'!$A3076),"00")</f>
        <v>2026-06</v>
      </c>
    </row>
    <row r="3077" spans="1:21" x14ac:dyDescent="0.25">
      <c r="A3077">
        <v>46190</v>
      </c>
      <c r="B3077" t="s">
        <v>114</v>
      </c>
      <c r="C3077" t="s">
        <v>115</v>
      </c>
      <c r="D3077" t="s">
        <v>69</v>
      </c>
      <c r="E3077" t="s">
        <v>49</v>
      </c>
      <c r="F3077" t="s">
        <v>25</v>
      </c>
      <c r="G3077" t="s">
        <v>107</v>
      </c>
      <c r="H3077" t="s">
        <v>71</v>
      </c>
      <c r="I3077" t="s">
        <v>28</v>
      </c>
      <c r="J3077" t="s">
        <v>87</v>
      </c>
      <c r="K3077">
        <v>4588</v>
      </c>
      <c r="L3077">
        <v>281</v>
      </c>
      <c r="M3077">
        <v>423.6</v>
      </c>
      <c r="N3077">
        <v>22</v>
      </c>
      <c r="O3077">
        <v>2791.65</v>
      </c>
      <c r="P3077">
        <f t="shared" si="192"/>
        <v>6.1246730601569314E-2</v>
      </c>
      <c r="Q3077">
        <f t="shared" si="192"/>
        <v>1.5074733096085411</v>
      </c>
      <c r="R3077">
        <f t="shared" si="193"/>
        <v>19.254545454545454</v>
      </c>
      <c r="S3077">
        <f t="shared" si="194"/>
        <v>6.590297450424929</v>
      </c>
      <c r="T3077">
        <f t="shared" si="195"/>
        <v>7.8291814946619215E-2</v>
      </c>
      <c r="U3077" t="str">
        <f>YEAR('Campaign Data'!$A3077)&amp;"-"&amp;TEXT(MONTH('Campaign Data'!$A3077),"00")</f>
        <v>2026-06</v>
      </c>
    </row>
    <row r="3078" spans="1:21" x14ac:dyDescent="0.25">
      <c r="A3078">
        <v>46190</v>
      </c>
      <c r="B3078" t="s">
        <v>63</v>
      </c>
      <c r="C3078" t="s">
        <v>64</v>
      </c>
      <c r="D3078" t="s">
        <v>65</v>
      </c>
      <c r="E3078" t="s">
        <v>24</v>
      </c>
      <c r="F3078" t="s">
        <v>43</v>
      </c>
      <c r="G3078" t="s">
        <v>66</v>
      </c>
      <c r="H3078" t="s">
        <v>51</v>
      </c>
      <c r="I3078" t="s">
        <v>37</v>
      </c>
      <c r="J3078" t="s">
        <v>87</v>
      </c>
      <c r="K3078">
        <v>17068</v>
      </c>
      <c r="L3078">
        <v>229</v>
      </c>
      <c r="M3078">
        <v>257.76</v>
      </c>
      <c r="N3078">
        <v>1</v>
      </c>
      <c r="O3078">
        <v>28.65</v>
      </c>
      <c r="P3078">
        <f t="shared" si="192"/>
        <v>1.3416920553081791E-2</v>
      </c>
      <c r="Q3078">
        <f t="shared" si="192"/>
        <v>1.1255895196506549</v>
      </c>
      <c r="R3078">
        <f t="shared" si="193"/>
        <v>257.76</v>
      </c>
      <c r="S3078">
        <f t="shared" si="194"/>
        <v>0.11114990689013035</v>
      </c>
      <c r="T3078">
        <f t="shared" si="195"/>
        <v>4.3668122270742356E-3</v>
      </c>
      <c r="U3078" t="str">
        <f>YEAR('Campaign Data'!$A3078)&amp;"-"&amp;TEXT(MONTH('Campaign Data'!$A3078),"00")</f>
        <v>2026-06</v>
      </c>
    </row>
    <row r="3079" spans="1:21" x14ac:dyDescent="0.25">
      <c r="A3079">
        <v>46190</v>
      </c>
      <c r="B3079" t="s">
        <v>183</v>
      </c>
      <c r="C3079" t="s">
        <v>184</v>
      </c>
      <c r="D3079" t="s">
        <v>23</v>
      </c>
      <c r="E3079" t="s">
        <v>24</v>
      </c>
      <c r="F3079" t="s">
        <v>81</v>
      </c>
      <c r="G3079" t="s">
        <v>185</v>
      </c>
      <c r="H3079" t="s">
        <v>27</v>
      </c>
      <c r="I3079" t="s">
        <v>37</v>
      </c>
      <c r="J3079" t="s">
        <v>87</v>
      </c>
      <c r="K3079">
        <v>8265</v>
      </c>
      <c r="L3079">
        <v>74</v>
      </c>
      <c r="M3079">
        <v>94.93</v>
      </c>
      <c r="N3079">
        <v>2</v>
      </c>
      <c r="O3079">
        <v>65.55</v>
      </c>
      <c r="P3079">
        <f t="shared" si="192"/>
        <v>8.9534180278281906E-3</v>
      </c>
      <c r="Q3079">
        <f t="shared" si="192"/>
        <v>1.282837837837838</v>
      </c>
      <c r="R3079">
        <f t="shared" si="193"/>
        <v>47.465000000000003</v>
      </c>
      <c r="S3079">
        <f t="shared" si="194"/>
        <v>0.6905087959549141</v>
      </c>
      <c r="T3079">
        <f t="shared" si="195"/>
        <v>2.7027027027027029E-2</v>
      </c>
      <c r="U3079" t="str">
        <f>YEAR('Campaign Data'!$A3079)&amp;"-"&amp;TEXT(MONTH('Campaign Data'!$A3079),"00")</f>
        <v>2026-06</v>
      </c>
    </row>
    <row r="3080" spans="1:21" x14ac:dyDescent="0.25">
      <c r="A3080">
        <v>46190</v>
      </c>
      <c r="B3080" t="s">
        <v>67</v>
      </c>
      <c r="C3080" t="s">
        <v>68</v>
      </c>
      <c r="D3080" t="s">
        <v>69</v>
      </c>
      <c r="E3080" t="s">
        <v>49</v>
      </c>
      <c r="F3080" t="s">
        <v>34</v>
      </c>
      <c r="G3080" t="s">
        <v>70</v>
      </c>
      <c r="H3080" t="s">
        <v>36</v>
      </c>
      <c r="I3080" t="s">
        <v>37</v>
      </c>
      <c r="J3080" t="s">
        <v>29</v>
      </c>
      <c r="K3080">
        <v>13971</v>
      </c>
      <c r="L3080">
        <v>893</v>
      </c>
      <c r="M3080">
        <v>1321.79</v>
      </c>
      <c r="N3080">
        <v>43</v>
      </c>
      <c r="O3080">
        <v>5567.42</v>
      </c>
      <c r="P3080">
        <f t="shared" si="192"/>
        <v>6.3918116097630803E-2</v>
      </c>
      <c r="Q3080">
        <f t="shared" si="192"/>
        <v>1.4801679731243</v>
      </c>
      <c r="R3080">
        <f t="shared" si="193"/>
        <v>30.739302325581395</v>
      </c>
      <c r="S3080">
        <f t="shared" si="194"/>
        <v>4.2120306553991185</v>
      </c>
      <c r="T3080">
        <f t="shared" si="195"/>
        <v>4.8152295632698766E-2</v>
      </c>
      <c r="U3080" t="str">
        <f>YEAR('Campaign Data'!$A3080)&amp;"-"&amp;TEXT(MONTH('Campaign Data'!$A3080),"00")</f>
        <v>2026-06</v>
      </c>
    </row>
    <row r="3081" spans="1:21" x14ac:dyDescent="0.25">
      <c r="A3081">
        <v>46190</v>
      </c>
      <c r="B3081" t="s">
        <v>122</v>
      </c>
      <c r="C3081" t="s">
        <v>123</v>
      </c>
      <c r="D3081" t="s">
        <v>41</v>
      </c>
      <c r="E3081" t="s">
        <v>33</v>
      </c>
      <c r="F3081" t="s">
        <v>75</v>
      </c>
      <c r="G3081" t="s">
        <v>35</v>
      </c>
      <c r="H3081" t="s">
        <v>51</v>
      </c>
      <c r="I3081" t="s">
        <v>37</v>
      </c>
      <c r="J3081" t="s">
        <v>45</v>
      </c>
      <c r="K3081">
        <v>7519</v>
      </c>
      <c r="L3081">
        <v>69</v>
      </c>
      <c r="M3081">
        <v>41.2</v>
      </c>
      <c r="N3081">
        <v>3</v>
      </c>
      <c r="O3081">
        <v>141.16</v>
      </c>
      <c r="P3081">
        <f t="shared" si="192"/>
        <v>9.1767522276898529E-3</v>
      </c>
      <c r="Q3081">
        <f t="shared" si="192"/>
        <v>0.59710144927536235</v>
      </c>
      <c r="R3081">
        <f t="shared" si="193"/>
        <v>13.733333333333334</v>
      </c>
      <c r="S3081">
        <f t="shared" si="194"/>
        <v>3.4262135922330095</v>
      </c>
      <c r="T3081">
        <f t="shared" si="195"/>
        <v>4.3478260869565216E-2</v>
      </c>
      <c r="U3081" t="str">
        <f>YEAR('Campaign Data'!$A3081)&amp;"-"&amp;TEXT(MONTH('Campaign Data'!$A3081),"00")</f>
        <v>2026-06</v>
      </c>
    </row>
    <row r="3082" spans="1:21" x14ac:dyDescent="0.25">
      <c r="A3082">
        <v>46190</v>
      </c>
      <c r="B3082" t="s">
        <v>122</v>
      </c>
      <c r="C3082" t="s">
        <v>123</v>
      </c>
      <c r="D3082" t="s">
        <v>41</v>
      </c>
      <c r="E3082" t="s">
        <v>33</v>
      </c>
      <c r="F3082" t="s">
        <v>75</v>
      </c>
      <c r="G3082" t="s">
        <v>35</v>
      </c>
      <c r="H3082" t="s">
        <v>27</v>
      </c>
      <c r="I3082" t="s">
        <v>37</v>
      </c>
      <c r="J3082" t="s">
        <v>29</v>
      </c>
      <c r="K3082">
        <v>6106</v>
      </c>
      <c r="L3082">
        <v>44</v>
      </c>
      <c r="M3082">
        <v>38.119999999999997</v>
      </c>
      <c r="N3082">
        <v>0</v>
      </c>
      <c r="O3082">
        <v>0</v>
      </c>
      <c r="P3082">
        <f t="shared" si="192"/>
        <v>7.2060268588273833E-3</v>
      </c>
      <c r="Q3082">
        <f t="shared" si="192"/>
        <v>0.86636363636363634</v>
      </c>
      <c r="R3082">
        <f t="shared" si="193"/>
        <v>0</v>
      </c>
      <c r="S3082">
        <f t="shared" si="194"/>
        <v>0</v>
      </c>
      <c r="T3082">
        <f t="shared" si="195"/>
        <v>0</v>
      </c>
      <c r="U3082" t="str">
        <f>YEAR('Campaign Data'!$A3082)&amp;"-"&amp;TEXT(MONTH('Campaign Data'!$A3082),"00")</f>
        <v>2026-06</v>
      </c>
    </row>
    <row r="3083" spans="1:21" x14ac:dyDescent="0.25">
      <c r="A3083">
        <v>46190</v>
      </c>
      <c r="B3083" t="s">
        <v>82</v>
      </c>
      <c r="C3083" t="s">
        <v>83</v>
      </c>
      <c r="D3083" t="s">
        <v>80</v>
      </c>
      <c r="E3083" t="s">
        <v>42</v>
      </c>
      <c r="F3083" t="s">
        <v>34</v>
      </c>
      <c r="G3083" t="s">
        <v>84</v>
      </c>
      <c r="H3083" t="s">
        <v>51</v>
      </c>
      <c r="I3083" t="s">
        <v>28</v>
      </c>
      <c r="J3083" t="s">
        <v>62</v>
      </c>
      <c r="K3083">
        <v>24333</v>
      </c>
      <c r="L3083">
        <v>178</v>
      </c>
      <c r="M3083">
        <v>945.72</v>
      </c>
      <c r="N3083">
        <v>12</v>
      </c>
      <c r="O3083">
        <v>1182.6199999999999</v>
      </c>
      <c r="P3083">
        <f t="shared" si="192"/>
        <v>7.3151687009411085E-3</v>
      </c>
      <c r="Q3083">
        <f t="shared" si="192"/>
        <v>5.313033707865169</v>
      </c>
      <c r="R3083">
        <f t="shared" si="193"/>
        <v>78.81</v>
      </c>
      <c r="S3083">
        <f t="shared" si="194"/>
        <v>1.2504969758490885</v>
      </c>
      <c r="T3083">
        <f t="shared" si="195"/>
        <v>6.741573033707865E-2</v>
      </c>
      <c r="U3083" t="str">
        <f>YEAR('Campaign Data'!$A3083)&amp;"-"&amp;TEXT(MONTH('Campaign Data'!$A3083),"00")</f>
        <v>2026-06</v>
      </c>
    </row>
    <row r="3084" spans="1:21" x14ac:dyDescent="0.25">
      <c r="A3084">
        <v>46191</v>
      </c>
      <c r="B3084" t="s">
        <v>167</v>
      </c>
      <c r="C3084" t="s">
        <v>168</v>
      </c>
      <c r="D3084" t="s">
        <v>58</v>
      </c>
      <c r="E3084" t="s">
        <v>33</v>
      </c>
      <c r="F3084" t="s">
        <v>75</v>
      </c>
      <c r="G3084" t="s">
        <v>35</v>
      </c>
      <c r="H3084" t="s">
        <v>71</v>
      </c>
      <c r="I3084" t="s">
        <v>28</v>
      </c>
      <c r="J3084" t="s">
        <v>29</v>
      </c>
      <c r="K3084">
        <v>27235</v>
      </c>
      <c r="L3084">
        <v>306</v>
      </c>
      <c r="M3084">
        <v>181.84</v>
      </c>
      <c r="N3084">
        <v>2</v>
      </c>
      <c r="O3084">
        <v>57.47</v>
      </c>
      <c r="P3084">
        <f t="shared" si="192"/>
        <v>1.1235542500458969E-2</v>
      </c>
      <c r="Q3084">
        <f t="shared" si="192"/>
        <v>0.59424836601307196</v>
      </c>
      <c r="R3084">
        <f t="shared" si="193"/>
        <v>90.92</v>
      </c>
      <c r="S3084">
        <f t="shared" si="194"/>
        <v>0.31604707435107787</v>
      </c>
      <c r="T3084">
        <f t="shared" si="195"/>
        <v>6.5359477124183009E-3</v>
      </c>
      <c r="U3084" t="str">
        <f>YEAR('Campaign Data'!$A3084)&amp;"-"&amp;TEXT(MONTH('Campaign Data'!$A3084),"00")</f>
        <v>2026-06</v>
      </c>
    </row>
    <row r="3085" spans="1:21" x14ac:dyDescent="0.25">
      <c r="A3085">
        <v>46191</v>
      </c>
      <c r="B3085" t="s">
        <v>147</v>
      </c>
      <c r="C3085" t="s">
        <v>148</v>
      </c>
      <c r="D3085" t="s">
        <v>23</v>
      </c>
      <c r="E3085" t="s">
        <v>42</v>
      </c>
      <c r="F3085" t="s">
        <v>75</v>
      </c>
      <c r="G3085" t="s">
        <v>44</v>
      </c>
      <c r="H3085" t="s">
        <v>51</v>
      </c>
      <c r="I3085" t="s">
        <v>28</v>
      </c>
      <c r="J3085" t="s">
        <v>38</v>
      </c>
      <c r="K3085">
        <v>12859</v>
      </c>
      <c r="L3085">
        <v>89</v>
      </c>
      <c r="M3085">
        <v>383.26</v>
      </c>
      <c r="N3085">
        <v>2</v>
      </c>
      <c r="O3085">
        <v>129.09</v>
      </c>
      <c r="P3085">
        <f t="shared" si="192"/>
        <v>6.9212224900847656E-3</v>
      </c>
      <c r="Q3085">
        <f t="shared" si="192"/>
        <v>4.3062921348314607</v>
      </c>
      <c r="R3085">
        <f t="shared" si="193"/>
        <v>191.63</v>
      </c>
      <c r="S3085">
        <f t="shared" si="194"/>
        <v>0.33682095705265358</v>
      </c>
      <c r="T3085">
        <f t="shared" si="195"/>
        <v>2.247191011235955E-2</v>
      </c>
      <c r="U3085" t="str">
        <f>YEAR('Campaign Data'!$A3085)&amp;"-"&amp;TEXT(MONTH('Campaign Data'!$A3085),"00")</f>
        <v>2026-06</v>
      </c>
    </row>
    <row r="3086" spans="1:21" x14ac:dyDescent="0.25">
      <c r="A3086">
        <v>46191</v>
      </c>
      <c r="B3086" t="s">
        <v>147</v>
      </c>
      <c r="C3086" t="s">
        <v>148</v>
      </c>
      <c r="D3086" t="s">
        <v>23</v>
      </c>
      <c r="E3086" t="s">
        <v>42</v>
      </c>
      <c r="F3086" t="s">
        <v>75</v>
      </c>
      <c r="G3086" t="s">
        <v>44</v>
      </c>
      <c r="H3086" t="s">
        <v>36</v>
      </c>
      <c r="I3086" t="s">
        <v>37</v>
      </c>
      <c r="J3086" t="s">
        <v>62</v>
      </c>
      <c r="K3086">
        <v>12384</v>
      </c>
      <c r="L3086">
        <v>88</v>
      </c>
      <c r="M3086">
        <v>537.27</v>
      </c>
      <c r="N3086">
        <v>2</v>
      </c>
      <c r="O3086">
        <v>70.56</v>
      </c>
      <c r="P3086">
        <f t="shared" si="192"/>
        <v>7.1059431524547806E-3</v>
      </c>
      <c r="Q3086">
        <f t="shared" si="192"/>
        <v>6.1053409090909092</v>
      </c>
      <c r="R3086">
        <f t="shared" si="193"/>
        <v>268.63499999999999</v>
      </c>
      <c r="S3086">
        <f t="shared" si="194"/>
        <v>0.13133061589145123</v>
      </c>
      <c r="T3086">
        <f t="shared" si="195"/>
        <v>2.2727272727272728E-2</v>
      </c>
      <c r="U3086" t="str">
        <f>YEAR('Campaign Data'!$A3086)&amp;"-"&amp;TEXT(MONTH('Campaign Data'!$A3086),"00")</f>
        <v>2026-06</v>
      </c>
    </row>
    <row r="3087" spans="1:21" x14ac:dyDescent="0.25">
      <c r="A3087">
        <v>46191</v>
      </c>
      <c r="B3087" t="s">
        <v>138</v>
      </c>
      <c r="C3087" t="s">
        <v>139</v>
      </c>
      <c r="D3087" t="s">
        <v>58</v>
      </c>
      <c r="E3087" t="s">
        <v>74</v>
      </c>
      <c r="F3087" t="s">
        <v>34</v>
      </c>
      <c r="G3087" t="s">
        <v>9</v>
      </c>
      <c r="H3087" t="s">
        <v>90</v>
      </c>
      <c r="I3087" t="s">
        <v>37</v>
      </c>
      <c r="J3087" t="s">
        <v>29</v>
      </c>
      <c r="K3087">
        <v>7542</v>
      </c>
      <c r="L3087">
        <v>223</v>
      </c>
      <c r="M3087">
        <v>114.69</v>
      </c>
      <c r="N3087">
        <v>9</v>
      </c>
      <c r="O3087">
        <v>231.85</v>
      </c>
      <c r="P3087">
        <f t="shared" si="192"/>
        <v>2.956775391142933E-2</v>
      </c>
      <c r="Q3087">
        <f t="shared" si="192"/>
        <v>0.51430493273542599</v>
      </c>
      <c r="R3087">
        <f t="shared" si="193"/>
        <v>12.743333333333332</v>
      </c>
      <c r="S3087">
        <f t="shared" si="194"/>
        <v>2.0215363152846804</v>
      </c>
      <c r="T3087">
        <f t="shared" si="195"/>
        <v>4.0358744394618833E-2</v>
      </c>
      <c r="U3087" t="str">
        <f>YEAR('Campaign Data'!$A3087)&amp;"-"&amp;TEXT(MONTH('Campaign Data'!$A3087),"00")</f>
        <v>2026-06</v>
      </c>
    </row>
    <row r="3088" spans="1:21" x14ac:dyDescent="0.25">
      <c r="A3088">
        <v>46191</v>
      </c>
      <c r="B3088" t="s">
        <v>91</v>
      </c>
      <c r="C3088" t="s">
        <v>92</v>
      </c>
      <c r="D3088" t="s">
        <v>41</v>
      </c>
      <c r="E3088" t="s">
        <v>74</v>
      </c>
      <c r="F3088" t="s">
        <v>75</v>
      </c>
      <c r="G3088" t="s">
        <v>9</v>
      </c>
      <c r="H3088" t="s">
        <v>27</v>
      </c>
      <c r="I3088" t="s">
        <v>37</v>
      </c>
      <c r="J3088" t="s">
        <v>45</v>
      </c>
      <c r="K3088">
        <v>6452</v>
      </c>
      <c r="L3088">
        <v>187</v>
      </c>
      <c r="M3088">
        <v>327</v>
      </c>
      <c r="N3088">
        <v>7</v>
      </c>
      <c r="O3088">
        <v>359.74</v>
      </c>
      <c r="P3088">
        <f t="shared" si="192"/>
        <v>2.898326100433974E-2</v>
      </c>
      <c r="Q3088">
        <f t="shared" si="192"/>
        <v>1.7486631016042782</v>
      </c>
      <c r="R3088">
        <f t="shared" si="193"/>
        <v>46.714285714285715</v>
      </c>
      <c r="S3088">
        <f t="shared" si="194"/>
        <v>1.1001223241590214</v>
      </c>
      <c r="T3088">
        <f t="shared" si="195"/>
        <v>3.7433155080213901E-2</v>
      </c>
      <c r="U3088" t="str">
        <f>YEAR('Campaign Data'!$A3088)&amp;"-"&amp;TEXT(MONTH('Campaign Data'!$A3088),"00")</f>
        <v>2026-06</v>
      </c>
    </row>
    <row r="3089" spans="1:21" x14ac:dyDescent="0.25">
      <c r="A3089">
        <v>46191</v>
      </c>
      <c r="B3089" t="s">
        <v>39</v>
      </c>
      <c r="C3089" t="s">
        <v>40</v>
      </c>
      <c r="D3089" t="s">
        <v>41</v>
      </c>
      <c r="E3089" t="s">
        <v>42</v>
      </c>
      <c r="F3089" t="s">
        <v>43</v>
      </c>
      <c r="G3089" t="s">
        <v>44</v>
      </c>
      <c r="H3089" t="s">
        <v>51</v>
      </c>
      <c r="I3089" t="s">
        <v>37</v>
      </c>
      <c r="J3089" t="s">
        <v>87</v>
      </c>
      <c r="K3089">
        <v>18181</v>
      </c>
      <c r="L3089">
        <v>101</v>
      </c>
      <c r="M3089">
        <v>379.77</v>
      </c>
      <c r="N3089">
        <v>4</v>
      </c>
      <c r="O3089">
        <v>143.25</v>
      </c>
      <c r="P3089">
        <f t="shared" si="192"/>
        <v>5.5552499862493816E-3</v>
      </c>
      <c r="Q3089">
        <f t="shared" si="192"/>
        <v>3.7600990099009901</v>
      </c>
      <c r="R3089">
        <f t="shared" si="193"/>
        <v>94.942499999999995</v>
      </c>
      <c r="S3089">
        <f t="shared" si="194"/>
        <v>0.37720199067856863</v>
      </c>
      <c r="T3089">
        <f t="shared" si="195"/>
        <v>3.9603960396039604E-2</v>
      </c>
      <c r="U3089" t="str">
        <f>YEAR('Campaign Data'!$A3089)&amp;"-"&amp;TEXT(MONTH('Campaign Data'!$A3089),"00")</f>
        <v>2026-06</v>
      </c>
    </row>
    <row r="3090" spans="1:21" x14ac:dyDescent="0.25">
      <c r="A3090">
        <v>46191</v>
      </c>
      <c r="B3090" t="s">
        <v>46</v>
      </c>
      <c r="C3090" t="s">
        <v>47</v>
      </c>
      <c r="D3090" t="s">
        <v>48</v>
      </c>
      <c r="E3090" t="s">
        <v>49</v>
      </c>
      <c r="F3090" t="s">
        <v>43</v>
      </c>
      <c r="G3090" t="s">
        <v>50</v>
      </c>
      <c r="H3090" t="s">
        <v>51</v>
      </c>
      <c r="I3090" t="s">
        <v>37</v>
      </c>
      <c r="J3090" t="s">
        <v>62</v>
      </c>
      <c r="K3090">
        <v>3848</v>
      </c>
      <c r="L3090">
        <v>238</v>
      </c>
      <c r="M3090">
        <v>401.83</v>
      </c>
      <c r="N3090">
        <v>13</v>
      </c>
      <c r="O3090">
        <v>109.89</v>
      </c>
      <c r="P3090">
        <f t="shared" si="192"/>
        <v>6.1850311850311854E-2</v>
      </c>
      <c r="Q3090">
        <f t="shared" si="192"/>
        <v>1.6883613445378152</v>
      </c>
      <c r="R3090">
        <f t="shared" si="193"/>
        <v>30.91</v>
      </c>
      <c r="S3090">
        <f t="shared" si="194"/>
        <v>0.27347385710375033</v>
      </c>
      <c r="T3090">
        <f t="shared" si="195"/>
        <v>5.4621848739495799E-2</v>
      </c>
      <c r="U3090" t="str">
        <f>YEAR('Campaign Data'!$A3090)&amp;"-"&amp;TEXT(MONTH('Campaign Data'!$A3090),"00")</f>
        <v>2026-06</v>
      </c>
    </row>
    <row r="3091" spans="1:21" x14ac:dyDescent="0.25">
      <c r="A3091">
        <v>46191</v>
      </c>
      <c r="B3091" t="s">
        <v>98</v>
      </c>
      <c r="C3091" t="s">
        <v>99</v>
      </c>
      <c r="D3091" t="s">
        <v>69</v>
      </c>
      <c r="E3091" t="s">
        <v>24</v>
      </c>
      <c r="F3091" t="s">
        <v>75</v>
      </c>
      <c r="G3091" t="s">
        <v>66</v>
      </c>
      <c r="H3091" t="s">
        <v>36</v>
      </c>
      <c r="I3091" t="s">
        <v>37</v>
      </c>
      <c r="J3091" t="s">
        <v>38</v>
      </c>
      <c r="K3091">
        <v>3170</v>
      </c>
      <c r="L3091">
        <v>27</v>
      </c>
      <c r="M3091">
        <v>22.2</v>
      </c>
      <c r="N3091">
        <v>0</v>
      </c>
      <c r="O3091">
        <v>0</v>
      </c>
      <c r="P3091">
        <f t="shared" si="192"/>
        <v>8.5173501577287068E-3</v>
      </c>
      <c r="Q3091">
        <f t="shared" si="192"/>
        <v>0.82222222222222219</v>
      </c>
      <c r="R3091">
        <f t="shared" si="193"/>
        <v>0</v>
      </c>
      <c r="S3091">
        <f t="shared" si="194"/>
        <v>0</v>
      </c>
      <c r="T3091">
        <f t="shared" si="195"/>
        <v>0</v>
      </c>
      <c r="U3091" t="str">
        <f>YEAR('Campaign Data'!$A3091)&amp;"-"&amp;TEXT(MONTH('Campaign Data'!$A3091),"00")</f>
        <v>2026-06</v>
      </c>
    </row>
    <row r="3092" spans="1:21" x14ac:dyDescent="0.25">
      <c r="A3092">
        <v>46191</v>
      </c>
      <c r="B3092" t="s">
        <v>98</v>
      </c>
      <c r="C3092" t="s">
        <v>99</v>
      </c>
      <c r="D3092" t="s">
        <v>69</v>
      </c>
      <c r="E3092" t="s">
        <v>24</v>
      </c>
      <c r="F3092" t="s">
        <v>75</v>
      </c>
      <c r="G3092" t="s">
        <v>66</v>
      </c>
      <c r="H3092" t="s">
        <v>55</v>
      </c>
      <c r="I3092" t="s">
        <v>61</v>
      </c>
      <c r="J3092" t="s">
        <v>45</v>
      </c>
      <c r="K3092">
        <v>5203</v>
      </c>
      <c r="L3092">
        <v>35</v>
      </c>
      <c r="M3092">
        <v>39.200000000000003</v>
      </c>
      <c r="N3092">
        <v>1</v>
      </c>
      <c r="O3092">
        <v>27.32</v>
      </c>
      <c r="P3092">
        <f t="shared" si="192"/>
        <v>6.7268883336536614E-3</v>
      </c>
      <c r="Q3092">
        <f t="shared" si="192"/>
        <v>1.1200000000000001</v>
      </c>
      <c r="R3092">
        <f t="shared" si="193"/>
        <v>39.200000000000003</v>
      </c>
      <c r="S3092">
        <f t="shared" si="194"/>
        <v>0.696938775510204</v>
      </c>
      <c r="T3092">
        <f t="shared" si="195"/>
        <v>2.8571428571428571E-2</v>
      </c>
      <c r="U3092" t="str">
        <f>YEAR('Campaign Data'!$A3092)&amp;"-"&amp;TEXT(MONTH('Campaign Data'!$A3092),"00")</f>
        <v>2026-06</v>
      </c>
    </row>
    <row r="3093" spans="1:21" x14ac:dyDescent="0.25">
      <c r="A3093">
        <v>46191</v>
      </c>
      <c r="B3093" t="s">
        <v>98</v>
      </c>
      <c r="C3093" t="s">
        <v>99</v>
      </c>
      <c r="D3093" t="s">
        <v>69</v>
      </c>
      <c r="E3093" t="s">
        <v>24</v>
      </c>
      <c r="F3093" t="s">
        <v>75</v>
      </c>
      <c r="G3093" t="s">
        <v>66</v>
      </c>
      <c r="H3093" t="s">
        <v>51</v>
      </c>
      <c r="I3093" t="s">
        <v>37</v>
      </c>
      <c r="J3093" t="s">
        <v>45</v>
      </c>
      <c r="K3093">
        <v>2287</v>
      </c>
      <c r="L3093">
        <v>49</v>
      </c>
      <c r="M3093">
        <v>41.35</v>
      </c>
      <c r="N3093">
        <v>0</v>
      </c>
      <c r="O3093">
        <v>0</v>
      </c>
      <c r="P3093">
        <f t="shared" si="192"/>
        <v>2.1425448185395716E-2</v>
      </c>
      <c r="Q3093">
        <f t="shared" si="192"/>
        <v>0.84387755102040818</v>
      </c>
      <c r="R3093">
        <f t="shared" si="193"/>
        <v>0</v>
      </c>
      <c r="S3093">
        <f t="shared" si="194"/>
        <v>0</v>
      </c>
      <c r="T3093">
        <f t="shared" si="195"/>
        <v>0</v>
      </c>
      <c r="U3093" t="str">
        <f>YEAR('Campaign Data'!$A3093)&amp;"-"&amp;TEXT(MONTH('Campaign Data'!$A3093),"00")</f>
        <v>2026-06</v>
      </c>
    </row>
    <row r="3094" spans="1:21" x14ac:dyDescent="0.25">
      <c r="A3094">
        <v>46191</v>
      </c>
      <c r="B3094" t="s">
        <v>130</v>
      </c>
      <c r="C3094" t="s">
        <v>131</v>
      </c>
      <c r="D3094" t="s">
        <v>48</v>
      </c>
      <c r="E3094" t="s">
        <v>33</v>
      </c>
      <c r="F3094" t="s">
        <v>34</v>
      </c>
      <c r="G3094" t="s">
        <v>35</v>
      </c>
      <c r="H3094" t="s">
        <v>90</v>
      </c>
      <c r="I3094" t="s">
        <v>37</v>
      </c>
      <c r="J3094" t="s">
        <v>45</v>
      </c>
      <c r="K3094">
        <v>3919</v>
      </c>
      <c r="L3094">
        <v>15</v>
      </c>
      <c r="M3094">
        <v>2.46</v>
      </c>
      <c r="N3094">
        <v>0</v>
      </c>
      <c r="O3094">
        <v>0</v>
      </c>
      <c r="P3094">
        <f t="shared" si="192"/>
        <v>3.8275070170961981E-3</v>
      </c>
      <c r="Q3094">
        <f t="shared" si="192"/>
        <v>0.16400000000000001</v>
      </c>
      <c r="R3094">
        <f t="shared" si="193"/>
        <v>0</v>
      </c>
      <c r="S3094">
        <f t="shared" si="194"/>
        <v>0</v>
      </c>
      <c r="T3094">
        <f t="shared" si="195"/>
        <v>0</v>
      </c>
      <c r="U3094" t="str">
        <f>YEAR('Campaign Data'!$A3094)&amp;"-"&amp;TEXT(MONTH('Campaign Data'!$A3094),"00")</f>
        <v>2026-06</v>
      </c>
    </row>
    <row r="3095" spans="1:21" x14ac:dyDescent="0.25">
      <c r="A3095">
        <v>46191</v>
      </c>
      <c r="B3095" t="s">
        <v>132</v>
      </c>
      <c r="C3095" t="s">
        <v>133</v>
      </c>
      <c r="D3095" t="s">
        <v>23</v>
      </c>
      <c r="E3095" t="s">
        <v>42</v>
      </c>
      <c r="F3095" t="s">
        <v>75</v>
      </c>
      <c r="G3095" t="s">
        <v>84</v>
      </c>
      <c r="H3095" t="s">
        <v>36</v>
      </c>
      <c r="I3095" t="s">
        <v>37</v>
      </c>
      <c r="J3095" t="s">
        <v>29</v>
      </c>
      <c r="K3095">
        <v>5551</v>
      </c>
      <c r="L3095">
        <v>16</v>
      </c>
      <c r="M3095">
        <v>75.87</v>
      </c>
      <c r="N3095">
        <v>0</v>
      </c>
      <c r="O3095">
        <v>0</v>
      </c>
      <c r="P3095">
        <f t="shared" si="192"/>
        <v>2.882363538101243E-3</v>
      </c>
      <c r="Q3095">
        <f t="shared" si="192"/>
        <v>4.7418750000000003</v>
      </c>
      <c r="R3095">
        <f t="shared" si="193"/>
        <v>0</v>
      </c>
      <c r="S3095">
        <f t="shared" si="194"/>
        <v>0</v>
      </c>
      <c r="T3095">
        <f t="shared" si="195"/>
        <v>0</v>
      </c>
      <c r="U3095" t="str">
        <f>YEAR('Campaign Data'!$A3095)&amp;"-"&amp;TEXT(MONTH('Campaign Data'!$A3095),"00")</f>
        <v>2026-06</v>
      </c>
    </row>
    <row r="3096" spans="1:21" x14ac:dyDescent="0.25">
      <c r="A3096">
        <v>46191</v>
      </c>
      <c r="B3096" t="s">
        <v>171</v>
      </c>
      <c r="C3096" t="s">
        <v>172</v>
      </c>
      <c r="D3096" t="s">
        <v>23</v>
      </c>
      <c r="E3096" t="s">
        <v>33</v>
      </c>
      <c r="F3096" t="s">
        <v>75</v>
      </c>
      <c r="G3096" t="s">
        <v>59</v>
      </c>
      <c r="H3096" t="s">
        <v>90</v>
      </c>
      <c r="I3096" t="s">
        <v>37</v>
      </c>
      <c r="J3096" t="s">
        <v>29</v>
      </c>
      <c r="K3096">
        <v>7193</v>
      </c>
      <c r="L3096">
        <v>57</v>
      </c>
      <c r="M3096">
        <v>9.36</v>
      </c>
      <c r="N3096">
        <v>0</v>
      </c>
      <c r="O3096">
        <v>0</v>
      </c>
      <c r="P3096">
        <f t="shared" si="192"/>
        <v>7.924370916168497E-3</v>
      </c>
      <c r="Q3096">
        <f t="shared" si="192"/>
        <v>0.16421052631578947</v>
      </c>
      <c r="R3096">
        <f t="shared" si="193"/>
        <v>0</v>
      </c>
      <c r="S3096">
        <f t="shared" si="194"/>
        <v>0</v>
      </c>
      <c r="T3096">
        <f t="shared" si="195"/>
        <v>0</v>
      </c>
      <c r="U3096" t="str">
        <f>YEAR('Campaign Data'!$A3096)&amp;"-"&amp;TEXT(MONTH('Campaign Data'!$A3096),"00")</f>
        <v>2026-06</v>
      </c>
    </row>
    <row r="3097" spans="1:21" x14ac:dyDescent="0.25">
      <c r="A3097">
        <v>46191</v>
      </c>
      <c r="B3097" t="s">
        <v>171</v>
      </c>
      <c r="C3097" t="s">
        <v>172</v>
      </c>
      <c r="D3097" t="s">
        <v>23</v>
      </c>
      <c r="E3097" t="s">
        <v>33</v>
      </c>
      <c r="F3097" t="s">
        <v>75</v>
      </c>
      <c r="G3097" t="s">
        <v>59</v>
      </c>
      <c r="H3097" t="s">
        <v>27</v>
      </c>
      <c r="I3097" t="s">
        <v>37</v>
      </c>
      <c r="J3097" t="s">
        <v>87</v>
      </c>
      <c r="K3097">
        <v>19826</v>
      </c>
      <c r="L3097">
        <v>100</v>
      </c>
      <c r="M3097">
        <v>88.47</v>
      </c>
      <c r="N3097">
        <v>0</v>
      </c>
      <c r="O3097">
        <v>0</v>
      </c>
      <c r="P3097">
        <f t="shared" si="192"/>
        <v>5.0438817714112778E-3</v>
      </c>
      <c r="Q3097">
        <f t="shared" si="192"/>
        <v>0.88470000000000004</v>
      </c>
      <c r="R3097">
        <f t="shared" si="193"/>
        <v>0</v>
      </c>
      <c r="S3097">
        <f t="shared" si="194"/>
        <v>0</v>
      </c>
      <c r="T3097">
        <f t="shared" si="195"/>
        <v>0</v>
      </c>
      <c r="U3097" t="str">
        <f>YEAR('Campaign Data'!$A3097)&amp;"-"&amp;TEXT(MONTH('Campaign Data'!$A3097),"00")</f>
        <v>2026-06</v>
      </c>
    </row>
    <row r="3098" spans="1:21" x14ac:dyDescent="0.25">
      <c r="A3098">
        <v>46191</v>
      </c>
      <c r="B3098" t="s">
        <v>112</v>
      </c>
      <c r="C3098" t="s">
        <v>113</v>
      </c>
      <c r="D3098" t="s">
        <v>32</v>
      </c>
      <c r="E3098" t="s">
        <v>24</v>
      </c>
      <c r="F3098" t="s">
        <v>75</v>
      </c>
      <c r="G3098" t="s">
        <v>66</v>
      </c>
      <c r="H3098" t="s">
        <v>36</v>
      </c>
      <c r="I3098" t="s">
        <v>37</v>
      </c>
      <c r="J3098" t="s">
        <v>29</v>
      </c>
      <c r="K3098">
        <v>2528</v>
      </c>
      <c r="L3098">
        <v>59</v>
      </c>
      <c r="M3098">
        <v>49.27</v>
      </c>
      <c r="N3098">
        <v>1</v>
      </c>
      <c r="O3098">
        <v>32.130000000000003</v>
      </c>
      <c r="P3098">
        <f t="shared" si="192"/>
        <v>2.3338607594936708E-2</v>
      </c>
      <c r="Q3098">
        <f t="shared" si="192"/>
        <v>0.83508474576271197</v>
      </c>
      <c r="R3098">
        <f t="shared" si="193"/>
        <v>49.27</v>
      </c>
      <c r="S3098">
        <f t="shared" si="194"/>
        <v>0.65212096610513504</v>
      </c>
      <c r="T3098">
        <f t="shared" si="195"/>
        <v>1.6949152542372881E-2</v>
      </c>
      <c r="U3098" t="str">
        <f>YEAR('Campaign Data'!$A3098)&amp;"-"&amp;TEXT(MONTH('Campaign Data'!$A3098),"00")</f>
        <v>2026-06</v>
      </c>
    </row>
    <row r="3099" spans="1:21" x14ac:dyDescent="0.25">
      <c r="A3099">
        <v>46191</v>
      </c>
      <c r="B3099" t="s">
        <v>112</v>
      </c>
      <c r="C3099" t="s">
        <v>113</v>
      </c>
      <c r="D3099" t="s">
        <v>32</v>
      </c>
      <c r="E3099" t="s">
        <v>24</v>
      </c>
      <c r="F3099" t="s">
        <v>75</v>
      </c>
      <c r="G3099" t="s">
        <v>66</v>
      </c>
      <c r="H3099" t="s">
        <v>27</v>
      </c>
      <c r="I3099" t="s">
        <v>28</v>
      </c>
      <c r="J3099" t="s">
        <v>29</v>
      </c>
      <c r="K3099">
        <v>7227</v>
      </c>
      <c r="L3099">
        <v>101</v>
      </c>
      <c r="M3099">
        <v>93.3</v>
      </c>
      <c r="N3099">
        <v>0</v>
      </c>
      <c r="O3099">
        <v>0</v>
      </c>
      <c r="P3099">
        <f t="shared" si="192"/>
        <v>1.3975370139753701E-2</v>
      </c>
      <c r="Q3099">
        <f t="shared" si="192"/>
        <v>0.92376237623762369</v>
      </c>
      <c r="R3099">
        <f t="shared" si="193"/>
        <v>0</v>
      </c>
      <c r="S3099">
        <f t="shared" si="194"/>
        <v>0</v>
      </c>
      <c r="T3099">
        <f t="shared" si="195"/>
        <v>0</v>
      </c>
      <c r="U3099" t="str">
        <f>YEAR('Campaign Data'!$A3099)&amp;"-"&amp;TEXT(MONTH('Campaign Data'!$A3099),"00")</f>
        <v>2026-06</v>
      </c>
    </row>
    <row r="3100" spans="1:21" x14ac:dyDescent="0.25">
      <c r="A3100">
        <v>46191</v>
      </c>
      <c r="B3100" t="s">
        <v>136</v>
      </c>
      <c r="C3100" t="s">
        <v>137</v>
      </c>
      <c r="D3100" t="s">
        <v>32</v>
      </c>
      <c r="E3100" t="s">
        <v>49</v>
      </c>
      <c r="F3100" t="s">
        <v>75</v>
      </c>
      <c r="G3100" t="s">
        <v>97</v>
      </c>
      <c r="H3100" t="s">
        <v>27</v>
      </c>
      <c r="I3100" t="s">
        <v>37</v>
      </c>
      <c r="J3100" t="s">
        <v>87</v>
      </c>
      <c r="K3100">
        <v>3599</v>
      </c>
      <c r="L3100">
        <v>149</v>
      </c>
      <c r="M3100">
        <v>326.06</v>
      </c>
      <c r="N3100">
        <v>8</v>
      </c>
      <c r="O3100">
        <v>262.75</v>
      </c>
      <c r="P3100">
        <f t="shared" si="192"/>
        <v>4.1400388996943593E-2</v>
      </c>
      <c r="Q3100">
        <f t="shared" si="192"/>
        <v>2.1883221476510069</v>
      </c>
      <c r="R3100">
        <f t="shared" si="193"/>
        <v>40.7575</v>
      </c>
      <c r="S3100">
        <f t="shared" si="194"/>
        <v>0.80583328221799666</v>
      </c>
      <c r="T3100">
        <f t="shared" si="195"/>
        <v>5.3691275167785234E-2</v>
      </c>
      <c r="U3100" t="str">
        <f>YEAR('Campaign Data'!$A3100)&amp;"-"&amp;TEXT(MONTH('Campaign Data'!$A3100),"00")</f>
        <v>2026-06</v>
      </c>
    </row>
    <row r="3101" spans="1:21" x14ac:dyDescent="0.25">
      <c r="A3101">
        <v>46191</v>
      </c>
      <c r="B3101" t="s">
        <v>143</v>
      </c>
      <c r="C3101" t="s">
        <v>144</v>
      </c>
      <c r="D3101" t="s">
        <v>48</v>
      </c>
      <c r="E3101" t="s">
        <v>42</v>
      </c>
      <c r="F3101" t="s">
        <v>25</v>
      </c>
      <c r="G3101" t="s">
        <v>84</v>
      </c>
      <c r="H3101" t="s">
        <v>90</v>
      </c>
      <c r="I3101" t="s">
        <v>61</v>
      </c>
      <c r="J3101" t="s">
        <v>87</v>
      </c>
      <c r="K3101">
        <v>18097</v>
      </c>
      <c r="L3101">
        <v>102</v>
      </c>
      <c r="M3101">
        <v>94.54</v>
      </c>
      <c r="N3101">
        <v>3</v>
      </c>
      <c r="O3101">
        <v>170.35</v>
      </c>
      <c r="P3101">
        <f t="shared" si="192"/>
        <v>5.6362933082831409E-3</v>
      </c>
      <c r="Q3101">
        <f t="shared" si="192"/>
        <v>0.92686274509803923</v>
      </c>
      <c r="R3101">
        <f t="shared" si="193"/>
        <v>31.513333333333335</v>
      </c>
      <c r="S3101">
        <f t="shared" si="194"/>
        <v>1.8018828009308228</v>
      </c>
      <c r="T3101">
        <f t="shared" si="195"/>
        <v>2.9411764705882353E-2</v>
      </c>
      <c r="U3101" t="str">
        <f>YEAR('Campaign Data'!$A3101)&amp;"-"&amp;TEXT(MONTH('Campaign Data'!$A3101),"00")</f>
        <v>2026-06</v>
      </c>
    </row>
    <row r="3102" spans="1:21" x14ac:dyDescent="0.25">
      <c r="A3102">
        <v>46191</v>
      </c>
      <c r="B3102" t="s">
        <v>63</v>
      </c>
      <c r="C3102" t="s">
        <v>64</v>
      </c>
      <c r="D3102" t="s">
        <v>65</v>
      </c>
      <c r="E3102" t="s">
        <v>24</v>
      </c>
      <c r="F3102" t="s">
        <v>43</v>
      </c>
      <c r="G3102" t="s">
        <v>66</v>
      </c>
      <c r="H3102" t="s">
        <v>90</v>
      </c>
      <c r="I3102" t="s">
        <v>37</v>
      </c>
      <c r="J3102" t="s">
        <v>87</v>
      </c>
      <c r="K3102">
        <v>2246</v>
      </c>
      <c r="L3102">
        <v>22</v>
      </c>
      <c r="M3102">
        <v>3.71</v>
      </c>
      <c r="N3102">
        <v>2</v>
      </c>
      <c r="O3102">
        <v>14.27</v>
      </c>
      <c r="P3102">
        <f t="shared" si="192"/>
        <v>9.7951914514692786E-3</v>
      </c>
      <c r="Q3102">
        <f t="shared" si="192"/>
        <v>0.16863636363636364</v>
      </c>
      <c r="R3102">
        <f t="shared" si="193"/>
        <v>1.855</v>
      </c>
      <c r="S3102">
        <f t="shared" si="194"/>
        <v>3.8463611859838274</v>
      </c>
      <c r="T3102">
        <f t="shared" si="195"/>
        <v>9.0909090909090912E-2</v>
      </c>
      <c r="U3102" t="str">
        <f>YEAR('Campaign Data'!$A3102)&amp;"-"&amp;TEXT(MONTH('Campaign Data'!$A3102),"00")</f>
        <v>2026-06</v>
      </c>
    </row>
    <row r="3103" spans="1:21" x14ac:dyDescent="0.25">
      <c r="A3103">
        <v>46191</v>
      </c>
      <c r="B3103" t="s">
        <v>116</v>
      </c>
      <c r="C3103" t="s">
        <v>117</v>
      </c>
      <c r="D3103" t="s">
        <v>48</v>
      </c>
      <c r="E3103" t="s">
        <v>24</v>
      </c>
      <c r="F3103" t="s">
        <v>43</v>
      </c>
      <c r="G3103" t="s">
        <v>26</v>
      </c>
      <c r="H3103" t="s">
        <v>27</v>
      </c>
      <c r="I3103" t="s">
        <v>37</v>
      </c>
      <c r="J3103" t="s">
        <v>62</v>
      </c>
      <c r="K3103">
        <v>1939</v>
      </c>
      <c r="L3103">
        <v>26</v>
      </c>
      <c r="M3103">
        <v>40.659999999999997</v>
      </c>
      <c r="N3103">
        <v>1</v>
      </c>
      <c r="O3103">
        <v>28.97</v>
      </c>
      <c r="P3103">
        <f t="shared" si="192"/>
        <v>1.3408973697782363E-2</v>
      </c>
      <c r="Q3103">
        <f t="shared" si="192"/>
        <v>1.5638461538461537</v>
      </c>
      <c r="R3103">
        <f t="shared" si="193"/>
        <v>40.659999999999997</v>
      </c>
      <c r="S3103">
        <f t="shared" si="194"/>
        <v>0.71249385145105759</v>
      </c>
      <c r="T3103">
        <f t="shared" si="195"/>
        <v>3.8461538461538464E-2</v>
      </c>
      <c r="U3103" t="str">
        <f>YEAR('Campaign Data'!$A3103)&amp;"-"&amp;TEXT(MONTH('Campaign Data'!$A3103),"00")</f>
        <v>2026-06</v>
      </c>
    </row>
    <row r="3104" spans="1:21" x14ac:dyDescent="0.25">
      <c r="A3104">
        <v>46191</v>
      </c>
      <c r="B3104" t="s">
        <v>116</v>
      </c>
      <c r="C3104" t="s">
        <v>117</v>
      </c>
      <c r="D3104" t="s">
        <v>48</v>
      </c>
      <c r="E3104" t="s">
        <v>24</v>
      </c>
      <c r="F3104" t="s">
        <v>43</v>
      </c>
      <c r="G3104" t="s">
        <v>26</v>
      </c>
      <c r="H3104" t="s">
        <v>90</v>
      </c>
      <c r="I3104" t="s">
        <v>28</v>
      </c>
      <c r="J3104" t="s">
        <v>45</v>
      </c>
      <c r="K3104">
        <v>12389</v>
      </c>
      <c r="L3104">
        <v>116</v>
      </c>
      <c r="M3104">
        <v>26.9</v>
      </c>
      <c r="N3104">
        <v>1</v>
      </c>
      <c r="O3104">
        <v>5.27</v>
      </c>
      <c r="P3104">
        <f t="shared" si="192"/>
        <v>9.3631447251594155E-3</v>
      </c>
      <c r="Q3104">
        <f t="shared" si="192"/>
        <v>0.23189655172413792</v>
      </c>
      <c r="R3104">
        <f t="shared" si="193"/>
        <v>26.9</v>
      </c>
      <c r="S3104">
        <f t="shared" si="194"/>
        <v>0.19591078066914497</v>
      </c>
      <c r="T3104">
        <f t="shared" si="195"/>
        <v>8.6206896551724137E-3</v>
      </c>
      <c r="U3104" t="str">
        <f>YEAR('Campaign Data'!$A3104)&amp;"-"&amp;TEXT(MONTH('Campaign Data'!$A3104),"00")</f>
        <v>2026-06</v>
      </c>
    </row>
    <row r="3105" spans="1:21" x14ac:dyDescent="0.25">
      <c r="A3105">
        <v>46191</v>
      </c>
      <c r="B3105" t="s">
        <v>116</v>
      </c>
      <c r="C3105" t="s">
        <v>117</v>
      </c>
      <c r="D3105" t="s">
        <v>48</v>
      </c>
      <c r="E3105" t="s">
        <v>24</v>
      </c>
      <c r="F3105" t="s">
        <v>43</v>
      </c>
      <c r="G3105" t="s">
        <v>26</v>
      </c>
      <c r="H3105" t="s">
        <v>36</v>
      </c>
      <c r="I3105" t="s">
        <v>28</v>
      </c>
      <c r="J3105" t="s">
        <v>29</v>
      </c>
      <c r="K3105">
        <v>7056</v>
      </c>
      <c r="L3105">
        <v>68</v>
      </c>
      <c r="M3105">
        <v>66.53</v>
      </c>
      <c r="N3105">
        <v>3</v>
      </c>
      <c r="O3105">
        <v>111.66</v>
      </c>
      <c r="P3105">
        <f t="shared" si="192"/>
        <v>9.6371882086167798E-3</v>
      </c>
      <c r="Q3105">
        <f t="shared" si="192"/>
        <v>0.97838235294117648</v>
      </c>
      <c r="R3105">
        <f t="shared" si="193"/>
        <v>22.176666666666666</v>
      </c>
      <c r="S3105">
        <f t="shared" si="194"/>
        <v>1.6783405982263639</v>
      </c>
      <c r="T3105">
        <f t="shared" si="195"/>
        <v>4.4117647058823532E-2</v>
      </c>
      <c r="U3105" t="str">
        <f>YEAR('Campaign Data'!$A3105)&amp;"-"&amp;TEXT(MONTH('Campaign Data'!$A3105),"00")</f>
        <v>2026-06</v>
      </c>
    </row>
    <row r="3106" spans="1:21" x14ac:dyDescent="0.25">
      <c r="A3106">
        <v>46192</v>
      </c>
      <c r="B3106" t="s">
        <v>175</v>
      </c>
      <c r="C3106" t="s">
        <v>176</v>
      </c>
      <c r="D3106" t="s">
        <v>65</v>
      </c>
      <c r="E3106" t="s">
        <v>49</v>
      </c>
      <c r="F3106" t="s">
        <v>75</v>
      </c>
      <c r="G3106" t="s">
        <v>70</v>
      </c>
      <c r="H3106" t="s">
        <v>90</v>
      </c>
      <c r="I3106" t="s">
        <v>37</v>
      </c>
      <c r="J3106" t="s">
        <v>62</v>
      </c>
      <c r="K3106">
        <v>13439</v>
      </c>
      <c r="L3106">
        <v>854</v>
      </c>
      <c r="M3106">
        <v>426.63</v>
      </c>
      <c r="N3106">
        <v>75</v>
      </c>
      <c r="O3106">
        <v>583.16999999999996</v>
      </c>
      <c r="P3106">
        <f t="shared" si="192"/>
        <v>6.3546394821043226E-2</v>
      </c>
      <c r="Q3106">
        <f t="shared" si="192"/>
        <v>0.49956674473067914</v>
      </c>
      <c r="R3106">
        <f t="shared" si="193"/>
        <v>5.6883999999999997</v>
      </c>
      <c r="S3106">
        <f t="shared" si="194"/>
        <v>1.3669221573728991</v>
      </c>
      <c r="T3106">
        <f t="shared" si="195"/>
        <v>8.7822014051522249E-2</v>
      </c>
      <c r="U3106" t="str">
        <f>YEAR('Campaign Data'!$A3106)&amp;"-"&amp;TEXT(MONTH('Campaign Data'!$A3106),"00")</f>
        <v>2026-06</v>
      </c>
    </row>
    <row r="3107" spans="1:21" x14ac:dyDescent="0.25">
      <c r="A3107">
        <v>46192</v>
      </c>
      <c r="B3107" t="s">
        <v>138</v>
      </c>
      <c r="C3107" t="s">
        <v>139</v>
      </c>
      <c r="D3107" t="s">
        <v>58</v>
      </c>
      <c r="E3107" t="s">
        <v>74</v>
      </c>
      <c r="F3107" t="s">
        <v>34</v>
      </c>
      <c r="G3107" t="s">
        <v>9</v>
      </c>
      <c r="H3107" t="s">
        <v>55</v>
      </c>
      <c r="I3107" t="s">
        <v>37</v>
      </c>
      <c r="J3107" t="s">
        <v>87</v>
      </c>
      <c r="K3107">
        <v>1996</v>
      </c>
      <c r="L3107">
        <v>81</v>
      </c>
      <c r="M3107">
        <v>45.96</v>
      </c>
      <c r="N3107">
        <v>4</v>
      </c>
      <c r="O3107">
        <v>451.96</v>
      </c>
      <c r="P3107">
        <f t="shared" si="192"/>
        <v>4.0581162324649298E-2</v>
      </c>
      <c r="Q3107">
        <f t="shared" si="192"/>
        <v>0.56740740740740747</v>
      </c>
      <c r="R3107">
        <f t="shared" si="193"/>
        <v>11.49</v>
      </c>
      <c r="S3107">
        <f t="shared" si="194"/>
        <v>9.8337684943429071</v>
      </c>
      <c r="T3107">
        <f t="shared" si="195"/>
        <v>4.9382716049382713E-2</v>
      </c>
      <c r="U3107" t="str">
        <f>YEAR('Campaign Data'!$A3107)&amp;"-"&amp;TEXT(MONTH('Campaign Data'!$A3107),"00")</f>
        <v>2026-06</v>
      </c>
    </row>
    <row r="3108" spans="1:21" x14ac:dyDescent="0.25">
      <c r="A3108">
        <v>46192</v>
      </c>
      <c r="B3108" t="s">
        <v>91</v>
      </c>
      <c r="C3108" t="s">
        <v>92</v>
      </c>
      <c r="D3108" t="s">
        <v>41</v>
      </c>
      <c r="E3108" t="s">
        <v>74</v>
      </c>
      <c r="F3108" t="s">
        <v>75</v>
      </c>
      <c r="G3108" t="s">
        <v>9</v>
      </c>
      <c r="H3108" t="s">
        <v>36</v>
      </c>
      <c r="I3108" t="s">
        <v>37</v>
      </c>
      <c r="J3108" t="s">
        <v>62</v>
      </c>
      <c r="K3108">
        <v>5102</v>
      </c>
      <c r="L3108">
        <v>202</v>
      </c>
      <c r="M3108">
        <v>225.58</v>
      </c>
      <c r="N3108">
        <v>21</v>
      </c>
      <c r="O3108">
        <v>673.89</v>
      </c>
      <c r="P3108">
        <f t="shared" si="192"/>
        <v>3.959231673853391E-2</v>
      </c>
      <c r="Q3108">
        <f t="shared" si="192"/>
        <v>1.1167326732673268</v>
      </c>
      <c r="R3108">
        <f t="shared" si="193"/>
        <v>10.741904761904763</v>
      </c>
      <c r="S3108">
        <f t="shared" si="194"/>
        <v>2.9873659012323786</v>
      </c>
      <c r="T3108">
        <f t="shared" si="195"/>
        <v>0.10396039603960396</v>
      </c>
      <c r="U3108" t="str">
        <f>YEAR('Campaign Data'!$A3108)&amp;"-"&amp;TEXT(MONTH('Campaign Data'!$A3108),"00")</f>
        <v>2026-06</v>
      </c>
    </row>
    <row r="3109" spans="1:21" x14ac:dyDescent="0.25">
      <c r="A3109">
        <v>46192</v>
      </c>
      <c r="B3109" t="s">
        <v>151</v>
      </c>
      <c r="C3109" t="s">
        <v>152</v>
      </c>
      <c r="D3109" t="s">
        <v>48</v>
      </c>
      <c r="E3109" t="s">
        <v>24</v>
      </c>
      <c r="F3109" t="s">
        <v>81</v>
      </c>
      <c r="G3109" t="s">
        <v>129</v>
      </c>
      <c r="H3109" t="s">
        <v>27</v>
      </c>
      <c r="I3109" t="s">
        <v>37</v>
      </c>
      <c r="J3109" t="s">
        <v>45</v>
      </c>
      <c r="K3109">
        <v>9393</v>
      </c>
      <c r="L3109">
        <v>50</v>
      </c>
      <c r="M3109">
        <v>58.83</v>
      </c>
      <c r="N3109">
        <v>1</v>
      </c>
      <c r="O3109">
        <v>29.64</v>
      </c>
      <c r="P3109">
        <f t="shared" si="192"/>
        <v>5.3231129564569359E-3</v>
      </c>
      <c r="Q3109">
        <f t="shared" si="192"/>
        <v>1.1765999999999999</v>
      </c>
      <c r="R3109">
        <f t="shared" si="193"/>
        <v>58.83</v>
      </c>
      <c r="S3109">
        <f t="shared" si="194"/>
        <v>0.50382457929627744</v>
      </c>
      <c r="T3109">
        <f t="shared" si="195"/>
        <v>0.02</v>
      </c>
      <c r="U3109" t="str">
        <f>YEAR('Campaign Data'!$A3109)&amp;"-"&amp;TEXT(MONTH('Campaign Data'!$A3109),"00")</f>
        <v>2026-06</v>
      </c>
    </row>
    <row r="3110" spans="1:21" x14ac:dyDescent="0.25">
      <c r="A3110">
        <v>46192</v>
      </c>
      <c r="B3110" t="s">
        <v>169</v>
      </c>
      <c r="C3110" t="s">
        <v>170</v>
      </c>
      <c r="D3110" t="s">
        <v>58</v>
      </c>
      <c r="E3110" t="s">
        <v>74</v>
      </c>
      <c r="F3110" t="s">
        <v>75</v>
      </c>
      <c r="G3110" t="s">
        <v>9</v>
      </c>
      <c r="H3110" t="s">
        <v>27</v>
      </c>
      <c r="I3110" t="s">
        <v>37</v>
      </c>
      <c r="J3110" t="s">
        <v>29</v>
      </c>
      <c r="K3110">
        <v>16764</v>
      </c>
      <c r="L3110">
        <v>667</v>
      </c>
      <c r="M3110">
        <v>633.24</v>
      </c>
      <c r="N3110">
        <v>32</v>
      </c>
      <c r="O3110">
        <v>1807.37</v>
      </c>
      <c r="P3110">
        <f t="shared" si="192"/>
        <v>3.9787640181340969E-2</v>
      </c>
      <c r="Q3110">
        <f t="shared" si="192"/>
        <v>0.94938530734632687</v>
      </c>
      <c r="R3110">
        <f t="shared" si="193"/>
        <v>19.78875</v>
      </c>
      <c r="S3110">
        <f t="shared" si="194"/>
        <v>2.854162718716442</v>
      </c>
      <c r="T3110">
        <f t="shared" si="195"/>
        <v>4.7976011994002997E-2</v>
      </c>
      <c r="U3110" t="str">
        <f>YEAR('Campaign Data'!$A3110)&amp;"-"&amp;TEXT(MONTH('Campaign Data'!$A3110),"00")</f>
        <v>2026-06</v>
      </c>
    </row>
    <row r="3111" spans="1:21" x14ac:dyDescent="0.25">
      <c r="A3111">
        <v>46192</v>
      </c>
      <c r="B3111" t="s">
        <v>108</v>
      </c>
      <c r="C3111" t="s">
        <v>109</v>
      </c>
      <c r="D3111" t="s">
        <v>58</v>
      </c>
      <c r="E3111" t="s">
        <v>33</v>
      </c>
      <c r="F3111" t="s">
        <v>43</v>
      </c>
      <c r="G3111" t="s">
        <v>59</v>
      </c>
      <c r="H3111" t="s">
        <v>60</v>
      </c>
      <c r="I3111" t="s">
        <v>37</v>
      </c>
      <c r="J3111" t="s">
        <v>38</v>
      </c>
      <c r="K3111">
        <v>11770</v>
      </c>
      <c r="L3111">
        <v>64</v>
      </c>
      <c r="M3111">
        <v>31.62</v>
      </c>
      <c r="N3111">
        <v>2</v>
      </c>
      <c r="O3111">
        <v>60.39</v>
      </c>
      <c r="P3111">
        <f t="shared" si="192"/>
        <v>5.4375531011045027E-3</v>
      </c>
      <c r="Q3111">
        <f t="shared" si="192"/>
        <v>0.49406250000000002</v>
      </c>
      <c r="R3111">
        <f t="shared" si="193"/>
        <v>15.81</v>
      </c>
      <c r="S3111">
        <f t="shared" si="194"/>
        <v>1.9098671726755219</v>
      </c>
      <c r="T3111">
        <f t="shared" si="195"/>
        <v>3.125E-2</v>
      </c>
      <c r="U3111" t="str">
        <f>YEAR('Campaign Data'!$A3111)&amp;"-"&amp;TEXT(MONTH('Campaign Data'!$A3111),"00")</f>
        <v>2026-06</v>
      </c>
    </row>
    <row r="3112" spans="1:21" x14ac:dyDescent="0.25">
      <c r="A3112">
        <v>46192</v>
      </c>
      <c r="B3112" t="s">
        <v>130</v>
      </c>
      <c r="C3112" t="s">
        <v>131</v>
      </c>
      <c r="D3112" t="s">
        <v>48</v>
      </c>
      <c r="E3112" t="s">
        <v>33</v>
      </c>
      <c r="F3112" t="s">
        <v>34</v>
      </c>
      <c r="G3112" t="s">
        <v>35</v>
      </c>
      <c r="H3112" t="s">
        <v>71</v>
      </c>
      <c r="I3112" t="s">
        <v>28</v>
      </c>
      <c r="J3112" t="s">
        <v>29</v>
      </c>
      <c r="K3112">
        <v>4212</v>
      </c>
      <c r="L3112">
        <v>39</v>
      </c>
      <c r="M3112">
        <v>19.22</v>
      </c>
      <c r="N3112">
        <v>0</v>
      </c>
      <c r="O3112">
        <v>0</v>
      </c>
      <c r="P3112">
        <f t="shared" si="192"/>
        <v>9.2592592592592587E-3</v>
      </c>
      <c r="Q3112">
        <f t="shared" si="192"/>
        <v>0.49282051282051281</v>
      </c>
      <c r="R3112">
        <f t="shared" si="193"/>
        <v>0</v>
      </c>
      <c r="S3112">
        <f t="shared" si="194"/>
        <v>0</v>
      </c>
      <c r="T3112">
        <f t="shared" si="195"/>
        <v>0</v>
      </c>
      <c r="U3112" t="str">
        <f>YEAR('Campaign Data'!$A3112)&amp;"-"&amp;TEXT(MONTH('Campaign Data'!$A3112),"00")</f>
        <v>2026-06</v>
      </c>
    </row>
    <row r="3113" spans="1:21" x14ac:dyDescent="0.25">
      <c r="A3113">
        <v>46192</v>
      </c>
      <c r="B3113" t="s">
        <v>132</v>
      </c>
      <c r="C3113" t="s">
        <v>133</v>
      </c>
      <c r="D3113" t="s">
        <v>23</v>
      </c>
      <c r="E3113" t="s">
        <v>42</v>
      </c>
      <c r="F3113" t="s">
        <v>75</v>
      </c>
      <c r="G3113" t="s">
        <v>84</v>
      </c>
      <c r="H3113" t="s">
        <v>36</v>
      </c>
      <c r="I3113" t="s">
        <v>37</v>
      </c>
      <c r="J3113" t="s">
        <v>87</v>
      </c>
      <c r="K3113">
        <v>9540</v>
      </c>
      <c r="L3113">
        <v>44</v>
      </c>
      <c r="M3113">
        <v>224.43</v>
      </c>
      <c r="N3113">
        <v>1</v>
      </c>
      <c r="O3113">
        <v>36.94</v>
      </c>
      <c r="P3113">
        <f t="shared" si="192"/>
        <v>4.6121593291404616E-3</v>
      </c>
      <c r="Q3113">
        <f t="shared" si="192"/>
        <v>5.1006818181818181</v>
      </c>
      <c r="R3113">
        <f t="shared" si="193"/>
        <v>224.43</v>
      </c>
      <c r="S3113">
        <f t="shared" si="194"/>
        <v>0.16459475114735106</v>
      </c>
      <c r="T3113">
        <f t="shared" si="195"/>
        <v>2.2727272727272728E-2</v>
      </c>
      <c r="U3113" t="str">
        <f>YEAR('Campaign Data'!$A3113)&amp;"-"&amp;TEXT(MONTH('Campaign Data'!$A3113),"00")</f>
        <v>2026-06</v>
      </c>
    </row>
    <row r="3114" spans="1:21" x14ac:dyDescent="0.25">
      <c r="A3114">
        <v>46192</v>
      </c>
      <c r="B3114" t="s">
        <v>153</v>
      </c>
      <c r="C3114" t="s">
        <v>154</v>
      </c>
      <c r="D3114" t="s">
        <v>48</v>
      </c>
      <c r="E3114" t="s">
        <v>33</v>
      </c>
      <c r="F3114" t="s">
        <v>43</v>
      </c>
      <c r="G3114" t="s">
        <v>59</v>
      </c>
      <c r="H3114" t="s">
        <v>36</v>
      </c>
      <c r="I3114" t="s">
        <v>37</v>
      </c>
      <c r="J3114" t="s">
        <v>29</v>
      </c>
      <c r="K3114">
        <v>1968</v>
      </c>
      <c r="L3114">
        <v>19</v>
      </c>
      <c r="M3114">
        <v>12.72</v>
      </c>
      <c r="N3114">
        <v>0</v>
      </c>
      <c r="O3114">
        <v>0</v>
      </c>
      <c r="P3114">
        <f t="shared" si="192"/>
        <v>9.6544715447154476E-3</v>
      </c>
      <c r="Q3114">
        <f t="shared" si="192"/>
        <v>0.66947368421052633</v>
      </c>
      <c r="R3114">
        <f t="shared" si="193"/>
        <v>0</v>
      </c>
      <c r="S3114">
        <f t="shared" si="194"/>
        <v>0</v>
      </c>
      <c r="T3114">
        <f t="shared" si="195"/>
        <v>0</v>
      </c>
      <c r="U3114" t="str">
        <f>YEAR('Campaign Data'!$A3114)&amp;"-"&amp;TEXT(MONTH('Campaign Data'!$A3114),"00")</f>
        <v>2026-06</v>
      </c>
    </row>
    <row r="3115" spans="1:21" x14ac:dyDescent="0.25">
      <c r="A3115">
        <v>46192</v>
      </c>
      <c r="B3115" t="s">
        <v>153</v>
      </c>
      <c r="C3115" t="s">
        <v>154</v>
      </c>
      <c r="D3115" t="s">
        <v>48</v>
      </c>
      <c r="E3115" t="s">
        <v>33</v>
      </c>
      <c r="F3115" t="s">
        <v>43</v>
      </c>
      <c r="G3115" t="s">
        <v>59</v>
      </c>
      <c r="H3115" t="s">
        <v>90</v>
      </c>
      <c r="I3115" t="s">
        <v>37</v>
      </c>
      <c r="J3115" t="s">
        <v>38</v>
      </c>
      <c r="K3115">
        <v>2990</v>
      </c>
      <c r="L3115">
        <v>41</v>
      </c>
      <c r="M3115">
        <v>6.47</v>
      </c>
      <c r="N3115">
        <v>0</v>
      </c>
      <c r="O3115">
        <v>0</v>
      </c>
      <c r="P3115">
        <f t="shared" si="192"/>
        <v>1.37123745819398E-2</v>
      </c>
      <c r="Q3115">
        <f t="shared" si="192"/>
        <v>0.15780487804878049</v>
      </c>
      <c r="R3115">
        <f t="shared" si="193"/>
        <v>0</v>
      </c>
      <c r="S3115">
        <f t="shared" si="194"/>
        <v>0</v>
      </c>
      <c r="T3115">
        <f t="shared" si="195"/>
        <v>0</v>
      </c>
      <c r="U3115" t="str">
        <f>YEAR('Campaign Data'!$A3115)&amp;"-"&amp;TEXT(MONTH('Campaign Data'!$A3115),"00")</f>
        <v>2026-06</v>
      </c>
    </row>
    <row r="3116" spans="1:21" x14ac:dyDescent="0.25">
      <c r="A3116">
        <v>46192</v>
      </c>
      <c r="B3116" t="s">
        <v>171</v>
      </c>
      <c r="C3116" t="s">
        <v>172</v>
      </c>
      <c r="D3116" t="s">
        <v>23</v>
      </c>
      <c r="E3116" t="s">
        <v>33</v>
      </c>
      <c r="F3116" t="s">
        <v>75</v>
      </c>
      <c r="G3116" t="s">
        <v>59</v>
      </c>
      <c r="H3116" t="s">
        <v>90</v>
      </c>
      <c r="I3116" t="s">
        <v>61</v>
      </c>
      <c r="J3116" t="s">
        <v>45</v>
      </c>
      <c r="K3116">
        <v>12528</v>
      </c>
      <c r="L3116">
        <v>117</v>
      </c>
      <c r="M3116">
        <v>20.34</v>
      </c>
      <c r="N3116">
        <v>3</v>
      </c>
      <c r="O3116">
        <v>28.47</v>
      </c>
      <c r="P3116">
        <f t="shared" si="192"/>
        <v>9.3390804597701157E-3</v>
      </c>
      <c r="Q3116">
        <f t="shared" si="192"/>
        <v>0.17384615384615384</v>
      </c>
      <c r="R3116">
        <f t="shared" si="193"/>
        <v>6.78</v>
      </c>
      <c r="S3116">
        <f t="shared" si="194"/>
        <v>1.3997050147492625</v>
      </c>
      <c r="T3116">
        <f t="shared" si="195"/>
        <v>2.564102564102564E-2</v>
      </c>
      <c r="U3116" t="str">
        <f>YEAR('Campaign Data'!$A3116)&amp;"-"&amp;TEXT(MONTH('Campaign Data'!$A3116),"00")</f>
        <v>2026-06</v>
      </c>
    </row>
    <row r="3117" spans="1:21" x14ac:dyDescent="0.25">
      <c r="A3117">
        <v>46192</v>
      </c>
      <c r="B3117" t="s">
        <v>157</v>
      </c>
      <c r="C3117" t="s">
        <v>158</v>
      </c>
      <c r="D3117" t="s">
        <v>58</v>
      </c>
      <c r="E3117" t="s">
        <v>49</v>
      </c>
      <c r="F3117" t="s">
        <v>81</v>
      </c>
      <c r="G3117" t="s">
        <v>50</v>
      </c>
      <c r="H3117" t="s">
        <v>27</v>
      </c>
      <c r="I3117" t="s">
        <v>28</v>
      </c>
      <c r="J3117" t="s">
        <v>62</v>
      </c>
      <c r="K3117">
        <v>9340</v>
      </c>
      <c r="L3117">
        <v>506</v>
      </c>
      <c r="M3117">
        <v>895.21</v>
      </c>
      <c r="N3117">
        <v>32</v>
      </c>
      <c r="O3117">
        <v>628.59</v>
      </c>
      <c r="P3117">
        <f t="shared" si="192"/>
        <v>5.4175588865096359E-2</v>
      </c>
      <c r="Q3117">
        <f t="shared" si="192"/>
        <v>1.7691897233201581</v>
      </c>
      <c r="R3117">
        <f t="shared" si="193"/>
        <v>27.975312500000001</v>
      </c>
      <c r="S3117">
        <f t="shared" si="194"/>
        <v>0.70217044045531218</v>
      </c>
      <c r="T3117">
        <f t="shared" si="195"/>
        <v>6.3241106719367585E-2</v>
      </c>
      <c r="U3117" t="str">
        <f>YEAR('Campaign Data'!$A3117)&amp;"-"&amp;TEXT(MONTH('Campaign Data'!$A3117),"00")</f>
        <v>2026-06</v>
      </c>
    </row>
    <row r="3118" spans="1:21" x14ac:dyDescent="0.25">
      <c r="A3118">
        <v>46192</v>
      </c>
      <c r="B3118" t="s">
        <v>161</v>
      </c>
      <c r="C3118" t="s">
        <v>162</v>
      </c>
      <c r="D3118" t="s">
        <v>48</v>
      </c>
      <c r="E3118" t="s">
        <v>74</v>
      </c>
      <c r="F3118" t="s">
        <v>34</v>
      </c>
      <c r="G3118" t="s">
        <v>107</v>
      </c>
      <c r="H3118" t="s">
        <v>90</v>
      </c>
      <c r="I3118" t="s">
        <v>28</v>
      </c>
      <c r="J3118" t="s">
        <v>45</v>
      </c>
      <c r="K3118">
        <v>8222</v>
      </c>
      <c r="L3118">
        <v>234</v>
      </c>
      <c r="M3118">
        <v>82.07</v>
      </c>
      <c r="N3118">
        <v>4</v>
      </c>
      <c r="O3118">
        <v>186.62</v>
      </c>
      <c r="P3118">
        <f t="shared" si="192"/>
        <v>2.8460228654828508E-2</v>
      </c>
      <c r="Q3118">
        <f t="shared" si="192"/>
        <v>0.35072649572649572</v>
      </c>
      <c r="R3118">
        <f t="shared" si="193"/>
        <v>20.517499999999998</v>
      </c>
      <c r="S3118">
        <f t="shared" si="194"/>
        <v>2.2739125137078107</v>
      </c>
      <c r="T3118">
        <f t="shared" si="195"/>
        <v>1.7094017094017096E-2</v>
      </c>
      <c r="U3118" t="str">
        <f>YEAR('Campaign Data'!$A3118)&amp;"-"&amp;TEXT(MONTH('Campaign Data'!$A3118),"00")</f>
        <v>2026-06</v>
      </c>
    </row>
    <row r="3119" spans="1:21" x14ac:dyDescent="0.25">
      <c r="A3119">
        <v>46192</v>
      </c>
      <c r="B3119" t="s">
        <v>143</v>
      </c>
      <c r="C3119" t="s">
        <v>144</v>
      </c>
      <c r="D3119" t="s">
        <v>48</v>
      </c>
      <c r="E3119" t="s">
        <v>42</v>
      </c>
      <c r="F3119" t="s">
        <v>25</v>
      </c>
      <c r="G3119" t="s">
        <v>84</v>
      </c>
      <c r="H3119" t="s">
        <v>27</v>
      </c>
      <c r="I3119" t="s">
        <v>37</v>
      </c>
      <c r="J3119" t="s">
        <v>87</v>
      </c>
      <c r="K3119">
        <v>18516</v>
      </c>
      <c r="L3119">
        <v>90</v>
      </c>
      <c r="M3119">
        <v>565.6</v>
      </c>
      <c r="N3119">
        <v>4</v>
      </c>
      <c r="O3119">
        <v>714.59</v>
      </c>
      <c r="P3119">
        <f t="shared" si="192"/>
        <v>4.8606610499027864E-3</v>
      </c>
      <c r="Q3119">
        <f t="shared" si="192"/>
        <v>6.2844444444444445</v>
      </c>
      <c r="R3119">
        <f t="shared" si="193"/>
        <v>141.4</v>
      </c>
      <c r="S3119">
        <f t="shared" si="194"/>
        <v>1.263419377652051</v>
      </c>
      <c r="T3119">
        <f t="shared" si="195"/>
        <v>4.4444444444444446E-2</v>
      </c>
      <c r="U3119" t="str">
        <f>YEAR('Campaign Data'!$A3119)&amp;"-"&amp;TEXT(MONTH('Campaign Data'!$A3119),"00")</f>
        <v>2026-06</v>
      </c>
    </row>
    <row r="3120" spans="1:21" x14ac:dyDescent="0.25">
      <c r="A3120">
        <v>46192</v>
      </c>
      <c r="B3120" t="s">
        <v>67</v>
      </c>
      <c r="C3120" t="s">
        <v>68</v>
      </c>
      <c r="D3120" t="s">
        <v>69</v>
      </c>
      <c r="E3120" t="s">
        <v>49</v>
      </c>
      <c r="F3120" t="s">
        <v>34</v>
      </c>
      <c r="G3120" t="s">
        <v>70</v>
      </c>
      <c r="H3120" t="s">
        <v>27</v>
      </c>
      <c r="I3120" t="s">
        <v>37</v>
      </c>
      <c r="J3120" t="s">
        <v>38</v>
      </c>
      <c r="K3120">
        <v>6719</v>
      </c>
      <c r="L3120">
        <v>235</v>
      </c>
      <c r="M3120">
        <v>501.03</v>
      </c>
      <c r="N3120">
        <v>7</v>
      </c>
      <c r="O3120">
        <v>1274.69</v>
      </c>
      <c r="P3120">
        <f t="shared" si="192"/>
        <v>3.4975442774222355E-2</v>
      </c>
      <c r="Q3120">
        <f t="shared" si="192"/>
        <v>2.1320425531914893</v>
      </c>
      <c r="R3120">
        <f t="shared" si="193"/>
        <v>71.575714285714284</v>
      </c>
      <c r="S3120">
        <f t="shared" si="194"/>
        <v>2.5441390735085725</v>
      </c>
      <c r="T3120">
        <f t="shared" si="195"/>
        <v>2.9787234042553193E-2</v>
      </c>
      <c r="U3120" t="str">
        <f>YEAR('Campaign Data'!$A3120)&amp;"-"&amp;TEXT(MONTH('Campaign Data'!$A3120),"00")</f>
        <v>2026-06</v>
      </c>
    </row>
    <row r="3121" spans="1:21" x14ac:dyDescent="0.25">
      <c r="A3121">
        <v>46192</v>
      </c>
      <c r="B3121" t="s">
        <v>72</v>
      </c>
      <c r="C3121" t="s">
        <v>73</v>
      </c>
      <c r="D3121" t="s">
        <v>69</v>
      </c>
      <c r="E3121" t="s">
        <v>74</v>
      </c>
      <c r="F3121" t="s">
        <v>75</v>
      </c>
      <c r="G3121" t="s">
        <v>9</v>
      </c>
      <c r="H3121" t="s">
        <v>27</v>
      </c>
      <c r="I3121" t="s">
        <v>37</v>
      </c>
      <c r="J3121" t="s">
        <v>87</v>
      </c>
      <c r="K3121">
        <v>6658</v>
      </c>
      <c r="L3121">
        <v>255</v>
      </c>
      <c r="M3121">
        <v>448.26</v>
      </c>
      <c r="N3121">
        <v>4</v>
      </c>
      <c r="O3121">
        <v>264.94</v>
      </c>
      <c r="P3121">
        <f t="shared" si="192"/>
        <v>3.8299789726644641E-2</v>
      </c>
      <c r="Q3121">
        <f t="shared" si="192"/>
        <v>1.7578823529411765</v>
      </c>
      <c r="R3121">
        <f t="shared" si="193"/>
        <v>112.065</v>
      </c>
      <c r="S3121">
        <f t="shared" si="194"/>
        <v>0.59104091375540979</v>
      </c>
      <c r="T3121">
        <f t="shared" si="195"/>
        <v>1.5686274509803921E-2</v>
      </c>
      <c r="U3121" t="str">
        <f>YEAR('Campaign Data'!$A3121)&amp;"-"&amp;TEXT(MONTH('Campaign Data'!$A3121),"00")</f>
        <v>2026-06</v>
      </c>
    </row>
    <row r="3122" spans="1:21" x14ac:dyDescent="0.25">
      <c r="A3122">
        <v>46192</v>
      </c>
      <c r="B3122" t="s">
        <v>78</v>
      </c>
      <c r="C3122" t="s">
        <v>79</v>
      </c>
      <c r="D3122" t="s">
        <v>80</v>
      </c>
      <c r="E3122" t="s">
        <v>24</v>
      </c>
      <c r="F3122" t="s">
        <v>81</v>
      </c>
      <c r="G3122" t="s">
        <v>66</v>
      </c>
      <c r="H3122" t="s">
        <v>71</v>
      </c>
      <c r="I3122" t="s">
        <v>28</v>
      </c>
      <c r="J3122" t="s">
        <v>87</v>
      </c>
      <c r="K3122">
        <v>6804</v>
      </c>
      <c r="L3122">
        <v>98</v>
      </c>
      <c r="M3122">
        <v>88.25</v>
      </c>
      <c r="N3122">
        <v>6</v>
      </c>
      <c r="O3122">
        <v>89.4</v>
      </c>
      <c r="P3122">
        <f t="shared" si="192"/>
        <v>1.4403292181069959E-2</v>
      </c>
      <c r="Q3122">
        <f t="shared" si="192"/>
        <v>0.90051020408163263</v>
      </c>
      <c r="R3122">
        <f t="shared" si="193"/>
        <v>14.708333333333334</v>
      </c>
      <c r="S3122">
        <f t="shared" si="194"/>
        <v>1.0130311614730878</v>
      </c>
      <c r="T3122">
        <f t="shared" si="195"/>
        <v>6.1224489795918366E-2</v>
      </c>
      <c r="U3122" t="str">
        <f>YEAR('Campaign Data'!$A3122)&amp;"-"&amp;TEXT(MONTH('Campaign Data'!$A3122),"00")</f>
        <v>2026-06</v>
      </c>
    </row>
    <row r="3123" spans="1:21" x14ac:dyDescent="0.25">
      <c r="A3123">
        <v>46192</v>
      </c>
      <c r="B3123" t="s">
        <v>82</v>
      </c>
      <c r="C3123" t="s">
        <v>83</v>
      </c>
      <c r="D3123" t="s">
        <v>80</v>
      </c>
      <c r="E3123" t="s">
        <v>42</v>
      </c>
      <c r="F3123" t="s">
        <v>34</v>
      </c>
      <c r="G3123" t="s">
        <v>84</v>
      </c>
      <c r="H3123" t="s">
        <v>71</v>
      </c>
      <c r="I3123" t="s">
        <v>28</v>
      </c>
      <c r="J3123" t="s">
        <v>62</v>
      </c>
      <c r="K3123">
        <v>6584</v>
      </c>
      <c r="L3123">
        <v>83</v>
      </c>
      <c r="M3123">
        <v>452.18</v>
      </c>
      <c r="N3123">
        <v>5</v>
      </c>
      <c r="O3123">
        <v>662.85</v>
      </c>
      <c r="P3123">
        <f t="shared" si="192"/>
        <v>1.2606318347509114E-2</v>
      </c>
      <c r="Q3123">
        <f t="shared" si="192"/>
        <v>5.4479518072289155</v>
      </c>
      <c r="R3123">
        <f t="shared" si="193"/>
        <v>90.436000000000007</v>
      </c>
      <c r="S3123">
        <f t="shared" si="194"/>
        <v>1.4658985359812464</v>
      </c>
      <c r="T3123">
        <f t="shared" si="195"/>
        <v>6.0240963855421686E-2</v>
      </c>
      <c r="U3123" t="str">
        <f>YEAR('Campaign Data'!$A3123)&amp;"-"&amp;TEXT(MONTH('Campaign Data'!$A3123),"00")</f>
        <v>2026-06</v>
      </c>
    </row>
    <row r="3124" spans="1:21" x14ac:dyDescent="0.25">
      <c r="A3124">
        <v>46193</v>
      </c>
      <c r="B3124" t="s">
        <v>165</v>
      </c>
      <c r="C3124" t="s">
        <v>166</v>
      </c>
      <c r="D3124" t="s">
        <v>41</v>
      </c>
      <c r="E3124" t="s">
        <v>33</v>
      </c>
      <c r="F3124" t="s">
        <v>43</v>
      </c>
      <c r="G3124" t="s">
        <v>59</v>
      </c>
      <c r="H3124" t="s">
        <v>90</v>
      </c>
      <c r="I3124" t="s">
        <v>37</v>
      </c>
      <c r="J3124" t="s">
        <v>62</v>
      </c>
      <c r="K3124">
        <v>4072</v>
      </c>
      <c r="L3124">
        <v>23</v>
      </c>
      <c r="M3124">
        <v>4.37</v>
      </c>
      <c r="N3124">
        <v>3</v>
      </c>
      <c r="O3124">
        <v>15.46</v>
      </c>
      <c r="P3124">
        <f t="shared" si="192"/>
        <v>5.6483300589390967E-3</v>
      </c>
      <c r="Q3124">
        <f t="shared" si="192"/>
        <v>0.19</v>
      </c>
      <c r="R3124">
        <f t="shared" si="193"/>
        <v>1.4566666666666668</v>
      </c>
      <c r="S3124">
        <f t="shared" si="194"/>
        <v>3.5377574370709381</v>
      </c>
      <c r="T3124">
        <f t="shared" si="195"/>
        <v>0.13043478260869565</v>
      </c>
      <c r="U3124" t="str">
        <f>YEAR('Campaign Data'!$A3124)&amp;"-"&amp;TEXT(MONTH('Campaign Data'!$A3124),"00")</f>
        <v>2026-06</v>
      </c>
    </row>
    <row r="3125" spans="1:21" x14ac:dyDescent="0.25">
      <c r="A3125">
        <v>46193</v>
      </c>
      <c r="B3125" t="s">
        <v>173</v>
      </c>
      <c r="C3125" t="s">
        <v>174</v>
      </c>
      <c r="D3125" t="s">
        <v>48</v>
      </c>
      <c r="E3125" t="s">
        <v>74</v>
      </c>
      <c r="F3125" t="s">
        <v>25</v>
      </c>
      <c r="G3125" t="s">
        <v>9</v>
      </c>
      <c r="H3125" t="s">
        <v>90</v>
      </c>
      <c r="I3125" t="s">
        <v>37</v>
      </c>
      <c r="J3125" t="s">
        <v>87</v>
      </c>
      <c r="K3125">
        <v>7306</v>
      </c>
      <c r="L3125">
        <v>104</v>
      </c>
      <c r="M3125">
        <v>35.01</v>
      </c>
      <c r="N3125">
        <v>5</v>
      </c>
      <c r="O3125">
        <v>178.67</v>
      </c>
      <c r="P3125">
        <f t="shared" si="192"/>
        <v>1.4234875444839857E-2</v>
      </c>
      <c r="Q3125">
        <f t="shared" si="192"/>
        <v>0.33663461538461537</v>
      </c>
      <c r="R3125">
        <f t="shared" si="193"/>
        <v>7.0019999999999998</v>
      </c>
      <c r="S3125">
        <f t="shared" si="194"/>
        <v>5.1033990288489006</v>
      </c>
      <c r="T3125">
        <f t="shared" si="195"/>
        <v>4.807692307692308E-2</v>
      </c>
      <c r="U3125" t="str">
        <f>YEAR('Campaign Data'!$A3125)&amp;"-"&amp;TEXT(MONTH('Campaign Data'!$A3125),"00")</f>
        <v>2026-06</v>
      </c>
    </row>
    <row r="3126" spans="1:21" x14ac:dyDescent="0.25">
      <c r="A3126">
        <v>46193</v>
      </c>
      <c r="B3126" t="s">
        <v>125</v>
      </c>
      <c r="C3126" t="s">
        <v>126</v>
      </c>
      <c r="D3126" t="s">
        <v>41</v>
      </c>
      <c r="E3126" t="s">
        <v>42</v>
      </c>
      <c r="F3126" t="s">
        <v>81</v>
      </c>
      <c r="G3126" t="s">
        <v>44</v>
      </c>
      <c r="H3126" t="s">
        <v>71</v>
      </c>
      <c r="I3126" t="s">
        <v>37</v>
      </c>
      <c r="J3126" t="s">
        <v>62</v>
      </c>
      <c r="K3126">
        <v>3148</v>
      </c>
      <c r="L3126">
        <v>21</v>
      </c>
      <c r="M3126">
        <v>114.6</v>
      </c>
      <c r="N3126">
        <v>0</v>
      </c>
      <c r="O3126">
        <v>0</v>
      </c>
      <c r="P3126">
        <f t="shared" si="192"/>
        <v>6.6709021601016518E-3</v>
      </c>
      <c r="Q3126">
        <f t="shared" si="192"/>
        <v>5.4571428571428573</v>
      </c>
      <c r="R3126">
        <f t="shared" si="193"/>
        <v>0</v>
      </c>
      <c r="S3126">
        <f t="shared" si="194"/>
        <v>0</v>
      </c>
      <c r="T3126">
        <f t="shared" si="195"/>
        <v>0</v>
      </c>
      <c r="U3126" t="str">
        <f>YEAR('Campaign Data'!$A3126)&amp;"-"&amp;TEXT(MONTH('Campaign Data'!$A3126),"00")</f>
        <v>2026-06</v>
      </c>
    </row>
    <row r="3127" spans="1:21" x14ac:dyDescent="0.25">
      <c r="A3127">
        <v>46193</v>
      </c>
      <c r="B3127" t="s">
        <v>138</v>
      </c>
      <c r="C3127" t="s">
        <v>139</v>
      </c>
      <c r="D3127" t="s">
        <v>58</v>
      </c>
      <c r="E3127" t="s">
        <v>74</v>
      </c>
      <c r="F3127" t="s">
        <v>34</v>
      </c>
      <c r="G3127" t="s">
        <v>9</v>
      </c>
      <c r="H3127" t="s">
        <v>27</v>
      </c>
      <c r="I3127" t="s">
        <v>28</v>
      </c>
      <c r="J3127" t="s">
        <v>45</v>
      </c>
      <c r="K3127">
        <v>3450</v>
      </c>
      <c r="L3127">
        <v>186</v>
      </c>
      <c r="M3127">
        <v>230.88</v>
      </c>
      <c r="N3127">
        <v>5</v>
      </c>
      <c r="O3127">
        <v>1279.25</v>
      </c>
      <c r="P3127">
        <f t="shared" si="192"/>
        <v>5.3913043478260869E-2</v>
      </c>
      <c r="Q3127">
        <f t="shared" si="192"/>
        <v>1.2412903225806451</v>
      </c>
      <c r="R3127">
        <f t="shared" si="193"/>
        <v>46.176000000000002</v>
      </c>
      <c r="S3127">
        <f t="shared" si="194"/>
        <v>5.5407571032571035</v>
      </c>
      <c r="T3127">
        <f t="shared" si="195"/>
        <v>2.6881720430107527E-2</v>
      </c>
      <c r="U3127" t="str">
        <f>YEAR('Campaign Data'!$A3127)&amp;"-"&amp;TEXT(MONTH('Campaign Data'!$A3127),"00")</f>
        <v>2026-06</v>
      </c>
    </row>
    <row r="3128" spans="1:21" x14ac:dyDescent="0.25">
      <c r="A3128">
        <v>46193</v>
      </c>
      <c r="B3128" t="s">
        <v>186</v>
      </c>
      <c r="C3128" t="s">
        <v>187</v>
      </c>
      <c r="D3128" t="s">
        <v>80</v>
      </c>
      <c r="E3128" t="s">
        <v>33</v>
      </c>
      <c r="F3128" t="s">
        <v>43</v>
      </c>
      <c r="G3128" t="s">
        <v>102</v>
      </c>
      <c r="H3128" t="s">
        <v>51</v>
      </c>
      <c r="I3128" t="s">
        <v>28</v>
      </c>
      <c r="J3128" t="s">
        <v>62</v>
      </c>
      <c r="K3128">
        <v>1236</v>
      </c>
      <c r="L3128">
        <v>7</v>
      </c>
      <c r="M3128">
        <v>5.54</v>
      </c>
      <c r="N3128">
        <v>0</v>
      </c>
      <c r="O3128">
        <v>0</v>
      </c>
      <c r="P3128">
        <f t="shared" si="192"/>
        <v>5.6634304207119745E-3</v>
      </c>
      <c r="Q3128">
        <f t="shared" si="192"/>
        <v>0.79142857142857148</v>
      </c>
      <c r="R3128">
        <f t="shared" si="193"/>
        <v>0</v>
      </c>
      <c r="S3128">
        <f t="shared" si="194"/>
        <v>0</v>
      </c>
      <c r="T3128">
        <f t="shared" si="195"/>
        <v>0</v>
      </c>
      <c r="U3128" t="str">
        <f>YEAR('Campaign Data'!$A3128)&amp;"-"&amp;TEXT(MONTH('Campaign Data'!$A3128),"00")</f>
        <v>2026-06</v>
      </c>
    </row>
    <row r="3129" spans="1:21" x14ac:dyDescent="0.25">
      <c r="A3129">
        <v>46193</v>
      </c>
      <c r="B3129" t="s">
        <v>39</v>
      </c>
      <c r="C3129" t="s">
        <v>40</v>
      </c>
      <c r="D3129" t="s">
        <v>41</v>
      </c>
      <c r="E3129" t="s">
        <v>42</v>
      </c>
      <c r="F3129" t="s">
        <v>43</v>
      </c>
      <c r="G3129" t="s">
        <v>44</v>
      </c>
      <c r="H3129" t="s">
        <v>90</v>
      </c>
      <c r="I3129" t="s">
        <v>28</v>
      </c>
      <c r="J3129" t="s">
        <v>62</v>
      </c>
      <c r="K3129">
        <v>2713</v>
      </c>
      <c r="L3129">
        <v>22</v>
      </c>
      <c r="M3129">
        <v>39.520000000000003</v>
      </c>
      <c r="N3129">
        <v>2</v>
      </c>
      <c r="O3129">
        <v>13.19</v>
      </c>
      <c r="P3129">
        <f t="shared" si="192"/>
        <v>8.1091043125691119E-3</v>
      </c>
      <c r="Q3129">
        <f t="shared" si="192"/>
        <v>1.7963636363636366</v>
      </c>
      <c r="R3129">
        <f t="shared" si="193"/>
        <v>19.760000000000002</v>
      </c>
      <c r="S3129">
        <f t="shared" si="194"/>
        <v>0.33375506072874489</v>
      </c>
      <c r="T3129">
        <f t="shared" si="195"/>
        <v>9.0909090909090912E-2</v>
      </c>
      <c r="U3129" t="str">
        <f>YEAR('Campaign Data'!$A3129)&amp;"-"&amp;TEXT(MONTH('Campaign Data'!$A3129),"00")</f>
        <v>2026-06</v>
      </c>
    </row>
    <row r="3130" spans="1:21" x14ac:dyDescent="0.25">
      <c r="A3130">
        <v>46193</v>
      </c>
      <c r="B3130" t="s">
        <v>105</v>
      </c>
      <c r="C3130" t="s">
        <v>106</v>
      </c>
      <c r="D3130" t="s">
        <v>58</v>
      </c>
      <c r="E3130" t="s">
        <v>49</v>
      </c>
      <c r="F3130" t="s">
        <v>81</v>
      </c>
      <c r="G3130" t="s">
        <v>107</v>
      </c>
      <c r="H3130" t="s">
        <v>27</v>
      </c>
      <c r="I3130" t="s">
        <v>28</v>
      </c>
      <c r="J3130" t="s">
        <v>62</v>
      </c>
      <c r="K3130">
        <v>14523</v>
      </c>
      <c r="L3130">
        <v>880</v>
      </c>
      <c r="M3130">
        <v>2405.0100000000002</v>
      </c>
      <c r="N3130">
        <v>78</v>
      </c>
      <c r="O3130">
        <v>2252.5100000000002</v>
      </c>
      <c r="P3130">
        <f t="shared" si="192"/>
        <v>6.0593541279349995E-2</v>
      </c>
      <c r="Q3130">
        <f t="shared" si="192"/>
        <v>2.7329659090909093</v>
      </c>
      <c r="R3130">
        <f t="shared" si="193"/>
        <v>30.833461538461542</v>
      </c>
      <c r="S3130">
        <f t="shared" si="194"/>
        <v>0.93659070024656865</v>
      </c>
      <c r="T3130">
        <f t="shared" si="195"/>
        <v>8.8636363636363638E-2</v>
      </c>
      <c r="U3130" t="str">
        <f>YEAR('Campaign Data'!$A3130)&amp;"-"&amp;TEXT(MONTH('Campaign Data'!$A3130),"00")</f>
        <v>2026-06</v>
      </c>
    </row>
    <row r="3131" spans="1:21" x14ac:dyDescent="0.25">
      <c r="A3131">
        <v>46193</v>
      </c>
      <c r="B3131" t="s">
        <v>108</v>
      </c>
      <c r="C3131" t="s">
        <v>109</v>
      </c>
      <c r="D3131" t="s">
        <v>58</v>
      </c>
      <c r="E3131" t="s">
        <v>33</v>
      </c>
      <c r="F3131" t="s">
        <v>43</v>
      </c>
      <c r="G3131" t="s">
        <v>59</v>
      </c>
      <c r="H3131" t="s">
        <v>71</v>
      </c>
      <c r="I3131" t="s">
        <v>28</v>
      </c>
      <c r="J3131" t="s">
        <v>45</v>
      </c>
      <c r="K3131">
        <v>1301</v>
      </c>
      <c r="L3131">
        <v>11</v>
      </c>
      <c r="M3131">
        <v>6.67</v>
      </c>
      <c r="N3131">
        <v>0</v>
      </c>
      <c r="O3131">
        <v>0</v>
      </c>
      <c r="P3131">
        <f t="shared" si="192"/>
        <v>8.4550345887778634E-3</v>
      </c>
      <c r="Q3131">
        <f t="shared" si="192"/>
        <v>0.60636363636363633</v>
      </c>
      <c r="R3131">
        <f t="shared" si="193"/>
        <v>0</v>
      </c>
      <c r="S3131">
        <f t="shared" si="194"/>
        <v>0</v>
      </c>
      <c r="T3131">
        <f t="shared" si="195"/>
        <v>0</v>
      </c>
      <c r="U3131" t="str">
        <f>YEAR('Campaign Data'!$A3131)&amp;"-"&amp;TEXT(MONTH('Campaign Data'!$A3131),"00")</f>
        <v>2026-06</v>
      </c>
    </row>
    <row r="3132" spans="1:21" x14ac:dyDescent="0.25">
      <c r="A3132">
        <v>46193</v>
      </c>
      <c r="B3132" t="s">
        <v>130</v>
      </c>
      <c r="C3132" t="s">
        <v>131</v>
      </c>
      <c r="D3132" t="s">
        <v>48</v>
      </c>
      <c r="E3132" t="s">
        <v>33</v>
      </c>
      <c r="F3132" t="s">
        <v>34</v>
      </c>
      <c r="G3132" t="s">
        <v>35</v>
      </c>
      <c r="H3132" t="s">
        <v>55</v>
      </c>
      <c r="I3132" t="s">
        <v>61</v>
      </c>
      <c r="J3132" t="s">
        <v>62</v>
      </c>
      <c r="K3132">
        <v>3632</v>
      </c>
      <c r="L3132">
        <v>32</v>
      </c>
      <c r="M3132">
        <v>13</v>
      </c>
      <c r="N3132">
        <v>3</v>
      </c>
      <c r="O3132">
        <v>537.41</v>
      </c>
      <c r="P3132">
        <f t="shared" si="192"/>
        <v>8.8105726872246704E-3</v>
      </c>
      <c r="Q3132">
        <f t="shared" si="192"/>
        <v>0.40625</v>
      </c>
      <c r="R3132">
        <f t="shared" si="193"/>
        <v>4.333333333333333</v>
      </c>
      <c r="S3132">
        <f t="shared" si="194"/>
        <v>41.339230769230767</v>
      </c>
      <c r="T3132">
        <f t="shared" si="195"/>
        <v>9.375E-2</v>
      </c>
      <c r="U3132" t="str">
        <f>YEAR('Campaign Data'!$A3132)&amp;"-"&amp;TEXT(MONTH('Campaign Data'!$A3132),"00")</f>
        <v>2026-06</v>
      </c>
    </row>
    <row r="3133" spans="1:21" x14ac:dyDescent="0.25">
      <c r="A3133">
        <v>46193</v>
      </c>
      <c r="B3133" t="s">
        <v>130</v>
      </c>
      <c r="C3133" t="s">
        <v>131</v>
      </c>
      <c r="D3133" t="s">
        <v>48</v>
      </c>
      <c r="E3133" t="s">
        <v>33</v>
      </c>
      <c r="F3133" t="s">
        <v>34</v>
      </c>
      <c r="G3133" t="s">
        <v>35</v>
      </c>
      <c r="H3133" t="s">
        <v>90</v>
      </c>
      <c r="I3133" t="s">
        <v>37</v>
      </c>
      <c r="J3133" t="s">
        <v>62</v>
      </c>
      <c r="K3133">
        <v>20549</v>
      </c>
      <c r="L3133">
        <v>149</v>
      </c>
      <c r="M3133">
        <v>29.05</v>
      </c>
      <c r="N3133">
        <v>5</v>
      </c>
      <c r="O3133">
        <v>130.05000000000001</v>
      </c>
      <c r="P3133">
        <f t="shared" si="192"/>
        <v>7.2509611173293105E-3</v>
      </c>
      <c r="Q3133">
        <f t="shared" si="192"/>
        <v>0.19496644295302015</v>
      </c>
      <c r="R3133">
        <f t="shared" si="193"/>
        <v>5.8100000000000005</v>
      </c>
      <c r="S3133">
        <f t="shared" si="194"/>
        <v>4.4767641996557659</v>
      </c>
      <c r="T3133">
        <f t="shared" si="195"/>
        <v>3.3557046979865772E-2</v>
      </c>
      <c r="U3133" t="str">
        <f>YEAR('Campaign Data'!$A3133)&amp;"-"&amp;TEXT(MONTH('Campaign Data'!$A3133),"00")</f>
        <v>2026-06</v>
      </c>
    </row>
    <row r="3134" spans="1:21" x14ac:dyDescent="0.25">
      <c r="A3134">
        <v>46193</v>
      </c>
      <c r="B3134" t="s">
        <v>132</v>
      </c>
      <c r="C3134" t="s">
        <v>133</v>
      </c>
      <c r="D3134" t="s">
        <v>23</v>
      </c>
      <c r="E3134" t="s">
        <v>42</v>
      </c>
      <c r="F3134" t="s">
        <v>75</v>
      </c>
      <c r="G3134" t="s">
        <v>84</v>
      </c>
      <c r="H3134" t="s">
        <v>60</v>
      </c>
      <c r="I3134" t="s">
        <v>28</v>
      </c>
      <c r="J3134" t="s">
        <v>38</v>
      </c>
      <c r="K3134">
        <v>18466</v>
      </c>
      <c r="L3134">
        <v>108</v>
      </c>
      <c r="M3134">
        <v>335.61</v>
      </c>
      <c r="N3134">
        <v>1</v>
      </c>
      <c r="O3134">
        <v>25.1</v>
      </c>
      <c r="P3134">
        <f t="shared" si="192"/>
        <v>5.8485865915737035E-3</v>
      </c>
      <c r="Q3134">
        <f t="shared" si="192"/>
        <v>3.1074999999999999</v>
      </c>
      <c r="R3134">
        <f t="shared" si="193"/>
        <v>335.61</v>
      </c>
      <c r="S3134">
        <f t="shared" si="194"/>
        <v>7.4789189833437617E-2</v>
      </c>
      <c r="T3134">
        <f t="shared" si="195"/>
        <v>9.2592592592592587E-3</v>
      </c>
      <c r="U3134" t="str">
        <f>YEAR('Campaign Data'!$A3134)&amp;"-"&amp;TEXT(MONTH('Campaign Data'!$A3134),"00")</f>
        <v>2026-06</v>
      </c>
    </row>
    <row r="3135" spans="1:21" x14ac:dyDescent="0.25">
      <c r="A3135">
        <v>46193</v>
      </c>
      <c r="B3135" t="s">
        <v>132</v>
      </c>
      <c r="C3135" t="s">
        <v>133</v>
      </c>
      <c r="D3135" t="s">
        <v>23</v>
      </c>
      <c r="E3135" t="s">
        <v>42</v>
      </c>
      <c r="F3135" t="s">
        <v>75</v>
      </c>
      <c r="G3135" t="s">
        <v>84</v>
      </c>
      <c r="H3135" t="s">
        <v>90</v>
      </c>
      <c r="I3135" t="s">
        <v>37</v>
      </c>
      <c r="J3135" t="s">
        <v>38</v>
      </c>
      <c r="K3135">
        <v>3487</v>
      </c>
      <c r="L3135">
        <v>26</v>
      </c>
      <c r="M3135">
        <v>50.84</v>
      </c>
      <c r="N3135">
        <v>1</v>
      </c>
      <c r="O3135">
        <v>10.130000000000001</v>
      </c>
      <c r="P3135">
        <f t="shared" si="192"/>
        <v>7.4562661313449961E-3</v>
      </c>
      <c r="Q3135">
        <f t="shared" si="192"/>
        <v>1.9553846153846155</v>
      </c>
      <c r="R3135">
        <f t="shared" si="193"/>
        <v>50.84</v>
      </c>
      <c r="S3135">
        <f t="shared" si="194"/>
        <v>0.19925255704169945</v>
      </c>
      <c r="T3135">
        <f t="shared" si="195"/>
        <v>3.8461538461538464E-2</v>
      </c>
      <c r="U3135" t="str">
        <f>YEAR('Campaign Data'!$A3135)&amp;"-"&amp;TEXT(MONTH('Campaign Data'!$A3135),"00")</f>
        <v>2026-06</v>
      </c>
    </row>
    <row r="3136" spans="1:21" x14ac:dyDescent="0.25">
      <c r="A3136">
        <v>46193</v>
      </c>
      <c r="B3136" t="s">
        <v>177</v>
      </c>
      <c r="C3136" t="s">
        <v>178</v>
      </c>
      <c r="D3136" t="s">
        <v>41</v>
      </c>
      <c r="E3136" t="s">
        <v>49</v>
      </c>
      <c r="F3136" t="s">
        <v>34</v>
      </c>
      <c r="G3136" t="s">
        <v>107</v>
      </c>
      <c r="H3136" t="s">
        <v>36</v>
      </c>
      <c r="I3136" t="s">
        <v>28</v>
      </c>
      <c r="J3136" t="s">
        <v>29</v>
      </c>
      <c r="K3136">
        <v>4123</v>
      </c>
      <c r="L3136">
        <v>189</v>
      </c>
      <c r="M3136">
        <v>356.88</v>
      </c>
      <c r="N3136">
        <v>5</v>
      </c>
      <c r="O3136">
        <v>566.29999999999995</v>
      </c>
      <c r="P3136">
        <f t="shared" si="192"/>
        <v>4.5840407470288627E-2</v>
      </c>
      <c r="Q3136">
        <f t="shared" si="192"/>
        <v>1.8882539682539683</v>
      </c>
      <c r="R3136">
        <f t="shared" si="193"/>
        <v>71.376000000000005</v>
      </c>
      <c r="S3136">
        <f t="shared" si="194"/>
        <v>1.5868078906074869</v>
      </c>
      <c r="T3136">
        <f t="shared" si="195"/>
        <v>2.6455026455026454E-2</v>
      </c>
      <c r="U3136" t="str">
        <f>YEAR('Campaign Data'!$A3136)&amp;"-"&amp;TEXT(MONTH('Campaign Data'!$A3136),"00")</f>
        <v>2026-06</v>
      </c>
    </row>
    <row r="3137" spans="1:21" x14ac:dyDescent="0.25">
      <c r="A3137">
        <v>46193</v>
      </c>
      <c r="B3137" t="s">
        <v>171</v>
      </c>
      <c r="C3137" t="s">
        <v>172</v>
      </c>
      <c r="D3137" t="s">
        <v>23</v>
      </c>
      <c r="E3137" t="s">
        <v>33</v>
      </c>
      <c r="F3137" t="s">
        <v>75</v>
      </c>
      <c r="G3137" t="s">
        <v>59</v>
      </c>
      <c r="H3137" t="s">
        <v>27</v>
      </c>
      <c r="I3137" t="s">
        <v>37</v>
      </c>
      <c r="J3137" t="s">
        <v>62</v>
      </c>
      <c r="K3137">
        <v>4620</v>
      </c>
      <c r="L3137">
        <v>48</v>
      </c>
      <c r="M3137">
        <v>29.3</v>
      </c>
      <c r="N3137">
        <v>0</v>
      </c>
      <c r="O3137">
        <v>0</v>
      </c>
      <c r="P3137">
        <f t="shared" si="192"/>
        <v>1.038961038961039E-2</v>
      </c>
      <c r="Q3137">
        <f t="shared" si="192"/>
        <v>0.61041666666666672</v>
      </c>
      <c r="R3137">
        <f t="shared" si="193"/>
        <v>0</v>
      </c>
      <c r="S3137">
        <f t="shared" si="194"/>
        <v>0</v>
      </c>
      <c r="T3137">
        <f t="shared" si="195"/>
        <v>0</v>
      </c>
      <c r="U3137" t="str">
        <f>YEAR('Campaign Data'!$A3137)&amp;"-"&amp;TEXT(MONTH('Campaign Data'!$A3137),"00")</f>
        <v>2026-06</v>
      </c>
    </row>
    <row r="3138" spans="1:21" x14ac:dyDescent="0.25">
      <c r="A3138">
        <v>46193</v>
      </c>
      <c r="B3138" t="s">
        <v>112</v>
      </c>
      <c r="C3138" t="s">
        <v>113</v>
      </c>
      <c r="D3138" t="s">
        <v>32</v>
      </c>
      <c r="E3138" t="s">
        <v>24</v>
      </c>
      <c r="F3138" t="s">
        <v>75</v>
      </c>
      <c r="G3138" t="s">
        <v>66</v>
      </c>
      <c r="H3138" t="s">
        <v>60</v>
      </c>
      <c r="I3138" t="s">
        <v>37</v>
      </c>
      <c r="J3138" t="s">
        <v>62</v>
      </c>
      <c r="K3138">
        <v>5352</v>
      </c>
      <c r="L3138">
        <v>63</v>
      </c>
      <c r="M3138">
        <v>39.19</v>
      </c>
      <c r="N3138">
        <v>4</v>
      </c>
      <c r="O3138">
        <v>86.34</v>
      </c>
      <c r="P3138">
        <f t="shared" ref="P3138:Q3201" si="196">IF(K3138=0,0,L3138/K3138)</f>
        <v>1.1771300448430493E-2</v>
      </c>
      <c r="Q3138">
        <f t="shared" si="196"/>
        <v>0.62206349206349199</v>
      </c>
      <c r="R3138">
        <f t="shared" ref="R3138:R3201" si="197">IF(N3138=0,0,M3138/N3138)</f>
        <v>9.7974999999999994</v>
      </c>
      <c r="S3138">
        <f t="shared" ref="S3138:S3201" si="198">IF(M3138=0,0,O3138/M3138)</f>
        <v>2.2031130390405718</v>
      </c>
      <c r="T3138">
        <f t="shared" ref="T3138:T3201" si="199">IF(L3138=0,0,N3138/L3138)</f>
        <v>6.3492063492063489E-2</v>
      </c>
      <c r="U3138" t="str">
        <f>YEAR('Campaign Data'!$A3138)&amp;"-"&amp;TEXT(MONTH('Campaign Data'!$A3138),"00")</f>
        <v>2026-06</v>
      </c>
    </row>
    <row r="3139" spans="1:21" x14ac:dyDescent="0.25">
      <c r="A3139">
        <v>46193</v>
      </c>
      <c r="B3139" t="s">
        <v>181</v>
      </c>
      <c r="C3139" t="s">
        <v>182</v>
      </c>
      <c r="D3139" t="s">
        <v>32</v>
      </c>
      <c r="E3139" t="s">
        <v>33</v>
      </c>
      <c r="F3139" t="s">
        <v>75</v>
      </c>
      <c r="G3139" t="s">
        <v>59</v>
      </c>
      <c r="H3139" t="s">
        <v>27</v>
      </c>
      <c r="I3139" t="s">
        <v>61</v>
      </c>
      <c r="J3139" t="s">
        <v>38</v>
      </c>
      <c r="K3139">
        <v>4611</v>
      </c>
      <c r="L3139">
        <v>58</v>
      </c>
      <c r="M3139">
        <v>30.78</v>
      </c>
      <c r="N3139">
        <v>0</v>
      </c>
      <c r="O3139">
        <v>0</v>
      </c>
      <c r="P3139">
        <f t="shared" si="196"/>
        <v>1.2578616352201259E-2</v>
      </c>
      <c r="Q3139">
        <f t="shared" si="196"/>
        <v>0.53068965517241384</v>
      </c>
      <c r="R3139">
        <f t="shared" si="197"/>
        <v>0</v>
      </c>
      <c r="S3139">
        <f t="shared" si="198"/>
        <v>0</v>
      </c>
      <c r="T3139">
        <f t="shared" si="199"/>
        <v>0</v>
      </c>
      <c r="U3139" t="str">
        <f>YEAR('Campaign Data'!$A3139)&amp;"-"&amp;TEXT(MONTH('Campaign Data'!$A3139),"00")</f>
        <v>2026-06</v>
      </c>
    </row>
    <row r="3140" spans="1:21" x14ac:dyDescent="0.25">
      <c r="A3140">
        <v>46193</v>
      </c>
      <c r="B3140" t="s">
        <v>181</v>
      </c>
      <c r="C3140" t="s">
        <v>182</v>
      </c>
      <c r="D3140" t="s">
        <v>32</v>
      </c>
      <c r="E3140" t="s">
        <v>33</v>
      </c>
      <c r="F3140" t="s">
        <v>75</v>
      </c>
      <c r="G3140" t="s">
        <v>59</v>
      </c>
      <c r="H3140" t="s">
        <v>60</v>
      </c>
      <c r="I3140" t="s">
        <v>28</v>
      </c>
      <c r="J3140" t="s">
        <v>29</v>
      </c>
      <c r="K3140">
        <v>2132</v>
      </c>
      <c r="L3140">
        <v>14</v>
      </c>
      <c r="M3140">
        <v>11.57</v>
      </c>
      <c r="N3140">
        <v>0</v>
      </c>
      <c r="O3140">
        <v>0</v>
      </c>
      <c r="P3140">
        <f t="shared" si="196"/>
        <v>6.5666041275797378E-3</v>
      </c>
      <c r="Q3140">
        <f t="shared" si="196"/>
        <v>0.8264285714285714</v>
      </c>
      <c r="R3140">
        <f t="shared" si="197"/>
        <v>0</v>
      </c>
      <c r="S3140">
        <f t="shared" si="198"/>
        <v>0</v>
      </c>
      <c r="T3140">
        <f t="shared" si="199"/>
        <v>0</v>
      </c>
      <c r="U3140" t="str">
        <f>YEAR('Campaign Data'!$A3140)&amp;"-"&amp;TEXT(MONTH('Campaign Data'!$A3140),"00")</f>
        <v>2026-06</v>
      </c>
    </row>
    <row r="3141" spans="1:21" x14ac:dyDescent="0.25">
      <c r="A3141">
        <v>46193</v>
      </c>
      <c r="B3141" t="s">
        <v>181</v>
      </c>
      <c r="C3141" t="s">
        <v>182</v>
      </c>
      <c r="D3141" t="s">
        <v>32</v>
      </c>
      <c r="E3141" t="s">
        <v>33</v>
      </c>
      <c r="F3141" t="s">
        <v>75</v>
      </c>
      <c r="G3141" t="s">
        <v>59</v>
      </c>
      <c r="H3141" t="s">
        <v>55</v>
      </c>
      <c r="I3141" t="s">
        <v>37</v>
      </c>
      <c r="J3141" t="s">
        <v>38</v>
      </c>
      <c r="K3141">
        <v>7053</v>
      </c>
      <c r="L3141">
        <v>47</v>
      </c>
      <c r="M3141">
        <v>22.96</v>
      </c>
      <c r="N3141">
        <v>0</v>
      </c>
      <c r="O3141">
        <v>0</v>
      </c>
      <c r="P3141">
        <f t="shared" si="196"/>
        <v>6.6638309939033033E-3</v>
      </c>
      <c r="Q3141">
        <f t="shared" si="196"/>
        <v>0.48851063829787233</v>
      </c>
      <c r="R3141">
        <f t="shared" si="197"/>
        <v>0</v>
      </c>
      <c r="S3141">
        <f t="shared" si="198"/>
        <v>0</v>
      </c>
      <c r="T3141">
        <f t="shared" si="199"/>
        <v>0</v>
      </c>
      <c r="U3141" t="str">
        <f>YEAR('Campaign Data'!$A3141)&amp;"-"&amp;TEXT(MONTH('Campaign Data'!$A3141),"00")</f>
        <v>2026-06</v>
      </c>
    </row>
    <row r="3142" spans="1:21" x14ac:dyDescent="0.25">
      <c r="A3142">
        <v>46193</v>
      </c>
      <c r="B3142" t="s">
        <v>161</v>
      </c>
      <c r="C3142" t="s">
        <v>162</v>
      </c>
      <c r="D3142" t="s">
        <v>48</v>
      </c>
      <c r="E3142" t="s">
        <v>74</v>
      </c>
      <c r="F3142" t="s">
        <v>34</v>
      </c>
      <c r="G3142" t="s">
        <v>107</v>
      </c>
      <c r="H3142" t="s">
        <v>36</v>
      </c>
      <c r="I3142" t="s">
        <v>37</v>
      </c>
      <c r="J3142" t="s">
        <v>62</v>
      </c>
      <c r="K3142">
        <v>4900</v>
      </c>
      <c r="L3142">
        <v>207</v>
      </c>
      <c r="M3142">
        <v>280.88</v>
      </c>
      <c r="N3142">
        <v>8</v>
      </c>
      <c r="O3142">
        <v>1165.93</v>
      </c>
      <c r="P3142">
        <f t="shared" si="196"/>
        <v>4.2244897959183673E-2</v>
      </c>
      <c r="Q3142">
        <f t="shared" si="196"/>
        <v>1.3569082125603864</v>
      </c>
      <c r="R3142">
        <f t="shared" si="197"/>
        <v>35.11</v>
      </c>
      <c r="S3142">
        <f t="shared" si="198"/>
        <v>4.150989746510966</v>
      </c>
      <c r="T3142">
        <f t="shared" si="199"/>
        <v>3.864734299516908E-2</v>
      </c>
      <c r="U3142" t="str">
        <f>YEAR('Campaign Data'!$A3142)&amp;"-"&amp;TEXT(MONTH('Campaign Data'!$A3142),"00")</f>
        <v>2026-06</v>
      </c>
    </row>
    <row r="3143" spans="1:21" x14ac:dyDescent="0.25">
      <c r="A3143">
        <v>46193</v>
      </c>
      <c r="B3143" t="s">
        <v>143</v>
      </c>
      <c r="C3143" t="s">
        <v>144</v>
      </c>
      <c r="D3143" t="s">
        <v>48</v>
      </c>
      <c r="E3143" t="s">
        <v>42</v>
      </c>
      <c r="F3143" t="s">
        <v>25</v>
      </c>
      <c r="G3143" t="s">
        <v>84</v>
      </c>
      <c r="H3143" t="s">
        <v>27</v>
      </c>
      <c r="I3143" t="s">
        <v>28</v>
      </c>
      <c r="J3143" t="s">
        <v>87</v>
      </c>
      <c r="K3143">
        <v>7551</v>
      </c>
      <c r="L3143">
        <v>42</v>
      </c>
      <c r="M3143">
        <v>271.18</v>
      </c>
      <c r="N3143">
        <v>1</v>
      </c>
      <c r="O3143">
        <v>202.69</v>
      </c>
      <c r="P3143">
        <f t="shared" si="196"/>
        <v>5.5621771950735005E-3</v>
      </c>
      <c r="Q3143">
        <f t="shared" si="196"/>
        <v>6.456666666666667</v>
      </c>
      <c r="R3143">
        <f t="shared" si="197"/>
        <v>271.18</v>
      </c>
      <c r="S3143">
        <f t="shared" si="198"/>
        <v>0.74743712663175743</v>
      </c>
      <c r="T3143">
        <f t="shared" si="199"/>
        <v>2.3809523809523808E-2</v>
      </c>
      <c r="U3143" t="str">
        <f>YEAR('Campaign Data'!$A3143)&amp;"-"&amp;TEXT(MONTH('Campaign Data'!$A3143),"00")</f>
        <v>2026-06</v>
      </c>
    </row>
    <row r="3144" spans="1:21" x14ac:dyDescent="0.25">
      <c r="A3144">
        <v>46194</v>
      </c>
      <c r="B3144" t="s">
        <v>165</v>
      </c>
      <c r="C3144" t="s">
        <v>166</v>
      </c>
      <c r="D3144" t="s">
        <v>41</v>
      </c>
      <c r="E3144" t="s">
        <v>33</v>
      </c>
      <c r="F3144" t="s">
        <v>43</v>
      </c>
      <c r="G3144" t="s">
        <v>59</v>
      </c>
      <c r="H3144" t="s">
        <v>36</v>
      </c>
      <c r="I3144" t="s">
        <v>37</v>
      </c>
      <c r="J3144" t="s">
        <v>38</v>
      </c>
      <c r="K3144">
        <v>10908</v>
      </c>
      <c r="L3144">
        <v>120</v>
      </c>
      <c r="M3144">
        <v>88.7</v>
      </c>
      <c r="N3144">
        <v>1</v>
      </c>
      <c r="O3144">
        <v>20.48</v>
      </c>
      <c r="P3144">
        <f t="shared" si="196"/>
        <v>1.1001100110011002E-2</v>
      </c>
      <c r="Q3144">
        <f t="shared" si="196"/>
        <v>0.73916666666666664</v>
      </c>
      <c r="R3144">
        <f t="shared" si="197"/>
        <v>88.7</v>
      </c>
      <c r="S3144">
        <f t="shared" si="198"/>
        <v>0.23089064261555806</v>
      </c>
      <c r="T3144">
        <f t="shared" si="199"/>
        <v>8.3333333333333332E-3</v>
      </c>
      <c r="U3144" t="str">
        <f>YEAR('Campaign Data'!$A3144)&amp;"-"&amp;TEXT(MONTH('Campaign Data'!$A3144),"00")</f>
        <v>2026-06</v>
      </c>
    </row>
    <row r="3145" spans="1:21" x14ac:dyDescent="0.25">
      <c r="A3145">
        <v>46194</v>
      </c>
      <c r="B3145" t="s">
        <v>91</v>
      </c>
      <c r="C3145" t="s">
        <v>92</v>
      </c>
      <c r="D3145" t="s">
        <v>41</v>
      </c>
      <c r="E3145" t="s">
        <v>74</v>
      </c>
      <c r="F3145" t="s">
        <v>75</v>
      </c>
      <c r="G3145" t="s">
        <v>9</v>
      </c>
      <c r="H3145" t="s">
        <v>27</v>
      </c>
      <c r="I3145" t="s">
        <v>37</v>
      </c>
      <c r="J3145" t="s">
        <v>38</v>
      </c>
      <c r="K3145">
        <v>3137</v>
      </c>
      <c r="L3145">
        <v>63</v>
      </c>
      <c r="M3145">
        <v>108.91</v>
      </c>
      <c r="N3145">
        <v>0</v>
      </c>
      <c r="O3145">
        <v>0</v>
      </c>
      <c r="P3145">
        <f t="shared" si="196"/>
        <v>2.0082881734140898E-2</v>
      </c>
      <c r="Q3145">
        <f t="shared" si="196"/>
        <v>1.7287301587301587</v>
      </c>
      <c r="R3145">
        <f t="shared" si="197"/>
        <v>0</v>
      </c>
      <c r="S3145">
        <f t="shared" si="198"/>
        <v>0</v>
      </c>
      <c r="T3145">
        <f t="shared" si="199"/>
        <v>0</v>
      </c>
      <c r="U3145" t="str">
        <f>YEAR('Campaign Data'!$A3145)&amp;"-"&amp;TEXT(MONTH('Campaign Data'!$A3145),"00")</f>
        <v>2026-06</v>
      </c>
    </row>
    <row r="3146" spans="1:21" x14ac:dyDescent="0.25">
      <c r="A3146">
        <v>46194</v>
      </c>
      <c r="B3146" t="s">
        <v>186</v>
      </c>
      <c r="C3146" t="s">
        <v>187</v>
      </c>
      <c r="D3146" t="s">
        <v>80</v>
      </c>
      <c r="E3146" t="s">
        <v>33</v>
      </c>
      <c r="F3146" t="s">
        <v>43</v>
      </c>
      <c r="G3146" t="s">
        <v>102</v>
      </c>
      <c r="H3146" t="s">
        <v>55</v>
      </c>
      <c r="I3146" t="s">
        <v>28</v>
      </c>
      <c r="J3146" t="s">
        <v>45</v>
      </c>
      <c r="K3146">
        <v>1709</v>
      </c>
      <c r="L3146">
        <v>8</v>
      </c>
      <c r="M3146">
        <v>2.58</v>
      </c>
      <c r="N3146">
        <v>0</v>
      </c>
      <c r="O3146">
        <v>0</v>
      </c>
      <c r="P3146">
        <f t="shared" si="196"/>
        <v>4.6811000585137508E-3</v>
      </c>
      <c r="Q3146">
        <f t="shared" si="196"/>
        <v>0.32250000000000001</v>
      </c>
      <c r="R3146">
        <f t="shared" si="197"/>
        <v>0</v>
      </c>
      <c r="S3146">
        <f t="shared" si="198"/>
        <v>0</v>
      </c>
      <c r="T3146">
        <f t="shared" si="199"/>
        <v>0</v>
      </c>
      <c r="U3146" t="str">
        <f>YEAR('Campaign Data'!$A3146)&amp;"-"&amp;TEXT(MONTH('Campaign Data'!$A3146),"00")</f>
        <v>2026-06</v>
      </c>
    </row>
    <row r="3147" spans="1:21" x14ac:dyDescent="0.25">
      <c r="A3147">
        <v>46194</v>
      </c>
      <c r="B3147" t="s">
        <v>30</v>
      </c>
      <c r="C3147" t="s">
        <v>31</v>
      </c>
      <c r="D3147" t="s">
        <v>32</v>
      </c>
      <c r="E3147" t="s">
        <v>33</v>
      </c>
      <c r="F3147" t="s">
        <v>34</v>
      </c>
      <c r="G3147" t="s">
        <v>35</v>
      </c>
      <c r="H3147" t="s">
        <v>36</v>
      </c>
      <c r="I3147" t="s">
        <v>61</v>
      </c>
      <c r="J3147" t="s">
        <v>38</v>
      </c>
      <c r="K3147">
        <v>7486</v>
      </c>
      <c r="L3147">
        <v>54</v>
      </c>
      <c r="M3147">
        <v>22.31</v>
      </c>
      <c r="N3147">
        <v>0</v>
      </c>
      <c r="O3147">
        <v>0</v>
      </c>
      <c r="P3147">
        <f t="shared" si="196"/>
        <v>7.2134651349185144E-3</v>
      </c>
      <c r="Q3147">
        <f t="shared" si="196"/>
        <v>0.4131481481481481</v>
      </c>
      <c r="R3147">
        <f t="shared" si="197"/>
        <v>0</v>
      </c>
      <c r="S3147">
        <f t="shared" si="198"/>
        <v>0</v>
      </c>
      <c r="T3147">
        <f t="shared" si="199"/>
        <v>0</v>
      </c>
      <c r="U3147" t="str">
        <f>YEAR('Campaign Data'!$A3147)&amp;"-"&amp;TEXT(MONTH('Campaign Data'!$A3147),"00")</f>
        <v>2026-06</v>
      </c>
    </row>
    <row r="3148" spans="1:21" x14ac:dyDescent="0.25">
      <c r="A3148">
        <v>46194</v>
      </c>
      <c r="B3148" t="s">
        <v>98</v>
      </c>
      <c r="C3148" t="s">
        <v>99</v>
      </c>
      <c r="D3148" t="s">
        <v>69</v>
      </c>
      <c r="E3148" t="s">
        <v>24</v>
      </c>
      <c r="F3148" t="s">
        <v>75</v>
      </c>
      <c r="G3148" t="s">
        <v>66</v>
      </c>
      <c r="H3148" t="s">
        <v>90</v>
      </c>
      <c r="I3148" t="s">
        <v>37</v>
      </c>
      <c r="J3148" t="s">
        <v>62</v>
      </c>
      <c r="K3148">
        <v>3614</v>
      </c>
      <c r="L3148">
        <v>63</v>
      </c>
      <c r="M3148">
        <v>20.04</v>
      </c>
      <c r="N3148">
        <v>4</v>
      </c>
      <c r="O3148">
        <v>20.93</v>
      </c>
      <c r="P3148">
        <f t="shared" si="196"/>
        <v>1.7432208079690092E-2</v>
      </c>
      <c r="Q3148">
        <f t="shared" si="196"/>
        <v>0.3180952380952381</v>
      </c>
      <c r="R3148">
        <f t="shared" si="197"/>
        <v>5.01</v>
      </c>
      <c r="S3148">
        <f t="shared" si="198"/>
        <v>1.0444111776447107</v>
      </c>
      <c r="T3148">
        <f t="shared" si="199"/>
        <v>6.3492063492063489E-2</v>
      </c>
      <c r="U3148" t="str">
        <f>YEAR('Campaign Data'!$A3148)&amp;"-"&amp;TEXT(MONTH('Campaign Data'!$A3148),"00")</f>
        <v>2026-06</v>
      </c>
    </row>
    <row r="3149" spans="1:21" x14ac:dyDescent="0.25">
      <c r="A3149">
        <v>46194</v>
      </c>
      <c r="B3149" t="s">
        <v>127</v>
      </c>
      <c r="C3149" t="s">
        <v>128</v>
      </c>
      <c r="D3149" t="s">
        <v>58</v>
      </c>
      <c r="E3149" t="s">
        <v>24</v>
      </c>
      <c r="F3149" t="s">
        <v>81</v>
      </c>
      <c r="G3149" t="s">
        <v>129</v>
      </c>
      <c r="H3149" t="s">
        <v>27</v>
      </c>
      <c r="I3149" t="s">
        <v>28</v>
      </c>
      <c r="J3149" t="s">
        <v>29</v>
      </c>
      <c r="K3149">
        <v>4362</v>
      </c>
      <c r="L3149">
        <v>28</v>
      </c>
      <c r="M3149">
        <v>27.05</v>
      </c>
      <c r="N3149">
        <v>2</v>
      </c>
      <c r="O3149">
        <v>31.22</v>
      </c>
      <c r="P3149">
        <f t="shared" si="196"/>
        <v>6.4190738193489229E-3</v>
      </c>
      <c r="Q3149">
        <f t="shared" si="196"/>
        <v>0.96607142857142858</v>
      </c>
      <c r="R3149">
        <f t="shared" si="197"/>
        <v>13.525</v>
      </c>
      <c r="S3149">
        <f t="shared" si="198"/>
        <v>1.154158964879852</v>
      </c>
      <c r="T3149">
        <f t="shared" si="199"/>
        <v>7.1428571428571425E-2</v>
      </c>
      <c r="U3149" t="str">
        <f>YEAR('Campaign Data'!$A3149)&amp;"-"&amp;TEXT(MONTH('Campaign Data'!$A3149),"00")</f>
        <v>2026-06</v>
      </c>
    </row>
    <row r="3150" spans="1:21" x14ac:dyDescent="0.25">
      <c r="A3150">
        <v>46194</v>
      </c>
      <c r="B3150" t="s">
        <v>108</v>
      </c>
      <c r="C3150" t="s">
        <v>109</v>
      </c>
      <c r="D3150" t="s">
        <v>58</v>
      </c>
      <c r="E3150" t="s">
        <v>33</v>
      </c>
      <c r="F3150" t="s">
        <v>43</v>
      </c>
      <c r="G3150" t="s">
        <v>59</v>
      </c>
      <c r="H3150" t="s">
        <v>27</v>
      </c>
      <c r="I3150" t="s">
        <v>37</v>
      </c>
      <c r="J3150" t="s">
        <v>38</v>
      </c>
      <c r="K3150">
        <v>6318</v>
      </c>
      <c r="L3150">
        <v>67</v>
      </c>
      <c r="M3150">
        <v>37.69</v>
      </c>
      <c r="N3150">
        <v>0</v>
      </c>
      <c r="O3150">
        <v>0</v>
      </c>
      <c r="P3150">
        <f t="shared" si="196"/>
        <v>1.0604621715732827E-2</v>
      </c>
      <c r="Q3150">
        <f t="shared" si="196"/>
        <v>0.56253731343283575</v>
      </c>
      <c r="R3150">
        <f t="shared" si="197"/>
        <v>0</v>
      </c>
      <c r="S3150">
        <f t="shared" si="198"/>
        <v>0</v>
      </c>
      <c r="T3150">
        <f t="shared" si="199"/>
        <v>0</v>
      </c>
      <c r="U3150" t="str">
        <f>YEAR('Campaign Data'!$A3150)&amp;"-"&amp;TEXT(MONTH('Campaign Data'!$A3150),"00")</f>
        <v>2026-06</v>
      </c>
    </row>
    <row r="3151" spans="1:21" x14ac:dyDescent="0.25">
      <c r="A3151">
        <v>46194</v>
      </c>
      <c r="B3151" t="s">
        <v>108</v>
      </c>
      <c r="C3151" t="s">
        <v>109</v>
      </c>
      <c r="D3151" t="s">
        <v>58</v>
      </c>
      <c r="E3151" t="s">
        <v>33</v>
      </c>
      <c r="F3151" t="s">
        <v>43</v>
      </c>
      <c r="G3151" t="s">
        <v>59</v>
      </c>
      <c r="H3151" t="s">
        <v>90</v>
      </c>
      <c r="I3151" t="s">
        <v>37</v>
      </c>
      <c r="J3151" t="s">
        <v>87</v>
      </c>
      <c r="K3151">
        <v>7501</v>
      </c>
      <c r="L3151">
        <v>80</v>
      </c>
      <c r="M3151">
        <v>12.76</v>
      </c>
      <c r="N3151">
        <v>0</v>
      </c>
      <c r="O3151">
        <v>0</v>
      </c>
      <c r="P3151">
        <f t="shared" si="196"/>
        <v>1.0665244634048793E-2</v>
      </c>
      <c r="Q3151">
        <f t="shared" si="196"/>
        <v>0.1595</v>
      </c>
      <c r="R3151">
        <f t="shared" si="197"/>
        <v>0</v>
      </c>
      <c r="S3151">
        <f t="shared" si="198"/>
        <v>0</v>
      </c>
      <c r="T3151">
        <f t="shared" si="199"/>
        <v>0</v>
      </c>
      <c r="U3151" t="str">
        <f>YEAR('Campaign Data'!$A3151)&amp;"-"&amp;TEXT(MONTH('Campaign Data'!$A3151),"00")</f>
        <v>2026-06</v>
      </c>
    </row>
    <row r="3152" spans="1:21" x14ac:dyDescent="0.25">
      <c r="A3152">
        <v>46194</v>
      </c>
      <c r="B3152" t="s">
        <v>108</v>
      </c>
      <c r="C3152" t="s">
        <v>109</v>
      </c>
      <c r="D3152" t="s">
        <v>58</v>
      </c>
      <c r="E3152" t="s">
        <v>33</v>
      </c>
      <c r="F3152" t="s">
        <v>43</v>
      </c>
      <c r="G3152" t="s">
        <v>59</v>
      </c>
      <c r="H3152" t="s">
        <v>55</v>
      </c>
      <c r="I3152" t="s">
        <v>61</v>
      </c>
      <c r="J3152" t="s">
        <v>38</v>
      </c>
      <c r="K3152">
        <v>3652</v>
      </c>
      <c r="L3152">
        <v>36</v>
      </c>
      <c r="M3152">
        <v>16.649999999999999</v>
      </c>
      <c r="N3152">
        <v>2</v>
      </c>
      <c r="O3152">
        <v>41.64</v>
      </c>
      <c r="P3152">
        <f t="shared" si="196"/>
        <v>9.8576122672508221E-3</v>
      </c>
      <c r="Q3152">
        <f t="shared" si="196"/>
        <v>0.46249999999999997</v>
      </c>
      <c r="R3152">
        <f t="shared" si="197"/>
        <v>8.3249999999999993</v>
      </c>
      <c r="S3152">
        <f t="shared" si="198"/>
        <v>2.5009009009009011</v>
      </c>
      <c r="T3152">
        <f t="shared" si="199"/>
        <v>5.5555555555555552E-2</v>
      </c>
      <c r="U3152" t="str">
        <f>YEAR('Campaign Data'!$A3152)&amp;"-"&amp;TEXT(MONTH('Campaign Data'!$A3152),"00")</f>
        <v>2026-06</v>
      </c>
    </row>
    <row r="3153" spans="1:21" x14ac:dyDescent="0.25">
      <c r="A3153">
        <v>46194</v>
      </c>
      <c r="B3153" t="s">
        <v>132</v>
      </c>
      <c r="C3153" t="s">
        <v>133</v>
      </c>
      <c r="D3153" t="s">
        <v>23</v>
      </c>
      <c r="E3153" t="s">
        <v>42</v>
      </c>
      <c r="F3153" t="s">
        <v>75</v>
      </c>
      <c r="G3153" t="s">
        <v>84</v>
      </c>
      <c r="H3153" t="s">
        <v>90</v>
      </c>
      <c r="I3153" t="s">
        <v>37</v>
      </c>
      <c r="J3153" t="s">
        <v>62</v>
      </c>
      <c r="K3153">
        <v>3569</v>
      </c>
      <c r="L3153">
        <v>46</v>
      </c>
      <c r="M3153">
        <v>79.14</v>
      </c>
      <c r="N3153">
        <v>3</v>
      </c>
      <c r="O3153">
        <v>23.39</v>
      </c>
      <c r="P3153">
        <f t="shared" si="196"/>
        <v>1.288876435976464E-2</v>
      </c>
      <c r="Q3153">
        <f t="shared" si="196"/>
        <v>1.7204347826086956</v>
      </c>
      <c r="R3153">
        <f t="shared" si="197"/>
        <v>26.38</v>
      </c>
      <c r="S3153">
        <f t="shared" si="198"/>
        <v>0.29555218599949457</v>
      </c>
      <c r="T3153">
        <f t="shared" si="199"/>
        <v>6.5217391304347824E-2</v>
      </c>
      <c r="U3153" t="str">
        <f>YEAR('Campaign Data'!$A3153)&amp;"-"&amp;TEXT(MONTH('Campaign Data'!$A3153),"00")</f>
        <v>2026-06</v>
      </c>
    </row>
    <row r="3154" spans="1:21" x14ac:dyDescent="0.25">
      <c r="A3154">
        <v>46194</v>
      </c>
      <c r="B3154" t="s">
        <v>161</v>
      </c>
      <c r="C3154" t="s">
        <v>162</v>
      </c>
      <c r="D3154" t="s">
        <v>48</v>
      </c>
      <c r="E3154" t="s">
        <v>74</v>
      </c>
      <c r="F3154" t="s">
        <v>34</v>
      </c>
      <c r="G3154" t="s">
        <v>107</v>
      </c>
      <c r="H3154" t="s">
        <v>90</v>
      </c>
      <c r="I3154" t="s">
        <v>37</v>
      </c>
      <c r="J3154" t="s">
        <v>29</v>
      </c>
      <c r="K3154">
        <v>3740</v>
      </c>
      <c r="L3154">
        <v>118</v>
      </c>
      <c r="M3154">
        <v>41.63</v>
      </c>
      <c r="N3154">
        <v>6</v>
      </c>
      <c r="O3154">
        <v>279.05</v>
      </c>
      <c r="P3154">
        <f t="shared" si="196"/>
        <v>3.155080213903743E-2</v>
      </c>
      <c r="Q3154">
        <f t="shared" si="196"/>
        <v>0.35279661016949154</v>
      </c>
      <c r="R3154">
        <f t="shared" si="197"/>
        <v>6.9383333333333335</v>
      </c>
      <c r="S3154">
        <f t="shared" si="198"/>
        <v>6.703098726879654</v>
      </c>
      <c r="T3154">
        <f t="shared" si="199"/>
        <v>5.0847457627118647E-2</v>
      </c>
      <c r="U3154" t="str">
        <f>YEAR('Campaign Data'!$A3154)&amp;"-"&amp;TEXT(MONTH('Campaign Data'!$A3154),"00")</f>
        <v>2026-06</v>
      </c>
    </row>
    <row r="3155" spans="1:21" x14ac:dyDescent="0.25">
      <c r="A3155">
        <v>46194</v>
      </c>
      <c r="B3155" t="s">
        <v>114</v>
      </c>
      <c r="C3155" t="s">
        <v>115</v>
      </c>
      <c r="D3155" t="s">
        <v>69</v>
      </c>
      <c r="E3155" t="s">
        <v>49</v>
      </c>
      <c r="F3155" t="s">
        <v>25</v>
      </c>
      <c r="G3155" t="s">
        <v>107</v>
      </c>
      <c r="H3155" t="s">
        <v>71</v>
      </c>
      <c r="I3155" t="s">
        <v>37</v>
      </c>
      <c r="J3155" t="s">
        <v>87</v>
      </c>
      <c r="K3155">
        <v>15230</v>
      </c>
      <c r="L3155">
        <v>639</v>
      </c>
      <c r="M3155">
        <v>1356.89</v>
      </c>
      <c r="N3155">
        <v>28</v>
      </c>
      <c r="O3155">
        <v>3282.87</v>
      </c>
      <c r="P3155">
        <f t="shared" si="196"/>
        <v>4.195666447800394E-2</v>
      </c>
      <c r="Q3155">
        <f t="shared" si="196"/>
        <v>2.1234585289514869</v>
      </c>
      <c r="R3155">
        <f t="shared" si="197"/>
        <v>48.460357142857148</v>
      </c>
      <c r="S3155">
        <f t="shared" si="198"/>
        <v>2.4194076159452864</v>
      </c>
      <c r="T3155">
        <f t="shared" si="199"/>
        <v>4.3818466353677622E-2</v>
      </c>
      <c r="U3155" t="str">
        <f>YEAR('Campaign Data'!$A3155)&amp;"-"&amp;TEXT(MONTH('Campaign Data'!$A3155),"00")</f>
        <v>2026-06</v>
      </c>
    </row>
    <row r="3156" spans="1:21" x14ac:dyDescent="0.25">
      <c r="A3156">
        <v>46194</v>
      </c>
      <c r="B3156" t="s">
        <v>67</v>
      </c>
      <c r="C3156" t="s">
        <v>68</v>
      </c>
      <c r="D3156" t="s">
        <v>69</v>
      </c>
      <c r="E3156" t="s">
        <v>49</v>
      </c>
      <c r="F3156" t="s">
        <v>34</v>
      </c>
      <c r="G3156" t="s">
        <v>70</v>
      </c>
      <c r="H3156" t="s">
        <v>90</v>
      </c>
      <c r="I3156" t="s">
        <v>37</v>
      </c>
      <c r="J3156" t="s">
        <v>87</v>
      </c>
      <c r="K3156">
        <v>8766</v>
      </c>
      <c r="L3156">
        <v>331</v>
      </c>
      <c r="M3156">
        <v>123.03</v>
      </c>
      <c r="N3156">
        <v>9</v>
      </c>
      <c r="O3156">
        <v>233.34</v>
      </c>
      <c r="P3156">
        <f t="shared" si="196"/>
        <v>3.7759525439196896E-2</v>
      </c>
      <c r="Q3156">
        <f t="shared" si="196"/>
        <v>0.37169184290030211</v>
      </c>
      <c r="R3156">
        <f t="shared" si="197"/>
        <v>13.67</v>
      </c>
      <c r="S3156">
        <f t="shared" si="198"/>
        <v>1.8966105827846866</v>
      </c>
      <c r="T3156">
        <f t="shared" si="199"/>
        <v>2.7190332326283987E-2</v>
      </c>
      <c r="U3156" t="str">
        <f>YEAR('Campaign Data'!$A3156)&amp;"-"&amp;TEXT(MONTH('Campaign Data'!$A3156),"00")</f>
        <v>2026-06</v>
      </c>
    </row>
    <row r="3157" spans="1:21" x14ac:dyDescent="0.25">
      <c r="A3157">
        <v>46194</v>
      </c>
      <c r="B3157" t="s">
        <v>72</v>
      </c>
      <c r="C3157" t="s">
        <v>73</v>
      </c>
      <c r="D3157" t="s">
        <v>69</v>
      </c>
      <c r="E3157" t="s">
        <v>74</v>
      </c>
      <c r="F3157" t="s">
        <v>75</v>
      </c>
      <c r="G3157" t="s">
        <v>9</v>
      </c>
      <c r="H3157" t="s">
        <v>90</v>
      </c>
      <c r="I3157" t="s">
        <v>61</v>
      </c>
      <c r="J3157" t="s">
        <v>45</v>
      </c>
      <c r="K3157">
        <v>6989</v>
      </c>
      <c r="L3157">
        <v>191</v>
      </c>
      <c r="M3157">
        <v>55.63</v>
      </c>
      <c r="N3157">
        <v>5</v>
      </c>
      <c r="O3157">
        <v>38.090000000000003</v>
      </c>
      <c r="P3157">
        <f t="shared" si="196"/>
        <v>2.7328659321791387E-2</v>
      </c>
      <c r="Q3157">
        <f t="shared" si="196"/>
        <v>0.29125654450261779</v>
      </c>
      <c r="R3157">
        <f t="shared" si="197"/>
        <v>11.126000000000001</v>
      </c>
      <c r="S3157">
        <f t="shared" si="198"/>
        <v>0.68470249865180666</v>
      </c>
      <c r="T3157">
        <f t="shared" si="199"/>
        <v>2.6178010471204188E-2</v>
      </c>
      <c r="U3157" t="str">
        <f>YEAR('Campaign Data'!$A3157)&amp;"-"&amp;TEXT(MONTH('Campaign Data'!$A3157),"00")</f>
        <v>2026-06</v>
      </c>
    </row>
    <row r="3158" spans="1:21" x14ac:dyDescent="0.25">
      <c r="A3158">
        <v>46194</v>
      </c>
      <c r="B3158" t="s">
        <v>145</v>
      </c>
      <c r="C3158" t="s">
        <v>146</v>
      </c>
      <c r="D3158" t="s">
        <v>41</v>
      </c>
      <c r="E3158" t="s">
        <v>49</v>
      </c>
      <c r="F3158" t="s">
        <v>75</v>
      </c>
      <c r="G3158" t="s">
        <v>70</v>
      </c>
      <c r="H3158" t="s">
        <v>90</v>
      </c>
      <c r="I3158" t="s">
        <v>37</v>
      </c>
      <c r="J3158" t="s">
        <v>38</v>
      </c>
      <c r="K3158">
        <v>3902</v>
      </c>
      <c r="L3158">
        <v>205</v>
      </c>
      <c r="M3158">
        <v>76.12</v>
      </c>
      <c r="N3158">
        <v>12</v>
      </c>
      <c r="O3158">
        <v>119.7</v>
      </c>
      <c r="P3158">
        <f t="shared" si="196"/>
        <v>5.2537160430548437E-2</v>
      </c>
      <c r="Q3158">
        <f t="shared" si="196"/>
        <v>0.3713170731707317</v>
      </c>
      <c r="R3158">
        <f t="shared" si="197"/>
        <v>6.3433333333333337</v>
      </c>
      <c r="S3158">
        <f t="shared" si="198"/>
        <v>1.5725170782974252</v>
      </c>
      <c r="T3158">
        <f t="shared" si="199"/>
        <v>5.8536585365853662E-2</v>
      </c>
      <c r="U3158" t="str">
        <f>YEAR('Campaign Data'!$A3158)&amp;"-"&amp;TEXT(MONTH('Campaign Data'!$A3158),"00")</f>
        <v>2026-06</v>
      </c>
    </row>
    <row r="3159" spans="1:21" x14ac:dyDescent="0.25">
      <c r="A3159">
        <v>46194</v>
      </c>
      <c r="B3159" t="s">
        <v>145</v>
      </c>
      <c r="C3159" t="s">
        <v>146</v>
      </c>
      <c r="D3159" t="s">
        <v>41</v>
      </c>
      <c r="E3159" t="s">
        <v>49</v>
      </c>
      <c r="F3159" t="s">
        <v>75</v>
      </c>
      <c r="G3159" t="s">
        <v>70</v>
      </c>
      <c r="H3159" t="s">
        <v>27</v>
      </c>
      <c r="I3159" t="s">
        <v>28</v>
      </c>
      <c r="J3159" t="s">
        <v>29</v>
      </c>
      <c r="K3159">
        <v>1604</v>
      </c>
      <c r="L3159">
        <v>109</v>
      </c>
      <c r="M3159">
        <v>259.02</v>
      </c>
      <c r="N3159">
        <v>3</v>
      </c>
      <c r="O3159">
        <v>171.92</v>
      </c>
      <c r="P3159">
        <f t="shared" si="196"/>
        <v>6.7955112219451372E-2</v>
      </c>
      <c r="Q3159">
        <f t="shared" si="196"/>
        <v>2.3763302752293578</v>
      </c>
      <c r="R3159">
        <f t="shared" si="197"/>
        <v>86.339999999999989</v>
      </c>
      <c r="S3159">
        <f t="shared" si="198"/>
        <v>0.66373253030654</v>
      </c>
      <c r="T3159">
        <f t="shared" si="199"/>
        <v>2.7522935779816515E-2</v>
      </c>
      <c r="U3159" t="str">
        <f>YEAR('Campaign Data'!$A3159)&amp;"-"&amp;TEXT(MONTH('Campaign Data'!$A3159),"00")</f>
        <v>2026-06</v>
      </c>
    </row>
    <row r="3160" spans="1:21" x14ac:dyDescent="0.25">
      <c r="A3160">
        <v>46194</v>
      </c>
      <c r="B3160" t="s">
        <v>78</v>
      </c>
      <c r="C3160" t="s">
        <v>79</v>
      </c>
      <c r="D3160" t="s">
        <v>80</v>
      </c>
      <c r="E3160" t="s">
        <v>24</v>
      </c>
      <c r="F3160" t="s">
        <v>81</v>
      </c>
      <c r="G3160" t="s">
        <v>66</v>
      </c>
      <c r="H3160" t="s">
        <v>27</v>
      </c>
      <c r="I3160" t="s">
        <v>37</v>
      </c>
      <c r="J3160" t="s">
        <v>29</v>
      </c>
      <c r="K3160">
        <v>5146</v>
      </c>
      <c r="L3160">
        <v>71</v>
      </c>
      <c r="M3160">
        <v>103.63</v>
      </c>
      <c r="N3160">
        <v>2</v>
      </c>
      <c r="O3160">
        <v>42.31</v>
      </c>
      <c r="P3160">
        <f t="shared" si="196"/>
        <v>1.3797123979790129E-2</v>
      </c>
      <c r="Q3160">
        <f t="shared" si="196"/>
        <v>1.4595774647887323</v>
      </c>
      <c r="R3160">
        <f t="shared" si="197"/>
        <v>51.814999999999998</v>
      </c>
      <c r="S3160">
        <f t="shared" si="198"/>
        <v>0.40827945575605523</v>
      </c>
      <c r="T3160">
        <f t="shared" si="199"/>
        <v>2.8169014084507043E-2</v>
      </c>
      <c r="U3160" t="str">
        <f>YEAR('Campaign Data'!$A3160)&amp;"-"&amp;TEXT(MONTH('Campaign Data'!$A3160),"00")</f>
        <v>2026-06</v>
      </c>
    </row>
    <row r="3161" spans="1:21" x14ac:dyDescent="0.25">
      <c r="A3161">
        <v>46195</v>
      </c>
      <c r="B3161" t="s">
        <v>85</v>
      </c>
      <c r="C3161" t="s">
        <v>86</v>
      </c>
      <c r="D3161" t="s">
        <v>80</v>
      </c>
      <c r="E3161" t="s">
        <v>33</v>
      </c>
      <c r="F3161" t="s">
        <v>43</v>
      </c>
      <c r="G3161" t="s">
        <v>35</v>
      </c>
      <c r="H3161" t="s">
        <v>90</v>
      </c>
      <c r="I3161" t="s">
        <v>28</v>
      </c>
      <c r="J3161" t="s">
        <v>45</v>
      </c>
      <c r="K3161">
        <v>3776</v>
      </c>
      <c r="L3161">
        <v>21</v>
      </c>
      <c r="M3161">
        <v>4.28</v>
      </c>
      <c r="N3161">
        <v>1</v>
      </c>
      <c r="O3161">
        <v>7.27</v>
      </c>
      <c r="P3161">
        <f t="shared" si="196"/>
        <v>5.5614406779661016E-3</v>
      </c>
      <c r="Q3161">
        <f t="shared" si="196"/>
        <v>0.20380952380952383</v>
      </c>
      <c r="R3161">
        <f t="shared" si="197"/>
        <v>4.28</v>
      </c>
      <c r="S3161">
        <f t="shared" si="198"/>
        <v>1.6985981308411213</v>
      </c>
      <c r="T3161">
        <f t="shared" si="199"/>
        <v>4.7619047619047616E-2</v>
      </c>
      <c r="U3161" t="str">
        <f>YEAR('Campaign Data'!$A3161)&amp;"-"&amp;TEXT(MONTH('Campaign Data'!$A3161),"00")</f>
        <v>2026-06</v>
      </c>
    </row>
    <row r="3162" spans="1:21" x14ac:dyDescent="0.25">
      <c r="A3162">
        <v>46195</v>
      </c>
      <c r="B3162" t="s">
        <v>88</v>
      </c>
      <c r="C3162" t="s">
        <v>89</v>
      </c>
      <c r="D3162" t="s">
        <v>23</v>
      </c>
      <c r="E3162" t="s">
        <v>49</v>
      </c>
      <c r="F3162" t="s">
        <v>81</v>
      </c>
      <c r="G3162" t="s">
        <v>50</v>
      </c>
      <c r="H3162" t="s">
        <v>60</v>
      </c>
      <c r="I3162" t="s">
        <v>37</v>
      </c>
      <c r="J3162" t="s">
        <v>45</v>
      </c>
      <c r="K3162">
        <v>6275</v>
      </c>
      <c r="L3162">
        <v>251</v>
      </c>
      <c r="M3162">
        <v>221.27</v>
      </c>
      <c r="N3162">
        <v>14</v>
      </c>
      <c r="O3162">
        <v>212.14</v>
      </c>
      <c r="P3162">
        <f t="shared" si="196"/>
        <v>0.04</v>
      </c>
      <c r="Q3162">
        <f t="shared" si="196"/>
        <v>0.8815537848605578</v>
      </c>
      <c r="R3162">
        <f t="shared" si="197"/>
        <v>15.805000000000001</v>
      </c>
      <c r="S3162">
        <f t="shared" si="198"/>
        <v>0.95873819315768061</v>
      </c>
      <c r="T3162">
        <f t="shared" si="199"/>
        <v>5.5776892430278883E-2</v>
      </c>
      <c r="U3162" t="str">
        <f>YEAR('Campaign Data'!$A3162)&amp;"-"&amp;TEXT(MONTH('Campaign Data'!$A3162),"00")</f>
        <v>2026-06</v>
      </c>
    </row>
    <row r="3163" spans="1:21" x14ac:dyDescent="0.25">
      <c r="A3163">
        <v>46195</v>
      </c>
      <c r="B3163" t="s">
        <v>21</v>
      </c>
      <c r="C3163" t="s">
        <v>124</v>
      </c>
      <c r="D3163" t="s">
        <v>23</v>
      </c>
      <c r="E3163" t="s">
        <v>24</v>
      </c>
      <c r="F3163" t="s">
        <v>25</v>
      </c>
      <c r="G3163" t="s">
        <v>26</v>
      </c>
      <c r="H3163" t="s">
        <v>36</v>
      </c>
      <c r="I3163" t="s">
        <v>61</v>
      </c>
      <c r="J3163" t="s">
        <v>29</v>
      </c>
      <c r="K3163">
        <v>17039</v>
      </c>
      <c r="L3163">
        <v>191</v>
      </c>
      <c r="M3163">
        <v>183.64</v>
      </c>
      <c r="N3163">
        <v>5</v>
      </c>
      <c r="O3163">
        <v>1017.46</v>
      </c>
      <c r="P3163">
        <f t="shared" si="196"/>
        <v>1.1209578026879512E-2</v>
      </c>
      <c r="Q3163">
        <f t="shared" si="196"/>
        <v>0.96146596858638733</v>
      </c>
      <c r="R3163">
        <f t="shared" si="197"/>
        <v>36.727999999999994</v>
      </c>
      <c r="S3163">
        <f t="shared" si="198"/>
        <v>5.5405140492267488</v>
      </c>
      <c r="T3163">
        <f t="shared" si="199"/>
        <v>2.6178010471204188E-2</v>
      </c>
      <c r="U3163" t="str">
        <f>YEAR('Campaign Data'!$A3163)&amp;"-"&amp;TEXT(MONTH('Campaign Data'!$A3163),"00")</f>
        <v>2026-06</v>
      </c>
    </row>
    <row r="3164" spans="1:21" x14ac:dyDescent="0.25">
      <c r="A3164">
        <v>46195</v>
      </c>
      <c r="B3164" t="s">
        <v>167</v>
      </c>
      <c r="C3164" t="s">
        <v>168</v>
      </c>
      <c r="D3164" t="s">
        <v>58</v>
      </c>
      <c r="E3164" t="s">
        <v>33</v>
      </c>
      <c r="F3164" t="s">
        <v>75</v>
      </c>
      <c r="G3164" t="s">
        <v>35</v>
      </c>
      <c r="H3164" t="s">
        <v>27</v>
      </c>
      <c r="I3164" t="s">
        <v>28</v>
      </c>
      <c r="J3164" t="s">
        <v>45</v>
      </c>
      <c r="K3164">
        <v>11837</v>
      </c>
      <c r="L3164">
        <v>63</v>
      </c>
      <c r="M3164">
        <v>55.53</v>
      </c>
      <c r="N3164">
        <v>0</v>
      </c>
      <c r="O3164">
        <v>0</v>
      </c>
      <c r="P3164">
        <f t="shared" si="196"/>
        <v>5.3222945002956833E-3</v>
      </c>
      <c r="Q3164">
        <f t="shared" si="196"/>
        <v>0.88142857142857145</v>
      </c>
      <c r="R3164">
        <f t="shared" si="197"/>
        <v>0</v>
      </c>
      <c r="S3164">
        <f t="shared" si="198"/>
        <v>0</v>
      </c>
      <c r="T3164">
        <f t="shared" si="199"/>
        <v>0</v>
      </c>
      <c r="U3164" t="str">
        <f>YEAR('Campaign Data'!$A3164)&amp;"-"&amp;TEXT(MONTH('Campaign Data'!$A3164),"00")</f>
        <v>2026-06</v>
      </c>
    </row>
    <row r="3165" spans="1:21" x14ac:dyDescent="0.25">
      <c r="A3165">
        <v>46195</v>
      </c>
      <c r="B3165" t="s">
        <v>125</v>
      </c>
      <c r="C3165" t="s">
        <v>126</v>
      </c>
      <c r="D3165" t="s">
        <v>41</v>
      </c>
      <c r="E3165" t="s">
        <v>42</v>
      </c>
      <c r="F3165" t="s">
        <v>81</v>
      </c>
      <c r="G3165" t="s">
        <v>44</v>
      </c>
      <c r="H3165" t="s">
        <v>90</v>
      </c>
      <c r="I3165" t="s">
        <v>28</v>
      </c>
      <c r="J3165" t="s">
        <v>38</v>
      </c>
      <c r="K3165">
        <v>9206</v>
      </c>
      <c r="L3165">
        <v>66</v>
      </c>
      <c r="M3165">
        <v>80.099999999999994</v>
      </c>
      <c r="N3165">
        <v>1</v>
      </c>
      <c r="O3165">
        <v>5</v>
      </c>
      <c r="P3165">
        <f t="shared" si="196"/>
        <v>7.1692374538344554E-3</v>
      </c>
      <c r="Q3165">
        <f t="shared" si="196"/>
        <v>1.2136363636363636</v>
      </c>
      <c r="R3165">
        <f t="shared" si="197"/>
        <v>80.099999999999994</v>
      </c>
      <c r="S3165">
        <f t="shared" si="198"/>
        <v>6.2421972534332092E-2</v>
      </c>
      <c r="T3165">
        <f t="shared" si="199"/>
        <v>1.5151515151515152E-2</v>
      </c>
      <c r="U3165" t="str">
        <f>YEAR('Campaign Data'!$A3165)&amp;"-"&amp;TEXT(MONTH('Campaign Data'!$A3165),"00")</f>
        <v>2026-06</v>
      </c>
    </row>
    <row r="3166" spans="1:21" x14ac:dyDescent="0.25">
      <c r="A3166">
        <v>46195</v>
      </c>
      <c r="B3166" t="s">
        <v>151</v>
      </c>
      <c r="C3166" t="s">
        <v>152</v>
      </c>
      <c r="D3166" t="s">
        <v>48</v>
      </c>
      <c r="E3166" t="s">
        <v>24</v>
      </c>
      <c r="F3166" t="s">
        <v>81</v>
      </c>
      <c r="G3166" t="s">
        <v>129</v>
      </c>
      <c r="H3166" t="s">
        <v>71</v>
      </c>
      <c r="I3166" t="s">
        <v>28</v>
      </c>
      <c r="J3166" t="s">
        <v>29</v>
      </c>
      <c r="K3166">
        <v>3306</v>
      </c>
      <c r="L3166">
        <v>29</v>
      </c>
      <c r="M3166">
        <v>26.74</v>
      </c>
      <c r="N3166">
        <v>3</v>
      </c>
      <c r="O3166">
        <v>54.63</v>
      </c>
      <c r="P3166">
        <f t="shared" si="196"/>
        <v>8.771929824561403E-3</v>
      </c>
      <c r="Q3166">
        <f t="shared" si="196"/>
        <v>0.92206896551724138</v>
      </c>
      <c r="R3166">
        <f t="shared" si="197"/>
        <v>8.9133333333333322</v>
      </c>
      <c r="S3166">
        <f t="shared" si="198"/>
        <v>2.0430067314884073</v>
      </c>
      <c r="T3166">
        <f t="shared" si="199"/>
        <v>0.10344827586206896</v>
      </c>
      <c r="U3166" t="str">
        <f>YEAR('Campaign Data'!$A3166)&amp;"-"&amp;TEXT(MONTH('Campaign Data'!$A3166),"00")</f>
        <v>2026-06</v>
      </c>
    </row>
    <row r="3167" spans="1:21" x14ac:dyDescent="0.25">
      <c r="A3167">
        <v>46195</v>
      </c>
      <c r="B3167" t="s">
        <v>98</v>
      </c>
      <c r="C3167" t="s">
        <v>99</v>
      </c>
      <c r="D3167" t="s">
        <v>69</v>
      </c>
      <c r="E3167" t="s">
        <v>24</v>
      </c>
      <c r="F3167" t="s">
        <v>75</v>
      </c>
      <c r="G3167" t="s">
        <v>66</v>
      </c>
      <c r="H3167" t="s">
        <v>71</v>
      </c>
      <c r="I3167" t="s">
        <v>37</v>
      </c>
      <c r="J3167" t="s">
        <v>87</v>
      </c>
      <c r="K3167">
        <v>7677</v>
      </c>
      <c r="L3167">
        <v>127</v>
      </c>
      <c r="M3167">
        <v>148.88999999999999</v>
      </c>
      <c r="N3167">
        <v>2</v>
      </c>
      <c r="O3167">
        <v>98.94</v>
      </c>
      <c r="P3167">
        <f t="shared" si="196"/>
        <v>1.6542920411619123E-2</v>
      </c>
      <c r="Q3167">
        <f t="shared" si="196"/>
        <v>1.1723622047244093</v>
      </c>
      <c r="R3167">
        <f t="shared" si="197"/>
        <v>74.444999999999993</v>
      </c>
      <c r="S3167">
        <f t="shared" si="198"/>
        <v>0.66451742897441068</v>
      </c>
      <c r="T3167">
        <f t="shared" si="199"/>
        <v>1.5748031496062992E-2</v>
      </c>
      <c r="U3167" t="str">
        <f>YEAR('Campaign Data'!$A3167)&amp;"-"&amp;TEXT(MONTH('Campaign Data'!$A3167),"00")</f>
        <v>2026-06</v>
      </c>
    </row>
    <row r="3168" spans="1:21" x14ac:dyDescent="0.25">
      <c r="A3168">
        <v>46195</v>
      </c>
      <c r="B3168" t="s">
        <v>52</v>
      </c>
      <c r="C3168" t="s">
        <v>53</v>
      </c>
      <c r="D3168" t="s">
        <v>32</v>
      </c>
      <c r="E3168" t="s">
        <v>42</v>
      </c>
      <c r="F3168" t="s">
        <v>25</v>
      </c>
      <c r="G3168" t="s">
        <v>54</v>
      </c>
      <c r="H3168" t="s">
        <v>55</v>
      </c>
      <c r="I3168" t="s">
        <v>37</v>
      </c>
      <c r="J3168" t="s">
        <v>45</v>
      </c>
      <c r="K3168">
        <v>2827</v>
      </c>
      <c r="L3168">
        <v>9</v>
      </c>
      <c r="M3168">
        <v>48.13</v>
      </c>
      <c r="N3168">
        <v>0</v>
      </c>
      <c r="O3168">
        <v>0</v>
      </c>
      <c r="P3168">
        <f t="shared" si="196"/>
        <v>3.1835868411743897E-3</v>
      </c>
      <c r="Q3168">
        <f t="shared" si="196"/>
        <v>5.347777777777778</v>
      </c>
      <c r="R3168">
        <f t="shared" si="197"/>
        <v>0</v>
      </c>
      <c r="S3168">
        <f t="shared" si="198"/>
        <v>0</v>
      </c>
      <c r="T3168">
        <f t="shared" si="199"/>
        <v>0</v>
      </c>
      <c r="U3168" t="str">
        <f>YEAR('Campaign Data'!$A3168)&amp;"-"&amp;TEXT(MONTH('Campaign Data'!$A3168),"00")</f>
        <v>2026-06</v>
      </c>
    </row>
    <row r="3169" spans="1:21" x14ac:dyDescent="0.25">
      <c r="A3169">
        <v>46195</v>
      </c>
      <c r="B3169" t="s">
        <v>100</v>
      </c>
      <c r="C3169" t="s">
        <v>101</v>
      </c>
      <c r="D3169" t="s">
        <v>80</v>
      </c>
      <c r="E3169" t="s">
        <v>33</v>
      </c>
      <c r="F3169" t="s">
        <v>25</v>
      </c>
      <c r="G3169" t="s">
        <v>102</v>
      </c>
      <c r="H3169" t="s">
        <v>55</v>
      </c>
      <c r="I3169" t="s">
        <v>61</v>
      </c>
      <c r="J3169" t="s">
        <v>62</v>
      </c>
      <c r="K3169">
        <v>3379</v>
      </c>
      <c r="L3169">
        <v>36</v>
      </c>
      <c r="M3169">
        <v>18.62</v>
      </c>
      <c r="N3169">
        <v>2</v>
      </c>
      <c r="O3169">
        <v>165.47</v>
      </c>
      <c r="P3169">
        <f t="shared" si="196"/>
        <v>1.0654039656703166E-2</v>
      </c>
      <c r="Q3169">
        <f t="shared" si="196"/>
        <v>0.51722222222222225</v>
      </c>
      <c r="R3169">
        <f t="shared" si="197"/>
        <v>9.31</v>
      </c>
      <c r="S3169">
        <f t="shared" si="198"/>
        <v>8.8866809881847466</v>
      </c>
      <c r="T3169">
        <f t="shared" si="199"/>
        <v>5.5555555555555552E-2</v>
      </c>
      <c r="U3169" t="str">
        <f>YEAR('Campaign Data'!$A3169)&amp;"-"&amp;TEXT(MONTH('Campaign Data'!$A3169),"00")</f>
        <v>2026-06</v>
      </c>
    </row>
    <row r="3170" spans="1:21" x14ac:dyDescent="0.25">
      <c r="A3170">
        <v>46195</v>
      </c>
      <c r="B3170" t="s">
        <v>108</v>
      </c>
      <c r="C3170" t="s">
        <v>109</v>
      </c>
      <c r="D3170" t="s">
        <v>58</v>
      </c>
      <c r="E3170" t="s">
        <v>33</v>
      </c>
      <c r="F3170" t="s">
        <v>43</v>
      </c>
      <c r="G3170" t="s">
        <v>59</v>
      </c>
      <c r="H3170" t="s">
        <v>27</v>
      </c>
      <c r="I3170" t="s">
        <v>28</v>
      </c>
      <c r="J3170" t="s">
        <v>29</v>
      </c>
      <c r="K3170">
        <v>1576</v>
      </c>
      <c r="L3170">
        <v>5</v>
      </c>
      <c r="M3170">
        <v>3.83</v>
      </c>
      <c r="N3170">
        <v>1</v>
      </c>
      <c r="O3170">
        <v>28.8</v>
      </c>
      <c r="P3170">
        <f t="shared" si="196"/>
        <v>3.1725888324873096E-3</v>
      </c>
      <c r="Q3170">
        <f t="shared" si="196"/>
        <v>0.76600000000000001</v>
      </c>
      <c r="R3170">
        <f t="shared" si="197"/>
        <v>3.83</v>
      </c>
      <c r="S3170">
        <f t="shared" si="198"/>
        <v>7.5195822454308097</v>
      </c>
      <c r="T3170">
        <f t="shared" si="199"/>
        <v>0.2</v>
      </c>
      <c r="U3170" t="str">
        <f>YEAR('Campaign Data'!$A3170)&amp;"-"&amp;TEXT(MONTH('Campaign Data'!$A3170),"00")</f>
        <v>2026-06</v>
      </c>
    </row>
    <row r="3171" spans="1:21" x14ac:dyDescent="0.25">
      <c r="A3171">
        <v>46195</v>
      </c>
      <c r="B3171" t="s">
        <v>177</v>
      </c>
      <c r="C3171" t="s">
        <v>178</v>
      </c>
      <c r="D3171" t="s">
        <v>41</v>
      </c>
      <c r="E3171" t="s">
        <v>49</v>
      </c>
      <c r="F3171" t="s">
        <v>34</v>
      </c>
      <c r="G3171" t="s">
        <v>107</v>
      </c>
      <c r="H3171" t="s">
        <v>36</v>
      </c>
      <c r="I3171" t="s">
        <v>37</v>
      </c>
      <c r="J3171" t="s">
        <v>29</v>
      </c>
      <c r="K3171">
        <v>31112</v>
      </c>
      <c r="L3171">
        <v>940</v>
      </c>
      <c r="M3171">
        <v>1494.25</v>
      </c>
      <c r="N3171">
        <v>50</v>
      </c>
      <c r="O3171">
        <v>3897.18</v>
      </c>
      <c r="P3171">
        <f t="shared" si="196"/>
        <v>3.0213422473643611E-2</v>
      </c>
      <c r="Q3171">
        <f t="shared" si="196"/>
        <v>1.5896276595744681</v>
      </c>
      <c r="R3171">
        <f t="shared" si="197"/>
        <v>29.885000000000002</v>
      </c>
      <c r="S3171">
        <f t="shared" si="198"/>
        <v>2.6081177848418937</v>
      </c>
      <c r="T3171">
        <f t="shared" si="199"/>
        <v>5.3191489361702128E-2</v>
      </c>
      <c r="U3171" t="str">
        <f>YEAR('Campaign Data'!$A3171)&amp;"-"&amp;TEXT(MONTH('Campaign Data'!$A3171),"00")</f>
        <v>2026-06</v>
      </c>
    </row>
    <row r="3172" spans="1:21" x14ac:dyDescent="0.25">
      <c r="A3172">
        <v>46195</v>
      </c>
      <c r="B3172" t="s">
        <v>171</v>
      </c>
      <c r="C3172" t="s">
        <v>172</v>
      </c>
      <c r="D3172" t="s">
        <v>23</v>
      </c>
      <c r="E3172" t="s">
        <v>33</v>
      </c>
      <c r="F3172" t="s">
        <v>75</v>
      </c>
      <c r="G3172" t="s">
        <v>59</v>
      </c>
      <c r="H3172" t="s">
        <v>71</v>
      </c>
      <c r="I3172" t="s">
        <v>28</v>
      </c>
      <c r="J3172" t="s">
        <v>29</v>
      </c>
      <c r="K3172">
        <v>4114</v>
      </c>
      <c r="L3172">
        <v>43</v>
      </c>
      <c r="M3172">
        <v>20.58</v>
      </c>
      <c r="N3172">
        <v>0</v>
      </c>
      <c r="O3172">
        <v>0</v>
      </c>
      <c r="P3172">
        <f t="shared" si="196"/>
        <v>1.0452114730189596E-2</v>
      </c>
      <c r="Q3172">
        <f t="shared" si="196"/>
        <v>0.47860465116279066</v>
      </c>
      <c r="R3172">
        <f t="shared" si="197"/>
        <v>0</v>
      </c>
      <c r="S3172">
        <f t="shared" si="198"/>
        <v>0</v>
      </c>
      <c r="T3172">
        <f t="shared" si="199"/>
        <v>0</v>
      </c>
      <c r="U3172" t="str">
        <f>YEAR('Campaign Data'!$A3172)&amp;"-"&amp;TEXT(MONTH('Campaign Data'!$A3172),"00")</f>
        <v>2026-06</v>
      </c>
    </row>
    <row r="3173" spans="1:21" x14ac:dyDescent="0.25">
      <c r="A3173">
        <v>46195</v>
      </c>
      <c r="B3173" t="s">
        <v>157</v>
      </c>
      <c r="C3173" t="s">
        <v>158</v>
      </c>
      <c r="D3173" t="s">
        <v>58</v>
      </c>
      <c r="E3173" t="s">
        <v>49</v>
      </c>
      <c r="F3173" t="s">
        <v>81</v>
      </c>
      <c r="G3173" t="s">
        <v>50</v>
      </c>
      <c r="H3173" t="s">
        <v>27</v>
      </c>
      <c r="I3173" t="s">
        <v>37</v>
      </c>
      <c r="J3173" t="s">
        <v>38</v>
      </c>
      <c r="K3173">
        <v>7552</v>
      </c>
      <c r="L3173">
        <v>333</v>
      </c>
      <c r="M3173">
        <v>783.62</v>
      </c>
      <c r="N3173">
        <v>5</v>
      </c>
      <c r="O3173">
        <v>90.7</v>
      </c>
      <c r="P3173">
        <f t="shared" si="196"/>
        <v>4.409427966101695E-2</v>
      </c>
      <c r="Q3173">
        <f t="shared" si="196"/>
        <v>2.3532132132132131</v>
      </c>
      <c r="R3173">
        <f t="shared" si="197"/>
        <v>156.72399999999999</v>
      </c>
      <c r="S3173">
        <f t="shared" si="198"/>
        <v>0.1157448763431255</v>
      </c>
      <c r="T3173">
        <f t="shared" si="199"/>
        <v>1.5015015015015015E-2</v>
      </c>
      <c r="U3173" t="str">
        <f>YEAR('Campaign Data'!$A3173)&amp;"-"&amp;TEXT(MONTH('Campaign Data'!$A3173),"00")</f>
        <v>2026-06</v>
      </c>
    </row>
    <row r="3174" spans="1:21" x14ac:dyDescent="0.25">
      <c r="A3174">
        <v>46195</v>
      </c>
      <c r="B3174" t="s">
        <v>181</v>
      </c>
      <c r="C3174" t="s">
        <v>182</v>
      </c>
      <c r="D3174" t="s">
        <v>32</v>
      </c>
      <c r="E3174" t="s">
        <v>33</v>
      </c>
      <c r="F3174" t="s">
        <v>75</v>
      </c>
      <c r="G3174" t="s">
        <v>59</v>
      </c>
      <c r="H3174" t="s">
        <v>36</v>
      </c>
      <c r="I3174" t="s">
        <v>37</v>
      </c>
      <c r="J3174" t="s">
        <v>62</v>
      </c>
      <c r="K3174">
        <v>4916</v>
      </c>
      <c r="L3174">
        <v>70</v>
      </c>
      <c r="M3174">
        <v>46.35</v>
      </c>
      <c r="N3174">
        <v>2</v>
      </c>
      <c r="O3174">
        <v>58.44</v>
      </c>
      <c r="P3174">
        <f t="shared" si="196"/>
        <v>1.4239218877135883E-2</v>
      </c>
      <c r="Q3174">
        <f t="shared" si="196"/>
        <v>0.66214285714285714</v>
      </c>
      <c r="R3174">
        <f t="shared" si="197"/>
        <v>23.175000000000001</v>
      </c>
      <c r="S3174">
        <f t="shared" si="198"/>
        <v>1.26084142394822</v>
      </c>
      <c r="T3174">
        <f t="shared" si="199"/>
        <v>2.8571428571428571E-2</v>
      </c>
      <c r="U3174" t="str">
        <f>YEAR('Campaign Data'!$A3174)&amp;"-"&amp;TEXT(MONTH('Campaign Data'!$A3174),"00")</f>
        <v>2026-06</v>
      </c>
    </row>
    <row r="3175" spans="1:21" x14ac:dyDescent="0.25">
      <c r="A3175">
        <v>46195</v>
      </c>
      <c r="B3175" t="s">
        <v>67</v>
      </c>
      <c r="C3175" t="s">
        <v>68</v>
      </c>
      <c r="D3175" t="s">
        <v>69</v>
      </c>
      <c r="E3175" t="s">
        <v>49</v>
      </c>
      <c r="F3175" t="s">
        <v>34</v>
      </c>
      <c r="G3175" t="s">
        <v>70</v>
      </c>
      <c r="H3175" t="s">
        <v>51</v>
      </c>
      <c r="I3175" t="s">
        <v>28</v>
      </c>
      <c r="J3175" t="s">
        <v>45</v>
      </c>
      <c r="K3175">
        <v>3686</v>
      </c>
      <c r="L3175">
        <v>127</v>
      </c>
      <c r="M3175">
        <v>138.66999999999999</v>
      </c>
      <c r="N3175">
        <v>6</v>
      </c>
      <c r="O3175">
        <v>939.94</v>
      </c>
      <c r="P3175">
        <f t="shared" si="196"/>
        <v>3.4454693434617469E-2</v>
      </c>
      <c r="Q3175">
        <f t="shared" si="196"/>
        <v>1.0918897637795275</v>
      </c>
      <c r="R3175">
        <f t="shared" si="197"/>
        <v>23.111666666666665</v>
      </c>
      <c r="S3175">
        <f t="shared" si="198"/>
        <v>6.7782505228239716</v>
      </c>
      <c r="T3175">
        <f t="shared" si="199"/>
        <v>4.7244094488188976E-2</v>
      </c>
      <c r="U3175" t="str">
        <f>YEAR('Campaign Data'!$A3175)&amp;"-"&amp;TEXT(MONTH('Campaign Data'!$A3175),"00")</f>
        <v>2026-06</v>
      </c>
    </row>
    <row r="3176" spans="1:21" x14ac:dyDescent="0.25">
      <c r="A3176">
        <v>46195</v>
      </c>
      <c r="B3176" t="s">
        <v>72</v>
      </c>
      <c r="C3176" t="s">
        <v>73</v>
      </c>
      <c r="D3176" t="s">
        <v>69</v>
      </c>
      <c r="E3176" t="s">
        <v>74</v>
      </c>
      <c r="F3176" t="s">
        <v>75</v>
      </c>
      <c r="G3176" t="s">
        <v>9</v>
      </c>
      <c r="H3176" t="s">
        <v>36</v>
      </c>
      <c r="I3176" t="s">
        <v>28</v>
      </c>
      <c r="J3176" t="s">
        <v>29</v>
      </c>
      <c r="K3176">
        <v>15153</v>
      </c>
      <c r="L3176">
        <v>654</v>
      </c>
      <c r="M3176">
        <v>879.43</v>
      </c>
      <c r="N3176">
        <v>34</v>
      </c>
      <c r="O3176">
        <v>370.12</v>
      </c>
      <c r="P3176">
        <f t="shared" si="196"/>
        <v>4.3159770342506433E-2</v>
      </c>
      <c r="Q3176">
        <f t="shared" si="196"/>
        <v>1.3446941896024465</v>
      </c>
      <c r="R3176">
        <f t="shared" si="197"/>
        <v>25.865588235294116</v>
      </c>
      <c r="S3176">
        <f t="shared" si="198"/>
        <v>0.42086351386693654</v>
      </c>
      <c r="T3176">
        <f t="shared" si="199"/>
        <v>5.1987767584097858E-2</v>
      </c>
      <c r="U3176" t="str">
        <f>YEAR('Campaign Data'!$A3176)&amp;"-"&amp;TEXT(MONTH('Campaign Data'!$A3176),"00")</f>
        <v>2026-06</v>
      </c>
    </row>
    <row r="3177" spans="1:21" x14ac:dyDescent="0.25">
      <c r="A3177">
        <v>46195</v>
      </c>
      <c r="B3177" t="s">
        <v>118</v>
      </c>
      <c r="C3177" t="s">
        <v>119</v>
      </c>
      <c r="D3177" t="s">
        <v>69</v>
      </c>
      <c r="E3177" t="s">
        <v>33</v>
      </c>
      <c r="F3177" t="s">
        <v>34</v>
      </c>
      <c r="G3177" t="s">
        <v>35</v>
      </c>
      <c r="H3177" t="s">
        <v>71</v>
      </c>
      <c r="I3177" t="s">
        <v>37</v>
      </c>
      <c r="J3177" t="s">
        <v>45</v>
      </c>
      <c r="K3177">
        <v>9590</v>
      </c>
      <c r="L3177">
        <v>120</v>
      </c>
      <c r="M3177">
        <v>80.02</v>
      </c>
      <c r="N3177">
        <v>2</v>
      </c>
      <c r="O3177">
        <v>195.49</v>
      </c>
      <c r="P3177">
        <f t="shared" si="196"/>
        <v>1.251303441084463E-2</v>
      </c>
      <c r="Q3177">
        <f t="shared" si="196"/>
        <v>0.66683333333333328</v>
      </c>
      <c r="R3177">
        <f t="shared" si="197"/>
        <v>40.01</v>
      </c>
      <c r="S3177">
        <f t="shared" si="198"/>
        <v>2.4430142464383908</v>
      </c>
      <c r="T3177">
        <f t="shared" si="199"/>
        <v>1.6666666666666666E-2</v>
      </c>
      <c r="U3177" t="str">
        <f>YEAR('Campaign Data'!$A3177)&amp;"-"&amp;TEXT(MONTH('Campaign Data'!$A3177),"00")</f>
        <v>2026-06</v>
      </c>
    </row>
    <row r="3178" spans="1:21" x14ac:dyDescent="0.25">
      <c r="A3178">
        <v>46195</v>
      </c>
      <c r="B3178" t="s">
        <v>163</v>
      </c>
      <c r="C3178" t="s">
        <v>164</v>
      </c>
      <c r="D3178" t="s">
        <v>58</v>
      </c>
      <c r="E3178" t="s">
        <v>42</v>
      </c>
      <c r="F3178" t="s">
        <v>43</v>
      </c>
      <c r="G3178" t="s">
        <v>44</v>
      </c>
      <c r="H3178" t="s">
        <v>71</v>
      </c>
      <c r="I3178" t="s">
        <v>37</v>
      </c>
      <c r="J3178" t="s">
        <v>87</v>
      </c>
      <c r="K3178">
        <v>7743</v>
      </c>
      <c r="L3178">
        <v>58</v>
      </c>
      <c r="M3178">
        <v>251.7</v>
      </c>
      <c r="N3178">
        <v>3</v>
      </c>
      <c r="O3178">
        <v>70.52</v>
      </c>
      <c r="P3178">
        <f t="shared" si="196"/>
        <v>7.4906367041198503E-3</v>
      </c>
      <c r="Q3178">
        <f t="shared" si="196"/>
        <v>4.3396551724137931</v>
      </c>
      <c r="R3178">
        <f t="shared" si="197"/>
        <v>83.899999999999991</v>
      </c>
      <c r="S3178">
        <f t="shared" si="198"/>
        <v>0.28017481128327376</v>
      </c>
      <c r="T3178">
        <f t="shared" si="199"/>
        <v>5.1724137931034482E-2</v>
      </c>
      <c r="U3178" t="str">
        <f>YEAR('Campaign Data'!$A3178)&amp;"-"&amp;TEXT(MONTH('Campaign Data'!$A3178),"00")</f>
        <v>2026-06</v>
      </c>
    </row>
    <row r="3179" spans="1:21" x14ac:dyDescent="0.25">
      <c r="A3179">
        <v>46195</v>
      </c>
      <c r="B3179" t="s">
        <v>163</v>
      </c>
      <c r="C3179" t="s">
        <v>164</v>
      </c>
      <c r="D3179" t="s">
        <v>58</v>
      </c>
      <c r="E3179" t="s">
        <v>42</v>
      </c>
      <c r="F3179" t="s">
        <v>43</v>
      </c>
      <c r="G3179" t="s">
        <v>44</v>
      </c>
      <c r="H3179" t="s">
        <v>90</v>
      </c>
      <c r="I3179" t="s">
        <v>37</v>
      </c>
      <c r="J3179" t="s">
        <v>45</v>
      </c>
      <c r="K3179">
        <v>3398</v>
      </c>
      <c r="L3179">
        <v>19</v>
      </c>
      <c r="M3179">
        <v>29.13</v>
      </c>
      <c r="N3179">
        <v>2</v>
      </c>
      <c r="O3179">
        <v>15.7</v>
      </c>
      <c r="P3179">
        <f t="shared" si="196"/>
        <v>5.5915244261330191E-3</v>
      </c>
      <c r="Q3179">
        <f t="shared" si="196"/>
        <v>1.5331578947368421</v>
      </c>
      <c r="R3179">
        <f t="shared" si="197"/>
        <v>14.565</v>
      </c>
      <c r="S3179">
        <f t="shared" si="198"/>
        <v>0.53896326810847928</v>
      </c>
      <c r="T3179">
        <f t="shared" si="199"/>
        <v>0.10526315789473684</v>
      </c>
      <c r="U3179" t="str">
        <f>YEAR('Campaign Data'!$A3179)&amp;"-"&amp;TEXT(MONTH('Campaign Data'!$A3179),"00")</f>
        <v>2026-06</v>
      </c>
    </row>
    <row r="3180" spans="1:21" x14ac:dyDescent="0.25">
      <c r="A3180">
        <v>46195</v>
      </c>
      <c r="B3180" t="s">
        <v>145</v>
      </c>
      <c r="C3180" t="s">
        <v>146</v>
      </c>
      <c r="D3180" t="s">
        <v>41</v>
      </c>
      <c r="E3180" t="s">
        <v>49</v>
      </c>
      <c r="F3180" t="s">
        <v>75</v>
      </c>
      <c r="G3180" t="s">
        <v>70</v>
      </c>
      <c r="H3180" t="s">
        <v>55</v>
      </c>
      <c r="I3180" t="s">
        <v>37</v>
      </c>
      <c r="J3180" t="s">
        <v>45</v>
      </c>
      <c r="K3180">
        <v>4588</v>
      </c>
      <c r="L3180">
        <v>173</v>
      </c>
      <c r="M3180">
        <v>204.08</v>
      </c>
      <c r="N3180">
        <v>8</v>
      </c>
      <c r="O3180">
        <v>261.33999999999997</v>
      </c>
      <c r="P3180">
        <f t="shared" si="196"/>
        <v>3.7707061900610288E-2</v>
      </c>
      <c r="Q3180">
        <f t="shared" si="196"/>
        <v>1.1796531791907514</v>
      </c>
      <c r="R3180">
        <f t="shared" si="197"/>
        <v>25.51</v>
      </c>
      <c r="S3180">
        <f t="shared" si="198"/>
        <v>1.2805762446099567</v>
      </c>
      <c r="T3180">
        <f t="shared" si="199"/>
        <v>4.6242774566473986E-2</v>
      </c>
      <c r="U3180" t="str">
        <f>YEAR('Campaign Data'!$A3180)&amp;"-"&amp;TEXT(MONTH('Campaign Data'!$A3180),"00")</f>
        <v>2026-06</v>
      </c>
    </row>
    <row r="3181" spans="1:21" x14ac:dyDescent="0.25">
      <c r="A3181">
        <v>46195</v>
      </c>
      <c r="B3181" t="s">
        <v>76</v>
      </c>
      <c r="C3181" t="s">
        <v>77</v>
      </c>
      <c r="D3181" t="s">
        <v>65</v>
      </c>
      <c r="E3181" t="s">
        <v>42</v>
      </c>
      <c r="F3181" t="s">
        <v>43</v>
      </c>
      <c r="G3181" t="s">
        <v>44</v>
      </c>
      <c r="H3181" t="s">
        <v>55</v>
      </c>
      <c r="I3181" t="s">
        <v>37</v>
      </c>
      <c r="J3181" t="s">
        <v>29</v>
      </c>
      <c r="K3181">
        <v>6871</v>
      </c>
      <c r="L3181">
        <v>32</v>
      </c>
      <c r="M3181">
        <v>173.37</v>
      </c>
      <c r="N3181">
        <v>2</v>
      </c>
      <c r="O3181">
        <v>44.89</v>
      </c>
      <c r="P3181">
        <f t="shared" si="196"/>
        <v>4.6572551302576041E-3</v>
      </c>
      <c r="Q3181">
        <f t="shared" si="196"/>
        <v>5.4178125000000001</v>
      </c>
      <c r="R3181">
        <f t="shared" si="197"/>
        <v>86.685000000000002</v>
      </c>
      <c r="S3181">
        <f t="shared" si="198"/>
        <v>0.2589259964238334</v>
      </c>
      <c r="T3181">
        <f t="shared" si="199"/>
        <v>6.25E-2</v>
      </c>
      <c r="U3181" t="str">
        <f>YEAR('Campaign Data'!$A3181)&amp;"-"&amp;TEXT(MONTH('Campaign Data'!$A3181),"00")</f>
        <v>2026-06</v>
      </c>
    </row>
    <row r="3182" spans="1:21" x14ac:dyDescent="0.25">
      <c r="A3182">
        <v>46196</v>
      </c>
      <c r="B3182" t="s">
        <v>167</v>
      </c>
      <c r="C3182" t="s">
        <v>168</v>
      </c>
      <c r="D3182" t="s">
        <v>58</v>
      </c>
      <c r="E3182" t="s">
        <v>33</v>
      </c>
      <c r="F3182" t="s">
        <v>75</v>
      </c>
      <c r="G3182" t="s">
        <v>35</v>
      </c>
      <c r="H3182" t="s">
        <v>27</v>
      </c>
      <c r="I3182" t="s">
        <v>37</v>
      </c>
      <c r="J3182" t="s">
        <v>62</v>
      </c>
      <c r="K3182">
        <v>2064</v>
      </c>
      <c r="L3182">
        <v>22</v>
      </c>
      <c r="M3182">
        <v>17.850000000000001</v>
      </c>
      <c r="N3182">
        <v>0</v>
      </c>
      <c r="O3182">
        <v>0</v>
      </c>
      <c r="P3182">
        <f t="shared" si="196"/>
        <v>1.065891472868217E-2</v>
      </c>
      <c r="Q3182">
        <f t="shared" si="196"/>
        <v>0.8113636363636364</v>
      </c>
      <c r="R3182">
        <f t="shared" si="197"/>
        <v>0</v>
      </c>
      <c r="S3182">
        <f t="shared" si="198"/>
        <v>0</v>
      </c>
      <c r="T3182">
        <f t="shared" si="199"/>
        <v>0</v>
      </c>
      <c r="U3182" t="str">
        <f>YEAR('Campaign Data'!$A3182)&amp;"-"&amp;TEXT(MONTH('Campaign Data'!$A3182),"00")</f>
        <v>2026-06</v>
      </c>
    </row>
    <row r="3183" spans="1:21" x14ac:dyDescent="0.25">
      <c r="A3183">
        <v>46196</v>
      </c>
      <c r="B3183" t="s">
        <v>125</v>
      </c>
      <c r="C3183" t="s">
        <v>126</v>
      </c>
      <c r="D3183" t="s">
        <v>41</v>
      </c>
      <c r="E3183" t="s">
        <v>42</v>
      </c>
      <c r="F3183" t="s">
        <v>81</v>
      </c>
      <c r="G3183" t="s">
        <v>44</v>
      </c>
      <c r="H3183" t="s">
        <v>90</v>
      </c>
      <c r="I3183" t="s">
        <v>28</v>
      </c>
      <c r="J3183" t="s">
        <v>29</v>
      </c>
      <c r="K3183">
        <v>36164</v>
      </c>
      <c r="L3183">
        <v>309</v>
      </c>
      <c r="M3183">
        <v>693.38</v>
      </c>
      <c r="N3183">
        <v>8</v>
      </c>
      <c r="O3183">
        <v>40</v>
      </c>
      <c r="P3183">
        <f t="shared" si="196"/>
        <v>8.5444088043358044E-3</v>
      </c>
      <c r="Q3183">
        <f t="shared" si="196"/>
        <v>2.2439482200647247</v>
      </c>
      <c r="R3183">
        <f t="shared" si="197"/>
        <v>86.672499999999999</v>
      </c>
      <c r="S3183">
        <f t="shared" si="198"/>
        <v>5.7688424817560355E-2</v>
      </c>
      <c r="T3183">
        <f t="shared" si="199"/>
        <v>2.5889967637540454E-2</v>
      </c>
      <c r="U3183" t="str">
        <f>YEAR('Campaign Data'!$A3183)&amp;"-"&amp;TEXT(MONTH('Campaign Data'!$A3183),"00")</f>
        <v>2026-06</v>
      </c>
    </row>
    <row r="3184" spans="1:21" x14ac:dyDescent="0.25">
      <c r="A3184">
        <v>46196</v>
      </c>
      <c r="B3184" t="s">
        <v>95</v>
      </c>
      <c r="C3184" t="s">
        <v>96</v>
      </c>
      <c r="D3184" t="s">
        <v>23</v>
      </c>
      <c r="E3184" t="s">
        <v>49</v>
      </c>
      <c r="F3184" t="s">
        <v>43</v>
      </c>
      <c r="G3184" t="s">
        <v>97</v>
      </c>
      <c r="H3184" t="s">
        <v>71</v>
      </c>
      <c r="I3184" t="s">
        <v>37</v>
      </c>
      <c r="J3184" t="s">
        <v>45</v>
      </c>
      <c r="K3184">
        <v>5849</v>
      </c>
      <c r="L3184">
        <v>291</v>
      </c>
      <c r="M3184">
        <v>418.37</v>
      </c>
      <c r="N3184">
        <v>25</v>
      </c>
      <c r="O3184">
        <v>561.35</v>
      </c>
      <c r="P3184">
        <f t="shared" si="196"/>
        <v>4.9752094375106859E-2</v>
      </c>
      <c r="Q3184">
        <f t="shared" si="196"/>
        <v>1.4376975945017183</v>
      </c>
      <c r="R3184">
        <f t="shared" si="197"/>
        <v>16.7348</v>
      </c>
      <c r="S3184">
        <f t="shared" si="198"/>
        <v>1.3417549059444989</v>
      </c>
      <c r="T3184">
        <f t="shared" si="199"/>
        <v>8.5910652920962199E-2</v>
      </c>
      <c r="U3184" t="str">
        <f>YEAR('Campaign Data'!$A3184)&amp;"-"&amp;TEXT(MONTH('Campaign Data'!$A3184),"00")</f>
        <v>2026-06</v>
      </c>
    </row>
    <row r="3185" spans="1:21" x14ac:dyDescent="0.25">
      <c r="A3185">
        <v>46196</v>
      </c>
      <c r="B3185" t="s">
        <v>132</v>
      </c>
      <c r="C3185" t="s">
        <v>133</v>
      </c>
      <c r="D3185" t="s">
        <v>23</v>
      </c>
      <c r="E3185" t="s">
        <v>42</v>
      </c>
      <c r="F3185" t="s">
        <v>75</v>
      </c>
      <c r="G3185" t="s">
        <v>84</v>
      </c>
      <c r="H3185" t="s">
        <v>60</v>
      </c>
      <c r="I3185" t="s">
        <v>37</v>
      </c>
      <c r="J3185" t="s">
        <v>38</v>
      </c>
      <c r="K3185">
        <v>7322</v>
      </c>
      <c r="L3185">
        <v>52</v>
      </c>
      <c r="M3185">
        <v>314.42</v>
      </c>
      <c r="N3185">
        <v>3</v>
      </c>
      <c r="O3185">
        <v>123.28</v>
      </c>
      <c r="P3185">
        <f t="shared" si="196"/>
        <v>7.1018847309478285E-3</v>
      </c>
      <c r="Q3185">
        <f t="shared" si="196"/>
        <v>6.0465384615384616</v>
      </c>
      <c r="R3185">
        <f t="shared" si="197"/>
        <v>104.80666666666667</v>
      </c>
      <c r="S3185">
        <f t="shared" si="198"/>
        <v>0.39208701736530754</v>
      </c>
      <c r="T3185">
        <f t="shared" si="199"/>
        <v>5.7692307692307696E-2</v>
      </c>
      <c r="U3185" t="str">
        <f>YEAR('Campaign Data'!$A3185)&amp;"-"&amp;TEXT(MONTH('Campaign Data'!$A3185),"00")</f>
        <v>2026-06</v>
      </c>
    </row>
    <row r="3186" spans="1:21" x14ac:dyDescent="0.25">
      <c r="A3186">
        <v>46196</v>
      </c>
      <c r="B3186" t="s">
        <v>153</v>
      </c>
      <c r="C3186" t="s">
        <v>154</v>
      </c>
      <c r="D3186" t="s">
        <v>48</v>
      </c>
      <c r="E3186" t="s">
        <v>33</v>
      </c>
      <c r="F3186" t="s">
        <v>43</v>
      </c>
      <c r="G3186" t="s">
        <v>59</v>
      </c>
      <c r="H3186" t="s">
        <v>27</v>
      </c>
      <c r="I3186" t="s">
        <v>37</v>
      </c>
      <c r="J3186" t="s">
        <v>45</v>
      </c>
      <c r="K3186">
        <v>4731</v>
      </c>
      <c r="L3186">
        <v>55</v>
      </c>
      <c r="M3186">
        <v>46.52</v>
      </c>
      <c r="N3186">
        <v>1</v>
      </c>
      <c r="O3186">
        <v>28.06</v>
      </c>
      <c r="P3186">
        <f t="shared" si="196"/>
        <v>1.1625449165081379E-2</v>
      </c>
      <c r="Q3186">
        <f t="shared" si="196"/>
        <v>0.84581818181818191</v>
      </c>
      <c r="R3186">
        <f t="shared" si="197"/>
        <v>46.52</v>
      </c>
      <c r="S3186">
        <f t="shared" si="198"/>
        <v>0.60318142734307822</v>
      </c>
      <c r="T3186">
        <f t="shared" si="199"/>
        <v>1.8181818181818181E-2</v>
      </c>
      <c r="U3186" t="str">
        <f>YEAR('Campaign Data'!$A3186)&amp;"-"&amp;TEXT(MONTH('Campaign Data'!$A3186),"00")</f>
        <v>2026-06</v>
      </c>
    </row>
    <row r="3187" spans="1:21" x14ac:dyDescent="0.25">
      <c r="A3187">
        <v>46196</v>
      </c>
      <c r="B3187" t="s">
        <v>179</v>
      </c>
      <c r="C3187" t="s">
        <v>180</v>
      </c>
      <c r="D3187" t="s">
        <v>58</v>
      </c>
      <c r="E3187" t="s">
        <v>42</v>
      </c>
      <c r="F3187" t="s">
        <v>25</v>
      </c>
      <c r="G3187" t="s">
        <v>54</v>
      </c>
      <c r="H3187" t="s">
        <v>55</v>
      </c>
      <c r="I3187" t="s">
        <v>28</v>
      </c>
      <c r="J3187" t="s">
        <v>87</v>
      </c>
      <c r="K3187">
        <v>5627</v>
      </c>
      <c r="L3187">
        <v>32</v>
      </c>
      <c r="M3187">
        <v>127.24</v>
      </c>
      <c r="N3187">
        <v>1</v>
      </c>
      <c r="O3187">
        <v>195.8</v>
      </c>
      <c r="P3187">
        <f t="shared" si="196"/>
        <v>5.6868668917718149E-3</v>
      </c>
      <c r="Q3187">
        <f t="shared" si="196"/>
        <v>3.9762499999999998</v>
      </c>
      <c r="R3187">
        <f t="shared" si="197"/>
        <v>127.24</v>
      </c>
      <c r="S3187">
        <f t="shared" si="198"/>
        <v>1.538824269097768</v>
      </c>
      <c r="T3187">
        <f t="shared" si="199"/>
        <v>3.125E-2</v>
      </c>
      <c r="U3187" t="str">
        <f>YEAR('Campaign Data'!$A3187)&amp;"-"&amp;TEXT(MONTH('Campaign Data'!$A3187),"00")</f>
        <v>2026-06</v>
      </c>
    </row>
    <row r="3188" spans="1:21" x14ac:dyDescent="0.25">
      <c r="A3188">
        <v>46196</v>
      </c>
      <c r="B3188" t="s">
        <v>179</v>
      </c>
      <c r="C3188" t="s">
        <v>180</v>
      </c>
      <c r="D3188" t="s">
        <v>58</v>
      </c>
      <c r="E3188" t="s">
        <v>42</v>
      </c>
      <c r="F3188" t="s">
        <v>25</v>
      </c>
      <c r="G3188" t="s">
        <v>54</v>
      </c>
      <c r="H3188" t="s">
        <v>90</v>
      </c>
      <c r="I3188" t="s">
        <v>28</v>
      </c>
      <c r="J3188" t="s">
        <v>29</v>
      </c>
      <c r="K3188">
        <v>7559</v>
      </c>
      <c r="L3188">
        <v>40</v>
      </c>
      <c r="M3188">
        <v>78.900000000000006</v>
      </c>
      <c r="N3188">
        <v>0</v>
      </c>
      <c r="O3188">
        <v>0</v>
      </c>
      <c r="P3188">
        <f t="shared" si="196"/>
        <v>5.2917052520174623E-3</v>
      </c>
      <c r="Q3188">
        <f t="shared" si="196"/>
        <v>1.9725000000000001</v>
      </c>
      <c r="R3188">
        <f t="shared" si="197"/>
        <v>0</v>
      </c>
      <c r="S3188">
        <f t="shared" si="198"/>
        <v>0</v>
      </c>
      <c r="T3188">
        <f t="shared" si="199"/>
        <v>0</v>
      </c>
      <c r="U3188" t="str">
        <f>YEAR('Campaign Data'!$A3188)&amp;"-"&amp;TEXT(MONTH('Campaign Data'!$A3188),"00")</f>
        <v>2026-06</v>
      </c>
    </row>
    <row r="3189" spans="1:21" x14ac:dyDescent="0.25">
      <c r="A3189">
        <v>46196</v>
      </c>
      <c r="B3189" t="s">
        <v>171</v>
      </c>
      <c r="C3189" t="s">
        <v>172</v>
      </c>
      <c r="D3189" t="s">
        <v>23</v>
      </c>
      <c r="E3189" t="s">
        <v>33</v>
      </c>
      <c r="F3189" t="s">
        <v>75</v>
      </c>
      <c r="G3189" t="s">
        <v>59</v>
      </c>
      <c r="H3189" t="s">
        <v>71</v>
      </c>
      <c r="I3189" t="s">
        <v>37</v>
      </c>
      <c r="J3189" t="s">
        <v>29</v>
      </c>
      <c r="K3189">
        <v>3169</v>
      </c>
      <c r="L3189">
        <v>33</v>
      </c>
      <c r="M3189">
        <v>21.56</v>
      </c>
      <c r="N3189">
        <v>0</v>
      </c>
      <c r="O3189">
        <v>0</v>
      </c>
      <c r="P3189">
        <f t="shared" si="196"/>
        <v>1.0413379615020511E-2</v>
      </c>
      <c r="Q3189">
        <f t="shared" si="196"/>
        <v>0.65333333333333332</v>
      </c>
      <c r="R3189">
        <f t="shared" si="197"/>
        <v>0</v>
      </c>
      <c r="S3189">
        <f t="shared" si="198"/>
        <v>0</v>
      </c>
      <c r="T3189">
        <f t="shared" si="199"/>
        <v>0</v>
      </c>
      <c r="U3189" t="str">
        <f>YEAR('Campaign Data'!$A3189)&amp;"-"&amp;TEXT(MONTH('Campaign Data'!$A3189),"00")</f>
        <v>2026-06</v>
      </c>
    </row>
    <row r="3190" spans="1:21" x14ac:dyDescent="0.25">
      <c r="A3190">
        <v>46196</v>
      </c>
      <c r="B3190" t="s">
        <v>140</v>
      </c>
      <c r="C3190" t="s">
        <v>40</v>
      </c>
      <c r="D3190" t="s">
        <v>41</v>
      </c>
      <c r="E3190" t="s">
        <v>42</v>
      </c>
      <c r="F3190" t="s">
        <v>43</v>
      </c>
      <c r="G3190" t="s">
        <v>44</v>
      </c>
      <c r="H3190" t="s">
        <v>36</v>
      </c>
      <c r="I3190" t="s">
        <v>28</v>
      </c>
      <c r="J3190" t="s">
        <v>45</v>
      </c>
      <c r="K3190">
        <v>5705</v>
      </c>
      <c r="L3190">
        <v>49</v>
      </c>
      <c r="M3190">
        <v>339.51</v>
      </c>
      <c r="N3190">
        <v>1</v>
      </c>
      <c r="O3190">
        <v>23.77</v>
      </c>
      <c r="P3190">
        <f t="shared" si="196"/>
        <v>8.5889570552147246E-3</v>
      </c>
      <c r="Q3190">
        <f t="shared" si="196"/>
        <v>6.9287755102040816</v>
      </c>
      <c r="R3190">
        <f t="shared" si="197"/>
        <v>339.51</v>
      </c>
      <c r="S3190">
        <f t="shared" si="198"/>
        <v>7.0012665311772845E-2</v>
      </c>
      <c r="T3190">
        <f t="shared" si="199"/>
        <v>2.0408163265306121E-2</v>
      </c>
      <c r="U3190" t="str">
        <f>YEAR('Campaign Data'!$A3190)&amp;"-"&amp;TEXT(MONTH('Campaign Data'!$A3190),"00")</f>
        <v>2026-06</v>
      </c>
    </row>
    <row r="3191" spans="1:21" x14ac:dyDescent="0.25">
      <c r="A3191">
        <v>46196</v>
      </c>
      <c r="B3191" t="s">
        <v>155</v>
      </c>
      <c r="C3191" t="s">
        <v>156</v>
      </c>
      <c r="D3191" t="s">
        <v>32</v>
      </c>
      <c r="E3191" t="s">
        <v>24</v>
      </c>
      <c r="F3191" t="s">
        <v>34</v>
      </c>
      <c r="G3191" t="s">
        <v>129</v>
      </c>
      <c r="H3191" t="s">
        <v>55</v>
      </c>
      <c r="I3191" t="s">
        <v>28</v>
      </c>
      <c r="J3191" t="s">
        <v>87</v>
      </c>
      <c r="K3191">
        <v>13045</v>
      </c>
      <c r="L3191">
        <v>160</v>
      </c>
      <c r="M3191">
        <v>106.56</v>
      </c>
      <c r="N3191">
        <v>5</v>
      </c>
      <c r="O3191">
        <v>873.23</v>
      </c>
      <c r="P3191">
        <f t="shared" si="196"/>
        <v>1.2265235722499043E-2</v>
      </c>
      <c r="Q3191">
        <f t="shared" si="196"/>
        <v>0.66600000000000004</v>
      </c>
      <c r="R3191">
        <f t="shared" si="197"/>
        <v>21.312000000000001</v>
      </c>
      <c r="S3191">
        <f t="shared" si="198"/>
        <v>8.1947259759759756</v>
      </c>
      <c r="T3191">
        <f t="shared" si="199"/>
        <v>3.125E-2</v>
      </c>
      <c r="U3191" t="str">
        <f>YEAR('Campaign Data'!$A3191)&amp;"-"&amp;TEXT(MONTH('Campaign Data'!$A3191),"00")</f>
        <v>2026-06</v>
      </c>
    </row>
    <row r="3192" spans="1:21" x14ac:dyDescent="0.25">
      <c r="A3192">
        <v>46196</v>
      </c>
      <c r="B3192" t="s">
        <v>155</v>
      </c>
      <c r="C3192" t="s">
        <v>156</v>
      </c>
      <c r="D3192" t="s">
        <v>32</v>
      </c>
      <c r="E3192" t="s">
        <v>24</v>
      </c>
      <c r="F3192" t="s">
        <v>34</v>
      </c>
      <c r="G3192" t="s">
        <v>129</v>
      </c>
      <c r="H3192" t="s">
        <v>51</v>
      </c>
      <c r="I3192" t="s">
        <v>28</v>
      </c>
      <c r="J3192" t="s">
        <v>45</v>
      </c>
      <c r="K3192">
        <v>3652</v>
      </c>
      <c r="L3192">
        <v>67</v>
      </c>
      <c r="M3192">
        <v>69.98</v>
      </c>
      <c r="N3192">
        <v>1</v>
      </c>
      <c r="O3192">
        <v>127.01</v>
      </c>
      <c r="P3192">
        <f t="shared" si="196"/>
        <v>1.8346111719605696E-2</v>
      </c>
      <c r="Q3192">
        <f t="shared" si="196"/>
        <v>1.0444776119402985</v>
      </c>
      <c r="R3192">
        <f t="shared" si="197"/>
        <v>69.98</v>
      </c>
      <c r="S3192">
        <f t="shared" si="198"/>
        <v>1.8149471277507858</v>
      </c>
      <c r="T3192">
        <f t="shared" si="199"/>
        <v>1.4925373134328358E-2</v>
      </c>
      <c r="U3192" t="str">
        <f>YEAR('Campaign Data'!$A3192)&amp;"-"&amp;TEXT(MONTH('Campaign Data'!$A3192),"00")</f>
        <v>2026-06</v>
      </c>
    </row>
    <row r="3193" spans="1:21" x14ac:dyDescent="0.25">
      <c r="A3193">
        <v>46196</v>
      </c>
      <c r="B3193" t="s">
        <v>159</v>
      </c>
      <c r="C3193" t="s">
        <v>160</v>
      </c>
      <c r="D3193" t="s">
        <v>65</v>
      </c>
      <c r="E3193" t="s">
        <v>42</v>
      </c>
      <c r="F3193" t="s">
        <v>75</v>
      </c>
      <c r="G3193" t="s">
        <v>54</v>
      </c>
      <c r="H3193" t="s">
        <v>36</v>
      </c>
      <c r="I3193" t="s">
        <v>28</v>
      </c>
      <c r="J3193" t="s">
        <v>62</v>
      </c>
      <c r="K3193">
        <v>9648</v>
      </c>
      <c r="L3193">
        <v>89</v>
      </c>
      <c r="M3193">
        <v>527.25</v>
      </c>
      <c r="N3193">
        <v>6</v>
      </c>
      <c r="O3193">
        <v>155.62</v>
      </c>
      <c r="P3193">
        <f t="shared" si="196"/>
        <v>9.2247097844112766E-3</v>
      </c>
      <c r="Q3193">
        <f t="shared" si="196"/>
        <v>5.9241573033707864</v>
      </c>
      <c r="R3193">
        <f t="shared" si="197"/>
        <v>87.875</v>
      </c>
      <c r="S3193">
        <f t="shared" si="198"/>
        <v>0.29515410146989096</v>
      </c>
      <c r="T3193">
        <f t="shared" si="199"/>
        <v>6.741573033707865E-2</v>
      </c>
      <c r="U3193" t="str">
        <f>YEAR('Campaign Data'!$A3193)&amp;"-"&amp;TEXT(MONTH('Campaign Data'!$A3193),"00")</f>
        <v>2026-06</v>
      </c>
    </row>
    <row r="3194" spans="1:21" x14ac:dyDescent="0.25">
      <c r="A3194">
        <v>46196</v>
      </c>
      <c r="B3194" t="s">
        <v>181</v>
      </c>
      <c r="C3194" t="s">
        <v>182</v>
      </c>
      <c r="D3194" t="s">
        <v>32</v>
      </c>
      <c r="E3194" t="s">
        <v>33</v>
      </c>
      <c r="F3194" t="s">
        <v>75</v>
      </c>
      <c r="G3194" t="s">
        <v>59</v>
      </c>
      <c r="H3194" t="s">
        <v>27</v>
      </c>
      <c r="I3194" t="s">
        <v>61</v>
      </c>
      <c r="J3194" t="s">
        <v>87</v>
      </c>
      <c r="K3194">
        <v>2998</v>
      </c>
      <c r="L3194">
        <v>40</v>
      </c>
      <c r="M3194">
        <v>19.79</v>
      </c>
      <c r="N3194">
        <v>1</v>
      </c>
      <c r="O3194">
        <v>81.13</v>
      </c>
      <c r="P3194">
        <f t="shared" si="196"/>
        <v>1.33422281521014E-2</v>
      </c>
      <c r="Q3194">
        <f t="shared" si="196"/>
        <v>0.49474999999999997</v>
      </c>
      <c r="R3194">
        <f t="shared" si="197"/>
        <v>19.79</v>
      </c>
      <c r="S3194">
        <f t="shared" si="198"/>
        <v>4.0995452248610409</v>
      </c>
      <c r="T3194">
        <f t="shared" si="199"/>
        <v>2.5000000000000001E-2</v>
      </c>
      <c r="U3194" t="str">
        <f>YEAR('Campaign Data'!$A3194)&amp;"-"&amp;TEXT(MONTH('Campaign Data'!$A3194),"00")</f>
        <v>2026-06</v>
      </c>
    </row>
    <row r="3195" spans="1:21" x14ac:dyDescent="0.25">
      <c r="A3195">
        <v>46196</v>
      </c>
      <c r="B3195" t="s">
        <v>181</v>
      </c>
      <c r="C3195" t="s">
        <v>182</v>
      </c>
      <c r="D3195" t="s">
        <v>32</v>
      </c>
      <c r="E3195" t="s">
        <v>33</v>
      </c>
      <c r="F3195" t="s">
        <v>75</v>
      </c>
      <c r="G3195" t="s">
        <v>59</v>
      </c>
      <c r="H3195" t="s">
        <v>60</v>
      </c>
      <c r="I3195" t="s">
        <v>37</v>
      </c>
      <c r="J3195" t="s">
        <v>29</v>
      </c>
      <c r="K3195">
        <v>3671</v>
      </c>
      <c r="L3195">
        <v>45</v>
      </c>
      <c r="M3195">
        <v>21.99</v>
      </c>
      <c r="N3195">
        <v>0</v>
      </c>
      <c r="O3195">
        <v>0</v>
      </c>
      <c r="P3195">
        <f t="shared" si="196"/>
        <v>1.2258240261509125E-2</v>
      </c>
      <c r="Q3195">
        <f t="shared" si="196"/>
        <v>0.48866666666666664</v>
      </c>
      <c r="R3195">
        <f t="shared" si="197"/>
        <v>0</v>
      </c>
      <c r="S3195">
        <f t="shared" si="198"/>
        <v>0</v>
      </c>
      <c r="T3195">
        <f t="shared" si="199"/>
        <v>0</v>
      </c>
      <c r="U3195" t="str">
        <f>YEAR('Campaign Data'!$A3195)&amp;"-"&amp;TEXT(MONTH('Campaign Data'!$A3195),"00")</f>
        <v>2026-06</v>
      </c>
    </row>
    <row r="3196" spans="1:21" x14ac:dyDescent="0.25">
      <c r="A3196">
        <v>46196</v>
      </c>
      <c r="B3196" t="s">
        <v>161</v>
      </c>
      <c r="C3196" t="s">
        <v>162</v>
      </c>
      <c r="D3196" t="s">
        <v>48</v>
      </c>
      <c r="E3196" t="s">
        <v>74</v>
      </c>
      <c r="F3196" t="s">
        <v>34</v>
      </c>
      <c r="G3196" t="s">
        <v>107</v>
      </c>
      <c r="H3196" t="s">
        <v>90</v>
      </c>
      <c r="I3196" t="s">
        <v>37</v>
      </c>
      <c r="J3196" t="s">
        <v>45</v>
      </c>
      <c r="K3196">
        <v>1884</v>
      </c>
      <c r="L3196">
        <v>57</v>
      </c>
      <c r="M3196">
        <v>27.02</v>
      </c>
      <c r="N3196">
        <v>0</v>
      </c>
      <c r="O3196">
        <v>0</v>
      </c>
      <c r="P3196">
        <f t="shared" si="196"/>
        <v>3.0254777070063694E-2</v>
      </c>
      <c r="Q3196">
        <f t="shared" si="196"/>
        <v>0.47403508771929825</v>
      </c>
      <c r="R3196">
        <f t="shared" si="197"/>
        <v>0</v>
      </c>
      <c r="S3196">
        <f t="shared" si="198"/>
        <v>0</v>
      </c>
      <c r="T3196">
        <f t="shared" si="199"/>
        <v>0</v>
      </c>
      <c r="U3196" t="str">
        <f>YEAR('Campaign Data'!$A3196)&amp;"-"&amp;TEXT(MONTH('Campaign Data'!$A3196),"00")</f>
        <v>2026-06</v>
      </c>
    </row>
    <row r="3197" spans="1:21" x14ac:dyDescent="0.25">
      <c r="A3197">
        <v>46196</v>
      </c>
      <c r="B3197" t="s">
        <v>161</v>
      </c>
      <c r="C3197" t="s">
        <v>162</v>
      </c>
      <c r="D3197" t="s">
        <v>48</v>
      </c>
      <c r="E3197" t="s">
        <v>74</v>
      </c>
      <c r="F3197" t="s">
        <v>34</v>
      </c>
      <c r="G3197" t="s">
        <v>107</v>
      </c>
      <c r="H3197" t="s">
        <v>36</v>
      </c>
      <c r="I3197" t="s">
        <v>61</v>
      </c>
      <c r="J3197" t="s">
        <v>29</v>
      </c>
      <c r="K3197">
        <v>4229</v>
      </c>
      <c r="L3197">
        <v>128</v>
      </c>
      <c r="M3197">
        <v>169.8</v>
      </c>
      <c r="N3197">
        <v>6</v>
      </c>
      <c r="O3197">
        <v>241.85</v>
      </c>
      <c r="P3197">
        <f t="shared" si="196"/>
        <v>3.0267202648380231E-2</v>
      </c>
      <c r="Q3197">
        <f t="shared" si="196"/>
        <v>1.3265625000000001</v>
      </c>
      <c r="R3197">
        <f t="shared" si="197"/>
        <v>28.3</v>
      </c>
      <c r="S3197">
        <f t="shared" si="198"/>
        <v>1.4243227326266195</v>
      </c>
      <c r="T3197">
        <f t="shared" si="199"/>
        <v>4.6875E-2</v>
      </c>
      <c r="U3197" t="str">
        <f>YEAR('Campaign Data'!$A3197)&amp;"-"&amp;TEXT(MONTH('Campaign Data'!$A3197),"00")</f>
        <v>2026-06</v>
      </c>
    </row>
    <row r="3198" spans="1:21" x14ac:dyDescent="0.25">
      <c r="A3198">
        <v>46196</v>
      </c>
      <c r="B3198" t="s">
        <v>141</v>
      </c>
      <c r="C3198" t="s">
        <v>142</v>
      </c>
      <c r="D3198" t="s">
        <v>80</v>
      </c>
      <c r="E3198" t="s">
        <v>49</v>
      </c>
      <c r="F3198" t="s">
        <v>81</v>
      </c>
      <c r="G3198" t="s">
        <v>97</v>
      </c>
      <c r="H3198" t="s">
        <v>27</v>
      </c>
      <c r="I3198" t="s">
        <v>37</v>
      </c>
      <c r="J3198" t="s">
        <v>87</v>
      </c>
      <c r="K3198">
        <v>22190</v>
      </c>
      <c r="L3198">
        <v>1711</v>
      </c>
      <c r="M3198">
        <v>3098.96</v>
      </c>
      <c r="N3198">
        <v>80</v>
      </c>
      <c r="O3198">
        <v>1561.93</v>
      </c>
      <c r="P3198">
        <f t="shared" si="196"/>
        <v>7.7106804867057233E-2</v>
      </c>
      <c r="Q3198">
        <f t="shared" si="196"/>
        <v>1.811198129748685</v>
      </c>
      <c r="R3198">
        <f t="shared" si="197"/>
        <v>38.737000000000002</v>
      </c>
      <c r="S3198">
        <f t="shared" si="198"/>
        <v>0.50401747683093689</v>
      </c>
      <c r="T3198">
        <f t="shared" si="199"/>
        <v>4.6756282875511396E-2</v>
      </c>
      <c r="U3198" t="str">
        <f>YEAR('Campaign Data'!$A3198)&amp;"-"&amp;TEXT(MONTH('Campaign Data'!$A3198),"00")</f>
        <v>2026-06</v>
      </c>
    </row>
    <row r="3199" spans="1:21" x14ac:dyDescent="0.25">
      <c r="A3199">
        <v>46196</v>
      </c>
      <c r="B3199" t="s">
        <v>63</v>
      </c>
      <c r="C3199" t="s">
        <v>64</v>
      </c>
      <c r="D3199" t="s">
        <v>65</v>
      </c>
      <c r="E3199" t="s">
        <v>24</v>
      </c>
      <c r="F3199" t="s">
        <v>43</v>
      </c>
      <c r="G3199" t="s">
        <v>66</v>
      </c>
      <c r="H3199" t="s">
        <v>55</v>
      </c>
      <c r="I3199" t="s">
        <v>28</v>
      </c>
      <c r="J3199" t="s">
        <v>38</v>
      </c>
      <c r="K3199">
        <v>2411</v>
      </c>
      <c r="L3199">
        <v>24</v>
      </c>
      <c r="M3199">
        <v>21.67</v>
      </c>
      <c r="N3199">
        <v>1</v>
      </c>
      <c r="O3199">
        <v>21.35</v>
      </c>
      <c r="P3199">
        <f t="shared" si="196"/>
        <v>9.9543757776856083E-3</v>
      </c>
      <c r="Q3199">
        <f t="shared" si="196"/>
        <v>0.9029166666666667</v>
      </c>
      <c r="R3199">
        <f t="shared" si="197"/>
        <v>21.67</v>
      </c>
      <c r="S3199">
        <f t="shared" si="198"/>
        <v>0.9852330410706045</v>
      </c>
      <c r="T3199">
        <f t="shared" si="199"/>
        <v>4.1666666666666664E-2</v>
      </c>
      <c r="U3199" t="str">
        <f>YEAR('Campaign Data'!$A3199)&amp;"-"&amp;TEXT(MONTH('Campaign Data'!$A3199),"00")</f>
        <v>2026-06</v>
      </c>
    </row>
    <row r="3200" spans="1:21" x14ac:dyDescent="0.25">
      <c r="A3200">
        <v>46196</v>
      </c>
      <c r="B3200" t="s">
        <v>63</v>
      </c>
      <c r="C3200" t="s">
        <v>64</v>
      </c>
      <c r="D3200" t="s">
        <v>65</v>
      </c>
      <c r="E3200" t="s">
        <v>24</v>
      </c>
      <c r="F3200" t="s">
        <v>43</v>
      </c>
      <c r="G3200" t="s">
        <v>66</v>
      </c>
      <c r="H3200" t="s">
        <v>55</v>
      </c>
      <c r="I3200" t="s">
        <v>28</v>
      </c>
      <c r="J3200" t="s">
        <v>29</v>
      </c>
      <c r="K3200">
        <v>4865</v>
      </c>
      <c r="L3200">
        <v>43</v>
      </c>
      <c r="M3200">
        <v>30.73</v>
      </c>
      <c r="N3200">
        <v>0</v>
      </c>
      <c r="O3200">
        <v>0</v>
      </c>
      <c r="P3200">
        <f t="shared" si="196"/>
        <v>8.8386433710174721E-3</v>
      </c>
      <c r="Q3200">
        <f t="shared" si="196"/>
        <v>0.71465116279069774</v>
      </c>
      <c r="R3200">
        <f t="shared" si="197"/>
        <v>0</v>
      </c>
      <c r="S3200">
        <f t="shared" si="198"/>
        <v>0</v>
      </c>
      <c r="T3200">
        <f t="shared" si="199"/>
        <v>0</v>
      </c>
      <c r="U3200" t="str">
        <f>YEAR('Campaign Data'!$A3200)&amp;"-"&amp;TEXT(MONTH('Campaign Data'!$A3200),"00")</f>
        <v>2026-06</v>
      </c>
    </row>
    <row r="3201" spans="1:21" x14ac:dyDescent="0.25">
      <c r="A3201">
        <v>46196</v>
      </c>
      <c r="B3201" t="s">
        <v>183</v>
      </c>
      <c r="C3201" t="s">
        <v>184</v>
      </c>
      <c r="D3201" t="s">
        <v>23</v>
      </c>
      <c r="E3201" t="s">
        <v>24</v>
      </c>
      <c r="F3201" t="s">
        <v>81</v>
      </c>
      <c r="G3201" t="s">
        <v>185</v>
      </c>
      <c r="H3201" t="s">
        <v>90</v>
      </c>
      <c r="I3201" t="s">
        <v>37</v>
      </c>
      <c r="J3201" t="s">
        <v>45</v>
      </c>
      <c r="K3201">
        <v>5343</v>
      </c>
      <c r="L3201">
        <v>50</v>
      </c>
      <c r="M3201">
        <v>15.38</v>
      </c>
      <c r="N3201">
        <v>3</v>
      </c>
      <c r="O3201">
        <v>26.68</v>
      </c>
      <c r="P3201">
        <f t="shared" si="196"/>
        <v>9.3580385551188475E-3</v>
      </c>
      <c r="Q3201">
        <f t="shared" si="196"/>
        <v>0.30760000000000004</v>
      </c>
      <c r="R3201">
        <f t="shared" si="197"/>
        <v>5.1266666666666669</v>
      </c>
      <c r="S3201">
        <f t="shared" si="198"/>
        <v>1.7347204161248373</v>
      </c>
      <c r="T3201">
        <f t="shared" si="199"/>
        <v>0.06</v>
      </c>
      <c r="U3201" t="str">
        <f>YEAR('Campaign Data'!$A3201)&amp;"-"&amp;TEXT(MONTH('Campaign Data'!$A3201),"00")</f>
        <v>2026-06</v>
      </c>
    </row>
    <row r="3202" spans="1:21" x14ac:dyDescent="0.25">
      <c r="A3202">
        <v>46196</v>
      </c>
      <c r="B3202" t="s">
        <v>116</v>
      </c>
      <c r="C3202" t="s">
        <v>117</v>
      </c>
      <c r="D3202" t="s">
        <v>48</v>
      </c>
      <c r="E3202" t="s">
        <v>24</v>
      </c>
      <c r="F3202" t="s">
        <v>43</v>
      </c>
      <c r="G3202" t="s">
        <v>26</v>
      </c>
      <c r="H3202" t="s">
        <v>36</v>
      </c>
      <c r="I3202" t="s">
        <v>28</v>
      </c>
      <c r="J3202" t="s">
        <v>38</v>
      </c>
      <c r="K3202">
        <v>3842</v>
      </c>
      <c r="L3202">
        <v>69</v>
      </c>
      <c r="M3202">
        <v>71.06</v>
      </c>
      <c r="N3202">
        <v>2</v>
      </c>
      <c r="O3202">
        <v>45.48</v>
      </c>
      <c r="P3202">
        <f t="shared" ref="P3202:Q3265" si="200">IF(K3202=0,0,L3202/K3202)</f>
        <v>1.7959396147839667E-2</v>
      </c>
      <c r="Q3202">
        <f t="shared" si="200"/>
        <v>1.0298550724637681</v>
      </c>
      <c r="R3202">
        <f t="shared" ref="R3202:R3265" si="201">IF(N3202=0,0,M3202/N3202)</f>
        <v>35.53</v>
      </c>
      <c r="S3202">
        <f t="shared" ref="S3202:S3265" si="202">IF(M3202=0,0,O3202/M3202)</f>
        <v>0.64002251618350681</v>
      </c>
      <c r="T3202">
        <f t="shared" ref="T3202:T3265" si="203">IF(L3202=0,0,N3202/L3202)</f>
        <v>2.8985507246376812E-2</v>
      </c>
      <c r="U3202" t="str">
        <f>YEAR('Campaign Data'!$A3202)&amp;"-"&amp;TEXT(MONTH('Campaign Data'!$A3202),"00")</f>
        <v>2026-06</v>
      </c>
    </row>
    <row r="3203" spans="1:21" x14ac:dyDescent="0.25">
      <c r="A3203">
        <v>46196</v>
      </c>
      <c r="B3203" t="s">
        <v>163</v>
      </c>
      <c r="C3203" t="s">
        <v>164</v>
      </c>
      <c r="D3203" t="s">
        <v>58</v>
      </c>
      <c r="E3203" t="s">
        <v>42</v>
      </c>
      <c r="F3203" t="s">
        <v>43</v>
      </c>
      <c r="G3203" t="s">
        <v>44</v>
      </c>
      <c r="H3203" t="s">
        <v>90</v>
      </c>
      <c r="I3203" t="s">
        <v>37</v>
      </c>
      <c r="J3203" t="s">
        <v>45</v>
      </c>
      <c r="K3203">
        <v>4028</v>
      </c>
      <c r="L3203">
        <v>27</v>
      </c>
      <c r="M3203">
        <v>34.65</v>
      </c>
      <c r="N3203">
        <v>1</v>
      </c>
      <c r="O3203">
        <v>5.74</v>
      </c>
      <c r="P3203">
        <f t="shared" si="200"/>
        <v>6.7030784508440916E-3</v>
      </c>
      <c r="Q3203">
        <f t="shared" si="200"/>
        <v>1.2833333333333332</v>
      </c>
      <c r="R3203">
        <f t="shared" si="201"/>
        <v>34.65</v>
      </c>
      <c r="S3203">
        <f t="shared" si="202"/>
        <v>0.16565656565656567</v>
      </c>
      <c r="T3203">
        <f t="shared" si="203"/>
        <v>3.7037037037037035E-2</v>
      </c>
      <c r="U3203" t="str">
        <f>YEAR('Campaign Data'!$A3203)&amp;"-"&amp;TEXT(MONTH('Campaign Data'!$A3203),"00")</f>
        <v>2026-06</v>
      </c>
    </row>
    <row r="3204" spans="1:21" x14ac:dyDescent="0.25">
      <c r="A3204">
        <v>46197</v>
      </c>
      <c r="B3204" t="s">
        <v>165</v>
      </c>
      <c r="C3204" t="s">
        <v>166</v>
      </c>
      <c r="D3204" t="s">
        <v>41</v>
      </c>
      <c r="E3204" t="s">
        <v>33</v>
      </c>
      <c r="F3204" t="s">
        <v>43</v>
      </c>
      <c r="G3204" t="s">
        <v>59</v>
      </c>
      <c r="H3204" t="s">
        <v>55</v>
      </c>
      <c r="I3204" t="s">
        <v>37</v>
      </c>
      <c r="J3204" t="s">
        <v>38</v>
      </c>
      <c r="K3204">
        <v>1250</v>
      </c>
      <c r="L3204">
        <v>11</v>
      </c>
      <c r="M3204">
        <v>4.34</v>
      </c>
      <c r="N3204">
        <v>1</v>
      </c>
      <c r="O3204">
        <v>33.07</v>
      </c>
      <c r="P3204">
        <f t="shared" si="200"/>
        <v>8.8000000000000005E-3</v>
      </c>
      <c r="Q3204">
        <f t="shared" si="200"/>
        <v>0.39454545454545453</v>
      </c>
      <c r="R3204">
        <f t="shared" si="201"/>
        <v>4.34</v>
      </c>
      <c r="S3204">
        <f t="shared" si="202"/>
        <v>7.6198156682027651</v>
      </c>
      <c r="T3204">
        <f t="shared" si="203"/>
        <v>9.0909090909090912E-2</v>
      </c>
      <c r="U3204" t="str">
        <f>YEAR('Campaign Data'!$A3204)&amp;"-"&amp;TEXT(MONTH('Campaign Data'!$A3204),"00")</f>
        <v>2026-06</v>
      </c>
    </row>
    <row r="3205" spans="1:21" x14ac:dyDescent="0.25">
      <c r="A3205">
        <v>46197</v>
      </c>
      <c r="B3205" t="s">
        <v>173</v>
      </c>
      <c r="C3205" t="s">
        <v>174</v>
      </c>
      <c r="D3205" t="s">
        <v>48</v>
      </c>
      <c r="E3205" t="s">
        <v>74</v>
      </c>
      <c r="F3205" t="s">
        <v>25</v>
      </c>
      <c r="G3205" t="s">
        <v>9</v>
      </c>
      <c r="H3205" t="s">
        <v>60</v>
      </c>
      <c r="I3205" t="s">
        <v>28</v>
      </c>
      <c r="J3205" t="s">
        <v>62</v>
      </c>
      <c r="K3205">
        <v>12755</v>
      </c>
      <c r="L3205">
        <v>371</v>
      </c>
      <c r="M3205">
        <v>565.23</v>
      </c>
      <c r="N3205">
        <v>17</v>
      </c>
      <c r="O3205">
        <v>2392.34</v>
      </c>
      <c r="P3205">
        <f t="shared" si="200"/>
        <v>2.9086632693061543E-2</v>
      </c>
      <c r="Q3205">
        <f t="shared" si="200"/>
        <v>1.5235309973045823</v>
      </c>
      <c r="R3205">
        <f t="shared" si="201"/>
        <v>33.248823529411766</v>
      </c>
      <c r="S3205">
        <f t="shared" si="202"/>
        <v>4.2325071209949936</v>
      </c>
      <c r="T3205">
        <f t="shared" si="203"/>
        <v>4.5822102425876012E-2</v>
      </c>
      <c r="U3205" t="str">
        <f>YEAR('Campaign Data'!$A3205)&amp;"-"&amp;TEXT(MONTH('Campaign Data'!$A3205),"00")</f>
        <v>2026-06</v>
      </c>
    </row>
    <row r="3206" spans="1:21" x14ac:dyDescent="0.25">
      <c r="A3206">
        <v>46197</v>
      </c>
      <c r="B3206" t="s">
        <v>21</v>
      </c>
      <c r="C3206" t="s">
        <v>124</v>
      </c>
      <c r="D3206" t="s">
        <v>23</v>
      </c>
      <c r="E3206" t="s">
        <v>24</v>
      </c>
      <c r="F3206" t="s">
        <v>25</v>
      </c>
      <c r="G3206" t="s">
        <v>26</v>
      </c>
      <c r="H3206" t="s">
        <v>51</v>
      </c>
      <c r="I3206" t="s">
        <v>28</v>
      </c>
      <c r="J3206" t="s">
        <v>87</v>
      </c>
      <c r="K3206">
        <v>20292</v>
      </c>
      <c r="L3206">
        <v>214</v>
      </c>
      <c r="M3206">
        <v>263.02</v>
      </c>
      <c r="N3206">
        <v>5</v>
      </c>
      <c r="O3206">
        <v>516.88</v>
      </c>
      <c r="P3206">
        <f t="shared" si="200"/>
        <v>1.0546027991326631E-2</v>
      </c>
      <c r="Q3206">
        <f t="shared" si="200"/>
        <v>1.2290654205607476</v>
      </c>
      <c r="R3206">
        <f t="shared" si="201"/>
        <v>52.603999999999999</v>
      </c>
      <c r="S3206">
        <f t="shared" si="202"/>
        <v>1.965173751045548</v>
      </c>
      <c r="T3206">
        <f t="shared" si="203"/>
        <v>2.336448598130841E-2</v>
      </c>
      <c r="U3206" t="str">
        <f>YEAR('Campaign Data'!$A3206)&amp;"-"&amp;TEXT(MONTH('Campaign Data'!$A3206),"00")</f>
        <v>2026-06</v>
      </c>
    </row>
    <row r="3207" spans="1:21" x14ac:dyDescent="0.25">
      <c r="A3207">
        <v>46197</v>
      </c>
      <c r="B3207" t="s">
        <v>167</v>
      </c>
      <c r="C3207" t="s">
        <v>168</v>
      </c>
      <c r="D3207" t="s">
        <v>58</v>
      </c>
      <c r="E3207" t="s">
        <v>33</v>
      </c>
      <c r="F3207" t="s">
        <v>75</v>
      </c>
      <c r="G3207" t="s">
        <v>35</v>
      </c>
      <c r="H3207" t="s">
        <v>27</v>
      </c>
      <c r="I3207" t="s">
        <v>28</v>
      </c>
      <c r="J3207" t="s">
        <v>87</v>
      </c>
      <c r="K3207">
        <v>32791</v>
      </c>
      <c r="L3207">
        <v>218</v>
      </c>
      <c r="M3207">
        <v>201.44</v>
      </c>
      <c r="N3207">
        <v>2</v>
      </c>
      <c r="O3207">
        <v>85.78</v>
      </c>
      <c r="P3207">
        <f t="shared" si="200"/>
        <v>6.6481656552102707E-3</v>
      </c>
      <c r="Q3207">
        <f t="shared" si="200"/>
        <v>0.92403669724770643</v>
      </c>
      <c r="R3207">
        <f t="shared" si="201"/>
        <v>100.72</v>
      </c>
      <c r="S3207">
        <f t="shared" si="202"/>
        <v>0.42583399523431298</v>
      </c>
      <c r="T3207">
        <f t="shared" si="203"/>
        <v>9.1743119266055051E-3</v>
      </c>
      <c r="U3207" t="str">
        <f>YEAR('Campaign Data'!$A3207)&amp;"-"&amp;TEXT(MONTH('Campaign Data'!$A3207),"00")</f>
        <v>2026-06</v>
      </c>
    </row>
    <row r="3208" spans="1:21" x14ac:dyDescent="0.25">
      <c r="A3208">
        <v>46197</v>
      </c>
      <c r="B3208" t="s">
        <v>167</v>
      </c>
      <c r="C3208" t="s">
        <v>168</v>
      </c>
      <c r="D3208" t="s">
        <v>58</v>
      </c>
      <c r="E3208" t="s">
        <v>33</v>
      </c>
      <c r="F3208" t="s">
        <v>75</v>
      </c>
      <c r="G3208" t="s">
        <v>35</v>
      </c>
      <c r="H3208" t="s">
        <v>27</v>
      </c>
      <c r="I3208" t="s">
        <v>37</v>
      </c>
      <c r="J3208" t="s">
        <v>38</v>
      </c>
      <c r="K3208">
        <v>17691</v>
      </c>
      <c r="L3208">
        <v>272</v>
      </c>
      <c r="M3208">
        <v>193.75</v>
      </c>
      <c r="N3208">
        <v>2</v>
      </c>
      <c r="O3208">
        <v>78.680000000000007</v>
      </c>
      <c r="P3208">
        <f t="shared" si="200"/>
        <v>1.5375049460177492E-2</v>
      </c>
      <c r="Q3208">
        <f t="shared" si="200"/>
        <v>0.7123161764705882</v>
      </c>
      <c r="R3208">
        <f t="shared" si="201"/>
        <v>96.875</v>
      </c>
      <c r="S3208">
        <f t="shared" si="202"/>
        <v>0.4060903225806452</v>
      </c>
      <c r="T3208">
        <f t="shared" si="203"/>
        <v>7.3529411764705881E-3</v>
      </c>
      <c r="U3208" t="str">
        <f>YEAR('Campaign Data'!$A3208)&amp;"-"&amp;TEXT(MONTH('Campaign Data'!$A3208),"00")</f>
        <v>2026-06</v>
      </c>
    </row>
    <row r="3209" spans="1:21" x14ac:dyDescent="0.25">
      <c r="A3209">
        <v>46197</v>
      </c>
      <c r="B3209" t="s">
        <v>91</v>
      </c>
      <c r="C3209" t="s">
        <v>92</v>
      </c>
      <c r="D3209" t="s">
        <v>41</v>
      </c>
      <c r="E3209" t="s">
        <v>74</v>
      </c>
      <c r="F3209" t="s">
        <v>75</v>
      </c>
      <c r="G3209" t="s">
        <v>9</v>
      </c>
      <c r="H3209" t="s">
        <v>27</v>
      </c>
      <c r="I3209" t="s">
        <v>28</v>
      </c>
      <c r="J3209" t="s">
        <v>45</v>
      </c>
      <c r="K3209">
        <v>6923</v>
      </c>
      <c r="L3209">
        <v>162</v>
      </c>
      <c r="M3209">
        <v>262.72000000000003</v>
      </c>
      <c r="N3209">
        <v>3</v>
      </c>
      <c r="O3209">
        <v>103.97</v>
      </c>
      <c r="P3209">
        <f t="shared" si="200"/>
        <v>2.3400260002888921E-2</v>
      </c>
      <c r="Q3209">
        <f t="shared" si="200"/>
        <v>1.6217283950617285</v>
      </c>
      <c r="R3209">
        <f t="shared" si="201"/>
        <v>87.573333333333338</v>
      </c>
      <c r="S3209">
        <f t="shared" si="202"/>
        <v>0.39574451887941531</v>
      </c>
      <c r="T3209">
        <f t="shared" si="203"/>
        <v>1.8518518518518517E-2</v>
      </c>
      <c r="U3209" t="str">
        <f>YEAR('Campaign Data'!$A3209)&amp;"-"&amp;TEXT(MONTH('Campaign Data'!$A3209),"00")</f>
        <v>2026-06</v>
      </c>
    </row>
    <row r="3210" spans="1:21" x14ac:dyDescent="0.25">
      <c r="A3210">
        <v>46197</v>
      </c>
      <c r="B3210" t="s">
        <v>95</v>
      </c>
      <c r="C3210" t="s">
        <v>96</v>
      </c>
      <c r="D3210" t="s">
        <v>23</v>
      </c>
      <c r="E3210" t="s">
        <v>49</v>
      </c>
      <c r="F3210" t="s">
        <v>43</v>
      </c>
      <c r="G3210" t="s">
        <v>97</v>
      </c>
      <c r="H3210" t="s">
        <v>90</v>
      </c>
      <c r="I3210" t="s">
        <v>28</v>
      </c>
      <c r="J3210" t="s">
        <v>29</v>
      </c>
      <c r="K3210">
        <v>2085</v>
      </c>
      <c r="L3210">
        <v>87</v>
      </c>
      <c r="M3210">
        <v>26.02</v>
      </c>
      <c r="N3210">
        <v>1</v>
      </c>
      <c r="O3210">
        <v>5.37</v>
      </c>
      <c r="P3210">
        <f t="shared" si="200"/>
        <v>4.1726618705035974E-2</v>
      </c>
      <c r="Q3210">
        <f t="shared" si="200"/>
        <v>0.29908045977011494</v>
      </c>
      <c r="R3210">
        <f t="shared" si="201"/>
        <v>26.02</v>
      </c>
      <c r="S3210">
        <f t="shared" si="202"/>
        <v>0.20637970791698695</v>
      </c>
      <c r="T3210">
        <f t="shared" si="203"/>
        <v>1.1494252873563218E-2</v>
      </c>
      <c r="U3210" t="str">
        <f>YEAR('Campaign Data'!$A3210)&amp;"-"&amp;TEXT(MONTH('Campaign Data'!$A3210),"00")</f>
        <v>2026-06</v>
      </c>
    </row>
    <row r="3211" spans="1:21" x14ac:dyDescent="0.25">
      <c r="A3211">
        <v>46197</v>
      </c>
      <c r="B3211" t="s">
        <v>95</v>
      </c>
      <c r="C3211" t="s">
        <v>96</v>
      </c>
      <c r="D3211" t="s">
        <v>23</v>
      </c>
      <c r="E3211" t="s">
        <v>49</v>
      </c>
      <c r="F3211" t="s">
        <v>43</v>
      </c>
      <c r="G3211" t="s">
        <v>97</v>
      </c>
      <c r="H3211" t="s">
        <v>36</v>
      </c>
      <c r="I3211" t="s">
        <v>37</v>
      </c>
      <c r="J3211" t="s">
        <v>62</v>
      </c>
      <c r="K3211">
        <v>6881</v>
      </c>
      <c r="L3211">
        <v>359</v>
      </c>
      <c r="M3211">
        <v>825.54</v>
      </c>
      <c r="N3211">
        <v>11</v>
      </c>
      <c r="O3211">
        <v>289.47000000000003</v>
      </c>
      <c r="P3211">
        <f t="shared" si="200"/>
        <v>5.2172649324226127E-2</v>
      </c>
      <c r="Q3211">
        <f t="shared" si="200"/>
        <v>2.2995543175487465</v>
      </c>
      <c r="R3211">
        <f t="shared" si="201"/>
        <v>75.049090909090907</v>
      </c>
      <c r="S3211">
        <f t="shared" si="202"/>
        <v>0.3506432153499528</v>
      </c>
      <c r="T3211">
        <f t="shared" si="203"/>
        <v>3.0640668523676879E-2</v>
      </c>
      <c r="U3211" t="str">
        <f>YEAR('Campaign Data'!$A3211)&amp;"-"&amp;TEXT(MONTH('Campaign Data'!$A3211),"00")</f>
        <v>2026-06</v>
      </c>
    </row>
    <row r="3212" spans="1:21" x14ac:dyDescent="0.25">
      <c r="A3212">
        <v>46197</v>
      </c>
      <c r="B3212" t="s">
        <v>46</v>
      </c>
      <c r="C3212" t="s">
        <v>47</v>
      </c>
      <c r="D3212" t="s">
        <v>48</v>
      </c>
      <c r="E3212" t="s">
        <v>49</v>
      </c>
      <c r="F3212" t="s">
        <v>43</v>
      </c>
      <c r="G3212" t="s">
        <v>50</v>
      </c>
      <c r="H3212" t="s">
        <v>27</v>
      </c>
      <c r="I3212" t="s">
        <v>61</v>
      </c>
      <c r="J3212" t="s">
        <v>45</v>
      </c>
      <c r="K3212">
        <v>4436</v>
      </c>
      <c r="L3212">
        <v>191</v>
      </c>
      <c r="M3212">
        <v>407.87</v>
      </c>
      <c r="N3212">
        <v>11</v>
      </c>
      <c r="O3212">
        <v>381.79</v>
      </c>
      <c r="P3212">
        <f t="shared" si="200"/>
        <v>4.3056807935076644E-2</v>
      </c>
      <c r="Q3212">
        <f t="shared" si="200"/>
        <v>2.1354450261780107</v>
      </c>
      <c r="R3212">
        <f t="shared" si="201"/>
        <v>37.079090909090908</v>
      </c>
      <c r="S3212">
        <f t="shared" si="202"/>
        <v>0.93605805771446793</v>
      </c>
      <c r="T3212">
        <f t="shared" si="203"/>
        <v>5.7591623036649213E-2</v>
      </c>
      <c r="U3212" t="str">
        <f>YEAR('Campaign Data'!$A3212)&amp;"-"&amp;TEXT(MONTH('Campaign Data'!$A3212),"00")</f>
        <v>2026-06</v>
      </c>
    </row>
    <row r="3213" spans="1:21" x14ac:dyDescent="0.25">
      <c r="A3213">
        <v>46197</v>
      </c>
      <c r="B3213" t="s">
        <v>105</v>
      </c>
      <c r="C3213" t="s">
        <v>106</v>
      </c>
      <c r="D3213" t="s">
        <v>58</v>
      </c>
      <c r="E3213" t="s">
        <v>49</v>
      </c>
      <c r="F3213" t="s">
        <v>81</v>
      </c>
      <c r="G3213" t="s">
        <v>107</v>
      </c>
      <c r="H3213" t="s">
        <v>90</v>
      </c>
      <c r="I3213" t="s">
        <v>28</v>
      </c>
      <c r="J3213" t="s">
        <v>45</v>
      </c>
      <c r="K3213">
        <v>10015</v>
      </c>
      <c r="L3213">
        <v>530</v>
      </c>
      <c r="M3213">
        <v>213.99</v>
      </c>
      <c r="N3213">
        <v>31</v>
      </c>
      <c r="O3213">
        <v>182.17</v>
      </c>
      <c r="P3213">
        <f t="shared" si="200"/>
        <v>5.2920619071392908E-2</v>
      </c>
      <c r="Q3213">
        <f t="shared" si="200"/>
        <v>0.40375471698113208</v>
      </c>
      <c r="R3213">
        <f t="shared" si="201"/>
        <v>6.902903225806452</v>
      </c>
      <c r="S3213">
        <f t="shared" si="202"/>
        <v>0.85130146268517215</v>
      </c>
      <c r="T3213">
        <f t="shared" si="203"/>
        <v>5.849056603773585E-2</v>
      </c>
      <c r="U3213" t="str">
        <f>YEAR('Campaign Data'!$A3213)&amp;"-"&amp;TEXT(MONTH('Campaign Data'!$A3213),"00")</f>
        <v>2026-06</v>
      </c>
    </row>
    <row r="3214" spans="1:21" x14ac:dyDescent="0.25">
      <c r="A3214">
        <v>46197</v>
      </c>
      <c r="B3214" t="s">
        <v>108</v>
      </c>
      <c r="C3214" t="s">
        <v>109</v>
      </c>
      <c r="D3214" t="s">
        <v>58</v>
      </c>
      <c r="E3214" t="s">
        <v>33</v>
      </c>
      <c r="F3214" t="s">
        <v>43</v>
      </c>
      <c r="G3214" t="s">
        <v>59</v>
      </c>
      <c r="H3214" t="s">
        <v>90</v>
      </c>
      <c r="I3214" t="s">
        <v>28</v>
      </c>
      <c r="J3214" t="s">
        <v>38</v>
      </c>
      <c r="K3214">
        <v>16682</v>
      </c>
      <c r="L3214">
        <v>112</v>
      </c>
      <c r="M3214">
        <v>25.98</v>
      </c>
      <c r="N3214">
        <v>1</v>
      </c>
      <c r="O3214">
        <v>5</v>
      </c>
      <c r="P3214">
        <f t="shared" si="200"/>
        <v>6.7138232825800261E-3</v>
      </c>
      <c r="Q3214">
        <f t="shared" si="200"/>
        <v>0.23196428571428571</v>
      </c>
      <c r="R3214">
        <f t="shared" si="201"/>
        <v>25.98</v>
      </c>
      <c r="S3214">
        <f t="shared" si="202"/>
        <v>0.19245573518090839</v>
      </c>
      <c r="T3214">
        <f t="shared" si="203"/>
        <v>8.9285714285714281E-3</v>
      </c>
      <c r="U3214" t="str">
        <f>YEAR('Campaign Data'!$A3214)&amp;"-"&amp;TEXT(MONTH('Campaign Data'!$A3214),"00")</f>
        <v>2026-06</v>
      </c>
    </row>
    <row r="3215" spans="1:21" x14ac:dyDescent="0.25">
      <c r="A3215">
        <v>46197</v>
      </c>
      <c r="B3215" t="s">
        <v>134</v>
      </c>
      <c r="C3215" t="s">
        <v>135</v>
      </c>
      <c r="D3215" t="s">
        <v>32</v>
      </c>
      <c r="E3215" t="s">
        <v>74</v>
      </c>
      <c r="F3215" t="s">
        <v>25</v>
      </c>
      <c r="G3215" t="s">
        <v>107</v>
      </c>
      <c r="H3215" t="s">
        <v>36</v>
      </c>
      <c r="I3215" t="s">
        <v>37</v>
      </c>
      <c r="J3215" t="s">
        <v>62</v>
      </c>
      <c r="K3215">
        <v>7792</v>
      </c>
      <c r="L3215">
        <v>210</v>
      </c>
      <c r="M3215">
        <v>323.88</v>
      </c>
      <c r="N3215">
        <v>10</v>
      </c>
      <c r="O3215">
        <v>1673.29</v>
      </c>
      <c r="P3215">
        <f t="shared" si="200"/>
        <v>2.6950718685831623E-2</v>
      </c>
      <c r="Q3215">
        <f t="shared" si="200"/>
        <v>1.5422857142857143</v>
      </c>
      <c r="R3215">
        <f t="shared" si="201"/>
        <v>32.387999999999998</v>
      </c>
      <c r="S3215">
        <f t="shared" si="202"/>
        <v>5.1663887859701125</v>
      </c>
      <c r="T3215">
        <f t="shared" si="203"/>
        <v>4.7619047619047616E-2</v>
      </c>
      <c r="U3215" t="str">
        <f>YEAR('Campaign Data'!$A3215)&amp;"-"&amp;TEXT(MONTH('Campaign Data'!$A3215),"00")</f>
        <v>2026-06</v>
      </c>
    </row>
    <row r="3216" spans="1:21" x14ac:dyDescent="0.25">
      <c r="A3216">
        <v>46197</v>
      </c>
      <c r="B3216" t="s">
        <v>56</v>
      </c>
      <c r="C3216" t="s">
        <v>57</v>
      </c>
      <c r="D3216" t="s">
        <v>58</v>
      </c>
      <c r="E3216" t="s">
        <v>33</v>
      </c>
      <c r="F3216" t="s">
        <v>43</v>
      </c>
      <c r="G3216" t="s">
        <v>59</v>
      </c>
      <c r="H3216" t="s">
        <v>27</v>
      </c>
      <c r="I3216" t="s">
        <v>37</v>
      </c>
      <c r="J3216" t="s">
        <v>45</v>
      </c>
      <c r="K3216">
        <v>7677</v>
      </c>
      <c r="L3216">
        <v>90</v>
      </c>
      <c r="M3216">
        <v>58.68</v>
      </c>
      <c r="N3216">
        <v>2</v>
      </c>
      <c r="O3216">
        <v>49.12</v>
      </c>
      <c r="P3216">
        <f t="shared" si="200"/>
        <v>1.1723329425556858E-2</v>
      </c>
      <c r="Q3216">
        <f t="shared" si="200"/>
        <v>0.65200000000000002</v>
      </c>
      <c r="R3216">
        <f t="shared" si="201"/>
        <v>29.34</v>
      </c>
      <c r="S3216">
        <f t="shared" si="202"/>
        <v>0.83708248125426032</v>
      </c>
      <c r="T3216">
        <f t="shared" si="203"/>
        <v>2.2222222222222223E-2</v>
      </c>
      <c r="U3216" t="str">
        <f>YEAR('Campaign Data'!$A3216)&amp;"-"&amp;TEXT(MONTH('Campaign Data'!$A3216),"00")</f>
        <v>2026-06</v>
      </c>
    </row>
    <row r="3217" spans="1:21" x14ac:dyDescent="0.25">
      <c r="A3217">
        <v>46197</v>
      </c>
      <c r="B3217" t="s">
        <v>136</v>
      </c>
      <c r="C3217" t="s">
        <v>137</v>
      </c>
      <c r="D3217" t="s">
        <v>32</v>
      </c>
      <c r="E3217" t="s">
        <v>49</v>
      </c>
      <c r="F3217" t="s">
        <v>75</v>
      </c>
      <c r="G3217" t="s">
        <v>97</v>
      </c>
      <c r="H3217" t="s">
        <v>51</v>
      </c>
      <c r="I3217" t="s">
        <v>37</v>
      </c>
      <c r="J3217" t="s">
        <v>45</v>
      </c>
      <c r="K3217">
        <v>11597</v>
      </c>
      <c r="L3217">
        <v>385</v>
      </c>
      <c r="M3217">
        <v>687.75</v>
      </c>
      <c r="N3217">
        <v>23</v>
      </c>
      <c r="O3217">
        <v>775.74</v>
      </c>
      <c r="P3217">
        <f t="shared" si="200"/>
        <v>3.3198240924376995E-2</v>
      </c>
      <c r="Q3217">
        <f t="shared" si="200"/>
        <v>1.7863636363636364</v>
      </c>
      <c r="R3217">
        <f t="shared" si="201"/>
        <v>29.902173913043477</v>
      </c>
      <c r="S3217">
        <f t="shared" si="202"/>
        <v>1.1279389312977099</v>
      </c>
      <c r="T3217">
        <f t="shared" si="203"/>
        <v>5.9740259740259739E-2</v>
      </c>
      <c r="U3217" t="str">
        <f>YEAR('Campaign Data'!$A3217)&amp;"-"&amp;TEXT(MONTH('Campaign Data'!$A3217),"00")</f>
        <v>2026-06</v>
      </c>
    </row>
    <row r="3218" spans="1:21" x14ac:dyDescent="0.25">
      <c r="A3218">
        <v>46197</v>
      </c>
      <c r="B3218" t="s">
        <v>143</v>
      </c>
      <c r="C3218" t="s">
        <v>144</v>
      </c>
      <c r="D3218" t="s">
        <v>48</v>
      </c>
      <c r="E3218" t="s">
        <v>42</v>
      </c>
      <c r="F3218" t="s">
        <v>25</v>
      </c>
      <c r="G3218" t="s">
        <v>84</v>
      </c>
      <c r="H3218" t="s">
        <v>51</v>
      </c>
      <c r="I3218" t="s">
        <v>37</v>
      </c>
      <c r="J3218" t="s">
        <v>38</v>
      </c>
      <c r="K3218">
        <v>4195</v>
      </c>
      <c r="L3218">
        <v>36</v>
      </c>
      <c r="M3218">
        <v>173.96</v>
      </c>
      <c r="N3218">
        <v>0</v>
      </c>
      <c r="O3218">
        <v>0</v>
      </c>
      <c r="P3218">
        <f t="shared" si="200"/>
        <v>8.5816448152562577E-3</v>
      </c>
      <c r="Q3218">
        <f t="shared" si="200"/>
        <v>4.8322222222222226</v>
      </c>
      <c r="R3218">
        <f t="shared" si="201"/>
        <v>0</v>
      </c>
      <c r="S3218">
        <f t="shared" si="202"/>
        <v>0</v>
      </c>
      <c r="T3218">
        <f t="shared" si="203"/>
        <v>0</v>
      </c>
      <c r="U3218" t="str">
        <f>YEAR('Campaign Data'!$A3218)&amp;"-"&amp;TEXT(MONTH('Campaign Data'!$A3218),"00")</f>
        <v>2026-06</v>
      </c>
    </row>
    <row r="3219" spans="1:21" x14ac:dyDescent="0.25">
      <c r="A3219">
        <v>46197</v>
      </c>
      <c r="B3219" t="s">
        <v>163</v>
      </c>
      <c r="C3219" t="s">
        <v>164</v>
      </c>
      <c r="D3219" t="s">
        <v>58</v>
      </c>
      <c r="E3219" t="s">
        <v>42</v>
      </c>
      <c r="F3219" t="s">
        <v>43</v>
      </c>
      <c r="G3219" t="s">
        <v>44</v>
      </c>
      <c r="H3219" t="s">
        <v>90</v>
      </c>
      <c r="I3219" t="s">
        <v>61</v>
      </c>
      <c r="J3219" t="s">
        <v>38</v>
      </c>
      <c r="K3219">
        <v>8530</v>
      </c>
      <c r="L3219">
        <v>49</v>
      </c>
      <c r="M3219">
        <v>65.3</v>
      </c>
      <c r="N3219">
        <v>2</v>
      </c>
      <c r="O3219">
        <v>14.9</v>
      </c>
      <c r="P3219">
        <f t="shared" si="200"/>
        <v>5.7444314185228608E-3</v>
      </c>
      <c r="Q3219">
        <f t="shared" si="200"/>
        <v>1.3326530612244898</v>
      </c>
      <c r="R3219">
        <f t="shared" si="201"/>
        <v>32.65</v>
      </c>
      <c r="S3219">
        <f t="shared" si="202"/>
        <v>0.22817764165390506</v>
      </c>
      <c r="T3219">
        <f t="shared" si="203"/>
        <v>4.0816326530612242E-2</v>
      </c>
      <c r="U3219" t="str">
        <f>YEAR('Campaign Data'!$A3219)&amp;"-"&amp;TEXT(MONTH('Campaign Data'!$A3219),"00")</f>
        <v>2026-06</v>
      </c>
    </row>
    <row r="3220" spans="1:21" x14ac:dyDescent="0.25">
      <c r="A3220">
        <v>46198</v>
      </c>
      <c r="B3220" t="s">
        <v>167</v>
      </c>
      <c r="C3220" t="s">
        <v>168</v>
      </c>
      <c r="D3220" t="s">
        <v>58</v>
      </c>
      <c r="E3220" t="s">
        <v>33</v>
      </c>
      <c r="F3220" t="s">
        <v>75</v>
      </c>
      <c r="G3220" t="s">
        <v>35</v>
      </c>
      <c r="H3220" t="s">
        <v>60</v>
      </c>
      <c r="I3220" t="s">
        <v>61</v>
      </c>
      <c r="J3220" t="s">
        <v>45</v>
      </c>
      <c r="K3220">
        <v>5958</v>
      </c>
      <c r="L3220">
        <v>54</v>
      </c>
      <c r="M3220">
        <v>39.619999999999997</v>
      </c>
      <c r="N3220">
        <v>0</v>
      </c>
      <c r="O3220">
        <v>0</v>
      </c>
      <c r="P3220">
        <f t="shared" si="200"/>
        <v>9.0634441087613302E-3</v>
      </c>
      <c r="Q3220">
        <f t="shared" si="200"/>
        <v>0.73370370370370364</v>
      </c>
      <c r="R3220">
        <f t="shared" si="201"/>
        <v>0</v>
      </c>
      <c r="S3220">
        <f t="shared" si="202"/>
        <v>0</v>
      </c>
      <c r="T3220">
        <f t="shared" si="203"/>
        <v>0</v>
      </c>
      <c r="U3220" t="str">
        <f>YEAR('Campaign Data'!$A3220)&amp;"-"&amp;TEXT(MONTH('Campaign Data'!$A3220),"00")</f>
        <v>2026-06</v>
      </c>
    </row>
    <row r="3221" spans="1:21" x14ac:dyDescent="0.25">
      <c r="A3221">
        <v>46198</v>
      </c>
      <c r="B3221" t="s">
        <v>138</v>
      </c>
      <c r="C3221" t="s">
        <v>139</v>
      </c>
      <c r="D3221" t="s">
        <v>58</v>
      </c>
      <c r="E3221" t="s">
        <v>74</v>
      </c>
      <c r="F3221" t="s">
        <v>34</v>
      </c>
      <c r="G3221" t="s">
        <v>9</v>
      </c>
      <c r="H3221" t="s">
        <v>36</v>
      </c>
      <c r="I3221" t="s">
        <v>37</v>
      </c>
      <c r="J3221" t="s">
        <v>38</v>
      </c>
      <c r="K3221">
        <v>4965</v>
      </c>
      <c r="L3221">
        <v>100</v>
      </c>
      <c r="M3221">
        <v>121.23</v>
      </c>
      <c r="N3221">
        <v>2</v>
      </c>
      <c r="O3221">
        <v>291.39</v>
      </c>
      <c r="P3221">
        <f t="shared" si="200"/>
        <v>2.014098690835851E-2</v>
      </c>
      <c r="Q3221">
        <f t="shared" si="200"/>
        <v>1.2122999999999999</v>
      </c>
      <c r="R3221">
        <f t="shared" si="201"/>
        <v>60.615000000000002</v>
      </c>
      <c r="S3221">
        <f t="shared" si="202"/>
        <v>2.4036129670873545</v>
      </c>
      <c r="T3221">
        <f t="shared" si="203"/>
        <v>0.02</v>
      </c>
      <c r="U3221" t="str">
        <f>YEAR('Campaign Data'!$A3221)&amp;"-"&amp;TEXT(MONTH('Campaign Data'!$A3221),"00")</f>
        <v>2026-06</v>
      </c>
    </row>
    <row r="3222" spans="1:21" x14ac:dyDescent="0.25">
      <c r="A3222">
        <v>46198</v>
      </c>
      <c r="B3222" t="s">
        <v>149</v>
      </c>
      <c r="C3222" t="s">
        <v>150</v>
      </c>
      <c r="D3222" t="s">
        <v>65</v>
      </c>
      <c r="E3222" t="s">
        <v>33</v>
      </c>
      <c r="F3222" t="s">
        <v>43</v>
      </c>
      <c r="G3222" t="s">
        <v>59</v>
      </c>
      <c r="H3222" t="s">
        <v>27</v>
      </c>
      <c r="I3222" t="s">
        <v>37</v>
      </c>
      <c r="J3222" t="s">
        <v>87</v>
      </c>
      <c r="K3222">
        <v>2234</v>
      </c>
      <c r="L3222">
        <v>23</v>
      </c>
      <c r="M3222">
        <v>14.63</v>
      </c>
      <c r="N3222">
        <v>0</v>
      </c>
      <c r="O3222">
        <v>0</v>
      </c>
      <c r="P3222">
        <f t="shared" si="200"/>
        <v>1.0295434198746643E-2</v>
      </c>
      <c r="Q3222">
        <f t="shared" si="200"/>
        <v>0.63608695652173919</v>
      </c>
      <c r="R3222">
        <f t="shared" si="201"/>
        <v>0</v>
      </c>
      <c r="S3222">
        <f t="shared" si="202"/>
        <v>0</v>
      </c>
      <c r="T3222">
        <f t="shared" si="203"/>
        <v>0</v>
      </c>
      <c r="U3222" t="str">
        <f>YEAR('Campaign Data'!$A3222)&amp;"-"&amp;TEXT(MONTH('Campaign Data'!$A3222),"00")</f>
        <v>2026-06</v>
      </c>
    </row>
    <row r="3223" spans="1:21" x14ac:dyDescent="0.25">
      <c r="A3223">
        <v>46198</v>
      </c>
      <c r="B3223" t="s">
        <v>91</v>
      </c>
      <c r="C3223" t="s">
        <v>92</v>
      </c>
      <c r="D3223" t="s">
        <v>41</v>
      </c>
      <c r="E3223" t="s">
        <v>74</v>
      </c>
      <c r="F3223" t="s">
        <v>75</v>
      </c>
      <c r="G3223" t="s">
        <v>9</v>
      </c>
      <c r="H3223" t="s">
        <v>60</v>
      </c>
      <c r="I3223" t="s">
        <v>28</v>
      </c>
      <c r="J3223" t="s">
        <v>87</v>
      </c>
      <c r="K3223">
        <v>4700</v>
      </c>
      <c r="L3223">
        <v>94</v>
      </c>
      <c r="M3223">
        <v>90.57</v>
      </c>
      <c r="N3223">
        <v>3</v>
      </c>
      <c r="O3223">
        <v>99.23</v>
      </c>
      <c r="P3223">
        <f t="shared" si="200"/>
        <v>0.02</v>
      </c>
      <c r="Q3223">
        <f t="shared" si="200"/>
        <v>0.96351063829787231</v>
      </c>
      <c r="R3223">
        <f t="shared" si="201"/>
        <v>30.189999999999998</v>
      </c>
      <c r="S3223">
        <f t="shared" si="202"/>
        <v>1.0956166501048914</v>
      </c>
      <c r="T3223">
        <f t="shared" si="203"/>
        <v>3.1914893617021274E-2</v>
      </c>
      <c r="U3223" t="str">
        <f>YEAR('Campaign Data'!$A3223)&amp;"-"&amp;TEXT(MONTH('Campaign Data'!$A3223),"00")</f>
        <v>2026-06</v>
      </c>
    </row>
    <row r="3224" spans="1:21" x14ac:dyDescent="0.25">
      <c r="A3224">
        <v>46198</v>
      </c>
      <c r="B3224" t="s">
        <v>98</v>
      </c>
      <c r="C3224" t="s">
        <v>99</v>
      </c>
      <c r="D3224" t="s">
        <v>69</v>
      </c>
      <c r="E3224" t="s">
        <v>24</v>
      </c>
      <c r="F3224" t="s">
        <v>75</v>
      </c>
      <c r="G3224" t="s">
        <v>66</v>
      </c>
      <c r="H3224" t="s">
        <v>60</v>
      </c>
      <c r="I3224" t="s">
        <v>37</v>
      </c>
      <c r="J3224" t="s">
        <v>62</v>
      </c>
      <c r="K3224">
        <v>1508</v>
      </c>
      <c r="L3224">
        <v>24</v>
      </c>
      <c r="M3224">
        <v>22.27</v>
      </c>
      <c r="N3224">
        <v>0</v>
      </c>
      <c r="O3224">
        <v>0</v>
      </c>
      <c r="P3224">
        <f t="shared" si="200"/>
        <v>1.5915119363395226E-2</v>
      </c>
      <c r="Q3224">
        <f t="shared" si="200"/>
        <v>0.92791666666666661</v>
      </c>
      <c r="R3224">
        <f t="shared" si="201"/>
        <v>0</v>
      </c>
      <c r="S3224">
        <f t="shared" si="202"/>
        <v>0</v>
      </c>
      <c r="T3224">
        <f t="shared" si="203"/>
        <v>0</v>
      </c>
      <c r="U3224" t="str">
        <f>YEAR('Campaign Data'!$A3224)&amp;"-"&amp;TEXT(MONTH('Campaign Data'!$A3224),"00")</f>
        <v>2026-06</v>
      </c>
    </row>
    <row r="3225" spans="1:21" x14ac:dyDescent="0.25">
      <c r="A3225">
        <v>46198</v>
      </c>
      <c r="B3225" t="s">
        <v>52</v>
      </c>
      <c r="C3225" t="s">
        <v>53</v>
      </c>
      <c r="D3225" t="s">
        <v>32</v>
      </c>
      <c r="E3225" t="s">
        <v>42</v>
      </c>
      <c r="F3225" t="s">
        <v>25</v>
      </c>
      <c r="G3225" t="s">
        <v>54</v>
      </c>
      <c r="H3225" t="s">
        <v>90</v>
      </c>
      <c r="I3225" t="s">
        <v>37</v>
      </c>
      <c r="J3225" t="s">
        <v>62</v>
      </c>
      <c r="K3225">
        <v>2685</v>
      </c>
      <c r="L3225">
        <v>15</v>
      </c>
      <c r="M3225">
        <v>26.73</v>
      </c>
      <c r="N3225">
        <v>2</v>
      </c>
      <c r="O3225">
        <v>35.700000000000003</v>
      </c>
      <c r="P3225">
        <f t="shared" si="200"/>
        <v>5.5865921787709499E-3</v>
      </c>
      <c r="Q3225">
        <f t="shared" si="200"/>
        <v>1.782</v>
      </c>
      <c r="R3225">
        <f t="shared" si="201"/>
        <v>13.365</v>
      </c>
      <c r="S3225">
        <f t="shared" si="202"/>
        <v>1.335578002244669</v>
      </c>
      <c r="T3225">
        <f t="shared" si="203"/>
        <v>0.13333333333333333</v>
      </c>
      <c r="U3225" t="str">
        <f>YEAR('Campaign Data'!$A3225)&amp;"-"&amp;TEXT(MONTH('Campaign Data'!$A3225),"00")</f>
        <v>2026-06</v>
      </c>
    </row>
    <row r="3226" spans="1:21" x14ac:dyDescent="0.25">
      <c r="A3226">
        <v>46198</v>
      </c>
      <c r="B3226" t="s">
        <v>127</v>
      </c>
      <c r="C3226" t="s">
        <v>128</v>
      </c>
      <c r="D3226" t="s">
        <v>58</v>
      </c>
      <c r="E3226" t="s">
        <v>24</v>
      </c>
      <c r="F3226" t="s">
        <v>81</v>
      </c>
      <c r="G3226" t="s">
        <v>129</v>
      </c>
      <c r="H3226" t="s">
        <v>55</v>
      </c>
      <c r="I3226" t="s">
        <v>28</v>
      </c>
      <c r="J3226" t="s">
        <v>87</v>
      </c>
      <c r="K3226">
        <v>7144</v>
      </c>
      <c r="L3226">
        <v>102</v>
      </c>
      <c r="M3226">
        <v>67.819999999999993</v>
      </c>
      <c r="N3226">
        <v>3</v>
      </c>
      <c r="O3226">
        <v>44.94</v>
      </c>
      <c r="P3226">
        <f t="shared" si="200"/>
        <v>1.4277715565509519E-2</v>
      </c>
      <c r="Q3226">
        <f t="shared" si="200"/>
        <v>0.66490196078431363</v>
      </c>
      <c r="R3226">
        <f t="shared" si="201"/>
        <v>22.606666666666666</v>
      </c>
      <c r="S3226">
        <f t="shared" si="202"/>
        <v>0.66263639044529643</v>
      </c>
      <c r="T3226">
        <f t="shared" si="203"/>
        <v>2.9411764705882353E-2</v>
      </c>
      <c r="U3226" t="str">
        <f>YEAR('Campaign Data'!$A3226)&amp;"-"&amp;TEXT(MONTH('Campaign Data'!$A3226),"00")</f>
        <v>2026-06</v>
      </c>
    </row>
    <row r="3227" spans="1:21" x14ac:dyDescent="0.25">
      <c r="A3227">
        <v>46198</v>
      </c>
      <c r="B3227" t="s">
        <v>132</v>
      </c>
      <c r="C3227" t="s">
        <v>133</v>
      </c>
      <c r="D3227" t="s">
        <v>23</v>
      </c>
      <c r="E3227" t="s">
        <v>42</v>
      </c>
      <c r="F3227" t="s">
        <v>75</v>
      </c>
      <c r="G3227" t="s">
        <v>84</v>
      </c>
      <c r="H3227" t="s">
        <v>55</v>
      </c>
      <c r="I3227" t="s">
        <v>37</v>
      </c>
      <c r="J3227" t="s">
        <v>38</v>
      </c>
      <c r="K3227">
        <v>8444</v>
      </c>
      <c r="L3227">
        <v>43</v>
      </c>
      <c r="M3227">
        <v>235.87</v>
      </c>
      <c r="N3227">
        <v>5</v>
      </c>
      <c r="O3227">
        <v>250.42</v>
      </c>
      <c r="P3227">
        <f t="shared" si="200"/>
        <v>5.0923732828043579E-3</v>
      </c>
      <c r="Q3227">
        <f t="shared" si="200"/>
        <v>5.485348837209302</v>
      </c>
      <c r="R3227">
        <f t="shared" si="201"/>
        <v>47.173999999999999</v>
      </c>
      <c r="S3227">
        <f t="shared" si="202"/>
        <v>1.0616865222368252</v>
      </c>
      <c r="T3227">
        <f t="shared" si="203"/>
        <v>0.11627906976744186</v>
      </c>
      <c r="U3227" t="str">
        <f>YEAR('Campaign Data'!$A3227)&amp;"-"&amp;TEXT(MONTH('Campaign Data'!$A3227),"00")</f>
        <v>2026-06</v>
      </c>
    </row>
    <row r="3228" spans="1:21" x14ac:dyDescent="0.25">
      <c r="A3228">
        <v>46198</v>
      </c>
      <c r="B3228" t="s">
        <v>177</v>
      </c>
      <c r="C3228" t="s">
        <v>178</v>
      </c>
      <c r="D3228" t="s">
        <v>41</v>
      </c>
      <c r="E3228" t="s">
        <v>49</v>
      </c>
      <c r="F3228" t="s">
        <v>34</v>
      </c>
      <c r="G3228" t="s">
        <v>107</v>
      </c>
      <c r="H3228" t="s">
        <v>51</v>
      </c>
      <c r="I3228" t="s">
        <v>37</v>
      </c>
      <c r="J3228" t="s">
        <v>29</v>
      </c>
      <c r="K3228">
        <v>5659</v>
      </c>
      <c r="L3228">
        <v>230</v>
      </c>
      <c r="M3228">
        <v>348.46</v>
      </c>
      <c r="N3228">
        <v>16</v>
      </c>
      <c r="O3228">
        <v>2009.54</v>
      </c>
      <c r="P3228">
        <f t="shared" si="200"/>
        <v>4.0643223184308179E-2</v>
      </c>
      <c r="Q3228">
        <f t="shared" si="200"/>
        <v>1.5150434782608695</v>
      </c>
      <c r="R3228">
        <f t="shared" si="201"/>
        <v>21.778749999999999</v>
      </c>
      <c r="S3228">
        <f t="shared" si="202"/>
        <v>5.7669172932330826</v>
      </c>
      <c r="T3228">
        <f t="shared" si="203"/>
        <v>6.9565217391304349E-2</v>
      </c>
      <c r="U3228" t="str">
        <f>YEAR('Campaign Data'!$A3228)&amp;"-"&amp;TEXT(MONTH('Campaign Data'!$A3228),"00")</f>
        <v>2026-06</v>
      </c>
    </row>
    <row r="3229" spans="1:21" x14ac:dyDescent="0.25">
      <c r="A3229">
        <v>46198</v>
      </c>
      <c r="B3229" t="s">
        <v>171</v>
      </c>
      <c r="C3229" t="s">
        <v>172</v>
      </c>
      <c r="D3229" t="s">
        <v>23</v>
      </c>
      <c r="E3229" t="s">
        <v>33</v>
      </c>
      <c r="F3229" t="s">
        <v>75</v>
      </c>
      <c r="G3229" t="s">
        <v>59</v>
      </c>
      <c r="H3229" t="s">
        <v>27</v>
      </c>
      <c r="I3229" t="s">
        <v>61</v>
      </c>
      <c r="J3229" t="s">
        <v>45</v>
      </c>
      <c r="K3229">
        <v>4239</v>
      </c>
      <c r="L3229">
        <v>27</v>
      </c>
      <c r="M3229">
        <v>14.11</v>
      </c>
      <c r="N3229">
        <v>0</v>
      </c>
      <c r="O3229">
        <v>0</v>
      </c>
      <c r="P3229">
        <f t="shared" si="200"/>
        <v>6.369426751592357E-3</v>
      </c>
      <c r="Q3229">
        <f t="shared" si="200"/>
        <v>0.52259259259259261</v>
      </c>
      <c r="R3229">
        <f t="shared" si="201"/>
        <v>0</v>
      </c>
      <c r="S3229">
        <f t="shared" si="202"/>
        <v>0</v>
      </c>
      <c r="T3229">
        <f t="shared" si="203"/>
        <v>0</v>
      </c>
      <c r="U3229" t="str">
        <f>YEAR('Campaign Data'!$A3229)&amp;"-"&amp;TEXT(MONTH('Campaign Data'!$A3229),"00")</f>
        <v>2026-06</v>
      </c>
    </row>
    <row r="3230" spans="1:21" x14ac:dyDescent="0.25">
      <c r="A3230">
        <v>46198</v>
      </c>
      <c r="B3230" t="s">
        <v>155</v>
      </c>
      <c r="C3230" t="s">
        <v>156</v>
      </c>
      <c r="D3230" t="s">
        <v>32</v>
      </c>
      <c r="E3230" t="s">
        <v>24</v>
      </c>
      <c r="F3230" t="s">
        <v>34</v>
      </c>
      <c r="G3230" t="s">
        <v>129</v>
      </c>
      <c r="H3230" t="s">
        <v>27</v>
      </c>
      <c r="I3230" t="s">
        <v>37</v>
      </c>
      <c r="J3230" t="s">
        <v>62</v>
      </c>
      <c r="K3230">
        <v>55614</v>
      </c>
      <c r="L3230">
        <v>920</v>
      </c>
      <c r="M3230">
        <v>1039.32</v>
      </c>
      <c r="N3230">
        <v>32</v>
      </c>
      <c r="O3230">
        <v>7155.69</v>
      </c>
      <c r="P3230">
        <f t="shared" si="200"/>
        <v>1.6542597187758478E-2</v>
      </c>
      <c r="Q3230">
        <f t="shared" si="200"/>
        <v>1.129695652173913</v>
      </c>
      <c r="R3230">
        <f t="shared" si="201"/>
        <v>32.478749999999998</v>
      </c>
      <c r="S3230">
        <f t="shared" si="202"/>
        <v>6.8849728668744952</v>
      </c>
      <c r="T3230">
        <f t="shared" si="203"/>
        <v>3.4782608695652174E-2</v>
      </c>
      <c r="U3230" t="str">
        <f>YEAR('Campaign Data'!$A3230)&amp;"-"&amp;TEXT(MONTH('Campaign Data'!$A3230),"00")</f>
        <v>2026-06</v>
      </c>
    </row>
    <row r="3231" spans="1:21" x14ac:dyDescent="0.25">
      <c r="A3231">
        <v>46198</v>
      </c>
      <c r="B3231" t="s">
        <v>181</v>
      </c>
      <c r="C3231" t="s">
        <v>182</v>
      </c>
      <c r="D3231" t="s">
        <v>32</v>
      </c>
      <c r="E3231" t="s">
        <v>33</v>
      </c>
      <c r="F3231" t="s">
        <v>75</v>
      </c>
      <c r="G3231" t="s">
        <v>59</v>
      </c>
      <c r="H3231" t="s">
        <v>71</v>
      </c>
      <c r="I3231" t="s">
        <v>28</v>
      </c>
      <c r="J3231" t="s">
        <v>38</v>
      </c>
      <c r="K3231">
        <v>5320</v>
      </c>
      <c r="L3231">
        <v>41</v>
      </c>
      <c r="M3231">
        <v>18.28</v>
      </c>
      <c r="N3231">
        <v>1</v>
      </c>
      <c r="O3231">
        <v>24</v>
      </c>
      <c r="P3231">
        <f t="shared" si="200"/>
        <v>7.706766917293233E-3</v>
      </c>
      <c r="Q3231">
        <f t="shared" si="200"/>
        <v>0.44585365853658537</v>
      </c>
      <c r="R3231">
        <f t="shared" si="201"/>
        <v>18.28</v>
      </c>
      <c r="S3231">
        <f t="shared" si="202"/>
        <v>1.3129102844638949</v>
      </c>
      <c r="T3231">
        <f t="shared" si="203"/>
        <v>2.4390243902439025E-2</v>
      </c>
      <c r="U3231" t="str">
        <f>YEAR('Campaign Data'!$A3231)&amp;"-"&amp;TEXT(MONTH('Campaign Data'!$A3231),"00")</f>
        <v>2026-06</v>
      </c>
    </row>
    <row r="3232" spans="1:21" x14ac:dyDescent="0.25">
      <c r="A3232">
        <v>46198</v>
      </c>
      <c r="B3232" t="s">
        <v>114</v>
      </c>
      <c r="C3232" t="s">
        <v>115</v>
      </c>
      <c r="D3232" t="s">
        <v>69</v>
      </c>
      <c r="E3232" t="s">
        <v>49</v>
      </c>
      <c r="F3232" t="s">
        <v>25</v>
      </c>
      <c r="G3232" t="s">
        <v>107</v>
      </c>
      <c r="H3232" t="s">
        <v>60</v>
      </c>
      <c r="I3232" t="s">
        <v>37</v>
      </c>
      <c r="J3232" t="s">
        <v>29</v>
      </c>
      <c r="K3232">
        <v>8063</v>
      </c>
      <c r="L3232">
        <v>412</v>
      </c>
      <c r="M3232">
        <v>860.92</v>
      </c>
      <c r="N3232">
        <v>5</v>
      </c>
      <c r="O3232">
        <v>704.88</v>
      </c>
      <c r="P3232">
        <f t="shared" si="200"/>
        <v>5.1097606349993802E-2</v>
      </c>
      <c r="Q3232">
        <f t="shared" si="200"/>
        <v>2.0896116504854367</v>
      </c>
      <c r="R3232">
        <f t="shared" si="201"/>
        <v>172.184</v>
      </c>
      <c r="S3232">
        <f t="shared" si="202"/>
        <v>0.81875203270919483</v>
      </c>
      <c r="T3232">
        <f t="shared" si="203"/>
        <v>1.2135922330097087E-2</v>
      </c>
      <c r="U3232" t="str">
        <f>YEAR('Campaign Data'!$A3232)&amp;"-"&amp;TEXT(MONTH('Campaign Data'!$A3232),"00")</f>
        <v>2026-06</v>
      </c>
    </row>
    <row r="3233" spans="1:21" x14ac:dyDescent="0.25">
      <c r="A3233">
        <v>46198</v>
      </c>
      <c r="B3233" t="s">
        <v>183</v>
      </c>
      <c r="C3233" t="s">
        <v>184</v>
      </c>
      <c r="D3233" t="s">
        <v>23</v>
      </c>
      <c r="E3233" t="s">
        <v>24</v>
      </c>
      <c r="F3233" t="s">
        <v>81</v>
      </c>
      <c r="G3233" t="s">
        <v>185</v>
      </c>
      <c r="H3233" t="s">
        <v>51</v>
      </c>
      <c r="I3233" t="s">
        <v>28</v>
      </c>
      <c r="J3233" t="s">
        <v>38</v>
      </c>
      <c r="K3233">
        <v>4095</v>
      </c>
      <c r="L3233">
        <v>36</v>
      </c>
      <c r="M3233">
        <v>39.17</v>
      </c>
      <c r="N3233">
        <v>2</v>
      </c>
      <c r="O3233">
        <v>44.96</v>
      </c>
      <c r="P3233">
        <f t="shared" si="200"/>
        <v>8.7912087912087912E-3</v>
      </c>
      <c r="Q3233">
        <f t="shared" si="200"/>
        <v>1.0880555555555556</v>
      </c>
      <c r="R3233">
        <f t="shared" si="201"/>
        <v>19.585000000000001</v>
      </c>
      <c r="S3233">
        <f t="shared" si="202"/>
        <v>1.1478172070462087</v>
      </c>
      <c r="T3233">
        <f t="shared" si="203"/>
        <v>5.5555555555555552E-2</v>
      </c>
      <c r="U3233" t="str">
        <f>YEAR('Campaign Data'!$A3233)&amp;"-"&amp;TEXT(MONTH('Campaign Data'!$A3233),"00")</f>
        <v>2026-06</v>
      </c>
    </row>
    <row r="3234" spans="1:21" x14ac:dyDescent="0.25">
      <c r="A3234">
        <v>46199</v>
      </c>
      <c r="B3234" t="s">
        <v>175</v>
      </c>
      <c r="C3234" t="s">
        <v>176</v>
      </c>
      <c r="D3234" t="s">
        <v>65</v>
      </c>
      <c r="E3234" t="s">
        <v>49</v>
      </c>
      <c r="F3234" t="s">
        <v>75</v>
      </c>
      <c r="G3234" t="s">
        <v>70</v>
      </c>
      <c r="H3234" t="s">
        <v>60</v>
      </c>
      <c r="I3234" t="s">
        <v>61</v>
      </c>
      <c r="J3234" t="s">
        <v>29</v>
      </c>
      <c r="K3234">
        <v>7900</v>
      </c>
      <c r="L3234">
        <v>306</v>
      </c>
      <c r="M3234">
        <v>626.66999999999996</v>
      </c>
      <c r="N3234">
        <v>17</v>
      </c>
      <c r="O3234">
        <v>835.44</v>
      </c>
      <c r="P3234">
        <f t="shared" si="200"/>
        <v>3.8734177215189874E-2</v>
      </c>
      <c r="Q3234">
        <f t="shared" si="200"/>
        <v>2.0479411764705882</v>
      </c>
      <c r="R3234">
        <f t="shared" si="201"/>
        <v>36.862941176470585</v>
      </c>
      <c r="S3234">
        <f t="shared" si="202"/>
        <v>1.3331418449901864</v>
      </c>
      <c r="T3234">
        <f t="shared" si="203"/>
        <v>5.5555555555555552E-2</v>
      </c>
      <c r="U3234" t="str">
        <f>YEAR('Campaign Data'!$A3234)&amp;"-"&amp;TEXT(MONTH('Campaign Data'!$A3234),"00")</f>
        <v>2026-06</v>
      </c>
    </row>
    <row r="3235" spans="1:21" x14ac:dyDescent="0.25">
      <c r="A3235">
        <v>46199</v>
      </c>
      <c r="B3235" t="s">
        <v>175</v>
      </c>
      <c r="C3235" t="s">
        <v>176</v>
      </c>
      <c r="D3235" t="s">
        <v>65</v>
      </c>
      <c r="E3235" t="s">
        <v>49</v>
      </c>
      <c r="F3235" t="s">
        <v>75</v>
      </c>
      <c r="G3235" t="s">
        <v>70</v>
      </c>
      <c r="H3235" t="s">
        <v>60</v>
      </c>
      <c r="I3235" t="s">
        <v>37</v>
      </c>
      <c r="J3235" t="s">
        <v>38</v>
      </c>
      <c r="K3235">
        <v>3513</v>
      </c>
      <c r="L3235">
        <v>120</v>
      </c>
      <c r="M3235">
        <v>203.94</v>
      </c>
      <c r="N3235">
        <v>8</v>
      </c>
      <c r="O3235">
        <v>296.02999999999997</v>
      </c>
      <c r="P3235">
        <f t="shared" si="200"/>
        <v>3.4158838599487616E-2</v>
      </c>
      <c r="Q3235">
        <f t="shared" si="200"/>
        <v>1.6995</v>
      </c>
      <c r="R3235">
        <f t="shared" si="201"/>
        <v>25.4925</v>
      </c>
      <c r="S3235">
        <f t="shared" si="202"/>
        <v>1.4515543787388447</v>
      </c>
      <c r="T3235">
        <f t="shared" si="203"/>
        <v>6.6666666666666666E-2</v>
      </c>
      <c r="U3235" t="str">
        <f>YEAR('Campaign Data'!$A3235)&amp;"-"&amp;TEXT(MONTH('Campaign Data'!$A3235),"00")</f>
        <v>2026-06</v>
      </c>
    </row>
    <row r="3236" spans="1:21" x14ac:dyDescent="0.25">
      <c r="A3236">
        <v>46199</v>
      </c>
      <c r="B3236" t="s">
        <v>175</v>
      </c>
      <c r="C3236" t="s">
        <v>176</v>
      </c>
      <c r="D3236" t="s">
        <v>65</v>
      </c>
      <c r="E3236" t="s">
        <v>49</v>
      </c>
      <c r="F3236" t="s">
        <v>75</v>
      </c>
      <c r="G3236" t="s">
        <v>70</v>
      </c>
      <c r="H3236" t="s">
        <v>90</v>
      </c>
      <c r="I3236" t="s">
        <v>37</v>
      </c>
      <c r="J3236" t="s">
        <v>29</v>
      </c>
      <c r="K3236">
        <v>13190</v>
      </c>
      <c r="L3236">
        <v>546</v>
      </c>
      <c r="M3236">
        <v>104.33</v>
      </c>
      <c r="N3236">
        <v>18</v>
      </c>
      <c r="O3236">
        <v>159.30000000000001</v>
      </c>
      <c r="P3236">
        <f t="shared" si="200"/>
        <v>4.1394996209249434E-2</v>
      </c>
      <c r="Q3236">
        <f t="shared" si="200"/>
        <v>0.19108058608058609</v>
      </c>
      <c r="R3236">
        <f t="shared" si="201"/>
        <v>5.7961111111111112</v>
      </c>
      <c r="S3236">
        <f t="shared" si="202"/>
        <v>1.5268858429981791</v>
      </c>
      <c r="T3236">
        <f t="shared" si="203"/>
        <v>3.2967032967032968E-2</v>
      </c>
      <c r="U3236" t="str">
        <f>YEAR('Campaign Data'!$A3236)&amp;"-"&amp;TEXT(MONTH('Campaign Data'!$A3236),"00")</f>
        <v>2026-06</v>
      </c>
    </row>
    <row r="3237" spans="1:21" x14ac:dyDescent="0.25">
      <c r="A3237">
        <v>46199</v>
      </c>
      <c r="B3237" t="s">
        <v>85</v>
      </c>
      <c r="C3237" t="s">
        <v>86</v>
      </c>
      <c r="D3237" t="s">
        <v>80</v>
      </c>
      <c r="E3237" t="s">
        <v>33</v>
      </c>
      <c r="F3237" t="s">
        <v>43</v>
      </c>
      <c r="G3237" t="s">
        <v>35</v>
      </c>
      <c r="H3237" t="s">
        <v>90</v>
      </c>
      <c r="I3237" t="s">
        <v>37</v>
      </c>
      <c r="J3237" t="s">
        <v>62</v>
      </c>
      <c r="K3237">
        <v>7845</v>
      </c>
      <c r="L3237">
        <v>89</v>
      </c>
      <c r="M3237">
        <v>18.34</v>
      </c>
      <c r="N3237">
        <v>2</v>
      </c>
      <c r="O3237">
        <v>17.170000000000002</v>
      </c>
      <c r="P3237">
        <f t="shared" si="200"/>
        <v>1.1344805608667942E-2</v>
      </c>
      <c r="Q3237">
        <f t="shared" si="200"/>
        <v>0.20606741573033707</v>
      </c>
      <c r="R3237">
        <f t="shared" si="201"/>
        <v>9.17</v>
      </c>
      <c r="S3237">
        <f t="shared" si="202"/>
        <v>0.93620501635768827</v>
      </c>
      <c r="T3237">
        <f t="shared" si="203"/>
        <v>2.247191011235955E-2</v>
      </c>
      <c r="U3237" t="str">
        <f>YEAR('Campaign Data'!$A3237)&amp;"-"&amp;TEXT(MONTH('Campaign Data'!$A3237),"00")</f>
        <v>2026-06</v>
      </c>
    </row>
    <row r="3238" spans="1:21" x14ac:dyDescent="0.25">
      <c r="A3238">
        <v>46199</v>
      </c>
      <c r="B3238" t="s">
        <v>95</v>
      </c>
      <c r="C3238" t="s">
        <v>96</v>
      </c>
      <c r="D3238" t="s">
        <v>23</v>
      </c>
      <c r="E3238" t="s">
        <v>49</v>
      </c>
      <c r="F3238" t="s">
        <v>43</v>
      </c>
      <c r="G3238" t="s">
        <v>97</v>
      </c>
      <c r="H3238" t="s">
        <v>27</v>
      </c>
      <c r="I3238" t="s">
        <v>37</v>
      </c>
      <c r="J3238" t="s">
        <v>87</v>
      </c>
      <c r="K3238">
        <v>842</v>
      </c>
      <c r="L3238">
        <v>30</v>
      </c>
      <c r="M3238">
        <v>55.82</v>
      </c>
      <c r="N3238">
        <v>0</v>
      </c>
      <c r="O3238">
        <v>0</v>
      </c>
      <c r="P3238">
        <f t="shared" si="200"/>
        <v>3.5629453681710214E-2</v>
      </c>
      <c r="Q3238">
        <f t="shared" si="200"/>
        <v>1.8606666666666667</v>
      </c>
      <c r="R3238">
        <f t="shared" si="201"/>
        <v>0</v>
      </c>
      <c r="S3238">
        <f t="shared" si="202"/>
        <v>0</v>
      </c>
      <c r="T3238">
        <f t="shared" si="203"/>
        <v>0</v>
      </c>
      <c r="U3238" t="str">
        <f>YEAR('Campaign Data'!$A3238)&amp;"-"&amp;TEXT(MONTH('Campaign Data'!$A3238),"00")</f>
        <v>2026-06</v>
      </c>
    </row>
    <row r="3239" spans="1:21" x14ac:dyDescent="0.25">
      <c r="A3239">
        <v>46199</v>
      </c>
      <c r="B3239" t="s">
        <v>105</v>
      </c>
      <c r="C3239" t="s">
        <v>106</v>
      </c>
      <c r="D3239" t="s">
        <v>58</v>
      </c>
      <c r="E3239" t="s">
        <v>49</v>
      </c>
      <c r="F3239" t="s">
        <v>81</v>
      </c>
      <c r="G3239" t="s">
        <v>107</v>
      </c>
      <c r="H3239" t="s">
        <v>27</v>
      </c>
      <c r="I3239" t="s">
        <v>37</v>
      </c>
      <c r="J3239" t="s">
        <v>29</v>
      </c>
      <c r="K3239">
        <v>2583</v>
      </c>
      <c r="L3239">
        <v>149</v>
      </c>
      <c r="M3239">
        <v>217.41</v>
      </c>
      <c r="N3239">
        <v>6</v>
      </c>
      <c r="O3239">
        <v>113.17</v>
      </c>
      <c r="P3239">
        <f t="shared" si="200"/>
        <v>5.7684862562911346E-2</v>
      </c>
      <c r="Q3239">
        <f t="shared" si="200"/>
        <v>1.4591275167785234</v>
      </c>
      <c r="R3239">
        <f t="shared" si="201"/>
        <v>36.234999999999999</v>
      </c>
      <c r="S3239">
        <f t="shared" si="202"/>
        <v>0.52053723379789341</v>
      </c>
      <c r="T3239">
        <f t="shared" si="203"/>
        <v>4.0268456375838924E-2</v>
      </c>
      <c r="U3239" t="str">
        <f>YEAR('Campaign Data'!$A3239)&amp;"-"&amp;TEXT(MONTH('Campaign Data'!$A3239),"00")</f>
        <v>2026-06</v>
      </c>
    </row>
    <row r="3240" spans="1:21" x14ac:dyDescent="0.25">
      <c r="A3240">
        <v>46199</v>
      </c>
      <c r="B3240" t="s">
        <v>171</v>
      </c>
      <c r="C3240" t="s">
        <v>172</v>
      </c>
      <c r="D3240" t="s">
        <v>23</v>
      </c>
      <c r="E3240" t="s">
        <v>33</v>
      </c>
      <c r="F3240" t="s">
        <v>75</v>
      </c>
      <c r="G3240" t="s">
        <v>59</v>
      </c>
      <c r="H3240" t="s">
        <v>27</v>
      </c>
      <c r="I3240" t="s">
        <v>28</v>
      </c>
      <c r="J3240" t="s">
        <v>38</v>
      </c>
      <c r="K3240">
        <v>5639</v>
      </c>
      <c r="L3240">
        <v>55</v>
      </c>
      <c r="M3240">
        <v>28.9</v>
      </c>
      <c r="N3240">
        <v>1</v>
      </c>
      <c r="O3240">
        <v>56</v>
      </c>
      <c r="P3240">
        <f t="shared" si="200"/>
        <v>9.7535023940414963E-3</v>
      </c>
      <c r="Q3240">
        <f t="shared" si="200"/>
        <v>0.5254545454545454</v>
      </c>
      <c r="R3240">
        <f t="shared" si="201"/>
        <v>28.9</v>
      </c>
      <c r="S3240">
        <f t="shared" si="202"/>
        <v>1.9377162629757787</v>
      </c>
      <c r="T3240">
        <f t="shared" si="203"/>
        <v>1.8181818181818181E-2</v>
      </c>
      <c r="U3240" t="str">
        <f>YEAR('Campaign Data'!$A3240)&amp;"-"&amp;TEXT(MONTH('Campaign Data'!$A3240),"00")</f>
        <v>2026-06</v>
      </c>
    </row>
    <row r="3241" spans="1:21" x14ac:dyDescent="0.25">
      <c r="A3241">
        <v>46199</v>
      </c>
      <c r="B3241" t="s">
        <v>110</v>
      </c>
      <c r="C3241" t="s">
        <v>111</v>
      </c>
      <c r="D3241" t="s">
        <v>23</v>
      </c>
      <c r="E3241" t="s">
        <v>49</v>
      </c>
      <c r="F3241" t="s">
        <v>34</v>
      </c>
      <c r="G3241" t="s">
        <v>50</v>
      </c>
      <c r="H3241" t="s">
        <v>55</v>
      </c>
      <c r="I3241" t="s">
        <v>37</v>
      </c>
      <c r="J3241" t="s">
        <v>45</v>
      </c>
      <c r="K3241">
        <v>9796</v>
      </c>
      <c r="L3241">
        <v>353</v>
      </c>
      <c r="M3241">
        <v>668.9</v>
      </c>
      <c r="N3241">
        <v>20</v>
      </c>
      <c r="O3241">
        <v>1412.95</v>
      </c>
      <c r="P3241">
        <f t="shared" si="200"/>
        <v>3.6035116374030216E-2</v>
      </c>
      <c r="Q3241">
        <f t="shared" si="200"/>
        <v>1.8949008498583568</v>
      </c>
      <c r="R3241">
        <f t="shared" si="201"/>
        <v>33.445</v>
      </c>
      <c r="S3241">
        <f t="shared" si="202"/>
        <v>2.1123486320825235</v>
      </c>
      <c r="T3241">
        <f t="shared" si="203"/>
        <v>5.6657223796033995E-2</v>
      </c>
      <c r="U3241" t="str">
        <f>YEAR('Campaign Data'!$A3241)&amp;"-"&amp;TEXT(MONTH('Campaign Data'!$A3241),"00")</f>
        <v>2026-06</v>
      </c>
    </row>
    <row r="3242" spans="1:21" x14ac:dyDescent="0.25">
      <c r="A3242">
        <v>46199</v>
      </c>
      <c r="B3242" t="s">
        <v>157</v>
      </c>
      <c r="C3242" t="s">
        <v>158</v>
      </c>
      <c r="D3242" t="s">
        <v>58</v>
      </c>
      <c r="E3242" t="s">
        <v>49</v>
      </c>
      <c r="F3242" t="s">
        <v>81</v>
      </c>
      <c r="G3242" t="s">
        <v>50</v>
      </c>
      <c r="H3242" t="s">
        <v>71</v>
      </c>
      <c r="I3242" t="s">
        <v>37</v>
      </c>
      <c r="J3242" t="s">
        <v>29</v>
      </c>
      <c r="K3242">
        <v>9792</v>
      </c>
      <c r="L3242">
        <v>498</v>
      </c>
      <c r="M3242">
        <v>629.96</v>
      </c>
      <c r="N3242">
        <v>31</v>
      </c>
      <c r="O3242">
        <v>420.82</v>
      </c>
      <c r="P3242">
        <f t="shared" si="200"/>
        <v>5.0857843137254902E-2</v>
      </c>
      <c r="Q3242">
        <f t="shared" si="200"/>
        <v>1.264979919678715</v>
      </c>
      <c r="R3242">
        <f t="shared" si="201"/>
        <v>20.321290322580648</v>
      </c>
      <c r="S3242">
        <f t="shared" si="202"/>
        <v>0.66801066734395831</v>
      </c>
      <c r="T3242">
        <f t="shared" si="203"/>
        <v>6.224899598393574E-2</v>
      </c>
      <c r="U3242" t="str">
        <f>YEAR('Campaign Data'!$A3242)&amp;"-"&amp;TEXT(MONTH('Campaign Data'!$A3242),"00")</f>
        <v>2026-06</v>
      </c>
    </row>
    <row r="3243" spans="1:21" x14ac:dyDescent="0.25">
      <c r="A3243">
        <v>46199</v>
      </c>
      <c r="B3243" t="s">
        <v>114</v>
      </c>
      <c r="C3243" t="s">
        <v>115</v>
      </c>
      <c r="D3243" t="s">
        <v>69</v>
      </c>
      <c r="E3243" t="s">
        <v>49</v>
      </c>
      <c r="F3243" t="s">
        <v>25</v>
      </c>
      <c r="G3243" t="s">
        <v>107</v>
      </c>
      <c r="H3243" t="s">
        <v>90</v>
      </c>
      <c r="I3243" t="s">
        <v>28</v>
      </c>
      <c r="J3243" t="s">
        <v>62</v>
      </c>
      <c r="K3243">
        <v>6214</v>
      </c>
      <c r="L3243">
        <v>304</v>
      </c>
      <c r="M3243">
        <v>142.44999999999999</v>
      </c>
      <c r="N3243">
        <v>17</v>
      </c>
      <c r="O3243">
        <v>713.76</v>
      </c>
      <c r="P3243">
        <f t="shared" si="200"/>
        <v>4.8921789507563568E-2</v>
      </c>
      <c r="Q3243">
        <f t="shared" si="200"/>
        <v>0.46858552631578942</v>
      </c>
      <c r="R3243">
        <f t="shared" si="201"/>
        <v>8.3794117647058819</v>
      </c>
      <c r="S3243">
        <f t="shared" si="202"/>
        <v>5.0106002106002112</v>
      </c>
      <c r="T3243">
        <f t="shared" si="203"/>
        <v>5.5921052631578948E-2</v>
      </c>
      <c r="U3243" t="str">
        <f>YEAR('Campaign Data'!$A3243)&amp;"-"&amp;TEXT(MONTH('Campaign Data'!$A3243),"00")</f>
        <v>2026-06</v>
      </c>
    </row>
    <row r="3244" spans="1:21" x14ac:dyDescent="0.25">
      <c r="A3244">
        <v>46199</v>
      </c>
      <c r="B3244" t="s">
        <v>56</v>
      </c>
      <c r="C3244" t="s">
        <v>57</v>
      </c>
      <c r="D3244" t="s">
        <v>58</v>
      </c>
      <c r="E3244" t="s">
        <v>33</v>
      </c>
      <c r="F3244" t="s">
        <v>43</v>
      </c>
      <c r="G3244" t="s">
        <v>59</v>
      </c>
      <c r="H3244" t="s">
        <v>27</v>
      </c>
      <c r="I3244" t="s">
        <v>37</v>
      </c>
      <c r="J3244" t="s">
        <v>45</v>
      </c>
      <c r="K3244">
        <v>12303</v>
      </c>
      <c r="L3244">
        <v>99</v>
      </c>
      <c r="M3244">
        <v>66.08</v>
      </c>
      <c r="N3244">
        <v>2</v>
      </c>
      <c r="O3244">
        <v>48.97</v>
      </c>
      <c r="P3244">
        <f t="shared" si="200"/>
        <v>8.0468178493050477E-3</v>
      </c>
      <c r="Q3244">
        <f t="shared" si="200"/>
        <v>0.66747474747474744</v>
      </c>
      <c r="R3244">
        <f t="shared" si="201"/>
        <v>33.04</v>
      </c>
      <c r="S3244">
        <f t="shared" si="202"/>
        <v>0.7410714285714286</v>
      </c>
      <c r="T3244">
        <f t="shared" si="203"/>
        <v>2.0202020202020204E-2</v>
      </c>
      <c r="U3244" t="str">
        <f>YEAR('Campaign Data'!$A3244)&amp;"-"&amp;TEXT(MONTH('Campaign Data'!$A3244),"00")</f>
        <v>2026-06</v>
      </c>
    </row>
    <row r="3245" spans="1:21" x14ac:dyDescent="0.25">
      <c r="A3245">
        <v>46199</v>
      </c>
      <c r="B3245" t="s">
        <v>56</v>
      </c>
      <c r="C3245" t="s">
        <v>57</v>
      </c>
      <c r="D3245" t="s">
        <v>58</v>
      </c>
      <c r="E3245" t="s">
        <v>33</v>
      </c>
      <c r="F3245" t="s">
        <v>43</v>
      </c>
      <c r="G3245" t="s">
        <v>59</v>
      </c>
      <c r="H3245" t="s">
        <v>90</v>
      </c>
      <c r="I3245" t="s">
        <v>37</v>
      </c>
      <c r="J3245" t="s">
        <v>62</v>
      </c>
      <c r="K3245">
        <v>10383</v>
      </c>
      <c r="L3245">
        <v>76</v>
      </c>
      <c r="M3245">
        <v>9.11</v>
      </c>
      <c r="N3245">
        <v>2</v>
      </c>
      <c r="O3245">
        <v>13.47</v>
      </c>
      <c r="P3245">
        <f t="shared" si="200"/>
        <v>7.3196571318501396E-3</v>
      </c>
      <c r="Q3245">
        <f t="shared" si="200"/>
        <v>0.11986842105263157</v>
      </c>
      <c r="R3245">
        <f t="shared" si="201"/>
        <v>4.5549999999999997</v>
      </c>
      <c r="S3245">
        <f t="shared" si="202"/>
        <v>1.4785949506037324</v>
      </c>
      <c r="T3245">
        <f t="shared" si="203"/>
        <v>2.6315789473684209E-2</v>
      </c>
      <c r="U3245" t="str">
        <f>YEAR('Campaign Data'!$A3245)&amp;"-"&amp;TEXT(MONTH('Campaign Data'!$A3245),"00")</f>
        <v>2026-06</v>
      </c>
    </row>
    <row r="3246" spans="1:21" x14ac:dyDescent="0.25">
      <c r="A3246">
        <v>46199</v>
      </c>
      <c r="B3246" t="s">
        <v>116</v>
      </c>
      <c r="C3246" t="s">
        <v>117</v>
      </c>
      <c r="D3246" t="s">
        <v>48</v>
      </c>
      <c r="E3246" t="s">
        <v>24</v>
      </c>
      <c r="F3246" t="s">
        <v>43</v>
      </c>
      <c r="G3246" t="s">
        <v>26</v>
      </c>
      <c r="H3246" t="s">
        <v>51</v>
      </c>
      <c r="I3246" t="s">
        <v>37</v>
      </c>
      <c r="J3246" t="s">
        <v>62</v>
      </c>
      <c r="K3246">
        <v>11598</v>
      </c>
      <c r="L3246">
        <v>144</v>
      </c>
      <c r="M3246">
        <v>133.03</v>
      </c>
      <c r="N3246">
        <v>2</v>
      </c>
      <c r="O3246">
        <v>53.29</v>
      </c>
      <c r="P3246">
        <f t="shared" si="200"/>
        <v>1.2415933781686497E-2</v>
      </c>
      <c r="Q3246">
        <f t="shared" si="200"/>
        <v>0.92381944444444442</v>
      </c>
      <c r="R3246">
        <f t="shared" si="201"/>
        <v>66.515000000000001</v>
      </c>
      <c r="S3246">
        <f t="shared" si="202"/>
        <v>0.40058633390964443</v>
      </c>
      <c r="T3246">
        <f t="shared" si="203"/>
        <v>1.3888888888888888E-2</v>
      </c>
      <c r="U3246" t="str">
        <f>YEAR('Campaign Data'!$A3246)&amp;"-"&amp;TEXT(MONTH('Campaign Data'!$A3246),"00")</f>
        <v>2026-06</v>
      </c>
    </row>
    <row r="3247" spans="1:21" x14ac:dyDescent="0.25">
      <c r="A3247">
        <v>46199</v>
      </c>
      <c r="B3247" t="s">
        <v>78</v>
      </c>
      <c r="C3247" t="s">
        <v>79</v>
      </c>
      <c r="D3247" t="s">
        <v>80</v>
      </c>
      <c r="E3247" t="s">
        <v>24</v>
      </c>
      <c r="F3247" t="s">
        <v>81</v>
      </c>
      <c r="G3247" t="s">
        <v>66</v>
      </c>
      <c r="H3247" t="s">
        <v>71</v>
      </c>
      <c r="I3247" t="s">
        <v>37</v>
      </c>
      <c r="J3247" t="s">
        <v>62</v>
      </c>
      <c r="K3247">
        <v>3569</v>
      </c>
      <c r="L3247">
        <v>55</v>
      </c>
      <c r="M3247">
        <v>71.36</v>
      </c>
      <c r="N3247">
        <v>3</v>
      </c>
      <c r="O3247">
        <v>39.35</v>
      </c>
      <c r="P3247">
        <f t="shared" si="200"/>
        <v>1.5410479125805548E-2</v>
      </c>
      <c r="Q3247">
        <f t="shared" si="200"/>
        <v>1.2974545454545454</v>
      </c>
      <c r="R3247">
        <f t="shared" si="201"/>
        <v>23.786666666666665</v>
      </c>
      <c r="S3247">
        <f t="shared" si="202"/>
        <v>0.55142937219730948</v>
      </c>
      <c r="T3247">
        <f t="shared" si="203"/>
        <v>5.4545454545454543E-2</v>
      </c>
      <c r="U3247" t="str">
        <f>YEAR('Campaign Data'!$A3247)&amp;"-"&amp;TEXT(MONTH('Campaign Data'!$A3247),"00")</f>
        <v>2026-06</v>
      </c>
    </row>
    <row r="3248" spans="1:21" x14ac:dyDescent="0.25">
      <c r="A3248">
        <v>46200</v>
      </c>
      <c r="B3248" t="s">
        <v>165</v>
      </c>
      <c r="C3248" t="s">
        <v>166</v>
      </c>
      <c r="D3248" t="s">
        <v>41</v>
      </c>
      <c r="E3248" t="s">
        <v>33</v>
      </c>
      <c r="F3248" t="s">
        <v>43</v>
      </c>
      <c r="G3248" t="s">
        <v>59</v>
      </c>
      <c r="H3248" t="s">
        <v>27</v>
      </c>
      <c r="I3248" t="s">
        <v>28</v>
      </c>
      <c r="J3248" t="s">
        <v>62</v>
      </c>
      <c r="K3248">
        <v>10639</v>
      </c>
      <c r="L3248">
        <v>86</v>
      </c>
      <c r="M3248">
        <v>46.59</v>
      </c>
      <c r="N3248">
        <v>1</v>
      </c>
      <c r="O3248">
        <v>32.340000000000003</v>
      </c>
      <c r="P3248">
        <f t="shared" si="200"/>
        <v>8.0834664912115793E-3</v>
      </c>
      <c r="Q3248">
        <f t="shared" si="200"/>
        <v>0.54174418604651164</v>
      </c>
      <c r="R3248">
        <f t="shared" si="201"/>
        <v>46.59</v>
      </c>
      <c r="S3248">
        <f t="shared" si="202"/>
        <v>0.6941403734707019</v>
      </c>
      <c r="T3248">
        <f t="shared" si="203"/>
        <v>1.1627906976744186E-2</v>
      </c>
      <c r="U3248" t="str">
        <f>YEAR('Campaign Data'!$A3248)&amp;"-"&amp;TEXT(MONTH('Campaign Data'!$A3248),"00")</f>
        <v>2026-06</v>
      </c>
    </row>
    <row r="3249" spans="1:21" x14ac:dyDescent="0.25">
      <c r="A3249">
        <v>46200</v>
      </c>
      <c r="B3249" t="s">
        <v>173</v>
      </c>
      <c r="C3249" t="s">
        <v>174</v>
      </c>
      <c r="D3249" t="s">
        <v>48</v>
      </c>
      <c r="E3249" t="s">
        <v>74</v>
      </c>
      <c r="F3249" t="s">
        <v>25</v>
      </c>
      <c r="G3249" t="s">
        <v>9</v>
      </c>
      <c r="H3249" t="s">
        <v>27</v>
      </c>
      <c r="I3249" t="s">
        <v>37</v>
      </c>
      <c r="J3249" t="s">
        <v>45</v>
      </c>
      <c r="K3249">
        <v>3850</v>
      </c>
      <c r="L3249">
        <v>138</v>
      </c>
      <c r="M3249">
        <v>273.33</v>
      </c>
      <c r="N3249">
        <v>10</v>
      </c>
      <c r="O3249">
        <v>2703.3</v>
      </c>
      <c r="P3249">
        <f t="shared" si="200"/>
        <v>3.5844155844155845E-2</v>
      </c>
      <c r="Q3249">
        <f t="shared" si="200"/>
        <v>1.9806521739130434</v>
      </c>
      <c r="R3249">
        <f t="shared" si="201"/>
        <v>27.332999999999998</v>
      </c>
      <c r="S3249">
        <f t="shared" si="202"/>
        <v>9.8902425639337075</v>
      </c>
      <c r="T3249">
        <f t="shared" si="203"/>
        <v>7.2463768115942032E-2</v>
      </c>
      <c r="U3249" t="str">
        <f>YEAR('Campaign Data'!$A3249)&amp;"-"&amp;TEXT(MONTH('Campaign Data'!$A3249),"00")</f>
        <v>2026-06</v>
      </c>
    </row>
    <row r="3250" spans="1:21" x14ac:dyDescent="0.25">
      <c r="A3250">
        <v>46200</v>
      </c>
      <c r="B3250" t="s">
        <v>173</v>
      </c>
      <c r="C3250" t="s">
        <v>174</v>
      </c>
      <c r="D3250" t="s">
        <v>48</v>
      </c>
      <c r="E3250" t="s">
        <v>74</v>
      </c>
      <c r="F3250" t="s">
        <v>25</v>
      </c>
      <c r="G3250" t="s">
        <v>9</v>
      </c>
      <c r="H3250" t="s">
        <v>27</v>
      </c>
      <c r="I3250" t="s">
        <v>37</v>
      </c>
      <c r="J3250" t="s">
        <v>45</v>
      </c>
      <c r="K3250">
        <v>7239</v>
      </c>
      <c r="L3250">
        <v>318</v>
      </c>
      <c r="M3250">
        <v>762.1</v>
      </c>
      <c r="N3250">
        <v>18</v>
      </c>
      <c r="O3250">
        <v>4197.5600000000004</v>
      </c>
      <c r="P3250">
        <f t="shared" si="200"/>
        <v>4.3928719436386245E-2</v>
      </c>
      <c r="Q3250">
        <f t="shared" si="200"/>
        <v>2.3965408805031445</v>
      </c>
      <c r="R3250">
        <f t="shared" si="201"/>
        <v>42.338888888888889</v>
      </c>
      <c r="S3250">
        <f t="shared" si="202"/>
        <v>5.5078861041858032</v>
      </c>
      <c r="T3250">
        <f t="shared" si="203"/>
        <v>5.6603773584905662E-2</v>
      </c>
      <c r="U3250" t="str">
        <f>YEAR('Campaign Data'!$A3250)&amp;"-"&amp;TEXT(MONTH('Campaign Data'!$A3250),"00")</f>
        <v>2026-06</v>
      </c>
    </row>
    <row r="3251" spans="1:21" x14ac:dyDescent="0.25">
      <c r="A3251">
        <v>46200</v>
      </c>
      <c r="B3251" t="s">
        <v>85</v>
      </c>
      <c r="C3251" t="s">
        <v>86</v>
      </c>
      <c r="D3251" t="s">
        <v>80</v>
      </c>
      <c r="E3251" t="s">
        <v>33</v>
      </c>
      <c r="F3251" t="s">
        <v>43</v>
      </c>
      <c r="G3251" t="s">
        <v>35</v>
      </c>
      <c r="H3251" t="s">
        <v>71</v>
      </c>
      <c r="I3251" t="s">
        <v>37</v>
      </c>
      <c r="J3251" t="s">
        <v>29</v>
      </c>
      <c r="K3251">
        <v>3457</v>
      </c>
      <c r="L3251">
        <v>26</v>
      </c>
      <c r="M3251">
        <v>16.18</v>
      </c>
      <c r="N3251">
        <v>0</v>
      </c>
      <c r="O3251">
        <v>0</v>
      </c>
      <c r="P3251">
        <f t="shared" si="200"/>
        <v>7.5209719409892973E-3</v>
      </c>
      <c r="Q3251">
        <f t="shared" si="200"/>
        <v>0.62230769230769234</v>
      </c>
      <c r="R3251">
        <f t="shared" si="201"/>
        <v>0</v>
      </c>
      <c r="S3251">
        <f t="shared" si="202"/>
        <v>0</v>
      </c>
      <c r="T3251">
        <f t="shared" si="203"/>
        <v>0</v>
      </c>
      <c r="U3251" t="str">
        <f>YEAR('Campaign Data'!$A3251)&amp;"-"&amp;TEXT(MONTH('Campaign Data'!$A3251),"00")</f>
        <v>2026-06</v>
      </c>
    </row>
    <row r="3252" spans="1:21" x14ac:dyDescent="0.25">
      <c r="A3252">
        <v>46200</v>
      </c>
      <c r="B3252" t="s">
        <v>167</v>
      </c>
      <c r="C3252" t="s">
        <v>168</v>
      </c>
      <c r="D3252" t="s">
        <v>58</v>
      </c>
      <c r="E3252" t="s">
        <v>33</v>
      </c>
      <c r="F3252" t="s">
        <v>75</v>
      </c>
      <c r="G3252" t="s">
        <v>35</v>
      </c>
      <c r="H3252" t="s">
        <v>51</v>
      </c>
      <c r="I3252" t="s">
        <v>37</v>
      </c>
      <c r="J3252" t="s">
        <v>29</v>
      </c>
      <c r="K3252">
        <v>2027</v>
      </c>
      <c r="L3252">
        <v>16</v>
      </c>
      <c r="M3252">
        <v>15.3</v>
      </c>
      <c r="N3252">
        <v>0</v>
      </c>
      <c r="O3252">
        <v>0</v>
      </c>
      <c r="P3252">
        <f t="shared" si="200"/>
        <v>7.8934385791810564E-3</v>
      </c>
      <c r="Q3252">
        <f t="shared" si="200"/>
        <v>0.95625000000000004</v>
      </c>
      <c r="R3252">
        <f t="shared" si="201"/>
        <v>0</v>
      </c>
      <c r="S3252">
        <f t="shared" si="202"/>
        <v>0</v>
      </c>
      <c r="T3252">
        <f t="shared" si="203"/>
        <v>0</v>
      </c>
      <c r="U3252" t="str">
        <f>YEAR('Campaign Data'!$A3252)&amp;"-"&amp;TEXT(MONTH('Campaign Data'!$A3252),"00")</f>
        <v>2026-06</v>
      </c>
    </row>
    <row r="3253" spans="1:21" x14ac:dyDescent="0.25">
      <c r="A3253">
        <v>46200</v>
      </c>
      <c r="B3253" t="s">
        <v>138</v>
      </c>
      <c r="C3253" t="s">
        <v>139</v>
      </c>
      <c r="D3253" t="s">
        <v>58</v>
      </c>
      <c r="E3253" t="s">
        <v>74</v>
      </c>
      <c r="F3253" t="s">
        <v>34</v>
      </c>
      <c r="G3253" t="s">
        <v>9</v>
      </c>
      <c r="H3253" t="s">
        <v>27</v>
      </c>
      <c r="I3253" t="s">
        <v>37</v>
      </c>
      <c r="J3253" t="s">
        <v>38</v>
      </c>
      <c r="K3253">
        <v>18532</v>
      </c>
      <c r="L3253">
        <v>376</v>
      </c>
      <c r="M3253">
        <v>728.43</v>
      </c>
      <c r="N3253">
        <v>11</v>
      </c>
      <c r="O3253">
        <v>1683.53</v>
      </c>
      <c r="P3253">
        <f t="shared" si="200"/>
        <v>2.0289229440966977E-2</v>
      </c>
      <c r="Q3253">
        <f t="shared" si="200"/>
        <v>1.9373138297872339</v>
      </c>
      <c r="R3253">
        <f t="shared" si="201"/>
        <v>66.220909090909089</v>
      </c>
      <c r="S3253">
        <f t="shared" si="202"/>
        <v>2.3111760910451244</v>
      </c>
      <c r="T3253">
        <f t="shared" si="203"/>
        <v>2.9255319148936171E-2</v>
      </c>
      <c r="U3253" t="str">
        <f>YEAR('Campaign Data'!$A3253)&amp;"-"&amp;TEXT(MONTH('Campaign Data'!$A3253),"00")</f>
        <v>2026-06</v>
      </c>
    </row>
    <row r="3254" spans="1:21" x14ac:dyDescent="0.25">
      <c r="A3254">
        <v>46200</v>
      </c>
      <c r="B3254" t="s">
        <v>93</v>
      </c>
      <c r="C3254" t="s">
        <v>94</v>
      </c>
      <c r="D3254" t="s">
        <v>69</v>
      </c>
      <c r="E3254" t="s">
        <v>42</v>
      </c>
      <c r="F3254" t="s">
        <v>75</v>
      </c>
      <c r="G3254" t="s">
        <v>44</v>
      </c>
      <c r="H3254" t="s">
        <v>60</v>
      </c>
      <c r="I3254" t="s">
        <v>37</v>
      </c>
      <c r="J3254" t="s">
        <v>62</v>
      </c>
      <c r="K3254">
        <v>1918</v>
      </c>
      <c r="L3254">
        <v>12</v>
      </c>
      <c r="M3254">
        <v>74.260000000000005</v>
      </c>
      <c r="N3254">
        <v>0</v>
      </c>
      <c r="O3254">
        <v>0</v>
      </c>
      <c r="P3254">
        <f t="shared" si="200"/>
        <v>6.2565172054223151E-3</v>
      </c>
      <c r="Q3254">
        <f t="shared" si="200"/>
        <v>6.1883333333333335</v>
      </c>
      <c r="R3254">
        <f t="shared" si="201"/>
        <v>0</v>
      </c>
      <c r="S3254">
        <f t="shared" si="202"/>
        <v>0</v>
      </c>
      <c r="T3254">
        <f t="shared" si="203"/>
        <v>0</v>
      </c>
      <c r="U3254" t="str">
        <f>YEAR('Campaign Data'!$A3254)&amp;"-"&amp;TEXT(MONTH('Campaign Data'!$A3254),"00")</f>
        <v>2026-06</v>
      </c>
    </row>
    <row r="3255" spans="1:21" x14ac:dyDescent="0.25">
      <c r="A3255">
        <v>46200</v>
      </c>
      <c r="B3255" t="s">
        <v>95</v>
      </c>
      <c r="C3255" t="s">
        <v>96</v>
      </c>
      <c r="D3255" t="s">
        <v>23</v>
      </c>
      <c r="E3255" t="s">
        <v>49</v>
      </c>
      <c r="F3255" t="s">
        <v>43</v>
      </c>
      <c r="G3255" t="s">
        <v>97</v>
      </c>
      <c r="H3255" t="s">
        <v>36</v>
      </c>
      <c r="I3255" t="s">
        <v>28</v>
      </c>
      <c r="J3255" t="s">
        <v>87</v>
      </c>
      <c r="K3255">
        <v>2653</v>
      </c>
      <c r="L3255">
        <v>74</v>
      </c>
      <c r="M3255">
        <v>134.44999999999999</v>
      </c>
      <c r="N3255">
        <v>2</v>
      </c>
      <c r="O3255">
        <v>57.18</v>
      </c>
      <c r="P3255">
        <f t="shared" si="200"/>
        <v>2.789295137580098E-2</v>
      </c>
      <c r="Q3255">
        <f t="shared" si="200"/>
        <v>1.8168918918918917</v>
      </c>
      <c r="R3255">
        <f t="shared" si="201"/>
        <v>67.224999999999994</v>
      </c>
      <c r="S3255">
        <f t="shared" si="202"/>
        <v>0.4252882112309409</v>
      </c>
      <c r="T3255">
        <f t="shared" si="203"/>
        <v>2.7027027027027029E-2</v>
      </c>
      <c r="U3255" t="str">
        <f>YEAR('Campaign Data'!$A3255)&amp;"-"&amp;TEXT(MONTH('Campaign Data'!$A3255),"00")</f>
        <v>2026-06</v>
      </c>
    </row>
    <row r="3256" spans="1:21" x14ac:dyDescent="0.25">
      <c r="A3256">
        <v>46200</v>
      </c>
      <c r="B3256" t="s">
        <v>46</v>
      </c>
      <c r="C3256" t="s">
        <v>47</v>
      </c>
      <c r="D3256" t="s">
        <v>48</v>
      </c>
      <c r="E3256" t="s">
        <v>49</v>
      </c>
      <c r="F3256" t="s">
        <v>43</v>
      </c>
      <c r="G3256" t="s">
        <v>50</v>
      </c>
      <c r="H3256" t="s">
        <v>90</v>
      </c>
      <c r="I3256" t="s">
        <v>37</v>
      </c>
      <c r="J3256" t="s">
        <v>29</v>
      </c>
      <c r="K3256">
        <v>12703</v>
      </c>
      <c r="L3256">
        <v>778</v>
      </c>
      <c r="M3256">
        <v>358.83</v>
      </c>
      <c r="N3256">
        <v>18</v>
      </c>
      <c r="O3256">
        <v>130.41999999999999</v>
      </c>
      <c r="P3256">
        <f t="shared" si="200"/>
        <v>6.1245375108242149E-2</v>
      </c>
      <c r="Q3256">
        <f t="shared" si="200"/>
        <v>0.46122107969151671</v>
      </c>
      <c r="R3256">
        <f t="shared" si="201"/>
        <v>19.934999999999999</v>
      </c>
      <c r="S3256">
        <f t="shared" si="202"/>
        <v>0.36345901959144999</v>
      </c>
      <c r="T3256">
        <f t="shared" si="203"/>
        <v>2.313624678663239E-2</v>
      </c>
      <c r="U3256" t="str">
        <f>YEAR('Campaign Data'!$A3256)&amp;"-"&amp;TEXT(MONTH('Campaign Data'!$A3256),"00")</f>
        <v>2026-06</v>
      </c>
    </row>
    <row r="3257" spans="1:21" x14ac:dyDescent="0.25">
      <c r="A3257">
        <v>46200</v>
      </c>
      <c r="B3257" t="s">
        <v>52</v>
      </c>
      <c r="C3257" t="s">
        <v>53</v>
      </c>
      <c r="D3257" t="s">
        <v>32</v>
      </c>
      <c r="E3257" t="s">
        <v>42</v>
      </c>
      <c r="F3257" t="s">
        <v>25</v>
      </c>
      <c r="G3257" t="s">
        <v>54</v>
      </c>
      <c r="H3257" t="s">
        <v>71</v>
      </c>
      <c r="I3257" t="s">
        <v>37</v>
      </c>
      <c r="J3257" t="s">
        <v>62</v>
      </c>
      <c r="K3257">
        <v>1975</v>
      </c>
      <c r="L3257">
        <v>13</v>
      </c>
      <c r="M3257">
        <v>73.069999999999993</v>
      </c>
      <c r="N3257">
        <v>0</v>
      </c>
      <c r="O3257">
        <v>0</v>
      </c>
      <c r="P3257">
        <f t="shared" si="200"/>
        <v>6.5822784810126581E-3</v>
      </c>
      <c r="Q3257">
        <f t="shared" si="200"/>
        <v>5.6207692307692305</v>
      </c>
      <c r="R3257">
        <f t="shared" si="201"/>
        <v>0</v>
      </c>
      <c r="S3257">
        <f t="shared" si="202"/>
        <v>0</v>
      </c>
      <c r="T3257">
        <f t="shared" si="203"/>
        <v>0</v>
      </c>
      <c r="U3257" t="str">
        <f>YEAR('Campaign Data'!$A3257)&amp;"-"&amp;TEXT(MONTH('Campaign Data'!$A3257),"00")</f>
        <v>2026-06</v>
      </c>
    </row>
    <row r="3258" spans="1:21" x14ac:dyDescent="0.25">
      <c r="A3258">
        <v>46200</v>
      </c>
      <c r="B3258" t="s">
        <v>132</v>
      </c>
      <c r="C3258" t="s">
        <v>133</v>
      </c>
      <c r="D3258" t="s">
        <v>23</v>
      </c>
      <c r="E3258" t="s">
        <v>42</v>
      </c>
      <c r="F3258" t="s">
        <v>75</v>
      </c>
      <c r="G3258" t="s">
        <v>84</v>
      </c>
      <c r="H3258" t="s">
        <v>36</v>
      </c>
      <c r="I3258" t="s">
        <v>28</v>
      </c>
      <c r="J3258" t="s">
        <v>62</v>
      </c>
      <c r="K3258">
        <v>1975</v>
      </c>
      <c r="L3258">
        <v>18</v>
      </c>
      <c r="M3258">
        <v>102.94</v>
      </c>
      <c r="N3258">
        <v>0</v>
      </c>
      <c r="O3258">
        <v>0</v>
      </c>
      <c r="P3258">
        <f t="shared" si="200"/>
        <v>9.1139240506329117E-3</v>
      </c>
      <c r="Q3258">
        <f t="shared" si="200"/>
        <v>5.7188888888888885</v>
      </c>
      <c r="R3258">
        <f t="shared" si="201"/>
        <v>0</v>
      </c>
      <c r="S3258">
        <f t="shared" si="202"/>
        <v>0</v>
      </c>
      <c r="T3258">
        <f t="shared" si="203"/>
        <v>0</v>
      </c>
      <c r="U3258" t="str">
        <f>YEAR('Campaign Data'!$A3258)&amp;"-"&amp;TEXT(MONTH('Campaign Data'!$A3258),"00")</f>
        <v>2026-06</v>
      </c>
    </row>
    <row r="3259" spans="1:21" x14ac:dyDescent="0.25">
      <c r="A3259">
        <v>46200</v>
      </c>
      <c r="B3259" t="s">
        <v>132</v>
      </c>
      <c r="C3259" t="s">
        <v>133</v>
      </c>
      <c r="D3259" t="s">
        <v>23</v>
      </c>
      <c r="E3259" t="s">
        <v>42</v>
      </c>
      <c r="F3259" t="s">
        <v>75</v>
      </c>
      <c r="G3259" t="s">
        <v>84</v>
      </c>
      <c r="H3259" t="s">
        <v>27</v>
      </c>
      <c r="I3259" t="s">
        <v>28</v>
      </c>
      <c r="J3259" t="s">
        <v>45</v>
      </c>
      <c r="K3259">
        <v>4479</v>
      </c>
      <c r="L3259">
        <v>17</v>
      </c>
      <c r="M3259">
        <v>144.51</v>
      </c>
      <c r="N3259">
        <v>2</v>
      </c>
      <c r="O3259">
        <v>96.5</v>
      </c>
      <c r="P3259">
        <f t="shared" si="200"/>
        <v>3.7954900647465951E-3</v>
      </c>
      <c r="Q3259">
        <f t="shared" si="200"/>
        <v>8.5005882352941171</v>
      </c>
      <c r="R3259">
        <f t="shared" si="201"/>
        <v>72.254999999999995</v>
      </c>
      <c r="S3259">
        <f t="shared" si="202"/>
        <v>0.66777385648052046</v>
      </c>
      <c r="T3259">
        <f t="shared" si="203"/>
        <v>0.11764705882352941</v>
      </c>
      <c r="U3259" t="str">
        <f>YEAR('Campaign Data'!$A3259)&amp;"-"&amp;TEXT(MONTH('Campaign Data'!$A3259),"00")</f>
        <v>2026-06</v>
      </c>
    </row>
    <row r="3260" spans="1:21" x14ac:dyDescent="0.25">
      <c r="A3260">
        <v>46200</v>
      </c>
      <c r="B3260" t="s">
        <v>171</v>
      </c>
      <c r="C3260" t="s">
        <v>172</v>
      </c>
      <c r="D3260" t="s">
        <v>23</v>
      </c>
      <c r="E3260" t="s">
        <v>33</v>
      </c>
      <c r="F3260" t="s">
        <v>75</v>
      </c>
      <c r="G3260" t="s">
        <v>59</v>
      </c>
      <c r="H3260" t="s">
        <v>36</v>
      </c>
      <c r="I3260" t="s">
        <v>37</v>
      </c>
      <c r="J3260" t="s">
        <v>62</v>
      </c>
      <c r="K3260">
        <v>2962</v>
      </c>
      <c r="L3260">
        <v>32</v>
      </c>
      <c r="M3260">
        <v>18.18</v>
      </c>
      <c r="N3260">
        <v>0</v>
      </c>
      <c r="O3260">
        <v>0</v>
      </c>
      <c r="P3260">
        <f t="shared" si="200"/>
        <v>1.0803511141120865E-2</v>
      </c>
      <c r="Q3260">
        <f t="shared" si="200"/>
        <v>0.56812499999999999</v>
      </c>
      <c r="R3260">
        <f t="shared" si="201"/>
        <v>0</v>
      </c>
      <c r="S3260">
        <f t="shared" si="202"/>
        <v>0</v>
      </c>
      <c r="T3260">
        <f t="shared" si="203"/>
        <v>0</v>
      </c>
      <c r="U3260" t="str">
        <f>YEAR('Campaign Data'!$A3260)&amp;"-"&amp;TEXT(MONTH('Campaign Data'!$A3260),"00")</f>
        <v>2026-06</v>
      </c>
    </row>
    <row r="3261" spans="1:21" x14ac:dyDescent="0.25">
      <c r="A3261">
        <v>46200</v>
      </c>
      <c r="B3261" t="s">
        <v>157</v>
      </c>
      <c r="C3261" t="s">
        <v>158</v>
      </c>
      <c r="D3261" t="s">
        <v>58</v>
      </c>
      <c r="E3261" t="s">
        <v>49</v>
      </c>
      <c r="F3261" t="s">
        <v>81</v>
      </c>
      <c r="G3261" t="s">
        <v>50</v>
      </c>
      <c r="H3261" t="s">
        <v>36</v>
      </c>
      <c r="I3261" t="s">
        <v>37</v>
      </c>
      <c r="J3261" t="s">
        <v>45</v>
      </c>
      <c r="K3261">
        <v>3187</v>
      </c>
      <c r="L3261">
        <v>165</v>
      </c>
      <c r="M3261">
        <v>316.55</v>
      </c>
      <c r="N3261">
        <v>8</v>
      </c>
      <c r="O3261">
        <v>131.97</v>
      </c>
      <c r="P3261">
        <f t="shared" si="200"/>
        <v>5.1772827110134922E-2</v>
      </c>
      <c r="Q3261">
        <f t="shared" si="200"/>
        <v>1.9184848484848485</v>
      </c>
      <c r="R3261">
        <f t="shared" si="201"/>
        <v>39.568750000000001</v>
      </c>
      <c r="S3261">
        <f t="shared" si="202"/>
        <v>0.41690096351287315</v>
      </c>
      <c r="T3261">
        <f t="shared" si="203"/>
        <v>4.8484848484848485E-2</v>
      </c>
      <c r="U3261" t="str">
        <f>YEAR('Campaign Data'!$A3261)&amp;"-"&amp;TEXT(MONTH('Campaign Data'!$A3261),"00")</f>
        <v>2026-06</v>
      </c>
    </row>
    <row r="3262" spans="1:21" x14ac:dyDescent="0.25">
      <c r="A3262">
        <v>46200</v>
      </c>
      <c r="B3262" t="s">
        <v>159</v>
      </c>
      <c r="C3262" t="s">
        <v>160</v>
      </c>
      <c r="D3262" t="s">
        <v>65</v>
      </c>
      <c r="E3262" t="s">
        <v>42</v>
      </c>
      <c r="F3262" t="s">
        <v>75</v>
      </c>
      <c r="G3262" t="s">
        <v>54</v>
      </c>
      <c r="H3262" t="s">
        <v>51</v>
      </c>
      <c r="I3262" t="s">
        <v>37</v>
      </c>
      <c r="J3262" t="s">
        <v>45</v>
      </c>
      <c r="K3262">
        <v>12344</v>
      </c>
      <c r="L3262">
        <v>45</v>
      </c>
      <c r="M3262">
        <v>236.26</v>
      </c>
      <c r="N3262">
        <v>1</v>
      </c>
      <c r="O3262">
        <v>62.54</v>
      </c>
      <c r="P3262">
        <f t="shared" si="200"/>
        <v>3.64549578742709E-3</v>
      </c>
      <c r="Q3262">
        <f t="shared" si="200"/>
        <v>5.2502222222222219</v>
      </c>
      <c r="R3262">
        <f t="shared" si="201"/>
        <v>236.26</v>
      </c>
      <c r="S3262">
        <f t="shared" si="202"/>
        <v>0.26470837213239651</v>
      </c>
      <c r="T3262">
        <f t="shared" si="203"/>
        <v>2.2222222222222223E-2</v>
      </c>
      <c r="U3262" t="str">
        <f>YEAR('Campaign Data'!$A3262)&amp;"-"&amp;TEXT(MONTH('Campaign Data'!$A3262),"00")</f>
        <v>2026-06</v>
      </c>
    </row>
    <row r="3263" spans="1:21" x14ac:dyDescent="0.25">
      <c r="A3263">
        <v>46200</v>
      </c>
      <c r="B3263" t="s">
        <v>181</v>
      </c>
      <c r="C3263" t="s">
        <v>182</v>
      </c>
      <c r="D3263" t="s">
        <v>32</v>
      </c>
      <c r="E3263" t="s">
        <v>33</v>
      </c>
      <c r="F3263" t="s">
        <v>75</v>
      </c>
      <c r="G3263" t="s">
        <v>59</v>
      </c>
      <c r="H3263" t="s">
        <v>60</v>
      </c>
      <c r="I3263" t="s">
        <v>37</v>
      </c>
      <c r="J3263" t="s">
        <v>87</v>
      </c>
      <c r="K3263">
        <v>8771</v>
      </c>
      <c r="L3263">
        <v>95</v>
      </c>
      <c r="M3263">
        <v>58.45</v>
      </c>
      <c r="N3263">
        <v>1</v>
      </c>
      <c r="O3263">
        <v>42.53</v>
      </c>
      <c r="P3263">
        <f t="shared" si="200"/>
        <v>1.083114810169878E-2</v>
      </c>
      <c r="Q3263">
        <f t="shared" si="200"/>
        <v>0.61526315789473685</v>
      </c>
      <c r="R3263">
        <f t="shared" si="201"/>
        <v>58.45</v>
      </c>
      <c r="S3263">
        <f t="shared" si="202"/>
        <v>0.72763045337895638</v>
      </c>
      <c r="T3263">
        <f t="shared" si="203"/>
        <v>1.0526315789473684E-2</v>
      </c>
      <c r="U3263" t="str">
        <f>YEAR('Campaign Data'!$A3263)&amp;"-"&amp;TEXT(MONTH('Campaign Data'!$A3263),"00")</f>
        <v>2026-06</v>
      </c>
    </row>
    <row r="3264" spans="1:21" x14ac:dyDescent="0.25">
      <c r="A3264">
        <v>46200</v>
      </c>
      <c r="B3264" t="s">
        <v>143</v>
      </c>
      <c r="C3264" t="s">
        <v>144</v>
      </c>
      <c r="D3264" t="s">
        <v>48</v>
      </c>
      <c r="E3264" t="s">
        <v>42</v>
      </c>
      <c r="F3264" t="s">
        <v>25</v>
      </c>
      <c r="G3264" t="s">
        <v>84</v>
      </c>
      <c r="H3264" t="s">
        <v>90</v>
      </c>
      <c r="I3264" t="s">
        <v>37</v>
      </c>
      <c r="J3264" t="s">
        <v>38</v>
      </c>
      <c r="K3264">
        <v>3577</v>
      </c>
      <c r="L3264">
        <v>21</v>
      </c>
      <c r="M3264">
        <v>26.08</v>
      </c>
      <c r="N3264">
        <v>0</v>
      </c>
      <c r="O3264">
        <v>0</v>
      </c>
      <c r="P3264">
        <f t="shared" si="200"/>
        <v>5.8708414872798431E-3</v>
      </c>
      <c r="Q3264">
        <f t="shared" si="200"/>
        <v>1.2419047619047618</v>
      </c>
      <c r="R3264">
        <f t="shared" si="201"/>
        <v>0</v>
      </c>
      <c r="S3264">
        <f t="shared" si="202"/>
        <v>0</v>
      </c>
      <c r="T3264">
        <f t="shared" si="203"/>
        <v>0</v>
      </c>
      <c r="U3264" t="str">
        <f>YEAR('Campaign Data'!$A3264)&amp;"-"&amp;TEXT(MONTH('Campaign Data'!$A3264),"00")</f>
        <v>2026-06</v>
      </c>
    </row>
    <row r="3265" spans="1:21" x14ac:dyDescent="0.25">
      <c r="A3265">
        <v>46200</v>
      </c>
      <c r="B3265" t="s">
        <v>63</v>
      </c>
      <c r="C3265" t="s">
        <v>64</v>
      </c>
      <c r="D3265" t="s">
        <v>65</v>
      </c>
      <c r="E3265" t="s">
        <v>24</v>
      </c>
      <c r="F3265" t="s">
        <v>43</v>
      </c>
      <c r="G3265" t="s">
        <v>66</v>
      </c>
      <c r="H3265" t="s">
        <v>27</v>
      </c>
      <c r="I3265" t="s">
        <v>28</v>
      </c>
      <c r="J3265" t="s">
        <v>45</v>
      </c>
      <c r="K3265">
        <v>5873</v>
      </c>
      <c r="L3265">
        <v>83</v>
      </c>
      <c r="M3265">
        <v>83.69</v>
      </c>
      <c r="N3265">
        <v>4</v>
      </c>
      <c r="O3265">
        <v>128.83000000000001</v>
      </c>
      <c r="P3265">
        <f t="shared" si="200"/>
        <v>1.4132470628298996E-2</v>
      </c>
      <c r="Q3265">
        <f t="shared" si="200"/>
        <v>1.0083132530120482</v>
      </c>
      <c r="R3265">
        <f t="shared" si="201"/>
        <v>20.922499999999999</v>
      </c>
      <c r="S3265">
        <f t="shared" si="202"/>
        <v>1.5393714900227031</v>
      </c>
      <c r="T3265">
        <f t="shared" si="203"/>
        <v>4.8192771084337352E-2</v>
      </c>
      <c r="U3265" t="str">
        <f>YEAR('Campaign Data'!$A3265)&amp;"-"&amp;TEXT(MONTH('Campaign Data'!$A3265),"00")</f>
        <v>2026-06</v>
      </c>
    </row>
    <row r="3266" spans="1:21" x14ac:dyDescent="0.25">
      <c r="A3266">
        <v>46200</v>
      </c>
      <c r="B3266" t="s">
        <v>183</v>
      </c>
      <c r="C3266" t="s">
        <v>184</v>
      </c>
      <c r="D3266" t="s">
        <v>23</v>
      </c>
      <c r="E3266" t="s">
        <v>24</v>
      </c>
      <c r="F3266" t="s">
        <v>81</v>
      </c>
      <c r="G3266" t="s">
        <v>185</v>
      </c>
      <c r="H3266" t="s">
        <v>27</v>
      </c>
      <c r="I3266" t="s">
        <v>37</v>
      </c>
      <c r="J3266" t="s">
        <v>38</v>
      </c>
      <c r="K3266">
        <v>1423</v>
      </c>
      <c r="L3266">
        <v>11</v>
      </c>
      <c r="M3266">
        <v>11.37</v>
      </c>
      <c r="N3266">
        <v>1</v>
      </c>
      <c r="O3266">
        <v>26.37</v>
      </c>
      <c r="P3266">
        <f t="shared" ref="P3266:Q3329" si="204">IF(K3266=0,0,L3266/K3266)</f>
        <v>7.7301475755446238E-3</v>
      </c>
      <c r="Q3266">
        <f t="shared" si="204"/>
        <v>1.0336363636363635</v>
      </c>
      <c r="R3266">
        <f t="shared" ref="R3266:R3329" si="205">IF(N3266=0,0,M3266/N3266)</f>
        <v>11.37</v>
      </c>
      <c r="S3266">
        <f t="shared" ref="S3266:S3329" si="206">IF(M3266=0,0,O3266/M3266)</f>
        <v>2.319261213720317</v>
      </c>
      <c r="T3266">
        <f t="shared" ref="T3266:T3329" si="207">IF(L3266=0,0,N3266/L3266)</f>
        <v>9.0909090909090912E-2</v>
      </c>
      <c r="U3266" t="str">
        <f>YEAR('Campaign Data'!$A3266)&amp;"-"&amp;TEXT(MONTH('Campaign Data'!$A3266),"00")</f>
        <v>2026-06</v>
      </c>
    </row>
    <row r="3267" spans="1:21" x14ac:dyDescent="0.25">
      <c r="A3267">
        <v>46200</v>
      </c>
      <c r="B3267" t="s">
        <v>163</v>
      </c>
      <c r="C3267" t="s">
        <v>164</v>
      </c>
      <c r="D3267" t="s">
        <v>58</v>
      </c>
      <c r="E3267" t="s">
        <v>42</v>
      </c>
      <c r="F3267" t="s">
        <v>43</v>
      </c>
      <c r="G3267" t="s">
        <v>44</v>
      </c>
      <c r="H3267" t="s">
        <v>27</v>
      </c>
      <c r="I3267" t="s">
        <v>37</v>
      </c>
      <c r="J3267" t="s">
        <v>29</v>
      </c>
      <c r="K3267">
        <v>3977</v>
      </c>
      <c r="L3267">
        <v>11</v>
      </c>
      <c r="M3267">
        <v>78.75</v>
      </c>
      <c r="N3267">
        <v>0</v>
      </c>
      <c r="O3267">
        <v>0</v>
      </c>
      <c r="P3267">
        <f t="shared" si="204"/>
        <v>2.7659039476992707E-3</v>
      </c>
      <c r="Q3267">
        <f t="shared" si="204"/>
        <v>7.1590909090909092</v>
      </c>
      <c r="R3267">
        <f t="shared" si="205"/>
        <v>0</v>
      </c>
      <c r="S3267">
        <f t="shared" si="206"/>
        <v>0</v>
      </c>
      <c r="T3267">
        <f t="shared" si="207"/>
        <v>0</v>
      </c>
      <c r="U3267" t="str">
        <f>YEAR('Campaign Data'!$A3267)&amp;"-"&amp;TEXT(MONTH('Campaign Data'!$A3267),"00")</f>
        <v>2026-06</v>
      </c>
    </row>
    <row r="3268" spans="1:21" x14ac:dyDescent="0.25">
      <c r="A3268">
        <v>46200</v>
      </c>
      <c r="B3268" t="s">
        <v>76</v>
      </c>
      <c r="C3268" t="s">
        <v>77</v>
      </c>
      <c r="D3268" t="s">
        <v>65</v>
      </c>
      <c r="E3268" t="s">
        <v>42</v>
      </c>
      <c r="F3268" t="s">
        <v>43</v>
      </c>
      <c r="G3268" t="s">
        <v>44</v>
      </c>
      <c r="H3268" t="s">
        <v>90</v>
      </c>
      <c r="I3268" t="s">
        <v>28</v>
      </c>
      <c r="J3268" t="s">
        <v>38</v>
      </c>
      <c r="K3268">
        <v>2767</v>
      </c>
      <c r="L3268">
        <v>32</v>
      </c>
      <c r="M3268">
        <v>41.71</v>
      </c>
      <c r="N3268">
        <v>0</v>
      </c>
      <c r="O3268">
        <v>0</v>
      </c>
      <c r="P3268">
        <f t="shared" si="204"/>
        <v>1.1564871702204554E-2</v>
      </c>
      <c r="Q3268">
        <f t="shared" si="204"/>
        <v>1.3034375</v>
      </c>
      <c r="R3268">
        <f t="shared" si="205"/>
        <v>0</v>
      </c>
      <c r="S3268">
        <f t="shared" si="206"/>
        <v>0</v>
      </c>
      <c r="T3268">
        <f t="shared" si="207"/>
        <v>0</v>
      </c>
      <c r="U3268" t="str">
        <f>YEAR('Campaign Data'!$A3268)&amp;"-"&amp;TEXT(MONTH('Campaign Data'!$A3268),"00")</f>
        <v>2026-06</v>
      </c>
    </row>
    <row r="3269" spans="1:21" x14ac:dyDescent="0.25">
      <c r="A3269">
        <v>46200</v>
      </c>
      <c r="B3269" t="s">
        <v>120</v>
      </c>
      <c r="C3269" t="s">
        <v>121</v>
      </c>
      <c r="D3269" t="s">
        <v>23</v>
      </c>
      <c r="E3269" t="s">
        <v>49</v>
      </c>
      <c r="F3269" t="s">
        <v>75</v>
      </c>
      <c r="G3269" t="s">
        <v>70</v>
      </c>
      <c r="H3269" t="s">
        <v>36</v>
      </c>
      <c r="I3269" t="s">
        <v>28</v>
      </c>
      <c r="J3269" t="s">
        <v>45</v>
      </c>
      <c r="K3269">
        <v>15225</v>
      </c>
      <c r="L3269">
        <v>763</v>
      </c>
      <c r="M3269">
        <v>987.58</v>
      </c>
      <c r="N3269">
        <v>21</v>
      </c>
      <c r="O3269">
        <v>813.89</v>
      </c>
      <c r="P3269">
        <f t="shared" si="204"/>
        <v>5.0114942528735634E-2</v>
      </c>
      <c r="Q3269">
        <f t="shared" si="204"/>
        <v>1.294338138925295</v>
      </c>
      <c r="R3269">
        <f t="shared" si="205"/>
        <v>47.027619047619048</v>
      </c>
      <c r="S3269">
        <f t="shared" si="206"/>
        <v>0.82412564045444414</v>
      </c>
      <c r="T3269">
        <f t="shared" si="207"/>
        <v>2.7522935779816515E-2</v>
      </c>
      <c r="U3269" t="str">
        <f>YEAR('Campaign Data'!$A3269)&amp;"-"&amp;TEXT(MONTH('Campaign Data'!$A3269),"00")</f>
        <v>2026-06</v>
      </c>
    </row>
    <row r="3270" spans="1:21" x14ac:dyDescent="0.25">
      <c r="A3270">
        <v>46201</v>
      </c>
      <c r="B3270" t="s">
        <v>173</v>
      </c>
      <c r="C3270" t="s">
        <v>174</v>
      </c>
      <c r="D3270" t="s">
        <v>48</v>
      </c>
      <c r="E3270" t="s">
        <v>74</v>
      </c>
      <c r="F3270" t="s">
        <v>25</v>
      </c>
      <c r="G3270" t="s">
        <v>9</v>
      </c>
      <c r="H3270" t="s">
        <v>90</v>
      </c>
      <c r="I3270" t="s">
        <v>37</v>
      </c>
      <c r="J3270" t="s">
        <v>38</v>
      </c>
      <c r="K3270">
        <v>2708</v>
      </c>
      <c r="L3270">
        <v>75</v>
      </c>
      <c r="M3270">
        <v>29.14</v>
      </c>
      <c r="N3270">
        <v>1</v>
      </c>
      <c r="O3270">
        <v>22.52</v>
      </c>
      <c r="P3270">
        <f t="shared" si="204"/>
        <v>2.7695716395864108E-2</v>
      </c>
      <c r="Q3270">
        <f t="shared" si="204"/>
        <v>0.38853333333333334</v>
      </c>
      <c r="R3270">
        <f t="shared" si="205"/>
        <v>29.14</v>
      </c>
      <c r="S3270">
        <f t="shared" si="206"/>
        <v>0.7728208647906657</v>
      </c>
      <c r="T3270">
        <f t="shared" si="207"/>
        <v>1.3333333333333334E-2</v>
      </c>
      <c r="U3270" t="str">
        <f>YEAR('Campaign Data'!$A3270)&amp;"-"&amp;TEXT(MONTH('Campaign Data'!$A3270),"00")</f>
        <v>2026-06</v>
      </c>
    </row>
    <row r="3271" spans="1:21" x14ac:dyDescent="0.25">
      <c r="A3271">
        <v>46201</v>
      </c>
      <c r="B3271" t="s">
        <v>85</v>
      </c>
      <c r="C3271" t="s">
        <v>86</v>
      </c>
      <c r="D3271" t="s">
        <v>80</v>
      </c>
      <c r="E3271" t="s">
        <v>33</v>
      </c>
      <c r="F3271" t="s">
        <v>43</v>
      </c>
      <c r="G3271" t="s">
        <v>35</v>
      </c>
      <c r="H3271" t="s">
        <v>60</v>
      </c>
      <c r="I3271" t="s">
        <v>37</v>
      </c>
      <c r="J3271" t="s">
        <v>87</v>
      </c>
      <c r="K3271">
        <v>10384</v>
      </c>
      <c r="L3271">
        <v>139</v>
      </c>
      <c r="M3271">
        <v>67.42</v>
      </c>
      <c r="N3271">
        <v>0</v>
      </c>
      <c r="O3271">
        <v>0</v>
      </c>
      <c r="P3271">
        <f t="shared" si="204"/>
        <v>1.3385978428351309E-2</v>
      </c>
      <c r="Q3271">
        <f t="shared" si="204"/>
        <v>0.48503597122302161</v>
      </c>
      <c r="R3271">
        <f t="shared" si="205"/>
        <v>0</v>
      </c>
      <c r="S3271">
        <f t="shared" si="206"/>
        <v>0</v>
      </c>
      <c r="T3271">
        <f t="shared" si="207"/>
        <v>0</v>
      </c>
      <c r="U3271" t="str">
        <f>YEAR('Campaign Data'!$A3271)&amp;"-"&amp;TEXT(MONTH('Campaign Data'!$A3271),"00")</f>
        <v>2026-06</v>
      </c>
    </row>
    <row r="3272" spans="1:21" x14ac:dyDescent="0.25">
      <c r="A3272">
        <v>46201</v>
      </c>
      <c r="B3272" t="s">
        <v>95</v>
      </c>
      <c r="C3272" t="s">
        <v>96</v>
      </c>
      <c r="D3272" t="s">
        <v>23</v>
      </c>
      <c r="E3272" t="s">
        <v>49</v>
      </c>
      <c r="F3272" t="s">
        <v>43</v>
      </c>
      <c r="G3272" t="s">
        <v>97</v>
      </c>
      <c r="H3272" t="s">
        <v>27</v>
      </c>
      <c r="I3272" t="s">
        <v>37</v>
      </c>
      <c r="J3272" t="s">
        <v>45</v>
      </c>
      <c r="K3272">
        <v>5237</v>
      </c>
      <c r="L3272">
        <v>252</v>
      </c>
      <c r="M3272">
        <v>514.42999999999995</v>
      </c>
      <c r="N3272">
        <v>18</v>
      </c>
      <c r="O3272">
        <v>455.48</v>
      </c>
      <c r="P3272">
        <f t="shared" si="204"/>
        <v>4.811915218636624E-2</v>
      </c>
      <c r="Q3272">
        <f t="shared" si="204"/>
        <v>2.0413888888888887</v>
      </c>
      <c r="R3272">
        <f t="shared" si="205"/>
        <v>28.579444444444441</v>
      </c>
      <c r="S3272">
        <f t="shared" si="206"/>
        <v>0.88540714966078971</v>
      </c>
      <c r="T3272">
        <f t="shared" si="207"/>
        <v>7.1428571428571425E-2</v>
      </c>
      <c r="U3272" t="str">
        <f>YEAR('Campaign Data'!$A3272)&amp;"-"&amp;TEXT(MONTH('Campaign Data'!$A3272),"00")</f>
        <v>2026-06</v>
      </c>
    </row>
    <row r="3273" spans="1:21" x14ac:dyDescent="0.25">
      <c r="A3273">
        <v>46201</v>
      </c>
      <c r="B3273" t="s">
        <v>52</v>
      </c>
      <c r="C3273" t="s">
        <v>53</v>
      </c>
      <c r="D3273" t="s">
        <v>32</v>
      </c>
      <c r="E3273" t="s">
        <v>42</v>
      </c>
      <c r="F3273" t="s">
        <v>25</v>
      </c>
      <c r="G3273" t="s">
        <v>54</v>
      </c>
      <c r="H3273" t="s">
        <v>36</v>
      </c>
      <c r="I3273" t="s">
        <v>61</v>
      </c>
      <c r="J3273" t="s">
        <v>62</v>
      </c>
      <c r="K3273">
        <v>643</v>
      </c>
      <c r="L3273">
        <v>10</v>
      </c>
      <c r="M3273">
        <v>47.29</v>
      </c>
      <c r="N3273">
        <v>0</v>
      </c>
      <c r="O3273">
        <v>0</v>
      </c>
      <c r="P3273">
        <f t="shared" si="204"/>
        <v>1.5552099533437015E-2</v>
      </c>
      <c r="Q3273">
        <f t="shared" si="204"/>
        <v>4.7290000000000001</v>
      </c>
      <c r="R3273">
        <f t="shared" si="205"/>
        <v>0</v>
      </c>
      <c r="S3273">
        <f t="shared" si="206"/>
        <v>0</v>
      </c>
      <c r="T3273">
        <f t="shared" si="207"/>
        <v>0</v>
      </c>
      <c r="U3273" t="str">
        <f>YEAR('Campaign Data'!$A3273)&amp;"-"&amp;TEXT(MONTH('Campaign Data'!$A3273),"00")</f>
        <v>2026-06</v>
      </c>
    </row>
    <row r="3274" spans="1:21" x14ac:dyDescent="0.25">
      <c r="A3274">
        <v>46201</v>
      </c>
      <c r="B3274" t="s">
        <v>169</v>
      </c>
      <c r="C3274" t="s">
        <v>170</v>
      </c>
      <c r="D3274" t="s">
        <v>58</v>
      </c>
      <c r="E3274" t="s">
        <v>74</v>
      </c>
      <c r="F3274" t="s">
        <v>75</v>
      </c>
      <c r="G3274" t="s">
        <v>9</v>
      </c>
      <c r="H3274" t="s">
        <v>90</v>
      </c>
      <c r="I3274" t="s">
        <v>37</v>
      </c>
      <c r="J3274" t="s">
        <v>87</v>
      </c>
      <c r="K3274">
        <v>10562</v>
      </c>
      <c r="L3274">
        <v>219</v>
      </c>
      <c r="M3274">
        <v>93.51</v>
      </c>
      <c r="N3274">
        <v>5</v>
      </c>
      <c r="O3274">
        <v>53.99</v>
      </c>
      <c r="P3274">
        <f t="shared" si="204"/>
        <v>2.0734709335353152E-2</v>
      </c>
      <c r="Q3274">
        <f t="shared" si="204"/>
        <v>0.42698630136986304</v>
      </c>
      <c r="R3274">
        <f t="shared" si="205"/>
        <v>18.702000000000002</v>
      </c>
      <c r="S3274">
        <f t="shared" si="206"/>
        <v>0.57737140412790078</v>
      </c>
      <c r="T3274">
        <f t="shared" si="207"/>
        <v>2.2831050228310501E-2</v>
      </c>
      <c r="U3274" t="str">
        <f>YEAR('Campaign Data'!$A3274)&amp;"-"&amp;TEXT(MONTH('Campaign Data'!$A3274),"00")</f>
        <v>2026-06</v>
      </c>
    </row>
    <row r="3275" spans="1:21" x14ac:dyDescent="0.25">
      <c r="A3275">
        <v>46201</v>
      </c>
      <c r="B3275" t="s">
        <v>127</v>
      </c>
      <c r="C3275" t="s">
        <v>128</v>
      </c>
      <c r="D3275" t="s">
        <v>58</v>
      </c>
      <c r="E3275" t="s">
        <v>24</v>
      </c>
      <c r="F3275" t="s">
        <v>81</v>
      </c>
      <c r="G3275" t="s">
        <v>129</v>
      </c>
      <c r="H3275" t="s">
        <v>55</v>
      </c>
      <c r="I3275" t="s">
        <v>37</v>
      </c>
      <c r="J3275" t="s">
        <v>62</v>
      </c>
      <c r="K3275">
        <v>8323</v>
      </c>
      <c r="L3275">
        <v>60</v>
      </c>
      <c r="M3275">
        <v>39.29</v>
      </c>
      <c r="N3275">
        <v>0</v>
      </c>
      <c r="O3275">
        <v>0</v>
      </c>
      <c r="P3275">
        <f t="shared" si="204"/>
        <v>7.2089390844647366E-3</v>
      </c>
      <c r="Q3275">
        <f t="shared" si="204"/>
        <v>0.65483333333333327</v>
      </c>
      <c r="R3275">
        <f t="shared" si="205"/>
        <v>0</v>
      </c>
      <c r="S3275">
        <f t="shared" si="206"/>
        <v>0</v>
      </c>
      <c r="T3275">
        <f t="shared" si="207"/>
        <v>0</v>
      </c>
      <c r="U3275" t="str">
        <f>YEAR('Campaign Data'!$A3275)&amp;"-"&amp;TEXT(MONTH('Campaign Data'!$A3275),"00")</f>
        <v>2026-06</v>
      </c>
    </row>
    <row r="3276" spans="1:21" x14ac:dyDescent="0.25">
      <c r="A3276">
        <v>46201</v>
      </c>
      <c r="B3276" t="s">
        <v>103</v>
      </c>
      <c r="C3276" t="s">
        <v>104</v>
      </c>
      <c r="D3276" t="s">
        <v>65</v>
      </c>
      <c r="E3276" t="s">
        <v>33</v>
      </c>
      <c r="F3276" t="s">
        <v>43</v>
      </c>
      <c r="G3276" t="s">
        <v>102</v>
      </c>
      <c r="H3276" t="s">
        <v>55</v>
      </c>
      <c r="I3276" t="s">
        <v>37</v>
      </c>
      <c r="J3276" t="s">
        <v>45</v>
      </c>
      <c r="K3276">
        <v>3907</v>
      </c>
      <c r="L3276">
        <v>48</v>
      </c>
      <c r="M3276">
        <v>11.85</v>
      </c>
      <c r="N3276">
        <v>1</v>
      </c>
      <c r="O3276">
        <v>31.92</v>
      </c>
      <c r="P3276">
        <f t="shared" si="204"/>
        <v>1.2285641156897875E-2</v>
      </c>
      <c r="Q3276">
        <f t="shared" si="204"/>
        <v>0.24687499999999998</v>
      </c>
      <c r="R3276">
        <f t="shared" si="205"/>
        <v>11.85</v>
      </c>
      <c r="S3276">
        <f t="shared" si="206"/>
        <v>2.6936708860759495</v>
      </c>
      <c r="T3276">
        <f t="shared" si="207"/>
        <v>2.0833333333333332E-2</v>
      </c>
      <c r="U3276" t="str">
        <f>YEAR('Campaign Data'!$A3276)&amp;"-"&amp;TEXT(MONTH('Campaign Data'!$A3276),"00")</f>
        <v>2026-06</v>
      </c>
    </row>
    <row r="3277" spans="1:21" x14ac:dyDescent="0.25">
      <c r="A3277">
        <v>46201</v>
      </c>
      <c r="B3277" t="s">
        <v>105</v>
      </c>
      <c r="C3277" t="s">
        <v>106</v>
      </c>
      <c r="D3277" t="s">
        <v>58</v>
      </c>
      <c r="E3277" t="s">
        <v>49</v>
      </c>
      <c r="F3277" t="s">
        <v>81</v>
      </c>
      <c r="G3277" t="s">
        <v>107</v>
      </c>
      <c r="H3277" t="s">
        <v>55</v>
      </c>
      <c r="I3277" t="s">
        <v>37</v>
      </c>
      <c r="J3277" t="s">
        <v>87</v>
      </c>
      <c r="K3277">
        <v>9678</v>
      </c>
      <c r="L3277">
        <v>193</v>
      </c>
      <c r="M3277">
        <v>165.49</v>
      </c>
      <c r="N3277">
        <v>6</v>
      </c>
      <c r="O3277">
        <v>99.23</v>
      </c>
      <c r="P3277">
        <f t="shared" si="204"/>
        <v>1.9942136805125025E-2</v>
      </c>
      <c r="Q3277">
        <f t="shared" si="204"/>
        <v>0.85746113989637307</v>
      </c>
      <c r="R3277">
        <f t="shared" si="205"/>
        <v>27.581666666666667</v>
      </c>
      <c r="S3277">
        <f t="shared" si="206"/>
        <v>0.59961326968396877</v>
      </c>
      <c r="T3277">
        <f t="shared" si="207"/>
        <v>3.1088082901554404E-2</v>
      </c>
      <c r="U3277" t="str">
        <f>YEAR('Campaign Data'!$A3277)&amp;"-"&amp;TEXT(MONTH('Campaign Data'!$A3277),"00")</f>
        <v>2026-06</v>
      </c>
    </row>
    <row r="3278" spans="1:21" x14ac:dyDescent="0.25">
      <c r="A3278">
        <v>46201</v>
      </c>
      <c r="B3278" t="s">
        <v>153</v>
      </c>
      <c r="C3278" t="s">
        <v>154</v>
      </c>
      <c r="D3278" t="s">
        <v>48</v>
      </c>
      <c r="E3278" t="s">
        <v>33</v>
      </c>
      <c r="F3278" t="s">
        <v>43</v>
      </c>
      <c r="G3278" t="s">
        <v>59</v>
      </c>
      <c r="H3278" t="s">
        <v>60</v>
      </c>
      <c r="I3278" t="s">
        <v>37</v>
      </c>
      <c r="J3278" t="s">
        <v>45</v>
      </c>
      <c r="K3278">
        <v>1442</v>
      </c>
      <c r="L3278">
        <v>14</v>
      </c>
      <c r="M3278">
        <v>5.45</v>
      </c>
      <c r="N3278">
        <v>0</v>
      </c>
      <c r="O3278">
        <v>0</v>
      </c>
      <c r="P3278">
        <f t="shared" si="204"/>
        <v>9.7087378640776691E-3</v>
      </c>
      <c r="Q3278">
        <f t="shared" si="204"/>
        <v>0.38928571428571429</v>
      </c>
      <c r="R3278">
        <f t="shared" si="205"/>
        <v>0</v>
      </c>
      <c r="S3278">
        <f t="shared" si="206"/>
        <v>0</v>
      </c>
      <c r="T3278">
        <f t="shared" si="207"/>
        <v>0</v>
      </c>
      <c r="U3278" t="str">
        <f>YEAR('Campaign Data'!$A3278)&amp;"-"&amp;TEXT(MONTH('Campaign Data'!$A3278),"00")</f>
        <v>2026-06</v>
      </c>
    </row>
    <row r="3279" spans="1:21" x14ac:dyDescent="0.25">
      <c r="A3279">
        <v>46201</v>
      </c>
      <c r="B3279" t="s">
        <v>140</v>
      </c>
      <c r="C3279" t="s">
        <v>40</v>
      </c>
      <c r="D3279" t="s">
        <v>41</v>
      </c>
      <c r="E3279" t="s">
        <v>42</v>
      </c>
      <c r="F3279" t="s">
        <v>43</v>
      </c>
      <c r="G3279" t="s">
        <v>44</v>
      </c>
      <c r="H3279" t="s">
        <v>71</v>
      </c>
      <c r="I3279" t="s">
        <v>28</v>
      </c>
      <c r="J3279" t="s">
        <v>87</v>
      </c>
      <c r="K3279">
        <v>6213</v>
      </c>
      <c r="L3279">
        <v>39</v>
      </c>
      <c r="M3279">
        <v>129.97999999999999</v>
      </c>
      <c r="N3279">
        <v>0</v>
      </c>
      <c r="O3279">
        <v>0</v>
      </c>
      <c r="P3279">
        <f t="shared" si="204"/>
        <v>6.2771607918879766E-3</v>
      </c>
      <c r="Q3279">
        <f t="shared" si="204"/>
        <v>3.3328205128205126</v>
      </c>
      <c r="R3279">
        <f t="shared" si="205"/>
        <v>0</v>
      </c>
      <c r="S3279">
        <f t="shared" si="206"/>
        <v>0</v>
      </c>
      <c r="T3279">
        <f t="shared" si="207"/>
        <v>0</v>
      </c>
      <c r="U3279" t="str">
        <f>YEAR('Campaign Data'!$A3279)&amp;"-"&amp;TEXT(MONTH('Campaign Data'!$A3279),"00")</f>
        <v>2026-06</v>
      </c>
    </row>
    <row r="3280" spans="1:21" x14ac:dyDescent="0.25">
      <c r="A3280">
        <v>46201</v>
      </c>
      <c r="B3280" t="s">
        <v>112</v>
      </c>
      <c r="C3280" t="s">
        <v>113</v>
      </c>
      <c r="D3280" t="s">
        <v>32</v>
      </c>
      <c r="E3280" t="s">
        <v>24</v>
      </c>
      <c r="F3280" t="s">
        <v>75</v>
      </c>
      <c r="G3280" t="s">
        <v>66</v>
      </c>
      <c r="H3280" t="s">
        <v>51</v>
      </c>
      <c r="I3280" t="s">
        <v>28</v>
      </c>
      <c r="J3280" t="s">
        <v>45</v>
      </c>
      <c r="K3280">
        <v>3998</v>
      </c>
      <c r="L3280">
        <v>41</v>
      </c>
      <c r="M3280">
        <v>36.020000000000003</v>
      </c>
      <c r="N3280">
        <v>0</v>
      </c>
      <c r="O3280">
        <v>0</v>
      </c>
      <c r="P3280">
        <f t="shared" si="204"/>
        <v>1.025512756378189E-2</v>
      </c>
      <c r="Q3280">
        <f t="shared" si="204"/>
        <v>0.87853658536585377</v>
      </c>
      <c r="R3280">
        <f t="shared" si="205"/>
        <v>0</v>
      </c>
      <c r="S3280">
        <f t="shared" si="206"/>
        <v>0</v>
      </c>
      <c r="T3280">
        <f t="shared" si="207"/>
        <v>0</v>
      </c>
      <c r="U3280" t="str">
        <f>YEAR('Campaign Data'!$A3280)&amp;"-"&amp;TEXT(MONTH('Campaign Data'!$A3280),"00")</f>
        <v>2026-06</v>
      </c>
    </row>
    <row r="3281" spans="1:21" x14ac:dyDescent="0.25">
      <c r="A3281">
        <v>46201</v>
      </c>
      <c r="B3281" t="s">
        <v>63</v>
      </c>
      <c r="C3281" t="s">
        <v>64</v>
      </c>
      <c r="D3281" t="s">
        <v>65</v>
      </c>
      <c r="E3281" t="s">
        <v>24</v>
      </c>
      <c r="F3281" t="s">
        <v>43</v>
      </c>
      <c r="G3281" t="s">
        <v>66</v>
      </c>
      <c r="H3281" t="s">
        <v>90</v>
      </c>
      <c r="I3281" t="s">
        <v>37</v>
      </c>
      <c r="J3281" t="s">
        <v>45</v>
      </c>
      <c r="K3281">
        <v>8183</v>
      </c>
      <c r="L3281">
        <v>94</v>
      </c>
      <c r="M3281">
        <v>34.89</v>
      </c>
      <c r="N3281">
        <v>3</v>
      </c>
      <c r="O3281">
        <v>15</v>
      </c>
      <c r="P3281">
        <f t="shared" si="204"/>
        <v>1.1487229622387877E-2</v>
      </c>
      <c r="Q3281">
        <f t="shared" si="204"/>
        <v>0.37117021276595746</v>
      </c>
      <c r="R3281">
        <f t="shared" si="205"/>
        <v>11.63</v>
      </c>
      <c r="S3281">
        <f t="shared" si="206"/>
        <v>0.42992261392949266</v>
      </c>
      <c r="T3281">
        <f t="shared" si="207"/>
        <v>3.1914893617021274E-2</v>
      </c>
      <c r="U3281" t="str">
        <f>YEAR('Campaign Data'!$A3281)&amp;"-"&amp;TEXT(MONTH('Campaign Data'!$A3281),"00")</f>
        <v>2026-06</v>
      </c>
    </row>
    <row r="3282" spans="1:21" x14ac:dyDescent="0.25">
      <c r="A3282">
        <v>46201</v>
      </c>
      <c r="B3282" t="s">
        <v>116</v>
      </c>
      <c r="C3282" t="s">
        <v>117</v>
      </c>
      <c r="D3282" t="s">
        <v>48</v>
      </c>
      <c r="E3282" t="s">
        <v>24</v>
      </c>
      <c r="F3282" t="s">
        <v>43</v>
      </c>
      <c r="G3282" t="s">
        <v>26</v>
      </c>
      <c r="H3282" t="s">
        <v>71</v>
      </c>
      <c r="I3282" t="s">
        <v>28</v>
      </c>
      <c r="J3282" t="s">
        <v>45</v>
      </c>
      <c r="K3282">
        <v>5064</v>
      </c>
      <c r="L3282">
        <v>46</v>
      </c>
      <c r="M3282">
        <v>31.08</v>
      </c>
      <c r="N3282">
        <v>2</v>
      </c>
      <c r="O3282">
        <v>35.72</v>
      </c>
      <c r="P3282">
        <f t="shared" si="204"/>
        <v>9.0837282780410738E-3</v>
      </c>
      <c r="Q3282">
        <f t="shared" si="204"/>
        <v>0.67565217391304344</v>
      </c>
      <c r="R3282">
        <f t="shared" si="205"/>
        <v>15.54</v>
      </c>
      <c r="S3282">
        <f t="shared" si="206"/>
        <v>1.1492921492921493</v>
      </c>
      <c r="T3282">
        <f t="shared" si="207"/>
        <v>4.3478260869565216E-2</v>
      </c>
      <c r="U3282" t="str">
        <f>YEAR('Campaign Data'!$A3282)&amp;"-"&amp;TEXT(MONTH('Campaign Data'!$A3282),"00")</f>
        <v>2026-06</v>
      </c>
    </row>
    <row r="3283" spans="1:21" x14ac:dyDescent="0.25">
      <c r="A3283">
        <v>46201</v>
      </c>
      <c r="B3283" t="s">
        <v>118</v>
      </c>
      <c r="C3283" t="s">
        <v>119</v>
      </c>
      <c r="D3283" t="s">
        <v>69</v>
      </c>
      <c r="E3283" t="s">
        <v>33</v>
      </c>
      <c r="F3283" t="s">
        <v>34</v>
      </c>
      <c r="G3283" t="s">
        <v>35</v>
      </c>
      <c r="H3283" t="s">
        <v>51</v>
      </c>
      <c r="I3283" t="s">
        <v>61</v>
      </c>
      <c r="J3283" t="s">
        <v>38</v>
      </c>
      <c r="K3283">
        <v>47390</v>
      </c>
      <c r="L3283">
        <v>292</v>
      </c>
      <c r="M3283">
        <v>133.24</v>
      </c>
      <c r="N3283">
        <v>7</v>
      </c>
      <c r="O3283">
        <v>778.48</v>
      </c>
      <c r="P3283">
        <f t="shared" si="204"/>
        <v>6.1616374762608148E-3</v>
      </c>
      <c r="Q3283">
        <f t="shared" si="204"/>
        <v>0.45630136986301373</v>
      </c>
      <c r="R3283">
        <f t="shared" si="205"/>
        <v>19.034285714285716</v>
      </c>
      <c r="S3283">
        <f t="shared" si="206"/>
        <v>5.8426898829180427</v>
      </c>
      <c r="T3283">
        <f t="shared" si="207"/>
        <v>2.3972602739726026E-2</v>
      </c>
      <c r="U3283" t="str">
        <f>YEAR('Campaign Data'!$A3283)&amp;"-"&amp;TEXT(MONTH('Campaign Data'!$A3283),"00")</f>
        <v>2026-06</v>
      </c>
    </row>
    <row r="3284" spans="1:21" x14ac:dyDescent="0.25">
      <c r="A3284">
        <v>46201</v>
      </c>
      <c r="B3284" t="s">
        <v>145</v>
      </c>
      <c r="C3284" t="s">
        <v>146</v>
      </c>
      <c r="D3284" t="s">
        <v>41</v>
      </c>
      <c r="E3284" t="s">
        <v>49</v>
      </c>
      <c r="F3284" t="s">
        <v>75</v>
      </c>
      <c r="G3284" t="s">
        <v>70</v>
      </c>
      <c r="H3284" t="s">
        <v>60</v>
      </c>
      <c r="I3284" t="s">
        <v>37</v>
      </c>
      <c r="J3284" t="s">
        <v>38</v>
      </c>
      <c r="K3284">
        <v>7862</v>
      </c>
      <c r="L3284">
        <v>342</v>
      </c>
      <c r="M3284">
        <v>512.38</v>
      </c>
      <c r="N3284">
        <v>6</v>
      </c>
      <c r="O3284">
        <v>182.7</v>
      </c>
      <c r="P3284">
        <f t="shared" si="204"/>
        <v>4.3500381582294578E-2</v>
      </c>
      <c r="Q3284">
        <f t="shared" si="204"/>
        <v>1.4981871345029241</v>
      </c>
      <c r="R3284">
        <f t="shared" si="205"/>
        <v>85.396666666666661</v>
      </c>
      <c r="S3284">
        <f t="shared" si="206"/>
        <v>0.35657129474218352</v>
      </c>
      <c r="T3284">
        <f t="shared" si="207"/>
        <v>1.7543859649122806E-2</v>
      </c>
      <c r="U3284" t="str">
        <f>YEAR('Campaign Data'!$A3284)&amp;"-"&amp;TEXT(MONTH('Campaign Data'!$A3284),"00")</f>
        <v>2026-06</v>
      </c>
    </row>
    <row r="3285" spans="1:21" x14ac:dyDescent="0.25">
      <c r="A3285">
        <v>46201</v>
      </c>
      <c r="B3285" t="s">
        <v>78</v>
      </c>
      <c r="C3285" t="s">
        <v>79</v>
      </c>
      <c r="D3285" t="s">
        <v>80</v>
      </c>
      <c r="E3285" t="s">
        <v>24</v>
      </c>
      <c r="F3285" t="s">
        <v>81</v>
      </c>
      <c r="G3285" t="s">
        <v>66</v>
      </c>
      <c r="H3285" t="s">
        <v>90</v>
      </c>
      <c r="I3285" t="s">
        <v>28</v>
      </c>
      <c r="J3285" t="s">
        <v>62</v>
      </c>
      <c r="K3285">
        <v>9753</v>
      </c>
      <c r="L3285">
        <v>179</v>
      </c>
      <c r="M3285">
        <v>52.08</v>
      </c>
      <c r="N3285">
        <v>1</v>
      </c>
      <c r="O3285">
        <v>5</v>
      </c>
      <c r="P3285">
        <f t="shared" si="204"/>
        <v>1.8353327181380087E-2</v>
      </c>
      <c r="Q3285">
        <f t="shared" si="204"/>
        <v>0.29094972067039104</v>
      </c>
      <c r="R3285">
        <f t="shared" si="205"/>
        <v>52.08</v>
      </c>
      <c r="S3285">
        <f t="shared" si="206"/>
        <v>9.6006144393241177E-2</v>
      </c>
      <c r="T3285">
        <f t="shared" si="207"/>
        <v>5.5865921787709499E-3</v>
      </c>
      <c r="U3285" t="str">
        <f>YEAR('Campaign Data'!$A3285)&amp;"-"&amp;TEXT(MONTH('Campaign Data'!$A3285),"00")</f>
        <v>2026-06</v>
      </c>
    </row>
    <row r="3286" spans="1:21" x14ac:dyDescent="0.25">
      <c r="A3286">
        <v>46201</v>
      </c>
      <c r="B3286" t="s">
        <v>120</v>
      </c>
      <c r="C3286" t="s">
        <v>121</v>
      </c>
      <c r="D3286" t="s">
        <v>23</v>
      </c>
      <c r="E3286" t="s">
        <v>49</v>
      </c>
      <c r="F3286" t="s">
        <v>75</v>
      </c>
      <c r="G3286" t="s">
        <v>70</v>
      </c>
      <c r="H3286" t="s">
        <v>90</v>
      </c>
      <c r="I3286" t="s">
        <v>28</v>
      </c>
      <c r="J3286" t="s">
        <v>29</v>
      </c>
      <c r="K3286">
        <v>12399</v>
      </c>
      <c r="L3286">
        <v>275</v>
      </c>
      <c r="M3286">
        <v>110.13</v>
      </c>
      <c r="N3286">
        <v>8</v>
      </c>
      <c r="O3286">
        <v>66.23</v>
      </c>
      <c r="P3286">
        <f t="shared" si="204"/>
        <v>2.2179208000645212E-2</v>
      </c>
      <c r="Q3286">
        <f t="shared" si="204"/>
        <v>0.40047272727272726</v>
      </c>
      <c r="R3286">
        <f t="shared" si="205"/>
        <v>13.766249999999999</v>
      </c>
      <c r="S3286">
        <f t="shared" si="206"/>
        <v>0.60138018705166629</v>
      </c>
      <c r="T3286">
        <f t="shared" si="207"/>
        <v>2.9090909090909091E-2</v>
      </c>
      <c r="U3286" t="str">
        <f>YEAR('Campaign Data'!$A3286)&amp;"-"&amp;TEXT(MONTH('Campaign Data'!$A3286),"00")</f>
        <v>2026-06</v>
      </c>
    </row>
    <row r="3287" spans="1:21" x14ac:dyDescent="0.25">
      <c r="A3287">
        <v>46201</v>
      </c>
      <c r="B3287" t="s">
        <v>122</v>
      </c>
      <c r="C3287" t="s">
        <v>123</v>
      </c>
      <c r="D3287" t="s">
        <v>41</v>
      </c>
      <c r="E3287" t="s">
        <v>33</v>
      </c>
      <c r="F3287" t="s">
        <v>75</v>
      </c>
      <c r="G3287" t="s">
        <v>35</v>
      </c>
      <c r="H3287" t="s">
        <v>36</v>
      </c>
      <c r="I3287" t="s">
        <v>28</v>
      </c>
      <c r="J3287" t="s">
        <v>38</v>
      </c>
      <c r="K3287">
        <v>3315</v>
      </c>
      <c r="L3287">
        <v>23</v>
      </c>
      <c r="M3287">
        <v>15.46</v>
      </c>
      <c r="N3287">
        <v>0</v>
      </c>
      <c r="O3287">
        <v>0</v>
      </c>
      <c r="P3287">
        <f t="shared" si="204"/>
        <v>6.9381598793363496E-3</v>
      </c>
      <c r="Q3287">
        <f t="shared" si="204"/>
        <v>0.67217391304347829</v>
      </c>
      <c r="R3287">
        <f t="shared" si="205"/>
        <v>0</v>
      </c>
      <c r="S3287">
        <f t="shared" si="206"/>
        <v>0</v>
      </c>
      <c r="T3287">
        <f t="shared" si="207"/>
        <v>0</v>
      </c>
      <c r="U3287" t="str">
        <f>YEAR('Campaign Data'!$A3287)&amp;"-"&amp;TEXT(MONTH('Campaign Data'!$A3287),"00")</f>
        <v>2026-06</v>
      </c>
    </row>
    <row r="3288" spans="1:21" x14ac:dyDescent="0.25">
      <c r="A3288">
        <v>46201</v>
      </c>
      <c r="B3288" t="s">
        <v>122</v>
      </c>
      <c r="C3288" t="s">
        <v>123</v>
      </c>
      <c r="D3288" t="s">
        <v>41</v>
      </c>
      <c r="E3288" t="s">
        <v>33</v>
      </c>
      <c r="F3288" t="s">
        <v>75</v>
      </c>
      <c r="G3288" t="s">
        <v>35</v>
      </c>
      <c r="H3288" t="s">
        <v>71</v>
      </c>
      <c r="I3288" t="s">
        <v>28</v>
      </c>
      <c r="J3288" t="s">
        <v>45</v>
      </c>
      <c r="K3288">
        <v>5339</v>
      </c>
      <c r="L3288">
        <v>49</v>
      </c>
      <c r="M3288">
        <v>34.24</v>
      </c>
      <c r="N3288">
        <v>1</v>
      </c>
      <c r="O3288">
        <v>30.85</v>
      </c>
      <c r="P3288">
        <f t="shared" si="204"/>
        <v>9.1777486420678029E-3</v>
      </c>
      <c r="Q3288">
        <f t="shared" si="204"/>
        <v>0.69877551020408168</v>
      </c>
      <c r="R3288">
        <f t="shared" si="205"/>
        <v>34.24</v>
      </c>
      <c r="S3288">
        <f t="shared" si="206"/>
        <v>0.90099299065420557</v>
      </c>
      <c r="T3288">
        <f t="shared" si="207"/>
        <v>2.0408163265306121E-2</v>
      </c>
      <c r="U3288" t="str">
        <f>YEAR('Campaign Data'!$A3288)&amp;"-"&amp;TEXT(MONTH('Campaign Data'!$A3288),"00")</f>
        <v>2026-06</v>
      </c>
    </row>
    <row r="3289" spans="1:21" x14ac:dyDescent="0.25">
      <c r="A3289">
        <v>46202</v>
      </c>
      <c r="B3289" t="s">
        <v>173</v>
      </c>
      <c r="C3289" t="s">
        <v>174</v>
      </c>
      <c r="D3289" t="s">
        <v>48</v>
      </c>
      <c r="E3289" t="s">
        <v>74</v>
      </c>
      <c r="F3289" t="s">
        <v>25</v>
      </c>
      <c r="G3289" t="s">
        <v>9</v>
      </c>
      <c r="H3289" t="s">
        <v>27</v>
      </c>
      <c r="I3289" t="s">
        <v>37</v>
      </c>
      <c r="J3289" t="s">
        <v>87</v>
      </c>
      <c r="K3289">
        <v>2438</v>
      </c>
      <c r="L3289">
        <v>73</v>
      </c>
      <c r="M3289">
        <v>114.13</v>
      </c>
      <c r="N3289">
        <v>3</v>
      </c>
      <c r="O3289">
        <v>465.52</v>
      </c>
      <c r="P3289">
        <f t="shared" si="204"/>
        <v>2.9942575881870385E-2</v>
      </c>
      <c r="Q3289">
        <f t="shared" si="204"/>
        <v>1.5634246575342465</v>
      </c>
      <c r="R3289">
        <f t="shared" si="205"/>
        <v>38.043333333333329</v>
      </c>
      <c r="S3289">
        <f t="shared" si="206"/>
        <v>4.0788574432664504</v>
      </c>
      <c r="T3289">
        <f t="shared" si="207"/>
        <v>4.1095890410958902E-2</v>
      </c>
      <c r="U3289" t="str">
        <f>YEAR('Campaign Data'!$A3289)&amp;"-"&amp;TEXT(MONTH('Campaign Data'!$A3289),"00")</f>
        <v>2026-06</v>
      </c>
    </row>
    <row r="3290" spans="1:21" x14ac:dyDescent="0.25">
      <c r="A3290">
        <v>46202</v>
      </c>
      <c r="B3290" t="s">
        <v>175</v>
      </c>
      <c r="C3290" t="s">
        <v>176</v>
      </c>
      <c r="D3290" t="s">
        <v>65</v>
      </c>
      <c r="E3290" t="s">
        <v>49</v>
      </c>
      <c r="F3290" t="s">
        <v>75</v>
      </c>
      <c r="G3290" t="s">
        <v>70</v>
      </c>
      <c r="H3290" t="s">
        <v>51</v>
      </c>
      <c r="I3290" t="s">
        <v>37</v>
      </c>
      <c r="J3290" t="s">
        <v>45</v>
      </c>
      <c r="K3290">
        <v>7700</v>
      </c>
      <c r="L3290">
        <v>215</v>
      </c>
      <c r="M3290">
        <v>494.99</v>
      </c>
      <c r="N3290">
        <v>7</v>
      </c>
      <c r="O3290">
        <v>222.6</v>
      </c>
      <c r="P3290">
        <f t="shared" si="204"/>
        <v>2.7922077922077921E-2</v>
      </c>
      <c r="Q3290">
        <f t="shared" si="204"/>
        <v>2.302279069767442</v>
      </c>
      <c r="R3290">
        <f t="shared" si="205"/>
        <v>70.712857142857146</v>
      </c>
      <c r="S3290">
        <f t="shared" si="206"/>
        <v>0.44970605466777103</v>
      </c>
      <c r="T3290">
        <f t="shared" si="207"/>
        <v>3.255813953488372E-2</v>
      </c>
      <c r="U3290" t="str">
        <f>YEAR('Campaign Data'!$A3290)&amp;"-"&amp;TEXT(MONTH('Campaign Data'!$A3290),"00")</f>
        <v>2026-06</v>
      </c>
    </row>
    <row r="3291" spans="1:21" x14ac:dyDescent="0.25">
      <c r="A3291">
        <v>46202</v>
      </c>
      <c r="B3291" t="s">
        <v>125</v>
      </c>
      <c r="C3291" t="s">
        <v>126</v>
      </c>
      <c r="D3291" t="s">
        <v>41</v>
      </c>
      <c r="E3291" t="s">
        <v>42</v>
      </c>
      <c r="F3291" t="s">
        <v>81</v>
      </c>
      <c r="G3291" t="s">
        <v>44</v>
      </c>
      <c r="H3291" t="s">
        <v>27</v>
      </c>
      <c r="I3291" t="s">
        <v>37</v>
      </c>
      <c r="J3291" t="s">
        <v>87</v>
      </c>
      <c r="K3291">
        <v>12744</v>
      </c>
      <c r="L3291">
        <v>75</v>
      </c>
      <c r="M3291">
        <v>517.33000000000004</v>
      </c>
      <c r="N3291">
        <v>4</v>
      </c>
      <c r="O3291">
        <v>194.49</v>
      </c>
      <c r="P3291">
        <f t="shared" si="204"/>
        <v>5.8851224105461392E-3</v>
      </c>
      <c r="Q3291">
        <f t="shared" si="204"/>
        <v>6.8977333333333339</v>
      </c>
      <c r="R3291">
        <f t="shared" si="205"/>
        <v>129.33250000000001</v>
      </c>
      <c r="S3291">
        <f t="shared" si="206"/>
        <v>0.37594958730404188</v>
      </c>
      <c r="T3291">
        <f t="shared" si="207"/>
        <v>5.3333333333333337E-2</v>
      </c>
      <c r="U3291" t="str">
        <f>YEAR('Campaign Data'!$A3291)&amp;"-"&amp;TEXT(MONTH('Campaign Data'!$A3291),"00")</f>
        <v>2026-06</v>
      </c>
    </row>
    <row r="3292" spans="1:21" x14ac:dyDescent="0.25">
      <c r="A3292">
        <v>46202</v>
      </c>
      <c r="B3292" t="s">
        <v>91</v>
      </c>
      <c r="C3292" t="s">
        <v>92</v>
      </c>
      <c r="D3292" t="s">
        <v>41</v>
      </c>
      <c r="E3292" t="s">
        <v>74</v>
      </c>
      <c r="F3292" t="s">
        <v>75</v>
      </c>
      <c r="G3292" t="s">
        <v>9</v>
      </c>
      <c r="H3292" t="s">
        <v>90</v>
      </c>
      <c r="I3292" t="s">
        <v>28</v>
      </c>
      <c r="J3292" t="s">
        <v>87</v>
      </c>
      <c r="K3292">
        <v>20085</v>
      </c>
      <c r="L3292">
        <v>417</v>
      </c>
      <c r="M3292">
        <v>181.39</v>
      </c>
      <c r="N3292">
        <v>12</v>
      </c>
      <c r="O3292">
        <v>109.53</v>
      </c>
      <c r="P3292">
        <f t="shared" si="204"/>
        <v>2.0761762509335323E-2</v>
      </c>
      <c r="Q3292">
        <f t="shared" si="204"/>
        <v>0.43498800959232609</v>
      </c>
      <c r="R3292">
        <f t="shared" si="205"/>
        <v>15.115833333333333</v>
      </c>
      <c r="S3292">
        <f t="shared" si="206"/>
        <v>0.60383703622029883</v>
      </c>
      <c r="T3292">
        <f t="shared" si="207"/>
        <v>2.8776978417266189E-2</v>
      </c>
      <c r="U3292" t="str">
        <f>YEAR('Campaign Data'!$A3292)&amp;"-"&amp;TEXT(MONTH('Campaign Data'!$A3292),"00")</f>
        <v>2026-06</v>
      </c>
    </row>
    <row r="3293" spans="1:21" x14ac:dyDescent="0.25">
      <c r="A3293">
        <v>46202</v>
      </c>
      <c r="B3293" t="s">
        <v>95</v>
      </c>
      <c r="C3293" t="s">
        <v>96</v>
      </c>
      <c r="D3293" t="s">
        <v>23</v>
      </c>
      <c r="E3293" t="s">
        <v>49</v>
      </c>
      <c r="F3293" t="s">
        <v>43</v>
      </c>
      <c r="G3293" t="s">
        <v>97</v>
      </c>
      <c r="H3293" t="s">
        <v>60</v>
      </c>
      <c r="I3293" t="s">
        <v>28</v>
      </c>
      <c r="J3293" t="s">
        <v>29</v>
      </c>
      <c r="K3293">
        <v>4422</v>
      </c>
      <c r="L3293">
        <v>166</v>
      </c>
      <c r="M3293">
        <v>172.68</v>
      </c>
      <c r="N3293">
        <v>5</v>
      </c>
      <c r="O3293">
        <v>135.59</v>
      </c>
      <c r="P3293">
        <f t="shared" si="204"/>
        <v>3.7539574853007691E-2</v>
      </c>
      <c r="Q3293">
        <f t="shared" si="204"/>
        <v>1.0402409638554218</v>
      </c>
      <c r="R3293">
        <f t="shared" si="205"/>
        <v>34.536000000000001</v>
      </c>
      <c r="S3293">
        <f t="shared" si="206"/>
        <v>0.78520963632151952</v>
      </c>
      <c r="T3293">
        <f t="shared" si="207"/>
        <v>3.0120481927710843E-2</v>
      </c>
      <c r="U3293" t="str">
        <f>YEAR('Campaign Data'!$A3293)&amp;"-"&amp;TEXT(MONTH('Campaign Data'!$A3293),"00")</f>
        <v>2026-06</v>
      </c>
    </row>
    <row r="3294" spans="1:21" x14ac:dyDescent="0.25">
      <c r="A3294">
        <v>46202</v>
      </c>
      <c r="B3294" t="s">
        <v>151</v>
      </c>
      <c r="C3294" t="s">
        <v>152</v>
      </c>
      <c r="D3294" t="s">
        <v>48</v>
      </c>
      <c r="E3294" t="s">
        <v>24</v>
      </c>
      <c r="F3294" t="s">
        <v>81</v>
      </c>
      <c r="G3294" t="s">
        <v>129</v>
      </c>
      <c r="H3294" t="s">
        <v>90</v>
      </c>
      <c r="I3294" t="s">
        <v>28</v>
      </c>
      <c r="J3294" t="s">
        <v>45</v>
      </c>
      <c r="K3294">
        <v>17533</v>
      </c>
      <c r="L3294">
        <v>152</v>
      </c>
      <c r="M3294">
        <v>44.24</v>
      </c>
      <c r="N3294">
        <v>4</v>
      </c>
      <c r="O3294">
        <v>22.38</v>
      </c>
      <c r="P3294">
        <f t="shared" si="204"/>
        <v>8.6693663377630757E-3</v>
      </c>
      <c r="Q3294">
        <f t="shared" si="204"/>
        <v>0.2910526315789474</v>
      </c>
      <c r="R3294">
        <f t="shared" si="205"/>
        <v>11.06</v>
      </c>
      <c r="S3294">
        <f t="shared" si="206"/>
        <v>0.50587703435804698</v>
      </c>
      <c r="T3294">
        <f t="shared" si="207"/>
        <v>2.6315789473684209E-2</v>
      </c>
      <c r="U3294" t="str">
        <f>YEAR('Campaign Data'!$A3294)&amp;"-"&amp;TEXT(MONTH('Campaign Data'!$A3294),"00")</f>
        <v>2026-06</v>
      </c>
    </row>
    <row r="3295" spans="1:21" x14ac:dyDescent="0.25">
      <c r="A3295">
        <v>46202</v>
      </c>
      <c r="B3295" t="s">
        <v>39</v>
      </c>
      <c r="C3295" t="s">
        <v>40</v>
      </c>
      <c r="D3295" t="s">
        <v>41</v>
      </c>
      <c r="E3295" t="s">
        <v>42</v>
      </c>
      <c r="F3295" t="s">
        <v>43</v>
      </c>
      <c r="G3295" t="s">
        <v>44</v>
      </c>
      <c r="H3295" t="s">
        <v>90</v>
      </c>
      <c r="I3295" t="s">
        <v>37</v>
      </c>
      <c r="J3295" t="s">
        <v>38</v>
      </c>
      <c r="K3295">
        <v>1629</v>
      </c>
      <c r="L3295">
        <v>5</v>
      </c>
      <c r="M3295">
        <v>4.16</v>
      </c>
      <c r="N3295">
        <v>0</v>
      </c>
      <c r="O3295">
        <v>0</v>
      </c>
      <c r="P3295">
        <f t="shared" si="204"/>
        <v>3.0693677102516881E-3</v>
      </c>
      <c r="Q3295">
        <f t="shared" si="204"/>
        <v>0.83200000000000007</v>
      </c>
      <c r="R3295">
        <f t="shared" si="205"/>
        <v>0</v>
      </c>
      <c r="S3295">
        <f t="shared" si="206"/>
        <v>0</v>
      </c>
      <c r="T3295">
        <f t="shared" si="207"/>
        <v>0</v>
      </c>
      <c r="U3295" t="str">
        <f>YEAR('Campaign Data'!$A3295)&amp;"-"&amp;TEXT(MONTH('Campaign Data'!$A3295),"00")</f>
        <v>2026-06</v>
      </c>
    </row>
    <row r="3296" spans="1:21" x14ac:dyDescent="0.25">
      <c r="A3296">
        <v>46202</v>
      </c>
      <c r="B3296" t="s">
        <v>39</v>
      </c>
      <c r="C3296" t="s">
        <v>40</v>
      </c>
      <c r="D3296" t="s">
        <v>41</v>
      </c>
      <c r="E3296" t="s">
        <v>42</v>
      </c>
      <c r="F3296" t="s">
        <v>43</v>
      </c>
      <c r="G3296" t="s">
        <v>44</v>
      </c>
      <c r="H3296" t="s">
        <v>36</v>
      </c>
      <c r="I3296" t="s">
        <v>37</v>
      </c>
      <c r="J3296" t="s">
        <v>87</v>
      </c>
      <c r="K3296">
        <v>6401</v>
      </c>
      <c r="L3296">
        <v>51</v>
      </c>
      <c r="M3296">
        <v>297.39999999999998</v>
      </c>
      <c r="N3296">
        <v>2</v>
      </c>
      <c r="O3296">
        <v>47.68</v>
      </c>
      <c r="P3296">
        <f t="shared" si="204"/>
        <v>7.9675050773316668E-3</v>
      </c>
      <c r="Q3296">
        <f t="shared" si="204"/>
        <v>5.8313725490196076</v>
      </c>
      <c r="R3296">
        <f t="shared" si="205"/>
        <v>148.69999999999999</v>
      </c>
      <c r="S3296">
        <f t="shared" si="206"/>
        <v>0.16032279757901816</v>
      </c>
      <c r="T3296">
        <f t="shared" si="207"/>
        <v>3.9215686274509803E-2</v>
      </c>
      <c r="U3296" t="str">
        <f>YEAR('Campaign Data'!$A3296)&amp;"-"&amp;TEXT(MONTH('Campaign Data'!$A3296),"00")</f>
        <v>2026-06</v>
      </c>
    </row>
    <row r="3297" spans="1:21" x14ac:dyDescent="0.25">
      <c r="A3297">
        <v>46202</v>
      </c>
      <c r="B3297" t="s">
        <v>46</v>
      </c>
      <c r="C3297" t="s">
        <v>47</v>
      </c>
      <c r="D3297" t="s">
        <v>48</v>
      </c>
      <c r="E3297" t="s">
        <v>49</v>
      </c>
      <c r="F3297" t="s">
        <v>43</v>
      </c>
      <c r="G3297" t="s">
        <v>50</v>
      </c>
      <c r="H3297" t="s">
        <v>60</v>
      </c>
      <c r="I3297" t="s">
        <v>61</v>
      </c>
      <c r="J3297" t="s">
        <v>29</v>
      </c>
      <c r="K3297">
        <v>14210</v>
      </c>
      <c r="L3297">
        <v>739</v>
      </c>
      <c r="M3297">
        <v>1274.83</v>
      </c>
      <c r="N3297">
        <v>35</v>
      </c>
      <c r="O3297">
        <v>768.05</v>
      </c>
      <c r="P3297">
        <f t="shared" si="204"/>
        <v>5.2005629838142151E-2</v>
      </c>
      <c r="Q3297">
        <f t="shared" si="204"/>
        <v>1.7250744248985115</v>
      </c>
      <c r="R3297">
        <f t="shared" si="205"/>
        <v>36.423714285714283</v>
      </c>
      <c r="S3297">
        <f t="shared" si="206"/>
        <v>0.60247248652761543</v>
      </c>
      <c r="T3297">
        <f t="shared" si="207"/>
        <v>4.7361299052774017E-2</v>
      </c>
      <c r="U3297" t="str">
        <f>YEAR('Campaign Data'!$A3297)&amp;"-"&amp;TEXT(MONTH('Campaign Data'!$A3297),"00")</f>
        <v>2026-06</v>
      </c>
    </row>
    <row r="3298" spans="1:21" x14ac:dyDescent="0.25">
      <c r="A3298">
        <v>46202</v>
      </c>
      <c r="B3298" t="s">
        <v>169</v>
      </c>
      <c r="C3298" t="s">
        <v>170</v>
      </c>
      <c r="D3298" t="s">
        <v>58</v>
      </c>
      <c r="E3298" t="s">
        <v>74</v>
      </c>
      <c r="F3298" t="s">
        <v>75</v>
      </c>
      <c r="G3298" t="s">
        <v>9</v>
      </c>
      <c r="H3298" t="s">
        <v>51</v>
      </c>
      <c r="I3298" t="s">
        <v>37</v>
      </c>
      <c r="J3298" t="s">
        <v>62</v>
      </c>
      <c r="K3298">
        <v>6502</v>
      </c>
      <c r="L3298">
        <v>187</v>
      </c>
      <c r="M3298">
        <v>234.16</v>
      </c>
      <c r="N3298">
        <v>8</v>
      </c>
      <c r="O3298">
        <v>126.46</v>
      </c>
      <c r="P3298">
        <f t="shared" si="204"/>
        <v>2.8760381421101201E-2</v>
      </c>
      <c r="Q3298">
        <f t="shared" si="204"/>
        <v>1.252192513368984</v>
      </c>
      <c r="R3298">
        <f t="shared" si="205"/>
        <v>29.27</v>
      </c>
      <c r="S3298">
        <f t="shared" si="206"/>
        <v>0.5400580799453365</v>
      </c>
      <c r="T3298">
        <f t="shared" si="207"/>
        <v>4.2780748663101602E-2</v>
      </c>
      <c r="U3298" t="str">
        <f>YEAR('Campaign Data'!$A3298)&amp;"-"&amp;TEXT(MONTH('Campaign Data'!$A3298),"00")</f>
        <v>2026-06</v>
      </c>
    </row>
    <row r="3299" spans="1:21" x14ac:dyDescent="0.25">
      <c r="A3299">
        <v>46202</v>
      </c>
      <c r="B3299" t="s">
        <v>103</v>
      </c>
      <c r="C3299" t="s">
        <v>104</v>
      </c>
      <c r="D3299" t="s">
        <v>65</v>
      </c>
      <c r="E3299" t="s">
        <v>33</v>
      </c>
      <c r="F3299" t="s">
        <v>43</v>
      </c>
      <c r="G3299" t="s">
        <v>102</v>
      </c>
      <c r="H3299" t="s">
        <v>55</v>
      </c>
      <c r="I3299" t="s">
        <v>28</v>
      </c>
      <c r="J3299" t="s">
        <v>38</v>
      </c>
      <c r="K3299">
        <v>3884</v>
      </c>
      <c r="L3299">
        <v>36</v>
      </c>
      <c r="M3299">
        <v>16.93</v>
      </c>
      <c r="N3299">
        <v>0</v>
      </c>
      <c r="O3299">
        <v>0</v>
      </c>
      <c r="P3299">
        <f t="shared" si="204"/>
        <v>9.2687950566426366E-3</v>
      </c>
      <c r="Q3299">
        <f t="shared" si="204"/>
        <v>0.47027777777777779</v>
      </c>
      <c r="R3299">
        <f t="shared" si="205"/>
        <v>0</v>
      </c>
      <c r="S3299">
        <f t="shared" si="206"/>
        <v>0</v>
      </c>
      <c r="T3299">
        <f t="shared" si="207"/>
        <v>0</v>
      </c>
      <c r="U3299" t="str">
        <f>YEAR('Campaign Data'!$A3299)&amp;"-"&amp;TEXT(MONTH('Campaign Data'!$A3299),"00")</f>
        <v>2026-06</v>
      </c>
    </row>
    <row r="3300" spans="1:21" x14ac:dyDescent="0.25">
      <c r="A3300">
        <v>46202</v>
      </c>
      <c r="B3300" t="s">
        <v>105</v>
      </c>
      <c r="C3300" t="s">
        <v>106</v>
      </c>
      <c r="D3300" t="s">
        <v>58</v>
      </c>
      <c r="E3300" t="s">
        <v>49</v>
      </c>
      <c r="F3300" t="s">
        <v>81</v>
      </c>
      <c r="G3300" t="s">
        <v>107</v>
      </c>
      <c r="H3300" t="s">
        <v>71</v>
      </c>
      <c r="I3300" t="s">
        <v>28</v>
      </c>
      <c r="J3300" t="s">
        <v>87</v>
      </c>
      <c r="K3300">
        <v>11820</v>
      </c>
      <c r="L3300">
        <v>520</v>
      </c>
      <c r="M3300">
        <v>900.26</v>
      </c>
      <c r="N3300">
        <v>25</v>
      </c>
      <c r="O3300">
        <v>551.83000000000004</v>
      </c>
      <c r="P3300">
        <f t="shared" si="204"/>
        <v>4.3993231810490696E-2</v>
      </c>
      <c r="Q3300">
        <f t="shared" si="204"/>
        <v>1.7312692307692308</v>
      </c>
      <c r="R3300">
        <f t="shared" si="205"/>
        <v>36.010399999999997</v>
      </c>
      <c r="S3300">
        <f t="shared" si="206"/>
        <v>0.61296736498344928</v>
      </c>
      <c r="T3300">
        <f t="shared" si="207"/>
        <v>4.807692307692308E-2</v>
      </c>
      <c r="U3300" t="str">
        <f>YEAR('Campaign Data'!$A3300)&amp;"-"&amp;TEXT(MONTH('Campaign Data'!$A3300),"00")</f>
        <v>2026-06</v>
      </c>
    </row>
    <row r="3301" spans="1:21" x14ac:dyDescent="0.25">
      <c r="A3301">
        <v>46202</v>
      </c>
      <c r="B3301" t="s">
        <v>105</v>
      </c>
      <c r="C3301" t="s">
        <v>106</v>
      </c>
      <c r="D3301" t="s">
        <v>58</v>
      </c>
      <c r="E3301" t="s">
        <v>49</v>
      </c>
      <c r="F3301" t="s">
        <v>81</v>
      </c>
      <c r="G3301" t="s">
        <v>107</v>
      </c>
      <c r="H3301" t="s">
        <v>90</v>
      </c>
      <c r="I3301" t="s">
        <v>37</v>
      </c>
      <c r="J3301" t="s">
        <v>38</v>
      </c>
      <c r="K3301">
        <v>2732</v>
      </c>
      <c r="L3301">
        <v>144</v>
      </c>
      <c r="M3301">
        <v>68.599999999999994</v>
      </c>
      <c r="N3301">
        <v>10</v>
      </c>
      <c r="O3301">
        <v>84.03</v>
      </c>
      <c r="P3301">
        <f t="shared" si="204"/>
        <v>5.2708638360175697E-2</v>
      </c>
      <c r="Q3301">
        <f t="shared" si="204"/>
        <v>0.47638888888888886</v>
      </c>
      <c r="R3301">
        <f t="shared" si="205"/>
        <v>6.8599999999999994</v>
      </c>
      <c r="S3301">
        <f t="shared" si="206"/>
        <v>1.2249271137026241</v>
      </c>
      <c r="T3301">
        <f t="shared" si="207"/>
        <v>6.9444444444444448E-2</v>
      </c>
      <c r="U3301" t="str">
        <f>YEAR('Campaign Data'!$A3301)&amp;"-"&amp;TEXT(MONTH('Campaign Data'!$A3301),"00")</f>
        <v>2026-06</v>
      </c>
    </row>
    <row r="3302" spans="1:21" x14ac:dyDescent="0.25">
      <c r="A3302">
        <v>46202</v>
      </c>
      <c r="B3302" t="s">
        <v>105</v>
      </c>
      <c r="C3302" t="s">
        <v>106</v>
      </c>
      <c r="D3302" t="s">
        <v>58</v>
      </c>
      <c r="E3302" t="s">
        <v>49</v>
      </c>
      <c r="F3302" t="s">
        <v>81</v>
      </c>
      <c r="G3302" t="s">
        <v>107</v>
      </c>
      <c r="H3302" t="s">
        <v>36</v>
      </c>
      <c r="I3302" t="s">
        <v>28</v>
      </c>
      <c r="J3302" t="s">
        <v>62</v>
      </c>
      <c r="K3302">
        <v>26912</v>
      </c>
      <c r="L3302">
        <v>1121</v>
      </c>
      <c r="M3302">
        <v>3008.75</v>
      </c>
      <c r="N3302">
        <v>47</v>
      </c>
      <c r="O3302">
        <v>1151.1099999999999</v>
      </c>
      <c r="P3302">
        <f t="shared" si="204"/>
        <v>4.1654280618311536E-2</v>
      </c>
      <c r="Q3302">
        <f t="shared" si="204"/>
        <v>2.6839875111507583</v>
      </c>
      <c r="R3302">
        <f t="shared" si="205"/>
        <v>64.015957446808514</v>
      </c>
      <c r="S3302">
        <f t="shared" si="206"/>
        <v>0.3825874532613211</v>
      </c>
      <c r="T3302">
        <f t="shared" si="207"/>
        <v>4.1926851025869759E-2</v>
      </c>
      <c r="U3302" t="str">
        <f>YEAR('Campaign Data'!$A3302)&amp;"-"&amp;TEXT(MONTH('Campaign Data'!$A3302),"00")</f>
        <v>2026-06</v>
      </c>
    </row>
    <row r="3303" spans="1:21" x14ac:dyDescent="0.25">
      <c r="A3303">
        <v>46202</v>
      </c>
      <c r="B3303" t="s">
        <v>108</v>
      </c>
      <c r="C3303" t="s">
        <v>109</v>
      </c>
      <c r="D3303" t="s">
        <v>58</v>
      </c>
      <c r="E3303" t="s">
        <v>33</v>
      </c>
      <c r="F3303" t="s">
        <v>43</v>
      </c>
      <c r="G3303" t="s">
        <v>59</v>
      </c>
      <c r="H3303" t="s">
        <v>27</v>
      </c>
      <c r="I3303" t="s">
        <v>37</v>
      </c>
      <c r="J3303" t="s">
        <v>62</v>
      </c>
      <c r="K3303">
        <v>5392</v>
      </c>
      <c r="L3303">
        <v>69</v>
      </c>
      <c r="M3303">
        <v>50.77</v>
      </c>
      <c r="N3303">
        <v>1</v>
      </c>
      <c r="O3303">
        <v>30.81</v>
      </c>
      <c r="P3303">
        <f t="shared" si="204"/>
        <v>1.279673590504451E-2</v>
      </c>
      <c r="Q3303">
        <f t="shared" si="204"/>
        <v>0.73579710144927546</v>
      </c>
      <c r="R3303">
        <f t="shared" si="205"/>
        <v>50.77</v>
      </c>
      <c r="S3303">
        <f t="shared" si="206"/>
        <v>0.60685444159936963</v>
      </c>
      <c r="T3303">
        <f t="shared" si="207"/>
        <v>1.4492753623188406E-2</v>
      </c>
      <c r="U3303" t="str">
        <f>YEAR('Campaign Data'!$A3303)&amp;"-"&amp;TEXT(MONTH('Campaign Data'!$A3303),"00")</f>
        <v>2026-06</v>
      </c>
    </row>
    <row r="3304" spans="1:21" x14ac:dyDescent="0.25">
      <c r="A3304">
        <v>46202</v>
      </c>
      <c r="B3304" t="s">
        <v>110</v>
      </c>
      <c r="C3304" t="s">
        <v>111</v>
      </c>
      <c r="D3304" t="s">
        <v>23</v>
      </c>
      <c r="E3304" t="s">
        <v>49</v>
      </c>
      <c r="F3304" t="s">
        <v>34</v>
      </c>
      <c r="G3304" t="s">
        <v>50</v>
      </c>
      <c r="H3304" t="s">
        <v>36</v>
      </c>
      <c r="I3304" t="s">
        <v>37</v>
      </c>
      <c r="J3304" t="s">
        <v>29</v>
      </c>
      <c r="K3304">
        <v>10013</v>
      </c>
      <c r="L3304">
        <v>642</v>
      </c>
      <c r="M3304">
        <v>1122.8900000000001</v>
      </c>
      <c r="N3304">
        <v>24</v>
      </c>
      <c r="O3304">
        <v>4204.83</v>
      </c>
      <c r="P3304">
        <f t="shared" si="204"/>
        <v>6.4116648357135722E-2</v>
      </c>
      <c r="Q3304">
        <f t="shared" si="204"/>
        <v>1.7490498442367604</v>
      </c>
      <c r="R3304">
        <f t="shared" si="205"/>
        <v>46.787083333333335</v>
      </c>
      <c r="S3304">
        <f t="shared" si="206"/>
        <v>3.7446499657134713</v>
      </c>
      <c r="T3304">
        <f t="shared" si="207"/>
        <v>3.7383177570093455E-2</v>
      </c>
      <c r="U3304" t="str">
        <f>YEAR('Campaign Data'!$A3304)&amp;"-"&amp;TEXT(MONTH('Campaign Data'!$A3304),"00")</f>
        <v>2026-06</v>
      </c>
    </row>
    <row r="3305" spans="1:21" x14ac:dyDescent="0.25">
      <c r="A3305">
        <v>46202</v>
      </c>
      <c r="B3305" t="s">
        <v>161</v>
      </c>
      <c r="C3305" t="s">
        <v>162</v>
      </c>
      <c r="D3305" t="s">
        <v>48</v>
      </c>
      <c r="E3305" t="s">
        <v>74</v>
      </c>
      <c r="F3305" t="s">
        <v>34</v>
      </c>
      <c r="G3305" t="s">
        <v>107</v>
      </c>
      <c r="H3305" t="s">
        <v>51</v>
      </c>
      <c r="I3305" t="s">
        <v>37</v>
      </c>
      <c r="J3305" t="s">
        <v>62</v>
      </c>
      <c r="K3305">
        <v>13797</v>
      </c>
      <c r="L3305">
        <v>480</v>
      </c>
      <c r="M3305">
        <v>609.04</v>
      </c>
      <c r="N3305">
        <v>20</v>
      </c>
      <c r="O3305">
        <v>4020.93</v>
      </c>
      <c r="P3305">
        <f t="shared" si="204"/>
        <v>3.4790171776473144E-2</v>
      </c>
      <c r="Q3305">
        <f t="shared" si="204"/>
        <v>1.2688333333333333</v>
      </c>
      <c r="R3305">
        <f t="shared" si="205"/>
        <v>30.451999999999998</v>
      </c>
      <c r="S3305">
        <f t="shared" si="206"/>
        <v>6.6020786812032055</v>
      </c>
      <c r="T3305">
        <f t="shared" si="207"/>
        <v>4.1666666666666664E-2</v>
      </c>
      <c r="U3305" t="str">
        <f>YEAR('Campaign Data'!$A3305)&amp;"-"&amp;TEXT(MONTH('Campaign Data'!$A3305),"00")</f>
        <v>2026-06</v>
      </c>
    </row>
    <row r="3306" spans="1:21" x14ac:dyDescent="0.25">
      <c r="A3306">
        <v>46203</v>
      </c>
      <c r="B3306" t="s">
        <v>165</v>
      </c>
      <c r="C3306" t="s">
        <v>166</v>
      </c>
      <c r="D3306" t="s">
        <v>41</v>
      </c>
      <c r="E3306" t="s">
        <v>33</v>
      </c>
      <c r="F3306" t="s">
        <v>43</v>
      </c>
      <c r="G3306" t="s">
        <v>59</v>
      </c>
      <c r="H3306" t="s">
        <v>27</v>
      </c>
      <c r="I3306" t="s">
        <v>37</v>
      </c>
      <c r="J3306" t="s">
        <v>87</v>
      </c>
      <c r="K3306">
        <v>20273</v>
      </c>
      <c r="L3306">
        <v>170</v>
      </c>
      <c r="M3306">
        <v>130.71</v>
      </c>
      <c r="N3306">
        <v>1</v>
      </c>
      <c r="O3306">
        <v>31.57</v>
      </c>
      <c r="P3306">
        <f t="shared" si="204"/>
        <v>8.3855374142948746E-3</v>
      </c>
      <c r="Q3306">
        <f t="shared" si="204"/>
        <v>0.76888235294117657</v>
      </c>
      <c r="R3306">
        <f t="shared" si="205"/>
        <v>130.71</v>
      </c>
      <c r="S3306">
        <f t="shared" si="206"/>
        <v>0.24152704460255525</v>
      </c>
      <c r="T3306">
        <f t="shared" si="207"/>
        <v>5.8823529411764705E-3</v>
      </c>
      <c r="U3306" t="str">
        <f>YEAR('Campaign Data'!$A3306)&amp;"-"&amp;TEXT(MONTH('Campaign Data'!$A3306),"00")</f>
        <v>2026-06</v>
      </c>
    </row>
    <row r="3307" spans="1:21" x14ac:dyDescent="0.25">
      <c r="A3307">
        <v>46203</v>
      </c>
      <c r="B3307" t="s">
        <v>167</v>
      </c>
      <c r="C3307" t="s">
        <v>168</v>
      </c>
      <c r="D3307" t="s">
        <v>58</v>
      </c>
      <c r="E3307" t="s">
        <v>33</v>
      </c>
      <c r="F3307" t="s">
        <v>75</v>
      </c>
      <c r="G3307" t="s">
        <v>35</v>
      </c>
      <c r="H3307" t="s">
        <v>90</v>
      </c>
      <c r="I3307" t="s">
        <v>37</v>
      </c>
      <c r="J3307" t="s">
        <v>29</v>
      </c>
      <c r="K3307">
        <v>2387</v>
      </c>
      <c r="L3307">
        <v>26</v>
      </c>
      <c r="M3307">
        <v>5.28</v>
      </c>
      <c r="N3307">
        <v>0</v>
      </c>
      <c r="O3307">
        <v>0</v>
      </c>
      <c r="P3307">
        <f t="shared" si="204"/>
        <v>1.0892333472978634E-2</v>
      </c>
      <c r="Q3307">
        <f t="shared" si="204"/>
        <v>0.2030769230769231</v>
      </c>
      <c r="R3307">
        <f t="shared" si="205"/>
        <v>0</v>
      </c>
      <c r="S3307">
        <f t="shared" si="206"/>
        <v>0</v>
      </c>
      <c r="T3307">
        <f t="shared" si="207"/>
        <v>0</v>
      </c>
      <c r="U3307" t="str">
        <f>YEAR('Campaign Data'!$A3307)&amp;"-"&amp;TEXT(MONTH('Campaign Data'!$A3307),"00")</f>
        <v>2026-06</v>
      </c>
    </row>
    <row r="3308" spans="1:21" x14ac:dyDescent="0.25">
      <c r="A3308">
        <v>46203</v>
      </c>
      <c r="B3308" t="s">
        <v>167</v>
      </c>
      <c r="C3308" t="s">
        <v>168</v>
      </c>
      <c r="D3308" t="s">
        <v>58</v>
      </c>
      <c r="E3308" t="s">
        <v>33</v>
      </c>
      <c r="F3308" t="s">
        <v>75</v>
      </c>
      <c r="G3308" t="s">
        <v>35</v>
      </c>
      <c r="H3308" t="s">
        <v>27</v>
      </c>
      <c r="I3308" t="s">
        <v>28</v>
      </c>
      <c r="J3308" t="s">
        <v>45</v>
      </c>
      <c r="K3308">
        <v>5101</v>
      </c>
      <c r="L3308">
        <v>12</v>
      </c>
      <c r="M3308">
        <v>10.9</v>
      </c>
      <c r="N3308">
        <v>1</v>
      </c>
      <c r="O3308">
        <v>58.76</v>
      </c>
      <c r="P3308">
        <f t="shared" si="204"/>
        <v>2.3524799059008038E-3</v>
      </c>
      <c r="Q3308">
        <f t="shared" si="204"/>
        <v>0.90833333333333333</v>
      </c>
      <c r="R3308">
        <f t="shared" si="205"/>
        <v>10.9</v>
      </c>
      <c r="S3308">
        <f t="shared" si="206"/>
        <v>5.3908256880733942</v>
      </c>
      <c r="T3308">
        <f t="shared" si="207"/>
        <v>8.3333333333333329E-2</v>
      </c>
      <c r="U3308" t="str">
        <f>YEAR('Campaign Data'!$A3308)&amp;"-"&amp;TEXT(MONTH('Campaign Data'!$A3308),"00")</f>
        <v>2026-06</v>
      </c>
    </row>
    <row r="3309" spans="1:21" x14ac:dyDescent="0.25">
      <c r="A3309">
        <v>46203</v>
      </c>
      <c r="B3309" t="s">
        <v>147</v>
      </c>
      <c r="C3309" t="s">
        <v>148</v>
      </c>
      <c r="D3309" t="s">
        <v>23</v>
      </c>
      <c r="E3309" t="s">
        <v>42</v>
      </c>
      <c r="F3309" t="s">
        <v>75</v>
      </c>
      <c r="G3309" t="s">
        <v>44</v>
      </c>
      <c r="H3309" t="s">
        <v>90</v>
      </c>
      <c r="I3309" t="s">
        <v>28</v>
      </c>
      <c r="J3309" t="s">
        <v>38</v>
      </c>
      <c r="K3309">
        <v>5150</v>
      </c>
      <c r="L3309">
        <v>18</v>
      </c>
      <c r="M3309">
        <v>10.65</v>
      </c>
      <c r="N3309">
        <v>0</v>
      </c>
      <c r="O3309">
        <v>0</v>
      </c>
      <c r="P3309">
        <f t="shared" si="204"/>
        <v>3.4951456310679612E-3</v>
      </c>
      <c r="Q3309">
        <f t="shared" si="204"/>
        <v>0.59166666666666667</v>
      </c>
      <c r="R3309">
        <f t="shared" si="205"/>
        <v>0</v>
      </c>
      <c r="S3309">
        <f t="shared" si="206"/>
        <v>0</v>
      </c>
      <c r="T3309">
        <f t="shared" si="207"/>
        <v>0</v>
      </c>
      <c r="U3309" t="str">
        <f>YEAR('Campaign Data'!$A3309)&amp;"-"&amp;TEXT(MONTH('Campaign Data'!$A3309),"00")</f>
        <v>2026-06</v>
      </c>
    </row>
    <row r="3310" spans="1:21" x14ac:dyDescent="0.25">
      <c r="A3310">
        <v>46203</v>
      </c>
      <c r="B3310" t="s">
        <v>147</v>
      </c>
      <c r="C3310" t="s">
        <v>148</v>
      </c>
      <c r="D3310" t="s">
        <v>23</v>
      </c>
      <c r="E3310" t="s">
        <v>42</v>
      </c>
      <c r="F3310" t="s">
        <v>75</v>
      </c>
      <c r="G3310" t="s">
        <v>44</v>
      </c>
      <c r="H3310" t="s">
        <v>27</v>
      </c>
      <c r="I3310" t="s">
        <v>28</v>
      </c>
      <c r="J3310" t="s">
        <v>62</v>
      </c>
      <c r="K3310">
        <v>6206</v>
      </c>
      <c r="L3310">
        <v>54</v>
      </c>
      <c r="M3310">
        <v>399.33</v>
      </c>
      <c r="N3310">
        <v>0</v>
      </c>
      <c r="O3310">
        <v>0</v>
      </c>
      <c r="P3310">
        <f t="shared" si="204"/>
        <v>8.7012568482114083E-3</v>
      </c>
      <c r="Q3310">
        <f t="shared" si="204"/>
        <v>7.3949999999999996</v>
      </c>
      <c r="R3310">
        <f t="shared" si="205"/>
        <v>0</v>
      </c>
      <c r="S3310">
        <f t="shared" si="206"/>
        <v>0</v>
      </c>
      <c r="T3310">
        <f t="shared" si="207"/>
        <v>0</v>
      </c>
      <c r="U3310" t="str">
        <f>YEAR('Campaign Data'!$A3310)&amp;"-"&amp;TEXT(MONTH('Campaign Data'!$A3310),"00")</f>
        <v>2026-06</v>
      </c>
    </row>
    <row r="3311" spans="1:21" x14ac:dyDescent="0.25">
      <c r="A3311">
        <v>46203</v>
      </c>
      <c r="B3311" t="s">
        <v>147</v>
      </c>
      <c r="C3311" t="s">
        <v>148</v>
      </c>
      <c r="D3311" t="s">
        <v>23</v>
      </c>
      <c r="E3311" t="s">
        <v>42</v>
      </c>
      <c r="F3311" t="s">
        <v>75</v>
      </c>
      <c r="G3311" t="s">
        <v>44</v>
      </c>
      <c r="H3311" t="s">
        <v>27</v>
      </c>
      <c r="I3311" t="s">
        <v>37</v>
      </c>
      <c r="J3311" t="s">
        <v>87</v>
      </c>
      <c r="K3311">
        <v>3681</v>
      </c>
      <c r="L3311">
        <v>8</v>
      </c>
      <c r="M3311">
        <v>52.7</v>
      </c>
      <c r="N3311">
        <v>0</v>
      </c>
      <c r="O3311">
        <v>0</v>
      </c>
      <c r="P3311">
        <f t="shared" si="204"/>
        <v>2.1733224667209996E-3</v>
      </c>
      <c r="Q3311">
        <f t="shared" si="204"/>
        <v>6.5875000000000004</v>
      </c>
      <c r="R3311">
        <f t="shared" si="205"/>
        <v>0</v>
      </c>
      <c r="S3311">
        <f t="shared" si="206"/>
        <v>0</v>
      </c>
      <c r="T3311">
        <f t="shared" si="207"/>
        <v>0</v>
      </c>
      <c r="U3311" t="str">
        <f>YEAR('Campaign Data'!$A3311)&amp;"-"&amp;TEXT(MONTH('Campaign Data'!$A3311),"00")</f>
        <v>2026-06</v>
      </c>
    </row>
    <row r="3312" spans="1:21" x14ac:dyDescent="0.25">
      <c r="A3312">
        <v>46203</v>
      </c>
      <c r="B3312" t="s">
        <v>125</v>
      </c>
      <c r="C3312" t="s">
        <v>126</v>
      </c>
      <c r="D3312" t="s">
        <v>41</v>
      </c>
      <c r="E3312" t="s">
        <v>42</v>
      </c>
      <c r="F3312" t="s">
        <v>81</v>
      </c>
      <c r="G3312" t="s">
        <v>44</v>
      </c>
      <c r="H3312" t="s">
        <v>71</v>
      </c>
      <c r="I3312" t="s">
        <v>37</v>
      </c>
      <c r="J3312" t="s">
        <v>38</v>
      </c>
      <c r="K3312">
        <v>5026</v>
      </c>
      <c r="L3312">
        <v>26</v>
      </c>
      <c r="M3312">
        <v>127.28</v>
      </c>
      <c r="N3312">
        <v>0</v>
      </c>
      <c r="O3312">
        <v>0</v>
      </c>
      <c r="P3312">
        <f t="shared" si="204"/>
        <v>5.1730998806207721E-3</v>
      </c>
      <c r="Q3312">
        <f t="shared" si="204"/>
        <v>4.8953846153846152</v>
      </c>
      <c r="R3312">
        <f t="shared" si="205"/>
        <v>0</v>
      </c>
      <c r="S3312">
        <f t="shared" si="206"/>
        <v>0</v>
      </c>
      <c r="T3312">
        <f t="shared" si="207"/>
        <v>0</v>
      </c>
      <c r="U3312" t="str">
        <f>YEAR('Campaign Data'!$A3312)&amp;"-"&amp;TEXT(MONTH('Campaign Data'!$A3312),"00")</f>
        <v>2026-06</v>
      </c>
    </row>
    <row r="3313" spans="1:21" x14ac:dyDescent="0.25">
      <c r="A3313">
        <v>46203</v>
      </c>
      <c r="B3313" t="s">
        <v>125</v>
      </c>
      <c r="C3313" t="s">
        <v>126</v>
      </c>
      <c r="D3313" t="s">
        <v>41</v>
      </c>
      <c r="E3313" t="s">
        <v>42</v>
      </c>
      <c r="F3313" t="s">
        <v>81</v>
      </c>
      <c r="G3313" t="s">
        <v>44</v>
      </c>
      <c r="H3313" t="s">
        <v>90</v>
      </c>
      <c r="I3313" t="s">
        <v>37</v>
      </c>
      <c r="J3313" t="s">
        <v>45</v>
      </c>
      <c r="K3313">
        <v>7287</v>
      </c>
      <c r="L3313">
        <v>55</v>
      </c>
      <c r="M3313">
        <v>77.63</v>
      </c>
      <c r="N3313">
        <v>1</v>
      </c>
      <c r="O3313">
        <v>5.57</v>
      </c>
      <c r="P3313">
        <f t="shared" si="204"/>
        <v>7.5476876629614383E-3</v>
      </c>
      <c r="Q3313">
        <f t="shared" si="204"/>
        <v>1.4114545454545453</v>
      </c>
      <c r="R3313">
        <f t="shared" si="205"/>
        <v>77.63</v>
      </c>
      <c r="S3313">
        <f t="shared" si="206"/>
        <v>7.1750611876851736E-2</v>
      </c>
      <c r="T3313">
        <f t="shared" si="207"/>
        <v>1.8181818181818181E-2</v>
      </c>
      <c r="U3313" t="str">
        <f>YEAR('Campaign Data'!$A3313)&amp;"-"&amp;TEXT(MONTH('Campaign Data'!$A3313),"00")</f>
        <v>2026-06</v>
      </c>
    </row>
    <row r="3314" spans="1:21" x14ac:dyDescent="0.25">
      <c r="A3314">
        <v>46203</v>
      </c>
      <c r="B3314" t="s">
        <v>46</v>
      </c>
      <c r="C3314" t="s">
        <v>47</v>
      </c>
      <c r="D3314" t="s">
        <v>48</v>
      </c>
      <c r="E3314" t="s">
        <v>49</v>
      </c>
      <c r="F3314" t="s">
        <v>43</v>
      </c>
      <c r="G3314" t="s">
        <v>50</v>
      </c>
      <c r="H3314" t="s">
        <v>36</v>
      </c>
      <c r="I3314" t="s">
        <v>37</v>
      </c>
      <c r="J3314" t="s">
        <v>38</v>
      </c>
      <c r="K3314">
        <v>566</v>
      </c>
      <c r="L3314">
        <v>25</v>
      </c>
      <c r="M3314">
        <v>39.47</v>
      </c>
      <c r="N3314">
        <v>1</v>
      </c>
      <c r="O3314">
        <v>22.19</v>
      </c>
      <c r="P3314">
        <f t="shared" si="204"/>
        <v>4.4169611307420496E-2</v>
      </c>
      <c r="Q3314">
        <f t="shared" si="204"/>
        <v>1.5788</v>
      </c>
      <c r="R3314">
        <f t="shared" si="205"/>
        <v>39.47</v>
      </c>
      <c r="S3314">
        <f t="shared" si="206"/>
        <v>0.56219913858626813</v>
      </c>
      <c r="T3314">
        <f t="shared" si="207"/>
        <v>0.04</v>
      </c>
      <c r="U3314" t="str">
        <f>YEAR('Campaign Data'!$A3314)&amp;"-"&amp;TEXT(MONTH('Campaign Data'!$A3314),"00")</f>
        <v>2026-06</v>
      </c>
    </row>
    <row r="3315" spans="1:21" x14ac:dyDescent="0.25">
      <c r="A3315">
        <v>46203</v>
      </c>
      <c r="B3315" t="s">
        <v>127</v>
      </c>
      <c r="C3315" t="s">
        <v>128</v>
      </c>
      <c r="D3315" t="s">
        <v>58</v>
      </c>
      <c r="E3315" t="s">
        <v>24</v>
      </c>
      <c r="F3315" t="s">
        <v>81</v>
      </c>
      <c r="G3315" t="s">
        <v>129</v>
      </c>
      <c r="H3315" t="s">
        <v>55</v>
      </c>
      <c r="I3315" t="s">
        <v>37</v>
      </c>
      <c r="J3315" t="s">
        <v>38</v>
      </c>
      <c r="K3315">
        <v>1674</v>
      </c>
      <c r="L3315">
        <v>16</v>
      </c>
      <c r="M3315">
        <v>13.63</v>
      </c>
      <c r="N3315">
        <v>0</v>
      </c>
      <c r="O3315">
        <v>0</v>
      </c>
      <c r="P3315">
        <f t="shared" si="204"/>
        <v>9.557945041816009E-3</v>
      </c>
      <c r="Q3315">
        <f t="shared" si="204"/>
        <v>0.85187500000000005</v>
      </c>
      <c r="R3315">
        <f t="shared" si="205"/>
        <v>0</v>
      </c>
      <c r="S3315">
        <f t="shared" si="206"/>
        <v>0</v>
      </c>
      <c r="T3315">
        <f t="shared" si="207"/>
        <v>0</v>
      </c>
      <c r="U3315" t="str">
        <f>YEAR('Campaign Data'!$A3315)&amp;"-"&amp;TEXT(MONTH('Campaign Data'!$A3315),"00")</f>
        <v>2026-06</v>
      </c>
    </row>
    <row r="3316" spans="1:21" x14ac:dyDescent="0.25">
      <c r="A3316">
        <v>46203</v>
      </c>
      <c r="B3316" t="s">
        <v>103</v>
      </c>
      <c r="C3316" t="s">
        <v>104</v>
      </c>
      <c r="D3316" t="s">
        <v>65</v>
      </c>
      <c r="E3316" t="s">
        <v>33</v>
      </c>
      <c r="F3316" t="s">
        <v>43</v>
      </c>
      <c r="G3316" t="s">
        <v>102</v>
      </c>
      <c r="H3316" t="s">
        <v>27</v>
      </c>
      <c r="I3316" t="s">
        <v>37</v>
      </c>
      <c r="J3316" t="s">
        <v>45</v>
      </c>
      <c r="K3316">
        <v>14113</v>
      </c>
      <c r="L3316">
        <v>54</v>
      </c>
      <c r="M3316">
        <v>35.36</v>
      </c>
      <c r="N3316">
        <v>1</v>
      </c>
      <c r="O3316">
        <v>43.84</v>
      </c>
      <c r="P3316">
        <f t="shared" si="204"/>
        <v>3.8262594770778714E-3</v>
      </c>
      <c r="Q3316">
        <f t="shared" si="204"/>
        <v>0.65481481481481485</v>
      </c>
      <c r="R3316">
        <f t="shared" si="205"/>
        <v>35.36</v>
      </c>
      <c r="S3316">
        <f t="shared" si="206"/>
        <v>1.2398190045248869</v>
      </c>
      <c r="T3316">
        <f t="shared" si="207"/>
        <v>1.8518518518518517E-2</v>
      </c>
      <c r="U3316" t="str">
        <f>YEAR('Campaign Data'!$A3316)&amp;"-"&amp;TEXT(MONTH('Campaign Data'!$A3316),"00")</f>
        <v>2026-06</v>
      </c>
    </row>
    <row r="3317" spans="1:21" x14ac:dyDescent="0.25">
      <c r="A3317">
        <v>46203</v>
      </c>
      <c r="B3317" t="s">
        <v>108</v>
      </c>
      <c r="C3317" t="s">
        <v>109</v>
      </c>
      <c r="D3317" t="s">
        <v>58</v>
      </c>
      <c r="E3317" t="s">
        <v>33</v>
      </c>
      <c r="F3317" t="s">
        <v>43</v>
      </c>
      <c r="G3317" t="s">
        <v>59</v>
      </c>
      <c r="H3317" t="s">
        <v>60</v>
      </c>
      <c r="I3317" t="s">
        <v>61</v>
      </c>
      <c r="J3317" t="s">
        <v>45</v>
      </c>
      <c r="K3317">
        <v>3250</v>
      </c>
      <c r="L3317">
        <v>18</v>
      </c>
      <c r="M3317">
        <v>12.44</v>
      </c>
      <c r="N3317">
        <v>0</v>
      </c>
      <c r="O3317">
        <v>0</v>
      </c>
      <c r="P3317">
        <f t="shared" si="204"/>
        <v>5.5384615384615381E-3</v>
      </c>
      <c r="Q3317">
        <f t="shared" si="204"/>
        <v>0.69111111111111112</v>
      </c>
      <c r="R3317">
        <f t="shared" si="205"/>
        <v>0</v>
      </c>
      <c r="S3317">
        <f t="shared" si="206"/>
        <v>0</v>
      </c>
      <c r="T3317">
        <f t="shared" si="207"/>
        <v>0</v>
      </c>
      <c r="U3317" t="str">
        <f>YEAR('Campaign Data'!$A3317)&amp;"-"&amp;TEXT(MONTH('Campaign Data'!$A3317),"00")</f>
        <v>2026-06</v>
      </c>
    </row>
    <row r="3318" spans="1:21" x14ac:dyDescent="0.25">
      <c r="A3318">
        <v>46203</v>
      </c>
      <c r="B3318" t="s">
        <v>114</v>
      </c>
      <c r="C3318" t="s">
        <v>115</v>
      </c>
      <c r="D3318" t="s">
        <v>69</v>
      </c>
      <c r="E3318" t="s">
        <v>49</v>
      </c>
      <c r="F3318" t="s">
        <v>25</v>
      </c>
      <c r="G3318" t="s">
        <v>107</v>
      </c>
      <c r="H3318" t="s">
        <v>36</v>
      </c>
      <c r="I3318" t="s">
        <v>37</v>
      </c>
      <c r="J3318" t="s">
        <v>62</v>
      </c>
      <c r="K3318">
        <v>5342</v>
      </c>
      <c r="L3318">
        <v>400</v>
      </c>
      <c r="M3318">
        <v>816.69</v>
      </c>
      <c r="N3318">
        <v>33</v>
      </c>
      <c r="O3318">
        <v>6624.38</v>
      </c>
      <c r="P3318">
        <f t="shared" si="204"/>
        <v>7.4878322725570948E-2</v>
      </c>
      <c r="Q3318">
        <f t="shared" si="204"/>
        <v>2.041725</v>
      </c>
      <c r="R3318">
        <f t="shared" si="205"/>
        <v>24.74818181818182</v>
      </c>
      <c r="S3318">
        <f t="shared" si="206"/>
        <v>8.1112539641724517</v>
      </c>
      <c r="T3318">
        <f t="shared" si="207"/>
        <v>8.2500000000000004E-2</v>
      </c>
      <c r="U3318" t="str">
        <f>YEAR('Campaign Data'!$A3318)&amp;"-"&amp;TEXT(MONTH('Campaign Data'!$A3318),"00")</f>
        <v>2026-06</v>
      </c>
    </row>
    <row r="3319" spans="1:21" x14ac:dyDescent="0.25">
      <c r="A3319">
        <v>46203</v>
      </c>
      <c r="B3319" t="s">
        <v>183</v>
      </c>
      <c r="C3319" t="s">
        <v>184</v>
      </c>
      <c r="D3319" t="s">
        <v>23</v>
      </c>
      <c r="E3319" t="s">
        <v>24</v>
      </c>
      <c r="F3319" t="s">
        <v>81</v>
      </c>
      <c r="G3319" t="s">
        <v>185</v>
      </c>
      <c r="H3319" t="s">
        <v>90</v>
      </c>
      <c r="I3319" t="s">
        <v>37</v>
      </c>
      <c r="J3319" t="s">
        <v>38</v>
      </c>
      <c r="K3319">
        <v>9223</v>
      </c>
      <c r="L3319">
        <v>165</v>
      </c>
      <c r="M3319">
        <v>49.05</v>
      </c>
      <c r="N3319">
        <v>4</v>
      </c>
      <c r="O3319">
        <v>20</v>
      </c>
      <c r="P3319">
        <f t="shared" si="204"/>
        <v>1.7890057465033068E-2</v>
      </c>
      <c r="Q3319">
        <f t="shared" si="204"/>
        <v>0.29727272727272724</v>
      </c>
      <c r="R3319">
        <f t="shared" si="205"/>
        <v>12.262499999999999</v>
      </c>
      <c r="S3319">
        <f t="shared" si="206"/>
        <v>0.40774719673802245</v>
      </c>
      <c r="T3319">
        <f t="shared" si="207"/>
        <v>2.4242424242424242E-2</v>
      </c>
      <c r="U3319" t="str">
        <f>YEAR('Campaign Data'!$A3319)&amp;"-"&amp;TEXT(MONTH('Campaign Data'!$A3319),"00")</f>
        <v>2026-06</v>
      </c>
    </row>
    <row r="3320" spans="1:21" x14ac:dyDescent="0.25">
      <c r="A3320">
        <v>46203</v>
      </c>
      <c r="B3320" t="s">
        <v>145</v>
      </c>
      <c r="C3320" t="s">
        <v>146</v>
      </c>
      <c r="D3320" t="s">
        <v>41</v>
      </c>
      <c r="E3320" t="s">
        <v>49</v>
      </c>
      <c r="F3320" t="s">
        <v>75</v>
      </c>
      <c r="G3320" t="s">
        <v>70</v>
      </c>
      <c r="H3320" t="s">
        <v>90</v>
      </c>
      <c r="I3320" t="s">
        <v>37</v>
      </c>
      <c r="J3320" t="s">
        <v>29</v>
      </c>
      <c r="K3320">
        <v>3627</v>
      </c>
      <c r="L3320">
        <v>164</v>
      </c>
      <c r="M3320">
        <v>107.94</v>
      </c>
      <c r="N3320">
        <v>11</v>
      </c>
      <c r="O3320">
        <v>80.27</v>
      </c>
      <c r="P3320">
        <f t="shared" si="204"/>
        <v>4.521643231320651E-2</v>
      </c>
      <c r="Q3320">
        <f t="shared" si="204"/>
        <v>0.6581707317073171</v>
      </c>
      <c r="R3320">
        <f t="shared" si="205"/>
        <v>9.8127272727272725</v>
      </c>
      <c r="S3320">
        <f t="shared" si="206"/>
        <v>0.74365388178617753</v>
      </c>
      <c r="T3320">
        <f t="shared" si="207"/>
        <v>6.7073170731707321E-2</v>
      </c>
      <c r="U3320" t="str">
        <f>YEAR('Campaign Data'!$A3320)&amp;"-"&amp;TEXT(MONTH('Campaign Data'!$A3320),"00")</f>
        <v>2026-06</v>
      </c>
    </row>
    <row r="3321" spans="1:21" x14ac:dyDescent="0.25">
      <c r="A3321">
        <v>46204</v>
      </c>
      <c r="B3321" t="s">
        <v>167</v>
      </c>
      <c r="C3321" t="s">
        <v>168</v>
      </c>
      <c r="D3321" t="s">
        <v>58</v>
      </c>
      <c r="E3321" t="s">
        <v>33</v>
      </c>
      <c r="F3321" t="s">
        <v>75</v>
      </c>
      <c r="G3321" t="s">
        <v>35</v>
      </c>
      <c r="H3321" t="s">
        <v>36</v>
      </c>
      <c r="I3321" t="s">
        <v>37</v>
      </c>
      <c r="J3321" t="s">
        <v>38</v>
      </c>
      <c r="K3321">
        <v>16025</v>
      </c>
      <c r="L3321">
        <v>118</v>
      </c>
      <c r="M3321">
        <v>54.59</v>
      </c>
      <c r="N3321">
        <v>0</v>
      </c>
      <c r="O3321">
        <v>0</v>
      </c>
      <c r="P3321">
        <f t="shared" si="204"/>
        <v>7.3634945397815909E-3</v>
      </c>
      <c r="Q3321">
        <f t="shared" si="204"/>
        <v>0.4626271186440678</v>
      </c>
      <c r="R3321">
        <f t="shared" si="205"/>
        <v>0</v>
      </c>
      <c r="S3321">
        <f t="shared" si="206"/>
        <v>0</v>
      </c>
      <c r="T3321">
        <f t="shared" si="207"/>
        <v>0</v>
      </c>
      <c r="U3321" t="str">
        <f>YEAR('Campaign Data'!$A3321)&amp;"-"&amp;TEXT(MONTH('Campaign Data'!$A3321),"00")</f>
        <v>2026-07</v>
      </c>
    </row>
    <row r="3322" spans="1:21" x14ac:dyDescent="0.25">
      <c r="A3322">
        <v>46204</v>
      </c>
      <c r="B3322" t="s">
        <v>147</v>
      </c>
      <c r="C3322" t="s">
        <v>148</v>
      </c>
      <c r="D3322" t="s">
        <v>23</v>
      </c>
      <c r="E3322" t="s">
        <v>42</v>
      </c>
      <c r="F3322" t="s">
        <v>75</v>
      </c>
      <c r="G3322" t="s">
        <v>44</v>
      </c>
      <c r="H3322" t="s">
        <v>51</v>
      </c>
      <c r="I3322" t="s">
        <v>28</v>
      </c>
      <c r="J3322" t="s">
        <v>29</v>
      </c>
      <c r="K3322">
        <v>6055</v>
      </c>
      <c r="L3322">
        <v>21</v>
      </c>
      <c r="M3322">
        <v>115.21</v>
      </c>
      <c r="N3322">
        <v>1</v>
      </c>
      <c r="O3322">
        <v>54.79</v>
      </c>
      <c r="P3322">
        <f t="shared" si="204"/>
        <v>3.4682080924855491E-3</v>
      </c>
      <c r="Q3322">
        <f t="shared" si="204"/>
        <v>5.4861904761904761</v>
      </c>
      <c r="R3322">
        <f t="shared" si="205"/>
        <v>115.21</v>
      </c>
      <c r="S3322">
        <f t="shared" si="206"/>
        <v>0.47556635708705841</v>
      </c>
      <c r="T3322">
        <f t="shared" si="207"/>
        <v>4.7619047619047616E-2</v>
      </c>
      <c r="U3322" t="str">
        <f>YEAR('Campaign Data'!$A3322)&amp;"-"&amp;TEXT(MONTH('Campaign Data'!$A3322),"00")</f>
        <v>2026-07</v>
      </c>
    </row>
    <row r="3323" spans="1:21" x14ac:dyDescent="0.25">
      <c r="A3323">
        <v>46204</v>
      </c>
      <c r="B3323" t="s">
        <v>147</v>
      </c>
      <c r="C3323" t="s">
        <v>148</v>
      </c>
      <c r="D3323" t="s">
        <v>23</v>
      </c>
      <c r="E3323" t="s">
        <v>42</v>
      </c>
      <c r="F3323" t="s">
        <v>75</v>
      </c>
      <c r="G3323" t="s">
        <v>44</v>
      </c>
      <c r="H3323" t="s">
        <v>27</v>
      </c>
      <c r="I3323" t="s">
        <v>37</v>
      </c>
      <c r="J3323" t="s">
        <v>62</v>
      </c>
      <c r="K3323">
        <v>8469</v>
      </c>
      <c r="L3323">
        <v>75</v>
      </c>
      <c r="M3323">
        <v>383.59</v>
      </c>
      <c r="N3323">
        <v>2</v>
      </c>
      <c r="O3323">
        <v>36.71</v>
      </c>
      <c r="P3323">
        <f t="shared" si="204"/>
        <v>8.8558271342543387E-3</v>
      </c>
      <c r="Q3323">
        <f t="shared" si="204"/>
        <v>5.1145333333333332</v>
      </c>
      <c r="R3323">
        <f t="shared" si="205"/>
        <v>191.79499999999999</v>
      </c>
      <c r="S3323">
        <f t="shared" si="206"/>
        <v>9.5701139237206398E-2</v>
      </c>
      <c r="T3323">
        <f t="shared" si="207"/>
        <v>2.6666666666666668E-2</v>
      </c>
      <c r="U3323" t="str">
        <f>YEAR('Campaign Data'!$A3323)&amp;"-"&amp;TEXT(MONTH('Campaign Data'!$A3323),"00")</f>
        <v>2026-07</v>
      </c>
    </row>
    <row r="3324" spans="1:21" x14ac:dyDescent="0.25">
      <c r="A3324">
        <v>46204</v>
      </c>
      <c r="B3324" t="s">
        <v>138</v>
      </c>
      <c r="C3324" t="s">
        <v>139</v>
      </c>
      <c r="D3324" t="s">
        <v>58</v>
      </c>
      <c r="E3324" t="s">
        <v>74</v>
      </c>
      <c r="F3324" t="s">
        <v>34</v>
      </c>
      <c r="G3324" t="s">
        <v>9</v>
      </c>
      <c r="H3324" t="s">
        <v>27</v>
      </c>
      <c r="I3324" t="s">
        <v>37</v>
      </c>
      <c r="J3324" t="s">
        <v>38</v>
      </c>
      <c r="K3324">
        <v>18213</v>
      </c>
      <c r="L3324">
        <v>608</v>
      </c>
      <c r="M3324">
        <v>1121.3499999999999</v>
      </c>
      <c r="N3324">
        <v>25</v>
      </c>
      <c r="O3324">
        <v>2880.37</v>
      </c>
      <c r="P3324">
        <f t="shared" si="204"/>
        <v>3.338274858617471E-2</v>
      </c>
      <c r="Q3324">
        <f t="shared" si="204"/>
        <v>1.8443256578947367</v>
      </c>
      <c r="R3324">
        <f t="shared" si="205"/>
        <v>44.853999999999999</v>
      </c>
      <c r="S3324">
        <f t="shared" si="206"/>
        <v>2.568662772550943</v>
      </c>
      <c r="T3324">
        <f t="shared" si="207"/>
        <v>4.1118421052631582E-2</v>
      </c>
      <c r="U3324" t="str">
        <f>YEAR('Campaign Data'!$A3324)&amp;"-"&amp;TEXT(MONTH('Campaign Data'!$A3324),"00")</f>
        <v>2026-07</v>
      </c>
    </row>
    <row r="3325" spans="1:21" x14ac:dyDescent="0.25">
      <c r="A3325">
        <v>46204</v>
      </c>
      <c r="B3325" t="s">
        <v>30</v>
      </c>
      <c r="C3325" t="s">
        <v>31</v>
      </c>
      <c r="D3325" t="s">
        <v>32</v>
      </c>
      <c r="E3325" t="s">
        <v>33</v>
      </c>
      <c r="F3325" t="s">
        <v>34</v>
      </c>
      <c r="G3325" t="s">
        <v>35</v>
      </c>
      <c r="H3325" t="s">
        <v>71</v>
      </c>
      <c r="I3325" t="s">
        <v>37</v>
      </c>
      <c r="J3325" t="s">
        <v>62</v>
      </c>
      <c r="K3325">
        <v>8110</v>
      </c>
      <c r="L3325">
        <v>92</v>
      </c>
      <c r="M3325">
        <v>39.520000000000003</v>
      </c>
      <c r="N3325">
        <v>1</v>
      </c>
      <c r="O3325">
        <v>161.76</v>
      </c>
      <c r="P3325">
        <f t="shared" si="204"/>
        <v>1.1344019728729964E-2</v>
      </c>
      <c r="Q3325">
        <f t="shared" si="204"/>
        <v>0.42956521739130438</v>
      </c>
      <c r="R3325">
        <f t="shared" si="205"/>
        <v>39.520000000000003</v>
      </c>
      <c r="S3325">
        <f t="shared" si="206"/>
        <v>4.093117408906882</v>
      </c>
      <c r="T3325">
        <f t="shared" si="207"/>
        <v>1.0869565217391304E-2</v>
      </c>
      <c r="U3325" t="str">
        <f>YEAR('Campaign Data'!$A3325)&amp;"-"&amp;TEXT(MONTH('Campaign Data'!$A3325),"00")</f>
        <v>2026-07</v>
      </c>
    </row>
    <row r="3326" spans="1:21" x14ac:dyDescent="0.25">
      <c r="A3326">
        <v>46204</v>
      </c>
      <c r="B3326" t="s">
        <v>46</v>
      </c>
      <c r="C3326" t="s">
        <v>47</v>
      </c>
      <c r="D3326" t="s">
        <v>48</v>
      </c>
      <c r="E3326" t="s">
        <v>49</v>
      </c>
      <c r="F3326" t="s">
        <v>43</v>
      </c>
      <c r="G3326" t="s">
        <v>50</v>
      </c>
      <c r="H3326" t="s">
        <v>71</v>
      </c>
      <c r="I3326" t="s">
        <v>28</v>
      </c>
      <c r="J3326" t="s">
        <v>87</v>
      </c>
      <c r="K3326">
        <v>11116</v>
      </c>
      <c r="L3326">
        <v>519</v>
      </c>
      <c r="M3326">
        <v>800.57</v>
      </c>
      <c r="N3326">
        <v>23</v>
      </c>
      <c r="O3326">
        <v>446.23</v>
      </c>
      <c r="P3326">
        <f t="shared" si="204"/>
        <v>4.6689456639078808E-2</v>
      </c>
      <c r="Q3326">
        <f t="shared" si="204"/>
        <v>1.5425240847784201</v>
      </c>
      <c r="R3326">
        <f t="shared" si="205"/>
        <v>34.807391304347831</v>
      </c>
      <c r="S3326">
        <f t="shared" si="206"/>
        <v>0.55739035936894965</v>
      </c>
      <c r="T3326">
        <f t="shared" si="207"/>
        <v>4.4315992292870907E-2</v>
      </c>
      <c r="U3326" t="str">
        <f>YEAR('Campaign Data'!$A3326)&amp;"-"&amp;TEXT(MONTH('Campaign Data'!$A3326),"00")</f>
        <v>2026-07</v>
      </c>
    </row>
    <row r="3327" spans="1:21" x14ac:dyDescent="0.25">
      <c r="A3327">
        <v>46204</v>
      </c>
      <c r="B3327" t="s">
        <v>169</v>
      </c>
      <c r="C3327" t="s">
        <v>170</v>
      </c>
      <c r="D3327" t="s">
        <v>58</v>
      </c>
      <c r="E3327" t="s">
        <v>74</v>
      </c>
      <c r="F3327" t="s">
        <v>75</v>
      </c>
      <c r="G3327" t="s">
        <v>9</v>
      </c>
      <c r="H3327" t="s">
        <v>90</v>
      </c>
      <c r="I3327" t="s">
        <v>28</v>
      </c>
      <c r="J3327" t="s">
        <v>38</v>
      </c>
      <c r="K3327">
        <v>1458</v>
      </c>
      <c r="L3327">
        <v>67</v>
      </c>
      <c r="M3327">
        <v>22.02</v>
      </c>
      <c r="N3327">
        <v>1</v>
      </c>
      <c r="O3327">
        <v>6.78</v>
      </c>
      <c r="P3327">
        <f t="shared" si="204"/>
        <v>4.5953360768175584E-2</v>
      </c>
      <c r="Q3327">
        <f t="shared" si="204"/>
        <v>0.32865671641791044</v>
      </c>
      <c r="R3327">
        <f t="shared" si="205"/>
        <v>22.02</v>
      </c>
      <c r="S3327">
        <f t="shared" si="206"/>
        <v>0.30790190735694822</v>
      </c>
      <c r="T3327">
        <f t="shared" si="207"/>
        <v>1.4925373134328358E-2</v>
      </c>
      <c r="U3327" t="str">
        <f>YEAR('Campaign Data'!$A3327)&amp;"-"&amp;TEXT(MONTH('Campaign Data'!$A3327),"00")</f>
        <v>2026-07</v>
      </c>
    </row>
    <row r="3328" spans="1:21" x14ac:dyDescent="0.25">
      <c r="A3328">
        <v>46204</v>
      </c>
      <c r="B3328" t="s">
        <v>179</v>
      </c>
      <c r="C3328" t="s">
        <v>180</v>
      </c>
      <c r="D3328" t="s">
        <v>58</v>
      </c>
      <c r="E3328" t="s">
        <v>42</v>
      </c>
      <c r="F3328" t="s">
        <v>25</v>
      </c>
      <c r="G3328" t="s">
        <v>54</v>
      </c>
      <c r="H3328" t="s">
        <v>36</v>
      </c>
      <c r="I3328" t="s">
        <v>37</v>
      </c>
      <c r="J3328" t="s">
        <v>29</v>
      </c>
      <c r="K3328">
        <v>4489</v>
      </c>
      <c r="L3328">
        <v>39</v>
      </c>
      <c r="M3328">
        <v>265.14999999999998</v>
      </c>
      <c r="N3328">
        <v>1</v>
      </c>
      <c r="O3328">
        <v>143.44999999999999</v>
      </c>
      <c r="P3328">
        <f t="shared" si="204"/>
        <v>8.6879037647582986E-3</v>
      </c>
      <c r="Q3328">
        <f t="shared" si="204"/>
        <v>6.7987179487179485</v>
      </c>
      <c r="R3328">
        <f t="shared" si="205"/>
        <v>265.14999999999998</v>
      </c>
      <c r="S3328">
        <f t="shared" si="206"/>
        <v>0.54101452008297191</v>
      </c>
      <c r="T3328">
        <f t="shared" si="207"/>
        <v>2.564102564102564E-2</v>
      </c>
      <c r="U3328" t="str">
        <f>YEAR('Campaign Data'!$A3328)&amp;"-"&amp;TEXT(MONTH('Campaign Data'!$A3328),"00")</f>
        <v>2026-07</v>
      </c>
    </row>
    <row r="3329" spans="1:21" x14ac:dyDescent="0.25">
      <c r="A3329">
        <v>46204</v>
      </c>
      <c r="B3329" t="s">
        <v>179</v>
      </c>
      <c r="C3329" t="s">
        <v>180</v>
      </c>
      <c r="D3329" t="s">
        <v>58</v>
      </c>
      <c r="E3329" t="s">
        <v>42</v>
      </c>
      <c r="F3329" t="s">
        <v>25</v>
      </c>
      <c r="G3329" t="s">
        <v>54</v>
      </c>
      <c r="H3329" t="s">
        <v>51</v>
      </c>
      <c r="I3329" t="s">
        <v>61</v>
      </c>
      <c r="J3329" t="s">
        <v>45</v>
      </c>
      <c r="K3329">
        <v>3056</v>
      </c>
      <c r="L3329">
        <v>21</v>
      </c>
      <c r="M3329">
        <v>157.28</v>
      </c>
      <c r="N3329">
        <v>0</v>
      </c>
      <c r="O3329">
        <v>0</v>
      </c>
      <c r="P3329">
        <f t="shared" si="204"/>
        <v>6.8717277486910998E-3</v>
      </c>
      <c r="Q3329">
        <f t="shared" si="204"/>
        <v>7.4895238095238099</v>
      </c>
      <c r="R3329">
        <f t="shared" si="205"/>
        <v>0</v>
      </c>
      <c r="S3329">
        <f t="shared" si="206"/>
        <v>0</v>
      </c>
      <c r="T3329">
        <f t="shared" si="207"/>
        <v>0</v>
      </c>
      <c r="U3329" t="str">
        <f>YEAR('Campaign Data'!$A3329)&amp;"-"&amp;TEXT(MONTH('Campaign Data'!$A3329),"00")</f>
        <v>2026-07</v>
      </c>
    </row>
    <row r="3330" spans="1:21" x14ac:dyDescent="0.25">
      <c r="A3330">
        <v>46204</v>
      </c>
      <c r="B3330" t="s">
        <v>157</v>
      </c>
      <c r="C3330" t="s">
        <v>158</v>
      </c>
      <c r="D3330" t="s">
        <v>58</v>
      </c>
      <c r="E3330" t="s">
        <v>49</v>
      </c>
      <c r="F3330" t="s">
        <v>81</v>
      </c>
      <c r="G3330" t="s">
        <v>50</v>
      </c>
      <c r="H3330" t="s">
        <v>27</v>
      </c>
      <c r="I3330" t="s">
        <v>28</v>
      </c>
      <c r="J3330" t="s">
        <v>38</v>
      </c>
      <c r="K3330">
        <v>4392</v>
      </c>
      <c r="L3330">
        <v>221</v>
      </c>
      <c r="M3330">
        <v>488.48</v>
      </c>
      <c r="N3330">
        <v>13</v>
      </c>
      <c r="O3330">
        <v>452.96</v>
      </c>
      <c r="P3330">
        <f t="shared" ref="P3330:Q3393" si="208">IF(K3330=0,0,L3330/K3330)</f>
        <v>5.0318761384335157E-2</v>
      </c>
      <c r="Q3330">
        <f t="shared" si="208"/>
        <v>2.210316742081448</v>
      </c>
      <c r="R3330">
        <f t="shared" ref="R3330:R3393" si="209">IF(N3330=0,0,M3330/N3330)</f>
        <v>37.575384615384614</v>
      </c>
      <c r="S3330">
        <f t="shared" ref="S3330:S3393" si="210">IF(M3330=0,0,O3330/M3330)</f>
        <v>0.92728463806092365</v>
      </c>
      <c r="T3330">
        <f t="shared" ref="T3330:T3393" si="211">IF(L3330=0,0,N3330/L3330)</f>
        <v>5.8823529411764705E-2</v>
      </c>
      <c r="U3330" t="str">
        <f>YEAR('Campaign Data'!$A3330)&amp;"-"&amp;TEXT(MONTH('Campaign Data'!$A3330),"00")</f>
        <v>2026-07</v>
      </c>
    </row>
    <row r="3331" spans="1:21" x14ac:dyDescent="0.25">
      <c r="A3331">
        <v>46204</v>
      </c>
      <c r="B3331" t="s">
        <v>112</v>
      </c>
      <c r="C3331" t="s">
        <v>113</v>
      </c>
      <c r="D3331" t="s">
        <v>32</v>
      </c>
      <c r="E3331" t="s">
        <v>24</v>
      </c>
      <c r="F3331" t="s">
        <v>75</v>
      </c>
      <c r="G3331" t="s">
        <v>66</v>
      </c>
      <c r="H3331" t="s">
        <v>27</v>
      </c>
      <c r="I3331" t="s">
        <v>37</v>
      </c>
      <c r="J3331" t="s">
        <v>45</v>
      </c>
      <c r="K3331">
        <v>11131</v>
      </c>
      <c r="L3331">
        <v>144</v>
      </c>
      <c r="M3331">
        <v>169.99</v>
      </c>
      <c r="N3331">
        <v>4</v>
      </c>
      <c r="O3331">
        <v>231.73</v>
      </c>
      <c r="P3331">
        <f t="shared" si="208"/>
        <v>1.2936843050938819E-2</v>
      </c>
      <c r="Q3331">
        <f t="shared" si="208"/>
        <v>1.1804861111111111</v>
      </c>
      <c r="R3331">
        <f t="shared" si="209"/>
        <v>42.497500000000002</v>
      </c>
      <c r="S3331">
        <f t="shared" si="210"/>
        <v>1.3631978351667744</v>
      </c>
      <c r="T3331">
        <f t="shared" si="211"/>
        <v>2.7777777777777776E-2</v>
      </c>
      <c r="U3331" t="str">
        <f>YEAR('Campaign Data'!$A3331)&amp;"-"&amp;TEXT(MONTH('Campaign Data'!$A3331),"00")</f>
        <v>2026-07</v>
      </c>
    </row>
    <row r="3332" spans="1:21" x14ac:dyDescent="0.25">
      <c r="A3332">
        <v>46204</v>
      </c>
      <c r="B3332" t="s">
        <v>159</v>
      </c>
      <c r="C3332" t="s">
        <v>160</v>
      </c>
      <c r="D3332" t="s">
        <v>65</v>
      </c>
      <c r="E3332" t="s">
        <v>42</v>
      </c>
      <c r="F3332" t="s">
        <v>75</v>
      </c>
      <c r="G3332" t="s">
        <v>54</v>
      </c>
      <c r="H3332" t="s">
        <v>90</v>
      </c>
      <c r="I3332" t="s">
        <v>37</v>
      </c>
      <c r="J3332" t="s">
        <v>29</v>
      </c>
      <c r="K3332">
        <v>3291</v>
      </c>
      <c r="L3332">
        <v>24</v>
      </c>
      <c r="M3332">
        <v>26.9</v>
      </c>
      <c r="N3332">
        <v>0</v>
      </c>
      <c r="O3332">
        <v>0</v>
      </c>
      <c r="P3332">
        <f t="shared" si="208"/>
        <v>7.2926162260711028E-3</v>
      </c>
      <c r="Q3332">
        <f t="shared" si="208"/>
        <v>1.1208333333333333</v>
      </c>
      <c r="R3332">
        <f t="shared" si="209"/>
        <v>0</v>
      </c>
      <c r="S3332">
        <f t="shared" si="210"/>
        <v>0</v>
      </c>
      <c r="T3332">
        <f t="shared" si="211"/>
        <v>0</v>
      </c>
      <c r="U3332" t="str">
        <f>YEAR('Campaign Data'!$A3332)&amp;"-"&amp;TEXT(MONTH('Campaign Data'!$A3332),"00")</f>
        <v>2026-07</v>
      </c>
    </row>
    <row r="3333" spans="1:21" x14ac:dyDescent="0.25">
      <c r="A3333">
        <v>46204</v>
      </c>
      <c r="B3333" t="s">
        <v>136</v>
      </c>
      <c r="C3333" t="s">
        <v>137</v>
      </c>
      <c r="D3333" t="s">
        <v>32</v>
      </c>
      <c r="E3333" t="s">
        <v>49</v>
      </c>
      <c r="F3333" t="s">
        <v>75</v>
      </c>
      <c r="G3333" t="s">
        <v>97</v>
      </c>
      <c r="H3333" t="s">
        <v>27</v>
      </c>
      <c r="I3333" t="s">
        <v>37</v>
      </c>
      <c r="J3333" t="s">
        <v>87</v>
      </c>
      <c r="K3333">
        <v>10926</v>
      </c>
      <c r="L3333">
        <v>488</v>
      </c>
      <c r="M3333">
        <v>1270.6400000000001</v>
      </c>
      <c r="N3333">
        <v>19</v>
      </c>
      <c r="O3333">
        <v>1180.79</v>
      </c>
      <c r="P3333">
        <f t="shared" si="208"/>
        <v>4.4664103972176461E-2</v>
      </c>
      <c r="Q3333">
        <f t="shared" si="208"/>
        <v>2.6037704918032789</v>
      </c>
      <c r="R3333">
        <f t="shared" si="209"/>
        <v>66.875789473684222</v>
      </c>
      <c r="S3333">
        <f t="shared" si="210"/>
        <v>0.92928760309765146</v>
      </c>
      <c r="T3333">
        <f t="shared" si="211"/>
        <v>3.8934426229508198E-2</v>
      </c>
      <c r="U3333" t="str">
        <f>YEAR('Campaign Data'!$A3333)&amp;"-"&amp;TEXT(MONTH('Campaign Data'!$A3333),"00")</f>
        <v>2026-07</v>
      </c>
    </row>
    <row r="3334" spans="1:21" x14ac:dyDescent="0.25">
      <c r="A3334">
        <v>46204</v>
      </c>
      <c r="B3334" t="s">
        <v>136</v>
      </c>
      <c r="C3334" t="s">
        <v>137</v>
      </c>
      <c r="D3334" t="s">
        <v>32</v>
      </c>
      <c r="E3334" t="s">
        <v>49</v>
      </c>
      <c r="F3334" t="s">
        <v>75</v>
      </c>
      <c r="G3334" t="s">
        <v>97</v>
      </c>
      <c r="H3334" t="s">
        <v>90</v>
      </c>
      <c r="I3334" t="s">
        <v>28</v>
      </c>
      <c r="J3334" t="s">
        <v>62</v>
      </c>
      <c r="K3334">
        <v>17168</v>
      </c>
      <c r="L3334">
        <v>1031</v>
      </c>
      <c r="M3334">
        <v>516.78</v>
      </c>
      <c r="N3334">
        <v>32</v>
      </c>
      <c r="O3334">
        <v>160.22</v>
      </c>
      <c r="P3334">
        <f t="shared" si="208"/>
        <v>6.0053588070829451E-2</v>
      </c>
      <c r="Q3334">
        <f t="shared" si="208"/>
        <v>0.50124151309408338</v>
      </c>
      <c r="R3334">
        <f t="shared" si="209"/>
        <v>16.149374999999999</v>
      </c>
      <c r="S3334">
        <f t="shared" si="210"/>
        <v>0.31003521808119511</v>
      </c>
      <c r="T3334">
        <f t="shared" si="211"/>
        <v>3.1037827352085354E-2</v>
      </c>
      <c r="U3334" t="str">
        <f>YEAR('Campaign Data'!$A3334)&amp;"-"&amp;TEXT(MONTH('Campaign Data'!$A3334),"00")</f>
        <v>2026-07</v>
      </c>
    </row>
    <row r="3335" spans="1:21" x14ac:dyDescent="0.25">
      <c r="A3335">
        <v>46204</v>
      </c>
      <c r="B3335" t="s">
        <v>116</v>
      </c>
      <c r="C3335" t="s">
        <v>117</v>
      </c>
      <c r="D3335" t="s">
        <v>48</v>
      </c>
      <c r="E3335" t="s">
        <v>24</v>
      </c>
      <c r="F3335" t="s">
        <v>43</v>
      </c>
      <c r="G3335" t="s">
        <v>26</v>
      </c>
      <c r="H3335" t="s">
        <v>36</v>
      </c>
      <c r="I3335" t="s">
        <v>28</v>
      </c>
      <c r="J3335" t="s">
        <v>29</v>
      </c>
      <c r="K3335">
        <v>8652</v>
      </c>
      <c r="L3335">
        <v>90</v>
      </c>
      <c r="M3335">
        <v>96.21</v>
      </c>
      <c r="N3335">
        <v>1</v>
      </c>
      <c r="O3335">
        <v>26.46</v>
      </c>
      <c r="P3335">
        <f t="shared" si="208"/>
        <v>1.0402219140083218E-2</v>
      </c>
      <c r="Q3335">
        <f t="shared" si="208"/>
        <v>1.069</v>
      </c>
      <c r="R3335">
        <f t="shared" si="209"/>
        <v>96.21</v>
      </c>
      <c r="S3335">
        <f t="shared" si="210"/>
        <v>0.27502338634237605</v>
      </c>
      <c r="T3335">
        <f t="shared" si="211"/>
        <v>1.1111111111111112E-2</v>
      </c>
      <c r="U3335" t="str">
        <f>YEAR('Campaign Data'!$A3335)&amp;"-"&amp;TEXT(MONTH('Campaign Data'!$A3335),"00")</f>
        <v>2026-07</v>
      </c>
    </row>
    <row r="3336" spans="1:21" x14ac:dyDescent="0.25">
      <c r="A3336">
        <v>46205</v>
      </c>
      <c r="B3336" t="s">
        <v>147</v>
      </c>
      <c r="C3336" t="s">
        <v>148</v>
      </c>
      <c r="D3336" t="s">
        <v>23</v>
      </c>
      <c r="E3336" t="s">
        <v>42</v>
      </c>
      <c r="F3336" t="s">
        <v>75</v>
      </c>
      <c r="G3336" t="s">
        <v>44</v>
      </c>
      <c r="H3336" t="s">
        <v>90</v>
      </c>
      <c r="I3336" t="s">
        <v>28</v>
      </c>
      <c r="J3336" t="s">
        <v>38</v>
      </c>
      <c r="K3336">
        <v>9476</v>
      </c>
      <c r="L3336">
        <v>89</v>
      </c>
      <c r="M3336">
        <v>98.23</v>
      </c>
      <c r="N3336">
        <v>3</v>
      </c>
      <c r="O3336">
        <v>37.31</v>
      </c>
      <c r="P3336">
        <f t="shared" si="208"/>
        <v>9.3921485859012246E-3</v>
      </c>
      <c r="Q3336">
        <f t="shared" si="208"/>
        <v>1.1037078651685395</v>
      </c>
      <c r="R3336">
        <f t="shared" si="209"/>
        <v>32.743333333333332</v>
      </c>
      <c r="S3336">
        <f t="shared" si="210"/>
        <v>0.37982286470528354</v>
      </c>
      <c r="T3336">
        <f t="shared" si="211"/>
        <v>3.3707865168539325E-2</v>
      </c>
      <c r="U3336" t="str">
        <f>YEAR('Campaign Data'!$A3336)&amp;"-"&amp;TEXT(MONTH('Campaign Data'!$A3336),"00")</f>
        <v>2026-07</v>
      </c>
    </row>
    <row r="3337" spans="1:21" x14ac:dyDescent="0.25">
      <c r="A3337">
        <v>46205</v>
      </c>
      <c r="B3337" t="s">
        <v>149</v>
      </c>
      <c r="C3337" t="s">
        <v>150</v>
      </c>
      <c r="D3337" t="s">
        <v>65</v>
      </c>
      <c r="E3337" t="s">
        <v>33</v>
      </c>
      <c r="F3337" t="s">
        <v>43</v>
      </c>
      <c r="G3337" t="s">
        <v>59</v>
      </c>
      <c r="H3337" t="s">
        <v>90</v>
      </c>
      <c r="I3337" t="s">
        <v>28</v>
      </c>
      <c r="J3337" t="s">
        <v>62</v>
      </c>
      <c r="K3337">
        <v>4456</v>
      </c>
      <c r="L3337">
        <v>28</v>
      </c>
      <c r="M3337">
        <v>4.88</v>
      </c>
      <c r="N3337">
        <v>0</v>
      </c>
      <c r="O3337">
        <v>0</v>
      </c>
      <c r="P3337">
        <f t="shared" si="208"/>
        <v>6.2836624775583485E-3</v>
      </c>
      <c r="Q3337">
        <f t="shared" si="208"/>
        <v>0.17428571428571429</v>
      </c>
      <c r="R3337">
        <f t="shared" si="209"/>
        <v>0</v>
      </c>
      <c r="S3337">
        <f t="shared" si="210"/>
        <v>0</v>
      </c>
      <c r="T3337">
        <f t="shared" si="211"/>
        <v>0</v>
      </c>
      <c r="U3337" t="str">
        <f>YEAR('Campaign Data'!$A3337)&amp;"-"&amp;TEXT(MONTH('Campaign Data'!$A3337),"00")</f>
        <v>2026-07</v>
      </c>
    </row>
    <row r="3338" spans="1:21" x14ac:dyDescent="0.25">
      <c r="A3338">
        <v>46205</v>
      </c>
      <c r="B3338" t="s">
        <v>186</v>
      </c>
      <c r="C3338" t="s">
        <v>187</v>
      </c>
      <c r="D3338" t="s">
        <v>80</v>
      </c>
      <c r="E3338" t="s">
        <v>33</v>
      </c>
      <c r="F3338" t="s">
        <v>43</v>
      </c>
      <c r="G3338" t="s">
        <v>102</v>
      </c>
      <c r="H3338" t="s">
        <v>51</v>
      </c>
      <c r="I3338" t="s">
        <v>37</v>
      </c>
      <c r="J3338" t="s">
        <v>29</v>
      </c>
      <c r="K3338">
        <v>9594</v>
      </c>
      <c r="L3338">
        <v>95</v>
      </c>
      <c r="M3338">
        <v>52.01</v>
      </c>
      <c r="N3338">
        <v>2</v>
      </c>
      <c r="O3338">
        <v>48.92</v>
      </c>
      <c r="P3338">
        <f t="shared" si="208"/>
        <v>9.9020220971440479E-3</v>
      </c>
      <c r="Q3338">
        <f t="shared" si="208"/>
        <v>0.54747368421052633</v>
      </c>
      <c r="R3338">
        <f t="shared" si="209"/>
        <v>26.004999999999999</v>
      </c>
      <c r="S3338">
        <f t="shared" si="210"/>
        <v>0.94058834839453953</v>
      </c>
      <c r="T3338">
        <f t="shared" si="211"/>
        <v>2.1052631578947368E-2</v>
      </c>
      <c r="U3338" t="str">
        <f>YEAR('Campaign Data'!$A3338)&amp;"-"&amp;TEXT(MONTH('Campaign Data'!$A3338),"00")</f>
        <v>2026-07</v>
      </c>
    </row>
    <row r="3339" spans="1:21" x14ac:dyDescent="0.25">
      <c r="A3339">
        <v>46205</v>
      </c>
      <c r="B3339" t="s">
        <v>39</v>
      </c>
      <c r="C3339" t="s">
        <v>40</v>
      </c>
      <c r="D3339" t="s">
        <v>41</v>
      </c>
      <c r="E3339" t="s">
        <v>42</v>
      </c>
      <c r="F3339" t="s">
        <v>43</v>
      </c>
      <c r="G3339" t="s">
        <v>44</v>
      </c>
      <c r="H3339" t="s">
        <v>60</v>
      </c>
      <c r="I3339" t="s">
        <v>37</v>
      </c>
      <c r="J3339" t="s">
        <v>38</v>
      </c>
      <c r="K3339">
        <v>5925</v>
      </c>
      <c r="L3339">
        <v>53</v>
      </c>
      <c r="M3339">
        <v>261.89</v>
      </c>
      <c r="N3339">
        <v>2</v>
      </c>
      <c r="O3339">
        <v>33.15</v>
      </c>
      <c r="P3339">
        <f t="shared" si="208"/>
        <v>8.9451476793248937E-3</v>
      </c>
      <c r="Q3339">
        <f t="shared" si="208"/>
        <v>4.9413207547169806</v>
      </c>
      <c r="R3339">
        <f t="shared" si="209"/>
        <v>130.94499999999999</v>
      </c>
      <c r="S3339">
        <f t="shared" si="210"/>
        <v>0.12657986177402727</v>
      </c>
      <c r="T3339">
        <f t="shared" si="211"/>
        <v>3.7735849056603772E-2</v>
      </c>
      <c r="U3339" t="str">
        <f>YEAR('Campaign Data'!$A3339)&amp;"-"&amp;TEXT(MONTH('Campaign Data'!$A3339),"00")</f>
        <v>2026-07</v>
      </c>
    </row>
    <row r="3340" spans="1:21" x14ac:dyDescent="0.25">
      <c r="A3340">
        <v>46205</v>
      </c>
      <c r="B3340" t="s">
        <v>52</v>
      </c>
      <c r="C3340" t="s">
        <v>53</v>
      </c>
      <c r="D3340" t="s">
        <v>32</v>
      </c>
      <c r="E3340" t="s">
        <v>42</v>
      </c>
      <c r="F3340" t="s">
        <v>25</v>
      </c>
      <c r="G3340" t="s">
        <v>54</v>
      </c>
      <c r="H3340" t="s">
        <v>90</v>
      </c>
      <c r="I3340" t="s">
        <v>28</v>
      </c>
      <c r="J3340" t="s">
        <v>87</v>
      </c>
      <c r="K3340">
        <v>2434</v>
      </c>
      <c r="L3340">
        <v>8</v>
      </c>
      <c r="M3340">
        <v>13.37</v>
      </c>
      <c r="N3340">
        <v>1</v>
      </c>
      <c r="O3340">
        <v>59.84</v>
      </c>
      <c r="P3340">
        <f t="shared" si="208"/>
        <v>3.286770747740345E-3</v>
      </c>
      <c r="Q3340">
        <f t="shared" si="208"/>
        <v>1.6712499999999999</v>
      </c>
      <c r="R3340">
        <f t="shared" si="209"/>
        <v>13.37</v>
      </c>
      <c r="S3340">
        <f t="shared" si="210"/>
        <v>4.475691847419597</v>
      </c>
      <c r="T3340">
        <f t="shared" si="211"/>
        <v>0.125</v>
      </c>
      <c r="U3340" t="str">
        <f>YEAR('Campaign Data'!$A3340)&amp;"-"&amp;TEXT(MONTH('Campaign Data'!$A3340),"00")</f>
        <v>2026-07</v>
      </c>
    </row>
    <row r="3341" spans="1:21" x14ac:dyDescent="0.25">
      <c r="A3341">
        <v>46205</v>
      </c>
      <c r="B3341" t="s">
        <v>169</v>
      </c>
      <c r="C3341" t="s">
        <v>170</v>
      </c>
      <c r="D3341" t="s">
        <v>58</v>
      </c>
      <c r="E3341" t="s">
        <v>74</v>
      </c>
      <c r="F3341" t="s">
        <v>75</v>
      </c>
      <c r="G3341" t="s">
        <v>9</v>
      </c>
      <c r="H3341" t="s">
        <v>27</v>
      </c>
      <c r="I3341" t="s">
        <v>37</v>
      </c>
      <c r="J3341" t="s">
        <v>62</v>
      </c>
      <c r="K3341">
        <v>9025</v>
      </c>
      <c r="L3341">
        <v>408</v>
      </c>
      <c r="M3341">
        <v>622.6</v>
      </c>
      <c r="N3341">
        <v>22</v>
      </c>
      <c r="O3341">
        <v>1089.5999999999999</v>
      </c>
      <c r="P3341">
        <f t="shared" si="208"/>
        <v>4.5207756232686983E-2</v>
      </c>
      <c r="Q3341">
        <f t="shared" si="208"/>
        <v>1.5259803921568629</v>
      </c>
      <c r="R3341">
        <f t="shared" si="209"/>
        <v>28.3</v>
      </c>
      <c r="S3341">
        <f t="shared" si="210"/>
        <v>1.7500803083841951</v>
      </c>
      <c r="T3341">
        <f t="shared" si="211"/>
        <v>5.3921568627450983E-2</v>
      </c>
      <c r="U3341" t="str">
        <f>YEAR('Campaign Data'!$A3341)&amp;"-"&amp;TEXT(MONTH('Campaign Data'!$A3341),"00")</f>
        <v>2026-07</v>
      </c>
    </row>
    <row r="3342" spans="1:21" x14ac:dyDescent="0.25">
      <c r="A3342">
        <v>46205</v>
      </c>
      <c r="B3342" t="s">
        <v>169</v>
      </c>
      <c r="C3342" t="s">
        <v>170</v>
      </c>
      <c r="D3342" t="s">
        <v>58</v>
      </c>
      <c r="E3342" t="s">
        <v>74</v>
      </c>
      <c r="F3342" t="s">
        <v>75</v>
      </c>
      <c r="G3342" t="s">
        <v>9</v>
      </c>
      <c r="H3342" t="s">
        <v>27</v>
      </c>
      <c r="I3342" t="s">
        <v>61</v>
      </c>
      <c r="J3342" t="s">
        <v>87</v>
      </c>
      <c r="K3342">
        <v>6128</v>
      </c>
      <c r="L3342">
        <v>211</v>
      </c>
      <c r="M3342">
        <v>438.22</v>
      </c>
      <c r="N3342">
        <v>3</v>
      </c>
      <c r="O3342">
        <v>124.72</v>
      </c>
      <c r="P3342">
        <f t="shared" si="208"/>
        <v>3.4432114882506526E-2</v>
      </c>
      <c r="Q3342">
        <f t="shared" si="208"/>
        <v>2.0768720379146921</v>
      </c>
      <c r="R3342">
        <f t="shared" si="209"/>
        <v>146.07333333333335</v>
      </c>
      <c r="S3342">
        <f t="shared" si="210"/>
        <v>0.28460590570946098</v>
      </c>
      <c r="T3342">
        <f t="shared" si="211"/>
        <v>1.4218009478672985E-2</v>
      </c>
      <c r="U3342" t="str">
        <f>YEAR('Campaign Data'!$A3342)&amp;"-"&amp;TEXT(MONTH('Campaign Data'!$A3342),"00")</f>
        <v>2026-07</v>
      </c>
    </row>
    <row r="3343" spans="1:21" x14ac:dyDescent="0.25">
      <c r="A3343">
        <v>46205</v>
      </c>
      <c r="B3343" t="s">
        <v>103</v>
      </c>
      <c r="C3343" t="s">
        <v>104</v>
      </c>
      <c r="D3343" t="s">
        <v>65</v>
      </c>
      <c r="E3343" t="s">
        <v>33</v>
      </c>
      <c r="F3343" t="s">
        <v>43</v>
      </c>
      <c r="G3343" t="s">
        <v>102</v>
      </c>
      <c r="H3343" t="s">
        <v>71</v>
      </c>
      <c r="I3343" t="s">
        <v>37</v>
      </c>
      <c r="J3343" t="s">
        <v>29</v>
      </c>
      <c r="K3343">
        <v>8954</v>
      </c>
      <c r="L3343">
        <v>119</v>
      </c>
      <c r="M3343">
        <v>68.680000000000007</v>
      </c>
      <c r="N3343">
        <v>3</v>
      </c>
      <c r="O3343">
        <v>59.56</v>
      </c>
      <c r="P3343">
        <f t="shared" si="208"/>
        <v>1.3290149653786018E-2</v>
      </c>
      <c r="Q3343">
        <f t="shared" si="208"/>
        <v>0.57714285714285718</v>
      </c>
      <c r="R3343">
        <f t="shared" si="209"/>
        <v>22.893333333333334</v>
      </c>
      <c r="S3343">
        <f t="shared" si="210"/>
        <v>0.86721025043680833</v>
      </c>
      <c r="T3343">
        <f t="shared" si="211"/>
        <v>2.5210084033613446E-2</v>
      </c>
      <c r="U3343" t="str">
        <f>YEAR('Campaign Data'!$A3343)&amp;"-"&amp;TEXT(MONTH('Campaign Data'!$A3343),"00")</f>
        <v>2026-07</v>
      </c>
    </row>
    <row r="3344" spans="1:21" x14ac:dyDescent="0.25">
      <c r="A3344">
        <v>46205</v>
      </c>
      <c r="B3344" t="s">
        <v>177</v>
      </c>
      <c r="C3344" t="s">
        <v>178</v>
      </c>
      <c r="D3344" t="s">
        <v>41</v>
      </c>
      <c r="E3344" t="s">
        <v>49</v>
      </c>
      <c r="F3344" t="s">
        <v>34</v>
      </c>
      <c r="G3344" t="s">
        <v>107</v>
      </c>
      <c r="H3344" t="s">
        <v>36</v>
      </c>
      <c r="I3344" t="s">
        <v>37</v>
      </c>
      <c r="J3344" t="s">
        <v>29</v>
      </c>
      <c r="K3344">
        <v>5423</v>
      </c>
      <c r="L3344">
        <v>275</v>
      </c>
      <c r="M3344">
        <v>461.22</v>
      </c>
      <c r="N3344">
        <v>15</v>
      </c>
      <c r="O3344">
        <v>1890.33</v>
      </c>
      <c r="P3344">
        <f t="shared" si="208"/>
        <v>5.0709939148073022E-2</v>
      </c>
      <c r="Q3344">
        <f t="shared" si="208"/>
        <v>1.6771636363636364</v>
      </c>
      <c r="R3344">
        <f t="shared" si="209"/>
        <v>30.748000000000001</v>
      </c>
      <c r="S3344">
        <f t="shared" si="210"/>
        <v>4.0985429946663192</v>
      </c>
      <c r="T3344">
        <f t="shared" si="211"/>
        <v>5.4545454545454543E-2</v>
      </c>
      <c r="U3344" t="str">
        <f>YEAR('Campaign Data'!$A3344)&amp;"-"&amp;TEXT(MONTH('Campaign Data'!$A3344),"00")</f>
        <v>2026-07</v>
      </c>
    </row>
    <row r="3345" spans="1:21" x14ac:dyDescent="0.25">
      <c r="A3345">
        <v>46205</v>
      </c>
      <c r="B3345" t="s">
        <v>171</v>
      </c>
      <c r="C3345" t="s">
        <v>172</v>
      </c>
      <c r="D3345" t="s">
        <v>23</v>
      </c>
      <c r="E3345" t="s">
        <v>33</v>
      </c>
      <c r="F3345" t="s">
        <v>75</v>
      </c>
      <c r="G3345" t="s">
        <v>59</v>
      </c>
      <c r="H3345" t="s">
        <v>51</v>
      </c>
      <c r="I3345" t="s">
        <v>37</v>
      </c>
      <c r="J3345" t="s">
        <v>87</v>
      </c>
      <c r="K3345">
        <v>11967</v>
      </c>
      <c r="L3345">
        <v>75</v>
      </c>
      <c r="M3345">
        <v>35.36</v>
      </c>
      <c r="N3345">
        <v>3</v>
      </c>
      <c r="O3345">
        <v>78.06</v>
      </c>
      <c r="P3345">
        <f t="shared" si="208"/>
        <v>6.2672348959639012E-3</v>
      </c>
      <c r="Q3345">
        <f t="shared" si="208"/>
        <v>0.47146666666666665</v>
      </c>
      <c r="R3345">
        <f t="shared" si="209"/>
        <v>11.786666666666667</v>
      </c>
      <c r="S3345">
        <f t="shared" si="210"/>
        <v>2.2075791855203621</v>
      </c>
      <c r="T3345">
        <f t="shared" si="211"/>
        <v>0.04</v>
      </c>
      <c r="U3345" t="str">
        <f>YEAR('Campaign Data'!$A3345)&amp;"-"&amp;TEXT(MONTH('Campaign Data'!$A3345),"00")</f>
        <v>2026-07</v>
      </c>
    </row>
    <row r="3346" spans="1:21" x14ac:dyDescent="0.25">
      <c r="A3346">
        <v>46205</v>
      </c>
      <c r="B3346" t="s">
        <v>140</v>
      </c>
      <c r="C3346" t="s">
        <v>40</v>
      </c>
      <c r="D3346" t="s">
        <v>41</v>
      </c>
      <c r="E3346" t="s">
        <v>42</v>
      </c>
      <c r="F3346" t="s">
        <v>43</v>
      </c>
      <c r="G3346" t="s">
        <v>44</v>
      </c>
      <c r="H3346" t="s">
        <v>90</v>
      </c>
      <c r="I3346" t="s">
        <v>28</v>
      </c>
      <c r="J3346" t="s">
        <v>62</v>
      </c>
      <c r="K3346">
        <v>10523</v>
      </c>
      <c r="L3346">
        <v>90</v>
      </c>
      <c r="M3346">
        <v>134.63999999999999</v>
      </c>
      <c r="N3346">
        <v>2</v>
      </c>
      <c r="O3346">
        <v>10</v>
      </c>
      <c r="P3346">
        <f t="shared" si="208"/>
        <v>8.5526940986410723E-3</v>
      </c>
      <c r="Q3346">
        <f t="shared" si="208"/>
        <v>1.4959999999999998</v>
      </c>
      <c r="R3346">
        <f t="shared" si="209"/>
        <v>67.319999999999993</v>
      </c>
      <c r="S3346">
        <f t="shared" si="210"/>
        <v>7.427213309566251E-2</v>
      </c>
      <c r="T3346">
        <f t="shared" si="211"/>
        <v>2.2222222222222223E-2</v>
      </c>
      <c r="U3346" t="str">
        <f>YEAR('Campaign Data'!$A3346)&amp;"-"&amp;TEXT(MONTH('Campaign Data'!$A3346),"00")</f>
        <v>2026-07</v>
      </c>
    </row>
    <row r="3347" spans="1:21" x14ac:dyDescent="0.25">
      <c r="A3347">
        <v>46205</v>
      </c>
      <c r="B3347" t="s">
        <v>112</v>
      </c>
      <c r="C3347" t="s">
        <v>113</v>
      </c>
      <c r="D3347" t="s">
        <v>32</v>
      </c>
      <c r="E3347" t="s">
        <v>24</v>
      </c>
      <c r="F3347" t="s">
        <v>75</v>
      </c>
      <c r="G3347" t="s">
        <v>66</v>
      </c>
      <c r="H3347" t="s">
        <v>90</v>
      </c>
      <c r="I3347" t="s">
        <v>37</v>
      </c>
      <c r="J3347" t="s">
        <v>45</v>
      </c>
      <c r="K3347">
        <v>8692</v>
      </c>
      <c r="L3347">
        <v>126</v>
      </c>
      <c r="M3347">
        <v>28.67</v>
      </c>
      <c r="N3347">
        <v>3</v>
      </c>
      <c r="O3347">
        <v>23.02</v>
      </c>
      <c r="P3347">
        <f t="shared" si="208"/>
        <v>1.4496088357109986E-2</v>
      </c>
      <c r="Q3347">
        <f t="shared" si="208"/>
        <v>0.22753968253968254</v>
      </c>
      <c r="R3347">
        <f t="shared" si="209"/>
        <v>9.5566666666666666</v>
      </c>
      <c r="S3347">
        <f t="shared" si="210"/>
        <v>0.80292989187303798</v>
      </c>
      <c r="T3347">
        <f t="shared" si="211"/>
        <v>2.3809523809523808E-2</v>
      </c>
      <c r="U3347" t="str">
        <f>YEAR('Campaign Data'!$A3347)&amp;"-"&amp;TEXT(MONTH('Campaign Data'!$A3347),"00")</f>
        <v>2026-07</v>
      </c>
    </row>
    <row r="3348" spans="1:21" x14ac:dyDescent="0.25">
      <c r="A3348">
        <v>46205</v>
      </c>
      <c r="B3348" t="s">
        <v>161</v>
      </c>
      <c r="C3348" t="s">
        <v>162</v>
      </c>
      <c r="D3348" t="s">
        <v>48</v>
      </c>
      <c r="E3348" t="s">
        <v>74</v>
      </c>
      <c r="F3348" t="s">
        <v>34</v>
      </c>
      <c r="G3348" t="s">
        <v>107</v>
      </c>
      <c r="H3348" t="s">
        <v>71</v>
      </c>
      <c r="I3348" t="s">
        <v>61</v>
      </c>
      <c r="J3348" t="s">
        <v>38</v>
      </c>
      <c r="K3348">
        <v>2252</v>
      </c>
      <c r="L3348">
        <v>61</v>
      </c>
      <c r="M3348">
        <v>64.67</v>
      </c>
      <c r="N3348">
        <v>2</v>
      </c>
      <c r="O3348">
        <v>185.56</v>
      </c>
      <c r="P3348">
        <f t="shared" si="208"/>
        <v>2.7087033747779751E-2</v>
      </c>
      <c r="Q3348">
        <f t="shared" si="208"/>
        <v>1.0601639344262295</v>
      </c>
      <c r="R3348">
        <f t="shared" si="209"/>
        <v>32.335000000000001</v>
      </c>
      <c r="S3348">
        <f t="shared" si="210"/>
        <v>2.8693366321323643</v>
      </c>
      <c r="T3348">
        <f t="shared" si="211"/>
        <v>3.2786885245901641E-2</v>
      </c>
      <c r="U3348" t="str">
        <f>YEAR('Campaign Data'!$A3348)&amp;"-"&amp;TEXT(MONTH('Campaign Data'!$A3348),"00")</f>
        <v>2026-07</v>
      </c>
    </row>
    <row r="3349" spans="1:21" x14ac:dyDescent="0.25">
      <c r="A3349">
        <v>46205</v>
      </c>
      <c r="B3349" t="s">
        <v>114</v>
      </c>
      <c r="C3349" t="s">
        <v>115</v>
      </c>
      <c r="D3349" t="s">
        <v>69</v>
      </c>
      <c r="E3349" t="s">
        <v>49</v>
      </c>
      <c r="F3349" t="s">
        <v>25</v>
      </c>
      <c r="G3349" t="s">
        <v>107</v>
      </c>
      <c r="H3349" t="s">
        <v>55</v>
      </c>
      <c r="I3349" t="s">
        <v>37</v>
      </c>
      <c r="J3349" t="s">
        <v>62</v>
      </c>
      <c r="K3349">
        <v>3030</v>
      </c>
      <c r="L3349">
        <v>207</v>
      </c>
      <c r="M3349">
        <v>489.79</v>
      </c>
      <c r="N3349">
        <v>17</v>
      </c>
      <c r="O3349">
        <v>2851.55</v>
      </c>
      <c r="P3349">
        <f t="shared" si="208"/>
        <v>6.8316831683168322E-2</v>
      </c>
      <c r="Q3349">
        <f t="shared" si="208"/>
        <v>2.3661352657004833</v>
      </c>
      <c r="R3349">
        <f t="shared" si="209"/>
        <v>28.811176470588236</v>
      </c>
      <c r="S3349">
        <f t="shared" si="210"/>
        <v>5.8219849323179327</v>
      </c>
      <c r="T3349">
        <f t="shared" si="211"/>
        <v>8.2125603864734303E-2</v>
      </c>
      <c r="U3349" t="str">
        <f>YEAR('Campaign Data'!$A3349)&amp;"-"&amp;TEXT(MONTH('Campaign Data'!$A3349),"00")</f>
        <v>2026-07</v>
      </c>
    </row>
    <row r="3350" spans="1:21" x14ac:dyDescent="0.25">
      <c r="A3350">
        <v>46205</v>
      </c>
      <c r="B3350" t="s">
        <v>136</v>
      </c>
      <c r="C3350" t="s">
        <v>137</v>
      </c>
      <c r="D3350" t="s">
        <v>32</v>
      </c>
      <c r="E3350" t="s">
        <v>49</v>
      </c>
      <c r="F3350" t="s">
        <v>75</v>
      </c>
      <c r="G3350" t="s">
        <v>97</v>
      </c>
      <c r="H3350" t="s">
        <v>71</v>
      </c>
      <c r="I3350" t="s">
        <v>28</v>
      </c>
      <c r="J3350" t="s">
        <v>29</v>
      </c>
      <c r="K3350">
        <v>4039</v>
      </c>
      <c r="L3350">
        <v>200</v>
      </c>
      <c r="M3350">
        <v>336.45</v>
      </c>
      <c r="N3350">
        <v>11</v>
      </c>
      <c r="O3350">
        <v>297.5</v>
      </c>
      <c r="P3350">
        <f t="shared" si="208"/>
        <v>4.9517207229512257E-2</v>
      </c>
      <c r="Q3350">
        <f t="shared" si="208"/>
        <v>1.68225</v>
      </c>
      <c r="R3350">
        <f t="shared" si="209"/>
        <v>30.586363636363636</v>
      </c>
      <c r="S3350">
        <f t="shared" si="210"/>
        <v>0.88423242680933278</v>
      </c>
      <c r="T3350">
        <f t="shared" si="211"/>
        <v>5.5E-2</v>
      </c>
      <c r="U3350" t="str">
        <f>YEAR('Campaign Data'!$A3350)&amp;"-"&amp;TEXT(MONTH('Campaign Data'!$A3350),"00")</f>
        <v>2026-07</v>
      </c>
    </row>
    <row r="3351" spans="1:21" x14ac:dyDescent="0.25">
      <c r="A3351">
        <v>46205</v>
      </c>
      <c r="B3351" t="s">
        <v>143</v>
      </c>
      <c r="C3351" t="s">
        <v>144</v>
      </c>
      <c r="D3351" t="s">
        <v>48</v>
      </c>
      <c r="E3351" t="s">
        <v>42</v>
      </c>
      <c r="F3351" t="s">
        <v>25</v>
      </c>
      <c r="G3351" t="s">
        <v>84</v>
      </c>
      <c r="H3351" t="s">
        <v>60</v>
      </c>
      <c r="I3351" t="s">
        <v>37</v>
      </c>
      <c r="J3351" t="s">
        <v>38</v>
      </c>
      <c r="K3351">
        <v>11181</v>
      </c>
      <c r="L3351">
        <v>80</v>
      </c>
      <c r="M3351">
        <v>304.58</v>
      </c>
      <c r="N3351">
        <v>4</v>
      </c>
      <c r="O3351">
        <v>465.61</v>
      </c>
      <c r="P3351">
        <f t="shared" si="208"/>
        <v>7.1549950809408815E-3</v>
      </c>
      <c r="Q3351">
        <f t="shared" si="208"/>
        <v>3.8072499999999998</v>
      </c>
      <c r="R3351">
        <f t="shared" si="209"/>
        <v>76.144999999999996</v>
      </c>
      <c r="S3351">
        <f t="shared" si="210"/>
        <v>1.5286952524788233</v>
      </c>
      <c r="T3351">
        <f t="shared" si="211"/>
        <v>0.05</v>
      </c>
      <c r="U3351" t="str">
        <f>YEAR('Campaign Data'!$A3351)&amp;"-"&amp;TEXT(MONTH('Campaign Data'!$A3351),"00")</f>
        <v>2026-07</v>
      </c>
    </row>
    <row r="3352" spans="1:21" x14ac:dyDescent="0.25">
      <c r="A3352">
        <v>46205</v>
      </c>
      <c r="B3352" t="s">
        <v>63</v>
      </c>
      <c r="C3352" t="s">
        <v>64</v>
      </c>
      <c r="D3352" t="s">
        <v>65</v>
      </c>
      <c r="E3352" t="s">
        <v>24</v>
      </c>
      <c r="F3352" t="s">
        <v>43</v>
      </c>
      <c r="G3352" t="s">
        <v>66</v>
      </c>
      <c r="H3352" t="s">
        <v>90</v>
      </c>
      <c r="I3352" t="s">
        <v>37</v>
      </c>
      <c r="J3352" t="s">
        <v>29</v>
      </c>
      <c r="K3352">
        <v>4533</v>
      </c>
      <c r="L3352">
        <v>76</v>
      </c>
      <c r="M3352">
        <v>31.03</v>
      </c>
      <c r="N3352">
        <v>1</v>
      </c>
      <c r="O3352">
        <v>5.92</v>
      </c>
      <c r="P3352">
        <f t="shared" si="208"/>
        <v>1.6765938671961175E-2</v>
      </c>
      <c r="Q3352">
        <f t="shared" si="208"/>
        <v>0.40828947368421054</v>
      </c>
      <c r="R3352">
        <f t="shared" si="209"/>
        <v>31.03</v>
      </c>
      <c r="S3352">
        <f t="shared" si="210"/>
        <v>0.19078311311633903</v>
      </c>
      <c r="T3352">
        <f t="shared" si="211"/>
        <v>1.3157894736842105E-2</v>
      </c>
      <c r="U3352" t="str">
        <f>YEAR('Campaign Data'!$A3352)&amp;"-"&amp;TEXT(MONTH('Campaign Data'!$A3352),"00")</f>
        <v>2026-07</v>
      </c>
    </row>
    <row r="3353" spans="1:21" x14ac:dyDescent="0.25">
      <c r="A3353">
        <v>46205</v>
      </c>
      <c r="B3353" t="s">
        <v>72</v>
      </c>
      <c r="C3353" t="s">
        <v>73</v>
      </c>
      <c r="D3353" t="s">
        <v>69</v>
      </c>
      <c r="E3353" t="s">
        <v>74</v>
      </c>
      <c r="F3353" t="s">
        <v>75</v>
      </c>
      <c r="G3353" t="s">
        <v>9</v>
      </c>
      <c r="H3353" t="s">
        <v>90</v>
      </c>
      <c r="I3353" t="s">
        <v>37</v>
      </c>
      <c r="J3353" t="s">
        <v>45</v>
      </c>
      <c r="K3353">
        <v>1490</v>
      </c>
      <c r="L3353">
        <v>29</v>
      </c>
      <c r="M3353">
        <v>11.92</v>
      </c>
      <c r="N3353">
        <v>1</v>
      </c>
      <c r="O3353">
        <v>12.71</v>
      </c>
      <c r="P3353">
        <f t="shared" si="208"/>
        <v>1.9463087248322148E-2</v>
      </c>
      <c r="Q3353">
        <f t="shared" si="208"/>
        <v>0.4110344827586207</v>
      </c>
      <c r="R3353">
        <f t="shared" si="209"/>
        <v>11.92</v>
      </c>
      <c r="S3353">
        <f t="shared" si="210"/>
        <v>1.0662751677852349</v>
      </c>
      <c r="T3353">
        <f t="shared" si="211"/>
        <v>3.4482758620689655E-2</v>
      </c>
      <c r="U3353" t="str">
        <f>YEAR('Campaign Data'!$A3353)&amp;"-"&amp;TEXT(MONTH('Campaign Data'!$A3353),"00")</f>
        <v>2026-07</v>
      </c>
    </row>
    <row r="3354" spans="1:21" x14ac:dyDescent="0.25">
      <c r="A3354">
        <v>46205</v>
      </c>
      <c r="B3354" t="s">
        <v>145</v>
      </c>
      <c r="C3354" t="s">
        <v>146</v>
      </c>
      <c r="D3354" t="s">
        <v>41</v>
      </c>
      <c r="E3354" t="s">
        <v>49</v>
      </c>
      <c r="F3354" t="s">
        <v>75</v>
      </c>
      <c r="G3354" t="s">
        <v>70</v>
      </c>
      <c r="H3354" t="s">
        <v>90</v>
      </c>
      <c r="I3354" t="s">
        <v>37</v>
      </c>
      <c r="J3354" t="s">
        <v>45</v>
      </c>
      <c r="K3354">
        <v>10039</v>
      </c>
      <c r="L3354">
        <v>523</v>
      </c>
      <c r="M3354">
        <v>281.97000000000003</v>
      </c>
      <c r="N3354">
        <v>15</v>
      </c>
      <c r="O3354">
        <v>75</v>
      </c>
      <c r="P3354">
        <f t="shared" si="208"/>
        <v>5.2096822392668593E-2</v>
      </c>
      <c r="Q3354">
        <f t="shared" si="208"/>
        <v>0.53913957934990442</v>
      </c>
      <c r="R3354">
        <f t="shared" si="209"/>
        <v>18.798000000000002</v>
      </c>
      <c r="S3354">
        <f t="shared" si="210"/>
        <v>0.2659857431641664</v>
      </c>
      <c r="T3354">
        <f t="shared" si="211"/>
        <v>2.8680688336520075E-2</v>
      </c>
      <c r="U3354" t="str">
        <f>YEAR('Campaign Data'!$A3354)&amp;"-"&amp;TEXT(MONTH('Campaign Data'!$A3354),"00")</f>
        <v>2026-07</v>
      </c>
    </row>
    <row r="3355" spans="1:21" x14ac:dyDescent="0.25">
      <c r="A3355">
        <v>46205</v>
      </c>
      <c r="B3355" t="s">
        <v>78</v>
      </c>
      <c r="C3355" t="s">
        <v>79</v>
      </c>
      <c r="D3355" t="s">
        <v>80</v>
      </c>
      <c r="E3355" t="s">
        <v>24</v>
      </c>
      <c r="F3355" t="s">
        <v>81</v>
      </c>
      <c r="G3355" t="s">
        <v>66</v>
      </c>
      <c r="H3355" t="s">
        <v>60</v>
      </c>
      <c r="I3355" t="s">
        <v>28</v>
      </c>
      <c r="J3355" t="s">
        <v>29</v>
      </c>
      <c r="K3355">
        <v>5908</v>
      </c>
      <c r="L3355">
        <v>64</v>
      </c>
      <c r="M3355">
        <v>49.86</v>
      </c>
      <c r="N3355">
        <v>1</v>
      </c>
      <c r="O3355">
        <v>11.2</v>
      </c>
      <c r="P3355">
        <f t="shared" si="208"/>
        <v>1.0832769126607989E-2</v>
      </c>
      <c r="Q3355">
        <f t="shared" si="208"/>
        <v>0.77906249999999999</v>
      </c>
      <c r="R3355">
        <f t="shared" si="209"/>
        <v>49.86</v>
      </c>
      <c r="S3355">
        <f t="shared" si="210"/>
        <v>0.22462896109105493</v>
      </c>
      <c r="T3355">
        <f t="shared" si="211"/>
        <v>1.5625E-2</v>
      </c>
      <c r="U3355" t="str">
        <f>YEAR('Campaign Data'!$A3355)&amp;"-"&amp;TEXT(MONTH('Campaign Data'!$A3355),"00")</f>
        <v>2026-07</v>
      </c>
    </row>
    <row r="3356" spans="1:21" x14ac:dyDescent="0.25">
      <c r="A3356">
        <v>46205</v>
      </c>
      <c r="B3356" t="s">
        <v>78</v>
      </c>
      <c r="C3356" t="s">
        <v>79</v>
      </c>
      <c r="D3356" t="s">
        <v>80</v>
      </c>
      <c r="E3356" t="s">
        <v>24</v>
      </c>
      <c r="F3356" t="s">
        <v>81</v>
      </c>
      <c r="G3356" t="s">
        <v>66</v>
      </c>
      <c r="H3356" t="s">
        <v>90</v>
      </c>
      <c r="I3356" t="s">
        <v>28</v>
      </c>
      <c r="J3356" t="s">
        <v>29</v>
      </c>
      <c r="K3356">
        <v>15381</v>
      </c>
      <c r="L3356">
        <v>126</v>
      </c>
      <c r="M3356">
        <v>35.54</v>
      </c>
      <c r="N3356">
        <v>2</v>
      </c>
      <c r="O3356">
        <v>10</v>
      </c>
      <c r="P3356">
        <f t="shared" si="208"/>
        <v>8.1919251023990641E-3</v>
      </c>
      <c r="Q3356">
        <f t="shared" si="208"/>
        <v>0.28206349206349207</v>
      </c>
      <c r="R3356">
        <f t="shared" si="209"/>
        <v>17.77</v>
      </c>
      <c r="S3356">
        <f t="shared" si="210"/>
        <v>0.28137310073157007</v>
      </c>
      <c r="T3356">
        <f t="shared" si="211"/>
        <v>1.5873015873015872E-2</v>
      </c>
      <c r="U3356" t="str">
        <f>YEAR('Campaign Data'!$A3356)&amp;"-"&amp;TEXT(MONTH('Campaign Data'!$A3356),"00")</f>
        <v>2026-07</v>
      </c>
    </row>
    <row r="3357" spans="1:21" x14ac:dyDescent="0.25">
      <c r="A3357">
        <v>46206</v>
      </c>
      <c r="B3357" t="s">
        <v>138</v>
      </c>
      <c r="C3357" t="s">
        <v>139</v>
      </c>
      <c r="D3357" t="s">
        <v>58</v>
      </c>
      <c r="E3357" t="s">
        <v>74</v>
      </c>
      <c r="F3357" t="s">
        <v>34</v>
      </c>
      <c r="G3357" t="s">
        <v>9</v>
      </c>
      <c r="H3357" t="s">
        <v>27</v>
      </c>
      <c r="I3357" t="s">
        <v>28</v>
      </c>
      <c r="J3357" t="s">
        <v>87</v>
      </c>
      <c r="K3357">
        <v>14473</v>
      </c>
      <c r="L3357">
        <v>356</v>
      </c>
      <c r="M3357">
        <v>557.61</v>
      </c>
      <c r="N3357">
        <v>17</v>
      </c>
      <c r="O3357">
        <v>3328.34</v>
      </c>
      <c r="P3357">
        <f t="shared" si="208"/>
        <v>2.4597526428522077E-2</v>
      </c>
      <c r="Q3357">
        <f t="shared" si="208"/>
        <v>1.5663202247191013</v>
      </c>
      <c r="R3357">
        <f t="shared" si="209"/>
        <v>32.800588235294121</v>
      </c>
      <c r="S3357">
        <f t="shared" si="210"/>
        <v>5.9689388640806298</v>
      </c>
      <c r="T3357">
        <f t="shared" si="211"/>
        <v>4.7752808988764044E-2</v>
      </c>
      <c r="U3357" t="str">
        <f>YEAR('Campaign Data'!$A3357)&amp;"-"&amp;TEXT(MONTH('Campaign Data'!$A3357),"00")</f>
        <v>2026-07</v>
      </c>
    </row>
    <row r="3358" spans="1:21" x14ac:dyDescent="0.25">
      <c r="A3358">
        <v>46206</v>
      </c>
      <c r="B3358" t="s">
        <v>138</v>
      </c>
      <c r="C3358" t="s">
        <v>139</v>
      </c>
      <c r="D3358" t="s">
        <v>58</v>
      </c>
      <c r="E3358" t="s">
        <v>74</v>
      </c>
      <c r="F3358" t="s">
        <v>34</v>
      </c>
      <c r="G3358" t="s">
        <v>9</v>
      </c>
      <c r="H3358" t="s">
        <v>55</v>
      </c>
      <c r="I3358" t="s">
        <v>37</v>
      </c>
      <c r="J3358" t="s">
        <v>45</v>
      </c>
      <c r="K3358">
        <v>2320</v>
      </c>
      <c r="L3358">
        <v>65</v>
      </c>
      <c r="M3358">
        <v>69.59</v>
      </c>
      <c r="N3358">
        <v>2</v>
      </c>
      <c r="O3358">
        <v>227.85</v>
      </c>
      <c r="P3358">
        <f t="shared" si="208"/>
        <v>2.8017241379310345E-2</v>
      </c>
      <c r="Q3358">
        <f t="shared" si="208"/>
        <v>1.0706153846153847</v>
      </c>
      <c r="R3358">
        <f t="shared" si="209"/>
        <v>34.795000000000002</v>
      </c>
      <c r="S3358">
        <f t="shared" si="210"/>
        <v>3.2741773243282077</v>
      </c>
      <c r="T3358">
        <f t="shared" si="211"/>
        <v>3.0769230769230771E-2</v>
      </c>
      <c r="U3358" t="str">
        <f>YEAR('Campaign Data'!$A3358)&amp;"-"&amp;TEXT(MONTH('Campaign Data'!$A3358),"00")</f>
        <v>2026-07</v>
      </c>
    </row>
    <row r="3359" spans="1:21" x14ac:dyDescent="0.25">
      <c r="A3359">
        <v>46206</v>
      </c>
      <c r="B3359" t="s">
        <v>30</v>
      </c>
      <c r="C3359" t="s">
        <v>31</v>
      </c>
      <c r="D3359" t="s">
        <v>32</v>
      </c>
      <c r="E3359" t="s">
        <v>33</v>
      </c>
      <c r="F3359" t="s">
        <v>34</v>
      </c>
      <c r="G3359" t="s">
        <v>35</v>
      </c>
      <c r="H3359" t="s">
        <v>90</v>
      </c>
      <c r="I3359" t="s">
        <v>37</v>
      </c>
      <c r="J3359" t="s">
        <v>87</v>
      </c>
      <c r="K3359">
        <v>5553</v>
      </c>
      <c r="L3359">
        <v>65</v>
      </c>
      <c r="M3359">
        <v>10.89</v>
      </c>
      <c r="N3359">
        <v>0</v>
      </c>
      <c r="O3359">
        <v>0</v>
      </c>
      <c r="P3359">
        <f t="shared" si="208"/>
        <v>1.1705384476859355E-2</v>
      </c>
      <c r="Q3359">
        <f t="shared" si="208"/>
        <v>0.16753846153846155</v>
      </c>
      <c r="R3359">
        <f t="shared" si="209"/>
        <v>0</v>
      </c>
      <c r="S3359">
        <f t="shared" si="210"/>
        <v>0</v>
      </c>
      <c r="T3359">
        <f t="shared" si="211"/>
        <v>0</v>
      </c>
      <c r="U3359" t="str">
        <f>YEAR('Campaign Data'!$A3359)&amp;"-"&amp;TEXT(MONTH('Campaign Data'!$A3359),"00")</f>
        <v>2026-07</v>
      </c>
    </row>
    <row r="3360" spans="1:21" x14ac:dyDescent="0.25">
      <c r="A3360">
        <v>46206</v>
      </c>
      <c r="B3360" t="s">
        <v>151</v>
      </c>
      <c r="C3360" t="s">
        <v>152</v>
      </c>
      <c r="D3360" t="s">
        <v>48</v>
      </c>
      <c r="E3360" t="s">
        <v>24</v>
      </c>
      <c r="F3360" t="s">
        <v>81</v>
      </c>
      <c r="G3360" t="s">
        <v>129</v>
      </c>
      <c r="H3360" t="s">
        <v>55</v>
      </c>
      <c r="I3360" t="s">
        <v>37</v>
      </c>
      <c r="J3360" t="s">
        <v>87</v>
      </c>
      <c r="K3360">
        <v>2555</v>
      </c>
      <c r="L3360">
        <v>58</v>
      </c>
      <c r="M3360">
        <v>39.72</v>
      </c>
      <c r="N3360">
        <v>0</v>
      </c>
      <c r="O3360">
        <v>0</v>
      </c>
      <c r="P3360">
        <f t="shared" si="208"/>
        <v>2.2700587084148727E-2</v>
      </c>
      <c r="Q3360">
        <f t="shared" si="208"/>
        <v>0.68482758620689654</v>
      </c>
      <c r="R3360">
        <f t="shared" si="209"/>
        <v>0</v>
      </c>
      <c r="S3360">
        <f t="shared" si="210"/>
        <v>0</v>
      </c>
      <c r="T3360">
        <f t="shared" si="211"/>
        <v>0</v>
      </c>
      <c r="U3360" t="str">
        <f>YEAR('Campaign Data'!$A3360)&amp;"-"&amp;TEXT(MONTH('Campaign Data'!$A3360),"00")</f>
        <v>2026-07</v>
      </c>
    </row>
    <row r="3361" spans="1:21" x14ac:dyDescent="0.25">
      <c r="A3361">
        <v>46206</v>
      </c>
      <c r="B3361" t="s">
        <v>169</v>
      </c>
      <c r="C3361" t="s">
        <v>170</v>
      </c>
      <c r="D3361" t="s">
        <v>58</v>
      </c>
      <c r="E3361" t="s">
        <v>74</v>
      </c>
      <c r="F3361" t="s">
        <v>75</v>
      </c>
      <c r="G3361" t="s">
        <v>9</v>
      </c>
      <c r="H3361" t="s">
        <v>55</v>
      </c>
      <c r="I3361" t="s">
        <v>37</v>
      </c>
      <c r="J3361" t="s">
        <v>29</v>
      </c>
      <c r="K3361">
        <v>2251</v>
      </c>
      <c r="L3361">
        <v>57</v>
      </c>
      <c r="M3361">
        <v>57.08</v>
      </c>
      <c r="N3361">
        <v>1</v>
      </c>
      <c r="O3361">
        <v>33.340000000000003</v>
      </c>
      <c r="P3361">
        <f t="shared" si="208"/>
        <v>2.5322079075966238E-2</v>
      </c>
      <c r="Q3361">
        <f t="shared" si="208"/>
        <v>1.0014035087719297</v>
      </c>
      <c r="R3361">
        <f t="shared" si="209"/>
        <v>57.08</v>
      </c>
      <c r="S3361">
        <f t="shared" si="210"/>
        <v>0.58409250175192717</v>
      </c>
      <c r="T3361">
        <f t="shared" si="211"/>
        <v>1.7543859649122806E-2</v>
      </c>
      <c r="U3361" t="str">
        <f>YEAR('Campaign Data'!$A3361)&amp;"-"&amp;TEXT(MONTH('Campaign Data'!$A3361),"00")</f>
        <v>2026-07</v>
      </c>
    </row>
    <row r="3362" spans="1:21" x14ac:dyDescent="0.25">
      <c r="A3362">
        <v>46206</v>
      </c>
      <c r="B3362" t="s">
        <v>169</v>
      </c>
      <c r="C3362" t="s">
        <v>170</v>
      </c>
      <c r="D3362" t="s">
        <v>58</v>
      </c>
      <c r="E3362" t="s">
        <v>74</v>
      </c>
      <c r="F3362" t="s">
        <v>75</v>
      </c>
      <c r="G3362" t="s">
        <v>9</v>
      </c>
      <c r="H3362" t="s">
        <v>90</v>
      </c>
      <c r="I3362" t="s">
        <v>28</v>
      </c>
      <c r="J3362" t="s">
        <v>29</v>
      </c>
      <c r="K3362">
        <v>5842</v>
      </c>
      <c r="L3362">
        <v>171</v>
      </c>
      <c r="M3362">
        <v>44.01</v>
      </c>
      <c r="N3362">
        <v>10</v>
      </c>
      <c r="O3362">
        <v>84.22</v>
      </c>
      <c r="P3362">
        <f t="shared" si="208"/>
        <v>2.9270797672030127E-2</v>
      </c>
      <c r="Q3362">
        <f t="shared" si="208"/>
        <v>0.25736842105263158</v>
      </c>
      <c r="R3362">
        <f t="shared" si="209"/>
        <v>4.4009999999999998</v>
      </c>
      <c r="S3362">
        <f t="shared" si="210"/>
        <v>1.9136559872756191</v>
      </c>
      <c r="T3362">
        <f t="shared" si="211"/>
        <v>5.8479532163742687E-2</v>
      </c>
      <c r="U3362" t="str">
        <f>YEAR('Campaign Data'!$A3362)&amp;"-"&amp;TEXT(MONTH('Campaign Data'!$A3362),"00")</f>
        <v>2026-07</v>
      </c>
    </row>
    <row r="3363" spans="1:21" x14ac:dyDescent="0.25">
      <c r="A3363">
        <v>46206</v>
      </c>
      <c r="B3363" t="s">
        <v>105</v>
      </c>
      <c r="C3363" t="s">
        <v>106</v>
      </c>
      <c r="D3363" t="s">
        <v>58</v>
      </c>
      <c r="E3363" t="s">
        <v>49</v>
      </c>
      <c r="F3363" t="s">
        <v>81</v>
      </c>
      <c r="G3363" t="s">
        <v>107</v>
      </c>
      <c r="H3363" t="s">
        <v>60</v>
      </c>
      <c r="I3363" t="s">
        <v>37</v>
      </c>
      <c r="J3363" t="s">
        <v>38</v>
      </c>
      <c r="K3363">
        <v>5528</v>
      </c>
      <c r="L3363">
        <v>271</v>
      </c>
      <c r="M3363">
        <v>556.66999999999996</v>
      </c>
      <c r="N3363">
        <v>15</v>
      </c>
      <c r="O3363">
        <v>311.23</v>
      </c>
      <c r="P3363">
        <f t="shared" si="208"/>
        <v>4.9023154848046313E-2</v>
      </c>
      <c r="Q3363">
        <f t="shared" si="208"/>
        <v>2.0541328413284132</v>
      </c>
      <c r="R3363">
        <f t="shared" si="209"/>
        <v>37.111333333333327</v>
      </c>
      <c r="S3363">
        <f t="shared" si="210"/>
        <v>0.55909246052418859</v>
      </c>
      <c r="T3363">
        <f t="shared" si="211"/>
        <v>5.5350553505535055E-2</v>
      </c>
      <c r="U3363" t="str">
        <f>YEAR('Campaign Data'!$A3363)&amp;"-"&amp;TEXT(MONTH('Campaign Data'!$A3363),"00")</f>
        <v>2026-07</v>
      </c>
    </row>
    <row r="3364" spans="1:21" x14ac:dyDescent="0.25">
      <c r="A3364">
        <v>46206</v>
      </c>
      <c r="B3364" t="s">
        <v>153</v>
      </c>
      <c r="C3364" t="s">
        <v>154</v>
      </c>
      <c r="D3364" t="s">
        <v>48</v>
      </c>
      <c r="E3364" t="s">
        <v>33</v>
      </c>
      <c r="F3364" t="s">
        <v>43</v>
      </c>
      <c r="G3364" t="s">
        <v>59</v>
      </c>
      <c r="H3364" t="s">
        <v>51</v>
      </c>
      <c r="I3364" t="s">
        <v>28</v>
      </c>
      <c r="J3364" t="s">
        <v>38</v>
      </c>
      <c r="K3364">
        <v>3747</v>
      </c>
      <c r="L3364">
        <v>22</v>
      </c>
      <c r="M3364">
        <v>15.95</v>
      </c>
      <c r="N3364">
        <v>0</v>
      </c>
      <c r="O3364">
        <v>0</v>
      </c>
      <c r="P3364">
        <f t="shared" si="208"/>
        <v>5.8713637576728048E-3</v>
      </c>
      <c r="Q3364">
        <f t="shared" si="208"/>
        <v>0.72499999999999998</v>
      </c>
      <c r="R3364">
        <f t="shared" si="209"/>
        <v>0</v>
      </c>
      <c r="S3364">
        <f t="shared" si="210"/>
        <v>0</v>
      </c>
      <c r="T3364">
        <f t="shared" si="211"/>
        <v>0</v>
      </c>
      <c r="U3364" t="str">
        <f>YEAR('Campaign Data'!$A3364)&amp;"-"&amp;TEXT(MONTH('Campaign Data'!$A3364),"00")</f>
        <v>2026-07</v>
      </c>
    </row>
    <row r="3365" spans="1:21" x14ac:dyDescent="0.25">
      <c r="A3365">
        <v>46206</v>
      </c>
      <c r="B3365" t="s">
        <v>179</v>
      </c>
      <c r="C3365" t="s">
        <v>180</v>
      </c>
      <c r="D3365" t="s">
        <v>58</v>
      </c>
      <c r="E3365" t="s">
        <v>42</v>
      </c>
      <c r="F3365" t="s">
        <v>25</v>
      </c>
      <c r="G3365" t="s">
        <v>54</v>
      </c>
      <c r="H3365" t="s">
        <v>90</v>
      </c>
      <c r="I3365" t="s">
        <v>28</v>
      </c>
      <c r="J3365" t="s">
        <v>87</v>
      </c>
      <c r="K3365">
        <v>3159</v>
      </c>
      <c r="L3365">
        <v>16</v>
      </c>
      <c r="M3365">
        <v>18.739999999999998</v>
      </c>
      <c r="N3365">
        <v>0</v>
      </c>
      <c r="O3365">
        <v>0</v>
      </c>
      <c r="P3365">
        <f t="shared" si="208"/>
        <v>5.0648939537828426E-3</v>
      </c>
      <c r="Q3365">
        <f t="shared" si="208"/>
        <v>1.1712499999999999</v>
      </c>
      <c r="R3365">
        <f t="shared" si="209"/>
        <v>0</v>
      </c>
      <c r="S3365">
        <f t="shared" si="210"/>
        <v>0</v>
      </c>
      <c r="T3365">
        <f t="shared" si="211"/>
        <v>0</v>
      </c>
      <c r="U3365" t="str">
        <f>YEAR('Campaign Data'!$A3365)&amp;"-"&amp;TEXT(MONTH('Campaign Data'!$A3365),"00")</f>
        <v>2026-07</v>
      </c>
    </row>
    <row r="3366" spans="1:21" x14ac:dyDescent="0.25">
      <c r="A3366">
        <v>46206</v>
      </c>
      <c r="B3366" t="s">
        <v>155</v>
      </c>
      <c r="C3366" t="s">
        <v>156</v>
      </c>
      <c r="D3366" t="s">
        <v>32</v>
      </c>
      <c r="E3366" t="s">
        <v>24</v>
      </c>
      <c r="F3366" t="s">
        <v>34</v>
      </c>
      <c r="G3366" t="s">
        <v>129</v>
      </c>
      <c r="H3366" t="s">
        <v>60</v>
      </c>
      <c r="I3366" t="s">
        <v>61</v>
      </c>
      <c r="J3366" t="s">
        <v>45</v>
      </c>
      <c r="K3366">
        <v>17767</v>
      </c>
      <c r="L3366">
        <v>161</v>
      </c>
      <c r="M3366">
        <v>208.73</v>
      </c>
      <c r="N3366">
        <v>5</v>
      </c>
      <c r="O3366">
        <v>835.87</v>
      </c>
      <c r="P3366">
        <f t="shared" si="208"/>
        <v>9.0617436821072775E-3</v>
      </c>
      <c r="Q3366">
        <f t="shared" si="208"/>
        <v>1.2964596273291924</v>
      </c>
      <c r="R3366">
        <f t="shared" si="209"/>
        <v>41.745999999999995</v>
      </c>
      <c r="S3366">
        <f t="shared" si="210"/>
        <v>4.0045513342595704</v>
      </c>
      <c r="T3366">
        <f t="shared" si="211"/>
        <v>3.1055900621118012E-2</v>
      </c>
      <c r="U3366" t="str">
        <f>YEAR('Campaign Data'!$A3366)&amp;"-"&amp;TEXT(MONTH('Campaign Data'!$A3366),"00")</f>
        <v>2026-07</v>
      </c>
    </row>
    <row r="3367" spans="1:21" x14ac:dyDescent="0.25">
      <c r="A3367">
        <v>46206</v>
      </c>
      <c r="B3367" t="s">
        <v>181</v>
      </c>
      <c r="C3367" t="s">
        <v>182</v>
      </c>
      <c r="D3367" t="s">
        <v>32</v>
      </c>
      <c r="E3367" t="s">
        <v>33</v>
      </c>
      <c r="F3367" t="s">
        <v>75</v>
      </c>
      <c r="G3367" t="s">
        <v>59</v>
      </c>
      <c r="H3367" t="s">
        <v>90</v>
      </c>
      <c r="I3367" t="s">
        <v>37</v>
      </c>
      <c r="J3367" t="s">
        <v>38</v>
      </c>
      <c r="K3367">
        <v>13296</v>
      </c>
      <c r="L3367">
        <v>75</v>
      </c>
      <c r="M3367">
        <v>14.65</v>
      </c>
      <c r="N3367">
        <v>2</v>
      </c>
      <c r="O3367">
        <v>19.37</v>
      </c>
      <c r="P3367">
        <f t="shared" si="208"/>
        <v>5.6407942238267152E-3</v>
      </c>
      <c r="Q3367">
        <f t="shared" si="208"/>
        <v>0.19533333333333333</v>
      </c>
      <c r="R3367">
        <f t="shared" si="209"/>
        <v>7.3250000000000002</v>
      </c>
      <c r="S3367">
        <f t="shared" si="210"/>
        <v>1.322184300341297</v>
      </c>
      <c r="T3367">
        <f t="shared" si="211"/>
        <v>2.6666666666666668E-2</v>
      </c>
      <c r="U3367" t="str">
        <f>YEAR('Campaign Data'!$A3367)&amp;"-"&amp;TEXT(MONTH('Campaign Data'!$A3367),"00")</f>
        <v>2026-07</v>
      </c>
    </row>
    <row r="3368" spans="1:21" x14ac:dyDescent="0.25">
      <c r="A3368">
        <v>46206</v>
      </c>
      <c r="B3368" t="s">
        <v>161</v>
      </c>
      <c r="C3368" t="s">
        <v>162</v>
      </c>
      <c r="D3368" t="s">
        <v>48</v>
      </c>
      <c r="E3368" t="s">
        <v>74</v>
      </c>
      <c r="F3368" t="s">
        <v>34</v>
      </c>
      <c r="G3368" t="s">
        <v>107</v>
      </c>
      <c r="H3368" t="s">
        <v>90</v>
      </c>
      <c r="I3368" t="s">
        <v>37</v>
      </c>
      <c r="J3368" t="s">
        <v>45</v>
      </c>
      <c r="K3368">
        <v>3645</v>
      </c>
      <c r="L3368">
        <v>81</v>
      </c>
      <c r="M3368">
        <v>36.64</v>
      </c>
      <c r="N3368">
        <v>3</v>
      </c>
      <c r="O3368">
        <v>106.49</v>
      </c>
      <c r="P3368">
        <f t="shared" si="208"/>
        <v>2.2222222222222223E-2</v>
      </c>
      <c r="Q3368">
        <f t="shared" si="208"/>
        <v>0.45234567901234568</v>
      </c>
      <c r="R3368">
        <f t="shared" si="209"/>
        <v>12.213333333333333</v>
      </c>
      <c r="S3368">
        <f t="shared" si="210"/>
        <v>2.9063864628820957</v>
      </c>
      <c r="T3368">
        <f t="shared" si="211"/>
        <v>3.7037037037037035E-2</v>
      </c>
      <c r="U3368" t="str">
        <f>YEAR('Campaign Data'!$A3368)&amp;"-"&amp;TEXT(MONTH('Campaign Data'!$A3368),"00")</f>
        <v>2026-07</v>
      </c>
    </row>
    <row r="3369" spans="1:21" x14ac:dyDescent="0.25">
      <c r="A3369">
        <v>46206</v>
      </c>
      <c r="B3369" t="s">
        <v>161</v>
      </c>
      <c r="C3369" t="s">
        <v>162</v>
      </c>
      <c r="D3369" t="s">
        <v>48</v>
      </c>
      <c r="E3369" t="s">
        <v>74</v>
      </c>
      <c r="F3369" t="s">
        <v>34</v>
      </c>
      <c r="G3369" t="s">
        <v>107</v>
      </c>
      <c r="H3369" t="s">
        <v>27</v>
      </c>
      <c r="I3369" t="s">
        <v>37</v>
      </c>
      <c r="J3369" t="s">
        <v>29</v>
      </c>
      <c r="K3369">
        <v>9869</v>
      </c>
      <c r="L3369">
        <v>151</v>
      </c>
      <c r="M3369">
        <v>259.20999999999998</v>
      </c>
      <c r="N3369">
        <v>5</v>
      </c>
      <c r="O3369">
        <v>985.23</v>
      </c>
      <c r="P3369">
        <f t="shared" si="208"/>
        <v>1.5300435707771811E-2</v>
      </c>
      <c r="Q3369">
        <f t="shared" si="208"/>
        <v>1.7166225165562912</v>
      </c>
      <c r="R3369">
        <f t="shared" si="209"/>
        <v>51.841999999999999</v>
      </c>
      <c r="S3369">
        <f t="shared" si="210"/>
        <v>3.8008950271980253</v>
      </c>
      <c r="T3369">
        <f t="shared" si="211"/>
        <v>3.3112582781456956E-2</v>
      </c>
      <c r="U3369" t="str">
        <f>YEAR('Campaign Data'!$A3369)&amp;"-"&amp;TEXT(MONTH('Campaign Data'!$A3369),"00")</f>
        <v>2026-07</v>
      </c>
    </row>
    <row r="3370" spans="1:21" x14ac:dyDescent="0.25">
      <c r="A3370">
        <v>46206</v>
      </c>
      <c r="B3370" t="s">
        <v>141</v>
      </c>
      <c r="C3370" t="s">
        <v>142</v>
      </c>
      <c r="D3370" t="s">
        <v>80</v>
      </c>
      <c r="E3370" t="s">
        <v>49</v>
      </c>
      <c r="F3370" t="s">
        <v>81</v>
      </c>
      <c r="G3370" t="s">
        <v>97</v>
      </c>
      <c r="H3370" t="s">
        <v>27</v>
      </c>
      <c r="I3370" t="s">
        <v>28</v>
      </c>
      <c r="J3370" t="s">
        <v>62</v>
      </c>
      <c r="K3370">
        <v>8331</v>
      </c>
      <c r="L3370">
        <v>490</v>
      </c>
      <c r="M3370">
        <v>1294.3599999999999</v>
      </c>
      <c r="N3370">
        <v>35</v>
      </c>
      <c r="O3370">
        <v>951.52</v>
      </c>
      <c r="P3370">
        <f t="shared" si="208"/>
        <v>5.8816468611211141E-2</v>
      </c>
      <c r="Q3370">
        <f t="shared" si="208"/>
        <v>2.6415510204081629</v>
      </c>
      <c r="R3370">
        <f t="shared" si="209"/>
        <v>36.981714285714283</v>
      </c>
      <c r="S3370">
        <f t="shared" si="210"/>
        <v>0.73512778516023369</v>
      </c>
      <c r="T3370">
        <f t="shared" si="211"/>
        <v>7.1428571428571425E-2</v>
      </c>
      <c r="U3370" t="str">
        <f>YEAR('Campaign Data'!$A3370)&amp;"-"&amp;TEXT(MONTH('Campaign Data'!$A3370),"00")</f>
        <v>2026-07</v>
      </c>
    </row>
    <row r="3371" spans="1:21" x14ac:dyDescent="0.25">
      <c r="A3371">
        <v>46206</v>
      </c>
      <c r="B3371" t="s">
        <v>136</v>
      </c>
      <c r="C3371" t="s">
        <v>137</v>
      </c>
      <c r="D3371" t="s">
        <v>32</v>
      </c>
      <c r="E3371" t="s">
        <v>49</v>
      </c>
      <c r="F3371" t="s">
        <v>75</v>
      </c>
      <c r="G3371" t="s">
        <v>97</v>
      </c>
      <c r="H3371" t="s">
        <v>55</v>
      </c>
      <c r="I3371" t="s">
        <v>37</v>
      </c>
      <c r="J3371" t="s">
        <v>45</v>
      </c>
      <c r="K3371">
        <v>9189</v>
      </c>
      <c r="L3371">
        <v>522</v>
      </c>
      <c r="M3371">
        <v>727.94</v>
      </c>
      <c r="N3371">
        <v>16</v>
      </c>
      <c r="O3371">
        <v>676.93</v>
      </c>
      <c r="P3371">
        <f t="shared" si="208"/>
        <v>5.6807051909892263E-2</v>
      </c>
      <c r="Q3371">
        <f t="shared" si="208"/>
        <v>1.394521072796935</v>
      </c>
      <c r="R3371">
        <f t="shared" si="209"/>
        <v>45.496250000000003</v>
      </c>
      <c r="S3371">
        <f t="shared" si="210"/>
        <v>0.92992554331400923</v>
      </c>
      <c r="T3371">
        <f t="shared" si="211"/>
        <v>3.0651340996168581E-2</v>
      </c>
      <c r="U3371" t="str">
        <f>YEAR('Campaign Data'!$A3371)&amp;"-"&amp;TEXT(MONTH('Campaign Data'!$A3371),"00")</f>
        <v>2026-07</v>
      </c>
    </row>
    <row r="3372" spans="1:21" x14ac:dyDescent="0.25">
      <c r="A3372">
        <v>46206</v>
      </c>
      <c r="B3372" t="s">
        <v>143</v>
      </c>
      <c r="C3372" t="s">
        <v>144</v>
      </c>
      <c r="D3372" t="s">
        <v>48</v>
      </c>
      <c r="E3372" t="s">
        <v>42</v>
      </c>
      <c r="F3372" t="s">
        <v>25</v>
      </c>
      <c r="G3372" t="s">
        <v>84</v>
      </c>
      <c r="H3372" t="s">
        <v>55</v>
      </c>
      <c r="I3372" t="s">
        <v>37</v>
      </c>
      <c r="J3372" t="s">
        <v>29</v>
      </c>
      <c r="K3372">
        <v>12950</v>
      </c>
      <c r="L3372">
        <v>82</v>
      </c>
      <c r="M3372">
        <v>304.69</v>
      </c>
      <c r="N3372">
        <v>0</v>
      </c>
      <c r="O3372">
        <v>0</v>
      </c>
      <c r="P3372">
        <f t="shared" si="208"/>
        <v>6.3320463320463323E-3</v>
      </c>
      <c r="Q3372">
        <f t="shared" si="208"/>
        <v>3.7157317073170733</v>
      </c>
      <c r="R3372">
        <f t="shared" si="209"/>
        <v>0</v>
      </c>
      <c r="S3372">
        <f t="shared" si="210"/>
        <v>0</v>
      </c>
      <c r="T3372">
        <f t="shared" si="211"/>
        <v>0</v>
      </c>
      <c r="U3372" t="str">
        <f>YEAR('Campaign Data'!$A3372)&amp;"-"&amp;TEXT(MONTH('Campaign Data'!$A3372),"00")</f>
        <v>2026-07</v>
      </c>
    </row>
    <row r="3373" spans="1:21" x14ac:dyDescent="0.25">
      <c r="A3373">
        <v>46206</v>
      </c>
      <c r="B3373" t="s">
        <v>143</v>
      </c>
      <c r="C3373" t="s">
        <v>144</v>
      </c>
      <c r="D3373" t="s">
        <v>48</v>
      </c>
      <c r="E3373" t="s">
        <v>42</v>
      </c>
      <c r="F3373" t="s">
        <v>25</v>
      </c>
      <c r="G3373" t="s">
        <v>84</v>
      </c>
      <c r="H3373" t="s">
        <v>90</v>
      </c>
      <c r="I3373" t="s">
        <v>28</v>
      </c>
      <c r="J3373" t="s">
        <v>45</v>
      </c>
      <c r="K3373">
        <v>10991</v>
      </c>
      <c r="L3373">
        <v>51</v>
      </c>
      <c r="M3373">
        <v>68.94</v>
      </c>
      <c r="N3373">
        <v>1</v>
      </c>
      <c r="O3373">
        <v>40.39</v>
      </c>
      <c r="P3373">
        <f t="shared" si="208"/>
        <v>4.6401601310162863E-3</v>
      </c>
      <c r="Q3373">
        <f t="shared" si="208"/>
        <v>1.351764705882353</v>
      </c>
      <c r="R3373">
        <f t="shared" si="209"/>
        <v>68.94</v>
      </c>
      <c r="S3373">
        <f t="shared" si="210"/>
        <v>0.58587177255584566</v>
      </c>
      <c r="T3373">
        <f t="shared" si="211"/>
        <v>1.9607843137254902E-2</v>
      </c>
      <c r="U3373" t="str">
        <f>YEAR('Campaign Data'!$A3373)&amp;"-"&amp;TEXT(MONTH('Campaign Data'!$A3373),"00")</f>
        <v>2026-07</v>
      </c>
    </row>
    <row r="3374" spans="1:21" x14ac:dyDescent="0.25">
      <c r="A3374">
        <v>46206</v>
      </c>
      <c r="B3374" t="s">
        <v>116</v>
      </c>
      <c r="C3374" t="s">
        <v>117</v>
      </c>
      <c r="D3374" t="s">
        <v>48</v>
      </c>
      <c r="E3374" t="s">
        <v>24</v>
      </c>
      <c r="F3374" t="s">
        <v>43</v>
      </c>
      <c r="G3374" t="s">
        <v>26</v>
      </c>
      <c r="H3374" t="s">
        <v>36</v>
      </c>
      <c r="I3374" t="s">
        <v>37</v>
      </c>
      <c r="J3374" t="s">
        <v>45</v>
      </c>
      <c r="K3374">
        <v>17247</v>
      </c>
      <c r="L3374">
        <v>120</v>
      </c>
      <c r="M3374">
        <v>105.58</v>
      </c>
      <c r="N3374">
        <v>6</v>
      </c>
      <c r="O3374">
        <v>133.72999999999999</v>
      </c>
      <c r="P3374">
        <f t="shared" si="208"/>
        <v>6.9577317794399024E-3</v>
      </c>
      <c r="Q3374">
        <f t="shared" si="208"/>
        <v>0.87983333333333336</v>
      </c>
      <c r="R3374">
        <f t="shared" si="209"/>
        <v>17.596666666666668</v>
      </c>
      <c r="S3374">
        <f t="shared" si="210"/>
        <v>1.2666224663762076</v>
      </c>
      <c r="T3374">
        <f t="shared" si="211"/>
        <v>0.05</v>
      </c>
      <c r="U3374" t="str">
        <f>YEAR('Campaign Data'!$A3374)&amp;"-"&amp;TEXT(MONTH('Campaign Data'!$A3374),"00")</f>
        <v>2026-07</v>
      </c>
    </row>
    <row r="3375" spans="1:21" x14ac:dyDescent="0.25">
      <c r="A3375">
        <v>46206</v>
      </c>
      <c r="B3375" t="s">
        <v>120</v>
      </c>
      <c r="C3375" t="s">
        <v>121</v>
      </c>
      <c r="D3375" t="s">
        <v>23</v>
      </c>
      <c r="E3375" t="s">
        <v>49</v>
      </c>
      <c r="F3375" t="s">
        <v>75</v>
      </c>
      <c r="G3375" t="s">
        <v>70</v>
      </c>
      <c r="H3375" t="s">
        <v>27</v>
      </c>
      <c r="I3375" t="s">
        <v>37</v>
      </c>
      <c r="J3375" t="s">
        <v>38</v>
      </c>
      <c r="K3375">
        <v>6938</v>
      </c>
      <c r="L3375">
        <v>288</v>
      </c>
      <c r="M3375">
        <v>496.25</v>
      </c>
      <c r="N3375">
        <v>14</v>
      </c>
      <c r="O3375">
        <v>369.68</v>
      </c>
      <c r="P3375">
        <f t="shared" si="208"/>
        <v>4.1510521764197172E-2</v>
      </c>
      <c r="Q3375">
        <f t="shared" si="208"/>
        <v>1.7230902777777777</v>
      </c>
      <c r="R3375">
        <f t="shared" si="209"/>
        <v>35.446428571428569</v>
      </c>
      <c r="S3375">
        <f t="shared" si="210"/>
        <v>0.74494710327455915</v>
      </c>
      <c r="T3375">
        <f t="shared" si="211"/>
        <v>4.8611111111111112E-2</v>
      </c>
      <c r="U3375" t="str">
        <f>YEAR('Campaign Data'!$A3375)&amp;"-"&amp;TEXT(MONTH('Campaign Data'!$A3375),"00")</f>
        <v>2026-07</v>
      </c>
    </row>
    <row r="3376" spans="1:21" x14ac:dyDescent="0.25">
      <c r="A3376">
        <v>46206</v>
      </c>
      <c r="B3376" t="s">
        <v>120</v>
      </c>
      <c r="C3376" t="s">
        <v>121</v>
      </c>
      <c r="D3376" t="s">
        <v>23</v>
      </c>
      <c r="E3376" t="s">
        <v>49</v>
      </c>
      <c r="F3376" t="s">
        <v>75</v>
      </c>
      <c r="G3376" t="s">
        <v>70</v>
      </c>
      <c r="H3376" t="s">
        <v>36</v>
      </c>
      <c r="I3376" t="s">
        <v>37</v>
      </c>
      <c r="J3376" t="s">
        <v>62</v>
      </c>
      <c r="K3376">
        <v>8093</v>
      </c>
      <c r="L3376">
        <v>276</v>
      </c>
      <c r="M3376">
        <v>644.04999999999995</v>
      </c>
      <c r="N3376">
        <v>9</v>
      </c>
      <c r="O3376">
        <v>300.79000000000002</v>
      </c>
      <c r="P3376">
        <f t="shared" si="208"/>
        <v>3.4103546274558263E-2</v>
      </c>
      <c r="Q3376">
        <f t="shared" si="208"/>
        <v>2.3335144927536229</v>
      </c>
      <c r="R3376">
        <f t="shared" si="209"/>
        <v>71.561111111111103</v>
      </c>
      <c r="S3376">
        <f t="shared" si="210"/>
        <v>0.46702895737908556</v>
      </c>
      <c r="T3376">
        <f t="shared" si="211"/>
        <v>3.2608695652173912E-2</v>
      </c>
      <c r="U3376" t="str">
        <f>YEAR('Campaign Data'!$A3376)&amp;"-"&amp;TEXT(MONTH('Campaign Data'!$A3376),"00")</f>
        <v>2026-07</v>
      </c>
    </row>
    <row r="3377" spans="1:21" x14ac:dyDescent="0.25">
      <c r="A3377">
        <v>46207</v>
      </c>
      <c r="B3377" t="s">
        <v>173</v>
      </c>
      <c r="C3377" t="s">
        <v>174</v>
      </c>
      <c r="D3377" t="s">
        <v>48</v>
      </c>
      <c r="E3377" t="s">
        <v>74</v>
      </c>
      <c r="F3377" t="s">
        <v>25</v>
      </c>
      <c r="G3377" t="s">
        <v>9</v>
      </c>
      <c r="H3377" t="s">
        <v>27</v>
      </c>
      <c r="I3377" t="s">
        <v>61</v>
      </c>
      <c r="J3377" t="s">
        <v>29</v>
      </c>
      <c r="K3377">
        <v>4510</v>
      </c>
      <c r="L3377">
        <v>120</v>
      </c>
      <c r="M3377">
        <v>234.09</v>
      </c>
      <c r="N3377">
        <v>7</v>
      </c>
      <c r="O3377">
        <v>1176.24</v>
      </c>
      <c r="P3377">
        <f t="shared" si="208"/>
        <v>2.6607538802660754E-2</v>
      </c>
      <c r="Q3377">
        <f t="shared" si="208"/>
        <v>1.95075</v>
      </c>
      <c r="R3377">
        <f t="shared" si="209"/>
        <v>33.441428571428574</v>
      </c>
      <c r="S3377">
        <f t="shared" si="210"/>
        <v>5.0247340766371904</v>
      </c>
      <c r="T3377">
        <f t="shared" si="211"/>
        <v>5.8333333333333334E-2</v>
      </c>
      <c r="U3377" t="str">
        <f>YEAR('Campaign Data'!$A3377)&amp;"-"&amp;TEXT(MONTH('Campaign Data'!$A3377),"00")</f>
        <v>2026-07</v>
      </c>
    </row>
    <row r="3378" spans="1:21" x14ac:dyDescent="0.25">
      <c r="A3378">
        <v>46207</v>
      </c>
      <c r="B3378" t="s">
        <v>167</v>
      </c>
      <c r="C3378" t="s">
        <v>168</v>
      </c>
      <c r="D3378" t="s">
        <v>58</v>
      </c>
      <c r="E3378" t="s">
        <v>33</v>
      </c>
      <c r="F3378" t="s">
        <v>75</v>
      </c>
      <c r="G3378" t="s">
        <v>35</v>
      </c>
      <c r="H3378" t="s">
        <v>27</v>
      </c>
      <c r="I3378" t="s">
        <v>37</v>
      </c>
      <c r="J3378" t="s">
        <v>45</v>
      </c>
      <c r="K3378">
        <v>8895</v>
      </c>
      <c r="L3378">
        <v>77</v>
      </c>
      <c r="M3378">
        <v>42.05</v>
      </c>
      <c r="N3378">
        <v>0</v>
      </c>
      <c r="O3378">
        <v>0</v>
      </c>
      <c r="P3378">
        <f t="shared" si="208"/>
        <v>8.6565486228218098E-3</v>
      </c>
      <c r="Q3378">
        <f t="shared" si="208"/>
        <v>0.54610389610389609</v>
      </c>
      <c r="R3378">
        <f t="shared" si="209"/>
        <v>0</v>
      </c>
      <c r="S3378">
        <f t="shared" si="210"/>
        <v>0</v>
      </c>
      <c r="T3378">
        <f t="shared" si="211"/>
        <v>0</v>
      </c>
      <c r="U3378" t="str">
        <f>YEAR('Campaign Data'!$A3378)&amp;"-"&amp;TEXT(MONTH('Campaign Data'!$A3378),"00")</f>
        <v>2026-07</v>
      </c>
    </row>
    <row r="3379" spans="1:21" x14ac:dyDescent="0.25">
      <c r="A3379">
        <v>46207</v>
      </c>
      <c r="B3379" t="s">
        <v>138</v>
      </c>
      <c r="C3379" t="s">
        <v>139</v>
      </c>
      <c r="D3379" t="s">
        <v>58</v>
      </c>
      <c r="E3379" t="s">
        <v>74</v>
      </c>
      <c r="F3379" t="s">
        <v>34</v>
      </c>
      <c r="G3379" t="s">
        <v>9</v>
      </c>
      <c r="H3379" t="s">
        <v>51</v>
      </c>
      <c r="I3379" t="s">
        <v>61</v>
      </c>
      <c r="J3379" t="s">
        <v>45</v>
      </c>
      <c r="K3379">
        <v>11496</v>
      </c>
      <c r="L3379">
        <v>367</v>
      </c>
      <c r="M3379">
        <v>566.59</v>
      </c>
      <c r="N3379">
        <v>11</v>
      </c>
      <c r="O3379">
        <v>1183.6199999999999</v>
      </c>
      <c r="P3379">
        <f t="shared" si="208"/>
        <v>3.1924147529575501E-2</v>
      </c>
      <c r="Q3379">
        <f t="shared" si="208"/>
        <v>1.5438419618528612</v>
      </c>
      <c r="R3379">
        <f t="shared" si="209"/>
        <v>51.508181818181818</v>
      </c>
      <c r="S3379">
        <f t="shared" si="210"/>
        <v>2.0890238091035842</v>
      </c>
      <c r="T3379">
        <f t="shared" si="211"/>
        <v>2.9972752043596729E-2</v>
      </c>
      <c r="U3379" t="str">
        <f>YEAR('Campaign Data'!$A3379)&amp;"-"&amp;TEXT(MONTH('Campaign Data'!$A3379),"00")</f>
        <v>2026-07</v>
      </c>
    </row>
    <row r="3380" spans="1:21" x14ac:dyDescent="0.25">
      <c r="A3380">
        <v>46207</v>
      </c>
      <c r="B3380" t="s">
        <v>93</v>
      </c>
      <c r="C3380" t="s">
        <v>94</v>
      </c>
      <c r="D3380" t="s">
        <v>69</v>
      </c>
      <c r="E3380" t="s">
        <v>42</v>
      </c>
      <c r="F3380" t="s">
        <v>75</v>
      </c>
      <c r="G3380" t="s">
        <v>44</v>
      </c>
      <c r="H3380" t="s">
        <v>90</v>
      </c>
      <c r="I3380" t="s">
        <v>37</v>
      </c>
      <c r="J3380" t="s">
        <v>29</v>
      </c>
      <c r="K3380">
        <v>6364</v>
      </c>
      <c r="L3380">
        <v>23</v>
      </c>
      <c r="M3380">
        <v>34.299999999999997</v>
      </c>
      <c r="N3380">
        <v>0</v>
      </c>
      <c r="O3380">
        <v>0</v>
      </c>
      <c r="P3380">
        <f t="shared" si="208"/>
        <v>3.6140791954745442E-3</v>
      </c>
      <c r="Q3380">
        <f t="shared" si="208"/>
        <v>1.4913043478260868</v>
      </c>
      <c r="R3380">
        <f t="shared" si="209"/>
        <v>0</v>
      </c>
      <c r="S3380">
        <f t="shared" si="210"/>
        <v>0</v>
      </c>
      <c r="T3380">
        <f t="shared" si="211"/>
        <v>0</v>
      </c>
      <c r="U3380" t="str">
        <f>YEAR('Campaign Data'!$A3380)&amp;"-"&amp;TEXT(MONTH('Campaign Data'!$A3380),"00")</f>
        <v>2026-07</v>
      </c>
    </row>
    <row r="3381" spans="1:21" x14ac:dyDescent="0.25">
      <c r="A3381">
        <v>46207</v>
      </c>
      <c r="B3381" t="s">
        <v>98</v>
      </c>
      <c r="C3381" t="s">
        <v>99</v>
      </c>
      <c r="D3381" t="s">
        <v>69</v>
      </c>
      <c r="E3381" t="s">
        <v>24</v>
      </c>
      <c r="F3381" t="s">
        <v>75</v>
      </c>
      <c r="G3381" t="s">
        <v>66</v>
      </c>
      <c r="H3381" t="s">
        <v>27</v>
      </c>
      <c r="I3381" t="s">
        <v>37</v>
      </c>
      <c r="J3381" t="s">
        <v>87</v>
      </c>
      <c r="K3381">
        <v>5241</v>
      </c>
      <c r="L3381">
        <v>77</v>
      </c>
      <c r="M3381">
        <v>80.709999999999994</v>
      </c>
      <c r="N3381">
        <v>3</v>
      </c>
      <c r="O3381">
        <v>95.73</v>
      </c>
      <c r="P3381">
        <f t="shared" si="208"/>
        <v>1.4691852699866437E-2</v>
      </c>
      <c r="Q3381">
        <f t="shared" si="208"/>
        <v>1.0481818181818181</v>
      </c>
      <c r="R3381">
        <f t="shared" si="209"/>
        <v>26.903333333333332</v>
      </c>
      <c r="S3381">
        <f t="shared" si="210"/>
        <v>1.1860983769049684</v>
      </c>
      <c r="T3381">
        <f t="shared" si="211"/>
        <v>3.896103896103896E-2</v>
      </c>
      <c r="U3381" t="str">
        <f>YEAR('Campaign Data'!$A3381)&amp;"-"&amp;TEXT(MONTH('Campaign Data'!$A3381),"00")</f>
        <v>2026-07</v>
      </c>
    </row>
    <row r="3382" spans="1:21" x14ac:dyDescent="0.25">
      <c r="A3382">
        <v>46207</v>
      </c>
      <c r="B3382" t="s">
        <v>100</v>
      </c>
      <c r="C3382" t="s">
        <v>101</v>
      </c>
      <c r="D3382" t="s">
        <v>80</v>
      </c>
      <c r="E3382" t="s">
        <v>33</v>
      </c>
      <c r="F3382" t="s">
        <v>25</v>
      </c>
      <c r="G3382" t="s">
        <v>102</v>
      </c>
      <c r="H3382" t="s">
        <v>60</v>
      </c>
      <c r="I3382" t="s">
        <v>37</v>
      </c>
      <c r="J3382" t="s">
        <v>45</v>
      </c>
      <c r="K3382">
        <v>1353</v>
      </c>
      <c r="L3382">
        <v>7</v>
      </c>
      <c r="M3382">
        <v>4.63</v>
      </c>
      <c r="N3382">
        <v>0</v>
      </c>
      <c r="O3382">
        <v>0</v>
      </c>
      <c r="P3382">
        <f t="shared" si="208"/>
        <v>5.1736881005173688E-3</v>
      </c>
      <c r="Q3382">
        <f t="shared" si="208"/>
        <v>0.66142857142857137</v>
      </c>
      <c r="R3382">
        <f t="shared" si="209"/>
        <v>0</v>
      </c>
      <c r="S3382">
        <f t="shared" si="210"/>
        <v>0</v>
      </c>
      <c r="T3382">
        <f t="shared" si="211"/>
        <v>0</v>
      </c>
      <c r="U3382" t="str">
        <f>YEAR('Campaign Data'!$A3382)&amp;"-"&amp;TEXT(MONTH('Campaign Data'!$A3382),"00")</f>
        <v>2026-07</v>
      </c>
    </row>
    <row r="3383" spans="1:21" x14ac:dyDescent="0.25">
      <c r="A3383">
        <v>46207</v>
      </c>
      <c r="B3383" t="s">
        <v>169</v>
      </c>
      <c r="C3383" t="s">
        <v>170</v>
      </c>
      <c r="D3383" t="s">
        <v>58</v>
      </c>
      <c r="E3383" t="s">
        <v>74</v>
      </c>
      <c r="F3383" t="s">
        <v>75</v>
      </c>
      <c r="G3383" t="s">
        <v>9</v>
      </c>
      <c r="H3383" t="s">
        <v>90</v>
      </c>
      <c r="I3383" t="s">
        <v>37</v>
      </c>
      <c r="J3383" t="s">
        <v>87</v>
      </c>
      <c r="K3383">
        <v>21308</v>
      </c>
      <c r="L3383">
        <v>920</v>
      </c>
      <c r="M3383">
        <v>252.55</v>
      </c>
      <c r="N3383">
        <v>46</v>
      </c>
      <c r="O3383">
        <v>308</v>
      </c>
      <c r="P3383">
        <f t="shared" si="208"/>
        <v>4.3176271822789561E-2</v>
      </c>
      <c r="Q3383">
        <f t="shared" si="208"/>
        <v>0.27451086956521742</v>
      </c>
      <c r="R3383">
        <f t="shared" si="209"/>
        <v>5.4902173913043484</v>
      </c>
      <c r="S3383">
        <f t="shared" si="210"/>
        <v>1.2195604830726587</v>
      </c>
      <c r="T3383">
        <f t="shared" si="211"/>
        <v>0.05</v>
      </c>
      <c r="U3383" t="str">
        <f>YEAR('Campaign Data'!$A3383)&amp;"-"&amp;TEXT(MONTH('Campaign Data'!$A3383),"00")</f>
        <v>2026-07</v>
      </c>
    </row>
    <row r="3384" spans="1:21" x14ac:dyDescent="0.25">
      <c r="A3384">
        <v>46207</v>
      </c>
      <c r="B3384" t="s">
        <v>132</v>
      </c>
      <c r="C3384" t="s">
        <v>133</v>
      </c>
      <c r="D3384" t="s">
        <v>23</v>
      </c>
      <c r="E3384" t="s">
        <v>42</v>
      </c>
      <c r="F3384" t="s">
        <v>75</v>
      </c>
      <c r="G3384" t="s">
        <v>84</v>
      </c>
      <c r="H3384" t="s">
        <v>27</v>
      </c>
      <c r="I3384" t="s">
        <v>28</v>
      </c>
      <c r="J3384" t="s">
        <v>87</v>
      </c>
      <c r="K3384">
        <v>1884</v>
      </c>
      <c r="L3384">
        <v>14</v>
      </c>
      <c r="M3384">
        <v>152.25</v>
      </c>
      <c r="N3384">
        <v>0</v>
      </c>
      <c r="O3384">
        <v>0</v>
      </c>
      <c r="P3384">
        <f t="shared" si="208"/>
        <v>7.4309978768577496E-3</v>
      </c>
      <c r="Q3384">
        <f t="shared" si="208"/>
        <v>10.875</v>
      </c>
      <c r="R3384">
        <f t="shared" si="209"/>
        <v>0</v>
      </c>
      <c r="S3384">
        <f t="shared" si="210"/>
        <v>0</v>
      </c>
      <c r="T3384">
        <f t="shared" si="211"/>
        <v>0</v>
      </c>
      <c r="U3384" t="str">
        <f>YEAR('Campaign Data'!$A3384)&amp;"-"&amp;TEXT(MONTH('Campaign Data'!$A3384),"00")</f>
        <v>2026-07</v>
      </c>
    </row>
    <row r="3385" spans="1:21" x14ac:dyDescent="0.25">
      <c r="A3385">
        <v>46207</v>
      </c>
      <c r="B3385" t="s">
        <v>177</v>
      </c>
      <c r="C3385" t="s">
        <v>178</v>
      </c>
      <c r="D3385" t="s">
        <v>41</v>
      </c>
      <c r="E3385" t="s">
        <v>49</v>
      </c>
      <c r="F3385" t="s">
        <v>34</v>
      </c>
      <c r="G3385" t="s">
        <v>107</v>
      </c>
      <c r="H3385" t="s">
        <v>27</v>
      </c>
      <c r="I3385" t="s">
        <v>37</v>
      </c>
      <c r="J3385" t="s">
        <v>29</v>
      </c>
      <c r="K3385">
        <v>6796</v>
      </c>
      <c r="L3385">
        <v>323</v>
      </c>
      <c r="M3385">
        <v>918.06</v>
      </c>
      <c r="N3385">
        <v>17</v>
      </c>
      <c r="O3385">
        <v>3546.62</v>
      </c>
      <c r="P3385">
        <f t="shared" si="208"/>
        <v>4.7527957622130662E-2</v>
      </c>
      <c r="Q3385">
        <f t="shared" si="208"/>
        <v>2.8422910216718265</v>
      </c>
      <c r="R3385">
        <f t="shared" si="209"/>
        <v>54.003529411764703</v>
      </c>
      <c r="S3385">
        <f t="shared" si="210"/>
        <v>3.863167984663312</v>
      </c>
      <c r="T3385">
        <f t="shared" si="211"/>
        <v>5.2631578947368418E-2</v>
      </c>
      <c r="U3385" t="str">
        <f>YEAR('Campaign Data'!$A3385)&amp;"-"&amp;TEXT(MONTH('Campaign Data'!$A3385),"00")</f>
        <v>2026-07</v>
      </c>
    </row>
    <row r="3386" spans="1:21" x14ac:dyDescent="0.25">
      <c r="A3386">
        <v>46207</v>
      </c>
      <c r="B3386" t="s">
        <v>153</v>
      </c>
      <c r="C3386" t="s">
        <v>154</v>
      </c>
      <c r="D3386" t="s">
        <v>48</v>
      </c>
      <c r="E3386" t="s">
        <v>33</v>
      </c>
      <c r="F3386" t="s">
        <v>43</v>
      </c>
      <c r="G3386" t="s">
        <v>59</v>
      </c>
      <c r="H3386" t="s">
        <v>27</v>
      </c>
      <c r="I3386" t="s">
        <v>37</v>
      </c>
      <c r="J3386" t="s">
        <v>45</v>
      </c>
      <c r="K3386">
        <v>2532</v>
      </c>
      <c r="L3386">
        <v>37</v>
      </c>
      <c r="M3386">
        <v>18.43</v>
      </c>
      <c r="N3386">
        <v>0</v>
      </c>
      <c r="O3386">
        <v>0</v>
      </c>
      <c r="P3386">
        <f t="shared" si="208"/>
        <v>1.4612954186413903E-2</v>
      </c>
      <c r="Q3386">
        <f t="shared" si="208"/>
        <v>0.49810810810810813</v>
      </c>
      <c r="R3386">
        <f t="shared" si="209"/>
        <v>0</v>
      </c>
      <c r="S3386">
        <f t="shared" si="210"/>
        <v>0</v>
      </c>
      <c r="T3386">
        <f t="shared" si="211"/>
        <v>0</v>
      </c>
      <c r="U3386" t="str">
        <f>YEAR('Campaign Data'!$A3386)&amp;"-"&amp;TEXT(MONTH('Campaign Data'!$A3386),"00")</f>
        <v>2026-07</v>
      </c>
    </row>
    <row r="3387" spans="1:21" x14ac:dyDescent="0.25">
      <c r="A3387">
        <v>46207</v>
      </c>
      <c r="B3387" t="s">
        <v>134</v>
      </c>
      <c r="C3387" t="s">
        <v>135</v>
      </c>
      <c r="D3387" t="s">
        <v>32</v>
      </c>
      <c r="E3387" t="s">
        <v>74</v>
      </c>
      <c r="F3387" t="s">
        <v>25</v>
      </c>
      <c r="G3387" t="s">
        <v>107</v>
      </c>
      <c r="H3387" t="s">
        <v>60</v>
      </c>
      <c r="I3387" t="s">
        <v>37</v>
      </c>
      <c r="J3387" t="s">
        <v>45</v>
      </c>
      <c r="K3387">
        <v>3674</v>
      </c>
      <c r="L3387">
        <v>145</v>
      </c>
      <c r="M3387">
        <v>185.54</v>
      </c>
      <c r="N3387">
        <v>7</v>
      </c>
      <c r="O3387">
        <v>1082.3900000000001</v>
      </c>
      <c r="P3387">
        <f t="shared" si="208"/>
        <v>3.9466521502449649E-2</v>
      </c>
      <c r="Q3387">
        <f t="shared" si="208"/>
        <v>1.2795862068965516</v>
      </c>
      <c r="R3387">
        <f t="shared" si="209"/>
        <v>26.505714285714284</v>
      </c>
      <c r="S3387">
        <f t="shared" si="210"/>
        <v>5.8337285760482924</v>
      </c>
      <c r="T3387">
        <f t="shared" si="211"/>
        <v>4.8275862068965517E-2</v>
      </c>
      <c r="U3387" t="str">
        <f>YEAR('Campaign Data'!$A3387)&amp;"-"&amp;TEXT(MONTH('Campaign Data'!$A3387),"00")</f>
        <v>2026-07</v>
      </c>
    </row>
    <row r="3388" spans="1:21" x14ac:dyDescent="0.25">
      <c r="A3388">
        <v>46207</v>
      </c>
      <c r="B3388" t="s">
        <v>157</v>
      </c>
      <c r="C3388" t="s">
        <v>158</v>
      </c>
      <c r="D3388" t="s">
        <v>58</v>
      </c>
      <c r="E3388" t="s">
        <v>49</v>
      </c>
      <c r="F3388" t="s">
        <v>81</v>
      </c>
      <c r="G3388" t="s">
        <v>50</v>
      </c>
      <c r="H3388" t="s">
        <v>71</v>
      </c>
      <c r="I3388" t="s">
        <v>37</v>
      </c>
      <c r="J3388" t="s">
        <v>45</v>
      </c>
      <c r="K3388">
        <v>4366</v>
      </c>
      <c r="L3388">
        <v>135</v>
      </c>
      <c r="M3388">
        <v>337.37</v>
      </c>
      <c r="N3388">
        <v>7</v>
      </c>
      <c r="O3388">
        <v>75.319999999999993</v>
      </c>
      <c r="P3388">
        <f t="shared" si="208"/>
        <v>3.092075125973431E-2</v>
      </c>
      <c r="Q3388">
        <f t="shared" si="208"/>
        <v>2.4990370370370369</v>
      </c>
      <c r="R3388">
        <f t="shared" si="209"/>
        <v>48.195714285714288</v>
      </c>
      <c r="S3388">
        <f t="shared" si="210"/>
        <v>0.22325636541482644</v>
      </c>
      <c r="T3388">
        <f t="shared" si="211"/>
        <v>5.185185185185185E-2</v>
      </c>
      <c r="U3388" t="str">
        <f>YEAR('Campaign Data'!$A3388)&amp;"-"&amp;TEXT(MONTH('Campaign Data'!$A3388),"00")</f>
        <v>2026-07</v>
      </c>
    </row>
    <row r="3389" spans="1:21" x14ac:dyDescent="0.25">
      <c r="A3389">
        <v>46207</v>
      </c>
      <c r="B3389" t="s">
        <v>161</v>
      </c>
      <c r="C3389" t="s">
        <v>162</v>
      </c>
      <c r="D3389" t="s">
        <v>48</v>
      </c>
      <c r="E3389" t="s">
        <v>74</v>
      </c>
      <c r="F3389" t="s">
        <v>34</v>
      </c>
      <c r="G3389" t="s">
        <v>107</v>
      </c>
      <c r="H3389" t="s">
        <v>90</v>
      </c>
      <c r="I3389" t="s">
        <v>28</v>
      </c>
      <c r="J3389" t="s">
        <v>62</v>
      </c>
      <c r="K3389">
        <v>7444</v>
      </c>
      <c r="L3389">
        <v>254</v>
      </c>
      <c r="M3389">
        <v>126.14</v>
      </c>
      <c r="N3389">
        <v>16</v>
      </c>
      <c r="O3389">
        <v>521.37</v>
      </c>
      <c r="P3389">
        <f t="shared" si="208"/>
        <v>3.4121440085975285E-2</v>
      </c>
      <c r="Q3389">
        <f t="shared" si="208"/>
        <v>0.49661417322834644</v>
      </c>
      <c r="R3389">
        <f t="shared" si="209"/>
        <v>7.88375</v>
      </c>
      <c r="S3389">
        <f t="shared" si="210"/>
        <v>4.1332646266053592</v>
      </c>
      <c r="T3389">
        <f t="shared" si="211"/>
        <v>6.2992125984251968E-2</v>
      </c>
      <c r="U3389" t="str">
        <f>YEAR('Campaign Data'!$A3389)&amp;"-"&amp;TEXT(MONTH('Campaign Data'!$A3389),"00")</f>
        <v>2026-07</v>
      </c>
    </row>
    <row r="3390" spans="1:21" x14ac:dyDescent="0.25">
      <c r="A3390">
        <v>46207</v>
      </c>
      <c r="B3390" t="s">
        <v>136</v>
      </c>
      <c r="C3390" t="s">
        <v>137</v>
      </c>
      <c r="D3390" t="s">
        <v>32</v>
      </c>
      <c r="E3390" t="s">
        <v>49</v>
      </c>
      <c r="F3390" t="s">
        <v>75</v>
      </c>
      <c r="G3390" t="s">
        <v>97</v>
      </c>
      <c r="H3390" t="s">
        <v>60</v>
      </c>
      <c r="I3390" t="s">
        <v>37</v>
      </c>
      <c r="J3390" t="s">
        <v>62</v>
      </c>
      <c r="K3390">
        <v>2021</v>
      </c>
      <c r="L3390">
        <v>124</v>
      </c>
      <c r="M3390">
        <v>193.02</v>
      </c>
      <c r="N3390">
        <v>9</v>
      </c>
      <c r="O3390">
        <v>265.14</v>
      </c>
      <c r="P3390">
        <f t="shared" si="208"/>
        <v>6.1355764473033154E-2</v>
      </c>
      <c r="Q3390">
        <f t="shared" si="208"/>
        <v>1.5566129032258065</v>
      </c>
      <c r="R3390">
        <f t="shared" si="209"/>
        <v>21.446666666666669</v>
      </c>
      <c r="S3390">
        <f t="shared" si="210"/>
        <v>1.3736400373018338</v>
      </c>
      <c r="T3390">
        <f t="shared" si="211"/>
        <v>7.2580645161290328E-2</v>
      </c>
      <c r="U3390" t="str">
        <f>YEAR('Campaign Data'!$A3390)&amp;"-"&amp;TEXT(MONTH('Campaign Data'!$A3390),"00")</f>
        <v>2026-07</v>
      </c>
    </row>
    <row r="3391" spans="1:21" x14ac:dyDescent="0.25">
      <c r="A3391">
        <v>46207</v>
      </c>
      <c r="B3391" t="s">
        <v>63</v>
      </c>
      <c r="C3391" t="s">
        <v>64</v>
      </c>
      <c r="D3391" t="s">
        <v>65</v>
      </c>
      <c r="E3391" t="s">
        <v>24</v>
      </c>
      <c r="F3391" t="s">
        <v>43</v>
      </c>
      <c r="G3391" t="s">
        <v>66</v>
      </c>
      <c r="H3391" t="s">
        <v>27</v>
      </c>
      <c r="I3391" t="s">
        <v>37</v>
      </c>
      <c r="J3391" t="s">
        <v>29</v>
      </c>
      <c r="K3391">
        <v>5717</v>
      </c>
      <c r="L3391">
        <v>68</v>
      </c>
      <c r="M3391">
        <v>75.87</v>
      </c>
      <c r="N3391">
        <v>3</v>
      </c>
      <c r="O3391">
        <v>109.12</v>
      </c>
      <c r="P3391">
        <f t="shared" si="208"/>
        <v>1.189435018366276E-2</v>
      </c>
      <c r="Q3391">
        <f t="shared" si="208"/>
        <v>1.115735294117647</v>
      </c>
      <c r="R3391">
        <f t="shared" si="209"/>
        <v>25.290000000000003</v>
      </c>
      <c r="S3391">
        <f t="shared" si="210"/>
        <v>1.4382496375378937</v>
      </c>
      <c r="T3391">
        <f t="shared" si="211"/>
        <v>4.4117647058823532E-2</v>
      </c>
      <c r="U3391" t="str">
        <f>YEAR('Campaign Data'!$A3391)&amp;"-"&amp;TEXT(MONTH('Campaign Data'!$A3391),"00")</f>
        <v>2026-07</v>
      </c>
    </row>
    <row r="3392" spans="1:21" x14ac:dyDescent="0.25">
      <c r="A3392">
        <v>46207</v>
      </c>
      <c r="B3392" t="s">
        <v>163</v>
      </c>
      <c r="C3392" t="s">
        <v>164</v>
      </c>
      <c r="D3392" t="s">
        <v>58</v>
      </c>
      <c r="E3392" t="s">
        <v>42</v>
      </c>
      <c r="F3392" t="s">
        <v>43</v>
      </c>
      <c r="G3392" t="s">
        <v>44</v>
      </c>
      <c r="H3392" t="s">
        <v>71</v>
      </c>
      <c r="I3392" t="s">
        <v>37</v>
      </c>
      <c r="J3392" t="s">
        <v>29</v>
      </c>
      <c r="K3392">
        <v>1910</v>
      </c>
      <c r="L3392">
        <v>6</v>
      </c>
      <c r="M3392">
        <v>29.41</v>
      </c>
      <c r="N3392">
        <v>0</v>
      </c>
      <c r="O3392">
        <v>0</v>
      </c>
      <c r="P3392">
        <f t="shared" si="208"/>
        <v>3.1413612565445027E-3</v>
      </c>
      <c r="Q3392">
        <f t="shared" si="208"/>
        <v>4.9016666666666664</v>
      </c>
      <c r="R3392">
        <f t="shared" si="209"/>
        <v>0</v>
      </c>
      <c r="S3392">
        <f t="shared" si="210"/>
        <v>0</v>
      </c>
      <c r="T3392">
        <f t="shared" si="211"/>
        <v>0</v>
      </c>
      <c r="U3392" t="str">
        <f>YEAR('Campaign Data'!$A3392)&amp;"-"&amp;TEXT(MONTH('Campaign Data'!$A3392),"00")</f>
        <v>2026-07</v>
      </c>
    </row>
    <row r="3393" spans="1:21" x14ac:dyDescent="0.25">
      <c r="A3393">
        <v>46207</v>
      </c>
      <c r="B3393" t="s">
        <v>122</v>
      </c>
      <c r="C3393" t="s">
        <v>123</v>
      </c>
      <c r="D3393" t="s">
        <v>41</v>
      </c>
      <c r="E3393" t="s">
        <v>33</v>
      </c>
      <c r="F3393" t="s">
        <v>75</v>
      </c>
      <c r="G3393" t="s">
        <v>35</v>
      </c>
      <c r="H3393" t="s">
        <v>27</v>
      </c>
      <c r="I3393" t="s">
        <v>61</v>
      </c>
      <c r="J3393" t="s">
        <v>38</v>
      </c>
      <c r="K3393">
        <v>9131</v>
      </c>
      <c r="L3393">
        <v>115</v>
      </c>
      <c r="M3393">
        <v>87.9</v>
      </c>
      <c r="N3393">
        <v>3</v>
      </c>
      <c r="O3393">
        <v>187.33</v>
      </c>
      <c r="P3393">
        <f t="shared" si="208"/>
        <v>1.2594458438287154E-2</v>
      </c>
      <c r="Q3393">
        <f t="shared" si="208"/>
        <v>0.76434782608695662</v>
      </c>
      <c r="R3393">
        <f t="shared" si="209"/>
        <v>29.3</v>
      </c>
      <c r="S3393">
        <f t="shared" si="210"/>
        <v>2.1311717861205914</v>
      </c>
      <c r="T3393">
        <f t="shared" si="211"/>
        <v>2.6086956521739129E-2</v>
      </c>
      <c r="U3393" t="str">
        <f>YEAR('Campaign Data'!$A3393)&amp;"-"&amp;TEXT(MONTH('Campaign Data'!$A3393),"00")</f>
        <v>2026-07</v>
      </c>
    </row>
    <row r="3394" spans="1:21" x14ac:dyDescent="0.25">
      <c r="A3394">
        <v>46207</v>
      </c>
      <c r="B3394" t="s">
        <v>82</v>
      </c>
      <c r="C3394" t="s">
        <v>83</v>
      </c>
      <c r="D3394" t="s">
        <v>80</v>
      </c>
      <c r="E3394" t="s">
        <v>42</v>
      </c>
      <c r="F3394" t="s">
        <v>34</v>
      </c>
      <c r="G3394" t="s">
        <v>84</v>
      </c>
      <c r="H3394" t="s">
        <v>90</v>
      </c>
      <c r="I3394" t="s">
        <v>37</v>
      </c>
      <c r="J3394" t="s">
        <v>62</v>
      </c>
      <c r="K3394">
        <v>3612</v>
      </c>
      <c r="L3394">
        <v>19</v>
      </c>
      <c r="M3394">
        <v>35.590000000000003</v>
      </c>
      <c r="N3394">
        <v>0</v>
      </c>
      <c r="O3394">
        <v>0</v>
      </c>
      <c r="P3394">
        <f t="shared" ref="P3394:Q3457" si="212">IF(K3394=0,0,L3394/K3394)</f>
        <v>5.2602436323366556E-3</v>
      </c>
      <c r="Q3394">
        <f t="shared" si="212"/>
        <v>1.8731578947368424</v>
      </c>
      <c r="R3394">
        <f t="shared" ref="R3394:R3457" si="213">IF(N3394=0,0,M3394/N3394)</f>
        <v>0</v>
      </c>
      <c r="S3394">
        <f t="shared" ref="S3394:S3457" si="214">IF(M3394=0,0,O3394/M3394)</f>
        <v>0</v>
      </c>
      <c r="T3394">
        <f t="shared" ref="T3394:T3457" si="215">IF(L3394=0,0,N3394/L3394)</f>
        <v>0</v>
      </c>
      <c r="U3394" t="str">
        <f>YEAR('Campaign Data'!$A3394)&amp;"-"&amp;TEXT(MONTH('Campaign Data'!$A3394),"00")</f>
        <v>2026-07</v>
      </c>
    </row>
    <row r="3395" spans="1:21" x14ac:dyDescent="0.25">
      <c r="A3395">
        <v>46208</v>
      </c>
      <c r="B3395" t="s">
        <v>175</v>
      </c>
      <c r="C3395" t="s">
        <v>176</v>
      </c>
      <c r="D3395" t="s">
        <v>65</v>
      </c>
      <c r="E3395" t="s">
        <v>49</v>
      </c>
      <c r="F3395" t="s">
        <v>75</v>
      </c>
      <c r="G3395" t="s">
        <v>70</v>
      </c>
      <c r="H3395" t="s">
        <v>51</v>
      </c>
      <c r="I3395" t="s">
        <v>28</v>
      </c>
      <c r="J3395" t="s">
        <v>62</v>
      </c>
      <c r="K3395">
        <v>7347</v>
      </c>
      <c r="L3395">
        <v>372</v>
      </c>
      <c r="M3395">
        <v>563.85</v>
      </c>
      <c r="N3395">
        <v>25</v>
      </c>
      <c r="O3395">
        <v>542.76</v>
      </c>
      <c r="P3395">
        <f t="shared" si="212"/>
        <v>5.0632911392405063E-2</v>
      </c>
      <c r="Q3395">
        <f t="shared" si="212"/>
        <v>1.515725806451613</v>
      </c>
      <c r="R3395">
        <f t="shared" si="213"/>
        <v>22.554000000000002</v>
      </c>
      <c r="S3395">
        <f t="shared" si="214"/>
        <v>0.96259643522213345</v>
      </c>
      <c r="T3395">
        <f t="shared" si="215"/>
        <v>6.7204301075268813E-2</v>
      </c>
      <c r="U3395" t="str">
        <f>YEAR('Campaign Data'!$A3395)&amp;"-"&amp;TEXT(MONTH('Campaign Data'!$A3395),"00")</f>
        <v>2026-07</v>
      </c>
    </row>
    <row r="3396" spans="1:21" x14ac:dyDescent="0.25">
      <c r="A3396">
        <v>46208</v>
      </c>
      <c r="B3396" t="s">
        <v>85</v>
      </c>
      <c r="C3396" t="s">
        <v>86</v>
      </c>
      <c r="D3396" t="s">
        <v>80</v>
      </c>
      <c r="E3396" t="s">
        <v>33</v>
      </c>
      <c r="F3396" t="s">
        <v>43</v>
      </c>
      <c r="G3396" t="s">
        <v>35</v>
      </c>
      <c r="H3396" t="s">
        <v>27</v>
      </c>
      <c r="I3396" t="s">
        <v>28</v>
      </c>
      <c r="J3396" t="s">
        <v>45</v>
      </c>
      <c r="K3396">
        <v>9626</v>
      </c>
      <c r="L3396">
        <v>65</v>
      </c>
      <c r="M3396">
        <v>69.489999999999995</v>
      </c>
      <c r="N3396">
        <v>2</v>
      </c>
      <c r="O3396">
        <v>77.55</v>
      </c>
      <c r="P3396">
        <f t="shared" si="212"/>
        <v>6.7525451901101182E-3</v>
      </c>
      <c r="Q3396">
        <f t="shared" si="212"/>
        <v>1.069076923076923</v>
      </c>
      <c r="R3396">
        <f t="shared" si="213"/>
        <v>34.744999999999997</v>
      </c>
      <c r="S3396">
        <f t="shared" si="214"/>
        <v>1.1159879119297742</v>
      </c>
      <c r="T3396">
        <f t="shared" si="215"/>
        <v>3.0769230769230771E-2</v>
      </c>
      <c r="U3396" t="str">
        <f>YEAR('Campaign Data'!$A3396)&amp;"-"&amp;TEXT(MONTH('Campaign Data'!$A3396),"00")</f>
        <v>2026-07</v>
      </c>
    </row>
    <row r="3397" spans="1:21" x14ac:dyDescent="0.25">
      <c r="A3397">
        <v>46208</v>
      </c>
      <c r="B3397" t="s">
        <v>167</v>
      </c>
      <c r="C3397" t="s">
        <v>168</v>
      </c>
      <c r="D3397" t="s">
        <v>58</v>
      </c>
      <c r="E3397" t="s">
        <v>33</v>
      </c>
      <c r="F3397" t="s">
        <v>75</v>
      </c>
      <c r="G3397" t="s">
        <v>35</v>
      </c>
      <c r="H3397" t="s">
        <v>90</v>
      </c>
      <c r="I3397" t="s">
        <v>37</v>
      </c>
      <c r="J3397" t="s">
        <v>45</v>
      </c>
      <c r="K3397">
        <v>2465</v>
      </c>
      <c r="L3397">
        <v>27</v>
      </c>
      <c r="M3397">
        <v>4.9000000000000004</v>
      </c>
      <c r="N3397">
        <v>0</v>
      </c>
      <c r="O3397">
        <v>0</v>
      </c>
      <c r="P3397">
        <f t="shared" si="212"/>
        <v>1.0953346855983773E-2</v>
      </c>
      <c r="Q3397">
        <f t="shared" si="212"/>
        <v>0.18148148148148149</v>
      </c>
      <c r="R3397">
        <f t="shared" si="213"/>
        <v>0</v>
      </c>
      <c r="S3397">
        <f t="shared" si="214"/>
        <v>0</v>
      </c>
      <c r="T3397">
        <f t="shared" si="215"/>
        <v>0</v>
      </c>
      <c r="U3397" t="str">
        <f>YEAR('Campaign Data'!$A3397)&amp;"-"&amp;TEXT(MONTH('Campaign Data'!$A3397),"00")</f>
        <v>2026-07</v>
      </c>
    </row>
    <row r="3398" spans="1:21" x14ac:dyDescent="0.25">
      <c r="A3398">
        <v>46208</v>
      </c>
      <c r="B3398" t="s">
        <v>149</v>
      </c>
      <c r="C3398" t="s">
        <v>150</v>
      </c>
      <c r="D3398" t="s">
        <v>65</v>
      </c>
      <c r="E3398" t="s">
        <v>33</v>
      </c>
      <c r="F3398" t="s">
        <v>43</v>
      </c>
      <c r="G3398" t="s">
        <v>59</v>
      </c>
      <c r="H3398" t="s">
        <v>27</v>
      </c>
      <c r="I3398" t="s">
        <v>37</v>
      </c>
      <c r="J3398" t="s">
        <v>38</v>
      </c>
      <c r="K3398">
        <v>2729</v>
      </c>
      <c r="L3398">
        <v>20</v>
      </c>
      <c r="M3398">
        <v>18.399999999999999</v>
      </c>
      <c r="N3398">
        <v>0</v>
      </c>
      <c r="O3398">
        <v>0</v>
      </c>
      <c r="P3398">
        <f t="shared" si="212"/>
        <v>7.3286918285086116E-3</v>
      </c>
      <c r="Q3398">
        <f t="shared" si="212"/>
        <v>0.91999999999999993</v>
      </c>
      <c r="R3398">
        <f t="shared" si="213"/>
        <v>0</v>
      </c>
      <c r="S3398">
        <f t="shared" si="214"/>
        <v>0</v>
      </c>
      <c r="T3398">
        <f t="shared" si="215"/>
        <v>0</v>
      </c>
      <c r="U3398" t="str">
        <f>YEAR('Campaign Data'!$A3398)&amp;"-"&amp;TEXT(MONTH('Campaign Data'!$A3398),"00")</f>
        <v>2026-07</v>
      </c>
    </row>
    <row r="3399" spans="1:21" x14ac:dyDescent="0.25">
      <c r="A3399">
        <v>46208</v>
      </c>
      <c r="B3399" t="s">
        <v>91</v>
      </c>
      <c r="C3399" t="s">
        <v>92</v>
      </c>
      <c r="D3399" t="s">
        <v>41</v>
      </c>
      <c r="E3399" t="s">
        <v>74</v>
      </c>
      <c r="F3399" t="s">
        <v>75</v>
      </c>
      <c r="G3399" t="s">
        <v>9</v>
      </c>
      <c r="H3399" t="s">
        <v>60</v>
      </c>
      <c r="I3399" t="s">
        <v>37</v>
      </c>
      <c r="J3399" t="s">
        <v>45</v>
      </c>
      <c r="K3399">
        <v>2435</v>
      </c>
      <c r="L3399">
        <v>87</v>
      </c>
      <c r="M3399">
        <v>115.83</v>
      </c>
      <c r="N3399">
        <v>2</v>
      </c>
      <c r="O3399">
        <v>72.959999999999994</v>
      </c>
      <c r="P3399">
        <f t="shared" si="212"/>
        <v>3.572895277207392E-2</v>
      </c>
      <c r="Q3399">
        <f t="shared" si="212"/>
        <v>1.3313793103448275</v>
      </c>
      <c r="R3399">
        <f t="shared" si="213"/>
        <v>57.914999999999999</v>
      </c>
      <c r="S3399">
        <f t="shared" si="214"/>
        <v>0.62988862988862981</v>
      </c>
      <c r="T3399">
        <f t="shared" si="215"/>
        <v>2.2988505747126436E-2</v>
      </c>
      <c r="U3399" t="str">
        <f>YEAR('Campaign Data'!$A3399)&amp;"-"&amp;TEXT(MONTH('Campaign Data'!$A3399),"00")</f>
        <v>2026-07</v>
      </c>
    </row>
    <row r="3400" spans="1:21" x14ac:dyDescent="0.25">
      <c r="A3400">
        <v>46208</v>
      </c>
      <c r="B3400" t="s">
        <v>186</v>
      </c>
      <c r="C3400" t="s">
        <v>187</v>
      </c>
      <c r="D3400" t="s">
        <v>80</v>
      </c>
      <c r="E3400" t="s">
        <v>33</v>
      </c>
      <c r="F3400" t="s">
        <v>43</v>
      </c>
      <c r="G3400" t="s">
        <v>102</v>
      </c>
      <c r="H3400" t="s">
        <v>36</v>
      </c>
      <c r="I3400" t="s">
        <v>61</v>
      </c>
      <c r="J3400" t="s">
        <v>45</v>
      </c>
      <c r="K3400">
        <v>4500</v>
      </c>
      <c r="L3400">
        <v>43</v>
      </c>
      <c r="M3400">
        <v>23.47</v>
      </c>
      <c r="N3400">
        <v>0</v>
      </c>
      <c r="O3400">
        <v>0</v>
      </c>
      <c r="P3400">
        <f t="shared" si="212"/>
        <v>9.555555555555555E-3</v>
      </c>
      <c r="Q3400">
        <f t="shared" si="212"/>
        <v>0.54581395348837203</v>
      </c>
      <c r="R3400">
        <f t="shared" si="213"/>
        <v>0</v>
      </c>
      <c r="S3400">
        <f t="shared" si="214"/>
        <v>0</v>
      </c>
      <c r="T3400">
        <f t="shared" si="215"/>
        <v>0</v>
      </c>
      <c r="U3400" t="str">
        <f>YEAR('Campaign Data'!$A3400)&amp;"-"&amp;TEXT(MONTH('Campaign Data'!$A3400),"00")</f>
        <v>2026-07</v>
      </c>
    </row>
    <row r="3401" spans="1:21" x14ac:dyDescent="0.25">
      <c r="A3401">
        <v>46208</v>
      </c>
      <c r="B3401" t="s">
        <v>186</v>
      </c>
      <c r="C3401" t="s">
        <v>187</v>
      </c>
      <c r="D3401" t="s">
        <v>80</v>
      </c>
      <c r="E3401" t="s">
        <v>33</v>
      </c>
      <c r="F3401" t="s">
        <v>43</v>
      </c>
      <c r="G3401" t="s">
        <v>102</v>
      </c>
      <c r="H3401" t="s">
        <v>90</v>
      </c>
      <c r="I3401" t="s">
        <v>37</v>
      </c>
      <c r="J3401" t="s">
        <v>45</v>
      </c>
      <c r="K3401">
        <v>12298</v>
      </c>
      <c r="L3401">
        <v>93</v>
      </c>
      <c r="M3401">
        <v>13.55</v>
      </c>
      <c r="N3401">
        <v>1</v>
      </c>
      <c r="O3401">
        <v>6.15</v>
      </c>
      <c r="P3401">
        <f t="shared" si="212"/>
        <v>7.562205236623841E-3</v>
      </c>
      <c r="Q3401">
        <f t="shared" si="212"/>
        <v>0.14569892473118282</v>
      </c>
      <c r="R3401">
        <f t="shared" si="213"/>
        <v>13.55</v>
      </c>
      <c r="S3401">
        <f t="shared" si="214"/>
        <v>0.45387453874538747</v>
      </c>
      <c r="T3401">
        <f t="shared" si="215"/>
        <v>1.0752688172043012E-2</v>
      </c>
      <c r="U3401" t="str">
        <f>YEAR('Campaign Data'!$A3401)&amp;"-"&amp;TEXT(MONTH('Campaign Data'!$A3401),"00")</f>
        <v>2026-07</v>
      </c>
    </row>
    <row r="3402" spans="1:21" x14ac:dyDescent="0.25">
      <c r="A3402">
        <v>46208</v>
      </c>
      <c r="B3402" t="s">
        <v>39</v>
      </c>
      <c r="C3402" t="s">
        <v>40</v>
      </c>
      <c r="D3402" t="s">
        <v>41</v>
      </c>
      <c r="E3402" t="s">
        <v>42</v>
      </c>
      <c r="F3402" t="s">
        <v>43</v>
      </c>
      <c r="G3402" t="s">
        <v>44</v>
      </c>
      <c r="H3402" t="s">
        <v>60</v>
      </c>
      <c r="I3402" t="s">
        <v>37</v>
      </c>
      <c r="J3402" t="s">
        <v>87</v>
      </c>
      <c r="K3402">
        <v>2128</v>
      </c>
      <c r="L3402">
        <v>12</v>
      </c>
      <c r="M3402">
        <v>46.85</v>
      </c>
      <c r="N3402">
        <v>1</v>
      </c>
      <c r="O3402">
        <v>26.68</v>
      </c>
      <c r="P3402">
        <f t="shared" si="212"/>
        <v>5.6390977443609019E-3</v>
      </c>
      <c r="Q3402">
        <f t="shared" si="212"/>
        <v>3.9041666666666668</v>
      </c>
      <c r="R3402">
        <f t="shared" si="213"/>
        <v>46.85</v>
      </c>
      <c r="S3402">
        <f t="shared" si="214"/>
        <v>0.56947705442902874</v>
      </c>
      <c r="T3402">
        <f t="shared" si="215"/>
        <v>8.3333333333333329E-2</v>
      </c>
      <c r="U3402" t="str">
        <f>YEAR('Campaign Data'!$A3402)&amp;"-"&amp;TEXT(MONTH('Campaign Data'!$A3402),"00")</f>
        <v>2026-07</v>
      </c>
    </row>
    <row r="3403" spans="1:21" x14ac:dyDescent="0.25">
      <c r="A3403">
        <v>46208</v>
      </c>
      <c r="B3403" t="s">
        <v>39</v>
      </c>
      <c r="C3403" t="s">
        <v>40</v>
      </c>
      <c r="D3403" t="s">
        <v>41</v>
      </c>
      <c r="E3403" t="s">
        <v>42</v>
      </c>
      <c r="F3403" t="s">
        <v>43</v>
      </c>
      <c r="G3403" t="s">
        <v>44</v>
      </c>
      <c r="H3403" t="s">
        <v>55</v>
      </c>
      <c r="I3403" t="s">
        <v>61</v>
      </c>
      <c r="J3403" t="s">
        <v>45</v>
      </c>
      <c r="K3403">
        <v>16465</v>
      </c>
      <c r="L3403">
        <v>149</v>
      </c>
      <c r="M3403">
        <v>922.78</v>
      </c>
      <c r="N3403">
        <v>5</v>
      </c>
      <c r="O3403">
        <v>164.59</v>
      </c>
      <c r="P3403">
        <f t="shared" si="212"/>
        <v>9.0494989371393865E-3</v>
      </c>
      <c r="Q3403">
        <f t="shared" si="212"/>
        <v>6.1931543624161076</v>
      </c>
      <c r="R3403">
        <f t="shared" si="213"/>
        <v>184.55599999999998</v>
      </c>
      <c r="S3403">
        <f t="shared" si="214"/>
        <v>0.17836320683153081</v>
      </c>
      <c r="T3403">
        <f t="shared" si="215"/>
        <v>3.3557046979865772E-2</v>
      </c>
      <c r="U3403" t="str">
        <f>YEAR('Campaign Data'!$A3403)&amp;"-"&amp;TEXT(MONTH('Campaign Data'!$A3403),"00")</f>
        <v>2026-07</v>
      </c>
    </row>
    <row r="3404" spans="1:21" x14ac:dyDescent="0.25">
      <c r="A3404">
        <v>46208</v>
      </c>
      <c r="B3404" t="s">
        <v>46</v>
      </c>
      <c r="C3404" t="s">
        <v>47</v>
      </c>
      <c r="D3404" t="s">
        <v>48</v>
      </c>
      <c r="E3404" t="s">
        <v>49</v>
      </c>
      <c r="F3404" t="s">
        <v>43</v>
      </c>
      <c r="G3404" t="s">
        <v>50</v>
      </c>
      <c r="H3404" t="s">
        <v>90</v>
      </c>
      <c r="I3404" t="s">
        <v>37</v>
      </c>
      <c r="J3404" t="s">
        <v>38</v>
      </c>
      <c r="K3404">
        <v>8298</v>
      </c>
      <c r="L3404">
        <v>468</v>
      </c>
      <c r="M3404">
        <v>173.64</v>
      </c>
      <c r="N3404">
        <v>19</v>
      </c>
      <c r="O3404">
        <v>95</v>
      </c>
      <c r="P3404">
        <f t="shared" si="212"/>
        <v>5.6399132321041212E-2</v>
      </c>
      <c r="Q3404">
        <f t="shared" si="212"/>
        <v>0.37102564102564101</v>
      </c>
      <c r="R3404">
        <f t="shared" si="213"/>
        <v>9.1389473684210518</v>
      </c>
      <c r="S3404">
        <f t="shared" si="214"/>
        <v>0.54710896106887819</v>
      </c>
      <c r="T3404">
        <f t="shared" si="215"/>
        <v>4.05982905982906E-2</v>
      </c>
      <c r="U3404" t="str">
        <f>YEAR('Campaign Data'!$A3404)&amp;"-"&amp;TEXT(MONTH('Campaign Data'!$A3404),"00")</f>
        <v>2026-07</v>
      </c>
    </row>
    <row r="3405" spans="1:21" x14ac:dyDescent="0.25">
      <c r="A3405">
        <v>46208</v>
      </c>
      <c r="B3405" t="s">
        <v>105</v>
      </c>
      <c r="C3405" t="s">
        <v>106</v>
      </c>
      <c r="D3405" t="s">
        <v>58</v>
      </c>
      <c r="E3405" t="s">
        <v>49</v>
      </c>
      <c r="F3405" t="s">
        <v>81</v>
      </c>
      <c r="G3405" t="s">
        <v>107</v>
      </c>
      <c r="H3405" t="s">
        <v>71</v>
      </c>
      <c r="I3405" t="s">
        <v>37</v>
      </c>
      <c r="J3405" t="s">
        <v>62</v>
      </c>
      <c r="K3405">
        <v>12318</v>
      </c>
      <c r="L3405">
        <v>774</v>
      </c>
      <c r="M3405">
        <v>1403.61</v>
      </c>
      <c r="N3405">
        <v>19</v>
      </c>
      <c r="O3405">
        <v>288.45999999999998</v>
      </c>
      <c r="P3405">
        <f t="shared" si="212"/>
        <v>6.2834875791524594E-2</v>
      </c>
      <c r="Q3405">
        <f t="shared" si="212"/>
        <v>1.8134496124031005</v>
      </c>
      <c r="R3405">
        <f t="shared" si="213"/>
        <v>73.874210526315778</v>
      </c>
      <c r="S3405">
        <f t="shared" si="214"/>
        <v>0.2055129273801127</v>
      </c>
      <c r="T3405">
        <f t="shared" si="215"/>
        <v>2.454780361757106E-2</v>
      </c>
      <c r="U3405" t="str">
        <f>YEAR('Campaign Data'!$A3405)&amp;"-"&amp;TEXT(MONTH('Campaign Data'!$A3405),"00")</f>
        <v>2026-07</v>
      </c>
    </row>
    <row r="3406" spans="1:21" x14ac:dyDescent="0.25">
      <c r="A3406">
        <v>46208</v>
      </c>
      <c r="B3406" t="s">
        <v>177</v>
      </c>
      <c r="C3406" t="s">
        <v>178</v>
      </c>
      <c r="D3406" t="s">
        <v>41</v>
      </c>
      <c r="E3406" t="s">
        <v>49</v>
      </c>
      <c r="F3406" t="s">
        <v>34</v>
      </c>
      <c r="G3406" t="s">
        <v>107</v>
      </c>
      <c r="H3406" t="s">
        <v>27</v>
      </c>
      <c r="I3406" t="s">
        <v>28</v>
      </c>
      <c r="J3406" t="s">
        <v>62</v>
      </c>
      <c r="K3406">
        <v>7286</v>
      </c>
      <c r="L3406">
        <v>235</v>
      </c>
      <c r="M3406">
        <v>601.13</v>
      </c>
      <c r="N3406">
        <v>16</v>
      </c>
      <c r="O3406">
        <v>3292.28</v>
      </c>
      <c r="P3406">
        <f t="shared" si="212"/>
        <v>3.2253637112270105E-2</v>
      </c>
      <c r="Q3406">
        <f t="shared" si="212"/>
        <v>2.5579999999999998</v>
      </c>
      <c r="R3406">
        <f t="shared" si="213"/>
        <v>37.570625</v>
      </c>
      <c r="S3406">
        <f t="shared" si="214"/>
        <v>5.4768186581937357</v>
      </c>
      <c r="T3406">
        <f t="shared" si="215"/>
        <v>6.8085106382978725E-2</v>
      </c>
      <c r="U3406" t="str">
        <f>YEAR('Campaign Data'!$A3406)&amp;"-"&amp;TEXT(MONTH('Campaign Data'!$A3406),"00")</f>
        <v>2026-07</v>
      </c>
    </row>
    <row r="3407" spans="1:21" x14ac:dyDescent="0.25">
      <c r="A3407">
        <v>46208</v>
      </c>
      <c r="B3407" t="s">
        <v>179</v>
      </c>
      <c r="C3407" t="s">
        <v>180</v>
      </c>
      <c r="D3407" t="s">
        <v>58</v>
      </c>
      <c r="E3407" t="s">
        <v>42</v>
      </c>
      <c r="F3407" t="s">
        <v>25</v>
      </c>
      <c r="G3407" t="s">
        <v>54</v>
      </c>
      <c r="H3407" t="s">
        <v>90</v>
      </c>
      <c r="I3407" t="s">
        <v>28</v>
      </c>
      <c r="J3407" t="s">
        <v>87</v>
      </c>
      <c r="K3407">
        <v>4415</v>
      </c>
      <c r="L3407">
        <v>31</v>
      </c>
      <c r="M3407">
        <v>48.05</v>
      </c>
      <c r="N3407">
        <v>0</v>
      </c>
      <c r="O3407">
        <v>0</v>
      </c>
      <c r="P3407">
        <f t="shared" si="212"/>
        <v>7.0215175537938846E-3</v>
      </c>
      <c r="Q3407">
        <f t="shared" si="212"/>
        <v>1.5499999999999998</v>
      </c>
      <c r="R3407">
        <f t="shared" si="213"/>
        <v>0</v>
      </c>
      <c r="S3407">
        <f t="shared" si="214"/>
        <v>0</v>
      </c>
      <c r="T3407">
        <f t="shared" si="215"/>
        <v>0</v>
      </c>
      <c r="U3407" t="str">
        <f>YEAR('Campaign Data'!$A3407)&amp;"-"&amp;TEXT(MONTH('Campaign Data'!$A3407),"00")</f>
        <v>2026-07</v>
      </c>
    </row>
    <row r="3408" spans="1:21" x14ac:dyDescent="0.25">
      <c r="A3408">
        <v>46208</v>
      </c>
      <c r="B3408" t="s">
        <v>141</v>
      </c>
      <c r="C3408" t="s">
        <v>142</v>
      </c>
      <c r="D3408" t="s">
        <v>80</v>
      </c>
      <c r="E3408" t="s">
        <v>49</v>
      </c>
      <c r="F3408" t="s">
        <v>81</v>
      </c>
      <c r="G3408" t="s">
        <v>97</v>
      </c>
      <c r="H3408" t="s">
        <v>60</v>
      </c>
      <c r="I3408" t="s">
        <v>37</v>
      </c>
      <c r="J3408" t="s">
        <v>87</v>
      </c>
      <c r="K3408">
        <v>827</v>
      </c>
      <c r="L3408">
        <v>21</v>
      </c>
      <c r="M3408">
        <v>33.24</v>
      </c>
      <c r="N3408">
        <v>1</v>
      </c>
      <c r="O3408">
        <v>19.04</v>
      </c>
      <c r="P3408">
        <f t="shared" si="212"/>
        <v>2.539298669891173E-2</v>
      </c>
      <c r="Q3408">
        <f t="shared" si="212"/>
        <v>1.582857142857143</v>
      </c>
      <c r="R3408">
        <f t="shared" si="213"/>
        <v>33.24</v>
      </c>
      <c r="S3408">
        <f t="shared" si="214"/>
        <v>0.57280385078219009</v>
      </c>
      <c r="T3408">
        <f t="shared" si="215"/>
        <v>4.7619047619047616E-2</v>
      </c>
      <c r="U3408" t="str">
        <f>YEAR('Campaign Data'!$A3408)&amp;"-"&amp;TEXT(MONTH('Campaign Data'!$A3408),"00")</f>
        <v>2026-07</v>
      </c>
    </row>
    <row r="3409" spans="1:21" x14ac:dyDescent="0.25">
      <c r="A3409">
        <v>46208</v>
      </c>
      <c r="B3409" t="s">
        <v>143</v>
      </c>
      <c r="C3409" t="s">
        <v>144</v>
      </c>
      <c r="D3409" t="s">
        <v>48</v>
      </c>
      <c r="E3409" t="s">
        <v>42</v>
      </c>
      <c r="F3409" t="s">
        <v>25</v>
      </c>
      <c r="G3409" t="s">
        <v>84</v>
      </c>
      <c r="H3409" t="s">
        <v>60</v>
      </c>
      <c r="I3409" t="s">
        <v>37</v>
      </c>
      <c r="J3409" t="s">
        <v>62</v>
      </c>
      <c r="K3409">
        <v>3197</v>
      </c>
      <c r="L3409">
        <v>23</v>
      </c>
      <c r="M3409">
        <v>144.18</v>
      </c>
      <c r="N3409">
        <v>1</v>
      </c>
      <c r="O3409">
        <v>187.11</v>
      </c>
      <c r="P3409">
        <f t="shared" si="212"/>
        <v>7.1942446043165471E-3</v>
      </c>
      <c r="Q3409">
        <f t="shared" si="212"/>
        <v>6.2686956521739132</v>
      </c>
      <c r="R3409">
        <f t="shared" si="213"/>
        <v>144.18</v>
      </c>
      <c r="S3409">
        <f t="shared" si="214"/>
        <v>1.297752808988764</v>
      </c>
      <c r="T3409">
        <f t="shared" si="215"/>
        <v>4.3478260869565216E-2</v>
      </c>
      <c r="U3409" t="str">
        <f>YEAR('Campaign Data'!$A3409)&amp;"-"&amp;TEXT(MONTH('Campaign Data'!$A3409),"00")</f>
        <v>2026-07</v>
      </c>
    </row>
    <row r="3410" spans="1:21" x14ac:dyDescent="0.25">
      <c r="A3410">
        <v>46208</v>
      </c>
      <c r="B3410" t="s">
        <v>67</v>
      </c>
      <c r="C3410" t="s">
        <v>68</v>
      </c>
      <c r="D3410" t="s">
        <v>69</v>
      </c>
      <c r="E3410" t="s">
        <v>49</v>
      </c>
      <c r="F3410" t="s">
        <v>34</v>
      </c>
      <c r="G3410" t="s">
        <v>70</v>
      </c>
      <c r="H3410" t="s">
        <v>90</v>
      </c>
      <c r="I3410" t="s">
        <v>28</v>
      </c>
      <c r="J3410" t="s">
        <v>62</v>
      </c>
      <c r="K3410">
        <v>3187</v>
      </c>
      <c r="L3410">
        <v>127</v>
      </c>
      <c r="M3410">
        <v>60.25</v>
      </c>
      <c r="N3410">
        <v>8</v>
      </c>
      <c r="O3410">
        <v>181.17</v>
      </c>
      <c r="P3410">
        <f t="shared" si="212"/>
        <v>3.9849388139315968E-2</v>
      </c>
      <c r="Q3410">
        <f t="shared" si="212"/>
        <v>0.47440944881889763</v>
      </c>
      <c r="R3410">
        <f t="shared" si="213"/>
        <v>7.53125</v>
      </c>
      <c r="S3410">
        <f t="shared" si="214"/>
        <v>3.0069709543568464</v>
      </c>
      <c r="T3410">
        <f t="shared" si="215"/>
        <v>6.2992125984251968E-2</v>
      </c>
      <c r="U3410" t="str">
        <f>YEAR('Campaign Data'!$A3410)&amp;"-"&amp;TEXT(MONTH('Campaign Data'!$A3410),"00")</f>
        <v>2026-07</v>
      </c>
    </row>
    <row r="3411" spans="1:21" x14ac:dyDescent="0.25">
      <c r="A3411">
        <v>46208</v>
      </c>
      <c r="B3411" t="s">
        <v>72</v>
      </c>
      <c r="C3411" t="s">
        <v>73</v>
      </c>
      <c r="D3411" t="s">
        <v>69</v>
      </c>
      <c r="E3411" t="s">
        <v>74</v>
      </c>
      <c r="F3411" t="s">
        <v>75</v>
      </c>
      <c r="G3411" t="s">
        <v>9</v>
      </c>
      <c r="H3411" t="s">
        <v>27</v>
      </c>
      <c r="I3411" t="s">
        <v>37</v>
      </c>
      <c r="J3411" t="s">
        <v>45</v>
      </c>
      <c r="K3411">
        <v>4572</v>
      </c>
      <c r="L3411">
        <v>145</v>
      </c>
      <c r="M3411">
        <v>202.18</v>
      </c>
      <c r="N3411">
        <v>9</v>
      </c>
      <c r="O3411">
        <v>221.62</v>
      </c>
      <c r="P3411">
        <f t="shared" si="212"/>
        <v>3.1714785651793524E-2</v>
      </c>
      <c r="Q3411">
        <f t="shared" si="212"/>
        <v>1.3943448275862069</v>
      </c>
      <c r="R3411">
        <f t="shared" si="213"/>
        <v>22.464444444444446</v>
      </c>
      <c r="S3411">
        <f t="shared" si="214"/>
        <v>1.0961519438124443</v>
      </c>
      <c r="T3411">
        <f t="shared" si="215"/>
        <v>6.2068965517241378E-2</v>
      </c>
      <c r="U3411" t="str">
        <f>YEAR('Campaign Data'!$A3411)&amp;"-"&amp;TEXT(MONTH('Campaign Data'!$A3411),"00")</f>
        <v>2026-07</v>
      </c>
    </row>
    <row r="3412" spans="1:21" x14ac:dyDescent="0.25">
      <c r="A3412">
        <v>46208</v>
      </c>
      <c r="B3412" t="s">
        <v>116</v>
      </c>
      <c r="C3412" t="s">
        <v>117</v>
      </c>
      <c r="D3412" t="s">
        <v>48</v>
      </c>
      <c r="E3412" t="s">
        <v>24</v>
      </c>
      <c r="F3412" t="s">
        <v>43</v>
      </c>
      <c r="G3412" t="s">
        <v>26</v>
      </c>
      <c r="H3412" t="s">
        <v>90</v>
      </c>
      <c r="I3412" t="s">
        <v>37</v>
      </c>
      <c r="J3412" t="s">
        <v>45</v>
      </c>
      <c r="K3412">
        <v>4407</v>
      </c>
      <c r="L3412">
        <v>23</v>
      </c>
      <c r="M3412">
        <v>3.47</v>
      </c>
      <c r="N3412">
        <v>0</v>
      </c>
      <c r="O3412">
        <v>0</v>
      </c>
      <c r="P3412">
        <f t="shared" si="212"/>
        <v>5.2189698207397326E-3</v>
      </c>
      <c r="Q3412">
        <f t="shared" si="212"/>
        <v>0.15086956521739131</v>
      </c>
      <c r="R3412">
        <f t="shared" si="213"/>
        <v>0</v>
      </c>
      <c r="S3412">
        <f t="shared" si="214"/>
        <v>0</v>
      </c>
      <c r="T3412">
        <f t="shared" si="215"/>
        <v>0</v>
      </c>
      <c r="U3412" t="str">
        <f>YEAR('Campaign Data'!$A3412)&amp;"-"&amp;TEXT(MONTH('Campaign Data'!$A3412),"00")</f>
        <v>2026-07</v>
      </c>
    </row>
    <row r="3413" spans="1:21" x14ac:dyDescent="0.25">
      <c r="A3413">
        <v>46208</v>
      </c>
      <c r="B3413" t="s">
        <v>118</v>
      </c>
      <c r="C3413" t="s">
        <v>119</v>
      </c>
      <c r="D3413" t="s">
        <v>69</v>
      </c>
      <c r="E3413" t="s">
        <v>33</v>
      </c>
      <c r="F3413" t="s">
        <v>34</v>
      </c>
      <c r="G3413" t="s">
        <v>35</v>
      </c>
      <c r="H3413" t="s">
        <v>90</v>
      </c>
      <c r="I3413" t="s">
        <v>28</v>
      </c>
      <c r="J3413" t="s">
        <v>29</v>
      </c>
      <c r="K3413">
        <v>4782</v>
      </c>
      <c r="L3413">
        <v>39</v>
      </c>
      <c r="M3413">
        <v>6.41</v>
      </c>
      <c r="N3413">
        <v>0</v>
      </c>
      <c r="O3413">
        <v>0</v>
      </c>
      <c r="P3413">
        <f t="shared" si="212"/>
        <v>8.1555834378920951E-3</v>
      </c>
      <c r="Q3413">
        <f t="shared" si="212"/>
        <v>0.16435897435897437</v>
      </c>
      <c r="R3413">
        <f t="shared" si="213"/>
        <v>0</v>
      </c>
      <c r="S3413">
        <f t="shared" si="214"/>
        <v>0</v>
      </c>
      <c r="T3413">
        <f t="shared" si="215"/>
        <v>0</v>
      </c>
      <c r="U3413" t="str">
        <f>YEAR('Campaign Data'!$A3413)&amp;"-"&amp;TEXT(MONTH('Campaign Data'!$A3413),"00")</f>
        <v>2026-07</v>
      </c>
    </row>
    <row r="3414" spans="1:21" x14ac:dyDescent="0.25">
      <c r="A3414">
        <v>46208</v>
      </c>
      <c r="B3414" t="s">
        <v>145</v>
      </c>
      <c r="C3414" t="s">
        <v>146</v>
      </c>
      <c r="D3414" t="s">
        <v>41</v>
      </c>
      <c r="E3414" t="s">
        <v>49</v>
      </c>
      <c r="F3414" t="s">
        <v>75</v>
      </c>
      <c r="G3414" t="s">
        <v>70</v>
      </c>
      <c r="H3414" t="s">
        <v>90</v>
      </c>
      <c r="I3414" t="s">
        <v>28</v>
      </c>
      <c r="J3414" t="s">
        <v>62</v>
      </c>
      <c r="K3414">
        <v>3825</v>
      </c>
      <c r="L3414">
        <v>286</v>
      </c>
      <c r="M3414">
        <v>138.03</v>
      </c>
      <c r="N3414">
        <v>22</v>
      </c>
      <c r="O3414">
        <v>360.78</v>
      </c>
      <c r="P3414">
        <f t="shared" si="212"/>
        <v>7.4771241830065366E-2</v>
      </c>
      <c r="Q3414">
        <f t="shared" si="212"/>
        <v>0.48262237762237764</v>
      </c>
      <c r="R3414">
        <f t="shared" si="213"/>
        <v>6.2740909090909094</v>
      </c>
      <c r="S3414">
        <f t="shared" si="214"/>
        <v>2.6137796131275808</v>
      </c>
      <c r="T3414">
        <f t="shared" si="215"/>
        <v>7.6923076923076927E-2</v>
      </c>
      <c r="U3414" t="str">
        <f>YEAR('Campaign Data'!$A3414)&amp;"-"&amp;TEXT(MONTH('Campaign Data'!$A3414),"00")</f>
        <v>2026-07</v>
      </c>
    </row>
    <row r="3415" spans="1:21" x14ac:dyDescent="0.25">
      <c r="A3415">
        <v>46208</v>
      </c>
      <c r="B3415" t="s">
        <v>120</v>
      </c>
      <c r="C3415" t="s">
        <v>121</v>
      </c>
      <c r="D3415" t="s">
        <v>23</v>
      </c>
      <c r="E3415" t="s">
        <v>49</v>
      </c>
      <c r="F3415" t="s">
        <v>75</v>
      </c>
      <c r="G3415" t="s">
        <v>70</v>
      </c>
      <c r="H3415" t="s">
        <v>36</v>
      </c>
      <c r="I3415" t="s">
        <v>37</v>
      </c>
      <c r="J3415" t="s">
        <v>62</v>
      </c>
      <c r="K3415">
        <v>11341</v>
      </c>
      <c r="L3415">
        <v>659</v>
      </c>
      <c r="M3415">
        <v>1119.42</v>
      </c>
      <c r="N3415">
        <v>47</v>
      </c>
      <c r="O3415">
        <v>1562.4</v>
      </c>
      <c r="P3415">
        <f t="shared" si="212"/>
        <v>5.8107750639273432E-2</v>
      </c>
      <c r="Q3415">
        <f t="shared" si="212"/>
        <v>1.6986646433990897</v>
      </c>
      <c r="R3415">
        <f t="shared" si="213"/>
        <v>23.817446808510638</v>
      </c>
      <c r="S3415">
        <f t="shared" si="214"/>
        <v>1.3957227850136678</v>
      </c>
      <c r="T3415">
        <f t="shared" si="215"/>
        <v>7.1320182094081946E-2</v>
      </c>
      <c r="U3415" t="str">
        <f>YEAR('Campaign Data'!$A3415)&amp;"-"&amp;TEXT(MONTH('Campaign Data'!$A3415),"00")</f>
        <v>2026-07</v>
      </c>
    </row>
    <row r="3416" spans="1:21" x14ac:dyDescent="0.25">
      <c r="A3416">
        <v>46209</v>
      </c>
      <c r="B3416" t="s">
        <v>21</v>
      </c>
      <c r="C3416" t="s">
        <v>124</v>
      </c>
      <c r="D3416" t="s">
        <v>23</v>
      </c>
      <c r="E3416" t="s">
        <v>24</v>
      </c>
      <c r="F3416" t="s">
        <v>25</v>
      </c>
      <c r="G3416" t="s">
        <v>26</v>
      </c>
      <c r="H3416" t="s">
        <v>27</v>
      </c>
      <c r="I3416" t="s">
        <v>37</v>
      </c>
      <c r="J3416" t="s">
        <v>87</v>
      </c>
      <c r="K3416">
        <v>2976</v>
      </c>
      <c r="L3416">
        <v>54</v>
      </c>
      <c r="M3416">
        <v>73.430000000000007</v>
      </c>
      <c r="N3416">
        <v>2</v>
      </c>
      <c r="O3416">
        <v>609.71</v>
      </c>
      <c r="P3416">
        <f t="shared" si="212"/>
        <v>1.8145161290322582E-2</v>
      </c>
      <c r="Q3416">
        <f t="shared" si="212"/>
        <v>1.359814814814815</v>
      </c>
      <c r="R3416">
        <f t="shared" si="213"/>
        <v>36.715000000000003</v>
      </c>
      <c r="S3416">
        <f t="shared" si="214"/>
        <v>8.3032820373144496</v>
      </c>
      <c r="T3416">
        <f t="shared" si="215"/>
        <v>3.7037037037037035E-2</v>
      </c>
      <c r="U3416" t="str">
        <f>YEAR('Campaign Data'!$A3416)&amp;"-"&amp;TEXT(MONTH('Campaign Data'!$A3416),"00")</f>
        <v>2026-07</v>
      </c>
    </row>
    <row r="3417" spans="1:21" x14ac:dyDescent="0.25">
      <c r="A3417">
        <v>46209</v>
      </c>
      <c r="B3417" t="s">
        <v>167</v>
      </c>
      <c r="C3417" t="s">
        <v>168</v>
      </c>
      <c r="D3417" t="s">
        <v>58</v>
      </c>
      <c r="E3417" t="s">
        <v>33</v>
      </c>
      <c r="F3417" t="s">
        <v>75</v>
      </c>
      <c r="G3417" t="s">
        <v>35</v>
      </c>
      <c r="H3417" t="s">
        <v>90</v>
      </c>
      <c r="I3417" t="s">
        <v>28</v>
      </c>
      <c r="J3417" t="s">
        <v>45</v>
      </c>
      <c r="K3417">
        <v>29960</v>
      </c>
      <c r="L3417">
        <v>320</v>
      </c>
      <c r="M3417">
        <v>36.46</v>
      </c>
      <c r="N3417">
        <v>4</v>
      </c>
      <c r="O3417">
        <v>39.479999999999997</v>
      </c>
      <c r="P3417">
        <f t="shared" si="212"/>
        <v>1.0680907877169559E-2</v>
      </c>
      <c r="Q3417">
        <f t="shared" si="212"/>
        <v>0.1139375</v>
      </c>
      <c r="R3417">
        <f t="shared" si="213"/>
        <v>9.1150000000000002</v>
      </c>
      <c r="S3417">
        <f t="shared" si="214"/>
        <v>1.0828304991771804</v>
      </c>
      <c r="T3417">
        <f t="shared" si="215"/>
        <v>1.2500000000000001E-2</v>
      </c>
      <c r="U3417" t="str">
        <f>YEAR('Campaign Data'!$A3417)&amp;"-"&amp;TEXT(MONTH('Campaign Data'!$A3417),"00")</f>
        <v>2026-07</v>
      </c>
    </row>
    <row r="3418" spans="1:21" x14ac:dyDescent="0.25">
      <c r="A3418">
        <v>46209</v>
      </c>
      <c r="B3418" t="s">
        <v>125</v>
      </c>
      <c r="C3418" t="s">
        <v>126</v>
      </c>
      <c r="D3418" t="s">
        <v>41</v>
      </c>
      <c r="E3418" t="s">
        <v>42</v>
      </c>
      <c r="F3418" t="s">
        <v>81</v>
      </c>
      <c r="G3418" t="s">
        <v>44</v>
      </c>
      <c r="H3418" t="s">
        <v>27</v>
      </c>
      <c r="I3418" t="s">
        <v>37</v>
      </c>
      <c r="J3418" t="s">
        <v>45</v>
      </c>
      <c r="K3418">
        <v>16166</v>
      </c>
      <c r="L3418">
        <v>108</v>
      </c>
      <c r="M3418">
        <v>613.99</v>
      </c>
      <c r="N3418">
        <v>6</v>
      </c>
      <c r="O3418">
        <v>120.2</v>
      </c>
      <c r="P3418">
        <f t="shared" si="212"/>
        <v>6.6806878634170482E-3</v>
      </c>
      <c r="Q3418">
        <f t="shared" si="212"/>
        <v>5.6850925925925928</v>
      </c>
      <c r="R3418">
        <f t="shared" si="213"/>
        <v>102.33166666666666</v>
      </c>
      <c r="S3418">
        <f t="shared" si="214"/>
        <v>0.19576866072737342</v>
      </c>
      <c r="T3418">
        <f t="shared" si="215"/>
        <v>5.5555555555555552E-2</v>
      </c>
      <c r="U3418" t="str">
        <f>YEAR('Campaign Data'!$A3418)&amp;"-"&amp;TEXT(MONTH('Campaign Data'!$A3418),"00")</f>
        <v>2026-07</v>
      </c>
    </row>
    <row r="3419" spans="1:21" x14ac:dyDescent="0.25">
      <c r="A3419">
        <v>46209</v>
      </c>
      <c r="B3419" t="s">
        <v>138</v>
      </c>
      <c r="C3419" t="s">
        <v>139</v>
      </c>
      <c r="D3419" t="s">
        <v>58</v>
      </c>
      <c r="E3419" t="s">
        <v>74</v>
      </c>
      <c r="F3419" t="s">
        <v>34</v>
      </c>
      <c r="G3419" t="s">
        <v>9</v>
      </c>
      <c r="H3419" t="s">
        <v>90</v>
      </c>
      <c r="I3419" t="s">
        <v>37</v>
      </c>
      <c r="J3419" t="s">
        <v>62</v>
      </c>
      <c r="K3419">
        <v>2092</v>
      </c>
      <c r="L3419">
        <v>111</v>
      </c>
      <c r="M3419">
        <v>38.450000000000003</v>
      </c>
      <c r="N3419">
        <v>3</v>
      </c>
      <c r="O3419">
        <v>137.57</v>
      </c>
      <c r="P3419">
        <f t="shared" si="212"/>
        <v>5.3059273422562142E-2</v>
      </c>
      <c r="Q3419">
        <f t="shared" si="212"/>
        <v>0.34639639639639641</v>
      </c>
      <c r="R3419">
        <f t="shared" si="213"/>
        <v>12.816666666666668</v>
      </c>
      <c r="S3419">
        <f t="shared" si="214"/>
        <v>3.5778933680104026</v>
      </c>
      <c r="T3419">
        <f t="shared" si="215"/>
        <v>2.7027027027027029E-2</v>
      </c>
      <c r="U3419" t="str">
        <f>YEAR('Campaign Data'!$A3419)&amp;"-"&amp;TEXT(MONTH('Campaign Data'!$A3419),"00")</f>
        <v>2026-07</v>
      </c>
    </row>
    <row r="3420" spans="1:21" x14ac:dyDescent="0.25">
      <c r="A3420">
        <v>46209</v>
      </c>
      <c r="B3420" t="s">
        <v>149</v>
      </c>
      <c r="C3420" t="s">
        <v>150</v>
      </c>
      <c r="D3420" t="s">
        <v>65</v>
      </c>
      <c r="E3420" t="s">
        <v>33</v>
      </c>
      <c r="F3420" t="s">
        <v>43</v>
      </c>
      <c r="G3420" t="s">
        <v>59</v>
      </c>
      <c r="H3420" t="s">
        <v>51</v>
      </c>
      <c r="I3420" t="s">
        <v>37</v>
      </c>
      <c r="J3420" t="s">
        <v>29</v>
      </c>
      <c r="K3420">
        <v>6329</v>
      </c>
      <c r="L3420">
        <v>81</v>
      </c>
      <c r="M3420">
        <v>32.21</v>
      </c>
      <c r="N3420">
        <v>0</v>
      </c>
      <c r="O3420">
        <v>0</v>
      </c>
      <c r="P3420">
        <f t="shared" si="212"/>
        <v>1.2798230368146627E-2</v>
      </c>
      <c r="Q3420">
        <f t="shared" si="212"/>
        <v>0.39765432098765435</v>
      </c>
      <c r="R3420">
        <f t="shared" si="213"/>
        <v>0</v>
      </c>
      <c r="S3420">
        <f t="shared" si="214"/>
        <v>0</v>
      </c>
      <c r="T3420">
        <f t="shared" si="215"/>
        <v>0</v>
      </c>
      <c r="U3420" t="str">
        <f>YEAR('Campaign Data'!$A3420)&amp;"-"&amp;TEXT(MONTH('Campaign Data'!$A3420),"00")</f>
        <v>2026-07</v>
      </c>
    </row>
    <row r="3421" spans="1:21" x14ac:dyDescent="0.25">
      <c r="A3421">
        <v>46209</v>
      </c>
      <c r="B3421" t="s">
        <v>93</v>
      </c>
      <c r="C3421" t="s">
        <v>94</v>
      </c>
      <c r="D3421" t="s">
        <v>69</v>
      </c>
      <c r="E3421" t="s">
        <v>42</v>
      </c>
      <c r="F3421" t="s">
        <v>75</v>
      </c>
      <c r="G3421" t="s">
        <v>44</v>
      </c>
      <c r="H3421" t="s">
        <v>90</v>
      </c>
      <c r="I3421" t="s">
        <v>37</v>
      </c>
      <c r="J3421" t="s">
        <v>62</v>
      </c>
      <c r="K3421">
        <v>7956</v>
      </c>
      <c r="L3421">
        <v>93</v>
      </c>
      <c r="M3421">
        <v>137.94999999999999</v>
      </c>
      <c r="N3421">
        <v>3</v>
      </c>
      <c r="O3421">
        <v>29.45</v>
      </c>
      <c r="P3421">
        <f t="shared" si="212"/>
        <v>1.1689291101055807E-2</v>
      </c>
      <c r="Q3421">
        <f t="shared" si="212"/>
        <v>1.4833333333333332</v>
      </c>
      <c r="R3421">
        <f t="shared" si="213"/>
        <v>45.983333333333327</v>
      </c>
      <c r="S3421">
        <f t="shared" si="214"/>
        <v>0.21348314606741575</v>
      </c>
      <c r="T3421">
        <f t="shared" si="215"/>
        <v>3.2258064516129031E-2</v>
      </c>
      <c r="U3421" t="str">
        <f>YEAR('Campaign Data'!$A3421)&amp;"-"&amp;TEXT(MONTH('Campaign Data'!$A3421),"00")</f>
        <v>2026-07</v>
      </c>
    </row>
    <row r="3422" spans="1:21" x14ac:dyDescent="0.25">
      <c r="A3422">
        <v>46209</v>
      </c>
      <c r="B3422" t="s">
        <v>30</v>
      </c>
      <c r="C3422" t="s">
        <v>31</v>
      </c>
      <c r="D3422" t="s">
        <v>32</v>
      </c>
      <c r="E3422" t="s">
        <v>33</v>
      </c>
      <c r="F3422" t="s">
        <v>34</v>
      </c>
      <c r="G3422" t="s">
        <v>35</v>
      </c>
      <c r="H3422" t="s">
        <v>36</v>
      </c>
      <c r="I3422" t="s">
        <v>61</v>
      </c>
      <c r="J3422" t="s">
        <v>45</v>
      </c>
      <c r="K3422">
        <v>3928</v>
      </c>
      <c r="L3422">
        <v>31</v>
      </c>
      <c r="M3422">
        <v>25.4</v>
      </c>
      <c r="N3422">
        <v>1</v>
      </c>
      <c r="O3422">
        <v>60.08</v>
      </c>
      <c r="P3422">
        <f t="shared" si="212"/>
        <v>7.8920570264765788E-3</v>
      </c>
      <c r="Q3422">
        <f t="shared" si="212"/>
        <v>0.8193548387096774</v>
      </c>
      <c r="R3422">
        <f t="shared" si="213"/>
        <v>25.4</v>
      </c>
      <c r="S3422">
        <f t="shared" si="214"/>
        <v>2.3653543307086613</v>
      </c>
      <c r="T3422">
        <f t="shared" si="215"/>
        <v>3.2258064516129031E-2</v>
      </c>
      <c r="U3422" t="str">
        <f>YEAR('Campaign Data'!$A3422)&amp;"-"&amp;TEXT(MONTH('Campaign Data'!$A3422),"00")</f>
        <v>2026-07</v>
      </c>
    </row>
    <row r="3423" spans="1:21" x14ac:dyDescent="0.25">
      <c r="A3423">
        <v>46209</v>
      </c>
      <c r="B3423" t="s">
        <v>30</v>
      </c>
      <c r="C3423" t="s">
        <v>31</v>
      </c>
      <c r="D3423" t="s">
        <v>32</v>
      </c>
      <c r="E3423" t="s">
        <v>33</v>
      </c>
      <c r="F3423" t="s">
        <v>34</v>
      </c>
      <c r="G3423" t="s">
        <v>35</v>
      </c>
      <c r="H3423" t="s">
        <v>55</v>
      </c>
      <c r="I3423" t="s">
        <v>37</v>
      </c>
      <c r="J3423" t="s">
        <v>62</v>
      </c>
      <c r="K3423">
        <v>2030</v>
      </c>
      <c r="L3423">
        <v>19</v>
      </c>
      <c r="M3423">
        <v>5.66</v>
      </c>
      <c r="N3423">
        <v>2</v>
      </c>
      <c r="O3423">
        <v>240.31</v>
      </c>
      <c r="P3423">
        <f t="shared" si="212"/>
        <v>9.3596059113300496E-3</v>
      </c>
      <c r="Q3423">
        <f t="shared" si="212"/>
        <v>0.29789473684210527</v>
      </c>
      <c r="R3423">
        <f t="shared" si="213"/>
        <v>2.83</v>
      </c>
      <c r="S3423">
        <f t="shared" si="214"/>
        <v>42.457597173144876</v>
      </c>
      <c r="T3423">
        <f t="shared" si="215"/>
        <v>0.10526315789473684</v>
      </c>
      <c r="U3423" t="str">
        <f>YEAR('Campaign Data'!$A3423)&amp;"-"&amp;TEXT(MONTH('Campaign Data'!$A3423),"00")</f>
        <v>2026-07</v>
      </c>
    </row>
    <row r="3424" spans="1:21" x14ac:dyDescent="0.25">
      <c r="A3424">
        <v>46209</v>
      </c>
      <c r="B3424" t="s">
        <v>46</v>
      </c>
      <c r="C3424" t="s">
        <v>47</v>
      </c>
      <c r="D3424" t="s">
        <v>48</v>
      </c>
      <c r="E3424" t="s">
        <v>49</v>
      </c>
      <c r="F3424" t="s">
        <v>43</v>
      </c>
      <c r="G3424" t="s">
        <v>50</v>
      </c>
      <c r="H3424" t="s">
        <v>27</v>
      </c>
      <c r="I3424" t="s">
        <v>37</v>
      </c>
      <c r="J3424" t="s">
        <v>29</v>
      </c>
      <c r="K3424">
        <v>3281</v>
      </c>
      <c r="L3424">
        <v>205</v>
      </c>
      <c r="M3424">
        <v>457.94</v>
      </c>
      <c r="N3424">
        <v>8</v>
      </c>
      <c r="O3424">
        <v>314.8</v>
      </c>
      <c r="P3424">
        <f t="shared" si="212"/>
        <v>6.2480950929594638E-2</v>
      </c>
      <c r="Q3424">
        <f t="shared" si="212"/>
        <v>2.2338536585365856</v>
      </c>
      <c r="R3424">
        <f t="shared" si="213"/>
        <v>57.2425</v>
      </c>
      <c r="S3424">
        <f t="shared" si="214"/>
        <v>0.68742630038869723</v>
      </c>
      <c r="T3424">
        <f t="shared" si="215"/>
        <v>3.9024390243902439E-2</v>
      </c>
      <c r="U3424" t="str">
        <f>YEAR('Campaign Data'!$A3424)&amp;"-"&amp;TEXT(MONTH('Campaign Data'!$A3424),"00")</f>
        <v>2026-07</v>
      </c>
    </row>
    <row r="3425" spans="1:21" x14ac:dyDescent="0.25">
      <c r="A3425">
        <v>46209</v>
      </c>
      <c r="B3425" t="s">
        <v>98</v>
      </c>
      <c r="C3425" t="s">
        <v>99</v>
      </c>
      <c r="D3425" t="s">
        <v>69</v>
      </c>
      <c r="E3425" t="s">
        <v>24</v>
      </c>
      <c r="F3425" t="s">
        <v>75</v>
      </c>
      <c r="G3425" t="s">
        <v>66</v>
      </c>
      <c r="H3425" t="s">
        <v>90</v>
      </c>
      <c r="I3425" t="s">
        <v>37</v>
      </c>
      <c r="J3425" t="s">
        <v>62</v>
      </c>
      <c r="K3425">
        <v>5868</v>
      </c>
      <c r="L3425">
        <v>107</v>
      </c>
      <c r="M3425">
        <v>38.619999999999997</v>
      </c>
      <c r="N3425">
        <v>1</v>
      </c>
      <c r="O3425">
        <v>10.49</v>
      </c>
      <c r="P3425">
        <f t="shared" si="212"/>
        <v>1.8234492160872529E-2</v>
      </c>
      <c r="Q3425">
        <f t="shared" si="212"/>
        <v>0.36093457943925233</v>
      </c>
      <c r="R3425">
        <f t="shared" si="213"/>
        <v>38.619999999999997</v>
      </c>
      <c r="S3425">
        <f t="shared" si="214"/>
        <v>0.27162092180217506</v>
      </c>
      <c r="T3425">
        <f t="shared" si="215"/>
        <v>9.3457943925233638E-3</v>
      </c>
      <c r="U3425" t="str">
        <f>YEAR('Campaign Data'!$A3425)&amp;"-"&amp;TEXT(MONTH('Campaign Data'!$A3425),"00")</f>
        <v>2026-07</v>
      </c>
    </row>
    <row r="3426" spans="1:21" x14ac:dyDescent="0.25">
      <c r="A3426">
        <v>46209</v>
      </c>
      <c r="B3426" t="s">
        <v>169</v>
      </c>
      <c r="C3426" t="s">
        <v>170</v>
      </c>
      <c r="D3426" t="s">
        <v>58</v>
      </c>
      <c r="E3426" t="s">
        <v>74</v>
      </c>
      <c r="F3426" t="s">
        <v>75</v>
      </c>
      <c r="G3426" t="s">
        <v>9</v>
      </c>
      <c r="H3426" t="s">
        <v>90</v>
      </c>
      <c r="I3426" t="s">
        <v>37</v>
      </c>
      <c r="J3426" t="s">
        <v>29</v>
      </c>
      <c r="K3426">
        <v>8088</v>
      </c>
      <c r="L3426">
        <v>287</v>
      </c>
      <c r="M3426">
        <v>103.26</v>
      </c>
      <c r="N3426">
        <v>14</v>
      </c>
      <c r="O3426">
        <v>149.31</v>
      </c>
      <c r="P3426">
        <f t="shared" si="212"/>
        <v>3.5484668644906035E-2</v>
      </c>
      <c r="Q3426">
        <f t="shared" si="212"/>
        <v>0.35979094076655055</v>
      </c>
      <c r="R3426">
        <f t="shared" si="213"/>
        <v>7.3757142857142863</v>
      </c>
      <c r="S3426">
        <f t="shared" si="214"/>
        <v>1.4459616502033701</v>
      </c>
      <c r="T3426">
        <f t="shared" si="215"/>
        <v>4.878048780487805E-2</v>
      </c>
      <c r="U3426" t="str">
        <f>YEAR('Campaign Data'!$A3426)&amp;"-"&amp;TEXT(MONTH('Campaign Data'!$A3426),"00")</f>
        <v>2026-07</v>
      </c>
    </row>
    <row r="3427" spans="1:21" x14ac:dyDescent="0.25">
      <c r="A3427">
        <v>46209</v>
      </c>
      <c r="B3427" t="s">
        <v>105</v>
      </c>
      <c r="C3427" t="s">
        <v>106</v>
      </c>
      <c r="D3427" t="s">
        <v>58</v>
      </c>
      <c r="E3427" t="s">
        <v>49</v>
      </c>
      <c r="F3427" t="s">
        <v>81</v>
      </c>
      <c r="G3427" t="s">
        <v>107</v>
      </c>
      <c r="H3427" t="s">
        <v>90</v>
      </c>
      <c r="I3427" t="s">
        <v>37</v>
      </c>
      <c r="J3427" t="s">
        <v>62</v>
      </c>
      <c r="K3427">
        <v>4911</v>
      </c>
      <c r="L3427">
        <v>279</v>
      </c>
      <c r="M3427">
        <v>134.16</v>
      </c>
      <c r="N3427">
        <v>18</v>
      </c>
      <c r="O3427">
        <v>90</v>
      </c>
      <c r="P3427">
        <f t="shared" si="212"/>
        <v>5.6811240073304826E-2</v>
      </c>
      <c r="Q3427">
        <f t="shared" si="212"/>
        <v>0.48086021505376342</v>
      </c>
      <c r="R3427">
        <f t="shared" si="213"/>
        <v>7.4533333333333331</v>
      </c>
      <c r="S3427">
        <f t="shared" si="214"/>
        <v>0.67084078711985695</v>
      </c>
      <c r="T3427">
        <f t="shared" si="215"/>
        <v>6.4516129032258063E-2</v>
      </c>
      <c r="U3427" t="str">
        <f>YEAR('Campaign Data'!$A3427)&amp;"-"&amp;TEXT(MONTH('Campaign Data'!$A3427),"00")</f>
        <v>2026-07</v>
      </c>
    </row>
    <row r="3428" spans="1:21" x14ac:dyDescent="0.25">
      <c r="A3428">
        <v>46209</v>
      </c>
      <c r="B3428" t="s">
        <v>132</v>
      </c>
      <c r="C3428" t="s">
        <v>133</v>
      </c>
      <c r="D3428" t="s">
        <v>23</v>
      </c>
      <c r="E3428" t="s">
        <v>42</v>
      </c>
      <c r="F3428" t="s">
        <v>75</v>
      </c>
      <c r="G3428" t="s">
        <v>84</v>
      </c>
      <c r="H3428" t="s">
        <v>90</v>
      </c>
      <c r="I3428" t="s">
        <v>37</v>
      </c>
      <c r="J3428" t="s">
        <v>29</v>
      </c>
      <c r="K3428">
        <v>4071</v>
      </c>
      <c r="L3428">
        <v>19</v>
      </c>
      <c r="M3428">
        <v>36.39</v>
      </c>
      <c r="N3428">
        <v>0</v>
      </c>
      <c r="O3428">
        <v>0</v>
      </c>
      <c r="P3428">
        <f t="shared" si="212"/>
        <v>4.6671579464505038E-3</v>
      </c>
      <c r="Q3428">
        <f t="shared" si="212"/>
        <v>1.9152631578947368</v>
      </c>
      <c r="R3428">
        <f t="shared" si="213"/>
        <v>0</v>
      </c>
      <c r="S3428">
        <f t="shared" si="214"/>
        <v>0</v>
      </c>
      <c r="T3428">
        <f t="shared" si="215"/>
        <v>0</v>
      </c>
      <c r="U3428" t="str">
        <f>YEAR('Campaign Data'!$A3428)&amp;"-"&amp;TEXT(MONTH('Campaign Data'!$A3428),"00")</f>
        <v>2026-07</v>
      </c>
    </row>
    <row r="3429" spans="1:21" x14ac:dyDescent="0.25">
      <c r="A3429">
        <v>46209</v>
      </c>
      <c r="B3429" t="s">
        <v>132</v>
      </c>
      <c r="C3429" t="s">
        <v>133</v>
      </c>
      <c r="D3429" t="s">
        <v>23</v>
      </c>
      <c r="E3429" t="s">
        <v>42</v>
      </c>
      <c r="F3429" t="s">
        <v>75</v>
      </c>
      <c r="G3429" t="s">
        <v>84</v>
      </c>
      <c r="H3429" t="s">
        <v>27</v>
      </c>
      <c r="I3429" t="s">
        <v>37</v>
      </c>
      <c r="J3429" t="s">
        <v>38</v>
      </c>
      <c r="K3429">
        <v>11526</v>
      </c>
      <c r="L3429">
        <v>82</v>
      </c>
      <c r="M3429">
        <v>606.1</v>
      </c>
      <c r="N3429">
        <v>2</v>
      </c>
      <c r="O3429">
        <v>108.6</v>
      </c>
      <c r="P3429">
        <f t="shared" si="212"/>
        <v>7.1143501648446988E-3</v>
      </c>
      <c r="Q3429">
        <f t="shared" si="212"/>
        <v>7.3914634146341465</v>
      </c>
      <c r="R3429">
        <f t="shared" si="213"/>
        <v>303.05</v>
      </c>
      <c r="S3429">
        <f t="shared" si="214"/>
        <v>0.17917835340702853</v>
      </c>
      <c r="T3429">
        <f t="shared" si="215"/>
        <v>2.4390243902439025E-2</v>
      </c>
      <c r="U3429" t="str">
        <f>YEAR('Campaign Data'!$A3429)&amp;"-"&amp;TEXT(MONTH('Campaign Data'!$A3429),"00")</f>
        <v>2026-07</v>
      </c>
    </row>
    <row r="3430" spans="1:21" x14ac:dyDescent="0.25">
      <c r="A3430">
        <v>46209</v>
      </c>
      <c r="B3430" t="s">
        <v>153</v>
      </c>
      <c r="C3430" t="s">
        <v>154</v>
      </c>
      <c r="D3430" t="s">
        <v>48</v>
      </c>
      <c r="E3430" t="s">
        <v>33</v>
      </c>
      <c r="F3430" t="s">
        <v>43</v>
      </c>
      <c r="G3430" t="s">
        <v>59</v>
      </c>
      <c r="H3430" t="s">
        <v>51</v>
      </c>
      <c r="I3430" t="s">
        <v>28</v>
      </c>
      <c r="J3430" t="s">
        <v>87</v>
      </c>
      <c r="K3430">
        <v>6806</v>
      </c>
      <c r="L3430">
        <v>50</v>
      </c>
      <c r="M3430">
        <v>30.42</v>
      </c>
      <c r="N3430">
        <v>3</v>
      </c>
      <c r="O3430">
        <v>75.13</v>
      </c>
      <c r="P3430">
        <f t="shared" si="212"/>
        <v>7.3464590067587425E-3</v>
      </c>
      <c r="Q3430">
        <f t="shared" si="212"/>
        <v>0.60840000000000005</v>
      </c>
      <c r="R3430">
        <f t="shared" si="213"/>
        <v>10.14</v>
      </c>
      <c r="S3430">
        <f t="shared" si="214"/>
        <v>2.4697567389875079</v>
      </c>
      <c r="T3430">
        <f t="shared" si="215"/>
        <v>0.06</v>
      </c>
      <c r="U3430" t="str">
        <f>YEAR('Campaign Data'!$A3430)&amp;"-"&amp;TEXT(MONTH('Campaign Data'!$A3430),"00")</f>
        <v>2026-07</v>
      </c>
    </row>
    <row r="3431" spans="1:21" x14ac:dyDescent="0.25">
      <c r="A3431">
        <v>46209</v>
      </c>
      <c r="B3431" t="s">
        <v>136</v>
      </c>
      <c r="C3431" t="s">
        <v>137</v>
      </c>
      <c r="D3431" t="s">
        <v>32</v>
      </c>
      <c r="E3431" t="s">
        <v>49</v>
      </c>
      <c r="F3431" t="s">
        <v>75</v>
      </c>
      <c r="G3431" t="s">
        <v>97</v>
      </c>
      <c r="H3431" t="s">
        <v>90</v>
      </c>
      <c r="I3431" t="s">
        <v>28</v>
      </c>
      <c r="J3431" t="s">
        <v>62</v>
      </c>
      <c r="K3431">
        <v>5848</v>
      </c>
      <c r="L3431">
        <v>463</v>
      </c>
      <c r="M3431">
        <v>185.35</v>
      </c>
      <c r="N3431">
        <v>40</v>
      </c>
      <c r="O3431">
        <v>239.17</v>
      </c>
      <c r="P3431">
        <f t="shared" si="212"/>
        <v>7.9172366621067025E-2</v>
      </c>
      <c r="Q3431">
        <f t="shared" si="212"/>
        <v>0.40032397408207343</v>
      </c>
      <c r="R3431">
        <f t="shared" si="213"/>
        <v>4.63375</v>
      </c>
      <c r="S3431">
        <f t="shared" si="214"/>
        <v>1.2903695710817373</v>
      </c>
      <c r="T3431">
        <f t="shared" si="215"/>
        <v>8.6393088552915762E-2</v>
      </c>
      <c r="U3431" t="str">
        <f>YEAR('Campaign Data'!$A3431)&amp;"-"&amp;TEXT(MONTH('Campaign Data'!$A3431),"00")</f>
        <v>2026-07</v>
      </c>
    </row>
    <row r="3432" spans="1:21" x14ac:dyDescent="0.25">
      <c r="A3432">
        <v>46209</v>
      </c>
      <c r="B3432" t="s">
        <v>78</v>
      </c>
      <c r="C3432" t="s">
        <v>79</v>
      </c>
      <c r="D3432" t="s">
        <v>80</v>
      </c>
      <c r="E3432" t="s">
        <v>24</v>
      </c>
      <c r="F3432" t="s">
        <v>81</v>
      </c>
      <c r="G3432" t="s">
        <v>66</v>
      </c>
      <c r="H3432" t="s">
        <v>71</v>
      </c>
      <c r="I3432" t="s">
        <v>37</v>
      </c>
      <c r="J3432" t="s">
        <v>29</v>
      </c>
      <c r="K3432">
        <v>2410</v>
      </c>
      <c r="L3432">
        <v>23</v>
      </c>
      <c r="M3432">
        <v>20.82</v>
      </c>
      <c r="N3432">
        <v>0</v>
      </c>
      <c r="O3432">
        <v>0</v>
      </c>
      <c r="P3432">
        <f t="shared" si="212"/>
        <v>9.5435684647302912E-3</v>
      </c>
      <c r="Q3432">
        <f t="shared" si="212"/>
        <v>0.90521739130434786</v>
      </c>
      <c r="R3432">
        <f t="shared" si="213"/>
        <v>0</v>
      </c>
      <c r="S3432">
        <f t="shared" si="214"/>
        <v>0</v>
      </c>
      <c r="T3432">
        <f t="shared" si="215"/>
        <v>0</v>
      </c>
      <c r="U3432" t="str">
        <f>YEAR('Campaign Data'!$A3432)&amp;"-"&amp;TEXT(MONTH('Campaign Data'!$A3432),"00")</f>
        <v>2026-07</v>
      </c>
    </row>
    <row r="3433" spans="1:21" x14ac:dyDescent="0.25">
      <c r="A3433">
        <v>46209</v>
      </c>
      <c r="B3433" t="s">
        <v>120</v>
      </c>
      <c r="C3433" t="s">
        <v>121</v>
      </c>
      <c r="D3433" t="s">
        <v>23</v>
      </c>
      <c r="E3433" t="s">
        <v>49</v>
      </c>
      <c r="F3433" t="s">
        <v>75</v>
      </c>
      <c r="G3433" t="s">
        <v>70</v>
      </c>
      <c r="H3433" t="s">
        <v>90</v>
      </c>
      <c r="I3433" t="s">
        <v>37</v>
      </c>
      <c r="J3433" t="s">
        <v>29</v>
      </c>
      <c r="K3433">
        <v>7080</v>
      </c>
      <c r="L3433">
        <v>339</v>
      </c>
      <c r="M3433">
        <v>170.11</v>
      </c>
      <c r="N3433">
        <v>13</v>
      </c>
      <c r="O3433">
        <v>135.32</v>
      </c>
      <c r="P3433">
        <f t="shared" si="212"/>
        <v>4.7881355932203391E-2</v>
      </c>
      <c r="Q3433">
        <f t="shared" si="212"/>
        <v>0.50179941002949857</v>
      </c>
      <c r="R3433">
        <f t="shared" si="213"/>
        <v>13.085384615384616</v>
      </c>
      <c r="S3433">
        <f t="shared" si="214"/>
        <v>0.79548527423431892</v>
      </c>
      <c r="T3433">
        <f t="shared" si="215"/>
        <v>3.8348082595870206E-2</v>
      </c>
      <c r="U3433" t="str">
        <f>YEAR('Campaign Data'!$A3433)&amp;"-"&amp;TEXT(MONTH('Campaign Data'!$A3433),"00")</f>
        <v>2026-07</v>
      </c>
    </row>
    <row r="3434" spans="1:21" x14ac:dyDescent="0.25">
      <c r="A3434">
        <v>46210</v>
      </c>
      <c r="B3434" t="s">
        <v>165</v>
      </c>
      <c r="C3434" t="s">
        <v>166</v>
      </c>
      <c r="D3434" t="s">
        <v>41</v>
      </c>
      <c r="E3434" t="s">
        <v>33</v>
      </c>
      <c r="F3434" t="s">
        <v>43</v>
      </c>
      <c r="G3434" t="s">
        <v>59</v>
      </c>
      <c r="H3434" t="s">
        <v>27</v>
      </c>
      <c r="I3434" t="s">
        <v>37</v>
      </c>
      <c r="J3434" t="s">
        <v>87</v>
      </c>
      <c r="K3434">
        <v>8683</v>
      </c>
      <c r="L3434">
        <v>80</v>
      </c>
      <c r="M3434">
        <v>26.08</v>
      </c>
      <c r="N3434">
        <v>2</v>
      </c>
      <c r="O3434">
        <v>41.36</v>
      </c>
      <c r="P3434">
        <f t="shared" si="212"/>
        <v>9.2134055050097901E-3</v>
      </c>
      <c r="Q3434">
        <f t="shared" si="212"/>
        <v>0.32599999999999996</v>
      </c>
      <c r="R3434">
        <f t="shared" si="213"/>
        <v>13.04</v>
      </c>
      <c r="S3434">
        <f t="shared" si="214"/>
        <v>1.5858895705521474</v>
      </c>
      <c r="T3434">
        <f t="shared" si="215"/>
        <v>2.5000000000000001E-2</v>
      </c>
      <c r="U3434" t="str">
        <f>YEAR('Campaign Data'!$A3434)&amp;"-"&amp;TEXT(MONTH('Campaign Data'!$A3434),"00")</f>
        <v>2026-07</v>
      </c>
    </row>
    <row r="3435" spans="1:21" x14ac:dyDescent="0.25">
      <c r="A3435">
        <v>46210</v>
      </c>
      <c r="B3435" t="s">
        <v>149</v>
      </c>
      <c r="C3435" t="s">
        <v>150</v>
      </c>
      <c r="D3435" t="s">
        <v>65</v>
      </c>
      <c r="E3435" t="s">
        <v>33</v>
      </c>
      <c r="F3435" t="s">
        <v>43</v>
      </c>
      <c r="G3435" t="s">
        <v>59</v>
      </c>
      <c r="H3435" t="s">
        <v>60</v>
      </c>
      <c r="I3435" t="s">
        <v>37</v>
      </c>
      <c r="J3435" t="s">
        <v>38</v>
      </c>
      <c r="K3435">
        <v>10822</v>
      </c>
      <c r="L3435">
        <v>62</v>
      </c>
      <c r="M3435">
        <v>45.55</v>
      </c>
      <c r="N3435">
        <v>1</v>
      </c>
      <c r="O3435">
        <v>27.9</v>
      </c>
      <c r="P3435">
        <f t="shared" si="212"/>
        <v>5.7290704121234519E-3</v>
      </c>
      <c r="Q3435">
        <f t="shared" si="212"/>
        <v>0.73467741935483866</v>
      </c>
      <c r="R3435">
        <f t="shared" si="213"/>
        <v>45.55</v>
      </c>
      <c r="S3435">
        <f t="shared" si="214"/>
        <v>0.6125137211855104</v>
      </c>
      <c r="T3435">
        <f t="shared" si="215"/>
        <v>1.6129032258064516E-2</v>
      </c>
      <c r="U3435" t="str">
        <f>YEAR('Campaign Data'!$A3435)&amp;"-"&amp;TEXT(MONTH('Campaign Data'!$A3435),"00")</f>
        <v>2026-07</v>
      </c>
    </row>
    <row r="3436" spans="1:21" x14ac:dyDescent="0.25">
      <c r="A3436">
        <v>46210</v>
      </c>
      <c r="B3436" t="s">
        <v>149</v>
      </c>
      <c r="C3436" t="s">
        <v>150</v>
      </c>
      <c r="D3436" t="s">
        <v>65</v>
      </c>
      <c r="E3436" t="s">
        <v>33</v>
      </c>
      <c r="F3436" t="s">
        <v>43</v>
      </c>
      <c r="G3436" t="s">
        <v>59</v>
      </c>
      <c r="H3436" t="s">
        <v>36</v>
      </c>
      <c r="I3436" t="s">
        <v>37</v>
      </c>
      <c r="J3436" t="s">
        <v>62</v>
      </c>
      <c r="K3436">
        <v>8492</v>
      </c>
      <c r="L3436">
        <v>100</v>
      </c>
      <c r="M3436">
        <v>77.94</v>
      </c>
      <c r="N3436">
        <v>1</v>
      </c>
      <c r="O3436">
        <v>13.93</v>
      </c>
      <c r="P3436">
        <f t="shared" si="212"/>
        <v>1.1775788977861516E-2</v>
      </c>
      <c r="Q3436">
        <f t="shared" si="212"/>
        <v>0.77939999999999998</v>
      </c>
      <c r="R3436">
        <f t="shared" si="213"/>
        <v>77.94</v>
      </c>
      <c r="S3436">
        <f t="shared" si="214"/>
        <v>0.17872722607133693</v>
      </c>
      <c r="T3436">
        <f t="shared" si="215"/>
        <v>0.01</v>
      </c>
      <c r="U3436" t="str">
        <f>YEAR('Campaign Data'!$A3436)&amp;"-"&amp;TEXT(MONTH('Campaign Data'!$A3436),"00")</f>
        <v>2026-07</v>
      </c>
    </row>
    <row r="3437" spans="1:21" x14ac:dyDescent="0.25">
      <c r="A3437">
        <v>46210</v>
      </c>
      <c r="B3437" t="s">
        <v>91</v>
      </c>
      <c r="C3437" t="s">
        <v>92</v>
      </c>
      <c r="D3437" t="s">
        <v>41</v>
      </c>
      <c r="E3437" t="s">
        <v>74</v>
      </c>
      <c r="F3437" t="s">
        <v>75</v>
      </c>
      <c r="G3437" t="s">
        <v>9</v>
      </c>
      <c r="H3437" t="s">
        <v>90</v>
      </c>
      <c r="I3437" t="s">
        <v>37</v>
      </c>
      <c r="J3437" t="s">
        <v>29</v>
      </c>
      <c r="K3437">
        <v>4727</v>
      </c>
      <c r="L3437">
        <v>183</v>
      </c>
      <c r="M3437">
        <v>67.260000000000005</v>
      </c>
      <c r="N3437">
        <v>10</v>
      </c>
      <c r="O3437">
        <v>121.86</v>
      </c>
      <c r="P3437">
        <f t="shared" si="212"/>
        <v>3.8713771948381638E-2</v>
      </c>
      <c r="Q3437">
        <f t="shared" si="212"/>
        <v>0.3675409836065574</v>
      </c>
      <c r="R3437">
        <f t="shared" si="213"/>
        <v>6.7260000000000009</v>
      </c>
      <c r="S3437">
        <f t="shared" si="214"/>
        <v>1.8117752007136483</v>
      </c>
      <c r="T3437">
        <f t="shared" si="215"/>
        <v>5.4644808743169397E-2</v>
      </c>
      <c r="U3437" t="str">
        <f>YEAR('Campaign Data'!$A3437)&amp;"-"&amp;TEXT(MONTH('Campaign Data'!$A3437),"00")</f>
        <v>2026-07</v>
      </c>
    </row>
    <row r="3438" spans="1:21" x14ac:dyDescent="0.25">
      <c r="A3438">
        <v>46210</v>
      </c>
      <c r="B3438" t="s">
        <v>186</v>
      </c>
      <c r="C3438" t="s">
        <v>187</v>
      </c>
      <c r="D3438" t="s">
        <v>80</v>
      </c>
      <c r="E3438" t="s">
        <v>33</v>
      </c>
      <c r="F3438" t="s">
        <v>43</v>
      </c>
      <c r="G3438" t="s">
        <v>102</v>
      </c>
      <c r="H3438" t="s">
        <v>51</v>
      </c>
      <c r="I3438" t="s">
        <v>28</v>
      </c>
      <c r="J3438" t="s">
        <v>87</v>
      </c>
      <c r="K3438">
        <v>6540</v>
      </c>
      <c r="L3438">
        <v>50</v>
      </c>
      <c r="M3438">
        <v>31.21</v>
      </c>
      <c r="N3438">
        <v>0</v>
      </c>
      <c r="O3438">
        <v>0</v>
      </c>
      <c r="P3438">
        <f t="shared" si="212"/>
        <v>7.6452599388379203E-3</v>
      </c>
      <c r="Q3438">
        <f t="shared" si="212"/>
        <v>0.62419999999999998</v>
      </c>
      <c r="R3438">
        <f t="shared" si="213"/>
        <v>0</v>
      </c>
      <c r="S3438">
        <f t="shared" si="214"/>
        <v>0</v>
      </c>
      <c r="T3438">
        <f t="shared" si="215"/>
        <v>0</v>
      </c>
      <c r="U3438" t="str">
        <f>YEAR('Campaign Data'!$A3438)&amp;"-"&amp;TEXT(MONTH('Campaign Data'!$A3438),"00")</f>
        <v>2026-07</v>
      </c>
    </row>
    <row r="3439" spans="1:21" x14ac:dyDescent="0.25">
      <c r="A3439">
        <v>46210</v>
      </c>
      <c r="B3439" t="s">
        <v>95</v>
      </c>
      <c r="C3439" t="s">
        <v>96</v>
      </c>
      <c r="D3439" t="s">
        <v>23</v>
      </c>
      <c r="E3439" t="s">
        <v>49</v>
      </c>
      <c r="F3439" t="s">
        <v>43</v>
      </c>
      <c r="G3439" t="s">
        <v>97</v>
      </c>
      <c r="H3439" t="s">
        <v>36</v>
      </c>
      <c r="I3439" t="s">
        <v>37</v>
      </c>
      <c r="J3439" t="s">
        <v>38</v>
      </c>
      <c r="K3439">
        <v>8408</v>
      </c>
      <c r="L3439">
        <v>544</v>
      </c>
      <c r="M3439">
        <v>1174.83</v>
      </c>
      <c r="N3439">
        <v>34</v>
      </c>
      <c r="O3439">
        <v>943.52</v>
      </c>
      <c r="P3439">
        <f t="shared" si="212"/>
        <v>6.4700285442435779E-2</v>
      </c>
      <c r="Q3439">
        <f t="shared" si="212"/>
        <v>2.1596139705882353</v>
      </c>
      <c r="R3439">
        <f t="shared" si="213"/>
        <v>34.553823529411765</v>
      </c>
      <c r="S3439">
        <f t="shared" si="214"/>
        <v>0.8031119395997719</v>
      </c>
      <c r="T3439">
        <f t="shared" si="215"/>
        <v>6.25E-2</v>
      </c>
      <c r="U3439" t="str">
        <f>YEAR('Campaign Data'!$A3439)&amp;"-"&amp;TEXT(MONTH('Campaign Data'!$A3439),"00")</f>
        <v>2026-07</v>
      </c>
    </row>
    <row r="3440" spans="1:21" x14ac:dyDescent="0.25">
      <c r="A3440">
        <v>46210</v>
      </c>
      <c r="B3440" t="s">
        <v>30</v>
      </c>
      <c r="C3440" t="s">
        <v>31</v>
      </c>
      <c r="D3440" t="s">
        <v>32</v>
      </c>
      <c r="E3440" t="s">
        <v>33</v>
      </c>
      <c r="F3440" t="s">
        <v>34</v>
      </c>
      <c r="G3440" t="s">
        <v>35</v>
      </c>
      <c r="H3440" t="s">
        <v>90</v>
      </c>
      <c r="I3440" t="s">
        <v>37</v>
      </c>
      <c r="J3440" t="s">
        <v>45</v>
      </c>
      <c r="K3440">
        <v>5067</v>
      </c>
      <c r="L3440">
        <v>66</v>
      </c>
      <c r="M3440">
        <v>11.47</v>
      </c>
      <c r="N3440">
        <v>2</v>
      </c>
      <c r="O3440">
        <v>124.12</v>
      </c>
      <c r="P3440">
        <f t="shared" si="212"/>
        <v>1.3025458851391355E-2</v>
      </c>
      <c r="Q3440">
        <f t="shared" si="212"/>
        <v>0.1737878787878788</v>
      </c>
      <c r="R3440">
        <f t="shared" si="213"/>
        <v>5.7350000000000003</v>
      </c>
      <c r="S3440">
        <f t="shared" si="214"/>
        <v>10.821272885789014</v>
      </c>
      <c r="T3440">
        <f t="shared" si="215"/>
        <v>3.0303030303030304E-2</v>
      </c>
      <c r="U3440" t="str">
        <f>YEAR('Campaign Data'!$A3440)&amp;"-"&amp;TEXT(MONTH('Campaign Data'!$A3440),"00")</f>
        <v>2026-07</v>
      </c>
    </row>
    <row r="3441" spans="1:21" x14ac:dyDescent="0.25">
      <c r="A3441">
        <v>46210</v>
      </c>
      <c r="B3441" t="s">
        <v>105</v>
      </c>
      <c r="C3441" t="s">
        <v>106</v>
      </c>
      <c r="D3441" t="s">
        <v>58</v>
      </c>
      <c r="E3441" t="s">
        <v>49</v>
      </c>
      <c r="F3441" t="s">
        <v>81</v>
      </c>
      <c r="G3441" t="s">
        <v>107</v>
      </c>
      <c r="H3441" t="s">
        <v>90</v>
      </c>
      <c r="I3441" t="s">
        <v>37</v>
      </c>
      <c r="J3441" t="s">
        <v>29</v>
      </c>
      <c r="K3441">
        <v>3606</v>
      </c>
      <c r="L3441">
        <v>179</v>
      </c>
      <c r="M3441">
        <v>102.47</v>
      </c>
      <c r="N3441">
        <v>15</v>
      </c>
      <c r="O3441">
        <v>75</v>
      </c>
      <c r="P3441">
        <f t="shared" si="212"/>
        <v>4.9639489739323348E-2</v>
      </c>
      <c r="Q3441">
        <f t="shared" si="212"/>
        <v>0.5724581005586592</v>
      </c>
      <c r="R3441">
        <f t="shared" si="213"/>
        <v>6.8313333333333333</v>
      </c>
      <c r="S3441">
        <f t="shared" si="214"/>
        <v>0.73192153801112525</v>
      </c>
      <c r="T3441">
        <f t="shared" si="215"/>
        <v>8.3798882681564241E-2</v>
      </c>
      <c r="U3441" t="str">
        <f>YEAR('Campaign Data'!$A3441)&amp;"-"&amp;TEXT(MONTH('Campaign Data'!$A3441),"00")</f>
        <v>2026-07</v>
      </c>
    </row>
    <row r="3442" spans="1:21" x14ac:dyDescent="0.25">
      <c r="A3442">
        <v>46210</v>
      </c>
      <c r="B3442" t="s">
        <v>112</v>
      </c>
      <c r="C3442" t="s">
        <v>113</v>
      </c>
      <c r="D3442" t="s">
        <v>32</v>
      </c>
      <c r="E3442" t="s">
        <v>24</v>
      </c>
      <c r="F3442" t="s">
        <v>75</v>
      </c>
      <c r="G3442" t="s">
        <v>66</v>
      </c>
      <c r="H3442" t="s">
        <v>90</v>
      </c>
      <c r="I3442" t="s">
        <v>37</v>
      </c>
      <c r="J3442" t="s">
        <v>45</v>
      </c>
      <c r="K3442">
        <v>7965</v>
      </c>
      <c r="L3442">
        <v>129</v>
      </c>
      <c r="M3442">
        <v>35.67</v>
      </c>
      <c r="N3442">
        <v>1</v>
      </c>
      <c r="O3442">
        <v>7.92</v>
      </c>
      <c r="P3442">
        <f t="shared" si="212"/>
        <v>1.6195856873822974E-2</v>
      </c>
      <c r="Q3442">
        <f t="shared" si="212"/>
        <v>0.27651162790697675</v>
      </c>
      <c r="R3442">
        <f t="shared" si="213"/>
        <v>35.67</v>
      </c>
      <c r="S3442">
        <f t="shared" si="214"/>
        <v>0.22203532380151386</v>
      </c>
      <c r="T3442">
        <f t="shared" si="215"/>
        <v>7.7519379844961239E-3</v>
      </c>
      <c r="U3442" t="str">
        <f>YEAR('Campaign Data'!$A3442)&amp;"-"&amp;TEXT(MONTH('Campaign Data'!$A3442),"00")</f>
        <v>2026-07</v>
      </c>
    </row>
    <row r="3443" spans="1:21" x14ac:dyDescent="0.25">
      <c r="A3443">
        <v>46210</v>
      </c>
      <c r="B3443" t="s">
        <v>63</v>
      </c>
      <c r="C3443" t="s">
        <v>64</v>
      </c>
      <c r="D3443" t="s">
        <v>65</v>
      </c>
      <c r="E3443" t="s">
        <v>24</v>
      </c>
      <c r="F3443" t="s">
        <v>43</v>
      </c>
      <c r="G3443" t="s">
        <v>66</v>
      </c>
      <c r="H3443" t="s">
        <v>27</v>
      </c>
      <c r="I3443" t="s">
        <v>28</v>
      </c>
      <c r="J3443" t="s">
        <v>87</v>
      </c>
      <c r="K3443">
        <v>16347</v>
      </c>
      <c r="L3443">
        <v>231</v>
      </c>
      <c r="M3443">
        <v>197.46</v>
      </c>
      <c r="N3443">
        <v>7</v>
      </c>
      <c r="O3443">
        <v>179.17</v>
      </c>
      <c r="P3443">
        <f t="shared" si="212"/>
        <v>1.4131033217104056E-2</v>
      </c>
      <c r="Q3443">
        <f t="shared" si="212"/>
        <v>0.85480519480519479</v>
      </c>
      <c r="R3443">
        <f t="shared" si="213"/>
        <v>28.208571428571428</v>
      </c>
      <c r="S3443">
        <f t="shared" si="214"/>
        <v>0.90737364529524955</v>
      </c>
      <c r="T3443">
        <f t="shared" si="215"/>
        <v>3.0303030303030304E-2</v>
      </c>
      <c r="U3443" t="str">
        <f>YEAR('Campaign Data'!$A3443)&amp;"-"&amp;TEXT(MONTH('Campaign Data'!$A3443),"00")</f>
        <v>2026-07</v>
      </c>
    </row>
    <row r="3444" spans="1:21" x14ac:dyDescent="0.25">
      <c r="A3444">
        <v>46210</v>
      </c>
      <c r="B3444" t="s">
        <v>163</v>
      </c>
      <c r="C3444" t="s">
        <v>164</v>
      </c>
      <c r="D3444" t="s">
        <v>58</v>
      </c>
      <c r="E3444" t="s">
        <v>42</v>
      </c>
      <c r="F3444" t="s">
        <v>43</v>
      </c>
      <c r="G3444" t="s">
        <v>44</v>
      </c>
      <c r="H3444" t="s">
        <v>27</v>
      </c>
      <c r="I3444" t="s">
        <v>28</v>
      </c>
      <c r="J3444" t="s">
        <v>45</v>
      </c>
      <c r="K3444">
        <v>34656</v>
      </c>
      <c r="L3444">
        <v>157</v>
      </c>
      <c r="M3444">
        <v>768.55</v>
      </c>
      <c r="N3444">
        <v>2</v>
      </c>
      <c r="O3444">
        <v>70.180000000000007</v>
      </c>
      <c r="P3444">
        <f t="shared" si="212"/>
        <v>4.5302400738688828E-3</v>
      </c>
      <c r="Q3444">
        <f t="shared" si="212"/>
        <v>4.8952229299363053</v>
      </c>
      <c r="R3444">
        <f t="shared" si="213"/>
        <v>384.27499999999998</v>
      </c>
      <c r="S3444">
        <f t="shared" si="214"/>
        <v>9.1314813610044898E-2</v>
      </c>
      <c r="T3444">
        <f t="shared" si="215"/>
        <v>1.2738853503184714E-2</v>
      </c>
      <c r="U3444" t="str">
        <f>YEAR('Campaign Data'!$A3444)&amp;"-"&amp;TEXT(MONTH('Campaign Data'!$A3444),"00")</f>
        <v>2026-07</v>
      </c>
    </row>
    <row r="3445" spans="1:21" x14ac:dyDescent="0.25">
      <c r="A3445">
        <v>46210</v>
      </c>
      <c r="B3445" t="s">
        <v>76</v>
      </c>
      <c r="C3445" t="s">
        <v>77</v>
      </c>
      <c r="D3445" t="s">
        <v>65</v>
      </c>
      <c r="E3445" t="s">
        <v>42</v>
      </c>
      <c r="F3445" t="s">
        <v>43</v>
      </c>
      <c r="G3445" t="s">
        <v>44</v>
      </c>
      <c r="H3445" t="s">
        <v>27</v>
      </c>
      <c r="I3445" t="s">
        <v>37</v>
      </c>
      <c r="J3445" t="s">
        <v>29</v>
      </c>
      <c r="K3445">
        <v>11524</v>
      </c>
      <c r="L3445">
        <v>90</v>
      </c>
      <c r="M3445">
        <v>537.34</v>
      </c>
      <c r="N3445">
        <v>6</v>
      </c>
      <c r="O3445">
        <v>143.31</v>
      </c>
      <c r="P3445">
        <f t="shared" si="212"/>
        <v>7.8097882679625131E-3</v>
      </c>
      <c r="Q3445">
        <f t="shared" si="212"/>
        <v>5.9704444444444444</v>
      </c>
      <c r="R3445">
        <f t="shared" si="213"/>
        <v>89.556666666666672</v>
      </c>
      <c r="S3445">
        <f t="shared" si="214"/>
        <v>0.26670264636915175</v>
      </c>
      <c r="T3445">
        <f t="shared" si="215"/>
        <v>6.6666666666666666E-2</v>
      </c>
      <c r="U3445" t="str">
        <f>YEAR('Campaign Data'!$A3445)&amp;"-"&amp;TEXT(MONTH('Campaign Data'!$A3445),"00")</f>
        <v>2026-07</v>
      </c>
    </row>
    <row r="3446" spans="1:21" x14ac:dyDescent="0.25">
      <c r="A3446">
        <v>46211</v>
      </c>
      <c r="B3446" t="s">
        <v>175</v>
      </c>
      <c r="C3446" t="s">
        <v>176</v>
      </c>
      <c r="D3446" t="s">
        <v>65</v>
      </c>
      <c r="E3446" t="s">
        <v>49</v>
      </c>
      <c r="F3446" t="s">
        <v>75</v>
      </c>
      <c r="G3446" t="s">
        <v>70</v>
      </c>
      <c r="H3446" t="s">
        <v>51</v>
      </c>
      <c r="I3446" t="s">
        <v>37</v>
      </c>
      <c r="J3446" t="s">
        <v>87</v>
      </c>
      <c r="K3446">
        <v>1962</v>
      </c>
      <c r="L3446">
        <v>62</v>
      </c>
      <c r="M3446">
        <v>79.34</v>
      </c>
      <c r="N3446">
        <v>2</v>
      </c>
      <c r="O3446">
        <v>58.17</v>
      </c>
      <c r="P3446">
        <f t="shared" si="212"/>
        <v>3.1600407747196739E-2</v>
      </c>
      <c r="Q3446">
        <f t="shared" si="212"/>
        <v>1.2796774193548388</v>
      </c>
      <c r="R3446">
        <f t="shared" si="213"/>
        <v>39.67</v>
      </c>
      <c r="S3446">
        <f t="shared" si="214"/>
        <v>0.73317368288379126</v>
      </c>
      <c r="T3446">
        <f t="shared" si="215"/>
        <v>3.2258064516129031E-2</v>
      </c>
      <c r="U3446" t="str">
        <f>YEAR('Campaign Data'!$A3446)&amp;"-"&amp;TEXT(MONTH('Campaign Data'!$A3446),"00")</f>
        <v>2026-07</v>
      </c>
    </row>
    <row r="3447" spans="1:21" x14ac:dyDescent="0.25">
      <c r="A3447">
        <v>46211</v>
      </c>
      <c r="B3447" t="s">
        <v>21</v>
      </c>
      <c r="C3447" t="s">
        <v>124</v>
      </c>
      <c r="D3447" t="s">
        <v>23</v>
      </c>
      <c r="E3447" t="s">
        <v>24</v>
      </c>
      <c r="F3447" t="s">
        <v>25</v>
      </c>
      <c r="G3447" t="s">
        <v>26</v>
      </c>
      <c r="H3447" t="s">
        <v>27</v>
      </c>
      <c r="I3447" t="s">
        <v>37</v>
      </c>
      <c r="J3447" t="s">
        <v>45</v>
      </c>
      <c r="K3447">
        <v>1830</v>
      </c>
      <c r="L3447">
        <v>30</v>
      </c>
      <c r="M3447">
        <v>28.24</v>
      </c>
      <c r="N3447">
        <v>0</v>
      </c>
      <c r="O3447">
        <v>0</v>
      </c>
      <c r="P3447">
        <f t="shared" si="212"/>
        <v>1.6393442622950821E-2</v>
      </c>
      <c r="Q3447">
        <f t="shared" si="212"/>
        <v>0.94133333333333324</v>
      </c>
      <c r="R3447">
        <f t="shared" si="213"/>
        <v>0</v>
      </c>
      <c r="S3447">
        <f t="shared" si="214"/>
        <v>0</v>
      </c>
      <c r="T3447">
        <f t="shared" si="215"/>
        <v>0</v>
      </c>
      <c r="U3447" t="str">
        <f>YEAR('Campaign Data'!$A3447)&amp;"-"&amp;TEXT(MONTH('Campaign Data'!$A3447),"00")</f>
        <v>2026-07</v>
      </c>
    </row>
    <row r="3448" spans="1:21" x14ac:dyDescent="0.25">
      <c r="A3448">
        <v>46211</v>
      </c>
      <c r="B3448" t="s">
        <v>147</v>
      </c>
      <c r="C3448" t="s">
        <v>148</v>
      </c>
      <c r="D3448" t="s">
        <v>23</v>
      </c>
      <c r="E3448" t="s">
        <v>42</v>
      </c>
      <c r="F3448" t="s">
        <v>75</v>
      </c>
      <c r="G3448" t="s">
        <v>44</v>
      </c>
      <c r="H3448" t="s">
        <v>90</v>
      </c>
      <c r="I3448" t="s">
        <v>37</v>
      </c>
      <c r="J3448" t="s">
        <v>38</v>
      </c>
      <c r="K3448">
        <v>12881</v>
      </c>
      <c r="L3448">
        <v>74</v>
      </c>
      <c r="M3448">
        <v>121.3</v>
      </c>
      <c r="N3448">
        <v>3</v>
      </c>
      <c r="O3448">
        <v>21.46</v>
      </c>
      <c r="P3448">
        <f t="shared" si="212"/>
        <v>5.7448955826410993E-3</v>
      </c>
      <c r="Q3448">
        <f t="shared" si="212"/>
        <v>1.6391891891891892</v>
      </c>
      <c r="R3448">
        <f t="shared" si="213"/>
        <v>40.43333333333333</v>
      </c>
      <c r="S3448">
        <f t="shared" si="214"/>
        <v>0.17691673536685903</v>
      </c>
      <c r="T3448">
        <f t="shared" si="215"/>
        <v>4.0540540540540543E-2</v>
      </c>
      <c r="U3448" t="str">
        <f>YEAR('Campaign Data'!$A3448)&amp;"-"&amp;TEXT(MONTH('Campaign Data'!$A3448),"00")</f>
        <v>2026-07</v>
      </c>
    </row>
    <row r="3449" spans="1:21" x14ac:dyDescent="0.25">
      <c r="A3449">
        <v>46211</v>
      </c>
      <c r="B3449" t="s">
        <v>149</v>
      </c>
      <c r="C3449" t="s">
        <v>150</v>
      </c>
      <c r="D3449" t="s">
        <v>65</v>
      </c>
      <c r="E3449" t="s">
        <v>33</v>
      </c>
      <c r="F3449" t="s">
        <v>43</v>
      </c>
      <c r="G3449" t="s">
        <v>59</v>
      </c>
      <c r="H3449" t="s">
        <v>55</v>
      </c>
      <c r="I3449" t="s">
        <v>37</v>
      </c>
      <c r="J3449" t="s">
        <v>62</v>
      </c>
      <c r="K3449">
        <v>3715</v>
      </c>
      <c r="L3449">
        <v>33</v>
      </c>
      <c r="M3449">
        <v>17.809999999999999</v>
      </c>
      <c r="N3449">
        <v>0</v>
      </c>
      <c r="O3449">
        <v>0</v>
      </c>
      <c r="P3449">
        <f t="shared" si="212"/>
        <v>8.8829071332436078E-3</v>
      </c>
      <c r="Q3449">
        <f t="shared" si="212"/>
        <v>0.53969696969696968</v>
      </c>
      <c r="R3449">
        <f t="shared" si="213"/>
        <v>0</v>
      </c>
      <c r="S3449">
        <f t="shared" si="214"/>
        <v>0</v>
      </c>
      <c r="T3449">
        <f t="shared" si="215"/>
        <v>0</v>
      </c>
      <c r="U3449" t="str">
        <f>YEAR('Campaign Data'!$A3449)&amp;"-"&amp;TEXT(MONTH('Campaign Data'!$A3449),"00")</f>
        <v>2026-07</v>
      </c>
    </row>
    <row r="3450" spans="1:21" x14ac:dyDescent="0.25">
      <c r="A3450">
        <v>46211</v>
      </c>
      <c r="B3450" t="s">
        <v>95</v>
      </c>
      <c r="C3450" t="s">
        <v>96</v>
      </c>
      <c r="D3450" t="s">
        <v>23</v>
      </c>
      <c r="E3450" t="s">
        <v>49</v>
      </c>
      <c r="F3450" t="s">
        <v>43</v>
      </c>
      <c r="G3450" t="s">
        <v>97</v>
      </c>
      <c r="H3450" t="s">
        <v>90</v>
      </c>
      <c r="I3450" t="s">
        <v>28</v>
      </c>
      <c r="J3450" t="s">
        <v>87</v>
      </c>
      <c r="K3450">
        <v>5282</v>
      </c>
      <c r="L3450">
        <v>313</v>
      </c>
      <c r="M3450">
        <v>148.57</v>
      </c>
      <c r="N3450">
        <v>12</v>
      </c>
      <c r="O3450">
        <v>60</v>
      </c>
      <c r="P3450">
        <f t="shared" si="212"/>
        <v>5.9257856872396819E-2</v>
      </c>
      <c r="Q3450">
        <f t="shared" si="212"/>
        <v>0.47466453674121406</v>
      </c>
      <c r="R3450">
        <f t="shared" si="213"/>
        <v>12.380833333333333</v>
      </c>
      <c r="S3450">
        <f t="shared" si="214"/>
        <v>0.40385003701958677</v>
      </c>
      <c r="T3450">
        <f t="shared" si="215"/>
        <v>3.8338658146964855E-2</v>
      </c>
      <c r="U3450" t="str">
        <f>YEAR('Campaign Data'!$A3450)&amp;"-"&amp;TEXT(MONTH('Campaign Data'!$A3450),"00")</f>
        <v>2026-07</v>
      </c>
    </row>
    <row r="3451" spans="1:21" x14ac:dyDescent="0.25">
      <c r="A3451">
        <v>46211</v>
      </c>
      <c r="B3451" t="s">
        <v>95</v>
      </c>
      <c r="C3451" t="s">
        <v>96</v>
      </c>
      <c r="D3451" t="s">
        <v>23</v>
      </c>
      <c r="E3451" t="s">
        <v>49</v>
      </c>
      <c r="F3451" t="s">
        <v>43</v>
      </c>
      <c r="G3451" t="s">
        <v>97</v>
      </c>
      <c r="H3451" t="s">
        <v>90</v>
      </c>
      <c r="I3451" t="s">
        <v>61</v>
      </c>
      <c r="J3451" t="s">
        <v>62</v>
      </c>
      <c r="K3451">
        <v>3877</v>
      </c>
      <c r="L3451">
        <v>192</v>
      </c>
      <c r="M3451">
        <v>102.8</v>
      </c>
      <c r="N3451">
        <v>3</v>
      </c>
      <c r="O3451">
        <v>22.51</v>
      </c>
      <c r="P3451">
        <f t="shared" si="212"/>
        <v>4.9522826928037139E-2</v>
      </c>
      <c r="Q3451">
        <f t="shared" si="212"/>
        <v>0.53541666666666665</v>
      </c>
      <c r="R3451">
        <f t="shared" si="213"/>
        <v>34.266666666666666</v>
      </c>
      <c r="S3451">
        <f t="shared" si="214"/>
        <v>0.21896887159533077</v>
      </c>
      <c r="T3451">
        <f t="shared" si="215"/>
        <v>1.5625E-2</v>
      </c>
      <c r="U3451" t="str">
        <f>YEAR('Campaign Data'!$A3451)&amp;"-"&amp;TEXT(MONTH('Campaign Data'!$A3451),"00")</f>
        <v>2026-07</v>
      </c>
    </row>
    <row r="3452" spans="1:21" x14ac:dyDescent="0.25">
      <c r="A3452">
        <v>46211</v>
      </c>
      <c r="B3452" t="s">
        <v>30</v>
      </c>
      <c r="C3452" t="s">
        <v>31</v>
      </c>
      <c r="D3452" t="s">
        <v>32</v>
      </c>
      <c r="E3452" t="s">
        <v>33</v>
      </c>
      <c r="F3452" t="s">
        <v>34</v>
      </c>
      <c r="G3452" t="s">
        <v>35</v>
      </c>
      <c r="H3452" t="s">
        <v>36</v>
      </c>
      <c r="I3452" t="s">
        <v>37</v>
      </c>
      <c r="J3452" t="s">
        <v>38</v>
      </c>
      <c r="K3452">
        <v>9850</v>
      </c>
      <c r="L3452">
        <v>99</v>
      </c>
      <c r="M3452">
        <v>65.81</v>
      </c>
      <c r="N3452">
        <v>1</v>
      </c>
      <c r="O3452">
        <v>115.77</v>
      </c>
      <c r="P3452">
        <f t="shared" si="212"/>
        <v>1.0050761421319797E-2</v>
      </c>
      <c r="Q3452">
        <f t="shared" si="212"/>
        <v>0.66474747474747475</v>
      </c>
      <c r="R3452">
        <f t="shared" si="213"/>
        <v>65.81</v>
      </c>
      <c r="S3452">
        <f t="shared" si="214"/>
        <v>1.7591551435951982</v>
      </c>
      <c r="T3452">
        <f t="shared" si="215"/>
        <v>1.0101010101010102E-2</v>
      </c>
      <c r="U3452" t="str">
        <f>YEAR('Campaign Data'!$A3452)&amp;"-"&amp;TEXT(MONTH('Campaign Data'!$A3452),"00")</f>
        <v>2026-07</v>
      </c>
    </row>
    <row r="3453" spans="1:21" x14ac:dyDescent="0.25">
      <c r="A3453">
        <v>46211</v>
      </c>
      <c r="B3453" t="s">
        <v>39</v>
      </c>
      <c r="C3453" t="s">
        <v>40</v>
      </c>
      <c r="D3453" t="s">
        <v>41</v>
      </c>
      <c r="E3453" t="s">
        <v>42</v>
      </c>
      <c r="F3453" t="s">
        <v>43</v>
      </c>
      <c r="G3453" t="s">
        <v>44</v>
      </c>
      <c r="H3453" t="s">
        <v>27</v>
      </c>
      <c r="I3453" t="s">
        <v>28</v>
      </c>
      <c r="J3453" t="s">
        <v>38</v>
      </c>
      <c r="K3453">
        <v>5873</v>
      </c>
      <c r="L3453">
        <v>34</v>
      </c>
      <c r="M3453">
        <v>207.48</v>
      </c>
      <c r="N3453">
        <v>0</v>
      </c>
      <c r="O3453">
        <v>0</v>
      </c>
      <c r="P3453">
        <f t="shared" si="212"/>
        <v>5.7892048356887448E-3</v>
      </c>
      <c r="Q3453">
        <f t="shared" si="212"/>
        <v>6.1023529411764699</v>
      </c>
      <c r="R3453">
        <f t="shared" si="213"/>
        <v>0</v>
      </c>
      <c r="S3453">
        <f t="shared" si="214"/>
        <v>0</v>
      </c>
      <c r="T3453">
        <f t="shared" si="215"/>
        <v>0</v>
      </c>
      <c r="U3453" t="str">
        <f>YEAR('Campaign Data'!$A3453)&amp;"-"&amp;TEXT(MONTH('Campaign Data'!$A3453),"00")</f>
        <v>2026-07</v>
      </c>
    </row>
    <row r="3454" spans="1:21" x14ac:dyDescent="0.25">
      <c r="A3454">
        <v>46211</v>
      </c>
      <c r="B3454" t="s">
        <v>46</v>
      </c>
      <c r="C3454" t="s">
        <v>47</v>
      </c>
      <c r="D3454" t="s">
        <v>48</v>
      </c>
      <c r="E3454" t="s">
        <v>49</v>
      </c>
      <c r="F3454" t="s">
        <v>43</v>
      </c>
      <c r="G3454" t="s">
        <v>50</v>
      </c>
      <c r="H3454" t="s">
        <v>90</v>
      </c>
      <c r="I3454" t="s">
        <v>28</v>
      </c>
      <c r="J3454" t="s">
        <v>87</v>
      </c>
      <c r="K3454">
        <v>9317</v>
      </c>
      <c r="L3454">
        <v>270</v>
      </c>
      <c r="M3454">
        <v>167.59</v>
      </c>
      <c r="N3454">
        <v>16</v>
      </c>
      <c r="O3454">
        <v>80</v>
      </c>
      <c r="P3454">
        <f t="shared" si="212"/>
        <v>2.8979285177632284E-2</v>
      </c>
      <c r="Q3454">
        <f t="shared" si="212"/>
        <v>0.62070370370370376</v>
      </c>
      <c r="R3454">
        <f t="shared" si="213"/>
        <v>10.474375</v>
      </c>
      <c r="S3454">
        <f t="shared" si="214"/>
        <v>0.47735545080255382</v>
      </c>
      <c r="T3454">
        <f t="shared" si="215"/>
        <v>5.9259259259259262E-2</v>
      </c>
      <c r="U3454" t="str">
        <f>YEAR('Campaign Data'!$A3454)&amp;"-"&amp;TEXT(MONTH('Campaign Data'!$A3454),"00")</f>
        <v>2026-07</v>
      </c>
    </row>
    <row r="3455" spans="1:21" x14ac:dyDescent="0.25">
      <c r="A3455">
        <v>46211</v>
      </c>
      <c r="B3455" t="s">
        <v>100</v>
      </c>
      <c r="C3455" t="s">
        <v>101</v>
      </c>
      <c r="D3455" t="s">
        <v>80</v>
      </c>
      <c r="E3455" t="s">
        <v>33</v>
      </c>
      <c r="F3455" t="s">
        <v>25</v>
      </c>
      <c r="G3455" t="s">
        <v>102</v>
      </c>
      <c r="H3455" t="s">
        <v>51</v>
      </c>
      <c r="I3455" t="s">
        <v>37</v>
      </c>
      <c r="J3455" t="s">
        <v>29</v>
      </c>
      <c r="K3455">
        <v>2627</v>
      </c>
      <c r="L3455">
        <v>29</v>
      </c>
      <c r="M3455">
        <v>21.43</v>
      </c>
      <c r="N3455">
        <v>0</v>
      </c>
      <c r="O3455">
        <v>0</v>
      </c>
      <c r="P3455">
        <f t="shared" si="212"/>
        <v>1.1039208222306814E-2</v>
      </c>
      <c r="Q3455">
        <f t="shared" si="212"/>
        <v>0.73896551724137927</v>
      </c>
      <c r="R3455">
        <f t="shared" si="213"/>
        <v>0</v>
      </c>
      <c r="S3455">
        <f t="shared" si="214"/>
        <v>0</v>
      </c>
      <c r="T3455">
        <f t="shared" si="215"/>
        <v>0</v>
      </c>
      <c r="U3455" t="str">
        <f>YEAR('Campaign Data'!$A3455)&amp;"-"&amp;TEXT(MONTH('Campaign Data'!$A3455),"00")</f>
        <v>2026-07</v>
      </c>
    </row>
    <row r="3456" spans="1:21" x14ac:dyDescent="0.25">
      <c r="A3456">
        <v>46211</v>
      </c>
      <c r="B3456" t="s">
        <v>127</v>
      </c>
      <c r="C3456" t="s">
        <v>128</v>
      </c>
      <c r="D3456" t="s">
        <v>58</v>
      </c>
      <c r="E3456" t="s">
        <v>24</v>
      </c>
      <c r="F3456" t="s">
        <v>81</v>
      </c>
      <c r="G3456" t="s">
        <v>129</v>
      </c>
      <c r="H3456" t="s">
        <v>51</v>
      </c>
      <c r="I3456" t="s">
        <v>37</v>
      </c>
      <c r="J3456" t="s">
        <v>29</v>
      </c>
      <c r="K3456">
        <v>5833</v>
      </c>
      <c r="L3456">
        <v>105</v>
      </c>
      <c r="M3456">
        <v>106.27</v>
      </c>
      <c r="N3456">
        <v>2</v>
      </c>
      <c r="O3456">
        <v>35.69</v>
      </c>
      <c r="P3456">
        <f t="shared" si="212"/>
        <v>1.8001028630207441E-2</v>
      </c>
      <c r="Q3456">
        <f t="shared" si="212"/>
        <v>1.0120952380952382</v>
      </c>
      <c r="R3456">
        <f t="shared" si="213"/>
        <v>53.134999999999998</v>
      </c>
      <c r="S3456">
        <f t="shared" si="214"/>
        <v>0.33584266491013454</v>
      </c>
      <c r="T3456">
        <f t="shared" si="215"/>
        <v>1.9047619047619049E-2</v>
      </c>
      <c r="U3456" t="str">
        <f>YEAR('Campaign Data'!$A3456)&amp;"-"&amp;TEXT(MONTH('Campaign Data'!$A3456),"00")</f>
        <v>2026-07</v>
      </c>
    </row>
    <row r="3457" spans="1:21" x14ac:dyDescent="0.25">
      <c r="A3457">
        <v>46211</v>
      </c>
      <c r="B3457" t="s">
        <v>127</v>
      </c>
      <c r="C3457" t="s">
        <v>128</v>
      </c>
      <c r="D3457" t="s">
        <v>58</v>
      </c>
      <c r="E3457" t="s">
        <v>24</v>
      </c>
      <c r="F3457" t="s">
        <v>81</v>
      </c>
      <c r="G3457" t="s">
        <v>129</v>
      </c>
      <c r="H3457" t="s">
        <v>27</v>
      </c>
      <c r="I3457" t="s">
        <v>37</v>
      </c>
      <c r="J3457" t="s">
        <v>29</v>
      </c>
      <c r="K3457">
        <v>5391</v>
      </c>
      <c r="L3457">
        <v>112</v>
      </c>
      <c r="M3457">
        <v>174.5</v>
      </c>
      <c r="N3457">
        <v>2</v>
      </c>
      <c r="O3457">
        <v>73.58</v>
      </c>
      <c r="P3457">
        <f t="shared" si="212"/>
        <v>2.0775366351326284E-2</v>
      </c>
      <c r="Q3457">
        <f t="shared" si="212"/>
        <v>1.5580357142857142</v>
      </c>
      <c r="R3457">
        <f t="shared" si="213"/>
        <v>87.25</v>
      </c>
      <c r="S3457">
        <f t="shared" si="214"/>
        <v>0.42166189111747848</v>
      </c>
      <c r="T3457">
        <f t="shared" si="215"/>
        <v>1.7857142857142856E-2</v>
      </c>
      <c r="U3457" t="str">
        <f>YEAR('Campaign Data'!$A3457)&amp;"-"&amp;TEXT(MONTH('Campaign Data'!$A3457),"00")</f>
        <v>2026-07</v>
      </c>
    </row>
    <row r="3458" spans="1:21" x14ac:dyDescent="0.25">
      <c r="A3458">
        <v>46211</v>
      </c>
      <c r="B3458" t="s">
        <v>105</v>
      </c>
      <c r="C3458" t="s">
        <v>106</v>
      </c>
      <c r="D3458" t="s">
        <v>58</v>
      </c>
      <c r="E3458" t="s">
        <v>49</v>
      </c>
      <c r="F3458" t="s">
        <v>81</v>
      </c>
      <c r="G3458" t="s">
        <v>107</v>
      </c>
      <c r="H3458" t="s">
        <v>36</v>
      </c>
      <c r="I3458" t="s">
        <v>28</v>
      </c>
      <c r="J3458" t="s">
        <v>45</v>
      </c>
      <c r="K3458">
        <v>765</v>
      </c>
      <c r="L3458">
        <v>33</v>
      </c>
      <c r="M3458">
        <v>55.25</v>
      </c>
      <c r="N3458">
        <v>0</v>
      </c>
      <c r="O3458">
        <v>0</v>
      </c>
      <c r="P3458">
        <f t="shared" ref="P3458:Q3521" si="216">IF(K3458=0,0,L3458/K3458)</f>
        <v>4.3137254901960784E-2</v>
      </c>
      <c r="Q3458">
        <f t="shared" si="216"/>
        <v>1.6742424242424243</v>
      </c>
      <c r="R3458">
        <f t="shared" ref="R3458:R3521" si="217">IF(N3458=0,0,M3458/N3458)</f>
        <v>0</v>
      </c>
      <c r="S3458">
        <f t="shared" ref="S3458:S3521" si="218">IF(M3458=0,0,O3458/M3458)</f>
        <v>0</v>
      </c>
      <c r="T3458">
        <f t="shared" ref="T3458:T3521" si="219">IF(L3458=0,0,N3458/L3458)</f>
        <v>0</v>
      </c>
      <c r="U3458" t="str">
        <f>YEAR('Campaign Data'!$A3458)&amp;"-"&amp;TEXT(MONTH('Campaign Data'!$A3458),"00")</f>
        <v>2026-07</v>
      </c>
    </row>
    <row r="3459" spans="1:21" x14ac:dyDescent="0.25">
      <c r="A3459">
        <v>46211</v>
      </c>
      <c r="B3459" t="s">
        <v>132</v>
      </c>
      <c r="C3459" t="s">
        <v>133</v>
      </c>
      <c r="D3459" t="s">
        <v>23</v>
      </c>
      <c r="E3459" t="s">
        <v>42</v>
      </c>
      <c r="F3459" t="s">
        <v>75</v>
      </c>
      <c r="G3459" t="s">
        <v>84</v>
      </c>
      <c r="H3459" t="s">
        <v>27</v>
      </c>
      <c r="I3459" t="s">
        <v>37</v>
      </c>
      <c r="J3459" t="s">
        <v>45</v>
      </c>
      <c r="K3459">
        <v>5152</v>
      </c>
      <c r="L3459">
        <v>32</v>
      </c>
      <c r="M3459">
        <v>231.81</v>
      </c>
      <c r="N3459">
        <v>1</v>
      </c>
      <c r="O3459">
        <v>28.38</v>
      </c>
      <c r="P3459">
        <f t="shared" si="216"/>
        <v>6.2111801242236021E-3</v>
      </c>
      <c r="Q3459">
        <f t="shared" si="216"/>
        <v>7.2440625000000001</v>
      </c>
      <c r="R3459">
        <f t="shared" si="217"/>
        <v>231.81</v>
      </c>
      <c r="S3459">
        <f t="shared" si="218"/>
        <v>0.1224278503947198</v>
      </c>
      <c r="T3459">
        <f t="shared" si="219"/>
        <v>3.125E-2</v>
      </c>
      <c r="U3459" t="str">
        <f>YEAR('Campaign Data'!$A3459)&amp;"-"&amp;TEXT(MONTH('Campaign Data'!$A3459),"00")</f>
        <v>2026-07</v>
      </c>
    </row>
    <row r="3460" spans="1:21" x14ac:dyDescent="0.25">
      <c r="A3460">
        <v>46211</v>
      </c>
      <c r="B3460" t="s">
        <v>153</v>
      </c>
      <c r="C3460" t="s">
        <v>154</v>
      </c>
      <c r="D3460" t="s">
        <v>48</v>
      </c>
      <c r="E3460" t="s">
        <v>33</v>
      </c>
      <c r="F3460" t="s">
        <v>43</v>
      </c>
      <c r="G3460" t="s">
        <v>59</v>
      </c>
      <c r="H3460" t="s">
        <v>90</v>
      </c>
      <c r="I3460" t="s">
        <v>37</v>
      </c>
      <c r="J3460" t="s">
        <v>38</v>
      </c>
      <c r="K3460">
        <v>30184</v>
      </c>
      <c r="L3460">
        <v>292</v>
      </c>
      <c r="M3460">
        <v>48.62</v>
      </c>
      <c r="N3460">
        <v>3</v>
      </c>
      <c r="O3460">
        <v>25.43</v>
      </c>
      <c r="P3460">
        <f t="shared" si="216"/>
        <v>9.6739994699178381E-3</v>
      </c>
      <c r="Q3460">
        <f t="shared" si="216"/>
        <v>0.16650684931506848</v>
      </c>
      <c r="R3460">
        <f t="shared" si="217"/>
        <v>16.206666666666667</v>
      </c>
      <c r="S3460">
        <f t="shared" si="218"/>
        <v>0.52303578774167014</v>
      </c>
      <c r="T3460">
        <f t="shared" si="219"/>
        <v>1.0273972602739725E-2</v>
      </c>
      <c r="U3460" t="str">
        <f>YEAR('Campaign Data'!$A3460)&amp;"-"&amp;TEXT(MONTH('Campaign Data'!$A3460),"00")</f>
        <v>2026-07</v>
      </c>
    </row>
    <row r="3461" spans="1:21" x14ac:dyDescent="0.25">
      <c r="A3461">
        <v>46211</v>
      </c>
      <c r="B3461" t="s">
        <v>110</v>
      </c>
      <c r="C3461" t="s">
        <v>111</v>
      </c>
      <c r="D3461" t="s">
        <v>23</v>
      </c>
      <c r="E3461" t="s">
        <v>49</v>
      </c>
      <c r="F3461" t="s">
        <v>34</v>
      </c>
      <c r="G3461" t="s">
        <v>50</v>
      </c>
      <c r="H3461" t="s">
        <v>36</v>
      </c>
      <c r="I3461" t="s">
        <v>37</v>
      </c>
      <c r="J3461" t="s">
        <v>45</v>
      </c>
      <c r="K3461">
        <v>5963</v>
      </c>
      <c r="L3461">
        <v>357</v>
      </c>
      <c r="M3461">
        <v>621.65</v>
      </c>
      <c r="N3461">
        <v>21</v>
      </c>
      <c r="O3461">
        <v>3792.86</v>
      </c>
      <c r="P3461">
        <f t="shared" si="216"/>
        <v>5.986919335904746E-2</v>
      </c>
      <c r="Q3461">
        <f t="shared" si="216"/>
        <v>1.7413165266106443</v>
      </c>
      <c r="R3461">
        <f t="shared" si="217"/>
        <v>29.602380952380951</v>
      </c>
      <c r="S3461">
        <f t="shared" si="218"/>
        <v>6.1012788546609835</v>
      </c>
      <c r="T3461">
        <f t="shared" si="219"/>
        <v>5.8823529411764705E-2</v>
      </c>
      <c r="U3461" t="str">
        <f>YEAR('Campaign Data'!$A3461)&amp;"-"&amp;TEXT(MONTH('Campaign Data'!$A3461),"00")</f>
        <v>2026-07</v>
      </c>
    </row>
    <row r="3462" spans="1:21" x14ac:dyDescent="0.25">
      <c r="A3462">
        <v>46211</v>
      </c>
      <c r="B3462" t="s">
        <v>181</v>
      </c>
      <c r="C3462" t="s">
        <v>182</v>
      </c>
      <c r="D3462" t="s">
        <v>32</v>
      </c>
      <c r="E3462" t="s">
        <v>33</v>
      </c>
      <c r="F3462" t="s">
        <v>75</v>
      </c>
      <c r="G3462" t="s">
        <v>59</v>
      </c>
      <c r="H3462" t="s">
        <v>51</v>
      </c>
      <c r="I3462" t="s">
        <v>37</v>
      </c>
      <c r="J3462" t="s">
        <v>62</v>
      </c>
      <c r="K3462">
        <v>4060</v>
      </c>
      <c r="L3462">
        <v>19</v>
      </c>
      <c r="M3462">
        <v>13.33</v>
      </c>
      <c r="N3462">
        <v>2</v>
      </c>
      <c r="O3462">
        <v>57.01</v>
      </c>
      <c r="P3462">
        <f t="shared" si="216"/>
        <v>4.6798029556650248E-3</v>
      </c>
      <c r="Q3462">
        <f t="shared" si="216"/>
        <v>0.70157894736842108</v>
      </c>
      <c r="R3462">
        <f t="shared" si="217"/>
        <v>6.665</v>
      </c>
      <c r="S3462">
        <f t="shared" si="218"/>
        <v>4.2768192048011997</v>
      </c>
      <c r="T3462">
        <f t="shared" si="219"/>
        <v>0.10526315789473684</v>
      </c>
      <c r="U3462" t="str">
        <f>YEAR('Campaign Data'!$A3462)&amp;"-"&amp;TEXT(MONTH('Campaign Data'!$A3462),"00")</f>
        <v>2026-07</v>
      </c>
    </row>
    <row r="3463" spans="1:21" x14ac:dyDescent="0.25">
      <c r="A3463">
        <v>46211</v>
      </c>
      <c r="B3463" t="s">
        <v>143</v>
      </c>
      <c r="C3463" t="s">
        <v>144</v>
      </c>
      <c r="D3463" t="s">
        <v>48</v>
      </c>
      <c r="E3463" t="s">
        <v>42</v>
      </c>
      <c r="F3463" t="s">
        <v>25</v>
      </c>
      <c r="G3463" t="s">
        <v>84</v>
      </c>
      <c r="H3463" t="s">
        <v>27</v>
      </c>
      <c r="I3463" t="s">
        <v>37</v>
      </c>
      <c r="J3463" t="s">
        <v>38</v>
      </c>
      <c r="K3463">
        <v>5272</v>
      </c>
      <c r="L3463">
        <v>30</v>
      </c>
      <c r="M3463">
        <v>218.24</v>
      </c>
      <c r="N3463">
        <v>0</v>
      </c>
      <c r="O3463">
        <v>0</v>
      </c>
      <c r="P3463">
        <f t="shared" si="216"/>
        <v>5.6904400606980271E-3</v>
      </c>
      <c r="Q3463">
        <f t="shared" si="216"/>
        <v>7.2746666666666666</v>
      </c>
      <c r="R3463">
        <f t="shared" si="217"/>
        <v>0</v>
      </c>
      <c r="S3463">
        <f t="shared" si="218"/>
        <v>0</v>
      </c>
      <c r="T3463">
        <f t="shared" si="219"/>
        <v>0</v>
      </c>
      <c r="U3463" t="str">
        <f>YEAR('Campaign Data'!$A3463)&amp;"-"&amp;TEXT(MONTH('Campaign Data'!$A3463),"00")</f>
        <v>2026-07</v>
      </c>
    </row>
    <row r="3464" spans="1:21" x14ac:dyDescent="0.25">
      <c r="A3464">
        <v>46211</v>
      </c>
      <c r="B3464" t="s">
        <v>63</v>
      </c>
      <c r="C3464" t="s">
        <v>64</v>
      </c>
      <c r="D3464" t="s">
        <v>65</v>
      </c>
      <c r="E3464" t="s">
        <v>24</v>
      </c>
      <c r="F3464" t="s">
        <v>43</v>
      </c>
      <c r="G3464" t="s">
        <v>66</v>
      </c>
      <c r="H3464" t="s">
        <v>27</v>
      </c>
      <c r="I3464" t="s">
        <v>37</v>
      </c>
      <c r="J3464" t="s">
        <v>29</v>
      </c>
      <c r="K3464">
        <v>10724</v>
      </c>
      <c r="L3464">
        <v>88</v>
      </c>
      <c r="M3464">
        <v>93.47</v>
      </c>
      <c r="N3464">
        <v>3</v>
      </c>
      <c r="O3464">
        <v>99.01</v>
      </c>
      <c r="P3464">
        <f t="shared" si="216"/>
        <v>8.2058933233867953E-3</v>
      </c>
      <c r="Q3464">
        <f t="shared" si="216"/>
        <v>1.062159090909091</v>
      </c>
      <c r="R3464">
        <f t="shared" si="217"/>
        <v>31.156666666666666</v>
      </c>
      <c r="S3464">
        <f t="shared" si="218"/>
        <v>1.059270354124318</v>
      </c>
      <c r="T3464">
        <f t="shared" si="219"/>
        <v>3.4090909090909088E-2</v>
      </c>
      <c r="U3464" t="str">
        <f>YEAR('Campaign Data'!$A3464)&amp;"-"&amp;TEXT(MONTH('Campaign Data'!$A3464),"00")</f>
        <v>2026-07</v>
      </c>
    </row>
    <row r="3465" spans="1:21" x14ac:dyDescent="0.25">
      <c r="A3465">
        <v>46211</v>
      </c>
      <c r="B3465" t="s">
        <v>183</v>
      </c>
      <c r="C3465" t="s">
        <v>184</v>
      </c>
      <c r="D3465" t="s">
        <v>23</v>
      </c>
      <c r="E3465" t="s">
        <v>24</v>
      </c>
      <c r="F3465" t="s">
        <v>81</v>
      </c>
      <c r="G3465" t="s">
        <v>185</v>
      </c>
      <c r="H3465" t="s">
        <v>36</v>
      </c>
      <c r="I3465" t="s">
        <v>61</v>
      </c>
      <c r="J3465" t="s">
        <v>38</v>
      </c>
      <c r="K3465">
        <v>5858</v>
      </c>
      <c r="L3465">
        <v>60</v>
      </c>
      <c r="M3465">
        <v>45.02</v>
      </c>
      <c r="N3465">
        <v>1</v>
      </c>
      <c r="O3465">
        <v>20.260000000000002</v>
      </c>
      <c r="P3465">
        <f t="shared" si="216"/>
        <v>1.0242403550699898E-2</v>
      </c>
      <c r="Q3465">
        <f t="shared" si="216"/>
        <v>0.75033333333333341</v>
      </c>
      <c r="R3465">
        <f t="shared" si="217"/>
        <v>45.02</v>
      </c>
      <c r="S3465">
        <f t="shared" si="218"/>
        <v>0.45002221235006662</v>
      </c>
      <c r="T3465">
        <f t="shared" si="219"/>
        <v>1.6666666666666666E-2</v>
      </c>
      <c r="U3465" t="str">
        <f>YEAR('Campaign Data'!$A3465)&amp;"-"&amp;TEXT(MONTH('Campaign Data'!$A3465),"00")</f>
        <v>2026-07</v>
      </c>
    </row>
    <row r="3466" spans="1:21" x14ac:dyDescent="0.25">
      <c r="A3466">
        <v>46211</v>
      </c>
      <c r="B3466" t="s">
        <v>122</v>
      </c>
      <c r="C3466" t="s">
        <v>123</v>
      </c>
      <c r="D3466" t="s">
        <v>41</v>
      </c>
      <c r="E3466" t="s">
        <v>33</v>
      </c>
      <c r="F3466" t="s">
        <v>75</v>
      </c>
      <c r="G3466" t="s">
        <v>35</v>
      </c>
      <c r="H3466" t="s">
        <v>90</v>
      </c>
      <c r="I3466" t="s">
        <v>37</v>
      </c>
      <c r="J3466" t="s">
        <v>29</v>
      </c>
      <c r="K3466">
        <v>8392</v>
      </c>
      <c r="L3466">
        <v>69</v>
      </c>
      <c r="M3466">
        <v>8.39</v>
      </c>
      <c r="N3466">
        <v>0</v>
      </c>
      <c r="O3466">
        <v>0</v>
      </c>
      <c r="P3466">
        <f t="shared" si="216"/>
        <v>8.2221163012392746E-3</v>
      </c>
      <c r="Q3466">
        <f t="shared" si="216"/>
        <v>0.12159420289855073</v>
      </c>
      <c r="R3466">
        <f t="shared" si="217"/>
        <v>0</v>
      </c>
      <c r="S3466">
        <f t="shared" si="218"/>
        <v>0</v>
      </c>
      <c r="T3466">
        <f t="shared" si="219"/>
        <v>0</v>
      </c>
      <c r="U3466" t="str">
        <f>YEAR('Campaign Data'!$A3466)&amp;"-"&amp;TEXT(MONTH('Campaign Data'!$A3466),"00")</f>
        <v>2026-07</v>
      </c>
    </row>
    <row r="3467" spans="1:21" x14ac:dyDescent="0.25">
      <c r="A3467">
        <v>46212</v>
      </c>
      <c r="B3467" t="s">
        <v>21</v>
      </c>
      <c r="C3467" t="s">
        <v>124</v>
      </c>
      <c r="D3467" t="s">
        <v>23</v>
      </c>
      <c r="E3467" t="s">
        <v>24</v>
      </c>
      <c r="F3467" t="s">
        <v>25</v>
      </c>
      <c r="G3467" t="s">
        <v>26</v>
      </c>
      <c r="H3467" t="s">
        <v>55</v>
      </c>
      <c r="I3467" t="s">
        <v>37</v>
      </c>
      <c r="J3467" t="s">
        <v>29</v>
      </c>
      <c r="K3467">
        <v>3746</v>
      </c>
      <c r="L3467">
        <v>32</v>
      </c>
      <c r="M3467">
        <v>29.12</v>
      </c>
      <c r="N3467">
        <v>0</v>
      </c>
      <c r="O3467">
        <v>0</v>
      </c>
      <c r="P3467">
        <f t="shared" si="216"/>
        <v>8.5424452749599568E-3</v>
      </c>
      <c r="Q3467">
        <f t="shared" si="216"/>
        <v>0.91</v>
      </c>
      <c r="R3467">
        <f t="shared" si="217"/>
        <v>0</v>
      </c>
      <c r="S3467">
        <f t="shared" si="218"/>
        <v>0</v>
      </c>
      <c r="T3467">
        <f t="shared" si="219"/>
        <v>0</v>
      </c>
      <c r="U3467" t="str">
        <f>YEAR('Campaign Data'!$A3467)&amp;"-"&amp;TEXT(MONTH('Campaign Data'!$A3467),"00")</f>
        <v>2026-07</v>
      </c>
    </row>
    <row r="3468" spans="1:21" x14ac:dyDescent="0.25">
      <c r="A3468">
        <v>46212</v>
      </c>
      <c r="B3468" t="s">
        <v>167</v>
      </c>
      <c r="C3468" t="s">
        <v>168</v>
      </c>
      <c r="D3468" t="s">
        <v>58</v>
      </c>
      <c r="E3468" t="s">
        <v>33</v>
      </c>
      <c r="F3468" t="s">
        <v>75</v>
      </c>
      <c r="G3468" t="s">
        <v>35</v>
      </c>
      <c r="H3468" t="s">
        <v>27</v>
      </c>
      <c r="I3468" t="s">
        <v>37</v>
      </c>
      <c r="J3468" t="s">
        <v>45</v>
      </c>
      <c r="K3468">
        <v>8830</v>
      </c>
      <c r="L3468">
        <v>83</v>
      </c>
      <c r="M3468">
        <v>69.11</v>
      </c>
      <c r="N3468">
        <v>1</v>
      </c>
      <c r="O3468">
        <v>45.77</v>
      </c>
      <c r="P3468">
        <f t="shared" si="216"/>
        <v>9.399773499433748E-3</v>
      </c>
      <c r="Q3468">
        <f t="shared" si="216"/>
        <v>0.83265060240963851</v>
      </c>
      <c r="R3468">
        <f t="shared" si="217"/>
        <v>69.11</v>
      </c>
      <c r="S3468">
        <f t="shared" si="218"/>
        <v>0.66227752857762989</v>
      </c>
      <c r="T3468">
        <f t="shared" si="219"/>
        <v>1.2048192771084338E-2</v>
      </c>
      <c r="U3468" t="str">
        <f>YEAR('Campaign Data'!$A3468)&amp;"-"&amp;TEXT(MONTH('Campaign Data'!$A3468),"00")</f>
        <v>2026-07</v>
      </c>
    </row>
    <row r="3469" spans="1:21" x14ac:dyDescent="0.25">
      <c r="A3469">
        <v>46212</v>
      </c>
      <c r="B3469" t="s">
        <v>95</v>
      </c>
      <c r="C3469" t="s">
        <v>96</v>
      </c>
      <c r="D3469" t="s">
        <v>23</v>
      </c>
      <c r="E3469" t="s">
        <v>49</v>
      </c>
      <c r="F3469" t="s">
        <v>43</v>
      </c>
      <c r="G3469" t="s">
        <v>97</v>
      </c>
      <c r="H3469" t="s">
        <v>71</v>
      </c>
      <c r="I3469" t="s">
        <v>37</v>
      </c>
      <c r="J3469" t="s">
        <v>38</v>
      </c>
      <c r="K3469">
        <v>10418</v>
      </c>
      <c r="L3469">
        <v>686</v>
      </c>
      <c r="M3469">
        <v>1369.76</v>
      </c>
      <c r="N3469">
        <v>26</v>
      </c>
      <c r="O3469">
        <v>482.34</v>
      </c>
      <c r="P3469">
        <f t="shared" si="216"/>
        <v>6.5847571510846609E-2</v>
      </c>
      <c r="Q3469">
        <f t="shared" si="216"/>
        <v>1.996734693877551</v>
      </c>
      <c r="R3469">
        <f t="shared" si="217"/>
        <v>52.683076923076925</v>
      </c>
      <c r="S3469">
        <f t="shared" si="218"/>
        <v>0.3521346805279757</v>
      </c>
      <c r="T3469">
        <f t="shared" si="219"/>
        <v>3.7900874635568516E-2</v>
      </c>
      <c r="U3469" t="str">
        <f>YEAR('Campaign Data'!$A3469)&amp;"-"&amp;TEXT(MONTH('Campaign Data'!$A3469),"00")</f>
        <v>2026-07</v>
      </c>
    </row>
    <row r="3470" spans="1:21" x14ac:dyDescent="0.25">
      <c r="A3470">
        <v>46212</v>
      </c>
      <c r="B3470" t="s">
        <v>151</v>
      </c>
      <c r="C3470" t="s">
        <v>152</v>
      </c>
      <c r="D3470" t="s">
        <v>48</v>
      </c>
      <c r="E3470" t="s">
        <v>24</v>
      </c>
      <c r="F3470" t="s">
        <v>81</v>
      </c>
      <c r="G3470" t="s">
        <v>129</v>
      </c>
      <c r="H3470" t="s">
        <v>55</v>
      </c>
      <c r="I3470" t="s">
        <v>37</v>
      </c>
      <c r="J3470" t="s">
        <v>87</v>
      </c>
      <c r="K3470">
        <v>5545</v>
      </c>
      <c r="L3470">
        <v>62</v>
      </c>
      <c r="M3470">
        <v>45.06</v>
      </c>
      <c r="N3470">
        <v>2</v>
      </c>
      <c r="O3470">
        <v>47.58</v>
      </c>
      <c r="P3470">
        <f t="shared" si="216"/>
        <v>1.1181244364292155E-2</v>
      </c>
      <c r="Q3470">
        <f t="shared" si="216"/>
        <v>0.72677419354838713</v>
      </c>
      <c r="R3470">
        <f t="shared" si="217"/>
        <v>22.53</v>
      </c>
      <c r="S3470">
        <f t="shared" si="218"/>
        <v>1.0559254327563248</v>
      </c>
      <c r="T3470">
        <f t="shared" si="219"/>
        <v>3.2258064516129031E-2</v>
      </c>
      <c r="U3470" t="str">
        <f>YEAR('Campaign Data'!$A3470)&amp;"-"&amp;TEXT(MONTH('Campaign Data'!$A3470),"00")</f>
        <v>2026-07</v>
      </c>
    </row>
    <row r="3471" spans="1:21" x14ac:dyDescent="0.25">
      <c r="A3471">
        <v>46212</v>
      </c>
      <c r="B3471" t="s">
        <v>153</v>
      </c>
      <c r="C3471" t="s">
        <v>154</v>
      </c>
      <c r="D3471" t="s">
        <v>48</v>
      </c>
      <c r="E3471" t="s">
        <v>33</v>
      </c>
      <c r="F3471" t="s">
        <v>43</v>
      </c>
      <c r="G3471" t="s">
        <v>59</v>
      </c>
      <c r="H3471" t="s">
        <v>60</v>
      </c>
      <c r="I3471" t="s">
        <v>37</v>
      </c>
      <c r="J3471" t="s">
        <v>87</v>
      </c>
      <c r="K3471">
        <v>4940</v>
      </c>
      <c r="L3471">
        <v>54</v>
      </c>
      <c r="M3471">
        <v>32.770000000000003</v>
      </c>
      <c r="N3471">
        <v>1</v>
      </c>
      <c r="O3471">
        <v>24.67</v>
      </c>
      <c r="P3471">
        <f t="shared" si="216"/>
        <v>1.0931174089068825E-2</v>
      </c>
      <c r="Q3471">
        <f t="shared" si="216"/>
        <v>0.60685185185185186</v>
      </c>
      <c r="R3471">
        <f t="shared" si="217"/>
        <v>32.770000000000003</v>
      </c>
      <c r="S3471">
        <f t="shared" si="218"/>
        <v>0.75282270369240156</v>
      </c>
      <c r="T3471">
        <f t="shared" si="219"/>
        <v>1.8518518518518517E-2</v>
      </c>
      <c r="U3471" t="str">
        <f>YEAR('Campaign Data'!$A3471)&amp;"-"&amp;TEXT(MONTH('Campaign Data'!$A3471),"00")</f>
        <v>2026-07</v>
      </c>
    </row>
    <row r="3472" spans="1:21" x14ac:dyDescent="0.25">
      <c r="A3472">
        <v>46212</v>
      </c>
      <c r="B3472" t="s">
        <v>110</v>
      </c>
      <c r="C3472" t="s">
        <v>111</v>
      </c>
      <c r="D3472" t="s">
        <v>23</v>
      </c>
      <c r="E3472" t="s">
        <v>49</v>
      </c>
      <c r="F3472" t="s">
        <v>34</v>
      </c>
      <c r="G3472" t="s">
        <v>50</v>
      </c>
      <c r="H3472" t="s">
        <v>60</v>
      </c>
      <c r="I3472" t="s">
        <v>28</v>
      </c>
      <c r="J3472" t="s">
        <v>87</v>
      </c>
      <c r="K3472">
        <v>15833</v>
      </c>
      <c r="L3472">
        <v>669</v>
      </c>
      <c r="M3472">
        <v>879.84</v>
      </c>
      <c r="N3472">
        <v>38</v>
      </c>
      <c r="O3472">
        <v>5780.83</v>
      </c>
      <c r="P3472">
        <f t="shared" si="216"/>
        <v>4.2253521126760563E-2</v>
      </c>
      <c r="Q3472">
        <f t="shared" si="216"/>
        <v>1.3151569506726457</v>
      </c>
      <c r="R3472">
        <f t="shared" si="217"/>
        <v>23.153684210526318</v>
      </c>
      <c r="S3472">
        <f t="shared" si="218"/>
        <v>6.5703196035642843</v>
      </c>
      <c r="T3472">
        <f t="shared" si="219"/>
        <v>5.6801195814648729E-2</v>
      </c>
      <c r="U3472" t="str">
        <f>YEAR('Campaign Data'!$A3472)&amp;"-"&amp;TEXT(MONTH('Campaign Data'!$A3472),"00")</f>
        <v>2026-07</v>
      </c>
    </row>
    <row r="3473" spans="1:21" x14ac:dyDescent="0.25">
      <c r="A3473">
        <v>46212</v>
      </c>
      <c r="B3473" t="s">
        <v>134</v>
      </c>
      <c r="C3473" t="s">
        <v>135</v>
      </c>
      <c r="D3473" t="s">
        <v>32</v>
      </c>
      <c r="E3473" t="s">
        <v>74</v>
      </c>
      <c r="F3473" t="s">
        <v>25</v>
      </c>
      <c r="G3473" t="s">
        <v>107</v>
      </c>
      <c r="H3473" t="s">
        <v>60</v>
      </c>
      <c r="I3473" t="s">
        <v>37</v>
      </c>
      <c r="J3473" t="s">
        <v>45</v>
      </c>
      <c r="K3473">
        <v>1100</v>
      </c>
      <c r="L3473">
        <v>52</v>
      </c>
      <c r="M3473">
        <v>68.41</v>
      </c>
      <c r="N3473">
        <v>1</v>
      </c>
      <c r="O3473">
        <v>205.3</v>
      </c>
      <c r="P3473">
        <f t="shared" si="216"/>
        <v>4.7272727272727272E-2</v>
      </c>
      <c r="Q3473">
        <f t="shared" si="216"/>
        <v>1.315576923076923</v>
      </c>
      <c r="R3473">
        <f t="shared" si="217"/>
        <v>68.41</v>
      </c>
      <c r="S3473">
        <f t="shared" si="218"/>
        <v>3.0010232422160508</v>
      </c>
      <c r="T3473">
        <f t="shared" si="219"/>
        <v>1.9230769230769232E-2</v>
      </c>
      <c r="U3473" t="str">
        <f>YEAR('Campaign Data'!$A3473)&amp;"-"&amp;TEXT(MONTH('Campaign Data'!$A3473),"00")</f>
        <v>2026-07</v>
      </c>
    </row>
    <row r="3474" spans="1:21" x14ac:dyDescent="0.25">
      <c r="A3474">
        <v>46212</v>
      </c>
      <c r="B3474" t="s">
        <v>141</v>
      </c>
      <c r="C3474" t="s">
        <v>142</v>
      </c>
      <c r="D3474" t="s">
        <v>80</v>
      </c>
      <c r="E3474" t="s">
        <v>49</v>
      </c>
      <c r="F3474" t="s">
        <v>81</v>
      </c>
      <c r="G3474" t="s">
        <v>97</v>
      </c>
      <c r="H3474" t="s">
        <v>51</v>
      </c>
      <c r="I3474" t="s">
        <v>37</v>
      </c>
      <c r="J3474" t="s">
        <v>45</v>
      </c>
      <c r="K3474">
        <v>5310</v>
      </c>
      <c r="L3474">
        <v>290</v>
      </c>
      <c r="M3474">
        <v>484.3</v>
      </c>
      <c r="N3474">
        <v>13</v>
      </c>
      <c r="O3474">
        <v>190.83</v>
      </c>
      <c r="P3474">
        <f t="shared" si="216"/>
        <v>5.4613935969868174E-2</v>
      </c>
      <c r="Q3474">
        <f t="shared" si="216"/>
        <v>1.67</v>
      </c>
      <c r="R3474">
        <f t="shared" si="217"/>
        <v>37.253846153846155</v>
      </c>
      <c r="S3474">
        <f t="shared" si="218"/>
        <v>0.39403262440635972</v>
      </c>
      <c r="T3474">
        <f t="shared" si="219"/>
        <v>4.4827586206896551E-2</v>
      </c>
      <c r="U3474" t="str">
        <f>YEAR('Campaign Data'!$A3474)&amp;"-"&amp;TEXT(MONTH('Campaign Data'!$A3474),"00")</f>
        <v>2026-07</v>
      </c>
    </row>
    <row r="3475" spans="1:21" x14ac:dyDescent="0.25">
      <c r="A3475">
        <v>46212</v>
      </c>
      <c r="B3475" t="s">
        <v>67</v>
      </c>
      <c r="C3475" t="s">
        <v>68</v>
      </c>
      <c r="D3475" t="s">
        <v>69</v>
      </c>
      <c r="E3475" t="s">
        <v>49</v>
      </c>
      <c r="F3475" t="s">
        <v>34</v>
      </c>
      <c r="G3475" t="s">
        <v>70</v>
      </c>
      <c r="H3475" t="s">
        <v>60</v>
      </c>
      <c r="I3475" t="s">
        <v>37</v>
      </c>
      <c r="J3475" t="s">
        <v>45</v>
      </c>
      <c r="K3475">
        <v>4743</v>
      </c>
      <c r="L3475">
        <v>74</v>
      </c>
      <c r="M3475">
        <v>97.56</v>
      </c>
      <c r="N3475">
        <v>2</v>
      </c>
      <c r="O3475">
        <v>169.5</v>
      </c>
      <c r="P3475">
        <f t="shared" si="216"/>
        <v>1.5601939700611427E-2</v>
      </c>
      <c r="Q3475">
        <f t="shared" si="216"/>
        <v>1.3183783783783785</v>
      </c>
      <c r="R3475">
        <f t="shared" si="217"/>
        <v>48.78</v>
      </c>
      <c r="S3475">
        <f t="shared" si="218"/>
        <v>1.7373923739237391</v>
      </c>
      <c r="T3475">
        <f t="shared" si="219"/>
        <v>2.7027027027027029E-2</v>
      </c>
      <c r="U3475" t="str">
        <f>YEAR('Campaign Data'!$A3475)&amp;"-"&amp;TEXT(MONTH('Campaign Data'!$A3475),"00")</f>
        <v>2026-07</v>
      </c>
    </row>
    <row r="3476" spans="1:21" x14ac:dyDescent="0.25">
      <c r="A3476">
        <v>46212</v>
      </c>
      <c r="B3476" t="s">
        <v>72</v>
      </c>
      <c r="C3476" t="s">
        <v>73</v>
      </c>
      <c r="D3476" t="s">
        <v>69</v>
      </c>
      <c r="E3476" t="s">
        <v>74</v>
      </c>
      <c r="F3476" t="s">
        <v>75</v>
      </c>
      <c r="G3476" t="s">
        <v>9</v>
      </c>
      <c r="H3476" t="s">
        <v>36</v>
      </c>
      <c r="I3476" t="s">
        <v>37</v>
      </c>
      <c r="J3476" t="s">
        <v>62</v>
      </c>
      <c r="K3476">
        <v>3355</v>
      </c>
      <c r="L3476">
        <v>116</v>
      </c>
      <c r="M3476">
        <v>148.82</v>
      </c>
      <c r="N3476">
        <v>2</v>
      </c>
      <c r="O3476">
        <v>68.22</v>
      </c>
      <c r="P3476">
        <f t="shared" si="216"/>
        <v>3.4575260804769005E-2</v>
      </c>
      <c r="Q3476">
        <f t="shared" si="216"/>
        <v>1.2829310344827585</v>
      </c>
      <c r="R3476">
        <f t="shared" si="217"/>
        <v>74.41</v>
      </c>
      <c r="S3476">
        <f t="shared" si="218"/>
        <v>0.45840612820857413</v>
      </c>
      <c r="T3476">
        <f t="shared" si="219"/>
        <v>1.7241379310344827E-2</v>
      </c>
      <c r="U3476" t="str">
        <f>YEAR('Campaign Data'!$A3476)&amp;"-"&amp;TEXT(MONTH('Campaign Data'!$A3476),"00")</f>
        <v>2026-07</v>
      </c>
    </row>
    <row r="3477" spans="1:21" x14ac:dyDescent="0.25">
      <c r="A3477">
        <v>46212</v>
      </c>
      <c r="B3477" t="s">
        <v>145</v>
      </c>
      <c r="C3477" t="s">
        <v>146</v>
      </c>
      <c r="D3477" t="s">
        <v>41</v>
      </c>
      <c r="E3477" t="s">
        <v>49</v>
      </c>
      <c r="F3477" t="s">
        <v>75</v>
      </c>
      <c r="G3477" t="s">
        <v>70</v>
      </c>
      <c r="H3477" t="s">
        <v>71</v>
      </c>
      <c r="I3477" t="s">
        <v>37</v>
      </c>
      <c r="J3477" t="s">
        <v>29</v>
      </c>
      <c r="K3477">
        <v>5108</v>
      </c>
      <c r="L3477">
        <v>204</v>
      </c>
      <c r="M3477">
        <v>391.47</v>
      </c>
      <c r="N3477">
        <v>9</v>
      </c>
      <c r="O3477">
        <v>349.04</v>
      </c>
      <c r="P3477">
        <f t="shared" si="216"/>
        <v>3.9937353171495694E-2</v>
      </c>
      <c r="Q3477">
        <f t="shared" si="216"/>
        <v>1.9189705882352943</v>
      </c>
      <c r="R3477">
        <f t="shared" si="217"/>
        <v>43.49666666666667</v>
      </c>
      <c r="S3477">
        <f t="shared" si="218"/>
        <v>0.89161366132781561</v>
      </c>
      <c r="T3477">
        <f t="shared" si="219"/>
        <v>4.4117647058823532E-2</v>
      </c>
      <c r="U3477" t="str">
        <f>YEAR('Campaign Data'!$A3477)&amp;"-"&amp;TEXT(MONTH('Campaign Data'!$A3477),"00")</f>
        <v>2026-07</v>
      </c>
    </row>
    <row r="3478" spans="1:21" x14ac:dyDescent="0.25">
      <c r="A3478">
        <v>46212</v>
      </c>
      <c r="B3478" t="s">
        <v>145</v>
      </c>
      <c r="C3478" t="s">
        <v>146</v>
      </c>
      <c r="D3478" t="s">
        <v>41</v>
      </c>
      <c r="E3478" t="s">
        <v>49</v>
      </c>
      <c r="F3478" t="s">
        <v>75</v>
      </c>
      <c r="G3478" t="s">
        <v>70</v>
      </c>
      <c r="H3478" t="s">
        <v>55</v>
      </c>
      <c r="I3478" t="s">
        <v>37</v>
      </c>
      <c r="J3478" t="s">
        <v>62</v>
      </c>
      <c r="K3478">
        <v>2869</v>
      </c>
      <c r="L3478">
        <v>212</v>
      </c>
      <c r="M3478">
        <v>310.32</v>
      </c>
      <c r="N3478">
        <v>13</v>
      </c>
      <c r="O3478">
        <v>366.24</v>
      </c>
      <c r="P3478">
        <f t="shared" si="216"/>
        <v>7.3893342628093411E-2</v>
      </c>
      <c r="Q3478">
        <f t="shared" si="216"/>
        <v>1.4637735849056603</v>
      </c>
      <c r="R3478">
        <f t="shared" si="217"/>
        <v>23.870769230769231</v>
      </c>
      <c r="S3478">
        <f t="shared" si="218"/>
        <v>1.1802010827532869</v>
      </c>
      <c r="T3478">
        <f t="shared" si="219"/>
        <v>6.1320754716981132E-2</v>
      </c>
      <c r="U3478" t="str">
        <f>YEAR('Campaign Data'!$A3478)&amp;"-"&amp;TEXT(MONTH('Campaign Data'!$A3478),"00")</f>
        <v>2026-07</v>
      </c>
    </row>
    <row r="3479" spans="1:21" x14ac:dyDescent="0.25">
      <c r="A3479">
        <v>46212</v>
      </c>
      <c r="B3479" t="s">
        <v>82</v>
      </c>
      <c r="C3479" t="s">
        <v>83</v>
      </c>
      <c r="D3479" t="s">
        <v>80</v>
      </c>
      <c r="E3479" t="s">
        <v>42</v>
      </c>
      <c r="F3479" t="s">
        <v>34</v>
      </c>
      <c r="G3479" t="s">
        <v>84</v>
      </c>
      <c r="H3479" t="s">
        <v>55</v>
      </c>
      <c r="I3479" t="s">
        <v>37</v>
      </c>
      <c r="J3479" t="s">
        <v>38</v>
      </c>
      <c r="K3479">
        <v>3384</v>
      </c>
      <c r="L3479">
        <v>17</v>
      </c>
      <c r="M3479">
        <v>125.12</v>
      </c>
      <c r="N3479">
        <v>0</v>
      </c>
      <c r="O3479">
        <v>0</v>
      </c>
      <c r="P3479">
        <f t="shared" si="216"/>
        <v>5.0236406619385346E-3</v>
      </c>
      <c r="Q3479">
        <f t="shared" si="216"/>
        <v>7.36</v>
      </c>
      <c r="R3479">
        <f t="shared" si="217"/>
        <v>0</v>
      </c>
      <c r="S3479">
        <f t="shared" si="218"/>
        <v>0</v>
      </c>
      <c r="T3479">
        <f t="shared" si="219"/>
        <v>0</v>
      </c>
      <c r="U3479" t="str">
        <f>YEAR('Campaign Data'!$A3479)&amp;"-"&amp;TEXT(MONTH('Campaign Data'!$A3479),"00")</f>
        <v>2026-07</v>
      </c>
    </row>
    <row r="3480" spans="1:21" x14ac:dyDescent="0.25">
      <c r="A3480">
        <v>46213</v>
      </c>
      <c r="B3480" t="s">
        <v>175</v>
      </c>
      <c r="C3480" t="s">
        <v>176</v>
      </c>
      <c r="D3480" t="s">
        <v>65</v>
      </c>
      <c r="E3480" t="s">
        <v>49</v>
      </c>
      <c r="F3480" t="s">
        <v>75</v>
      </c>
      <c r="G3480" t="s">
        <v>70</v>
      </c>
      <c r="H3480" t="s">
        <v>55</v>
      </c>
      <c r="I3480" t="s">
        <v>37</v>
      </c>
      <c r="J3480" t="s">
        <v>38</v>
      </c>
      <c r="K3480">
        <v>5645</v>
      </c>
      <c r="L3480">
        <v>253</v>
      </c>
      <c r="M3480">
        <v>498.32</v>
      </c>
      <c r="N3480">
        <v>16</v>
      </c>
      <c r="O3480">
        <v>621.36</v>
      </c>
      <c r="P3480">
        <f t="shared" si="216"/>
        <v>4.4818423383525242E-2</v>
      </c>
      <c r="Q3480">
        <f t="shared" si="216"/>
        <v>1.9696442687747036</v>
      </c>
      <c r="R3480">
        <f t="shared" si="217"/>
        <v>31.145</v>
      </c>
      <c r="S3480">
        <f t="shared" si="218"/>
        <v>1.2469096163108044</v>
      </c>
      <c r="T3480">
        <f t="shared" si="219"/>
        <v>6.3241106719367585E-2</v>
      </c>
      <c r="U3480" t="str">
        <f>YEAR('Campaign Data'!$A3480)&amp;"-"&amp;TEXT(MONTH('Campaign Data'!$A3480),"00")</f>
        <v>2026-07</v>
      </c>
    </row>
    <row r="3481" spans="1:21" x14ac:dyDescent="0.25">
      <c r="A3481">
        <v>46213</v>
      </c>
      <c r="B3481" t="s">
        <v>138</v>
      </c>
      <c r="C3481" t="s">
        <v>139</v>
      </c>
      <c r="D3481" t="s">
        <v>58</v>
      </c>
      <c r="E3481" t="s">
        <v>74</v>
      </c>
      <c r="F3481" t="s">
        <v>34</v>
      </c>
      <c r="G3481" t="s">
        <v>9</v>
      </c>
      <c r="H3481" t="s">
        <v>55</v>
      </c>
      <c r="I3481" t="s">
        <v>37</v>
      </c>
      <c r="J3481" t="s">
        <v>29</v>
      </c>
      <c r="K3481">
        <v>1451</v>
      </c>
      <c r="L3481">
        <v>43</v>
      </c>
      <c r="M3481">
        <v>54.21</v>
      </c>
      <c r="N3481">
        <v>1</v>
      </c>
      <c r="O3481">
        <v>95.08</v>
      </c>
      <c r="P3481">
        <f t="shared" si="216"/>
        <v>2.9634734665747762E-2</v>
      </c>
      <c r="Q3481">
        <f t="shared" si="216"/>
        <v>1.2606976744186047</v>
      </c>
      <c r="R3481">
        <f t="shared" si="217"/>
        <v>54.21</v>
      </c>
      <c r="S3481">
        <f t="shared" si="218"/>
        <v>1.7539199409703006</v>
      </c>
      <c r="T3481">
        <f t="shared" si="219"/>
        <v>2.3255813953488372E-2</v>
      </c>
      <c r="U3481" t="str">
        <f>YEAR('Campaign Data'!$A3481)&amp;"-"&amp;TEXT(MONTH('Campaign Data'!$A3481),"00")</f>
        <v>2026-07</v>
      </c>
    </row>
    <row r="3482" spans="1:21" x14ac:dyDescent="0.25">
      <c r="A3482">
        <v>46213</v>
      </c>
      <c r="B3482" t="s">
        <v>93</v>
      </c>
      <c r="C3482" t="s">
        <v>94</v>
      </c>
      <c r="D3482" t="s">
        <v>69</v>
      </c>
      <c r="E3482" t="s">
        <v>42</v>
      </c>
      <c r="F3482" t="s">
        <v>75</v>
      </c>
      <c r="G3482" t="s">
        <v>44</v>
      </c>
      <c r="H3482" t="s">
        <v>90</v>
      </c>
      <c r="I3482" t="s">
        <v>28</v>
      </c>
      <c r="J3482" t="s">
        <v>87</v>
      </c>
      <c r="K3482">
        <v>10300</v>
      </c>
      <c r="L3482">
        <v>50</v>
      </c>
      <c r="M3482">
        <v>39.770000000000003</v>
      </c>
      <c r="N3482">
        <v>0</v>
      </c>
      <c r="O3482">
        <v>0</v>
      </c>
      <c r="P3482">
        <f t="shared" si="216"/>
        <v>4.8543689320388345E-3</v>
      </c>
      <c r="Q3482">
        <f t="shared" si="216"/>
        <v>0.79540000000000011</v>
      </c>
      <c r="R3482">
        <f t="shared" si="217"/>
        <v>0</v>
      </c>
      <c r="S3482">
        <f t="shared" si="218"/>
        <v>0</v>
      </c>
      <c r="T3482">
        <f t="shared" si="219"/>
        <v>0</v>
      </c>
      <c r="U3482" t="str">
        <f>YEAR('Campaign Data'!$A3482)&amp;"-"&amp;TEXT(MONTH('Campaign Data'!$A3482),"00")</f>
        <v>2026-07</v>
      </c>
    </row>
    <row r="3483" spans="1:21" x14ac:dyDescent="0.25">
      <c r="A3483">
        <v>46213</v>
      </c>
      <c r="B3483" t="s">
        <v>39</v>
      </c>
      <c r="C3483" t="s">
        <v>40</v>
      </c>
      <c r="D3483" t="s">
        <v>41</v>
      </c>
      <c r="E3483" t="s">
        <v>42</v>
      </c>
      <c r="F3483" t="s">
        <v>43</v>
      </c>
      <c r="G3483" t="s">
        <v>44</v>
      </c>
      <c r="H3483" t="s">
        <v>90</v>
      </c>
      <c r="I3483" t="s">
        <v>37</v>
      </c>
      <c r="J3483" t="s">
        <v>45</v>
      </c>
      <c r="K3483">
        <v>3707</v>
      </c>
      <c r="L3483">
        <v>15</v>
      </c>
      <c r="M3483">
        <v>21.44</v>
      </c>
      <c r="N3483">
        <v>0</v>
      </c>
      <c r="O3483">
        <v>0</v>
      </c>
      <c r="P3483">
        <f t="shared" si="216"/>
        <v>4.0463987051524144E-3</v>
      </c>
      <c r="Q3483">
        <f t="shared" si="216"/>
        <v>1.4293333333333333</v>
      </c>
      <c r="R3483">
        <f t="shared" si="217"/>
        <v>0</v>
      </c>
      <c r="S3483">
        <f t="shared" si="218"/>
        <v>0</v>
      </c>
      <c r="T3483">
        <f t="shared" si="219"/>
        <v>0</v>
      </c>
      <c r="U3483" t="str">
        <f>YEAR('Campaign Data'!$A3483)&amp;"-"&amp;TEXT(MONTH('Campaign Data'!$A3483),"00")</f>
        <v>2026-07</v>
      </c>
    </row>
    <row r="3484" spans="1:21" x14ac:dyDescent="0.25">
      <c r="A3484">
        <v>46213</v>
      </c>
      <c r="B3484" t="s">
        <v>52</v>
      </c>
      <c r="C3484" t="s">
        <v>53</v>
      </c>
      <c r="D3484" t="s">
        <v>32</v>
      </c>
      <c r="E3484" t="s">
        <v>42</v>
      </c>
      <c r="F3484" t="s">
        <v>25</v>
      </c>
      <c r="G3484" t="s">
        <v>54</v>
      </c>
      <c r="H3484" t="s">
        <v>55</v>
      </c>
      <c r="I3484" t="s">
        <v>28</v>
      </c>
      <c r="J3484" t="s">
        <v>45</v>
      </c>
      <c r="K3484">
        <v>3079</v>
      </c>
      <c r="L3484">
        <v>13</v>
      </c>
      <c r="M3484">
        <v>52.95</v>
      </c>
      <c r="N3484">
        <v>0</v>
      </c>
      <c r="O3484">
        <v>0</v>
      </c>
      <c r="P3484">
        <f t="shared" si="216"/>
        <v>4.2221500487171163E-3</v>
      </c>
      <c r="Q3484">
        <f t="shared" si="216"/>
        <v>4.0730769230769237</v>
      </c>
      <c r="R3484">
        <f t="shared" si="217"/>
        <v>0</v>
      </c>
      <c r="S3484">
        <f t="shared" si="218"/>
        <v>0</v>
      </c>
      <c r="T3484">
        <f t="shared" si="219"/>
        <v>0</v>
      </c>
      <c r="U3484" t="str">
        <f>YEAR('Campaign Data'!$A3484)&amp;"-"&amp;TEXT(MONTH('Campaign Data'!$A3484),"00")</f>
        <v>2026-07</v>
      </c>
    </row>
    <row r="3485" spans="1:21" x14ac:dyDescent="0.25">
      <c r="A3485">
        <v>46213</v>
      </c>
      <c r="B3485" t="s">
        <v>100</v>
      </c>
      <c r="C3485" t="s">
        <v>101</v>
      </c>
      <c r="D3485" t="s">
        <v>80</v>
      </c>
      <c r="E3485" t="s">
        <v>33</v>
      </c>
      <c r="F3485" t="s">
        <v>25</v>
      </c>
      <c r="G3485" t="s">
        <v>102</v>
      </c>
      <c r="H3485" t="s">
        <v>90</v>
      </c>
      <c r="I3485" t="s">
        <v>28</v>
      </c>
      <c r="J3485" t="s">
        <v>62</v>
      </c>
      <c r="K3485">
        <v>37911</v>
      </c>
      <c r="L3485">
        <v>354</v>
      </c>
      <c r="M3485">
        <v>55.59</v>
      </c>
      <c r="N3485">
        <v>5</v>
      </c>
      <c r="O3485">
        <v>263.35000000000002</v>
      </c>
      <c r="P3485">
        <f t="shared" si="216"/>
        <v>9.3376592545699136E-3</v>
      </c>
      <c r="Q3485">
        <f t="shared" si="216"/>
        <v>0.15703389830508477</v>
      </c>
      <c r="R3485">
        <f t="shared" si="217"/>
        <v>11.118</v>
      </c>
      <c r="S3485">
        <f t="shared" si="218"/>
        <v>4.7373628350422736</v>
      </c>
      <c r="T3485">
        <f t="shared" si="219"/>
        <v>1.4124293785310734E-2</v>
      </c>
      <c r="U3485" t="str">
        <f>YEAR('Campaign Data'!$A3485)&amp;"-"&amp;TEXT(MONTH('Campaign Data'!$A3485),"00")</f>
        <v>2026-07</v>
      </c>
    </row>
    <row r="3486" spans="1:21" x14ac:dyDescent="0.25">
      <c r="A3486">
        <v>46213</v>
      </c>
      <c r="B3486" t="s">
        <v>169</v>
      </c>
      <c r="C3486" t="s">
        <v>170</v>
      </c>
      <c r="D3486" t="s">
        <v>58</v>
      </c>
      <c r="E3486" t="s">
        <v>74</v>
      </c>
      <c r="F3486" t="s">
        <v>75</v>
      </c>
      <c r="G3486" t="s">
        <v>9</v>
      </c>
      <c r="H3486" t="s">
        <v>90</v>
      </c>
      <c r="I3486" t="s">
        <v>37</v>
      </c>
      <c r="J3486" t="s">
        <v>29</v>
      </c>
      <c r="K3486">
        <v>8063</v>
      </c>
      <c r="L3486">
        <v>207</v>
      </c>
      <c r="M3486">
        <v>95.27</v>
      </c>
      <c r="N3486">
        <v>16</v>
      </c>
      <c r="O3486">
        <v>192.85</v>
      </c>
      <c r="P3486">
        <f t="shared" si="216"/>
        <v>2.567282649138038E-2</v>
      </c>
      <c r="Q3486">
        <f t="shared" si="216"/>
        <v>0.46024154589371979</v>
      </c>
      <c r="R3486">
        <f t="shared" si="217"/>
        <v>5.9543749999999998</v>
      </c>
      <c r="S3486">
        <f t="shared" si="218"/>
        <v>2.0242468772961058</v>
      </c>
      <c r="T3486">
        <f t="shared" si="219"/>
        <v>7.7294685990338161E-2</v>
      </c>
      <c r="U3486" t="str">
        <f>YEAR('Campaign Data'!$A3486)&amp;"-"&amp;TEXT(MONTH('Campaign Data'!$A3486),"00")</f>
        <v>2026-07</v>
      </c>
    </row>
    <row r="3487" spans="1:21" x14ac:dyDescent="0.25">
      <c r="A3487">
        <v>46213</v>
      </c>
      <c r="B3487" t="s">
        <v>177</v>
      </c>
      <c r="C3487" t="s">
        <v>178</v>
      </c>
      <c r="D3487" t="s">
        <v>41</v>
      </c>
      <c r="E3487" t="s">
        <v>49</v>
      </c>
      <c r="F3487" t="s">
        <v>34</v>
      </c>
      <c r="G3487" t="s">
        <v>107</v>
      </c>
      <c r="H3487" t="s">
        <v>90</v>
      </c>
      <c r="I3487" t="s">
        <v>28</v>
      </c>
      <c r="J3487" t="s">
        <v>62</v>
      </c>
      <c r="K3487">
        <v>2798</v>
      </c>
      <c r="L3487">
        <v>138</v>
      </c>
      <c r="M3487">
        <v>95.09</v>
      </c>
      <c r="N3487">
        <v>8</v>
      </c>
      <c r="O3487">
        <v>178.55</v>
      </c>
      <c r="P3487">
        <f t="shared" si="216"/>
        <v>4.932094353109364E-2</v>
      </c>
      <c r="Q3487">
        <f t="shared" si="216"/>
        <v>0.68905797101449273</v>
      </c>
      <c r="R3487">
        <f t="shared" si="217"/>
        <v>11.88625</v>
      </c>
      <c r="S3487">
        <f t="shared" si="218"/>
        <v>1.8776948154380062</v>
      </c>
      <c r="T3487">
        <f t="shared" si="219"/>
        <v>5.7971014492753624E-2</v>
      </c>
      <c r="U3487" t="str">
        <f>YEAR('Campaign Data'!$A3487)&amp;"-"&amp;TEXT(MONTH('Campaign Data'!$A3487),"00")</f>
        <v>2026-07</v>
      </c>
    </row>
    <row r="3488" spans="1:21" x14ac:dyDescent="0.25">
      <c r="A3488">
        <v>46213</v>
      </c>
      <c r="B3488" t="s">
        <v>179</v>
      </c>
      <c r="C3488" t="s">
        <v>180</v>
      </c>
      <c r="D3488" t="s">
        <v>58</v>
      </c>
      <c r="E3488" t="s">
        <v>42</v>
      </c>
      <c r="F3488" t="s">
        <v>25</v>
      </c>
      <c r="G3488" t="s">
        <v>54</v>
      </c>
      <c r="H3488" t="s">
        <v>36</v>
      </c>
      <c r="I3488" t="s">
        <v>37</v>
      </c>
      <c r="J3488" t="s">
        <v>29</v>
      </c>
      <c r="K3488">
        <v>6407</v>
      </c>
      <c r="L3488">
        <v>39</v>
      </c>
      <c r="M3488">
        <v>242.04</v>
      </c>
      <c r="N3488">
        <v>0</v>
      </c>
      <c r="O3488">
        <v>0</v>
      </c>
      <c r="P3488">
        <f t="shared" si="216"/>
        <v>6.0870922428593729E-3</v>
      </c>
      <c r="Q3488">
        <f t="shared" si="216"/>
        <v>6.2061538461538461</v>
      </c>
      <c r="R3488">
        <f t="shared" si="217"/>
        <v>0</v>
      </c>
      <c r="S3488">
        <f t="shared" si="218"/>
        <v>0</v>
      </c>
      <c r="T3488">
        <f t="shared" si="219"/>
        <v>0</v>
      </c>
      <c r="U3488" t="str">
        <f>YEAR('Campaign Data'!$A3488)&amp;"-"&amp;TEXT(MONTH('Campaign Data'!$A3488),"00")</f>
        <v>2026-07</v>
      </c>
    </row>
    <row r="3489" spans="1:21" x14ac:dyDescent="0.25">
      <c r="A3489">
        <v>46213</v>
      </c>
      <c r="B3489" t="s">
        <v>157</v>
      </c>
      <c r="C3489" t="s">
        <v>158</v>
      </c>
      <c r="D3489" t="s">
        <v>58</v>
      </c>
      <c r="E3489" t="s">
        <v>49</v>
      </c>
      <c r="F3489" t="s">
        <v>81</v>
      </c>
      <c r="G3489" t="s">
        <v>50</v>
      </c>
      <c r="H3489" t="s">
        <v>51</v>
      </c>
      <c r="I3489" t="s">
        <v>28</v>
      </c>
      <c r="J3489" t="s">
        <v>29</v>
      </c>
      <c r="K3489">
        <v>19619</v>
      </c>
      <c r="L3489">
        <v>785</v>
      </c>
      <c r="M3489">
        <v>1081.99</v>
      </c>
      <c r="N3489">
        <v>38</v>
      </c>
      <c r="O3489">
        <v>639.35</v>
      </c>
      <c r="P3489">
        <f t="shared" si="216"/>
        <v>4.0012233039400581E-2</v>
      </c>
      <c r="Q3489">
        <f t="shared" si="216"/>
        <v>1.3783312101910827</v>
      </c>
      <c r="R3489">
        <f t="shared" si="217"/>
        <v>28.473421052631579</v>
      </c>
      <c r="S3489">
        <f t="shared" si="218"/>
        <v>0.59090194918622174</v>
      </c>
      <c r="T3489">
        <f t="shared" si="219"/>
        <v>4.8407643312101914E-2</v>
      </c>
      <c r="U3489" t="str">
        <f>YEAR('Campaign Data'!$A3489)&amp;"-"&amp;TEXT(MONTH('Campaign Data'!$A3489),"00")</f>
        <v>2026-07</v>
      </c>
    </row>
    <row r="3490" spans="1:21" x14ac:dyDescent="0.25">
      <c r="A3490">
        <v>46213</v>
      </c>
      <c r="B3490" t="s">
        <v>112</v>
      </c>
      <c r="C3490" t="s">
        <v>113</v>
      </c>
      <c r="D3490" t="s">
        <v>32</v>
      </c>
      <c r="E3490" t="s">
        <v>24</v>
      </c>
      <c r="F3490" t="s">
        <v>75</v>
      </c>
      <c r="G3490" t="s">
        <v>66</v>
      </c>
      <c r="H3490" t="s">
        <v>51</v>
      </c>
      <c r="I3490" t="s">
        <v>28</v>
      </c>
      <c r="J3490" t="s">
        <v>45</v>
      </c>
      <c r="K3490">
        <v>7561</v>
      </c>
      <c r="L3490">
        <v>83</v>
      </c>
      <c r="M3490">
        <v>75.03</v>
      </c>
      <c r="N3490">
        <v>3</v>
      </c>
      <c r="O3490">
        <v>99.1</v>
      </c>
      <c r="P3490">
        <f t="shared" si="216"/>
        <v>1.0977383943922761E-2</v>
      </c>
      <c r="Q3490">
        <f t="shared" si="216"/>
        <v>0.9039759036144579</v>
      </c>
      <c r="R3490">
        <f t="shared" si="217"/>
        <v>25.01</v>
      </c>
      <c r="S3490">
        <f t="shared" si="218"/>
        <v>1.3208050113288017</v>
      </c>
      <c r="T3490">
        <f t="shared" si="219"/>
        <v>3.614457831325301E-2</v>
      </c>
      <c r="U3490" t="str">
        <f>YEAR('Campaign Data'!$A3490)&amp;"-"&amp;TEXT(MONTH('Campaign Data'!$A3490),"00")</f>
        <v>2026-07</v>
      </c>
    </row>
    <row r="3491" spans="1:21" x14ac:dyDescent="0.25">
      <c r="A3491">
        <v>46213</v>
      </c>
      <c r="B3491" t="s">
        <v>56</v>
      </c>
      <c r="C3491" t="s">
        <v>57</v>
      </c>
      <c r="D3491" t="s">
        <v>58</v>
      </c>
      <c r="E3491" t="s">
        <v>33</v>
      </c>
      <c r="F3491" t="s">
        <v>43</v>
      </c>
      <c r="G3491" t="s">
        <v>59</v>
      </c>
      <c r="H3491" t="s">
        <v>51</v>
      </c>
      <c r="I3491" t="s">
        <v>37</v>
      </c>
      <c r="J3491" t="s">
        <v>62</v>
      </c>
      <c r="K3491">
        <v>3195</v>
      </c>
      <c r="L3491">
        <v>45</v>
      </c>
      <c r="M3491">
        <v>29.97</v>
      </c>
      <c r="N3491">
        <v>2</v>
      </c>
      <c r="O3491">
        <v>24.7</v>
      </c>
      <c r="P3491">
        <f t="shared" si="216"/>
        <v>1.4084507042253521E-2</v>
      </c>
      <c r="Q3491">
        <f t="shared" si="216"/>
        <v>0.66599999999999993</v>
      </c>
      <c r="R3491">
        <f t="shared" si="217"/>
        <v>14.984999999999999</v>
      </c>
      <c r="S3491">
        <f t="shared" si="218"/>
        <v>0.82415749082415746</v>
      </c>
      <c r="T3491">
        <f t="shared" si="219"/>
        <v>4.4444444444444446E-2</v>
      </c>
      <c r="U3491" t="str">
        <f>YEAR('Campaign Data'!$A3491)&amp;"-"&amp;TEXT(MONTH('Campaign Data'!$A3491),"00")</f>
        <v>2026-07</v>
      </c>
    </row>
    <row r="3492" spans="1:21" x14ac:dyDescent="0.25">
      <c r="A3492">
        <v>46213</v>
      </c>
      <c r="B3492" t="s">
        <v>141</v>
      </c>
      <c r="C3492" t="s">
        <v>142</v>
      </c>
      <c r="D3492" t="s">
        <v>80</v>
      </c>
      <c r="E3492" t="s">
        <v>49</v>
      </c>
      <c r="F3492" t="s">
        <v>81</v>
      </c>
      <c r="G3492" t="s">
        <v>97</v>
      </c>
      <c r="H3492" t="s">
        <v>71</v>
      </c>
      <c r="I3492" t="s">
        <v>37</v>
      </c>
      <c r="J3492" t="s">
        <v>62</v>
      </c>
      <c r="K3492">
        <v>3821</v>
      </c>
      <c r="L3492">
        <v>148</v>
      </c>
      <c r="M3492">
        <v>227.7</v>
      </c>
      <c r="N3492">
        <v>15</v>
      </c>
      <c r="O3492">
        <v>311.70999999999998</v>
      </c>
      <c r="P3492">
        <f t="shared" si="216"/>
        <v>3.8733315885893745E-2</v>
      </c>
      <c r="Q3492">
        <f t="shared" si="216"/>
        <v>1.5385135135135135</v>
      </c>
      <c r="R3492">
        <f t="shared" si="217"/>
        <v>15.18</v>
      </c>
      <c r="S3492">
        <f t="shared" si="218"/>
        <v>1.3689503732981994</v>
      </c>
      <c r="T3492">
        <f t="shared" si="219"/>
        <v>0.10135135135135136</v>
      </c>
      <c r="U3492" t="str">
        <f>YEAR('Campaign Data'!$A3492)&amp;"-"&amp;TEXT(MONTH('Campaign Data'!$A3492),"00")</f>
        <v>2026-07</v>
      </c>
    </row>
    <row r="3493" spans="1:21" x14ac:dyDescent="0.25">
      <c r="A3493">
        <v>46213</v>
      </c>
      <c r="B3493" t="s">
        <v>136</v>
      </c>
      <c r="C3493" t="s">
        <v>137</v>
      </c>
      <c r="D3493" t="s">
        <v>32</v>
      </c>
      <c r="E3493" t="s">
        <v>49</v>
      </c>
      <c r="F3493" t="s">
        <v>75</v>
      </c>
      <c r="G3493" t="s">
        <v>97</v>
      </c>
      <c r="H3493" t="s">
        <v>90</v>
      </c>
      <c r="I3493" t="s">
        <v>28</v>
      </c>
      <c r="J3493" t="s">
        <v>87</v>
      </c>
      <c r="K3493">
        <v>5486</v>
      </c>
      <c r="L3493">
        <v>285</v>
      </c>
      <c r="M3493">
        <v>116.13</v>
      </c>
      <c r="N3493">
        <v>9</v>
      </c>
      <c r="O3493">
        <v>100.55</v>
      </c>
      <c r="P3493">
        <f t="shared" si="216"/>
        <v>5.1950419248997445E-2</v>
      </c>
      <c r="Q3493">
        <f t="shared" si="216"/>
        <v>0.40747368421052632</v>
      </c>
      <c r="R3493">
        <f t="shared" si="217"/>
        <v>12.903333333333332</v>
      </c>
      <c r="S3493">
        <f t="shared" si="218"/>
        <v>0.86584000688883145</v>
      </c>
      <c r="T3493">
        <f t="shared" si="219"/>
        <v>3.1578947368421054E-2</v>
      </c>
      <c r="U3493" t="str">
        <f>YEAR('Campaign Data'!$A3493)&amp;"-"&amp;TEXT(MONTH('Campaign Data'!$A3493),"00")</f>
        <v>2026-07</v>
      </c>
    </row>
    <row r="3494" spans="1:21" x14ac:dyDescent="0.25">
      <c r="A3494">
        <v>46213</v>
      </c>
      <c r="B3494" t="s">
        <v>67</v>
      </c>
      <c r="C3494" t="s">
        <v>68</v>
      </c>
      <c r="D3494" t="s">
        <v>69</v>
      </c>
      <c r="E3494" t="s">
        <v>49</v>
      </c>
      <c r="F3494" t="s">
        <v>34</v>
      </c>
      <c r="G3494" t="s">
        <v>70</v>
      </c>
      <c r="H3494" t="s">
        <v>71</v>
      </c>
      <c r="I3494" t="s">
        <v>61</v>
      </c>
      <c r="J3494" t="s">
        <v>62</v>
      </c>
      <c r="K3494">
        <v>4184</v>
      </c>
      <c r="L3494">
        <v>308</v>
      </c>
      <c r="M3494">
        <v>542.17999999999995</v>
      </c>
      <c r="N3494">
        <v>34</v>
      </c>
      <c r="O3494">
        <v>4009.15</v>
      </c>
      <c r="P3494">
        <f t="shared" si="216"/>
        <v>7.3613766730401528E-2</v>
      </c>
      <c r="Q3494">
        <f t="shared" si="216"/>
        <v>1.7603246753246751</v>
      </c>
      <c r="R3494">
        <f t="shared" si="217"/>
        <v>15.946470588235293</v>
      </c>
      <c r="S3494">
        <f t="shared" si="218"/>
        <v>7.394499981555942</v>
      </c>
      <c r="T3494">
        <f t="shared" si="219"/>
        <v>0.11038961038961038</v>
      </c>
      <c r="U3494" t="str">
        <f>YEAR('Campaign Data'!$A3494)&amp;"-"&amp;TEXT(MONTH('Campaign Data'!$A3494),"00")</f>
        <v>2026-07</v>
      </c>
    </row>
    <row r="3495" spans="1:21" x14ac:dyDescent="0.25">
      <c r="A3495">
        <v>46213</v>
      </c>
      <c r="B3495" t="s">
        <v>72</v>
      </c>
      <c r="C3495" t="s">
        <v>73</v>
      </c>
      <c r="D3495" t="s">
        <v>69</v>
      </c>
      <c r="E3495" t="s">
        <v>74</v>
      </c>
      <c r="F3495" t="s">
        <v>75</v>
      </c>
      <c r="G3495" t="s">
        <v>9</v>
      </c>
      <c r="H3495" t="s">
        <v>90</v>
      </c>
      <c r="I3495" t="s">
        <v>37</v>
      </c>
      <c r="J3495" t="s">
        <v>38</v>
      </c>
      <c r="K3495">
        <v>3275</v>
      </c>
      <c r="L3495">
        <v>96</v>
      </c>
      <c r="M3495">
        <v>27.49</v>
      </c>
      <c r="N3495">
        <v>2</v>
      </c>
      <c r="O3495">
        <v>36.81</v>
      </c>
      <c r="P3495">
        <f t="shared" si="216"/>
        <v>2.931297709923664E-2</v>
      </c>
      <c r="Q3495">
        <f t="shared" si="216"/>
        <v>0.28635416666666663</v>
      </c>
      <c r="R3495">
        <f t="shared" si="217"/>
        <v>13.744999999999999</v>
      </c>
      <c r="S3495">
        <f t="shared" si="218"/>
        <v>1.3390323754092399</v>
      </c>
      <c r="T3495">
        <f t="shared" si="219"/>
        <v>2.0833333333333332E-2</v>
      </c>
      <c r="U3495" t="str">
        <f>YEAR('Campaign Data'!$A3495)&amp;"-"&amp;TEXT(MONTH('Campaign Data'!$A3495),"00")</f>
        <v>2026-07</v>
      </c>
    </row>
    <row r="3496" spans="1:21" x14ac:dyDescent="0.25">
      <c r="A3496">
        <v>46213</v>
      </c>
      <c r="B3496" t="s">
        <v>72</v>
      </c>
      <c r="C3496" t="s">
        <v>73</v>
      </c>
      <c r="D3496" t="s">
        <v>69</v>
      </c>
      <c r="E3496" t="s">
        <v>74</v>
      </c>
      <c r="F3496" t="s">
        <v>75</v>
      </c>
      <c r="G3496" t="s">
        <v>9</v>
      </c>
      <c r="H3496" t="s">
        <v>71</v>
      </c>
      <c r="I3496" t="s">
        <v>37</v>
      </c>
      <c r="J3496" t="s">
        <v>87</v>
      </c>
      <c r="K3496">
        <v>8801</v>
      </c>
      <c r="L3496">
        <v>238</v>
      </c>
      <c r="M3496">
        <v>404.39</v>
      </c>
      <c r="N3496">
        <v>10</v>
      </c>
      <c r="O3496">
        <v>466.5</v>
      </c>
      <c r="P3496">
        <f t="shared" si="216"/>
        <v>2.7042381547551415E-2</v>
      </c>
      <c r="Q3496">
        <f t="shared" si="216"/>
        <v>1.6991176470588234</v>
      </c>
      <c r="R3496">
        <f t="shared" si="217"/>
        <v>40.439</v>
      </c>
      <c r="S3496">
        <f t="shared" si="218"/>
        <v>1.153589356809021</v>
      </c>
      <c r="T3496">
        <f t="shared" si="219"/>
        <v>4.2016806722689079E-2</v>
      </c>
      <c r="U3496" t="str">
        <f>YEAR('Campaign Data'!$A3496)&amp;"-"&amp;TEXT(MONTH('Campaign Data'!$A3496),"00")</f>
        <v>2026-07</v>
      </c>
    </row>
    <row r="3497" spans="1:21" x14ac:dyDescent="0.25">
      <c r="A3497">
        <v>46213</v>
      </c>
      <c r="B3497" t="s">
        <v>116</v>
      </c>
      <c r="C3497" t="s">
        <v>117</v>
      </c>
      <c r="D3497" t="s">
        <v>48</v>
      </c>
      <c r="E3497" t="s">
        <v>24</v>
      </c>
      <c r="F3497" t="s">
        <v>43</v>
      </c>
      <c r="G3497" t="s">
        <v>26</v>
      </c>
      <c r="H3497" t="s">
        <v>60</v>
      </c>
      <c r="I3497" t="s">
        <v>37</v>
      </c>
      <c r="J3497" t="s">
        <v>38</v>
      </c>
      <c r="K3497">
        <v>5760</v>
      </c>
      <c r="L3497">
        <v>39</v>
      </c>
      <c r="M3497">
        <v>43.22</v>
      </c>
      <c r="N3497">
        <v>0</v>
      </c>
      <c r="O3497">
        <v>0</v>
      </c>
      <c r="P3497">
        <f t="shared" si="216"/>
        <v>6.7708333333333336E-3</v>
      </c>
      <c r="Q3497">
        <f t="shared" si="216"/>
        <v>1.1082051282051282</v>
      </c>
      <c r="R3497">
        <f t="shared" si="217"/>
        <v>0</v>
      </c>
      <c r="S3497">
        <f t="shared" si="218"/>
        <v>0</v>
      </c>
      <c r="T3497">
        <f t="shared" si="219"/>
        <v>0</v>
      </c>
      <c r="U3497" t="str">
        <f>YEAR('Campaign Data'!$A3497)&amp;"-"&amp;TEXT(MONTH('Campaign Data'!$A3497),"00")</f>
        <v>2026-07</v>
      </c>
    </row>
    <row r="3498" spans="1:21" x14ac:dyDescent="0.25">
      <c r="A3498">
        <v>46213</v>
      </c>
      <c r="B3498" t="s">
        <v>118</v>
      </c>
      <c r="C3498" t="s">
        <v>119</v>
      </c>
      <c r="D3498" t="s">
        <v>69</v>
      </c>
      <c r="E3498" t="s">
        <v>33</v>
      </c>
      <c r="F3498" t="s">
        <v>34</v>
      </c>
      <c r="G3498" t="s">
        <v>35</v>
      </c>
      <c r="H3498" t="s">
        <v>90</v>
      </c>
      <c r="I3498" t="s">
        <v>28</v>
      </c>
      <c r="J3498" t="s">
        <v>45</v>
      </c>
      <c r="K3498">
        <v>7901</v>
      </c>
      <c r="L3498">
        <v>86</v>
      </c>
      <c r="M3498">
        <v>11.73</v>
      </c>
      <c r="N3498">
        <v>1</v>
      </c>
      <c r="O3498">
        <v>14.54</v>
      </c>
      <c r="P3498">
        <f t="shared" si="216"/>
        <v>1.0884698139476016E-2</v>
      </c>
      <c r="Q3498">
        <f t="shared" si="216"/>
        <v>0.1363953488372093</v>
      </c>
      <c r="R3498">
        <f t="shared" si="217"/>
        <v>11.73</v>
      </c>
      <c r="S3498">
        <f t="shared" si="218"/>
        <v>1.2395566922421142</v>
      </c>
      <c r="T3498">
        <f t="shared" si="219"/>
        <v>1.1627906976744186E-2</v>
      </c>
      <c r="U3498" t="str">
        <f>YEAR('Campaign Data'!$A3498)&amp;"-"&amp;TEXT(MONTH('Campaign Data'!$A3498),"00")</f>
        <v>2026-07</v>
      </c>
    </row>
    <row r="3499" spans="1:21" x14ac:dyDescent="0.25">
      <c r="A3499">
        <v>46213</v>
      </c>
      <c r="B3499" t="s">
        <v>145</v>
      </c>
      <c r="C3499" t="s">
        <v>146</v>
      </c>
      <c r="D3499" t="s">
        <v>41</v>
      </c>
      <c r="E3499" t="s">
        <v>49</v>
      </c>
      <c r="F3499" t="s">
        <v>75</v>
      </c>
      <c r="G3499" t="s">
        <v>70</v>
      </c>
      <c r="H3499" t="s">
        <v>90</v>
      </c>
      <c r="I3499" t="s">
        <v>37</v>
      </c>
      <c r="J3499" t="s">
        <v>62</v>
      </c>
      <c r="K3499">
        <v>3007</v>
      </c>
      <c r="L3499">
        <v>167</v>
      </c>
      <c r="M3499">
        <v>84.22</v>
      </c>
      <c r="N3499">
        <v>15</v>
      </c>
      <c r="O3499">
        <v>119.56</v>
      </c>
      <c r="P3499">
        <f t="shared" si="216"/>
        <v>5.5537080146325239E-2</v>
      </c>
      <c r="Q3499">
        <f t="shared" si="216"/>
        <v>0.50431137724550901</v>
      </c>
      <c r="R3499">
        <f t="shared" si="217"/>
        <v>5.6146666666666665</v>
      </c>
      <c r="S3499">
        <f t="shared" si="218"/>
        <v>1.4196152932795061</v>
      </c>
      <c r="T3499">
        <f t="shared" si="219"/>
        <v>8.9820359281437126E-2</v>
      </c>
      <c r="U3499" t="str">
        <f>YEAR('Campaign Data'!$A3499)&amp;"-"&amp;TEXT(MONTH('Campaign Data'!$A3499),"00")</f>
        <v>2026-07</v>
      </c>
    </row>
    <row r="3500" spans="1:21" x14ac:dyDescent="0.25">
      <c r="A3500">
        <v>46214</v>
      </c>
      <c r="B3500" t="s">
        <v>165</v>
      </c>
      <c r="C3500" t="s">
        <v>166</v>
      </c>
      <c r="D3500" t="s">
        <v>41</v>
      </c>
      <c r="E3500" t="s">
        <v>33</v>
      </c>
      <c r="F3500" t="s">
        <v>43</v>
      </c>
      <c r="G3500" t="s">
        <v>59</v>
      </c>
      <c r="H3500" t="s">
        <v>90</v>
      </c>
      <c r="I3500" t="s">
        <v>37</v>
      </c>
      <c r="J3500" t="s">
        <v>62</v>
      </c>
      <c r="K3500">
        <v>5927</v>
      </c>
      <c r="L3500">
        <v>40</v>
      </c>
      <c r="M3500">
        <v>6.67</v>
      </c>
      <c r="N3500">
        <v>1</v>
      </c>
      <c r="O3500">
        <v>5.38</v>
      </c>
      <c r="P3500">
        <f t="shared" si="216"/>
        <v>6.7487767842078624E-3</v>
      </c>
      <c r="Q3500">
        <f t="shared" si="216"/>
        <v>0.16675000000000001</v>
      </c>
      <c r="R3500">
        <f t="shared" si="217"/>
        <v>6.67</v>
      </c>
      <c r="S3500">
        <f t="shared" si="218"/>
        <v>0.80659670164917541</v>
      </c>
      <c r="T3500">
        <f t="shared" si="219"/>
        <v>2.5000000000000001E-2</v>
      </c>
      <c r="U3500" t="str">
        <f>YEAR('Campaign Data'!$A3500)&amp;"-"&amp;TEXT(MONTH('Campaign Data'!$A3500),"00")</f>
        <v>2026-07</v>
      </c>
    </row>
    <row r="3501" spans="1:21" x14ac:dyDescent="0.25">
      <c r="A3501">
        <v>46214</v>
      </c>
      <c r="B3501" t="s">
        <v>175</v>
      </c>
      <c r="C3501" t="s">
        <v>176</v>
      </c>
      <c r="D3501" t="s">
        <v>65</v>
      </c>
      <c r="E3501" t="s">
        <v>49</v>
      </c>
      <c r="F3501" t="s">
        <v>75</v>
      </c>
      <c r="G3501" t="s">
        <v>70</v>
      </c>
      <c r="H3501" t="s">
        <v>36</v>
      </c>
      <c r="I3501" t="s">
        <v>37</v>
      </c>
      <c r="J3501" t="s">
        <v>45</v>
      </c>
      <c r="K3501">
        <v>5632</v>
      </c>
      <c r="L3501">
        <v>124</v>
      </c>
      <c r="M3501">
        <v>200.16</v>
      </c>
      <c r="N3501">
        <v>5</v>
      </c>
      <c r="O3501">
        <v>153.02000000000001</v>
      </c>
      <c r="P3501">
        <f t="shared" si="216"/>
        <v>2.2017045454545456E-2</v>
      </c>
      <c r="Q3501">
        <f t="shared" si="216"/>
        <v>1.6141935483870968</v>
      </c>
      <c r="R3501">
        <f t="shared" si="217"/>
        <v>40.031999999999996</v>
      </c>
      <c r="S3501">
        <f t="shared" si="218"/>
        <v>0.76448840927258199</v>
      </c>
      <c r="T3501">
        <f t="shared" si="219"/>
        <v>4.0322580645161289E-2</v>
      </c>
      <c r="U3501" t="str">
        <f>YEAR('Campaign Data'!$A3501)&amp;"-"&amp;TEXT(MONTH('Campaign Data'!$A3501),"00")</f>
        <v>2026-07</v>
      </c>
    </row>
    <row r="3502" spans="1:21" x14ac:dyDescent="0.25">
      <c r="A3502">
        <v>46214</v>
      </c>
      <c r="B3502" t="s">
        <v>88</v>
      </c>
      <c r="C3502" t="s">
        <v>89</v>
      </c>
      <c r="D3502" t="s">
        <v>23</v>
      </c>
      <c r="E3502" t="s">
        <v>49</v>
      </c>
      <c r="F3502" t="s">
        <v>81</v>
      </c>
      <c r="G3502" t="s">
        <v>50</v>
      </c>
      <c r="H3502" t="s">
        <v>60</v>
      </c>
      <c r="I3502" t="s">
        <v>37</v>
      </c>
      <c r="J3502" t="s">
        <v>45</v>
      </c>
      <c r="K3502">
        <v>6162</v>
      </c>
      <c r="L3502">
        <v>301</v>
      </c>
      <c r="M3502">
        <v>408.31</v>
      </c>
      <c r="N3502">
        <v>23</v>
      </c>
      <c r="O3502">
        <v>367.09</v>
      </c>
      <c r="P3502">
        <f t="shared" si="216"/>
        <v>4.8847776695877962E-2</v>
      </c>
      <c r="Q3502">
        <f t="shared" si="216"/>
        <v>1.3565116279069767</v>
      </c>
      <c r="R3502">
        <f t="shared" si="217"/>
        <v>17.752608695652174</v>
      </c>
      <c r="S3502">
        <f t="shared" si="218"/>
        <v>0.89904729249834681</v>
      </c>
      <c r="T3502">
        <f t="shared" si="219"/>
        <v>7.6411960132890366E-2</v>
      </c>
      <c r="U3502" t="str">
        <f>YEAR('Campaign Data'!$A3502)&amp;"-"&amp;TEXT(MONTH('Campaign Data'!$A3502),"00")</f>
        <v>2026-07</v>
      </c>
    </row>
    <row r="3503" spans="1:21" x14ac:dyDescent="0.25">
      <c r="A3503">
        <v>46214</v>
      </c>
      <c r="B3503" t="s">
        <v>88</v>
      </c>
      <c r="C3503" t="s">
        <v>89</v>
      </c>
      <c r="D3503" t="s">
        <v>23</v>
      </c>
      <c r="E3503" t="s">
        <v>49</v>
      </c>
      <c r="F3503" t="s">
        <v>81</v>
      </c>
      <c r="G3503" t="s">
        <v>50</v>
      </c>
      <c r="H3503" t="s">
        <v>90</v>
      </c>
      <c r="I3503" t="s">
        <v>37</v>
      </c>
      <c r="J3503" t="s">
        <v>38</v>
      </c>
      <c r="K3503">
        <v>4249</v>
      </c>
      <c r="L3503">
        <v>186</v>
      </c>
      <c r="M3503">
        <v>122.81</v>
      </c>
      <c r="N3503">
        <v>6</v>
      </c>
      <c r="O3503">
        <v>30</v>
      </c>
      <c r="P3503">
        <f t="shared" si="216"/>
        <v>4.3775005883737353E-2</v>
      </c>
      <c r="Q3503">
        <f t="shared" si="216"/>
        <v>0.66026881720430108</v>
      </c>
      <c r="R3503">
        <f t="shared" si="217"/>
        <v>20.468333333333334</v>
      </c>
      <c r="S3503">
        <f t="shared" si="218"/>
        <v>0.24427978177672827</v>
      </c>
      <c r="T3503">
        <f t="shared" si="219"/>
        <v>3.2258064516129031E-2</v>
      </c>
      <c r="U3503" t="str">
        <f>YEAR('Campaign Data'!$A3503)&amp;"-"&amp;TEXT(MONTH('Campaign Data'!$A3503),"00")</f>
        <v>2026-07</v>
      </c>
    </row>
    <row r="3504" spans="1:21" x14ac:dyDescent="0.25">
      <c r="A3504">
        <v>46214</v>
      </c>
      <c r="B3504" t="s">
        <v>147</v>
      </c>
      <c r="C3504" t="s">
        <v>148</v>
      </c>
      <c r="D3504" t="s">
        <v>23</v>
      </c>
      <c r="E3504" t="s">
        <v>42</v>
      </c>
      <c r="F3504" t="s">
        <v>75</v>
      </c>
      <c r="G3504" t="s">
        <v>44</v>
      </c>
      <c r="H3504" t="s">
        <v>55</v>
      </c>
      <c r="I3504" t="s">
        <v>37</v>
      </c>
      <c r="J3504" t="s">
        <v>62</v>
      </c>
      <c r="K3504">
        <v>6106</v>
      </c>
      <c r="L3504">
        <v>39</v>
      </c>
      <c r="M3504">
        <v>282.2</v>
      </c>
      <c r="N3504">
        <v>2</v>
      </c>
      <c r="O3504">
        <v>80.61</v>
      </c>
      <c r="P3504">
        <f t="shared" si="216"/>
        <v>6.3871601703242714E-3</v>
      </c>
      <c r="Q3504">
        <f t="shared" si="216"/>
        <v>7.2358974358974359</v>
      </c>
      <c r="R3504">
        <f t="shared" si="217"/>
        <v>141.1</v>
      </c>
      <c r="S3504">
        <f t="shared" si="218"/>
        <v>0.28564847625797307</v>
      </c>
      <c r="T3504">
        <f t="shared" si="219"/>
        <v>5.128205128205128E-2</v>
      </c>
      <c r="U3504" t="str">
        <f>YEAR('Campaign Data'!$A3504)&amp;"-"&amp;TEXT(MONTH('Campaign Data'!$A3504),"00")</f>
        <v>2026-07</v>
      </c>
    </row>
    <row r="3505" spans="1:21" x14ac:dyDescent="0.25">
      <c r="A3505">
        <v>46214</v>
      </c>
      <c r="B3505" t="s">
        <v>149</v>
      </c>
      <c r="C3505" t="s">
        <v>150</v>
      </c>
      <c r="D3505" t="s">
        <v>65</v>
      </c>
      <c r="E3505" t="s">
        <v>33</v>
      </c>
      <c r="F3505" t="s">
        <v>43</v>
      </c>
      <c r="G3505" t="s">
        <v>59</v>
      </c>
      <c r="H3505" t="s">
        <v>51</v>
      </c>
      <c r="I3505" t="s">
        <v>37</v>
      </c>
      <c r="J3505" t="s">
        <v>29</v>
      </c>
      <c r="K3505">
        <v>2388</v>
      </c>
      <c r="L3505">
        <v>10</v>
      </c>
      <c r="M3505">
        <v>4.2699999999999996</v>
      </c>
      <c r="N3505">
        <v>0</v>
      </c>
      <c r="O3505">
        <v>0</v>
      </c>
      <c r="P3505">
        <f t="shared" si="216"/>
        <v>4.1876046901172526E-3</v>
      </c>
      <c r="Q3505">
        <f t="shared" si="216"/>
        <v>0.42699999999999994</v>
      </c>
      <c r="R3505">
        <f t="shared" si="217"/>
        <v>0</v>
      </c>
      <c r="S3505">
        <f t="shared" si="218"/>
        <v>0</v>
      </c>
      <c r="T3505">
        <f t="shared" si="219"/>
        <v>0</v>
      </c>
      <c r="U3505" t="str">
        <f>YEAR('Campaign Data'!$A3505)&amp;"-"&amp;TEXT(MONTH('Campaign Data'!$A3505),"00")</f>
        <v>2026-07</v>
      </c>
    </row>
    <row r="3506" spans="1:21" x14ac:dyDescent="0.25">
      <c r="A3506">
        <v>46214</v>
      </c>
      <c r="B3506" t="s">
        <v>186</v>
      </c>
      <c r="C3506" t="s">
        <v>187</v>
      </c>
      <c r="D3506" t="s">
        <v>80</v>
      </c>
      <c r="E3506" t="s">
        <v>33</v>
      </c>
      <c r="F3506" t="s">
        <v>43</v>
      </c>
      <c r="G3506" t="s">
        <v>102</v>
      </c>
      <c r="H3506" t="s">
        <v>90</v>
      </c>
      <c r="I3506" t="s">
        <v>37</v>
      </c>
      <c r="J3506" t="s">
        <v>87</v>
      </c>
      <c r="K3506">
        <v>1601</v>
      </c>
      <c r="L3506">
        <v>23</v>
      </c>
      <c r="M3506">
        <v>4.43</v>
      </c>
      <c r="N3506">
        <v>1</v>
      </c>
      <c r="O3506">
        <v>6.24</v>
      </c>
      <c r="P3506">
        <f t="shared" si="216"/>
        <v>1.4366021236727046E-2</v>
      </c>
      <c r="Q3506">
        <f t="shared" si="216"/>
        <v>0.19260869565217389</v>
      </c>
      <c r="R3506">
        <f t="shared" si="217"/>
        <v>4.43</v>
      </c>
      <c r="S3506">
        <f t="shared" si="218"/>
        <v>1.4085778781038376</v>
      </c>
      <c r="T3506">
        <f t="shared" si="219"/>
        <v>4.3478260869565216E-2</v>
      </c>
      <c r="U3506" t="str">
        <f>YEAR('Campaign Data'!$A3506)&amp;"-"&amp;TEXT(MONTH('Campaign Data'!$A3506),"00")</f>
        <v>2026-07</v>
      </c>
    </row>
    <row r="3507" spans="1:21" x14ac:dyDescent="0.25">
      <c r="A3507">
        <v>46214</v>
      </c>
      <c r="B3507" t="s">
        <v>93</v>
      </c>
      <c r="C3507" t="s">
        <v>94</v>
      </c>
      <c r="D3507" t="s">
        <v>69</v>
      </c>
      <c r="E3507" t="s">
        <v>42</v>
      </c>
      <c r="F3507" t="s">
        <v>75</v>
      </c>
      <c r="G3507" t="s">
        <v>44</v>
      </c>
      <c r="H3507" t="s">
        <v>90</v>
      </c>
      <c r="I3507" t="s">
        <v>28</v>
      </c>
      <c r="J3507" t="s">
        <v>45</v>
      </c>
      <c r="K3507">
        <v>2336</v>
      </c>
      <c r="L3507">
        <v>12</v>
      </c>
      <c r="M3507">
        <v>17.97</v>
      </c>
      <c r="N3507">
        <v>0</v>
      </c>
      <c r="O3507">
        <v>0</v>
      </c>
      <c r="P3507">
        <f t="shared" si="216"/>
        <v>5.1369863013698627E-3</v>
      </c>
      <c r="Q3507">
        <f t="shared" si="216"/>
        <v>1.4974999999999998</v>
      </c>
      <c r="R3507">
        <f t="shared" si="217"/>
        <v>0</v>
      </c>
      <c r="S3507">
        <f t="shared" si="218"/>
        <v>0</v>
      </c>
      <c r="T3507">
        <f t="shared" si="219"/>
        <v>0</v>
      </c>
      <c r="U3507" t="str">
        <f>YEAR('Campaign Data'!$A3507)&amp;"-"&amp;TEXT(MONTH('Campaign Data'!$A3507),"00")</f>
        <v>2026-07</v>
      </c>
    </row>
    <row r="3508" spans="1:21" x14ac:dyDescent="0.25">
      <c r="A3508">
        <v>46214</v>
      </c>
      <c r="B3508" t="s">
        <v>46</v>
      </c>
      <c r="C3508" t="s">
        <v>47</v>
      </c>
      <c r="D3508" t="s">
        <v>48</v>
      </c>
      <c r="E3508" t="s">
        <v>49</v>
      </c>
      <c r="F3508" t="s">
        <v>43</v>
      </c>
      <c r="G3508" t="s">
        <v>50</v>
      </c>
      <c r="H3508" t="s">
        <v>36</v>
      </c>
      <c r="I3508" t="s">
        <v>37</v>
      </c>
      <c r="J3508" t="s">
        <v>45</v>
      </c>
      <c r="K3508">
        <v>10997</v>
      </c>
      <c r="L3508">
        <v>528</v>
      </c>
      <c r="M3508">
        <v>878.82</v>
      </c>
      <c r="N3508">
        <v>22</v>
      </c>
      <c r="O3508">
        <v>295.98</v>
      </c>
      <c r="P3508">
        <f t="shared" si="216"/>
        <v>4.801309448031281E-2</v>
      </c>
      <c r="Q3508">
        <f t="shared" si="216"/>
        <v>1.6644318181818183</v>
      </c>
      <c r="R3508">
        <f t="shared" si="217"/>
        <v>39.946363636363635</v>
      </c>
      <c r="S3508">
        <f t="shared" si="218"/>
        <v>0.33679251723902504</v>
      </c>
      <c r="T3508">
        <f t="shared" si="219"/>
        <v>4.1666666666666664E-2</v>
      </c>
      <c r="U3508" t="str">
        <f>YEAR('Campaign Data'!$A3508)&amp;"-"&amp;TEXT(MONTH('Campaign Data'!$A3508),"00")</f>
        <v>2026-07</v>
      </c>
    </row>
    <row r="3509" spans="1:21" x14ac:dyDescent="0.25">
      <c r="A3509">
        <v>46214</v>
      </c>
      <c r="B3509" t="s">
        <v>100</v>
      </c>
      <c r="C3509" t="s">
        <v>101</v>
      </c>
      <c r="D3509" t="s">
        <v>80</v>
      </c>
      <c r="E3509" t="s">
        <v>33</v>
      </c>
      <c r="F3509" t="s">
        <v>25</v>
      </c>
      <c r="G3509" t="s">
        <v>102</v>
      </c>
      <c r="H3509" t="s">
        <v>90</v>
      </c>
      <c r="I3509" t="s">
        <v>37</v>
      </c>
      <c r="J3509" t="s">
        <v>38</v>
      </c>
      <c r="K3509">
        <v>6775</v>
      </c>
      <c r="L3509">
        <v>87</v>
      </c>
      <c r="M3509">
        <v>8.26</v>
      </c>
      <c r="N3509">
        <v>1</v>
      </c>
      <c r="O3509">
        <v>27.31</v>
      </c>
      <c r="P3509">
        <f t="shared" si="216"/>
        <v>1.2841328413284133E-2</v>
      </c>
      <c r="Q3509">
        <f t="shared" si="216"/>
        <v>9.4942528735632178E-2</v>
      </c>
      <c r="R3509">
        <f t="shared" si="217"/>
        <v>8.26</v>
      </c>
      <c r="S3509">
        <f t="shared" si="218"/>
        <v>3.3062953995157383</v>
      </c>
      <c r="T3509">
        <f t="shared" si="219"/>
        <v>1.1494252873563218E-2</v>
      </c>
      <c r="U3509" t="str">
        <f>YEAR('Campaign Data'!$A3509)&amp;"-"&amp;TEXT(MONTH('Campaign Data'!$A3509),"00")</f>
        <v>2026-07</v>
      </c>
    </row>
    <row r="3510" spans="1:21" x14ac:dyDescent="0.25">
      <c r="A3510">
        <v>46214</v>
      </c>
      <c r="B3510" t="s">
        <v>100</v>
      </c>
      <c r="C3510" t="s">
        <v>101</v>
      </c>
      <c r="D3510" t="s">
        <v>80</v>
      </c>
      <c r="E3510" t="s">
        <v>33</v>
      </c>
      <c r="F3510" t="s">
        <v>25</v>
      </c>
      <c r="G3510" t="s">
        <v>102</v>
      </c>
      <c r="H3510" t="s">
        <v>51</v>
      </c>
      <c r="I3510" t="s">
        <v>37</v>
      </c>
      <c r="J3510" t="s">
        <v>62</v>
      </c>
      <c r="K3510">
        <v>5321</v>
      </c>
      <c r="L3510">
        <v>60</v>
      </c>
      <c r="M3510">
        <v>25.27</v>
      </c>
      <c r="N3510">
        <v>3</v>
      </c>
      <c r="O3510">
        <v>365.64</v>
      </c>
      <c r="P3510">
        <f t="shared" si="216"/>
        <v>1.1276075925577899E-2</v>
      </c>
      <c r="Q3510">
        <f t="shared" si="216"/>
        <v>0.42116666666666663</v>
      </c>
      <c r="R3510">
        <f t="shared" si="217"/>
        <v>8.4233333333333338</v>
      </c>
      <c r="S3510">
        <f t="shared" si="218"/>
        <v>14.469331222793826</v>
      </c>
      <c r="T3510">
        <f t="shared" si="219"/>
        <v>0.05</v>
      </c>
      <c r="U3510" t="str">
        <f>YEAR('Campaign Data'!$A3510)&amp;"-"&amp;TEXT(MONTH('Campaign Data'!$A3510),"00")</f>
        <v>2026-07</v>
      </c>
    </row>
    <row r="3511" spans="1:21" x14ac:dyDescent="0.25">
      <c r="A3511">
        <v>46214</v>
      </c>
      <c r="B3511" t="s">
        <v>100</v>
      </c>
      <c r="C3511" t="s">
        <v>101</v>
      </c>
      <c r="D3511" t="s">
        <v>80</v>
      </c>
      <c r="E3511" t="s">
        <v>33</v>
      </c>
      <c r="F3511" t="s">
        <v>25</v>
      </c>
      <c r="G3511" t="s">
        <v>102</v>
      </c>
      <c r="H3511" t="s">
        <v>27</v>
      </c>
      <c r="I3511" t="s">
        <v>37</v>
      </c>
      <c r="J3511" t="s">
        <v>38</v>
      </c>
      <c r="K3511">
        <v>2188</v>
      </c>
      <c r="L3511">
        <v>16</v>
      </c>
      <c r="M3511">
        <v>12.13</v>
      </c>
      <c r="N3511">
        <v>1</v>
      </c>
      <c r="O3511">
        <v>192.71</v>
      </c>
      <c r="P3511">
        <f t="shared" si="216"/>
        <v>7.3126142595978062E-3</v>
      </c>
      <c r="Q3511">
        <f t="shared" si="216"/>
        <v>0.75812500000000005</v>
      </c>
      <c r="R3511">
        <f t="shared" si="217"/>
        <v>12.13</v>
      </c>
      <c r="S3511">
        <f t="shared" si="218"/>
        <v>15.887056883759275</v>
      </c>
      <c r="T3511">
        <f t="shared" si="219"/>
        <v>6.25E-2</v>
      </c>
      <c r="U3511" t="str">
        <f>YEAR('Campaign Data'!$A3511)&amp;"-"&amp;TEXT(MONTH('Campaign Data'!$A3511),"00")</f>
        <v>2026-07</v>
      </c>
    </row>
    <row r="3512" spans="1:21" x14ac:dyDescent="0.25">
      <c r="A3512">
        <v>46214</v>
      </c>
      <c r="B3512" t="s">
        <v>141</v>
      </c>
      <c r="C3512" t="s">
        <v>142</v>
      </c>
      <c r="D3512" t="s">
        <v>80</v>
      </c>
      <c r="E3512" t="s">
        <v>49</v>
      </c>
      <c r="F3512" t="s">
        <v>81</v>
      </c>
      <c r="G3512" t="s">
        <v>97</v>
      </c>
      <c r="H3512" t="s">
        <v>55</v>
      </c>
      <c r="I3512" t="s">
        <v>28</v>
      </c>
      <c r="J3512" t="s">
        <v>45</v>
      </c>
      <c r="K3512">
        <v>13088</v>
      </c>
      <c r="L3512">
        <v>690</v>
      </c>
      <c r="M3512">
        <v>1301.67</v>
      </c>
      <c r="N3512">
        <v>46</v>
      </c>
      <c r="O3512">
        <v>869.01</v>
      </c>
      <c r="P3512">
        <f t="shared" si="216"/>
        <v>5.2720048899755498E-2</v>
      </c>
      <c r="Q3512">
        <f t="shared" si="216"/>
        <v>1.8864782608695654</v>
      </c>
      <c r="R3512">
        <f t="shared" si="217"/>
        <v>28.29717391304348</v>
      </c>
      <c r="S3512">
        <f t="shared" si="218"/>
        <v>0.66761160662840813</v>
      </c>
      <c r="T3512">
        <f t="shared" si="219"/>
        <v>6.6666666666666666E-2</v>
      </c>
      <c r="U3512" t="str">
        <f>YEAR('Campaign Data'!$A3512)&amp;"-"&amp;TEXT(MONTH('Campaign Data'!$A3512),"00")</f>
        <v>2026-07</v>
      </c>
    </row>
    <row r="3513" spans="1:21" x14ac:dyDescent="0.25">
      <c r="A3513">
        <v>46214</v>
      </c>
      <c r="B3513" t="s">
        <v>76</v>
      </c>
      <c r="C3513" t="s">
        <v>77</v>
      </c>
      <c r="D3513" t="s">
        <v>65</v>
      </c>
      <c r="E3513" t="s">
        <v>42</v>
      </c>
      <c r="F3513" t="s">
        <v>43</v>
      </c>
      <c r="G3513" t="s">
        <v>44</v>
      </c>
      <c r="H3513" t="s">
        <v>60</v>
      </c>
      <c r="I3513" t="s">
        <v>37</v>
      </c>
      <c r="J3513" t="s">
        <v>45</v>
      </c>
      <c r="K3513">
        <v>2311</v>
      </c>
      <c r="L3513">
        <v>7</v>
      </c>
      <c r="M3513">
        <v>39.659999999999997</v>
      </c>
      <c r="N3513">
        <v>0</v>
      </c>
      <c r="O3513">
        <v>0</v>
      </c>
      <c r="P3513">
        <f t="shared" si="216"/>
        <v>3.0289917784508871E-3</v>
      </c>
      <c r="Q3513">
        <f t="shared" si="216"/>
        <v>5.6657142857142855</v>
      </c>
      <c r="R3513">
        <f t="shared" si="217"/>
        <v>0</v>
      </c>
      <c r="S3513">
        <f t="shared" si="218"/>
        <v>0</v>
      </c>
      <c r="T3513">
        <f t="shared" si="219"/>
        <v>0</v>
      </c>
      <c r="U3513" t="str">
        <f>YEAR('Campaign Data'!$A3513)&amp;"-"&amp;TEXT(MONTH('Campaign Data'!$A3513),"00")</f>
        <v>2026-07</v>
      </c>
    </row>
    <row r="3514" spans="1:21" x14ac:dyDescent="0.25">
      <c r="A3514">
        <v>46214</v>
      </c>
      <c r="B3514" t="s">
        <v>78</v>
      </c>
      <c r="C3514" t="s">
        <v>79</v>
      </c>
      <c r="D3514" t="s">
        <v>80</v>
      </c>
      <c r="E3514" t="s">
        <v>24</v>
      </c>
      <c r="F3514" t="s">
        <v>81</v>
      </c>
      <c r="G3514" t="s">
        <v>66</v>
      </c>
      <c r="H3514" t="s">
        <v>27</v>
      </c>
      <c r="I3514" t="s">
        <v>37</v>
      </c>
      <c r="J3514" t="s">
        <v>29</v>
      </c>
      <c r="K3514">
        <v>821</v>
      </c>
      <c r="L3514">
        <v>15</v>
      </c>
      <c r="M3514">
        <v>25.91</v>
      </c>
      <c r="N3514">
        <v>0</v>
      </c>
      <c r="O3514">
        <v>0</v>
      </c>
      <c r="P3514">
        <f t="shared" si="216"/>
        <v>1.8270401948842874E-2</v>
      </c>
      <c r="Q3514">
        <f t="shared" si="216"/>
        <v>1.7273333333333334</v>
      </c>
      <c r="R3514">
        <f t="shared" si="217"/>
        <v>0</v>
      </c>
      <c r="S3514">
        <f t="shared" si="218"/>
        <v>0</v>
      </c>
      <c r="T3514">
        <f t="shared" si="219"/>
        <v>0</v>
      </c>
      <c r="U3514" t="str">
        <f>YEAR('Campaign Data'!$A3514)&amp;"-"&amp;TEXT(MONTH('Campaign Data'!$A3514),"00")</f>
        <v>2026-07</v>
      </c>
    </row>
    <row r="3515" spans="1:21" x14ac:dyDescent="0.25">
      <c r="A3515">
        <v>46214</v>
      </c>
      <c r="B3515" t="s">
        <v>120</v>
      </c>
      <c r="C3515" t="s">
        <v>121</v>
      </c>
      <c r="D3515" t="s">
        <v>23</v>
      </c>
      <c r="E3515" t="s">
        <v>49</v>
      </c>
      <c r="F3515" t="s">
        <v>75</v>
      </c>
      <c r="G3515" t="s">
        <v>70</v>
      </c>
      <c r="H3515" t="s">
        <v>60</v>
      </c>
      <c r="I3515" t="s">
        <v>37</v>
      </c>
      <c r="J3515" t="s">
        <v>45</v>
      </c>
      <c r="K3515">
        <v>1923</v>
      </c>
      <c r="L3515">
        <v>71</v>
      </c>
      <c r="M3515">
        <v>108.59</v>
      </c>
      <c r="N3515">
        <v>2</v>
      </c>
      <c r="O3515">
        <v>75.02</v>
      </c>
      <c r="P3515">
        <f t="shared" si="216"/>
        <v>3.6921476859074362E-2</v>
      </c>
      <c r="Q3515">
        <f t="shared" si="216"/>
        <v>1.5294366197183098</v>
      </c>
      <c r="R3515">
        <f t="shared" si="217"/>
        <v>54.295000000000002</v>
      </c>
      <c r="S3515">
        <f t="shared" si="218"/>
        <v>0.69085551155723357</v>
      </c>
      <c r="T3515">
        <f t="shared" si="219"/>
        <v>2.8169014084507043E-2</v>
      </c>
      <c r="U3515" t="str">
        <f>YEAR('Campaign Data'!$A3515)&amp;"-"&amp;TEXT(MONTH('Campaign Data'!$A3515),"00")</f>
        <v>2026-07</v>
      </c>
    </row>
    <row r="3516" spans="1:21" x14ac:dyDescent="0.25">
      <c r="A3516">
        <v>46214</v>
      </c>
      <c r="B3516" t="s">
        <v>122</v>
      </c>
      <c r="C3516" t="s">
        <v>123</v>
      </c>
      <c r="D3516" t="s">
        <v>41</v>
      </c>
      <c r="E3516" t="s">
        <v>33</v>
      </c>
      <c r="F3516" t="s">
        <v>75</v>
      </c>
      <c r="G3516" t="s">
        <v>35</v>
      </c>
      <c r="H3516" t="s">
        <v>27</v>
      </c>
      <c r="I3516" t="s">
        <v>61</v>
      </c>
      <c r="J3516" t="s">
        <v>62</v>
      </c>
      <c r="K3516">
        <v>11142</v>
      </c>
      <c r="L3516">
        <v>176</v>
      </c>
      <c r="M3516">
        <v>129.41999999999999</v>
      </c>
      <c r="N3516">
        <v>3</v>
      </c>
      <c r="O3516">
        <v>110.72</v>
      </c>
      <c r="P3516">
        <f t="shared" si="216"/>
        <v>1.5796086878477833E-2</v>
      </c>
      <c r="Q3516">
        <f t="shared" si="216"/>
        <v>0.73534090909090899</v>
      </c>
      <c r="R3516">
        <f t="shared" si="217"/>
        <v>43.139999999999993</v>
      </c>
      <c r="S3516">
        <f t="shared" si="218"/>
        <v>0.85550919486941746</v>
      </c>
      <c r="T3516">
        <f t="shared" si="219"/>
        <v>1.7045454545454544E-2</v>
      </c>
      <c r="U3516" t="str">
        <f>YEAR('Campaign Data'!$A3516)&amp;"-"&amp;TEXT(MONTH('Campaign Data'!$A3516),"00")</f>
        <v>2026-07</v>
      </c>
    </row>
    <row r="3517" spans="1:21" x14ac:dyDescent="0.25">
      <c r="A3517">
        <v>46214</v>
      </c>
      <c r="B3517" t="s">
        <v>122</v>
      </c>
      <c r="C3517" t="s">
        <v>123</v>
      </c>
      <c r="D3517" t="s">
        <v>41</v>
      </c>
      <c r="E3517" t="s">
        <v>33</v>
      </c>
      <c r="F3517" t="s">
        <v>75</v>
      </c>
      <c r="G3517" t="s">
        <v>35</v>
      </c>
      <c r="H3517" t="s">
        <v>90</v>
      </c>
      <c r="I3517" t="s">
        <v>37</v>
      </c>
      <c r="J3517" t="s">
        <v>45</v>
      </c>
      <c r="K3517">
        <v>8626</v>
      </c>
      <c r="L3517">
        <v>49</v>
      </c>
      <c r="M3517">
        <v>7.61</v>
      </c>
      <c r="N3517">
        <v>0</v>
      </c>
      <c r="O3517">
        <v>0</v>
      </c>
      <c r="P3517">
        <f t="shared" si="216"/>
        <v>5.680500811500116E-3</v>
      </c>
      <c r="Q3517">
        <f t="shared" si="216"/>
        <v>0.15530612244897959</v>
      </c>
      <c r="R3517">
        <f t="shared" si="217"/>
        <v>0</v>
      </c>
      <c r="S3517">
        <f t="shared" si="218"/>
        <v>0</v>
      </c>
      <c r="T3517">
        <f t="shared" si="219"/>
        <v>0</v>
      </c>
      <c r="U3517" t="str">
        <f>YEAR('Campaign Data'!$A3517)&amp;"-"&amp;TEXT(MONTH('Campaign Data'!$A3517),"00")</f>
        <v>2026-07</v>
      </c>
    </row>
    <row r="3518" spans="1:21" x14ac:dyDescent="0.25">
      <c r="A3518">
        <v>46214</v>
      </c>
      <c r="B3518" t="s">
        <v>82</v>
      </c>
      <c r="C3518" t="s">
        <v>83</v>
      </c>
      <c r="D3518" t="s">
        <v>80</v>
      </c>
      <c r="E3518" t="s">
        <v>42</v>
      </c>
      <c r="F3518" t="s">
        <v>34</v>
      </c>
      <c r="G3518" t="s">
        <v>84</v>
      </c>
      <c r="H3518" t="s">
        <v>71</v>
      </c>
      <c r="I3518" t="s">
        <v>28</v>
      </c>
      <c r="J3518" t="s">
        <v>62</v>
      </c>
      <c r="K3518">
        <v>6711</v>
      </c>
      <c r="L3518">
        <v>44</v>
      </c>
      <c r="M3518">
        <v>246.16</v>
      </c>
      <c r="N3518">
        <v>0</v>
      </c>
      <c r="O3518">
        <v>0</v>
      </c>
      <c r="P3518">
        <f t="shared" si="216"/>
        <v>6.5563999403963642E-3</v>
      </c>
      <c r="Q3518">
        <f t="shared" si="216"/>
        <v>5.5945454545454547</v>
      </c>
      <c r="R3518">
        <f t="shared" si="217"/>
        <v>0</v>
      </c>
      <c r="S3518">
        <f t="shared" si="218"/>
        <v>0</v>
      </c>
      <c r="T3518">
        <f t="shared" si="219"/>
        <v>0</v>
      </c>
      <c r="U3518" t="str">
        <f>YEAR('Campaign Data'!$A3518)&amp;"-"&amp;TEXT(MONTH('Campaign Data'!$A3518),"00")</f>
        <v>2026-07</v>
      </c>
    </row>
    <row r="3519" spans="1:21" x14ac:dyDescent="0.25">
      <c r="A3519">
        <v>46215</v>
      </c>
      <c r="B3519" t="s">
        <v>85</v>
      </c>
      <c r="C3519" t="s">
        <v>86</v>
      </c>
      <c r="D3519" t="s">
        <v>80</v>
      </c>
      <c r="E3519" t="s">
        <v>33</v>
      </c>
      <c r="F3519" t="s">
        <v>43</v>
      </c>
      <c r="G3519" t="s">
        <v>35</v>
      </c>
      <c r="H3519" t="s">
        <v>27</v>
      </c>
      <c r="I3519" t="s">
        <v>37</v>
      </c>
      <c r="J3519" t="s">
        <v>87</v>
      </c>
      <c r="K3519">
        <v>3208</v>
      </c>
      <c r="L3519">
        <v>44</v>
      </c>
      <c r="M3519">
        <v>22.6</v>
      </c>
      <c r="N3519">
        <v>0</v>
      </c>
      <c r="O3519">
        <v>0</v>
      </c>
      <c r="P3519">
        <f t="shared" si="216"/>
        <v>1.3715710723192019E-2</v>
      </c>
      <c r="Q3519">
        <f t="shared" si="216"/>
        <v>0.51363636363636367</v>
      </c>
      <c r="R3519">
        <f t="shared" si="217"/>
        <v>0</v>
      </c>
      <c r="S3519">
        <f t="shared" si="218"/>
        <v>0</v>
      </c>
      <c r="T3519">
        <f t="shared" si="219"/>
        <v>0</v>
      </c>
      <c r="U3519" t="str">
        <f>YEAR('Campaign Data'!$A3519)&amp;"-"&amp;TEXT(MONTH('Campaign Data'!$A3519),"00")</f>
        <v>2026-07</v>
      </c>
    </row>
    <row r="3520" spans="1:21" x14ac:dyDescent="0.25">
      <c r="A3520">
        <v>46215</v>
      </c>
      <c r="B3520" t="s">
        <v>88</v>
      </c>
      <c r="C3520" t="s">
        <v>89</v>
      </c>
      <c r="D3520" t="s">
        <v>23</v>
      </c>
      <c r="E3520" t="s">
        <v>49</v>
      </c>
      <c r="F3520" t="s">
        <v>81</v>
      </c>
      <c r="G3520" t="s">
        <v>50</v>
      </c>
      <c r="H3520" t="s">
        <v>36</v>
      </c>
      <c r="I3520" t="s">
        <v>37</v>
      </c>
      <c r="J3520" t="s">
        <v>45</v>
      </c>
      <c r="K3520">
        <v>3111</v>
      </c>
      <c r="L3520">
        <v>67</v>
      </c>
      <c r="M3520">
        <v>144.26</v>
      </c>
      <c r="N3520">
        <v>4</v>
      </c>
      <c r="O3520">
        <v>83.17</v>
      </c>
      <c r="P3520">
        <f t="shared" si="216"/>
        <v>2.1536483445837352E-2</v>
      </c>
      <c r="Q3520">
        <f t="shared" si="216"/>
        <v>2.1531343283582087</v>
      </c>
      <c r="R3520">
        <f t="shared" si="217"/>
        <v>36.064999999999998</v>
      </c>
      <c r="S3520">
        <f t="shared" si="218"/>
        <v>0.57652849022598096</v>
      </c>
      <c r="T3520">
        <f t="shared" si="219"/>
        <v>5.9701492537313432E-2</v>
      </c>
      <c r="U3520" t="str">
        <f>YEAR('Campaign Data'!$A3520)&amp;"-"&amp;TEXT(MONTH('Campaign Data'!$A3520),"00")</f>
        <v>2026-07</v>
      </c>
    </row>
    <row r="3521" spans="1:21" x14ac:dyDescent="0.25">
      <c r="A3521">
        <v>46215</v>
      </c>
      <c r="B3521" t="s">
        <v>138</v>
      </c>
      <c r="C3521" t="s">
        <v>139</v>
      </c>
      <c r="D3521" t="s">
        <v>58</v>
      </c>
      <c r="E3521" t="s">
        <v>74</v>
      </c>
      <c r="F3521" t="s">
        <v>34</v>
      </c>
      <c r="G3521" t="s">
        <v>9</v>
      </c>
      <c r="H3521" t="s">
        <v>90</v>
      </c>
      <c r="I3521" t="s">
        <v>28</v>
      </c>
      <c r="J3521" t="s">
        <v>87</v>
      </c>
      <c r="K3521">
        <v>4243</v>
      </c>
      <c r="L3521">
        <v>147</v>
      </c>
      <c r="M3521">
        <v>41.04</v>
      </c>
      <c r="N3521">
        <v>3</v>
      </c>
      <c r="O3521">
        <v>113.36</v>
      </c>
      <c r="P3521">
        <f t="shared" si="216"/>
        <v>3.4645298138109827E-2</v>
      </c>
      <c r="Q3521">
        <f t="shared" si="216"/>
        <v>0.27918367346938777</v>
      </c>
      <c r="R3521">
        <f t="shared" si="217"/>
        <v>13.68</v>
      </c>
      <c r="S3521">
        <f t="shared" si="218"/>
        <v>2.7621832358674463</v>
      </c>
      <c r="T3521">
        <f t="shared" si="219"/>
        <v>2.0408163265306121E-2</v>
      </c>
      <c r="U3521" t="str">
        <f>YEAR('Campaign Data'!$A3521)&amp;"-"&amp;TEXT(MONTH('Campaign Data'!$A3521),"00")</f>
        <v>2026-07</v>
      </c>
    </row>
    <row r="3522" spans="1:21" x14ac:dyDescent="0.25">
      <c r="A3522">
        <v>46215</v>
      </c>
      <c r="B3522" t="s">
        <v>91</v>
      </c>
      <c r="C3522" t="s">
        <v>92</v>
      </c>
      <c r="D3522" t="s">
        <v>41</v>
      </c>
      <c r="E3522" t="s">
        <v>74</v>
      </c>
      <c r="F3522" t="s">
        <v>75</v>
      </c>
      <c r="G3522" t="s">
        <v>9</v>
      </c>
      <c r="H3522" t="s">
        <v>27</v>
      </c>
      <c r="I3522" t="s">
        <v>37</v>
      </c>
      <c r="J3522" t="s">
        <v>38</v>
      </c>
      <c r="K3522">
        <v>2701</v>
      </c>
      <c r="L3522">
        <v>26</v>
      </c>
      <c r="M3522">
        <v>49.94</v>
      </c>
      <c r="N3522">
        <v>0</v>
      </c>
      <c r="O3522">
        <v>0</v>
      </c>
      <c r="P3522">
        <f t="shared" ref="P3522:Q3585" si="220">IF(K3522=0,0,L3522/K3522)</f>
        <v>9.626064420584968E-3</v>
      </c>
      <c r="Q3522">
        <f t="shared" si="220"/>
        <v>1.9207692307692308</v>
      </c>
      <c r="R3522">
        <f t="shared" ref="R3522:R3585" si="221">IF(N3522=0,0,M3522/N3522)</f>
        <v>0</v>
      </c>
      <c r="S3522">
        <f t="shared" ref="S3522:S3585" si="222">IF(M3522=0,0,O3522/M3522)</f>
        <v>0</v>
      </c>
      <c r="T3522">
        <f t="shared" ref="T3522:T3585" si="223">IF(L3522=0,0,N3522/L3522)</f>
        <v>0</v>
      </c>
      <c r="U3522" t="str">
        <f>YEAR('Campaign Data'!$A3522)&amp;"-"&amp;TEXT(MONTH('Campaign Data'!$A3522),"00")</f>
        <v>2026-07</v>
      </c>
    </row>
    <row r="3523" spans="1:21" x14ac:dyDescent="0.25">
      <c r="A3523">
        <v>46215</v>
      </c>
      <c r="B3523" t="s">
        <v>30</v>
      </c>
      <c r="C3523" t="s">
        <v>31</v>
      </c>
      <c r="D3523" t="s">
        <v>32</v>
      </c>
      <c r="E3523" t="s">
        <v>33</v>
      </c>
      <c r="F3523" t="s">
        <v>34</v>
      </c>
      <c r="G3523" t="s">
        <v>35</v>
      </c>
      <c r="H3523" t="s">
        <v>71</v>
      </c>
      <c r="I3523" t="s">
        <v>37</v>
      </c>
      <c r="J3523" t="s">
        <v>62</v>
      </c>
      <c r="K3523">
        <v>8182</v>
      </c>
      <c r="L3523">
        <v>90</v>
      </c>
      <c r="M3523">
        <v>55.48</v>
      </c>
      <c r="N3523">
        <v>1</v>
      </c>
      <c r="O3523">
        <v>80.75</v>
      </c>
      <c r="P3523">
        <f t="shared" si="220"/>
        <v>1.0999755560987534E-2</v>
      </c>
      <c r="Q3523">
        <f t="shared" si="220"/>
        <v>0.61644444444444446</v>
      </c>
      <c r="R3523">
        <f t="shared" si="221"/>
        <v>55.48</v>
      </c>
      <c r="S3523">
        <f t="shared" si="222"/>
        <v>1.4554794520547947</v>
      </c>
      <c r="T3523">
        <f t="shared" si="223"/>
        <v>1.1111111111111112E-2</v>
      </c>
      <c r="U3523" t="str">
        <f>YEAR('Campaign Data'!$A3523)&amp;"-"&amp;TEXT(MONTH('Campaign Data'!$A3523),"00")</f>
        <v>2026-07</v>
      </c>
    </row>
    <row r="3524" spans="1:21" x14ac:dyDescent="0.25">
      <c r="A3524">
        <v>46215</v>
      </c>
      <c r="B3524" t="s">
        <v>30</v>
      </c>
      <c r="C3524" t="s">
        <v>31</v>
      </c>
      <c r="D3524" t="s">
        <v>32</v>
      </c>
      <c r="E3524" t="s">
        <v>33</v>
      </c>
      <c r="F3524" t="s">
        <v>34</v>
      </c>
      <c r="G3524" t="s">
        <v>35</v>
      </c>
      <c r="H3524" t="s">
        <v>36</v>
      </c>
      <c r="I3524" t="s">
        <v>37</v>
      </c>
      <c r="J3524" t="s">
        <v>87</v>
      </c>
      <c r="K3524">
        <v>17926</v>
      </c>
      <c r="L3524">
        <v>141</v>
      </c>
      <c r="M3524">
        <v>88.92</v>
      </c>
      <c r="N3524">
        <v>0</v>
      </c>
      <c r="O3524">
        <v>0</v>
      </c>
      <c r="P3524">
        <f t="shared" si="220"/>
        <v>7.8656699765703442E-3</v>
      </c>
      <c r="Q3524">
        <f t="shared" si="220"/>
        <v>0.63063829787234049</v>
      </c>
      <c r="R3524">
        <f t="shared" si="221"/>
        <v>0</v>
      </c>
      <c r="S3524">
        <f t="shared" si="222"/>
        <v>0</v>
      </c>
      <c r="T3524">
        <f t="shared" si="223"/>
        <v>0</v>
      </c>
      <c r="U3524" t="str">
        <f>YEAR('Campaign Data'!$A3524)&amp;"-"&amp;TEXT(MONTH('Campaign Data'!$A3524),"00")</f>
        <v>2026-07</v>
      </c>
    </row>
    <row r="3525" spans="1:21" x14ac:dyDescent="0.25">
      <c r="A3525">
        <v>46215</v>
      </c>
      <c r="B3525" t="s">
        <v>39</v>
      </c>
      <c r="C3525" t="s">
        <v>40</v>
      </c>
      <c r="D3525" t="s">
        <v>41</v>
      </c>
      <c r="E3525" t="s">
        <v>42</v>
      </c>
      <c r="F3525" t="s">
        <v>43</v>
      </c>
      <c r="G3525" t="s">
        <v>44</v>
      </c>
      <c r="H3525" t="s">
        <v>60</v>
      </c>
      <c r="I3525" t="s">
        <v>61</v>
      </c>
      <c r="J3525" t="s">
        <v>62</v>
      </c>
      <c r="K3525">
        <v>6218</v>
      </c>
      <c r="L3525">
        <v>56</v>
      </c>
      <c r="M3525">
        <v>373.03</v>
      </c>
      <c r="N3525">
        <v>1</v>
      </c>
      <c r="O3525">
        <v>26.64</v>
      </c>
      <c r="P3525">
        <f t="shared" si="220"/>
        <v>9.0061112898037962E-3</v>
      </c>
      <c r="Q3525">
        <f t="shared" si="220"/>
        <v>6.6612499999999999</v>
      </c>
      <c r="R3525">
        <f t="shared" si="221"/>
        <v>373.03</v>
      </c>
      <c r="S3525">
        <f t="shared" si="222"/>
        <v>7.1415167680883587E-2</v>
      </c>
      <c r="T3525">
        <f t="shared" si="223"/>
        <v>1.7857142857142856E-2</v>
      </c>
      <c r="U3525" t="str">
        <f>YEAR('Campaign Data'!$A3525)&amp;"-"&amp;TEXT(MONTH('Campaign Data'!$A3525),"00")</f>
        <v>2026-07</v>
      </c>
    </row>
    <row r="3526" spans="1:21" x14ac:dyDescent="0.25">
      <c r="A3526">
        <v>46215</v>
      </c>
      <c r="B3526" t="s">
        <v>130</v>
      </c>
      <c r="C3526" t="s">
        <v>131</v>
      </c>
      <c r="D3526" t="s">
        <v>48</v>
      </c>
      <c r="E3526" t="s">
        <v>33</v>
      </c>
      <c r="F3526" t="s">
        <v>34</v>
      </c>
      <c r="G3526" t="s">
        <v>35</v>
      </c>
      <c r="H3526" t="s">
        <v>60</v>
      </c>
      <c r="I3526" t="s">
        <v>28</v>
      </c>
      <c r="J3526" t="s">
        <v>45</v>
      </c>
      <c r="K3526">
        <v>7013</v>
      </c>
      <c r="L3526">
        <v>46</v>
      </c>
      <c r="M3526">
        <v>28.23</v>
      </c>
      <c r="N3526">
        <v>0</v>
      </c>
      <c r="O3526">
        <v>0</v>
      </c>
      <c r="P3526">
        <f t="shared" si="220"/>
        <v>6.5592471125053469E-3</v>
      </c>
      <c r="Q3526">
        <f t="shared" si="220"/>
        <v>0.61369565217391309</v>
      </c>
      <c r="R3526">
        <f t="shared" si="221"/>
        <v>0</v>
      </c>
      <c r="S3526">
        <f t="shared" si="222"/>
        <v>0</v>
      </c>
      <c r="T3526">
        <f t="shared" si="223"/>
        <v>0</v>
      </c>
      <c r="U3526" t="str">
        <f>YEAR('Campaign Data'!$A3526)&amp;"-"&amp;TEXT(MONTH('Campaign Data'!$A3526),"00")</f>
        <v>2026-07</v>
      </c>
    </row>
    <row r="3527" spans="1:21" x14ac:dyDescent="0.25">
      <c r="A3527">
        <v>46215</v>
      </c>
      <c r="B3527" t="s">
        <v>179</v>
      </c>
      <c r="C3527" t="s">
        <v>180</v>
      </c>
      <c r="D3527" t="s">
        <v>58</v>
      </c>
      <c r="E3527" t="s">
        <v>42</v>
      </c>
      <c r="F3527" t="s">
        <v>25</v>
      </c>
      <c r="G3527" t="s">
        <v>54</v>
      </c>
      <c r="H3527" t="s">
        <v>90</v>
      </c>
      <c r="I3527" t="s">
        <v>37</v>
      </c>
      <c r="J3527" t="s">
        <v>87</v>
      </c>
      <c r="K3527">
        <v>9830</v>
      </c>
      <c r="L3527">
        <v>67</v>
      </c>
      <c r="M3527">
        <v>98.69</v>
      </c>
      <c r="N3527">
        <v>0</v>
      </c>
      <c r="O3527">
        <v>0</v>
      </c>
      <c r="P3527">
        <f t="shared" si="220"/>
        <v>6.81586978636826E-3</v>
      </c>
      <c r="Q3527">
        <f t="shared" si="220"/>
        <v>1.4729850746268656</v>
      </c>
      <c r="R3527">
        <f t="shared" si="221"/>
        <v>0</v>
      </c>
      <c r="S3527">
        <f t="shared" si="222"/>
        <v>0</v>
      </c>
      <c r="T3527">
        <f t="shared" si="223"/>
        <v>0</v>
      </c>
      <c r="U3527" t="str">
        <f>YEAR('Campaign Data'!$A3527)&amp;"-"&amp;TEXT(MONTH('Campaign Data'!$A3527),"00")</f>
        <v>2026-07</v>
      </c>
    </row>
    <row r="3528" spans="1:21" x14ac:dyDescent="0.25">
      <c r="A3528">
        <v>46215</v>
      </c>
      <c r="B3528" t="s">
        <v>140</v>
      </c>
      <c r="C3528" t="s">
        <v>40</v>
      </c>
      <c r="D3528" t="s">
        <v>41</v>
      </c>
      <c r="E3528" t="s">
        <v>42</v>
      </c>
      <c r="F3528" t="s">
        <v>43</v>
      </c>
      <c r="G3528" t="s">
        <v>44</v>
      </c>
      <c r="H3528" t="s">
        <v>90</v>
      </c>
      <c r="I3528" t="s">
        <v>37</v>
      </c>
      <c r="J3528" t="s">
        <v>29</v>
      </c>
      <c r="K3528">
        <v>1856</v>
      </c>
      <c r="L3528">
        <v>15</v>
      </c>
      <c r="M3528">
        <v>29.04</v>
      </c>
      <c r="N3528">
        <v>1</v>
      </c>
      <c r="O3528">
        <v>6.99</v>
      </c>
      <c r="P3528">
        <f t="shared" si="220"/>
        <v>8.0818965517241385E-3</v>
      </c>
      <c r="Q3528">
        <f t="shared" si="220"/>
        <v>1.9359999999999999</v>
      </c>
      <c r="R3528">
        <f t="shared" si="221"/>
        <v>29.04</v>
      </c>
      <c r="S3528">
        <f t="shared" si="222"/>
        <v>0.24070247933884298</v>
      </c>
      <c r="T3528">
        <f t="shared" si="223"/>
        <v>6.6666666666666666E-2</v>
      </c>
      <c r="U3528" t="str">
        <f>YEAR('Campaign Data'!$A3528)&amp;"-"&amp;TEXT(MONTH('Campaign Data'!$A3528),"00")</f>
        <v>2026-07</v>
      </c>
    </row>
    <row r="3529" spans="1:21" x14ac:dyDescent="0.25">
      <c r="A3529">
        <v>46215</v>
      </c>
      <c r="B3529" t="s">
        <v>110</v>
      </c>
      <c r="C3529" t="s">
        <v>111</v>
      </c>
      <c r="D3529" t="s">
        <v>23</v>
      </c>
      <c r="E3529" t="s">
        <v>49</v>
      </c>
      <c r="F3529" t="s">
        <v>34</v>
      </c>
      <c r="G3529" t="s">
        <v>50</v>
      </c>
      <c r="H3529" t="s">
        <v>71</v>
      </c>
      <c r="I3529" t="s">
        <v>37</v>
      </c>
      <c r="J3529" t="s">
        <v>38</v>
      </c>
      <c r="K3529">
        <v>2454</v>
      </c>
      <c r="L3529">
        <v>137</v>
      </c>
      <c r="M3529">
        <v>185.74</v>
      </c>
      <c r="N3529">
        <v>7</v>
      </c>
      <c r="O3529">
        <v>1353.45</v>
      </c>
      <c r="P3529">
        <f t="shared" si="220"/>
        <v>5.5827220863895681E-2</v>
      </c>
      <c r="Q3529">
        <f t="shared" si="220"/>
        <v>1.3557664233576643</v>
      </c>
      <c r="R3529">
        <f t="shared" si="221"/>
        <v>26.534285714285716</v>
      </c>
      <c r="S3529">
        <f t="shared" si="222"/>
        <v>7.286798750942177</v>
      </c>
      <c r="T3529">
        <f t="shared" si="223"/>
        <v>5.1094890510948905E-2</v>
      </c>
      <c r="U3529" t="str">
        <f>YEAR('Campaign Data'!$A3529)&amp;"-"&amp;TEXT(MONTH('Campaign Data'!$A3529),"00")</f>
        <v>2026-07</v>
      </c>
    </row>
    <row r="3530" spans="1:21" x14ac:dyDescent="0.25">
      <c r="A3530">
        <v>46215</v>
      </c>
      <c r="B3530" t="s">
        <v>157</v>
      </c>
      <c r="C3530" t="s">
        <v>158</v>
      </c>
      <c r="D3530" t="s">
        <v>58</v>
      </c>
      <c r="E3530" t="s">
        <v>49</v>
      </c>
      <c r="F3530" t="s">
        <v>81</v>
      </c>
      <c r="G3530" t="s">
        <v>50</v>
      </c>
      <c r="H3530" t="s">
        <v>90</v>
      </c>
      <c r="I3530" t="s">
        <v>37</v>
      </c>
      <c r="J3530" t="s">
        <v>45</v>
      </c>
      <c r="K3530">
        <v>8772</v>
      </c>
      <c r="L3530">
        <v>428</v>
      </c>
      <c r="M3530">
        <v>205.12</v>
      </c>
      <c r="N3530">
        <v>16</v>
      </c>
      <c r="O3530">
        <v>92.1</v>
      </c>
      <c r="P3530">
        <f t="shared" si="220"/>
        <v>4.8791609667122662E-2</v>
      </c>
      <c r="Q3530">
        <f t="shared" si="220"/>
        <v>0.47925233644859816</v>
      </c>
      <c r="R3530">
        <f t="shared" si="221"/>
        <v>12.82</v>
      </c>
      <c r="S3530">
        <f t="shared" si="222"/>
        <v>0.4490054602184087</v>
      </c>
      <c r="T3530">
        <f t="shared" si="223"/>
        <v>3.7383177570093455E-2</v>
      </c>
      <c r="U3530" t="str">
        <f>YEAR('Campaign Data'!$A3530)&amp;"-"&amp;TEXT(MONTH('Campaign Data'!$A3530),"00")</f>
        <v>2026-07</v>
      </c>
    </row>
    <row r="3531" spans="1:21" x14ac:dyDescent="0.25">
      <c r="A3531">
        <v>46215</v>
      </c>
      <c r="B3531" t="s">
        <v>56</v>
      </c>
      <c r="C3531" t="s">
        <v>57</v>
      </c>
      <c r="D3531" t="s">
        <v>58</v>
      </c>
      <c r="E3531" t="s">
        <v>33</v>
      </c>
      <c r="F3531" t="s">
        <v>43</v>
      </c>
      <c r="G3531" t="s">
        <v>59</v>
      </c>
      <c r="H3531" t="s">
        <v>60</v>
      </c>
      <c r="I3531" t="s">
        <v>37</v>
      </c>
      <c r="J3531" t="s">
        <v>87</v>
      </c>
      <c r="K3531">
        <v>6004</v>
      </c>
      <c r="L3531">
        <v>110</v>
      </c>
      <c r="M3531">
        <v>62.09</v>
      </c>
      <c r="N3531">
        <v>3</v>
      </c>
      <c r="O3531">
        <v>89.23</v>
      </c>
      <c r="P3531">
        <f t="shared" si="220"/>
        <v>1.832111925383078E-2</v>
      </c>
      <c r="Q3531">
        <f t="shared" si="220"/>
        <v>0.56445454545454543</v>
      </c>
      <c r="R3531">
        <f t="shared" si="221"/>
        <v>20.696666666666669</v>
      </c>
      <c r="S3531">
        <f t="shared" si="222"/>
        <v>1.4371074247060718</v>
      </c>
      <c r="T3531">
        <f t="shared" si="223"/>
        <v>2.7272727272727271E-2</v>
      </c>
      <c r="U3531" t="str">
        <f>YEAR('Campaign Data'!$A3531)&amp;"-"&amp;TEXT(MONTH('Campaign Data'!$A3531),"00")</f>
        <v>2026-07</v>
      </c>
    </row>
    <row r="3532" spans="1:21" x14ac:dyDescent="0.25">
      <c r="A3532">
        <v>46215</v>
      </c>
      <c r="B3532" t="s">
        <v>143</v>
      </c>
      <c r="C3532" t="s">
        <v>144</v>
      </c>
      <c r="D3532" t="s">
        <v>48</v>
      </c>
      <c r="E3532" t="s">
        <v>42</v>
      </c>
      <c r="F3532" t="s">
        <v>25</v>
      </c>
      <c r="G3532" t="s">
        <v>84</v>
      </c>
      <c r="H3532" t="s">
        <v>55</v>
      </c>
      <c r="I3532" t="s">
        <v>37</v>
      </c>
      <c r="J3532" t="s">
        <v>62</v>
      </c>
      <c r="K3532">
        <v>20111</v>
      </c>
      <c r="L3532">
        <v>199</v>
      </c>
      <c r="M3532">
        <v>1013.73</v>
      </c>
      <c r="N3532">
        <v>11</v>
      </c>
      <c r="O3532">
        <v>932.55</v>
      </c>
      <c r="P3532">
        <f t="shared" si="220"/>
        <v>9.8950822932723382E-3</v>
      </c>
      <c r="Q3532">
        <f t="shared" si="220"/>
        <v>5.0941206030150754</v>
      </c>
      <c r="R3532">
        <f t="shared" si="221"/>
        <v>92.157272727272726</v>
      </c>
      <c r="S3532">
        <f t="shared" si="222"/>
        <v>0.91991950519369059</v>
      </c>
      <c r="T3532">
        <f t="shared" si="223"/>
        <v>5.5276381909547742E-2</v>
      </c>
      <c r="U3532" t="str">
        <f>YEAR('Campaign Data'!$A3532)&amp;"-"&amp;TEXT(MONTH('Campaign Data'!$A3532),"00")</f>
        <v>2026-07</v>
      </c>
    </row>
    <row r="3533" spans="1:21" x14ac:dyDescent="0.25">
      <c r="A3533">
        <v>46215</v>
      </c>
      <c r="B3533" t="s">
        <v>118</v>
      </c>
      <c r="C3533" t="s">
        <v>119</v>
      </c>
      <c r="D3533" t="s">
        <v>69</v>
      </c>
      <c r="E3533" t="s">
        <v>33</v>
      </c>
      <c r="F3533" t="s">
        <v>34</v>
      </c>
      <c r="G3533" t="s">
        <v>35</v>
      </c>
      <c r="H3533" t="s">
        <v>36</v>
      </c>
      <c r="I3533" t="s">
        <v>28</v>
      </c>
      <c r="J3533" t="s">
        <v>45</v>
      </c>
      <c r="K3533">
        <v>1279</v>
      </c>
      <c r="L3533">
        <v>12</v>
      </c>
      <c r="M3533">
        <v>7.05</v>
      </c>
      <c r="N3533">
        <v>0</v>
      </c>
      <c r="O3533">
        <v>0</v>
      </c>
      <c r="P3533">
        <f t="shared" si="220"/>
        <v>9.3823299452697427E-3</v>
      </c>
      <c r="Q3533">
        <f t="shared" si="220"/>
        <v>0.58750000000000002</v>
      </c>
      <c r="R3533">
        <f t="shared" si="221"/>
        <v>0</v>
      </c>
      <c r="S3533">
        <f t="shared" si="222"/>
        <v>0</v>
      </c>
      <c r="T3533">
        <f t="shared" si="223"/>
        <v>0</v>
      </c>
      <c r="U3533" t="str">
        <f>YEAR('Campaign Data'!$A3533)&amp;"-"&amp;TEXT(MONTH('Campaign Data'!$A3533),"00")</f>
        <v>2026-07</v>
      </c>
    </row>
    <row r="3534" spans="1:21" x14ac:dyDescent="0.25">
      <c r="A3534">
        <v>46215</v>
      </c>
      <c r="B3534" t="s">
        <v>122</v>
      </c>
      <c r="C3534" t="s">
        <v>123</v>
      </c>
      <c r="D3534" t="s">
        <v>41</v>
      </c>
      <c r="E3534" t="s">
        <v>33</v>
      </c>
      <c r="F3534" t="s">
        <v>75</v>
      </c>
      <c r="G3534" t="s">
        <v>35</v>
      </c>
      <c r="H3534" t="s">
        <v>55</v>
      </c>
      <c r="I3534" t="s">
        <v>37</v>
      </c>
      <c r="J3534" t="s">
        <v>29</v>
      </c>
      <c r="K3534">
        <v>17705</v>
      </c>
      <c r="L3534">
        <v>143</v>
      </c>
      <c r="M3534">
        <v>54.02</v>
      </c>
      <c r="N3534">
        <v>5</v>
      </c>
      <c r="O3534">
        <v>131.38999999999999</v>
      </c>
      <c r="P3534">
        <f t="shared" si="220"/>
        <v>8.0768144591923177E-3</v>
      </c>
      <c r="Q3534">
        <f t="shared" si="220"/>
        <v>0.37776223776223777</v>
      </c>
      <c r="R3534">
        <f t="shared" si="221"/>
        <v>10.804</v>
      </c>
      <c r="S3534">
        <f t="shared" si="222"/>
        <v>2.4322473158089593</v>
      </c>
      <c r="T3534">
        <f t="shared" si="223"/>
        <v>3.4965034965034968E-2</v>
      </c>
      <c r="U3534" t="str">
        <f>YEAR('Campaign Data'!$A3534)&amp;"-"&amp;TEXT(MONTH('Campaign Data'!$A3534),"00")</f>
        <v>2026-07</v>
      </c>
    </row>
    <row r="3535" spans="1:21" x14ac:dyDescent="0.25">
      <c r="A3535">
        <v>46215</v>
      </c>
      <c r="B3535" t="s">
        <v>82</v>
      </c>
      <c r="C3535" t="s">
        <v>83</v>
      </c>
      <c r="D3535" t="s">
        <v>80</v>
      </c>
      <c r="E3535" t="s">
        <v>42</v>
      </c>
      <c r="F3535" t="s">
        <v>34</v>
      </c>
      <c r="G3535" t="s">
        <v>84</v>
      </c>
      <c r="H3535" t="s">
        <v>27</v>
      </c>
      <c r="I3535" t="s">
        <v>37</v>
      </c>
      <c r="J3535" t="s">
        <v>29</v>
      </c>
      <c r="K3535">
        <v>4487</v>
      </c>
      <c r="L3535">
        <v>17</v>
      </c>
      <c r="M3535">
        <v>149.15</v>
      </c>
      <c r="N3535">
        <v>1</v>
      </c>
      <c r="O3535">
        <v>163.79</v>
      </c>
      <c r="P3535">
        <f t="shared" si="220"/>
        <v>3.7887229774905282E-3</v>
      </c>
      <c r="Q3535">
        <f t="shared" si="220"/>
        <v>8.7735294117647058</v>
      </c>
      <c r="R3535">
        <f t="shared" si="221"/>
        <v>149.15</v>
      </c>
      <c r="S3535">
        <f t="shared" si="222"/>
        <v>1.0981562185719074</v>
      </c>
      <c r="T3535">
        <f t="shared" si="223"/>
        <v>5.8823529411764705E-2</v>
      </c>
      <c r="U3535" t="str">
        <f>YEAR('Campaign Data'!$A3535)&amp;"-"&amp;TEXT(MONTH('Campaign Data'!$A3535),"00")</f>
        <v>2026-07</v>
      </c>
    </row>
    <row r="3536" spans="1:21" x14ac:dyDescent="0.25">
      <c r="A3536">
        <v>46216</v>
      </c>
      <c r="B3536" t="s">
        <v>173</v>
      </c>
      <c r="C3536" t="s">
        <v>174</v>
      </c>
      <c r="D3536" t="s">
        <v>48</v>
      </c>
      <c r="E3536" t="s">
        <v>74</v>
      </c>
      <c r="F3536" t="s">
        <v>25</v>
      </c>
      <c r="G3536" t="s">
        <v>9</v>
      </c>
      <c r="H3536" t="s">
        <v>27</v>
      </c>
      <c r="I3536" t="s">
        <v>28</v>
      </c>
      <c r="J3536" t="s">
        <v>38</v>
      </c>
      <c r="K3536">
        <v>9133</v>
      </c>
      <c r="L3536">
        <v>190</v>
      </c>
      <c r="M3536">
        <v>412.52</v>
      </c>
      <c r="N3536">
        <v>2</v>
      </c>
      <c r="O3536">
        <v>331.03</v>
      </c>
      <c r="P3536">
        <f t="shared" si="220"/>
        <v>2.0803678966385634E-2</v>
      </c>
      <c r="Q3536">
        <f t="shared" si="220"/>
        <v>2.171157894736842</v>
      </c>
      <c r="R3536">
        <f t="shared" si="221"/>
        <v>206.26</v>
      </c>
      <c r="S3536">
        <f t="shared" si="222"/>
        <v>0.80245806263938713</v>
      </c>
      <c r="T3536">
        <f t="shared" si="223"/>
        <v>1.0526315789473684E-2</v>
      </c>
      <c r="U3536" t="str">
        <f>YEAR('Campaign Data'!$A3536)&amp;"-"&amp;TEXT(MONTH('Campaign Data'!$A3536),"00")</f>
        <v>2026-07</v>
      </c>
    </row>
    <row r="3537" spans="1:21" x14ac:dyDescent="0.25">
      <c r="A3537">
        <v>46216</v>
      </c>
      <c r="B3537" t="s">
        <v>21</v>
      </c>
      <c r="C3537" t="s">
        <v>124</v>
      </c>
      <c r="D3537" t="s">
        <v>23</v>
      </c>
      <c r="E3537" t="s">
        <v>24</v>
      </c>
      <c r="F3537" t="s">
        <v>25</v>
      </c>
      <c r="G3537" t="s">
        <v>26</v>
      </c>
      <c r="H3537" t="s">
        <v>60</v>
      </c>
      <c r="I3537" t="s">
        <v>28</v>
      </c>
      <c r="J3537" t="s">
        <v>62</v>
      </c>
      <c r="K3537">
        <v>11614</v>
      </c>
      <c r="L3537">
        <v>162</v>
      </c>
      <c r="M3537">
        <v>128.62</v>
      </c>
      <c r="N3537">
        <v>6</v>
      </c>
      <c r="O3537">
        <v>1209.1600000000001</v>
      </c>
      <c r="P3537">
        <f t="shared" si="220"/>
        <v>1.3948682624418805E-2</v>
      </c>
      <c r="Q3537">
        <f t="shared" si="220"/>
        <v>0.79395061728395067</v>
      </c>
      <c r="R3537">
        <f t="shared" si="221"/>
        <v>21.436666666666667</v>
      </c>
      <c r="S3537">
        <f t="shared" si="222"/>
        <v>9.4010262789612824</v>
      </c>
      <c r="T3537">
        <f t="shared" si="223"/>
        <v>3.7037037037037035E-2</v>
      </c>
      <c r="U3537" t="str">
        <f>YEAR('Campaign Data'!$A3537)&amp;"-"&amp;TEXT(MONTH('Campaign Data'!$A3537),"00")</f>
        <v>2026-07</v>
      </c>
    </row>
    <row r="3538" spans="1:21" x14ac:dyDescent="0.25">
      <c r="A3538">
        <v>46216</v>
      </c>
      <c r="B3538" t="s">
        <v>138</v>
      </c>
      <c r="C3538" t="s">
        <v>139</v>
      </c>
      <c r="D3538" t="s">
        <v>58</v>
      </c>
      <c r="E3538" t="s">
        <v>74</v>
      </c>
      <c r="F3538" t="s">
        <v>34</v>
      </c>
      <c r="G3538" t="s">
        <v>9</v>
      </c>
      <c r="H3538" t="s">
        <v>55</v>
      </c>
      <c r="I3538" t="s">
        <v>37</v>
      </c>
      <c r="J3538" t="s">
        <v>38</v>
      </c>
      <c r="K3538">
        <v>3035</v>
      </c>
      <c r="L3538">
        <v>123</v>
      </c>
      <c r="M3538">
        <v>161.11000000000001</v>
      </c>
      <c r="N3538">
        <v>8</v>
      </c>
      <c r="O3538">
        <v>1298.82</v>
      </c>
      <c r="P3538">
        <f t="shared" si="220"/>
        <v>4.0527182866556835E-2</v>
      </c>
      <c r="Q3538">
        <f t="shared" si="220"/>
        <v>1.3098373983739839</v>
      </c>
      <c r="R3538">
        <f t="shared" si="221"/>
        <v>20.138750000000002</v>
      </c>
      <c r="S3538">
        <f t="shared" si="222"/>
        <v>8.0616969772205316</v>
      </c>
      <c r="T3538">
        <f t="shared" si="223"/>
        <v>6.5040650406504072E-2</v>
      </c>
      <c r="U3538" t="str">
        <f>YEAR('Campaign Data'!$A3538)&amp;"-"&amp;TEXT(MONTH('Campaign Data'!$A3538),"00")</f>
        <v>2026-07</v>
      </c>
    </row>
    <row r="3539" spans="1:21" x14ac:dyDescent="0.25">
      <c r="A3539">
        <v>46216</v>
      </c>
      <c r="B3539" t="s">
        <v>93</v>
      </c>
      <c r="C3539" t="s">
        <v>94</v>
      </c>
      <c r="D3539" t="s">
        <v>69</v>
      </c>
      <c r="E3539" t="s">
        <v>42</v>
      </c>
      <c r="F3539" t="s">
        <v>75</v>
      </c>
      <c r="G3539" t="s">
        <v>44</v>
      </c>
      <c r="H3539" t="s">
        <v>36</v>
      </c>
      <c r="I3539" t="s">
        <v>37</v>
      </c>
      <c r="J3539" t="s">
        <v>38</v>
      </c>
      <c r="K3539">
        <v>7622</v>
      </c>
      <c r="L3539">
        <v>63</v>
      </c>
      <c r="M3539">
        <v>259.24</v>
      </c>
      <c r="N3539">
        <v>2</v>
      </c>
      <c r="O3539">
        <v>79.900000000000006</v>
      </c>
      <c r="P3539">
        <f t="shared" si="220"/>
        <v>8.2655471004985572E-3</v>
      </c>
      <c r="Q3539">
        <f t="shared" si="220"/>
        <v>4.1149206349206349</v>
      </c>
      <c r="R3539">
        <f t="shared" si="221"/>
        <v>129.62</v>
      </c>
      <c r="S3539">
        <f t="shared" si="222"/>
        <v>0.30820860978244097</v>
      </c>
      <c r="T3539">
        <f t="shared" si="223"/>
        <v>3.1746031746031744E-2</v>
      </c>
      <c r="U3539" t="str">
        <f>YEAR('Campaign Data'!$A3539)&amp;"-"&amp;TEXT(MONTH('Campaign Data'!$A3539),"00")</f>
        <v>2026-07</v>
      </c>
    </row>
    <row r="3540" spans="1:21" x14ac:dyDescent="0.25">
      <c r="A3540">
        <v>46216</v>
      </c>
      <c r="B3540" t="s">
        <v>95</v>
      </c>
      <c r="C3540" t="s">
        <v>96</v>
      </c>
      <c r="D3540" t="s">
        <v>23</v>
      </c>
      <c r="E3540" t="s">
        <v>49</v>
      </c>
      <c r="F3540" t="s">
        <v>43</v>
      </c>
      <c r="G3540" t="s">
        <v>97</v>
      </c>
      <c r="H3540" t="s">
        <v>60</v>
      </c>
      <c r="I3540" t="s">
        <v>28</v>
      </c>
      <c r="J3540" t="s">
        <v>62</v>
      </c>
      <c r="K3540">
        <v>6116</v>
      </c>
      <c r="L3540">
        <v>257</v>
      </c>
      <c r="M3540">
        <v>365.87</v>
      </c>
      <c r="N3540">
        <v>18</v>
      </c>
      <c r="O3540">
        <v>577.16999999999996</v>
      </c>
      <c r="P3540">
        <f t="shared" si="220"/>
        <v>4.2020928711576193E-2</v>
      </c>
      <c r="Q3540">
        <f t="shared" si="220"/>
        <v>1.4236186770428017</v>
      </c>
      <c r="R3540">
        <f t="shared" si="221"/>
        <v>20.326111111111111</v>
      </c>
      <c r="S3540">
        <f t="shared" si="222"/>
        <v>1.5775275371033426</v>
      </c>
      <c r="T3540">
        <f t="shared" si="223"/>
        <v>7.0038910505836577E-2</v>
      </c>
      <c r="U3540" t="str">
        <f>YEAR('Campaign Data'!$A3540)&amp;"-"&amp;TEXT(MONTH('Campaign Data'!$A3540),"00")</f>
        <v>2026-07</v>
      </c>
    </row>
    <row r="3541" spans="1:21" x14ac:dyDescent="0.25">
      <c r="A3541">
        <v>46216</v>
      </c>
      <c r="B3541" t="s">
        <v>46</v>
      </c>
      <c r="C3541" t="s">
        <v>47</v>
      </c>
      <c r="D3541" t="s">
        <v>48</v>
      </c>
      <c r="E3541" t="s">
        <v>49</v>
      </c>
      <c r="F3541" t="s">
        <v>43</v>
      </c>
      <c r="G3541" t="s">
        <v>50</v>
      </c>
      <c r="H3541" t="s">
        <v>55</v>
      </c>
      <c r="I3541" t="s">
        <v>37</v>
      </c>
      <c r="J3541" t="s">
        <v>87</v>
      </c>
      <c r="K3541">
        <v>8201</v>
      </c>
      <c r="L3541">
        <v>262</v>
      </c>
      <c r="M3541">
        <v>461.69</v>
      </c>
      <c r="N3541">
        <v>11</v>
      </c>
      <c r="O3541">
        <v>286.17</v>
      </c>
      <c r="P3541">
        <f t="shared" si="220"/>
        <v>3.1947323497134493E-2</v>
      </c>
      <c r="Q3541">
        <f t="shared" si="220"/>
        <v>1.762175572519084</v>
      </c>
      <c r="R3541">
        <f t="shared" si="221"/>
        <v>41.971818181818179</v>
      </c>
      <c r="S3541">
        <f t="shared" si="222"/>
        <v>0.61983148866122295</v>
      </c>
      <c r="T3541">
        <f t="shared" si="223"/>
        <v>4.1984732824427481E-2</v>
      </c>
      <c r="U3541" t="str">
        <f>YEAR('Campaign Data'!$A3541)&amp;"-"&amp;TEXT(MONTH('Campaign Data'!$A3541),"00")</f>
        <v>2026-07</v>
      </c>
    </row>
    <row r="3542" spans="1:21" x14ac:dyDescent="0.25">
      <c r="A3542">
        <v>46216</v>
      </c>
      <c r="B3542" t="s">
        <v>169</v>
      </c>
      <c r="C3542" t="s">
        <v>170</v>
      </c>
      <c r="D3542" t="s">
        <v>58</v>
      </c>
      <c r="E3542" t="s">
        <v>74</v>
      </c>
      <c r="F3542" t="s">
        <v>75</v>
      </c>
      <c r="G3542" t="s">
        <v>9</v>
      </c>
      <c r="H3542" t="s">
        <v>90</v>
      </c>
      <c r="I3542" t="s">
        <v>37</v>
      </c>
      <c r="J3542" t="s">
        <v>38</v>
      </c>
      <c r="K3542">
        <v>11130</v>
      </c>
      <c r="L3542">
        <v>267</v>
      </c>
      <c r="M3542">
        <v>117.65</v>
      </c>
      <c r="N3542">
        <v>12</v>
      </c>
      <c r="O3542">
        <v>105.24</v>
      </c>
      <c r="P3542">
        <f t="shared" si="220"/>
        <v>2.3989218328840971E-2</v>
      </c>
      <c r="Q3542">
        <f t="shared" si="220"/>
        <v>0.44063670411985023</v>
      </c>
      <c r="R3542">
        <f t="shared" si="221"/>
        <v>9.8041666666666671</v>
      </c>
      <c r="S3542">
        <f t="shared" si="222"/>
        <v>0.89451763705907339</v>
      </c>
      <c r="T3542">
        <f t="shared" si="223"/>
        <v>4.49438202247191E-2</v>
      </c>
      <c r="U3542" t="str">
        <f>YEAR('Campaign Data'!$A3542)&amp;"-"&amp;TEXT(MONTH('Campaign Data'!$A3542),"00")</f>
        <v>2026-07</v>
      </c>
    </row>
    <row r="3543" spans="1:21" x14ac:dyDescent="0.25">
      <c r="A3543">
        <v>46216</v>
      </c>
      <c r="B3543" t="s">
        <v>169</v>
      </c>
      <c r="C3543" t="s">
        <v>170</v>
      </c>
      <c r="D3543" t="s">
        <v>58</v>
      </c>
      <c r="E3543" t="s">
        <v>74</v>
      </c>
      <c r="F3543" t="s">
        <v>75</v>
      </c>
      <c r="G3543" t="s">
        <v>9</v>
      </c>
      <c r="H3543" t="s">
        <v>71</v>
      </c>
      <c r="I3543" t="s">
        <v>28</v>
      </c>
      <c r="J3543" t="s">
        <v>62</v>
      </c>
      <c r="K3543">
        <v>5550</v>
      </c>
      <c r="L3543">
        <v>182</v>
      </c>
      <c r="M3543">
        <v>181.51</v>
      </c>
      <c r="N3543">
        <v>10</v>
      </c>
      <c r="O3543">
        <v>300.94</v>
      </c>
      <c r="P3543">
        <f t="shared" si="220"/>
        <v>3.2792792792792791E-2</v>
      </c>
      <c r="Q3543">
        <f t="shared" si="220"/>
        <v>0.99730769230769223</v>
      </c>
      <c r="R3543">
        <f t="shared" si="221"/>
        <v>18.151</v>
      </c>
      <c r="S3543">
        <f t="shared" si="222"/>
        <v>1.6579802765687841</v>
      </c>
      <c r="T3543">
        <f t="shared" si="223"/>
        <v>5.4945054945054944E-2</v>
      </c>
      <c r="U3543" t="str">
        <f>YEAR('Campaign Data'!$A3543)&amp;"-"&amp;TEXT(MONTH('Campaign Data'!$A3543),"00")</f>
        <v>2026-07</v>
      </c>
    </row>
    <row r="3544" spans="1:21" x14ac:dyDescent="0.25">
      <c r="A3544">
        <v>46216</v>
      </c>
      <c r="B3544" t="s">
        <v>103</v>
      </c>
      <c r="C3544" t="s">
        <v>104</v>
      </c>
      <c r="D3544" t="s">
        <v>65</v>
      </c>
      <c r="E3544" t="s">
        <v>33</v>
      </c>
      <c r="F3544" t="s">
        <v>43</v>
      </c>
      <c r="G3544" t="s">
        <v>102</v>
      </c>
      <c r="H3544" t="s">
        <v>90</v>
      </c>
      <c r="I3544" t="s">
        <v>28</v>
      </c>
      <c r="J3544" t="s">
        <v>45</v>
      </c>
      <c r="K3544">
        <v>3230</v>
      </c>
      <c r="L3544">
        <v>22</v>
      </c>
      <c r="M3544">
        <v>3.51</v>
      </c>
      <c r="N3544">
        <v>0</v>
      </c>
      <c r="O3544">
        <v>0</v>
      </c>
      <c r="P3544">
        <f t="shared" si="220"/>
        <v>6.8111455108359137E-3</v>
      </c>
      <c r="Q3544">
        <f t="shared" si="220"/>
        <v>0.15954545454545455</v>
      </c>
      <c r="R3544">
        <f t="shared" si="221"/>
        <v>0</v>
      </c>
      <c r="S3544">
        <f t="shared" si="222"/>
        <v>0</v>
      </c>
      <c r="T3544">
        <f t="shared" si="223"/>
        <v>0</v>
      </c>
      <c r="U3544" t="str">
        <f>YEAR('Campaign Data'!$A3544)&amp;"-"&amp;TEXT(MONTH('Campaign Data'!$A3544),"00")</f>
        <v>2026-07</v>
      </c>
    </row>
    <row r="3545" spans="1:21" x14ac:dyDescent="0.25">
      <c r="A3545">
        <v>46216</v>
      </c>
      <c r="B3545" t="s">
        <v>108</v>
      </c>
      <c r="C3545" t="s">
        <v>109</v>
      </c>
      <c r="D3545" t="s">
        <v>58</v>
      </c>
      <c r="E3545" t="s">
        <v>33</v>
      </c>
      <c r="F3545" t="s">
        <v>43</v>
      </c>
      <c r="G3545" t="s">
        <v>59</v>
      </c>
      <c r="H3545" t="s">
        <v>27</v>
      </c>
      <c r="I3545" t="s">
        <v>37</v>
      </c>
      <c r="J3545" t="s">
        <v>45</v>
      </c>
      <c r="K3545">
        <v>23375</v>
      </c>
      <c r="L3545">
        <v>219</v>
      </c>
      <c r="M3545">
        <v>188.2</v>
      </c>
      <c r="N3545">
        <v>6</v>
      </c>
      <c r="O3545">
        <v>199.44</v>
      </c>
      <c r="P3545">
        <f t="shared" si="220"/>
        <v>9.3689839572192509E-3</v>
      </c>
      <c r="Q3545">
        <f t="shared" si="220"/>
        <v>0.85936073059360729</v>
      </c>
      <c r="R3545">
        <f t="shared" si="221"/>
        <v>31.366666666666664</v>
      </c>
      <c r="S3545">
        <f t="shared" si="222"/>
        <v>1.0597236981934113</v>
      </c>
      <c r="T3545">
        <f t="shared" si="223"/>
        <v>2.7397260273972601E-2</v>
      </c>
      <c r="U3545" t="str">
        <f>YEAR('Campaign Data'!$A3545)&amp;"-"&amp;TEXT(MONTH('Campaign Data'!$A3545),"00")</f>
        <v>2026-07</v>
      </c>
    </row>
    <row r="3546" spans="1:21" x14ac:dyDescent="0.25">
      <c r="A3546">
        <v>46216</v>
      </c>
      <c r="B3546" t="s">
        <v>140</v>
      </c>
      <c r="C3546" t="s">
        <v>40</v>
      </c>
      <c r="D3546" t="s">
        <v>41</v>
      </c>
      <c r="E3546" t="s">
        <v>42</v>
      </c>
      <c r="F3546" t="s">
        <v>43</v>
      </c>
      <c r="G3546" t="s">
        <v>44</v>
      </c>
      <c r="H3546" t="s">
        <v>51</v>
      </c>
      <c r="I3546" t="s">
        <v>37</v>
      </c>
      <c r="J3546" t="s">
        <v>45</v>
      </c>
      <c r="K3546">
        <v>13885</v>
      </c>
      <c r="L3546">
        <v>72</v>
      </c>
      <c r="M3546">
        <v>351.69</v>
      </c>
      <c r="N3546">
        <v>2</v>
      </c>
      <c r="O3546">
        <v>65.67</v>
      </c>
      <c r="P3546">
        <f t="shared" si="220"/>
        <v>5.1854519265394309E-3</v>
      </c>
      <c r="Q3546">
        <f t="shared" si="220"/>
        <v>4.8845833333333335</v>
      </c>
      <c r="R3546">
        <f t="shared" si="221"/>
        <v>175.845</v>
      </c>
      <c r="S3546">
        <f t="shared" si="222"/>
        <v>0.18672694702721146</v>
      </c>
      <c r="T3546">
        <f t="shared" si="223"/>
        <v>2.7777777777777776E-2</v>
      </c>
      <c r="U3546" t="str">
        <f>YEAR('Campaign Data'!$A3546)&amp;"-"&amp;TEXT(MONTH('Campaign Data'!$A3546),"00")</f>
        <v>2026-07</v>
      </c>
    </row>
    <row r="3547" spans="1:21" x14ac:dyDescent="0.25">
      <c r="A3547">
        <v>46216</v>
      </c>
      <c r="B3547" t="s">
        <v>140</v>
      </c>
      <c r="C3547" t="s">
        <v>40</v>
      </c>
      <c r="D3547" t="s">
        <v>41</v>
      </c>
      <c r="E3547" t="s">
        <v>42</v>
      </c>
      <c r="F3547" t="s">
        <v>43</v>
      </c>
      <c r="G3547" t="s">
        <v>44</v>
      </c>
      <c r="H3547" t="s">
        <v>90</v>
      </c>
      <c r="I3547" t="s">
        <v>37</v>
      </c>
      <c r="J3547" t="s">
        <v>29</v>
      </c>
      <c r="K3547">
        <v>6802</v>
      </c>
      <c r="L3547">
        <v>41</v>
      </c>
      <c r="M3547">
        <v>54.76</v>
      </c>
      <c r="N3547">
        <v>1</v>
      </c>
      <c r="O3547">
        <v>5</v>
      </c>
      <c r="P3547">
        <f t="shared" si="220"/>
        <v>6.027638929726551E-3</v>
      </c>
      <c r="Q3547">
        <f t="shared" si="220"/>
        <v>1.3356097560975608</v>
      </c>
      <c r="R3547">
        <f t="shared" si="221"/>
        <v>54.76</v>
      </c>
      <c r="S3547">
        <f t="shared" si="222"/>
        <v>9.1307523739956181E-2</v>
      </c>
      <c r="T3547">
        <f t="shared" si="223"/>
        <v>2.4390243902439025E-2</v>
      </c>
      <c r="U3547" t="str">
        <f>YEAR('Campaign Data'!$A3547)&amp;"-"&amp;TEXT(MONTH('Campaign Data'!$A3547),"00")</f>
        <v>2026-07</v>
      </c>
    </row>
    <row r="3548" spans="1:21" x14ac:dyDescent="0.25">
      <c r="A3548">
        <v>46216</v>
      </c>
      <c r="B3548" t="s">
        <v>161</v>
      </c>
      <c r="C3548" t="s">
        <v>162</v>
      </c>
      <c r="D3548" t="s">
        <v>48</v>
      </c>
      <c r="E3548" t="s">
        <v>74</v>
      </c>
      <c r="F3548" t="s">
        <v>34</v>
      </c>
      <c r="G3548" t="s">
        <v>107</v>
      </c>
      <c r="H3548" t="s">
        <v>27</v>
      </c>
      <c r="I3548" t="s">
        <v>28</v>
      </c>
      <c r="J3548" t="s">
        <v>62</v>
      </c>
      <c r="K3548">
        <v>4606</v>
      </c>
      <c r="L3548">
        <v>182</v>
      </c>
      <c r="M3548">
        <v>381.82</v>
      </c>
      <c r="N3548">
        <v>9</v>
      </c>
      <c r="O3548">
        <v>1489.08</v>
      </c>
      <c r="P3548">
        <f t="shared" si="220"/>
        <v>3.9513677811550151E-2</v>
      </c>
      <c r="Q3548">
        <f t="shared" si="220"/>
        <v>2.0979120879120878</v>
      </c>
      <c r="R3548">
        <f t="shared" si="221"/>
        <v>42.424444444444447</v>
      </c>
      <c r="S3548">
        <f t="shared" si="222"/>
        <v>3.8999528573673459</v>
      </c>
      <c r="T3548">
        <f t="shared" si="223"/>
        <v>4.9450549450549448E-2</v>
      </c>
      <c r="U3548" t="str">
        <f>YEAR('Campaign Data'!$A3548)&amp;"-"&amp;TEXT(MONTH('Campaign Data'!$A3548),"00")</f>
        <v>2026-07</v>
      </c>
    </row>
    <row r="3549" spans="1:21" x14ac:dyDescent="0.25">
      <c r="A3549">
        <v>46216</v>
      </c>
      <c r="B3549" t="s">
        <v>141</v>
      </c>
      <c r="C3549" t="s">
        <v>142</v>
      </c>
      <c r="D3549" t="s">
        <v>80</v>
      </c>
      <c r="E3549" t="s">
        <v>49</v>
      </c>
      <c r="F3549" t="s">
        <v>81</v>
      </c>
      <c r="G3549" t="s">
        <v>97</v>
      </c>
      <c r="H3549" t="s">
        <v>90</v>
      </c>
      <c r="I3549" t="s">
        <v>37</v>
      </c>
      <c r="J3549" t="s">
        <v>38</v>
      </c>
      <c r="K3549">
        <v>12776</v>
      </c>
      <c r="L3549">
        <v>454</v>
      </c>
      <c r="M3549">
        <v>223.72</v>
      </c>
      <c r="N3549">
        <v>22</v>
      </c>
      <c r="O3549">
        <v>181.55</v>
      </c>
      <c r="P3549">
        <f t="shared" si="220"/>
        <v>3.5535378835316218E-2</v>
      </c>
      <c r="Q3549">
        <f t="shared" si="220"/>
        <v>0.49277533039647575</v>
      </c>
      <c r="R3549">
        <f t="shared" si="221"/>
        <v>10.16909090909091</v>
      </c>
      <c r="S3549">
        <f t="shared" si="222"/>
        <v>0.81150545324512791</v>
      </c>
      <c r="T3549">
        <f t="shared" si="223"/>
        <v>4.8458149779735685E-2</v>
      </c>
      <c r="U3549" t="str">
        <f>YEAR('Campaign Data'!$A3549)&amp;"-"&amp;TEXT(MONTH('Campaign Data'!$A3549),"00")</f>
        <v>2026-07</v>
      </c>
    </row>
    <row r="3550" spans="1:21" x14ac:dyDescent="0.25">
      <c r="A3550">
        <v>46216</v>
      </c>
      <c r="B3550" t="s">
        <v>141</v>
      </c>
      <c r="C3550" t="s">
        <v>142</v>
      </c>
      <c r="D3550" t="s">
        <v>80</v>
      </c>
      <c r="E3550" t="s">
        <v>49</v>
      </c>
      <c r="F3550" t="s">
        <v>81</v>
      </c>
      <c r="G3550" t="s">
        <v>97</v>
      </c>
      <c r="H3550" t="s">
        <v>51</v>
      </c>
      <c r="I3550" t="s">
        <v>37</v>
      </c>
      <c r="J3550" t="s">
        <v>29</v>
      </c>
      <c r="K3550">
        <v>5705</v>
      </c>
      <c r="L3550">
        <v>223</v>
      </c>
      <c r="M3550">
        <v>571.55999999999995</v>
      </c>
      <c r="N3550">
        <v>14</v>
      </c>
      <c r="O3550">
        <v>223.73</v>
      </c>
      <c r="P3550">
        <f t="shared" si="220"/>
        <v>3.9088518843120069E-2</v>
      </c>
      <c r="Q3550">
        <f t="shared" si="220"/>
        <v>2.5630493273542601</v>
      </c>
      <c r="R3550">
        <f t="shared" si="221"/>
        <v>40.825714285714284</v>
      </c>
      <c r="S3550">
        <f t="shared" si="222"/>
        <v>0.39143746938204216</v>
      </c>
      <c r="T3550">
        <f t="shared" si="223"/>
        <v>6.2780269058295965E-2</v>
      </c>
      <c r="U3550" t="str">
        <f>YEAR('Campaign Data'!$A3550)&amp;"-"&amp;TEXT(MONTH('Campaign Data'!$A3550),"00")</f>
        <v>2026-07</v>
      </c>
    </row>
    <row r="3551" spans="1:21" x14ac:dyDescent="0.25">
      <c r="A3551">
        <v>46216</v>
      </c>
      <c r="B3551" t="s">
        <v>183</v>
      </c>
      <c r="C3551" t="s">
        <v>184</v>
      </c>
      <c r="D3551" t="s">
        <v>23</v>
      </c>
      <c r="E3551" t="s">
        <v>24</v>
      </c>
      <c r="F3551" t="s">
        <v>81</v>
      </c>
      <c r="G3551" t="s">
        <v>185</v>
      </c>
      <c r="H3551" t="s">
        <v>27</v>
      </c>
      <c r="I3551" t="s">
        <v>28</v>
      </c>
      <c r="J3551" t="s">
        <v>38</v>
      </c>
      <c r="K3551">
        <v>5598</v>
      </c>
      <c r="L3551">
        <v>87</v>
      </c>
      <c r="M3551">
        <v>101.58</v>
      </c>
      <c r="N3551">
        <v>2</v>
      </c>
      <c r="O3551">
        <v>58.63</v>
      </c>
      <c r="P3551">
        <f t="shared" si="220"/>
        <v>1.5541264737406217E-2</v>
      </c>
      <c r="Q3551">
        <f t="shared" si="220"/>
        <v>1.1675862068965517</v>
      </c>
      <c r="R3551">
        <f t="shared" si="221"/>
        <v>50.79</v>
      </c>
      <c r="S3551">
        <f t="shared" si="222"/>
        <v>0.57718054735184099</v>
      </c>
      <c r="T3551">
        <f t="shared" si="223"/>
        <v>2.2988505747126436E-2</v>
      </c>
      <c r="U3551" t="str">
        <f>YEAR('Campaign Data'!$A3551)&amp;"-"&amp;TEXT(MONTH('Campaign Data'!$A3551),"00")</f>
        <v>2026-07</v>
      </c>
    </row>
    <row r="3552" spans="1:21" x14ac:dyDescent="0.25">
      <c r="A3552">
        <v>46216</v>
      </c>
      <c r="B3552" t="s">
        <v>118</v>
      </c>
      <c r="C3552" t="s">
        <v>119</v>
      </c>
      <c r="D3552" t="s">
        <v>69</v>
      </c>
      <c r="E3552" t="s">
        <v>33</v>
      </c>
      <c r="F3552" t="s">
        <v>34</v>
      </c>
      <c r="G3552" t="s">
        <v>35</v>
      </c>
      <c r="H3552" t="s">
        <v>90</v>
      </c>
      <c r="I3552" t="s">
        <v>61</v>
      </c>
      <c r="J3552" t="s">
        <v>62</v>
      </c>
      <c r="K3552">
        <v>3507</v>
      </c>
      <c r="L3552">
        <v>50</v>
      </c>
      <c r="M3552">
        <v>6.1</v>
      </c>
      <c r="N3552">
        <v>0</v>
      </c>
      <c r="O3552">
        <v>0</v>
      </c>
      <c r="P3552">
        <f t="shared" si="220"/>
        <v>1.4257199885942401E-2</v>
      </c>
      <c r="Q3552">
        <f t="shared" si="220"/>
        <v>0.122</v>
      </c>
      <c r="R3552">
        <f t="shared" si="221"/>
        <v>0</v>
      </c>
      <c r="S3552">
        <f t="shared" si="222"/>
        <v>0</v>
      </c>
      <c r="T3552">
        <f t="shared" si="223"/>
        <v>0</v>
      </c>
      <c r="U3552" t="str">
        <f>YEAR('Campaign Data'!$A3552)&amp;"-"&amp;TEXT(MONTH('Campaign Data'!$A3552),"00")</f>
        <v>2026-07</v>
      </c>
    </row>
    <row r="3553" spans="1:21" x14ac:dyDescent="0.25">
      <c r="A3553">
        <v>46216</v>
      </c>
      <c r="B3553" t="s">
        <v>163</v>
      </c>
      <c r="C3553" t="s">
        <v>164</v>
      </c>
      <c r="D3553" t="s">
        <v>58</v>
      </c>
      <c r="E3553" t="s">
        <v>42</v>
      </c>
      <c r="F3553" t="s">
        <v>43</v>
      </c>
      <c r="G3553" t="s">
        <v>44</v>
      </c>
      <c r="H3553" t="s">
        <v>71</v>
      </c>
      <c r="I3553" t="s">
        <v>37</v>
      </c>
      <c r="J3553" t="s">
        <v>29</v>
      </c>
      <c r="K3553">
        <v>11946</v>
      </c>
      <c r="L3553">
        <v>82</v>
      </c>
      <c r="M3553">
        <v>454.44</v>
      </c>
      <c r="N3553">
        <v>2</v>
      </c>
      <c r="O3553">
        <v>35.270000000000003</v>
      </c>
      <c r="P3553">
        <f t="shared" si="220"/>
        <v>6.8642223338355934E-3</v>
      </c>
      <c r="Q3553">
        <f t="shared" si="220"/>
        <v>5.5419512195121952</v>
      </c>
      <c r="R3553">
        <f t="shared" si="221"/>
        <v>227.22</v>
      </c>
      <c r="S3553">
        <f t="shared" si="222"/>
        <v>7.7612005985388616E-2</v>
      </c>
      <c r="T3553">
        <f t="shared" si="223"/>
        <v>2.4390243902439025E-2</v>
      </c>
      <c r="U3553" t="str">
        <f>YEAR('Campaign Data'!$A3553)&amp;"-"&amp;TEXT(MONTH('Campaign Data'!$A3553),"00")</f>
        <v>2026-07</v>
      </c>
    </row>
    <row r="3554" spans="1:21" x14ac:dyDescent="0.25">
      <c r="A3554">
        <v>46216</v>
      </c>
      <c r="B3554" t="s">
        <v>76</v>
      </c>
      <c r="C3554" t="s">
        <v>77</v>
      </c>
      <c r="D3554" t="s">
        <v>65</v>
      </c>
      <c r="E3554" t="s">
        <v>42</v>
      </c>
      <c r="F3554" t="s">
        <v>43</v>
      </c>
      <c r="G3554" t="s">
        <v>44</v>
      </c>
      <c r="H3554" t="s">
        <v>90</v>
      </c>
      <c r="I3554" t="s">
        <v>28</v>
      </c>
      <c r="J3554" t="s">
        <v>38</v>
      </c>
      <c r="K3554">
        <v>8644</v>
      </c>
      <c r="L3554">
        <v>27</v>
      </c>
      <c r="M3554">
        <v>53.13</v>
      </c>
      <c r="N3554">
        <v>1</v>
      </c>
      <c r="O3554">
        <v>5</v>
      </c>
      <c r="P3554">
        <f t="shared" si="220"/>
        <v>3.1235539102267467E-3</v>
      </c>
      <c r="Q3554">
        <f t="shared" si="220"/>
        <v>1.9677777777777778</v>
      </c>
      <c r="R3554">
        <f t="shared" si="221"/>
        <v>53.13</v>
      </c>
      <c r="S3554">
        <f t="shared" si="222"/>
        <v>9.4108789760963665E-2</v>
      </c>
      <c r="T3554">
        <f t="shared" si="223"/>
        <v>3.7037037037037035E-2</v>
      </c>
      <c r="U3554" t="str">
        <f>YEAR('Campaign Data'!$A3554)&amp;"-"&amp;TEXT(MONTH('Campaign Data'!$A3554),"00")</f>
        <v>2026-07</v>
      </c>
    </row>
    <row r="3555" spans="1:21" x14ac:dyDescent="0.25">
      <c r="A3555">
        <v>46216</v>
      </c>
      <c r="B3555" t="s">
        <v>122</v>
      </c>
      <c r="C3555" t="s">
        <v>123</v>
      </c>
      <c r="D3555" t="s">
        <v>41</v>
      </c>
      <c r="E3555" t="s">
        <v>33</v>
      </c>
      <c r="F3555" t="s">
        <v>75</v>
      </c>
      <c r="G3555" t="s">
        <v>35</v>
      </c>
      <c r="H3555" t="s">
        <v>36</v>
      </c>
      <c r="I3555" t="s">
        <v>37</v>
      </c>
      <c r="J3555" t="s">
        <v>45</v>
      </c>
      <c r="K3555">
        <v>3813</v>
      </c>
      <c r="L3555">
        <v>45</v>
      </c>
      <c r="M3555">
        <v>24.04</v>
      </c>
      <c r="N3555">
        <v>0</v>
      </c>
      <c r="O3555">
        <v>0</v>
      </c>
      <c r="P3555">
        <f t="shared" si="220"/>
        <v>1.1801730920535013E-2</v>
      </c>
      <c r="Q3555">
        <f t="shared" si="220"/>
        <v>0.53422222222222215</v>
      </c>
      <c r="R3555">
        <f t="shared" si="221"/>
        <v>0</v>
      </c>
      <c r="S3555">
        <f t="shared" si="222"/>
        <v>0</v>
      </c>
      <c r="T3555">
        <f t="shared" si="223"/>
        <v>0</v>
      </c>
      <c r="U3555" t="str">
        <f>YEAR('Campaign Data'!$A3555)&amp;"-"&amp;TEXT(MONTH('Campaign Data'!$A3555),"00")</f>
        <v>2026-07</v>
      </c>
    </row>
    <row r="3556" spans="1:21" x14ac:dyDescent="0.25">
      <c r="A3556">
        <v>46217</v>
      </c>
      <c r="B3556" t="s">
        <v>138</v>
      </c>
      <c r="C3556" t="s">
        <v>139</v>
      </c>
      <c r="D3556" t="s">
        <v>58</v>
      </c>
      <c r="E3556" t="s">
        <v>74</v>
      </c>
      <c r="F3556" t="s">
        <v>34</v>
      </c>
      <c r="G3556" t="s">
        <v>9</v>
      </c>
      <c r="H3556" t="s">
        <v>55</v>
      </c>
      <c r="I3556" t="s">
        <v>28</v>
      </c>
      <c r="J3556" t="s">
        <v>38</v>
      </c>
      <c r="K3556">
        <v>19237</v>
      </c>
      <c r="L3556">
        <v>461</v>
      </c>
      <c r="M3556">
        <v>593.70000000000005</v>
      </c>
      <c r="N3556">
        <v>19</v>
      </c>
      <c r="O3556">
        <v>2312.2800000000002</v>
      </c>
      <c r="P3556">
        <f t="shared" si="220"/>
        <v>2.3964235587669594E-2</v>
      </c>
      <c r="Q3556">
        <f t="shared" si="220"/>
        <v>1.2878524945770067</v>
      </c>
      <c r="R3556">
        <f t="shared" si="221"/>
        <v>31.247368421052634</v>
      </c>
      <c r="S3556">
        <f t="shared" si="222"/>
        <v>3.8946942900454777</v>
      </c>
      <c r="T3556">
        <f t="shared" si="223"/>
        <v>4.1214750542299353E-2</v>
      </c>
      <c r="U3556" t="str">
        <f>YEAR('Campaign Data'!$A3556)&amp;"-"&amp;TEXT(MONTH('Campaign Data'!$A3556),"00")</f>
        <v>2026-07</v>
      </c>
    </row>
    <row r="3557" spans="1:21" x14ac:dyDescent="0.25">
      <c r="A3557">
        <v>46217</v>
      </c>
      <c r="B3557" t="s">
        <v>91</v>
      </c>
      <c r="C3557" t="s">
        <v>92</v>
      </c>
      <c r="D3557" t="s">
        <v>41</v>
      </c>
      <c r="E3557" t="s">
        <v>74</v>
      </c>
      <c r="F3557" t="s">
        <v>75</v>
      </c>
      <c r="G3557" t="s">
        <v>9</v>
      </c>
      <c r="H3557" t="s">
        <v>36</v>
      </c>
      <c r="I3557" t="s">
        <v>37</v>
      </c>
      <c r="J3557" t="s">
        <v>87</v>
      </c>
      <c r="K3557">
        <v>5166</v>
      </c>
      <c r="L3557">
        <v>169</v>
      </c>
      <c r="M3557">
        <v>240.93</v>
      </c>
      <c r="N3557">
        <v>9</v>
      </c>
      <c r="O3557">
        <v>597.84</v>
      </c>
      <c r="P3557">
        <f t="shared" si="220"/>
        <v>3.2713898567557104E-2</v>
      </c>
      <c r="Q3557">
        <f t="shared" si="220"/>
        <v>1.425621301775148</v>
      </c>
      <c r="R3557">
        <f t="shared" si="221"/>
        <v>26.77</v>
      </c>
      <c r="S3557">
        <f t="shared" si="222"/>
        <v>2.4813846345411532</v>
      </c>
      <c r="T3557">
        <f t="shared" si="223"/>
        <v>5.3254437869822487E-2</v>
      </c>
      <c r="U3557" t="str">
        <f>YEAR('Campaign Data'!$A3557)&amp;"-"&amp;TEXT(MONTH('Campaign Data'!$A3557),"00")</f>
        <v>2026-07</v>
      </c>
    </row>
    <row r="3558" spans="1:21" x14ac:dyDescent="0.25">
      <c r="A3558">
        <v>46217</v>
      </c>
      <c r="B3558" t="s">
        <v>95</v>
      </c>
      <c r="C3558" t="s">
        <v>96</v>
      </c>
      <c r="D3558" t="s">
        <v>23</v>
      </c>
      <c r="E3558" t="s">
        <v>49</v>
      </c>
      <c r="F3558" t="s">
        <v>43</v>
      </c>
      <c r="G3558" t="s">
        <v>97</v>
      </c>
      <c r="H3558" t="s">
        <v>51</v>
      </c>
      <c r="I3558" t="s">
        <v>28</v>
      </c>
      <c r="J3558" t="s">
        <v>45</v>
      </c>
      <c r="K3558">
        <v>5299</v>
      </c>
      <c r="L3558">
        <v>183</v>
      </c>
      <c r="M3558">
        <v>367.33</v>
      </c>
      <c r="N3558">
        <v>6</v>
      </c>
      <c r="O3558">
        <v>117</v>
      </c>
      <c r="P3558">
        <f t="shared" si="220"/>
        <v>3.4534817890167956E-2</v>
      </c>
      <c r="Q3558">
        <f t="shared" si="220"/>
        <v>2.0072677595628416</v>
      </c>
      <c r="R3558">
        <f t="shared" si="221"/>
        <v>61.221666666666664</v>
      </c>
      <c r="S3558">
        <f t="shared" si="222"/>
        <v>0.31851468706612585</v>
      </c>
      <c r="T3558">
        <f t="shared" si="223"/>
        <v>3.2786885245901641E-2</v>
      </c>
      <c r="U3558" t="str">
        <f>YEAR('Campaign Data'!$A3558)&amp;"-"&amp;TEXT(MONTH('Campaign Data'!$A3558),"00")</f>
        <v>2026-07</v>
      </c>
    </row>
    <row r="3559" spans="1:21" x14ac:dyDescent="0.25">
      <c r="A3559">
        <v>46217</v>
      </c>
      <c r="B3559" t="s">
        <v>30</v>
      </c>
      <c r="C3559" t="s">
        <v>31</v>
      </c>
      <c r="D3559" t="s">
        <v>32</v>
      </c>
      <c r="E3559" t="s">
        <v>33</v>
      </c>
      <c r="F3559" t="s">
        <v>34</v>
      </c>
      <c r="G3559" t="s">
        <v>35</v>
      </c>
      <c r="H3559" t="s">
        <v>55</v>
      </c>
      <c r="I3559" t="s">
        <v>28</v>
      </c>
      <c r="J3559" t="s">
        <v>45</v>
      </c>
      <c r="K3559">
        <v>10516</v>
      </c>
      <c r="L3559">
        <v>73</v>
      </c>
      <c r="M3559">
        <v>43.41</v>
      </c>
      <c r="N3559">
        <v>1</v>
      </c>
      <c r="O3559">
        <v>162.6</v>
      </c>
      <c r="P3559">
        <f t="shared" si="220"/>
        <v>6.9418029669075692E-3</v>
      </c>
      <c r="Q3559">
        <f t="shared" si="220"/>
        <v>0.5946575342465753</v>
      </c>
      <c r="R3559">
        <f t="shared" si="221"/>
        <v>43.41</v>
      </c>
      <c r="S3559">
        <f t="shared" si="222"/>
        <v>3.7456807187284036</v>
      </c>
      <c r="T3559">
        <f t="shared" si="223"/>
        <v>1.3698630136986301E-2</v>
      </c>
      <c r="U3559" t="str">
        <f>YEAR('Campaign Data'!$A3559)&amp;"-"&amp;TEXT(MONTH('Campaign Data'!$A3559),"00")</f>
        <v>2026-07</v>
      </c>
    </row>
    <row r="3560" spans="1:21" x14ac:dyDescent="0.25">
      <c r="A3560">
        <v>46217</v>
      </c>
      <c r="B3560" t="s">
        <v>103</v>
      </c>
      <c r="C3560" t="s">
        <v>104</v>
      </c>
      <c r="D3560" t="s">
        <v>65</v>
      </c>
      <c r="E3560" t="s">
        <v>33</v>
      </c>
      <c r="F3560" t="s">
        <v>43</v>
      </c>
      <c r="G3560" t="s">
        <v>102</v>
      </c>
      <c r="H3560" t="s">
        <v>27</v>
      </c>
      <c r="I3560" t="s">
        <v>37</v>
      </c>
      <c r="J3560" t="s">
        <v>45</v>
      </c>
      <c r="K3560">
        <v>5007</v>
      </c>
      <c r="L3560">
        <v>56</v>
      </c>
      <c r="M3560">
        <v>39.369999999999997</v>
      </c>
      <c r="N3560">
        <v>0</v>
      </c>
      <c r="O3560">
        <v>0</v>
      </c>
      <c r="P3560">
        <f t="shared" si="220"/>
        <v>1.1184341921310166E-2</v>
      </c>
      <c r="Q3560">
        <f t="shared" si="220"/>
        <v>0.70303571428571421</v>
      </c>
      <c r="R3560">
        <f t="shared" si="221"/>
        <v>0</v>
      </c>
      <c r="S3560">
        <f t="shared" si="222"/>
        <v>0</v>
      </c>
      <c r="T3560">
        <f t="shared" si="223"/>
        <v>0</v>
      </c>
      <c r="U3560" t="str">
        <f>YEAR('Campaign Data'!$A3560)&amp;"-"&amp;TEXT(MONTH('Campaign Data'!$A3560),"00")</f>
        <v>2026-07</v>
      </c>
    </row>
    <row r="3561" spans="1:21" x14ac:dyDescent="0.25">
      <c r="A3561">
        <v>46217</v>
      </c>
      <c r="B3561" t="s">
        <v>105</v>
      </c>
      <c r="C3561" t="s">
        <v>106</v>
      </c>
      <c r="D3561" t="s">
        <v>58</v>
      </c>
      <c r="E3561" t="s">
        <v>49</v>
      </c>
      <c r="F3561" t="s">
        <v>81</v>
      </c>
      <c r="G3561" t="s">
        <v>107</v>
      </c>
      <c r="H3561" t="s">
        <v>36</v>
      </c>
      <c r="I3561" t="s">
        <v>28</v>
      </c>
      <c r="J3561" t="s">
        <v>87</v>
      </c>
      <c r="K3561">
        <v>8552</v>
      </c>
      <c r="L3561">
        <v>382</v>
      </c>
      <c r="M3561">
        <v>473.26</v>
      </c>
      <c r="N3561">
        <v>34</v>
      </c>
      <c r="O3561">
        <v>880.69</v>
      </c>
      <c r="P3561">
        <f t="shared" si="220"/>
        <v>4.4667913938260057E-2</v>
      </c>
      <c r="Q3561">
        <f t="shared" si="220"/>
        <v>1.2389005235602093</v>
      </c>
      <c r="R3561">
        <f t="shared" si="221"/>
        <v>13.919411764705883</v>
      </c>
      <c r="S3561">
        <f t="shared" si="222"/>
        <v>1.8609009846595952</v>
      </c>
      <c r="T3561">
        <f t="shared" si="223"/>
        <v>8.9005235602094238E-2</v>
      </c>
      <c r="U3561" t="str">
        <f>YEAR('Campaign Data'!$A3561)&amp;"-"&amp;TEXT(MONTH('Campaign Data'!$A3561),"00")</f>
        <v>2026-07</v>
      </c>
    </row>
    <row r="3562" spans="1:21" x14ac:dyDescent="0.25">
      <c r="A3562">
        <v>46217</v>
      </c>
      <c r="B3562" t="s">
        <v>177</v>
      </c>
      <c r="C3562" t="s">
        <v>178</v>
      </c>
      <c r="D3562" t="s">
        <v>41</v>
      </c>
      <c r="E3562" t="s">
        <v>49</v>
      </c>
      <c r="F3562" t="s">
        <v>34</v>
      </c>
      <c r="G3562" t="s">
        <v>107</v>
      </c>
      <c r="H3562" t="s">
        <v>27</v>
      </c>
      <c r="I3562" t="s">
        <v>37</v>
      </c>
      <c r="J3562" t="s">
        <v>45</v>
      </c>
      <c r="K3562">
        <v>11126</v>
      </c>
      <c r="L3562">
        <v>727</v>
      </c>
      <c r="M3562">
        <v>1656.84</v>
      </c>
      <c r="N3562">
        <v>24</v>
      </c>
      <c r="O3562">
        <v>4582.49</v>
      </c>
      <c r="P3562">
        <f t="shared" si="220"/>
        <v>6.5342441128887291E-2</v>
      </c>
      <c r="Q3562">
        <f t="shared" si="220"/>
        <v>2.2790096286107291</v>
      </c>
      <c r="R3562">
        <f t="shared" si="221"/>
        <v>69.034999999999997</v>
      </c>
      <c r="S3562">
        <f t="shared" si="222"/>
        <v>2.765801163660945</v>
      </c>
      <c r="T3562">
        <f t="shared" si="223"/>
        <v>3.3012379642365884E-2</v>
      </c>
      <c r="U3562" t="str">
        <f>YEAR('Campaign Data'!$A3562)&amp;"-"&amp;TEXT(MONTH('Campaign Data'!$A3562),"00")</f>
        <v>2026-07</v>
      </c>
    </row>
    <row r="3563" spans="1:21" x14ac:dyDescent="0.25">
      <c r="A3563">
        <v>46217</v>
      </c>
      <c r="B3563" t="s">
        <v>155</v>
      </c>
      <c r="C3563" t="s">
        <v>156</v>
      </c>
      <c r="D3563" t="s">
        <v>32</v>
      </c>
      <c r="E3563" t="s">
        <v>24</v>
      </c>
      <c r="F3563" t="s">
        <v>34</v>
      </c>
      <c r="G3563" t="s">
        <v>129</v>
      </c>
      <c r="H3563" t="s">
        <v>27</v>
      </c>
      <c r="I3563" t="s">
        <v>37</v>
      </c>
      <c r="J3563" t="s">
        <v>87</v>
      </c>
      <c r="K3563">
        <v>23070</v>
      </c>
      <c r="L3563">
        <v>358</v>
      </c>
      <c r="M3563">
        <v>329.08</v>
      </c>
      <c r="N3563">
        <v>10</v>
      </c>
      <c r="O3563">
        <v>2115.88</v>
      </c>
      <c r="P3563">
        <f t="shared" si="220"/>
        <v>1.5517988729952319E-2</v>
      </c>
      <c r="Q3563">
        <f t="shared" si="220"/>
        <v>0.91921787709497205</v>
      </c>
      <c r="R3563">
        <f t="shared" si="221"/>
        <v>32.908000000000001</v>
      </c>
      <c r="S3563">
        <f t="shared" si="222"/>
        <v>6.4296827519144291</v>
      </c>
      <c r="T3563">
        <f t="shared" si="223"/>
        <v>2.7932960893854747E-2</v>
      </c>
      <c r="U3563" t="str">
        <f>YEAR('Campaign Data'!$A3563)&amp;"-"&amp;TEXT(MONTH('Campaign Data'!$A3563),"00")</f>
        <v>2026-07</v>
      </c>
    </row>
    <row r="3564" spans="1:21" x14ac:dyDescent="0.25">
      <c r="A3564">
        <v>46217</v>
      </c>
      <c r="B3564" t="s">
        <v>159</v>
      </c>
      <c r="C3564" t="s">
        <v>160</v>
      </c>
      <c r="D3564" t="s">
        <v>65</v>
      </c>
      <c r="E3564" t="s">
        <v>42</v>
      </c>
      <c r="F3564" t="s">
        <v>75</v>
      </c>
      <c r="G3564" t="s">
        <v>54</v>
      </c>
      <c r="H3564" t="s">
        <v>55</v>
      </c>
      <c r="I3564" t="s">
        <v>37</v>
      </c>
      <c r="J3564" t="s">
        <v>45</v>
      </c>
      <c r="K3564">
        <v>19096</v>
      </c>
      <c r="L3564">
        <v>88</v>
      </c>
      <c r="M3564">
        <v>322.18</v>
      </c>
      <c r="N3564">
        <v>3</v>
      </c>
      <c r="O3564">
        <v>94.91</v>
      </c>
      <c r="P3564">
        <f t="shared" si="220"/>
        <v>4.608294930875576E-3</v>
      </c>
      <c r="Q3564">
        <f t="shared" si="220"/>
        <v>3.6611363636363636</v>
      </c>
      <c r="R3564">
        <f t="shared" si="221"/>
        <v>107.39333333333333</v>
      </c>
      <c r="S3564">
        <f t="shared" si="222"/>
        <v>0.29458687690111118</v>
      </c>
      <c r="T3564">
        <f t="shared" si="223"/>
        <v>3.4090909090909088E-2</v>
      </c>
      <c r="U3564" t="str">
        <f>YEAR('Campaign Data'!$A3564)&amp;"-"&amp;TEXT(MONTH('Campaign Data'!$A3564),"00")</f>
        <v>2026-07</v>
      </c>
    </row>
    <row r="3565" spans="1:21" x14ac:dyDescent="0.25">
      <c r="A3565">
        <v>46217</v>
      </c>
      <c r="B3565" t="s">
        <v>56</v>
      </c>
      <c r="C3565" t="s">
        <v>57</v>
      </c>
      <c r="D3565" t="s">
        <v>58</v>
      </c>
      <c r="E3565" t="s">
        <v>33</v>
      </c>
      <c r="F3565" t="s">
        <v>43</v>
      </c>
      <c r="G3565" t="s">
        <v>59</v>
      </c>
      <c r="H3565" t="s">
        <v>51</v>
      </c>
      <c r="I3565" t="s">
        <v>37</v>
      </c>
      <c r="J3565" t="s">
        <v>45</v>
      </c>
      <c r="K3565">
        <v>33656</v>
      </c>
      <c r="L3565">
        <v>340</v>
      </c>
      <c r="M3565">
        <v>226.67</v>
      </c>
      <c r="N3565">
        <v>3</v>
      </c>
      <c r="O3565">
        <v>58.35</v>
      </c>
      <c r="P3565">
        <f t="shared" si="220"/>
        <v>1.0102210601378654E-2</v>
      </c>
      <c r="Q3565">
        <f t="shared" si="220"/>
        <v>0.6666764705882352</v>
      </c>
      <c r="R3565">
        <f t="shared" si="221"/>
        <v>75.556666666666658</v>
      </c>
      <c r="S3565">
        <f t="shared" si="222"/>
        <v>0.25742268496051529</v>
      </c>
      <c r="T3565">
        <f t="shared" si="223"/>
        <v>8.8235294117647058E-3</v>
      </c>
      <c r="U3565" t="str">
        <f>YEAR('Campaign Data'!$A3565)&amp;"-"&amp;TEXT(MONTH('Campaign Data'!$A3565),"00")</f>
        <v>2026-07</v>
      </c>
    </row>
    <row r="3566" spans="1:21" x14ac:dyDescent="0.25">
      <c r="A3566">
        <v>46217</v>
      </c>
      <c r="B3566" t="s">
        <v>67</v>
      </c>
      <c r="C3566" t="s">
        <v>68</v>
      </c>
      <c r="D3566" t="s">
        <v>69</v>
      </c>
      <c r="E3566" t="s">
        <v>49</v>
      </c>
      <c r="F3566" t="s">
        <v>34</v>
      </c>
      <c r="G3566" t="s">
        <v>70</v>
      </c>
      <c r="H3566" t="s">
        <v>51</v>
      </c>
      <c r="I3566" t="s">
        <v>37</v>
      </c>
      <c r="J3566" t="s">
        <v>62</v>
      </c>
      <c r="K3566">
        <v>6897</v>
      </c>
      <c r="L3566">
        <v>326</v>
      </c>
      <c r="M3566">
        <v>423.02</v>
      </c>
      <c r="N3566">
        <v>9</v>
      </c>
      <c r="O3566">
        <v>1040.93</v>
      </c>
      <c r="P3566">
        <f t="shared" si="220"/>
        <v>4.7266927649702771E-2</v>
      </c>
      <c r="Q3566">
        <f t="shared" si="220"/>
        <v>1.29760736196319</v>
      </c>
      <c r="R3566">
        <f t="shared" si="221"/>
        <v>47.002222222222223</v>
      </c>
      <c r="S3566">
        <f t="shared" si="222"/>
        <v>2.4607110774904264</v>
      </c>
      <c r="T3566">
        <f t="shared" si="223"/>
        <v>2.7607361963190184E-2</v>
      </c>
      <c r="U3566" t="str">
        <f>YEAR('Campaign Data'!$A3566)&amp;"-"&amp;TEXT(MONTH('Campaign Data'!$A3566),"00")</f>
        <v>2026-07</v>
      </c>
    </row>
    <row r="3567" spans="1:21" x14ac:dyDescent="0.25">
      <c r="A3567">
        <v>46217</v>
      </c>
      <c r="B3567" t="s">
        <v>120</v>
      </c>
      <c r="C3567" t="s">
        <v>121</v>
      </c>
      <c r="D3567" t="s">
        <v>23</v>
      </c>
      <c r="E3567" t="s">
        <v>49</v>
      </c>
      <c r="F3567" t="s">
        <v>75</v>
      </c>
      <c r="G3567" t="s">
        <v>70</v>
      </c>
      <c r="H3567" t="s">
        <v>51</v>
      </c>
      <c r="I3567" t="s">
        <v>28</v>
      </c>
      <c r="J3567" t="s">
        <v>87</v>
      </c>
      <c r="K3567">
        <v>9768</v>
      </c>
      <c r="L3567">
        <v>364</v>
      </c>
      <c r="M3567">
        <v>488.65</v>
      </c>
      <c r="N3567">
        <v>12</v>
      </c>
      <c r="O3567">
        <v>226.97</v>
      </c>
      <c r="P3567">
        <f t="shared" si="220"/>
        <v>3.7264537264537267E-2</v>
      </c>
      <c r="Q3567">
        <f t="shared" si="220"/>
        <v>1.3424450549450548</v>
      </c>
      <c r="R3567">
        <f t="shared" si="221"/>
        <v>40.720833333333331</v>
      </c>
      <c r="S3567">
        <f t="shared" si="222"/>
        <v>0.46448378184794847</v>
      </c>
      <c r="T3567">
        <f t="shared" si="223"/>
        <v>3.2967032967032968E-2</v>
      </c>
      <c r="U3567" t="str">
        <f>YEAR('Campaign Data'!$A3567)&amp;"-"&amp;TEXT(MONTH('Campaign Data'!$A3567),"00")</f>
        <v>2026-07</v>
      </c>
    </row>
    <row r="3568" spans="1:21" x14ac:dyDescent="0.25">
      <c r="A3568">
        <v>46218</v>
      </c>
      <c r="B3568" t="s">
        <v>149</v>
      </c>
      <c r="C3568" t="s">
        <v>150</v>
      </c>
      <c r="D3568" t="s">
        <v>65</v>
      </c>
      <c r="E3568" t="s">
        <v>33</v>
      </c>
      <c r="F3568" t="s">
        <v>43</v>
      </c>
      <c r="G3568" t="s">
        <v>59</v>
      </c>
      <c r="H3568" t="s">
        <v>27</v>
      </c>
      <c r="I3568" t="s">
        <v>28</v>
      </c>
      <c r="J3568" t="s">
        <v>29</v>
      </c>
      <c r="K3568">
        <v>4696</v>
      </c>
      <c r="L3568">
        <v>34</v>
      </c>
      <c r="M3568">
        <v>24.34</v>
      </c>
      <c r="N3568">
        <v>0</v>
      </c>
      <c r="O3568">
        <v>0</v>
      </c>
      <c r="P3568">
        <f t="shared" si="220"/>
        <v>7.2402044293015336E-3</v>
      </c>
      <c r="Q3568">
        <f t="shared" si="220"/>
        <v>0.71588235294117641</v>
      </c>
      <c r="R3568">
        <f t="shared" si="221"/>
        <v>0</v>
      </c>
      <c r="S3568">
        <f t="shared" si="222"/>
        <v>0</v>
      </c>
      <c r="T3568">
        <f t="shared" si="223"/>
        <v>0</v>
      </c>
      <c r="U3568" t="str">
        <f>YEAR('Campaign Data'!$A3568)&amp;"-"&amp;TEXT(MONTH('Campaign Data'!$A3568),"00")</f>
        <v>2026-07</v>
      </c>
    </row>
    <row r="3569" spans="1:21" x14ac:dyDescent="0.25">
      <c r="A3569">
        <v>46218</v>
      </c>
      <c r="B3569" t="s">
        <v>30</v>
      </c>
      <c r="C3569" t="s">
        <v>31</v>
      </c>
      <c r="D3569" t="s">
        <v>32</v>
      </c>
      <c r="E3569" t="s">
        <v>33</v>
      </c>
      <c r="F3569" t="s">
        <v>34</v>
      </c>
      <c r="G3569" t="s">
        <v>35</v>
      </c>
      <c r="H3569" t="s">
        <v>51</v>
      </c>
      <c r="I3569" t="s">
        <v>28</v>
      </c>
      <c r="J3569" t="s">
        <v>62</v>
      </c>
      <c r="K3569">
        <v>6901</v>
      </c>
      <c r="L3569">
        <v>46</v>
      </c>
      <c r="M3569">
        <v>26.75</v>
      </c>
      <c r="N3569">
        <v>1</v>
      </c>
      <c r="O3569">
        <v>159.81</v>
      </c>
      <c r="P3569">
        <f t="shared" si="220"/>
        <v>6.6657006230981019E-3</v>
      </c>
      <c r="Q3569">
        <f t="shared" si="220"/>
        <v>0.58152173913043481</v>
      </c>
      <c r="R3569">
        <f t="shared" si="221"/>
        <v>26.75</v>
      </c>
      <c r="S3569">
        <f t="shared" si="222"/>
        <v>5.9742056074766356</v>
      </c>
      <c r="T3569">
        <f t="shared" si="223"/>
        <v>2.1739130434782608E-2</v>
      </c>
      <c r="U3569" t="str">
        <f>YEAR('Campaign Data'!$A3569)&amp;"-"&amp;TEXT(MONTH('Campaign Data'!$A3569),"00")</f>
        <v>2026-07</v>
      </c>
    </row>
    <row r="3570" spans="1:21" x14ac:dyDescent="0.25">
      <c r="A3570">
        <v>46218</v>
      </c>
      <c r="B3570" t="s">
        <v>151</v>
      </c>
      <c r="C3570" t="s">
        <v>152</v>
      </c>
      <c r="D3570" t="s">
        <v>48</v>
      </c>
      <c r="E3570" t="s">
        <v>24</v>
      </c>
      <c r="F3570" t="s">
        <v>81</v>
      </c>
      <c r="G3570" t="s">
        <v>129</v>
      </c>
      <c r="H3570" t="s">
        <v>90</v>
      </c>
      <c r="I3570" t="s">
        <v>61</v>
      </c>
      <c r="J3570" t="s">
        <v>87</v>
      </c>
      <c r="K3570">
        <v>4796</v>
      </c>
      <c r="L3570">
        <v>52</v>
      </c>
      <c r="M3570">
        <v>12.55</v>
      </c>
      <c r="N3570">
        <v>1</v>
      </c>
      <c r="O3570">
        <v>5.44</v>
      </c>
      <c r="P3570">
        <f t="shared" si="220"/>
        <v>1.0842368640533779E-2</v>
      </c>
      <c r="Q3570">
        <f t="shared" si="220"/>
        <v>0.24134615384615385</v>
      </c>
      <c r="R3570">
        <f t="shared" si="221"/>
        <v>12.55</v>
      </c>
      <c r="S3570">
        <f t="shared" si="222"/>
        <v>0.43346613545816731</v>
      </c>
      <c r="T3570">
        <f t="shared" si="223"/>
        <v>1.9230769230769232E-2</v>
      </c>
      <c r="U3570" t="str">
        <f>YEAR('Campaign Data'!$A3570)&amp;"-"&amp;TEXT(MONTH('Campaign Data'!$A3570),"00")</f>
        <v>2026-07</v>
      </c>
    </row>
    <row r="3571" spans="1:21" x14ac:dyDescent="0.25">
      <c r="A3571">
        <v>46218</v>
      </c>
      <c r="B3571" t="s">
        <v>39</v>
      </c>
      <c r="C3571" t="s">
        <v>40</v>
      </c>
      <c r="D3571" t="s">
        <v>41</v>
      </c>
      <c r="E3571" t="s">
        <v>42</v>
      </c>
      <c r="F3571" t="s">
        <v>43</v>
      </c>
      <c r="G3571" t="s">
        <v>44</v>
      </c>
      <c r="H3571" t="s">
        <v>71</v>
      </c>
      <c r="I3571" t="s">
        <v>28</v>
      </c>
      <c r="J3571" t="s">
        <v>38</v>
      </c>
      <c r="K3571">
        <v>5610</v>
      </c>
      <c r="L3571">
        <v>56</v>
      </c>
      <c r="M3571">
        <v>368.94</v>
      </c>
      <c r="N3571">
        <v>3</v>
      </c>
      <c r="O3571">
        <v>63.71</v>
      </c>
      <c r="P3571">
        <f t="shared" si="220"/>
        <v>9.9821746880570418E-3</v>
      </c>
      <c r="Q3571">
        <f t="shared" si="220"/>
        <v>6.5882142857142858</v>
      </c>
      <c r="R3571">
        <f t="shared" si="221"/>
        <v>122.98</v>
      </c>
      <c r="S3571">
        <f t="shared" si="222"/>
        <v>0.17268390524204477</v>
      </c>
      <c r="T3571">
        <f t="shared" si="223"/>
        <v>5.3571428571428568E-2</v>
      </c>
      <c r="U3571" t="str">
        <f>YEAR('Campaign Data'!$A3571)&amp;"-"&amp;TEXT(MONTH('Campaign Data'!$A3571),"00")</f>
        <v>2026-07</v>
      </c>
    </row>
    <row r="3572" spans="1:21" x14ac:dyDescent="0.25">
      <c r="A3572">
        <v>46218</v>
      </c>
      <c r="B3572" t="s">
        <v>98</v>
      </c>
      <c r="C3572" t="s">
        <v>99</v>
      </c>
      <c r="D3572" t="s">
        <v>69</v>
      </c>
      <c r="E3572" t="s">
        <v>24</v>
      </c>
      <c r="F3572" t="s">
        <v>75</v>
      </c>
      <c r="G3572" t="s">
        <v>66</v>
      </c>
      <c r="H3572" t="s">
        <v>27</v>
      </c>
      <c r="I3572" t="s">
        <v>28</v>
      </c>
      <c r="J3572" t="s">
        <v>87</v>
      </c>
      <c r="K3572">
        <v>4733</v>
      </c>
      <c r="L3572">
        <v>55</v>
      </c>
      <c r="M3572">
        <v>36.630000000000003</v>
      </c>
      <c r="N3572">
        <v>2</v>
      </c>
      <c r="O3572">
        <v>108.49</v>
      </c>
      <c r="P3572">
        <f t="shared" si="220"/>
        <v>1.1620536657511091E-2</v>
      </c>
      <c r="Q3572">
        <f t="shared" si="220"/>
        <v>0.66600000000000004</v>
      </c>
      <c r="R3572">
        <f t="shared" si="221"/>
        <v>18.315000000000001</v>
      </c>
      <c r="S3572">
        <f t="shared" si="222"/>
        <v>2.9617799617799614</v>
      </c>
      <c r="T3572">
        <f t="shared" si="223"/>
        <v>3.6363636363636362E-2</v>
      </c>
      <c r="U3572" t="str">
        <f>YEAR('Campaign Data'!$A3572)&amp;"-"&amp;TEXT(MONTH('Campaign Data'!$A3572),"00")</f>
        <v>2026-07</v>
      </c>
    </row>
    <row r="3573" spans="1:21" x14ac:dyDescent="0.25">
      <c r="A3573">
        <v>46218</v>
      </c>
      <c r="B3573" t="s">
        <v>98</v>
      </c>
      <c r="C3573" t="s">
        <v>99</v>
      </c>
      <c r="D3573" t="s">
        <v>69</v>
      </c>
      <c r="E3573" t="s">
        <v>24</v>
      </c>
      <c r="F3573" t="s">
        <v>75</v>
      </c>
      <c r="G3573" t="s">
        <v>66</v>
      </c>
      <c r="H3573" t="s">
        <v>90</v>
      </c>
      <c r="I3573" t="s">
        <v>28</v>
      </c>
      <c r="J3573" t="s">
        <v>45</v>
      </c>
      <c r="K3573">
        <v>8016</v>
      </c>
      <c r="L3573">
        <v>102</v>
      </c>
      <c r="M3573">
        <v>28.53</v>
      </c>
      <c r="N3573">
        <v>1</v>
      </c>
      <c r="O3573">
        <v>5</v>
      </c>
      <c r="P3573">
        <f t="shared" si="220"/>
        <v>1.2724550898203593E-2</v>
      </c>
      <c r="Q3573">
        <f t="shared" si="220"/>
        <v>0.27970588235294119</v>
      </c>
      <c r="R3573">
        <f t="shared" si="221"/>
        <v>28.53</v>
      </c>
      <c r="S3573">
        <f t="shared" si="222"/>
        <v>0.17525411847178407</v>
      </c>
      <c r="T3573">
        <f t="shared" si="223"/>
        <v>9.8039215686274508E-3</v>
      </c>
      <c r="U3573" t="str">
        <f>YEAR('Campaign Data'!$A3573)&amp;"-"&amp;TEXT(MONTH('Campaign Data'!$A3573),"00")</f>
        <v>2026-07</v>
      </c>
    </row>
    <row r="3574" spans="1:21" x14ac:dyDescent="0.25">
      <c r="A3574">
        <v>46218</v>
      </c>
      <c r="B3574" t="s">
        <v>52</v>
      </c>
      <c r="C3574" t="s">
        <v>53</v>
      </c>
      <c r="D3574" t="s">
        <v>32</v>
      </c>
      <c r="E3574" t="s">
        <v>42</v>
      </c>
      <c r="F3574" t="s">
        <v>25</v>
      </c>
      <c r="G3574" t="s">
        <v>54</v>
      </c>
      <c r="H3574" t="s">
        <v>90</v>
      </c>
      <c r="I3574" t="s">
        <v>37</v>
      </c>
      <c r="J3574" t="s">
        <v>62</v>
      </c>
      <c r="K3574">
        <v>8028</v>
      </c>
      <c r="L3574">
        <v>83</v>
      </c>
      <c r="M3574">
        <v>101.89</v>
      </c>
      <c r="N3574">
        <v>2</v>
      </c>
      <c r="O3574">
        <v>55.52</v>
      </c>
      <c r="P3574">
        <f t="shared" si="220"/>
        <v>1.0338814150473344E-2</v>
      </c>
      <c r="Q3574">
        <f t="shared" si="220"/>
        <v>1.227590361445783</v>
      </c>
      <c r="R3574">
        <f t="shared" si="221"/>
        <v>50.945</v>
      </c>
      <c r="S3574">
        <f t="shared" si="222"/>
        <v>0.54490136421631175</v>
      </c>
      <c r="T3574">
        <f t="shared" si="223"/>
        <v>2.4096385542168676E-2</v>
      </c>
      <c r="U3574" t="str">
        <f>YEAR('Campaign Data'!$A3574)&amp;"-"&amp;TEXT(MONTH('Campaign Data'!$A3574),"00")</f>
        <v>2026-07</v>
      </c>
    </row>
    <row r="3575" spans="1:21" x14ac:dyDescent="0.25">
      <c r="A3575">
        <v>46218</v>
      </c>
      <c r="B3575" t="s">
        <v>127</v>
      </c>
      <c r="C3575" t="s">
        <v>128</v>
      </c>
      <c r="D3575" t="s">
        <v>58</v>
      </c>
      <c r="E3575" t="s">
        <v>24</v>
      </c>
      <c r="F3575" t="s">
        <v>81</v>
      </c>
      <c r="G3575" t="s">
        <v>129</v>
      </c>
      <c r="H3575" t="s">
        <v>27</v>
      </c>
      <c r="I3575" t="s">
        <v>61</v>
      </c>
      <c r="J3575" t="s">
        <v>87</v>
      </c>
      <c r="K3575">
        <v>7665</v>
      </c>
      <c r="L3575">
        <v>60</v>
      </c>
      <c r="M3575">
        <v>55.78</v>
      </c>
      <c r="N3575">
        <v>4</v>
      </c>
      <c r="O3575">
        <v>161.68</v>
      </c>
      <c r="P3575">
        <f t="shared" si="220"/>
        <v>7.8277886497064575E-3</v>
      </c>
      <c r="Q3575">
        <f t="shared" si="220"/>
        <v>0.92966666666666664</v>
      </c>
      <c r="R3575">
        <f t="shared" si="221"/>
        <v>13.945</v>
      </c>
      <c r="S3575">
        <f t="shared" si="222"/>
        <v>2.8985299390462531</v>
      </c>
      <c r="T3575">
        <f t="shared" si="223"/>
        <v>6.6666666666666666E-2</v>
      </c>
      <c r="U3575" t="str">
        <f>YEAR('Campaign Data'!$A3575)&amp;"-"&amp;TEXT(MONTH('Campaign Data'!$A3575),"00")</f>
        <v>2026-07</v>
      </c>
    </row>
    <row r="3576" spans="1:21" x14ac:dyDescent="0.25">
      <c r="A3576">
        <v>46218</v>
      </c>
      <c r="B3576" t="s">
        <v>134</v>
      </c>
      <c r="C3576" t="s">
        <v>135</v>
      </c>
      <c r="D3576" t="s">
        <v>32</v>
      </c>
      <c r="E3576" t="s">
        <v>74</v>
      </c>
      <c r="F3576" t="s">
        <v>25</v>
      </c>
      <c r="G3576" t="s">
        <v>107</v>
      </c>
      <c r="H3576" t="s">
        <v>90</v>
      </c>
      <c r="I3576" t="s">
        <v>37</v>
      </c>
      <c r="J3576" t="s">
        <v>62</v>
      </c>
      <c r="K3576">
        <v>2841</v>
      </c>
      <c r="L3576">
        <v>132</v>
      </c>
      <c r="M3576">
        <v>41.51</v>
      </c>
      <c r="N3576">
        <v>5</v>
      </c>
      <c r="O3576">
        <v>172.78</v>
      </c>
      <c r="P3576">
        <f t="shared" si="220"/>
        <v>4.6462513199577615E-2</v>
      </c>
      <c r="Q3576">
        <f t="shared" si="220"/>
        <v>0.31446969696969695</v>
      </c>
      <c r="R3576">
        <f t="shared" si="221"/>
        <v>8.3019999999999996</v>
      </c>
      <c r="S3576">
        <f t="shared" si="222"/>
        <v>4.1623705131293667</v>
      </c>
      <c r="T3576">
        <f t="shared" si="223"/>
        <v>3.787878787878788E-2</v>
      </c>
      <c r="U3576" t="str">
        <f>YEAR('Campaign Data'!$A3576)&amp;"-"&amp;TEXT(MONTH('Campaign Data'!$A3576),"00")</f>
        <v>2026-07</v>
      </c>
    </row>
    <row r="3577" spans="1:21" x14ac:dyDescent="0.25">
      <c r="A3577">
        <v>46218</v>
      </c>
      <c r="B3577" t="s">
        <v>112</v>
      </c>
      <c r="C3577" t="s">
        <v>113</v>
      </c>
      <c r="D3577" t="s">
        <v>32</v>
      </c>
      <c r="E3577" t="s">
        <v>24</v>
      </c>
      <c r="F3577" t="s">
        <v>75</v>
      </c>
      <c r="G3577" t="s">
        <v>66</v>
      </c>
      <c r="H3577" t="s">
        <v>71</v>
      </c>
      <c r="I3577" t="s">
        <v>28</v>
      </c>
      <c r="J3577" t="s">
        <v>87</v>
      </c>
      <c r="K3577">
        <v>6883</v>
      </c>
      <c r="L3577">
        <v>111</v>
      </c>
      <c r="M3577">
        <v>99.54</v>
      </c>
      <c r="N3577">
        <v>3</v>
      </c>
      <c r="O3577">
        <v>101.16</v>
      </c>
      <c r="P3577">
        <f t="shared" si="220"/>
        <v>1.6126688943774517E-2</v>
      </c>
      <c r="Q3577">
        <f t="shared" si="220"/>
        <v>0.89675675675675681</v>
      </c>
      <c r="R3577">
        <f t="shared" si="221"/>
        <v>33.18</v>
      </c>
      <c r="S3577">
        <f t="shared" si="222"/>
        <v>1.0162748643761301</v>
      </c>
      <c r="T3577">
        <f t="shared" si="223"/>
        <v>2.7027027027027029E-2</v>
      </c>
      <c r="U3577" t="str">
        <f>YEAR('Campaign Data'!$A3577)&amp;"-"&amp;TEXT(MONTH('Campaign Data'!$A3577),"00")</f>
        <v>2026-07</v>
      </c>
    </row>
    <row r="3578" spans="1:21" x14ac:dyDescent="0.25">
      <c r="A3578">
        <v>46218</v>
      </c>
      <c r="B3578" t="s">
        <v>181</v>
      </c>
      <c r="C3578" t="s">
        <v>182</v>
      </c>
      <c r="D3578" t="s">
        <v>32</v>
      </c>
      <c r="E3578" t="s">
        <v>33</v>
      </c>
      <c r="F3578" t="s">
        <v>75</v>
      </c>
      <c r="G3578" t="s">
        <v>59</v>
      </c>
      <c r="H3578" t="s">
        <v>71</v>
      </c>
      <c r="I3578" t="s">
        <v>37</v>
      </c>
      <c r="J3578" t="s">
        <v>62</v>
      </c>
      <c r="K3578">
        <v>10716</v>
      </c>
      <c r="L3578">
        <v>149</v>
      </c>
      <c r="M3578">
        <v>69.19</v>
      </c>
      <c r="N3578">
        <v>3</v>
      </c>
      <c r="O3578">
        <v>115.64</v>
      </c>
      <c r="P3578">
        <f t="shared" si="220"/>
        <v>1.3904441955953714E-2</v>
      </c>
      <c r="Q3578">
        <f t="shared" si="220"/>
        <v>0.46436241610738255</v>
      </c>
      <c r="R3578">
        <f t="shared" si="221"/>
        <v>23.063333333333333</v>
      </c>
      <c r="S3578">
        <f t="shared" si="222"/>
        <v>1.6713397889868478</v>
      </c>
      <c r="T3578">
        <f t="shared" si="223"/>
        <v>2.0134228187919462E-2</v>
      </c>
      <c r="U3578" t="str">
        <f>YEAR('Campaign Data'!$A3578)&amp;"-"&amp;TEXT(MONTH('Campaign Data'!$A3578),"00")</f>
        <v>2026-07</v>
      </c>
    </row>
    <row r="3579" spans="1:21" x14ac:dyDescent="0.25">
      <c r="A3579">
        <v>46218</v>
      </c>
      <c r="B3579" t="s">
        <v>116</v>
      </c>
      <c r="C3579" t="s">
        <v>117</v>
      </c>
      <c r="D3579" t="s">
        <v>48</v>
      </c>
      <c r="E3579" t="s">
        <v>24</v>
      </c>
      <c r="F3579" t="s">
        <v>43</v>
      </c>
      <c r="G3579" t="s">
        <v>26</v>
      </c>
      <c r="H3579" t="s">
        <v>90</v>
      </c>
      <c r="I3579" t="s">
        <v>37</v>
      </c>
      <c r="J3579" t="s">
        <v>29</v>
      </c>
      <c r="K3579">
        <v>4991</v>
      </c>
      <c r="L3579">
        <v>72</v>
      </c>
      <c r="M3579">
        <v>22.67</v>
      </c>
      <c r="N3579">
        <v>0</v>
      </c>
      <c r="O3579">
        <v>0</v>
      </c>
      <c r="P3579">
        <f t="shared" si="220"/>
        <v>1.4425966740132239E-2</v>
      </c>
      <c r="Q3579">
        <f t="shared" si="220"/>
        <v>0.31486111111111115</v>
      </c>
      <c r="R3579">
        <f t="shared" si="221"/>
        <v>0</v>
      </c>
      <c r="S3579">
        <f t="shared" si="222"/>
        <v>0</v>
      </c>
      <c r="T3579">
        <f t="shared" si="223"/>
        <v>0</v>
      </c>
      <c r="U3579" t="str">
        <f>YEAR('Campaign Data'!$A3579)&amp;"-"&amp;TEXT(MONTH('Campaign Data'!$A3579),"00")</f>
        <v>2026-07</v>
      </c>
    </row>
    <row r="3580" spans="1:21" x14ac:dyDescent="0.25">
      <c r="A3580">
        <v>46218</v>
      </c>
      <c r="B3580" t="s">
        <v>145</v>
      </c>
      <c r="C3580" t="s">
        <v>146</v>
      </c>
      <c r="D3580" t="s">
        <v>41</v>
      </c>
      <c r="E3580" t="s">
        <v>49</v>
      </c>
      <c r="F3580" t="s">
        <v>75</v>
      </c>
      <c r="G3580" t="s">
        <v>70</v>
      </c>
      <c r="H3580" t="s">
        <v>27</v>
      </c>
      <c r="I3580" t="s">
        <v>37</v>
      </c>
      <c r="J3580" t="s">
        <v>87</v>
      </c>
      <c r="K3580">
        <v>7290</v>
      </c>
      <c r="L3580">
        <v>519</v>
      </c>
      <c r="M3580">
        <v>1525.8</v>
      </c>
      <c r="N3580">
        <v>42</v>
      </c>
      <c r="O3580">
        <v>1993.52</v>
      </c>
      <c r="P3580">
        <f t="shared" si="220"/>
        <v>7.119341563786008E-2</v>
      </c>
      <c r="Q3580">
        <f t="shared" si="220"/>
        <v>2.9398843930635836</v>
      </c>
      <c r="R3580">
        <f t="shared" si="221"/>
        <v>36.328571428571429</v>
      </c>
      <c r="S3580">
        <f t="shared" si="222"/>
        <v>1.3065408310394548</v>
      </c>
      <c r="T3580">
        <f t="shared" si="223"/>
        <v>8.0924855491329481E-2</v>
      </c>
      <c r="U3580" t="str">
        <f>YEAR('Campaign Data'!$A3580)&amp;"-"&amp;TEXT(MONTH('Campaign Data'!$A3580),"00")</f>
        <v>2026-07</v>
      </c>
    </row>
    <row r="3581" spans="1:21" x14ac:dyDescent="0.25">
      <c r="A3581">
        <v>46219</v>
      </c>
      <c r="B3581" t="s">
        <v>165</v>
      </c>
      <c r="C3581" t="s">
        <v>166</v>
      </c>
      <c r="D3581" t="s">
        <v>41</v>
      </c>
      <c r="E3581" t="s">
        <v>33</v>
      </c>
      <c r="F3581" t="s">
        <v>43</v>
      </c>
      <c r="G3581" t="s">
        <v>59</v>
      </c>
      <c r="H3581" t="s">
        <v>27</v>
      </c>
      <c r="I3581" t="s">
        <v>37</v>
      </c>
      <c r="J3581" t="s">
        <v>62</v>
      </c>
      <c r="K3581">
        <v>7464</v>
      </c>
      <c r="L3581">
        <v>107</v>
      </c>
      <c r="M3581">
        <v>113.93</v>
      </c>
      <c r="N3581">
        <v>3</v>
      </c>
      <c r="O3581">
        <v>79.25</v>
      </c>
      <c r="P3581">
        <f t="shared" si="220"/>
        <v>1.4335476956055734E-2</v>
      </c>
      <c r="Q3581">
        <f t="shared" si="220"/>
        <v>1.0647663551401869</v>
      </c>
      <c r="R3581">
        <f t="shared" si="221"/>
        <v>37.976666666666667</v>
      </c>
      <c r="S3581">
        <f t="shared" si="222"/>
        <v>0.69560256297726675</v>
      </c>
      <c r="T3581">
        <f t="shared" si="223"/>
        <v>2.8037383177570093E-2</v>
      </c>
      <c r="U3581" t="str">
        <f>YEAR('Campaign Data'!$A3581)&amp;"-"&amp;TEXT(MONTH('Campaign Data'!$A3581),"00")</f>
        <v>2026-07</v>
      </c>
    </row>
    <row r="3582" spans="1:21" x14ac:dyDescent="0.25">
      <c r="A3582">
        <v>46219</v>
      </c>
      <c r="B3582" t="s">
        <v>147</v>
      </c>
      <c r="C3582" t="s">
        <v>148</v>
      </c>
      <c r="D3582" t="s">
        <v>23</v>
      </c>
      <c r="E3582" t="s">
        <v>42</v>
      </c>
      <c r="F3582" t="s">
        <v>75</v>
      </c>
      <c r="G3582" t="s">
        <v>44</v>
      </c>
      <c r="H3582" t="s">
        <v>36</v>
      </c>
      <c r="I3582" t="s">
        <v>37</v>
      </c>
      <c r="J3582" t="s">
        <v>45</v>
      </c>
      <c r="K3582">
        <v>7502</v>
      </c>
      <c r="L3582">
        <v>43</v>
      </c>
      <c r="M3582">
        <v>165.59</v>
      </c>
      <c r="N3582">
        <v>4</v>
      </c>
      <c r="O3582">
        <v>238.19</v>
      </c>
      <c r="P3582">
        <f t="shared" si="220"/>
        <v>5.7318048520394564E-3</v>
      </c>
      <c r="Q3582">
        <f t="shared" si="220"/>
        <v>3.8509302325581398</v>
      </c>
      <c r="R3582">
        <f t="shared" si="221"/>
        <v>41.397500000000001</v>
      </c>
      <c r="S3582">
        <f t="shared" si="222"/>
        <v>1.4384322724802221</v>
      </c>
      <c r="T3582">
        <f t="shared" si="223"/>
        <v>9.3023255813953487E-2</v>
      </c>
      <c r="U3582" t="str">
        <f>YEAR('Campaign Data'!$A3582)&amp;"-"&amp;TEXT(MONTH('Campaign Data'!$A3582),"00")</f>
        <v>2026-07</v>
      </c>
    </row>
    <row r="3583" spans="1:21" x14ac:dyDescent="0.25">
      <c r="A3583">
        <v>46219</v>
      </c>
      <c r="B3583" t="s">
        <v>151</v>
      </c>
      <c r="C3583" t="s">
        <v>152</v>
      </c>
      <c r="D3583" t="s">
        <v>48</v>
      </c>
      <c r="E3583" t="s">
        <v>24</v>
      </c>
      <c r="F3583" t="s">
        <v>81</v>
      </c>
      <c r="G3583" t="s">
        <v>129</v>
      </c>
      <c r="H3583" t="s">
        <v>90</v>
      </c>
      <c r="I3583" t="s">
        <v>28</v>
      </c>
      <c r="J3583" t="s">
        <v>45</v>
      </c>
      <c r="K3583">
        <v>2906</v>
      </c>
      <c r="L3583">
        <v>30</v>
      </c>
      <c r="M3583">
        <v>7.49</v>
      </c>
      <c r="N3583">
        <v>2</v>
      </c>
      <c r="O3583">
        <v>10</v>
      </c>
      <c r="P3583">
        <f t="shared" si="220"/>
        <v>1.0323468685478321E-2</v>
      </c>
      <c r="Q3583">
        <f t="shared" si="220"/>
        <v>0.24966666666666668</v>
      </c>
      <c r="R3583">
        <f t="shared" si="221"/>
        <v>3.7450000000000001</v>
      </c>
      <c r="S3583">
        <f t="shared" si="222"/>
        <v>1.3351134846461949</v>
      </c>
      <c r="T3583">
        <f t="shared" si="223"/>
        <v>6.6666666666666666E-2</v>
      </c>
      <c r="U3583" t="str">
        <f>YEAR('Campaign Data'!$A3583)&amp;"-"&amp;TEXT(MONTH('Campaign Data'!$A3583),"00")</f>
        <v>2026-07</v>
      </c>
    </row>
    <row r="3584" spans="1:21" x14ac:dyDescent="0.25">
      <c r="A3584">
        <v>46219</v>
      </c>
      <c r="B3584" t="s">
        <v>100</v>
      </c>
      <c r="C3584" t="s">
        <v>101</v>
      </c>
      <c r="D3584" t="s">
        <v>80</v>
      </c>
      <c r="E3584" t="s">
        <v>33</v>
      </c>
      <c r="F3584" t="s">
        <v>25</v>
      </c>
      <c r="G3584" t="s">
        <v>102</v>
      </c>
      <c r="H3584" t="s">
        <v>51</v>
      </c>
      <c r="I3584" t="s">
        <v>37</v>
      </c>
      <c r="J3584" t="s">
        <v>38</v>
      </c>
      <c r="K3584">
        <v>5064</v>
      </c>
      <c r="L3584">
        <v>59</v>
      </c>
      <c r="M3584">
        <v>35.97</v>
      </c>
      <c r="N3584">
        <v>0</v>
      </c>
      <c r="O3584">
        <v>0</v>
      </c>
      <c r="P3584">
        <f t="shared" si="220"/>
        <v>1.1650868878357029E-2</v>
      </c>
      <c r="Q3584">
        <f t="shared" si="220"/>
        <v>0.60966101694915253</v>
      </c>
      <c r="R3584">
        <f t="shared" si="221"/>
        <v>0</v>
      </c>
      <c r="S3584">
        <f t="shared" si="222"/>
        <v>0</v>
      </c>
      <c r="T3584">
        <f t="shared" si="223"/>
        <v>0</v>
      </c>
      <c r="U3584" t="str">
        <f>YEAR('Campaign Data'!$A3584)&amp;"-"&amp;TEXT(MONTH('Campaign Data'!$A3584),"00")</f>
        <v>2026-07</v>
      </c>
    </row>
    <row r="3585" spans="1:21" x14ac:dyDescent="0.25">
      <c r="A3585">
        <v>46219</v>
      </c>
      <c r="B3585" t="s">
        <v>100</v>
      </c>
      <c r="C3585" t="s">
        <v>101</v>
      </c>
      <c r="D3585" t="s">
        <v>80</v>
      </c>
      <c r="E3585" t="s">
        <v>33</v>
      </c>
      <c r="F3585" t="s">
        <v>25</v>
      </c>
      <c r="G3585" t="s">
        <v>102</v>
      </c>
      <c r="H3585" t="s">
        <v>60</v>
      </c>
      <c r="I3585" t="s">
        <v>37</v>
      </c>
      <c r="J3585" t="s">
        <v>87</v>
      </c>
      <c r="K3585">
        <v>10105</v>
      </c>
      <c r="L3585">
        <v>73</v>
      </c>
      <c r="M3585">
        <v>40.340000000000003</v>
      </c>
      <c r="N3585">
        <v>1</v>
      </c>
      <c r="O3585">
        <v>118.46</v>
      </c>
      <c r="P3585">
        <f t="shared" si="220"/>
        <v>7.2241464621474521E-3</v>
      </c>
      <c r="Q3585">
        <f t="shared" si="220"/>
        <v>0.55260273972602747</v>
      </c>
      <c r="R3585">
        <f t="shared" si="221"/>
        <v>40.340000000000003</v>
      </c>
      <c r="S3585">
        <f t="shared" si="222"/>
        <v>2.9365394149727315</v>
      </c>
      <c r="T3585">
        <f t="shared" si="223"/>
        <v>1.3698630136986301E-2</v>
      </c>
      <c r="U3585" t="str">
        <f>YEAR('Campaign Data'!$A3585)&amp;"-"&amp;TEXT(MONTH('Campaign Data'!$A3585),"00")</f>
        <v>2026-07</v>
      </c>
    </row>
    <row r="3586" spans="1:21" x14ac:dyDescent="0.25">
      <c r="A3586">
        <v>46219</v>
      </c>
      <c r="B3586" t="s">
        <v>127</v>
      </c>
      <c r="C3586" t="s">
        <v>128</v>
      </c>
      <c r="D3586" t="s">
        <v>58</v>
      </c>
      <c r="E3586" t="s">
        <v>24</v>
      </c>
      <c r="F3586" t="s">
        <v>81</v>
      </c>
      <c r="G3586" t="s">
        <v>129</v>
      </c>
      <c r="H3586" t="s">
        <v>90</v>
      </c>
      <c r="I3586" t="s">
        <v>61</v>
      </c>
      <c r="J3586" t="s">
        <v>29</v>
      </c>
      <c r="K3586">
        <v>4915</v>
      </c>
      <c r="L3586">
        <v>80</v>
      </c>
      <c r="M3586">
        <v>20.3</v>
      </c>
      <c r="N3586">
        <v>2</v>
      </c>
      <c r="O3586">
        <v>10</v>
      </c>
      <c r="P3586">
        <f t="shared" ref="P3586:Q3649" si="224">IF(K3586=0,0,L3586/K3586)</f>
        <v>1.6276703967446592E-2</v>
      </c>
      <c r="Q3586">
        <f t="shared" si="224"/>
        <v>0.25375000000000003</v>
      </c>
      <c r="R3586">
        <f t="shared" ref="R3586:R3649" si="225">IF(N3586=0,0,M3586/N3586)</f>
        <v>10.15</v>
      </c>
      <c r="S3586">
        <f t="shared" ref="S3586:S3649" si="226">IF(M3586=0,0,O3586/M3586)</f>
        <v>0.49261083743842365</v>
      </c>
      <c r="T3586">
        <f t="shared" ref="T3586:T3649" si="227">IF(L3586=0,0,N3586/L3586)</f>
        <v>2.5000000000000001E-2</v>
      </c>
      <c r="U3586" t="str">
        <f>YEAR('Campaign Data'!$A3586)&amp;"-"&amp;TEXT(MONTH('Campaign Data'!$A3586),"00")</f>
        <v>2026-07</v>
      </c>
    </row>
    <row r="3587" spans="1:21" x14ac:dyDescent="0.25">
      <c r="A3587">
        <v>46219</v>
      </c>
      <c r="B3587" t="s">
        <v>103</v>
      </c>
      <c r="C3587" t="s">
        <v>104</v>
      </c>
      <c r="D3587" t="s">
        <v>65</v>
      </c>
      <c r="E3587" t="s">
        <v>33</v>
      </c>
      <c r="F3587" t="s">
        <v>43</v>
      </c>
      <c r="G3587" t="s">
        <v>102</v>
      </c>
      <c r="H3587" t="s">
        <v>90</v>
      </c>
      <c r="I3587" t="s">
        <v>37</v>
      </c>
      <c r="J3587" t="s">
        <v>62</v>
      </c>
      <c r="K3587">
        <v>4486</v>
      </c>
      <c r="L3587">
        <v>40</v>
      </c>
      <c r="M3587">
        <v>5.79</v>
      </c>
      <c r="N3587">
        <v>1</v>
      </c>
      <c r="O3587">
        <v>6.63</v>
      </c>
      <c r="P3587">
        <f t="shared" si="224"/>
        <v>8.9166295140436919E-3</v>
      </c>
      <c r="Q3587">
        <f t="shared" si="224"/>
        <v>0.14474999999999999</v>
      </c>
      <c r="R3587">
        <f t="shared" si="225"/>
        <v>5.79</v>
      </c>
      <c r="S3587">
        <f t="shared" si="226"/>
        <v>1.145077720207254</v>
      </c>
      <c r="T3587">
        <f t="shared" si="227"/>
        <v>2.5000000000000001E-2</v>
      </c>
      <c r="U3587" t="str">
        <f>YEAR('Campaign Data'!$A3587)&amp;"-"&amp;TEXT(MONTH('Campaign Data'!$A3587),"00")</f>
        <v>2026-07</v>
      </c>
    </row>
    <row r="3588" spans="1:21" x14ac:dyDescent="0.25">
      <c r="A3588">
        <v>46219</v>
      </c>
      <c r="B3588" t="s">
        <v>103</v>
      </c>
      <c r="C3588" t="s">
        <v>104</v>
      </c>
      <c r="D3588" t="s">
        <v>65</v>
      </c>
      <c r="E3588" t="s">
        <v>33</v>
      </c>
      <c r="F3588" t="s">
        <v>43</v>
      </c>
      <c r="G3588" t="s">
        <v>102</v>
      </c>
      <c r="H3588" t="s">
        <v>55</v>
      </c>
      <c r="I3588" t="s">
        <v>37</v>
      </c>
      <c r="J3588" t="s">
        <v>38</v>
      </c>
      <c r="K3588">
        <v>5969</v>
      </c>
      <c r="L3588">
        <v>32</v>
      </c>
      <c r="M3588">
        <v>19.45</v>
      </c>
      <c r="N3588">
        <v>0</v>
      </c>
      <c r="O3588">
        <v>0</v>
      </c>
      <c r="P3588">
        <f t="shared" si="224"/>
        <v>5.3610319986597422E-3</v>
      </c>
      <c r="Q3588">
        <f t="shared" si="224"/>
        <v>0.60781249999999998</v>
      </c>
      <c r="R3588">
        <f t="shared" si="225"/>
        <v>0</v>
      </c>
      <c r="S3588">
        <f t="shared" si="226"/>
        <v>0</v>
      </c>
      <c r="T3588">
        <f t="shared" si="227"/>
        <v>0</v>
      </c>
      <c r="U3588" t="str">
        <f>YEAR('Campaign Data'!$A3588)&amp;"-"&amp;TEXT(MONTH('Campaign Data'!$A3588),"00")</f>
        <v>2026-07</v>
      </c>
    </row>
    <row r="3589" spans="1:21" x14ac:dyDescent="0.25">
      <c r="A3589">
        <v>46219</v>
      </c>
      <c r="B3589" t="s">
        <v>130</v>
      </c>
      <c r="C3589" t="s">
        <v>131</v>
      </c>
      <c r="D3589" t="s">
        <v>48</v>
      </c>
      <c r="E3589" t="s">
        <v>33</v>
      </c>
      <c r="F3589" t="s">
        <v>34</v>
      </c>
      <c r="G3589" t="s">
        <v>35</v>
      </c>
      <c r="H3589" t="s">
        <v>36</v>
      </c>
      <c r="I3589" t="s">
        <v>61</v>
      </c>
      <c r="J3589" t="s">
        <v>38</v>
      </c>
      <c r="K3589">
        <v>3545</v>
      </c>
      <c r="L3589">
        <v>21</v>
      </c>
      <c r="M3589">
        <v>12.09</v>
      </c>
      <c r="N3589">
        <v>0</v>
      </c>
      <c r="O3589">
        <v>0</v>
      </c>
      <c r="P3589">
        <f t="shared" si="224"/>
        <v>5.9238363892806772E-3</v>
      </c>
      <c r="Q3589">
        <f t="shared" si="224"/>
        <v>0.57571428571428573</v>
      </c>
      <c r="R3589">
        <f t="shared" si="225"/>
        <v>0</v>
      </c>
      <c r="S3589">
        <f t="shared" si="226"/>
        <v>0</v>
      </c>
      <c r="T3589">
        <f t="shared" si="227"/>
        <v>0</v>
      </c>
      <c r="U3589" t="str">
        <f>YEAR('Campaign Data'!$A3589)&amp;"-"&amp;TEXT(MONTH('Campaign Data'!$A3589),"00")</f>
        <v>2026-07</v>
      </c>
    </row>
    <row r="3590" spans="1:21" x14ac:dyDescent="0.25">
      <c r="A3590">
        <v>46219</v>
      </c>
      <c r="B3590" t="s">
        <v>179</v>
      </c>
      <c r="C3590" t="s">
        <v>180</v>
      </c>
      <c r="D3590" t="s">
        <v>58</v>
      </c>
      <c r="E3590" t="s">
        <v>42</v>
      </c>
      <c r="F3590" t="s">
        <v>25</v>
      </c>
      <c r="G3590" t="s">
        <v>54</v>
      </c>
      <c r="H3590" t="s">
        <v>71</v>
      </c>
      <c r="I3590" t="s">
        <v>28</v>
      </c>
      <c r="J3590" t="s">
        <v>29</v>
      </c>
      <c r="K3590">
        <v>6276</v>
      </c>
      <c r="L3590">
        <v>49</v>
      </c>
      <c r="M3590">
        <v>249.66</v>
      </c>
      <c r="N3590">
        <v>2</v>
      </c>
      <c r="O3590">
        <v>213.96</v>
      </c>
      <c r="P3590">
        <f t="shared" si="224"/>
        <v>7.8075207138304653E-3</v>
      </c>
      <c r="Q3590">
        <f t="shared" si="224"/>
        <v>5.0951020408163261</v>
      </c>
      <c r="R3590">
        <f t="shared" si="225"/>
        <v>124.83</v>
      </c>
      <c r="S3590">
        <f t="shared" si="226"/>
        <v>0.85700552751742376</v>
      </c>
      <c r="T3590">
        <f t="shared" si="227"/>
        <v>4.0816326530612242E-2</v>
      </c>
      <c r="U3590" t="str">
        <f>YEAR('Campaign Data'!$A3590)&amp;"-"&amp;TEXT(MONTH('Campaign Data'!$A3590),"00")</f>
        <v>2026-07</v>
      </c>
    </row>
    <row r="3591" spans="1:21" x14ac:dyDescent="0.25">
      <c r="A3591">
        <v>46219</v>
      </c>
      <c r="B3591" t="s">
        <v>179</v>
      </c>
      <c r="C3591" t="s">
        <v>180</v>
      </c>
      <c r="D3591" t="s">
        <v>58</v>
      </c>
      <c r="E3591" t="s">
        <v>42</v>
      </c>
      <c r="F3591" t="s">
        <v>25</v>
      </c>
      <c r="G3591" t="s">
        <v>54</v>
      </c>
      <c r="H3591" t="s">
        <v>27</v>
      </c>
      <c r="I3591" t="s">
        <v>28</v>
      </c>
      <c r="J3591" t="s">
        <v>29</v>
      </c>
      <c r="K3591">
        <v>17827</v>
      </c>
      <c r="L3591">
        <v>130</v>
      </c>
      <c r="M3591">
        <v>798.65</v>
      </c>
      <c r="N3591">
        <v>2</v>
      </c>
      <c r="O3591">
        <v>405.62</v>
      </c>
      <c r="P3591">
        <f t="shared" si="224"/>
        <v>7.2923094182980874E-3</v>
      </c>
      <c r="Q3591">
        <f t="shared" si="224"/>
        <v>6.1434615384615379</v>
      </c>
      <c r="R3591">
        <f t="shared" si="225"/>
        <v>399.32499999999999</v>
      </c>
      <c r="S3591">
        <f t="shared" si="226"/>
        <v>0.5078820509609967</v>
      </c>
      <c r="T3591">
        <f t="shared" si="227"/>
        <v>1.5384615384615385E-2</v>
      </c>
      <c r="U3591" t="str">
        <f>YEAR('Campaign Data'!$A3591)&amp;"-"&amp;TEXT(MONTH('Campaign Data'!$A3591),"00")</f>
        <v>2026-07</v>
      </c>
    </row>
    <row r="3592" spans="1:21" x14ac:dyDescent="0.25">
      <c r="A3592">
        <v>46219</v>
      </c>
      <c r="B3592" t="s">
        <v>110</v>
      </c>
      <c r="C3592" t="s">
        <v>111</v>
      </c>
      <c r="D3592" t="s">
        <v>23</v>
      </c>
      <c r="E3592" t="s">
        <v>49</v>
      </c>
      <c r="F3592" t="s">
        <v>34</v>
      </c>
      <c r="G3592" t="s">
        <v>50</v>
      </c>
      <c r="H3592" t="s">
        <v>51</v>
      </c>
      <c r="I3592" t="s">
        <v>37</v>
      </c>
      <c r="J3592" t="s">
        <v>29</v>
      </c>
      <c r="K3592">
        <v>2880</v>
      </c>
      <c r="L3592">
        <v>31</v>
      </c>
      <c r="M3592">
        <v>67.680000000000007</v>
      </c>
      <c r="N3592">
        <v>2</v>
      </c>
      <c r="O3592">
        <v>356.54</v>
      </c>
      <c r="P3592">
        <f t="shared" si="224"/>
        <v>1.0763888888888889E-2</v>
      </c>
      <c r="Q3592">
        <f t="shared" si="224"/>
        <v>2.1832258064516132</v>
      </c>
      <c r="R3592">
        <f t="shared" si="225"/>
        <v>33.840000000000003</v>
      </c>
      <c r="S3592">
        <f t="shared" si="226"/>
        <v>5.2680260047281324</v>
      </c>
      <c r="T3592">
        <f t="shared" si="227"/>
        <v>6.4516129032258063E-2</v>
      </c>
      <c r="U3592" t="str">
        <f>YEAR('Campaign Data'!$A3592)&amp;"-"&amp;TEXT(MONTH('Campaign Data'!$A3592),"00")</f>
        <v>2026-07</v>
      </c>
    </row>
    <row r="3593" spans="1:21" x14ac:dyDescent="0.25">
      <c r="A3593">
        <v>46219</v>
      </c>
      <c r="B3593" t="s">
        <v>155</v>
      </c>
      <c r="C3593" t="s">
        <v>156</v>
      </c>
      <c r="D3593" t="s">
        <v>32</v>
      </c>
      <c r="E3593" t="s">
        <v>24</v>
      </c>
      <c r="F3593" t="s">
        <v>34</v>
      </c>
      <c r="G3593" t="s">
        <v>129</v>
      </c>
      <c r="H3593" t="s">
        <v>71</v>
      </c>
      <c r="I3593" t="s">
        <v>37</v>
      </c>
      <c r="J3593" t="s">
        <v>38</v>
      </c>
      <c r="K3593">
        <v>12766</v>
      </c>
      <c r="L3593">
        <v>123</v>
      </c>
      <c r="M3593">
        <v>108.04</v>
      </c>
      <c r="N3593">
        <v>5</v>
      </c>
      <c r="O3593">
        <v>576.63</v>
      </c>
      <c r="P3593">
        <f t="shared" si="224"/>
        <v>9.634967883440388E-3</v>
      </c>
      <c r="Q3593">
        <f t="shared" si="224"/>
        <v>0.87837398373983744</v>
      </c>
      <c r="R3593">
        <f t="shared" si="225"/>
        <v>21.608000000000001</v>
      </c>
      <c r="S3593">
        <f t="shared" si="226"/>
        <v>5.3371899296556826</v>
      </c>
      <c r="T3593">
        <f t="shared" si="227"/>
        <v>4.065040650406504E-2</v>
      </c>
      <c r="U3593" t="str">
        <f>YEAR('Campaign Data'!$A3593)&amp;"-"&amp;TEXT(MONTH('Campaign Data'!$A3593),"00")</f>
        <v>2026-07</v>
      </c>
    </row>
    <row r="3594" spans="1:21" x14ac:dyDescent="0.25">
      <c r="A3594">
        <v>46219</v>
      </c>
      <c r="B3594" t="s">
        <v>155</v>
      </c>
      <c r="C3594" t="s">
        <v>156</v>
      </c>
      <c r="D3594" t="s">
        <v>32</v>
      </c>
      <c r="E3594" t="s">
        <v>24</v>
      </c>
      <c r="F3594" t="s">
        <v>34</v>
      </c>
      <c r="G3594" t="s">
        <v>129</v>
      </c>
      <c r="H3594" t="s">
        <v>27</v>
      </c>
      <c r="I3594" t="s">
        <v>28</v>
      </c>
      <c r="J3594" t="s">
        <v>29</v>
      </c>
      <c r="K3594">
        <v>13685</v>
      </c>
      <c r="L3594">
        <v>144</v>
      </c>
      <c r="M3594">
        <v>127.99</v>
      </c>
      <c r="N3594">
        <v>5</v>
      </c>
      <c r="O3594">
        <v>1022.18</v>
      </c>
      <c r="P3594">
        <f t="shared" si="224"/>
        <v>1.052246985750822E-2</v>
      </c>
      <c r="Q3594">
        <f t="shared" si="224"/>
        <v>0.88881944444444438</v>
      </c>
      <c r="R3594">
        <f t="shared" si="225"/>
        <v>25.597999999999999</v>
      </c>
      <c r="S3594">
        <f t="shared" si="226"/>
        <v>7.9864051879053051</v>
      </c>
      <c r="T3594">
        <f t="shared" si="227"/>
        <v>3.4722222222222224E-2</v>
      </c>
      <c r="U3594" t="str">
        <f>YEAR('Campaign Data'!$A3594)&amp;"-"&amp;TEXT(MONTH('Campaign Data'!$A3594),"00")</f>
        <v>2026-07</v>
      </c>
    </row>
    <row r="3595" spans="1:21" x14ac:dyDescent="0.25">
      <c r="A3595">
        <v>46219</v>
      </c>
      <c r="B3595" t="s">
        <v>155</v>
      </c>
      <c r="C3595" t="s">
        <v>156</v>
      </c>
      <c r="D3595" t="s">
        <v>32</v>
      </c>
      <c r="E3595" t="s">
        <v>24</v>
      </c>
      <c r="F3595" t="s">
        <v>34</v>
      </c>
      <c r="G3595" t="s">
        <v>129</v>
      </c>
      <c r="H3595" t="s">
        <v>27</v>
      </c>
      <c r="I3595" t="s">
        <v>28</v>
      </c>
      <c r="J3595" t="s">
        <v>38</v>
      </c>
      <c r="K3595">
        <v>8337</v>
      </c>
      <c r="L3595">
        <v>113</v>
      </c>
      <c r="M3595">
        <v>156.97</v>
      </c>
      <c r="N3595">
        <v>4</v>
      </c>
      <c r="O3595">
        <v>866.78</v>
      </c>
      <c r="P3595">
        <f t="shared" si="224"/>
        <v>1.3554036224061414E-2</v>
      </c>
      <c r="Q3595">
        <f t="shared" si="224"/>
        <v>1.3891150442477875</v>
      </c>
      <c r="R3595">
        <f t="shared" si="225"/>
        <v>39.2425</v>
      </c>
      <c r="S3595">
        <f t="shared" si="226"/>
        <v>5.5219468688284383</v>
      </c>
      <c r="T3595">
        <f t="shared" si="227"/>
        <v>3.5398230088495575E-2</v>
      </c>
      <c r="U3595" t="str">
        <f>YEAR('Campaign Data'!$A3595)&amp;"-"&amp;TEXT(MONTH('Campaign Data'!$A3595),"00")</f>
        <v>2026-07</v>
      </c>
    </row>
    <row r="3596" spans="1:21" x14ac:dyDescent="0.25">
      <c r="A3596">
        <v>46219</v>
      </c>
      <c r="B3596" t="s">
        <v>114</v>
      </c>
      <c r="C3596" t="s">
        <v>115</v>
      </c>
      <c r="D3596" t="s">
        <v>69</v>
      </c>
      <c r="E3596" t="s">
        <v>49</v>
      </c>
      <c r="F3596" t="s">
        <v>25</v>
      </c>
      <c r="G3596" t="s">
        <v>107</v>
      </c>
      <c r="H3596" t="s">
        <v>36</v>
      </c>
      <c r="I3596" t="s">
        <v>37</v>
      </c>
      <c r="J3596" t="s">
        <v>62</v>
      </c>
      <c r="K3596">
        <v>10493</v>
      </c>
      <c r="L3596">
        <v>446</v>
      </c>
      <c r="M3596">
        <v>935.58</v>
      </c>
      <c r="N3596">
        <v>54</v>
      </c>
      <c r="O3596">
        <v>9724.66</v>
      </c>
      <c r="P3596">
        <f t="shared" si="224"/>
        <v>4.2504526827408746E-2</v>
      </c>
      <c r="Q3596">
        <f t="shared" si="224"/>
        <v>2.0977130044843051</v>
      </c>
      <c r="R3596">
        <f t="shared" si="225"/>
        <v>17.325555555555557</v>
      </c>
      <c r="S3596">
        <f t="shared" si="226"/>
        <v>10.394258107270355</v>
      </c>
      <c r="T3596">
        <f t="shared" si="227"/>
        <v>0.1210762331838565</v>
      </c>
      <c r="U3596" t="str">
        <f>YEAR('Campaign Data'!$A3596)&amp;"-"&amp;TEXT(MONTH('Campaign Data'!$A3596),"00")</f>
        <v>2026-07</v>
      </c>
    </row>
    <row r="3597" spans="1:21" x14ac:dyDescent="0.25">
      <c r="A3597">
        <v>46219</v>
      </c>
      <c r="B3597" t="s">
        <v>136</v>
      </c>
      <c r="C3597" t="s">
        <v>137</v>
      </c>
      <c r="D3597" t="s">
        <v>32</v>
      </c>
      <c r="E3597" t="s">
        <v>49</v>
      </c>
      <c r="F3597" t="s">
        <v>75</v>
      </c>
      <c r="G3597" t="s">
        <v>97</v>
      </c>
      <c r="H3597" t="s">
        <v>90</v>
      </c>
      <c r="I3597" t="s">
        <v>28</v>
      </c>
      <c r="J3597" t="s">
        <v>38</v>
      </c>
      <c r="K3597">
        <v>1538</v>
      </c>
      <c r="L3597">
        <v>99</v>
      </c>
      <c r="M3597">
        <v>58.34</v>
      </c>
      <c r="N3597">
        <v>5</v>
      </c>
      <c r="O3597">
        <v>53.08</v>
      </c>
      <c r="P3597">
        <f t="shared" si="224"/>
        <v>6.4369310793237974E-2</v>
      </c>
      <c r="Q3597">
        <f t="shared" si="224"/>
        <v>0.58929292929292931</v>
      </c>
      <c r="R3597">
        <f t="shared" si="225"/>
        <v>11.668000000000001</v>
      </c>
      <c r="S3597">
        <f t="shared" si="226"/>
        <v>0.9098388755570791</v>
      </c>
      <c r="T3597">
        <f t="shared" si="227"/>
        <v>5.0505050505050504E-2</v>
      </c>
      <c r="U3597" t="str">
        <f>YEAR('Campaign Data'!$A3597)&amp;"-"&amp;TEXT(MONTH('Campaign Data'!$A3597),"00")</f>
        <v>2026-07</v>
      </c>
    </row>
    <row r="3598" spans="1:21" x14ac:dyDescent="0.25">
      <c r="A3598">
        <v>46219</v>
      </c>
      <c r="B3598" t="s">
        <v>118</v>
      </c>
      <c r="C3598" t="s">
        <v>119</v>
      </c>
      <c r="D3598" t="s">
        <v>69</v>
      </c>
      <c r="E3598" t="s">
        <v>33</v>
      </c>
      <c r="F3598" t="s">
        <v>34</v>
      </c>
      <c r="G3598" t="s">
        <v>35</v>
      </c>
      <c r="H3598" t="s">
        <v>55</v>
      </c>
      <c r="I3598" t="s">
        <v>28</v>
      </c>
      <c r="J3598" t="s">
        <v>29</v>
      </c>
      <c r="K3598">
        <v>15186</v>
      </c>
      <c r="L3598">
        <v>165</v>
      </c>
      <c r="M3598">
        <v>74.31</v>
      </c>
      <c r="N3598">
        <v>2</v>
      </c>
      <c r="O3598">
        <v>216.49</v>
      </c>
      <c r="P3598">
        <f t="shared" si="224"/>
        <v>1.0865270644014224E-2</v>
      </c>
      <c r="Q3598">
        <f t="shared" si="224"/>
        <v>0.45036363636363635</v>
      </c>
      <c r="R3598">
        <f t="shared" si="225"/>
        <v>37.155000000000001</v>
      </c>
      <c r="S3598">
        <f t="shared" si="226"/>
        <v>2.913336024761136</v>
      </c>
      <c r="T3598">
        <f t="shared" si="227"/>
        <v>1.2121212121212121E-2</v>
      </c>
      <c r="U3598" t="str">
        <f>YEAR('Campaign Data'!$A3598)&amp;"-"&amp;TEXT(MONTH('Campaign Data'!$A3598),"00")</f>
        <v>2026-07</v>
      </c>
    </row>
    <row r="3599" spans="1:21" x14ac:dyDescent="0.25">
      <c r="A3599">
        <v>46219</v>
      </c>
      <c r="B3599" t="s">
        <v>76</v>
      </c>
      <c r="C3599" t="s">
        <v>77</v>
      </c>
      <c r="D3599" t="s">
        <v>65</v>
      </c>
      <c r="E3599" t="s">
        <v>42</v>
      </c>
      <c r="F3599" t="s">
        <v>43</v>
      </c>
      <c r="G3599" t="s">
        <v>44</v>
      </c>
      <c r="H3599" t="s">
        <v>36</v>
      </c>
      <c r="I3599" t="s">
        <v>37</v>
      </c>
      <c r="J3599" t="s">
        <v>87</v>
      </c>
      <c r="K3599">
        <v>2658</v>
      </c>
      <c r="L3599">
        <v>19</v>
      </c>
      <c r="M3599">
        <v>131.82</v>
      </c>
      <c r="N3599">
        <v>0</v>
      </c>
      <c r="O3599">
        <v>0</v>
      </c>
      <c r="P3599">
        <f t="shared" si="224"/>
        <v>7.1482317531978935E-3</v>
      </c>
      <c r="Q3599">
        <f t="shared" si="224"/>
        <v>6.9378947368421047</v>
      </c>
      <c r="R3599">
        <f t="shared" si="225"/>
        <v>0</v>
      </c>
      <c r="S3599">
        <f t="shared" si="226"/>
        <v>0</v>
      </c>
      <c r="T3599">
        <f t="shared" si="227"/>
        <v>0</v>
      </c>
      <c r="U3599" t="str">
        <f>YEAR('Campaign Data'!$A3599)&amp;"-"&amp;TEXT(MONTH('Campaign Data'!$A3599),"00")</f>
        <v>2026-07</v>
      </c>
    </row>
    <row r="3600" spans="1:21" x14ac:dyDescent="0.25">
      <c r="A3600">
        <v>46220</v>
      </c>
      <c r="B3600" t="s">
        <v>147</v>
      </c>
      <c r="C3600" t="s">
        <v>148</v>
      </c>
      <c r="D3600" t="s">
        <v>23</v>
      </c>
      <c r="E3600" t="s">
        <v>42</v>
      </c>
      <c r="F3600" t="s">
        <v>75</v>
      </c>
      <c r="G3600" t="s">
        <v>44</v>
      </c>
      <c r="H3600" t="s">
        <v>71</v>
      </c>
      <c r="I3600" t="s">
        <v>37</v>
      </c>
      <c r="J3600" t="s">
        <v>62</v>
      </c>
      <c r="K3600">
        <v>21677</v>
      </c>
      <c r="L3600">
        <v>182</v>
      </c>
      <c r="M3600">
        <v>937.4</v>
      </c>
      <c r="N3600">
        <v>12</v>
      </c>
      <c r="O3600">
        <v>512.63</v>
      </c>
      <c r="P3600">
        <f t="shared" si="224"/>
        <v>8.3959957558702777E-3</v>
      </c>
      <c r="Q3600">
        <f t="shared" si="224"/>
        <v>5.15054945054945</v>
      </c>
      <c r="R3600">
        <f t="shared" si="225"/>
        <v>78.11666666666666</v>
      </c>
      <c r="S3600">
        <f t="shared" si="226"/>
        <v>0.54686366545764886</v>
      </c>
      <c r="T3600">
        <f t="shared" si="227"/>
        <v>6.5934065934065936E-2</v>
      </c>
      <c r="U3600" t="str">
        <f>YEAR('Campaign Data'!$A3600)&amp;"-"&amp;TEXT(MONTH('Campaign Data'!$A3600),"00")</f>
        <v>2026-07</v>
      </c>
    </row>
    <row r="3601" spans="1:21" x14ac:dyDescent="0.25">
      <c r="A3601">
        <v>46220</v>
      </c>
      <c r="B3601" t="s">
        <v>125</v>
      </c>
      <c r="C3601" t="s">
        <v>126</v>
      </c>
      <c r="D3601" t="s">
        <v>41</v>
      </c>
      <c r="E3601" t="s">
        <v>42</v>
      </c>
      <c r="F3601" t="s">
        <v>81</v>
      </c>
      <c r="G3601" t="s">
        <v>44</v>
      </c>
      <c r="H3601" t="s">
        <v>27</v>
      </c>
      <c r="I3601" t="s">
        <v>37</v>
      </c>
      <c r="J3601" t="s">
        <v>87</v>
      </c>
      <c r="K3601">
        <v>8162</v>
      </c>
      <c r="L3601">
        <v>36</v>
      </c>
      <c r="M3601">
        <v>260.05</v>
      </c>
      <c r="N3601">
        <v>0</v>
      </c>
      <c r="O3601">
        <v>0</v>
      </c>
      <c r="P3601">
        <f t="shared" si="224"/>
        <v>4.4106836559666745E-3</v>
      </c>
      <c r="Q3601">
        <f t="shared" si="224"/>
        <v>7.2236111111111114</v>
      </c>
      <c r="R3601">
        <f t="shared" si="225"/>
        <v>0</v>
      </c>
      <c r="S3601">
        <f t="shared" si="226"/>
        <v>0</v>
      </c>
      <c r="T3601">
        <f t="shared" si="227"/>
        <v>0</v>
      </c>
      <c r="U3601" t="str">
        <f>YEAR('Campaign Data'!$A3601)&amp;"-"&amp;TEXT(MONTH('Campaign Data'!$A3601),"00")</f>
        <v>2026-07</v>
      </c>
    </row>
    <row r="3602" spans="1:21" x14ac:dyDescent="0.25">
      <c r="A3602">
        <v>46220</v>
      </c>
      <c r="B3602" t="s">
        <v>186</v>
      </c>
      <c r="C3602" t="s">
        <v>187</v>
      </c>
      <c r="D3602" t="s">
        <v>80</v>
      </c>
      <c r="E3602" t="s">
        <v>33</v>
      </c>
      <c r="F3602" t="s">
        <v>43</v>
      </c>
      <c r="G3602" t="s">
        <v>102</v>
      </c>
      <c r="H3602" t="s">
        <v>27</v>
      </c>
      <c r="I3602" t="s">
        <v>28</v>
      </c>
      <c r="J3602" t="s">
        <v>29</v>
      </c>
      <c r="K3602">
        <v>10010</v>
      </c>
      <c r="L3602">
        <v>92</v>
      </c>
      <c r="M3602">
        <v>67.56</v>
      </c>
      <c r="N3602">
        <v>2</v>
      </c>
      <c r="O3602">
        <v>51.19</v>
      </c>
      <c r="P3602">
        <f t="shared" si="224"/>
        <v>9.1908091908091908E-3</v>
      </c>
      <c r="Q3602">
        <f t="shared" si="224"/>
        <v>0.73434782608695659</v>
      </c>
      <c r="R3602">
        <f t="shared" si="225"/>
        <v>33.78</v>
      </c>
      <c r="S3602">
        <f t="shared" si="226"/>
        <v>0.75769686204854936</v>
      </c>
      <c r="T3602">
        <f t="shared" si="227"/>
        <v>2.1739130434782608E-2</v>
      </c>
      <c r="U3602" t="str">
        <f>YEAR('Campaign Data'!$A3602)&amp;"-"&amp;TEXT(MONTH('Campaign Data'!$A3602),"00")</f>
        <v>2026-07</v>
      </c>
    </row>
    <row r="3603" spans="1:21" x14ac:dyDescent="0.25">
      <c r="A3603">
        <v>46220</v>
      </c>
      <c r="B3603" t="s">
        <v>93</v>
      </c>
      <c r="C3603" t="s">
        <v>94</v>
      </c>
      <c r="D3603" t="s">
        <v>69</v>
      </c>
      <c r="E3603" t="s">
        <v>42</v>
      </c>
      <c r="F3603" t="s">
        <v>75</v>
      </c>
      <c r="G3603" t="s">
        <v>44</v>
      </c>
      <c r="H3603" t="s">
        <v>55</v>
      </c>
      <c r="I3603" t="s">
        <v>37</v>
      </c>
      <c r="J3603" t="s">
        <v>45</v>
      </c>
      <c r="K3603">
        <v>13547</v>
      </c>
      <c r="L3603">
        <v>103</v>
      </c>
      <c r="M3603">
        <v>547.03</v>
      </c>
      <c r="N3603">
        <v>6</v>
      </c>
      <c r="O3603">
        <v>150.49</v>
      </c>
      <c r="P3603">
        <f t="shared" si="224"/>
        <v>7.6031593710784674E-3</v>
      </c>
      <c r="Q3603">
        <f t="shared" si="224"/>
        <v>5.3109708737864079</v>
      </c>
      <c r="R3603">
        <f t="shared" si="225"/>
        <v>91.171666666666667</v>
      </c>
      <c r="S3603">
        <f t="shared" si="226"/>
        <v>0.2751037420251175</v>
      </c>
      <c r="T3603">
        <f t="shared" si="227"/>
        <v>5.8252427184466021E-2</v>
      </c>
      <c r="U3603" t="str">
        <f>YEAR('Campaign Data'!$A3603)&amp;"-"&amp;TEXT(MONTH('Campaign Data'!$A3603),"00")</f>
        <v>2026-07</v>
      </c>
    </row>
    <row r="3604" spans="1:21" x14ac:dyDescent="0.25">
      <c r="A3604">
        <v>46220</v>
      </c>
      <c r="B3604" t="s">
        <v>95</v>
      </c>
      <c r="C3604" t="s">
        <v>96</v>
      </c>
      <c r="D3604" t="s">
        <v>23</v>
      </c>
      <c r="E3604" t="s">
        <v>49</v>
      </c>
      <c r="F3604" t="s">
        <v>43</v>
      </c>
      <c r="G3604" t="s">
        <v>97</v>
      </c>
      <c r="H3604" t="s">
        <v>51</v>
      </c>
      <c r="I3604" t="s">
        <v>37</v>
      </c>
      <c r="J3604" t="s">
        <v>62</v>
      </c>
      <c r="K3604">
        <v>11281</v>
      </c>
      <c r="L3604">
        <v>837</v>
      </c>
      <c r="M3604">
        <v>1440.71</v>
      </c>
      <c r="N3604">
        <v>53</v>
      </c>
      <c r="O3604">
        <v>1158.74</v>
      </c>
      <c r="P3604">
        <f t="shared" si="224"/>
        <v>7.4195550039890076E-2</v>
      </c>
      <c r="Q3604">
        <f t="shared" si="224"/>
        <v>1.721278375149343</v>
      </c>
      <c r="R3604">
        <f t="shared" si="225"/>
        <v>27.183207547169811</v>
      </c>
      <c r="S3604">
        <f t="shared" si="226"/>
        <v>0.80428399886167234</v>
      </c>
      <c r="T3604">
        <f t="shared" si="227"/>
        <v>6.3321385902031069E-2</v>
      </c>
      <c r="U3604" t="str">
        <f>YEAR('Campaign Data'!$A3604)&amp;"-"&amp;TEXT(MONTH('Campaign Data'!$A3604),"00")</f>
        <v>2026-07</v>
      </c>
    </row>
    <row r="3605" spans="1:21" x14ac:dyDescent="0.25">
      <c r="A3605">
        <v>46220</v>
      </c>
      <c r="B3605" t="s">
        <v>46</v>
      </c>
      <c r="C3605" t="s">
        <v>47</v>
      </c>
      <c r="D3605" t="s">
        <v>48</v>
      </c>
      <c r="E3605" t="s">
        <v>49</v>
      </c>
      <c r="F3605" t="s">
        <v>43</v>
      </c>
      <c r="G3605" t="s">
        <v>50</v>
      </c>
      <c r="H3605" t="s">
        <v>51</v>
      </c>
      <c r="I3605" t="s">
        <v>37</v>
      </c>
      <c r="J3605" t="s">
        <v>29</v>
      </c>
      <c r="K3605">
        <v>5156</v>
      </c>
      <c r="L3605">
        <v>187</v>
      </c>
      <c r="M3605">
        <v>385.86</v>
      </c>
      <c r="N3605">
        <v>7</v>
      </c>
      <c r="O3605">
        <v>112.13</v>
      </c>
      <c r="P3605">
        <f t="shared" si="224"/>
        <v>3.6268425135764157E-2</v>
      </c>
      <c r="Q3605">
        <f t="shared" si="224"/>
        <v>2.0634224598930482</v>
      </c>
      <c r="R3605">
        <f t="shared" si="225"/>
        <v>55.122857142857143</v>
      </c>
      <c r="S3605">
        <f t="shared" si="226"/>
        <v>0.29059762608199863</v>
      </c>
      <c r="T3605">
        <f t="shared" si="227"/>
        <v>3.7433155080213901E-2</v>
      </c>
      <c r="U3605" t="str">
        <f>YEAR('Campaign Data'!$A3605)&amp;"-"&amp;TEXT(MONTH('Campaign Data'!$A3605),"00")</f>
        <v>2026-07</v>
      </c>
    </row>
    <row r="3606" spans="1:21" x14ac:dyDescent="0.25">
      <c r="A3606">
        <v>46220</v>
      </c>
      <c r="B3606" t="s">
        <v>98</v>
      </c>
      <c r="C3606" t="s">
        <v>99</v>
      </c>
      <c r="D3606" t="s">
        <v>69</v>
      </c>
      <c r="E3606" t="s">
        <v>24</v>
      </c>
      <c r="F3606" t="s">
        <v>75</v>
      </c>
      <c r="G3606" t="s">
        <v>66</v>
      </c>
      <c r="H3606" t="s">
        <v>27</v>
      </c>
      <c r="I3606" t="s">
        <v>37</v>
      </c>
      <c r="J3606" t="s">
        <v>29</v>
      </c>
      <c r="K3606">
        <v>8590</v>
      </c>
      <c r="L3606">
        <v>76</v>
      </c>
      <c r="M3606">
        <v>103.71</v>
      </c>
      <c r="N3606">
        <v>1</v>
      </c>
      <c r="O3606">
        <v>52.71</v>
      </c>
      <c r="P3606">
        <f t="shared" si="224"/>
        <v>8.8474970896391149E-3</v>
      </c>
      <c r="Q3606">
        <f t="shared" si="224"/>
        <v>1.3646052631578947</v>
      </c>
      <c r="R3606">
        <f t="shared" si="225"/>
        <v>103.71</v>
      </c>
      <c r="S3606">
        <f t="shared" si="226"/>
        <v>0.50824414231993065</v>
      </c>
      <c r="T3606">
        <f t="shared" si="227"/>
        <v>1.3157894736842105E-2</v>
      </c>
      <c r="U3606" t="str">
        <f>YEAR('Campaign Data'!$A3606)&amp;"-"&amp;TEXT(MONTH('Campaign Data'!$A3606),"00")</f>
        <v>2026-07</v>
      </c>
    </row>
    <row r="3607" spans="1:21" x14ac:dyDescent="0.25">
      <c r="A3607">
        <v>46220</v>
      </c>
      <c r="B3607" t="s">
        <v>130</v>
      </c>
      <c r="C3607" t="s">
        <v>131</v>
      </c>
      <c r="D3607" t="s">
        <v>48</v>
      </c>
      <c r="E3607" t="s">
        <v>33</v>
      </c>
      <c r="F3607" t="s">
        <v>34</v>
      </c>
      <c r="G3607" t="s">
        <v>35</v>
      </c>
      <c r="H3607" t="s">
        <v>27</v>
      </c>
      <c r="I3607" t="s">
        <v>37</v>
      </c>
      <c r="J3607" t="s">
        <v>45</v>
      </c>
      <c r="K3607">
        <v>61791</v>
      </c>
      <c r="L3607">
        <v>630</v>
      </c>
      <c r="M3607">
        <v>396.81</v>
      </c>
      <c r="N3607">
        <v>11</v>
      </c>
      <c r="O3607">
        <v>1617.55</v>
      </c>
      <c r="P3607">
        <f t="shared" si="224"/>
        <v>1.0195659562072147E-2</v>
      </c>
      <c r="Q3607">
        <f t="shared" si="224"/>
        <v>0.62985714285714289</v>
      </c>
      <c r="R3607">
        <f t="shared" si="225"/>
        <v>36.073636363636361</v>
      </c>
      <c r="S3607">
        <f t="shared" si="226"/>
        <v>4.0763841637055513</v>
      </c>
      <c r="T3607">
        <f t="shared" si="227"/>
        <v>1.7460317460317461E-2</v>
      </c>
      <c r="U3607" t="str">
        <f>YEAR('Campaign Data'!$A3607)&amp;"-"&amp;TEXT(MONTH('Campaign Data'!$A3607),"00")</f>
        <v>2026-07</v>
      </c>
    </row>
    <row r="3608" spans="1:21" x14ac:dyDescent="0.25">
      <c r="A3608">
        <v>46220</v>
      </c>
      <c r="B3608" t="s">
        <v>130</v>
      </c>
      <c r="C3608" t="s">
        <v>131</v>
      </c>
      <c r="D3608" t="s">
        <v>48</v>
      </c>
      <c r="E3608" t="s">
        <v>33</v>
      </c>
      <c r="F3608" t="s">
        <v>34</v>
      </c>
      <c r="G3608" t="s">
        <v>35</v>
      </c>
      <c r="H3608" t="s">
        <v>36</v>
      </c>
      <c r="I3608" t="s">
        <v>37</v>
      </c>
      <c r="J3608" t="s">
        <v>38</v>
      </c>
      <c r="K3608">
        <v>3909</v>
      </c>
      <c r="L3608">
        <v>49</v>
      </c>
      <c r="M3608">
        <v>33.06</v>
      </c>
      <c r="N3608">
        <v>0</v>
      </c>
      <c r="O3608">
        <v>0</v>
      </c>
      <c r="P3608">
        <f t="shared" si="224"/>
        <v>1.253517523663341E-2</v>
      </c>
      <c r="Q3608">
        <f t="shared" si="224"/>
        <v>0.6746938775510205</v>
      </c>
      <c r="R3608">
        <f t="shared" si="225"/>
        <v>0</v>
      </c>
      <c r="S3608">
        <f t="shared" si="226"/>
        <v>0</v>
      </c>
      <c r="T3608">
        <f t="shared" si="227"/>
        <v>0</v>
      </c>
      <c r="U3608" t="str">
        <f>YEAR('Campaign Data'!$A3608)&amp;"-"&amp;TEXT(MONTH('Campaign Data'!$A3608),"00")</f>
        <v>2026-07</v>
      </c>
    </row>
    <row r="3609" spans="1:21" x14ac:dyDescent="0.25">
      <c r="A3609">
        <v>46220</v>
      </c>
      <c r="B3609" t="s">
        <v>130</v>
      </c>
      <c r="C3609" t="s">
        <v>131</v>
      </c>
      <c r="D3609" t="s">
        <v>48</v>
      </c>
      <c r="E3609" t="s">
        <v>33</v>
      </c>
      <c r="F3609" t="s">
        <v>34</v>
      </c>
      <c r="G3609" t="s">
        <v>35</v>
      </c>
      <c r="H3609" t="s">
        <v>90</v>
      </c>
      <c r="I3609" t="s">
        <v>61</v>
      </c>
      <c r="J3609" t="s">
        <v>62</v>
      </c>
      <c r="K3609">
        <v>4379</v>
      </c>
      <c r="L3609">
        <v>54</v>
      </c>
      <c r="M3609">
        <v>11.63</v>
      </c>
      <c r="N3609">
        <v>0</v>
      </c>
      <c r="O3609">
        <v>0</v>
      </c>
      <c r="P3609">
        <f t="shared" si="224"/>
        <v>1.2331582553094314E-2</v>
      </c>
      <c r="Q3609">
        <f t="shared" si="224"/>
        <v>0.21537037037037038</v>
      </c>
      <c r="R3609">
        <f t="shared" si="225"/>
        <v>0</v>
      </c>
      <c r="S3609">
        <f t="shared" si="226"/>
        <v>0</v>
      </c>
      <c r="T3609">
        <f t="shared" si="227"/>
        <v>0</v>
      </c>
      <c r="U3609" t="str">
        <f>YEAR('Campaign Data'!$A3609)&amp;"-"&amp;TEXT(MONTH('Campaign Data'!$A3609),"00")</f>
        <v>2026-07</v>
      </c>
    </row>
    <row r="3610" spans="1:21" x14ac:dyDescent="0.25">
      <c r="A3610">
        <v>46220</v>
      </c>
      <c r="B3610" t="s">
        <v>130</v>
      </c>
      <c r="C3610" t="s">
        <v>131</v>
      </c>
      <c r="D3610" t="s">
        <v>48</v>
      </c>
      <c r="E3610" t="s">
        <v>33</v>
      </c>
      <c r="F3610" t="s">
        <v>34</v>
      </c>
      <c r="G3610" t="s">
        <v>35</v>
      </c>
      <c r="H3610" t="s">
        <v>27</v>
      </c>
      <c r="I3610" t="s">
        <v>37</v>
      </c>
      <c r="J3610" t="s">
        <v>62</v>
      </c>
      <c r="K3610">
        <v>1122</v>
      </c>
      <c r="L3610">
        <v>19</v>
      </c>
      <c r="M3610">
        <v>13.32</v>
      </c>
      <c r="N3610">
        <v>0</v>
      </c>
      <c r="O3610">
        <v>0</v>
      </c>
      <c r="P3610">
        <f t="shared" si="224"/>
        <v>1.6934046345811051E-2</v>
      </c>
      <c r="Q3610">
        <f t="shared" si="224"/>
        <v>0.70105263157894737</v>
      </c>
      <c r="R3610">
        <f t="shared" si="225"/>
        <v>0</v>
      </c>
      <c r="S3610">
        <f t="shared" si="226"/>
        <v>0</v>
      </c>
      <c r="T3610">
        <f t="shared" si="227"/>
        <v>0</v>
      </c>
      <c r="U3610" t="str">
        <f>YEAR('Campaign Data'!$A3610)&amp;"-"&amp;TEXT(MONTH('Campaign Data'!$A3610),"00")</f>
        <v>2026-07</v>
      </c>
    </row>
    <row r="3611" spans="1:21" x14ac:dyDescent="0.25">
      <c r="A3611">
        <v>46220</v>
      </c>
      <c r="B3611" t="s">
        <v>132</v>
      </c>
      <c r="C3611" t="s">
        <v>133</v>
      </c>
      <c r="D3611" t="s">
        <v>23</v>
      </c>
      <c r="E3611" t="s">
        <v>42</v>
      </c>
      <c r="F3611" t="s">
        <v>75</v>
      </c>
      <c r="G3611" t="s">
        <v>84</v>
      </c>
      <c r="H3611" t="s">
        <v>60</v>
      </c>
      <c r="I3611" t="s">
        <v>37</v>
      </c>
      <c r="J3611" t="s">
        <v>45</v>
      </c>
      <c r="K3611">
        <v>9529</v>
      </c>
      <c r="L3611">
        <v>52</v>
      </c>
      <c r="M3611">
        <v>243.49</v>
      </c>
      <c r="N3611">
        <v>3</v>
      </c>
      <c r="O3611">
        <v>122.05</v>
      </c>
      <c r="P3611">
        <f t="shared" si="224"/>
        <v>5.4570259208731242E-3</v>
      </c>
      <c r="Q3611">
        <f t="shared" si="224"/>
        <v>4.6825000000000001</v>
      </c>
      <c r="R3611">
        <f t="shared" si="225"/>
        <v>81.163333333333341</v>
      </c>
      <c r="S3611">
        <f t="shared" si="226"/>
        <v>0.50125261817733779</v>
      </c>
      <c r="T3611">
        <f t="shared" si="227"/>
        <v>5.7692307692307696E-2</v>
      </c>
      <c r="U3611" t="str">
        <f>YEAR('Campaign Data'!$A3611)&amp;"-"&amp;TEXT(MONTH('Campaign Data'!$A3611),"00")</f>
        <v>2026-07</v>
      </c>
    </row>
    <row r="3612" spans="1:21" x14ac:dyDescent="0.25">
      <c r="A3612">
        <v>46220</v>
      </c>
      <c r="B3612" t="s">
        <v>132</v>
      </c>
      <c r="C3612" t="s">
        <v>133</v>
      </c>
      <c r="D3612" t="s">
        <v>23</v>
      </c>
      <c r="E3612" t="s">
        <v>42</v>
      </c>
      <c r="F3612" t="s">
        <v>75</v>
      </c>
      <c r="G3612" t="s">
        <v>84</v>
      </c>
      <c r="H3612" t="s">
        <v>36</v>
      </c>
      <c r="I3612" t="s">
        <v>61</v>
      </c>
      <c r="J3612" t="s">
        <v>62</v>
      </c>
      <c r="K3612">
        <v>6171</v>
      </c>
      <c r="L3612">
        <v>74</v>
      </c>
      <c r="M3612">
        <v>452.17</v>
      </c>
      <c r="N3612">
        <v>2</v>
      </c>
      <c r="O3612">
        <v>53.21</v>
      </c>
      <c r="P3612">
        <f t="shared" si="224"/>
        <v>1.1991573488899692E-2</v>
      </c>
      <c r="Q3612">
        <f t="shared" si="224"/>
        <v>6.1104054054054053</v>
      </c>
      <c r="R3612">
        <f t="shared" si="225"/>
        <v>226.08500000000001</v>
      </c>
      <c r="S3612">
        <f t="shared" si="226"/>
        <v>0.11767697989694141</v>
      </c>
      <c r="T3612">
        <f t="shared" si="227"/>
        <v>2.7027027027027029E-2</v>
      </c>
      <c r="U3612" t="str">
        <f>YEAR('Campaign Data'!$A3612)&amp;"-"&amp;TEXT(MONTH('Campaign Data'!$A3612),"00")</f>
        <v>2026-07</v>
      </c>
    </row>
    <row r="3613" spans="1:21" x14ac:dyDescent="0.25">
      <c r="A3613">
        <v>46220</v>
      </c>
      <c r="B3613" t="s">
        <v>153</v>
      </c>
      <c r="C3613" t="s">
        <v>154</v>
      </c>
      <c r="D3613" t="s">
        <v>48</v>
      </c>
      <c r="E3613" t="s">
        <v>33</v>
      </c>
      <c r="F3613" t="s">
        <v>43</v>
      </c>
      <c r="G3613" t="s">
        <v>59</v>
      </c>
      <c r="H3613" t="s">
        <v>90</v>
      </c>
      <c r="I3613" t="s">
        <v>28</v>
      </c>
      <c r="J3613" t="s">
        <v>45</v>
      </c>
      <c r="K3613">
        <v>4473</v>
      </c>
      <c r="L3613">
        <v>49</v>
      </c>
      <c r="M3613">
        <v>8.23</v>
      </c>
      <c r="N3613">
        <v>0</v>
      </c>
      <c r="O3613">
        <v>0</v>
      </c>
      <c r="P3613">
        <f t="shared" si="224"/>
        <v>1.0954616588419406E-2</v>
      </c>
      <c r="Q3613">
        <f t="shared" si="224"/>
        <v>0.1679591836734694</v>
      </c>
      <c r="R3613">
        <f t="shared" si="225"/>
        <v>0</v>
      </c>
      <c r="S3613">
        <f t="shared" si="226"/>
        <v>0</v>
      </c>
      <c r="T3613">
        <f t="shared" si="227"/>
        <v>0</v>
      </c>
      <c r="U3613" t="str">
        <f>YEAR('Campaign Data'!$A3613)&amp;"-"&amp;TEXT(MONTH('Campaign Data'!$A3613),"00")</f>
        <v>2026-07</v>
      </c>
    </row>
    <row r="3614" spans="1:21" x14ac:dyDescent="0.25">
      <c r="A3614">
        <v>46220</v>
      </c>
      <c r="B3614" t="s">
        <v>140</v>
      </c>
      <c r="C3614" t="s">
        <v>40</v>
      </c>
      <c r="D3614" t="s">
        <v>41</v>
      </c>
      <c r="E3614" t="s">
        <v>42</v>
      </c>
      <c r="F3614" t="s">
        <v>43</v>
      </c>
      <c r="G3614" t="s">
        <v>44</v>
      </c>
      <c r="H3614" t="s">
        <v>27</v>
      </c>
      <c r="I3614" t="s">
        <v>37</v>
      </c>
      <c r="J3614" t="s">
        <v>38</v>
      </c>
      <c r="K3614">
        <v>3626</v>
      </c>
      <c r="L3614">
        <v>22</v>
      </c>
      <c r="M3614">
        <v>204.53</v>
      </c>
      <c r="N3614">
        <v>1</v>
      </c>
      <c r="O3614">
        <v>38.6</v>
      </c>
      <c r="P3614">
        <f t="shared" si="224"/>
        <v>6.0672917815774961E-3</v>
      </c>
      <c r="Q3614">
        <f t="shared" si="224"/>
        <v>9.2968181818181819</v>
      </c>
      <c r="R3614">
        <f t="shared" si="225"/>
        <v>204.53</v>
      </c>
      <c r="S3614">
        <f t="shared" si="226"/>
        <v>0.1887253703613162</v>
      </c>
      <c r="T3614">
        <f t="shared" si="227"/>
        <v>4.5454545454545456E-2</v>
      </c>
      <c r="U3614" t="str">
        <f>YEAR('Campaign Data'!$A3614)&amp;"-"&amp;TEXT(MONTH('Campaign Data'!$A3614),"00")</f>
        <v>2026-07</v>
      </c>
    </row>
    <row r="3615" spans="1:21" x14ac:dyDescent="0.25">
      <c r="A3615">
        <v>46220</v>
      </c>
      <c r="B3615" t="s">
        <v>157</v>
      </c>
      <c r="C3615" t="s">
        <v>158</v>
      </c>
      <c r="D3615" t="s">
        <v>58</v>
      </c>
      <c r="E3615" t="s">
        <v>49</v>
      </c>
      <c r="F3615" t="s">
        <v>81</v>
      </c>
      <c r="G3615" t="s">
        <v>50</v>
      </c>
      <c r="H3615" t="s">
        <v>60</v>
      </c>
      <c r="I3615" t="s">
        <v>61</v>
      </c>
      <c r="J3615" t="s">
        <v>45</v>
      </c>
      <c r="K3615">
        <v>4324</v>
      </c>
      <c r="L3615">
        <v>224</v>
      </c>
      <c r="M3615">
        <v>447.54</v>
      </c>
      <c r="N3615">
        <v>13</v>
      </c>
      <c r="O3615">
        <v>257.33999999999997</v>
      </c>
      <c r="P3615">
        <f t="shared" si="224"/>
        <v>5.1803885291396852E-2</v>
      </c>
      <c r="Q3615">
        <f t="shared" si="224"/>
        <v>1.9979464285714286</v>
      </c>
      <c r="R3615">
        <f t="shared" si="225"/>
        <v>34.426153846153845</v>
      </c>
      <c r="S3615">
        <f t="shared" si="226"/>
        <v>0.57501005496715374</v>
      </c>
      <c r="T3615">
        <f t="shared" si="227"/>
        <v>5.8035714285714288E-2</v>
      </c>
      <c r="U3615" t="str">
        <f>YEAR('Campaign Data'!$A3615)&amp;"-"&amp;TEXT(MONTH('Campaign Data'!$A3615),"00")</f>
        <v>2026-07</v>
      </c>
    </row>
    <row r="3616" spans="1:21" x14ac:dyDescent="0.25">
      <c r="A3616">
        <v>46220</v>
      </c>
      <c r="B3616" t="s">
        <v>161</v>
      </c>
      <c r="C3616" t="s">
        <v>162</v>
      </c>
      <c r="D3616" t="s">
        <v>48</v>
      </c>
      <c r="E3616" t="s">
        <v>74</v>
      </c>
      <c r="F3616" t="s">
        <v>34</v>
      </c>
      <c r="G3616" t="s">
        <v>107</v>
      </c>
      <c r="H3616" t="s">
        <v>27</v>
      </c>
      <c r="I3616" t="s">
        <v>37</v>
      </c>
      <c r="J3616" t="s">
        <v>38</v>
      </c>
      <c r="K3616">
        <v>3674</v>
      </c>
      <c r="L3616">
        <v>135</v>
      </c>
      <c r="M3616">
        <v>115.79</v>
      </c>
      <c r="N3616">
        <v>8</v>
      </c>
      <c r="O3616">
        <v>1422.86</v>
      </c>
      <c r="P3616">
        <f t="shared" si="224"/>
        <v>3.6744692433315185E-2</v>
      </c>
      <c r="Q3616">
        <f t="shared" si="224"/>
        <v>0.85770370370370375</v>
      </c>
      <c r="R3616">
        <f t="shared" si="225"/>
        <v>14.473750000000001</v>
      </c>
      <c r="S3616">
        <f t="shared" si="226"/>
        <v>12.288280507815871</v>
      </c>
      <c r="T3616">
        <f t="shared" si="227"/>
        <v>5.9259259259259262E-2</v>
      </c>
      <c r="U3616" t="str">
        <f>YEAR('Campaign Data'!$A3616)&amp;"-"&amp;TEXT(MONTH('Campaign Data'!$A3616),"00")</f>
        <v>2026-07</v>
      </c>
    </row>
    <row r="3617" spans="1:21" x14ac:dyDescent="0.25">
      <c r="A3617">
        <v>46220</v>
      </c>
      <c r="B3617" t="s">
        <v>56</v>
      </c>
      <c r="C3617" t="s">
        <v>57</v>
      </c>
      <c r="D3617" t="s">
        <v>58</v>
      </c>
      <c r="E3617" t="s">
        <v>33</v>
      </c>
      <c r="F3617" t="s">
        <v>43</v>
      </c>
      <c r="G3617" t="s">
        <v>59</v>
      </c>
      <c r="H3617" t="s">
        <v>51</v>
      </c>
      <c r="I3617" t="s">
        <v>61</v>
      </c>
      <c r="J3617" t="s">
        <v>45</v>
      </c>
      <c r="K3617">
        <v>5346</v>
      </c>
      <c r="L3617">
        <v>35</v>
      </c>
      <c r="M3617">
        <v>19.66</v>
      </c>
      <c r="N3617">
        <v>1</v>
      </c>
      <c r="O3617">
        <v>19.34</v>
      </c>
      <c r="P3617">
        <f t="shared" si="224"/>
        <v>6.5469509913954355E-3</v>
      </c>
      <c r="Q3617">
        <f t="shared" si="224"/>
        <v>0.56171428571428572</v>
      </c>
      <c r="R3617">
        <f t="shared" si="225"/>
        <v>19.66</v>
      </c>
      <c r="S3617">
        <f t="shared" si="226"/>
        <v>0.98372329603255337</v>
      </c>
      <c r="T3617">
        <f t="shared" si="227"/>
        <v>2.8571428571428571E-2</v>
      </c>
      <c r="U3617" t="str">
        <f>YEAR('Campaign Data'!$A3617)&amp;"-"&amp;TEXT(MONTH('Campaign Data'!$A3617),"00")</f>
        <v>2026-07</v>
      </c>
    </row>
    <row r="3618" spans="1:21" x14ac:dyDescent="0.25">
      <c r="A3618">
        <v>46220</v>
      </c>
      <c r="B3618" t="s">
        <v>136</v>
      </c>
      <c r="C3618" t="s">
        <v>137</v>
      </c>
      <c r="D3618" t="s">
        <v>32</v>
      </c>
      <c r="E3618" t="s">
        <v>49</v>
      </c>
      <c r="F3618" t="s">
        <v>75</v>
      </c>
      <c r="G3618" t="s">
        <v>97</v>
      </c>
      <c r="H3618" t="s">
        <v>60</v>
      </c>
      <c r="I3618" t="s">
        <v>61</v>
      </c>
      <c r="J3618" t="s">
        <v>87</v>
      </c>
      <c r="K3618">
        <v>2072</v>
      </c>
      <c r="L3618">
        <v>108</v>
      </c>
      <c r="M3618">
        <v>244.18</v>
      </c>
      <c r="N3618">
        <v>9</v>
      </c>
      <c r="O3618">
        <v>331.76</v>
      </c>
      <c r="P3618">
        <f t="shared" si="224"/>
        <v>5.2123552123552123E-2</v>
      </c>
      <c r="Q3618">
        <f t="shared" si="224"/>
        <v>2.260925925925926</v>
      </c>
      <c r="R3618">
        <f t="shared" si="225"/>
        <v>27.13111111111111</v>
      </c>
      <c r="S3618">
        <f t="shared" si="226"/>
        <v>1.358669833729216</v>
      </c>
      <c r="T3618">
        <f t="shared" si="227"/>
        <v>8.3333333333333329E-2</v>
      </c>
      <c r="U3618" t="str">
        <f>YEAR('Campaign Data'!$A3618)&amp;"-"&amp;TEXT(MONTH('Campaign Data'!$A3618),"00")</f>
        <v>2026-07</v>
      </c>
    </row>
    <row r="3619" spans="1:21" x14ac:dyDescent="0.25">
      <c r="A3619">
        <v>46220</v>
      </c>
      <c r="B3619" t="s">
        <v>143</v>
      </c>
      <c r="C3619" t="s">
        <v>144</v>
      </c>
      <c r="D3619" t="s">
        <v>48</v>
      </c>
      <c r="E3619" t="s">
        <v>42</v>
      </c>
      <c r="F3619" t="s">
        <v>25</v>
      </c>
      <c r="G3619" t="s">
        <v>84</v>
      </c>
      <c r="H3619" t="s">
        <v>27</v>
      </c>
      <c r="I3619" t="s">
        <v>61</v>
      </c>
      <c r="J3619" t="s">
        <v>87</v>
      </c>
      <c r="K3619">
        <v>4105</v>
      </c>
      <c r="L3619">
        <v>29</v>
      </c>
      <c r="M3619">
        <v>170.2</v>
      </c>
      <c r="N3619">
        <v>2</v>
      </c>
      <c r="O3619">
        <v>403.96</v>
      </c>
      <c r="P3619">
        <f t="shared" si="224"/>
        <v>7.064555420219245E-3</v>
      </c>
      <c r="Q3619">
        <f t="shared" si="224"/>
        <v>5.8689655172413788</v>
      </c>
      <c r="R3619">
        <f t="shared" si="225"/>
        <v>85.1</v>
      </c>
      <c r="S3619">
        <f t="shared" si="226"/>
        <v>2.373443008225617</v>
      </c>
      <c r="T3619">
        <f t="shared" si="227"/>
        <v>6.8965517241379309E-2</v>
      </c>
      <c r="U3619" t="str">
        <f>YEAR('Campaign Data'!$A3619)&amp;"-"&amp;TEXT(MONTH('Campaign Data'!$A3619),"00")</f>
        <v>2026-07</v>
      </c>
    </row>
    <row r="3620" spans="1:21" x14ac:dyDescent="0.25">
      <c r="A3620">
        <v>46220</v>
      </c>
      <c r="B3620" t="s">
        <v>63</v>
      </c>
      <c r="C3620" t="s">
        <v>64</v>
      </c>
      <c r="D3620" t="s">
        <v>65</v>
      </c>
      <c r="E3620" t="s">
        <v>24</v>
      </c>
      <c r="F3620" t="s">
        <v>43</v>
      </c>
      <c r="G3620" t="s">
        <v>66</v>
      </c>
      <c r="H3620" t="s">
        <v>90</v>
      </c>
      <c r="I3620" t="s">
        <v>28</v>
      </c>
      <c r="J3620" t="s">
        <v>45</v>
      </c>
      <c r="K3620">
        <v>4410</v>
      </c>
      <c r="L3620">
        <v>17</v>
      </c>
      <c r="M3620">
        <v>4.1500000000000004</v>
      </c>
      <c r="N3620">
        <v>1</v>
      </c>
      <c r="O3620">
        <v>8.2200000000000006</v>
      </c>
      <c r="P3620">
        <f t="shared" si="224"/>
        <v>3.8548752834467121E-3</v>
      </c>
      <c r="Q3620">
        <f t="shared" si="224"/>
        <v>0.24411764705882355</v>
      </c>
      <c r="R3620">
        <f t="shared" si="225"/>
        <v>4.1500000000000004</v>
      </c>
      <c r="S3620">
        <f t="shared" si="226"/>
        <v>1.9807228915662651</v>
      </c>
      <c r="T3620">
        <f t="shared" si="227"/>
        <v>5.8823529411764705E-2</v>
      </c>
      <c r="U3620" t="str">
        <f>YEAR('Campaign Data'!$A3620)&amp;"-"&amp;TEXT(MONTH('Campaign Data'!$A3620),"00")</f>
        <v>2026-07</v>
      </c>
    </row>
    <row r="3621" spans="1:21" x14ac:dyDescent="0.25">
      <c r="A3621">
        <v>46220</v>
      </c>
      <c r="B3621" t="s">
        <v>145</v>
      </c>
      <c r="C3621" t="s">
        <v>146</v>
      </c>
      <c r="D3621" t="s">
        <v>41</v>
      </c>
      <c r="E3621" t="s">
        <v>49</v>
      </c>
      <c r="F3621" t="s">
        <v>75</v>
      </c>
      <c r="G3621" t="s">
        <v>70</v>
      </c>
      <c r="H3621" t="s">
        <v>27</v>
      </c>
      <c r="I3621" t="s">
        <v>28</v>
      </c>
      <c r="J3621" t="s">
        <v>29</v>
      </c>
      <c r="K3621">
        <v>9046</v>
      </c>
      <c r="L3621">
        <v>528</v>
      </c>
      <c r="M3621">
        <v>1050.19</v>
      </c>
      <c r="N3621">
        <v>20</v>
      </c>
      <c r="O3621">
        <v>682.36</v>
      </c>
      <c r="P3621">
        <f t="shared" si="224"/>
        <v>5.8368339597612201E-2</v>
      </c>
      <c r="Q3621">
        <f t="shared" si="224"/>
        <v>1.9889962121212121</v>
      </c>
      <c r="R3621">
        <f t="shared" si="225"/>
        <v>52.509500000000003</v>
      </c>
      <c r="S3621">
        <f t="shared" si="226"/>
        <v>0.64974909302126282</v>
      </c>
      <c r="T3621">
        <f t="shared" si="227"/>
        <v>3.787878787878788E-2</v>
      </c>
      <c r="U3621" t="str">
        <f>YEAR('Campaign Data'!$A3621)&amp;"-"&amp;TEXT(MONTH('Campaign Data'!$A3621),"00")</f>
        <v>2026-07</v>
      </c>
    </row>
    <row r="3622" spans="1:21" x14ac:dyDescent="0.25">
      <c r="A3622">
        <v>46221</v>
      </c>
      <c r="B3622" t="s">
        <v>88</v>
      </c>
      <c r="C3622" t="s">
        <v>89</v>
      </c>
      <c r="D3622" t="s">
        <v>23</v>
      </c>
      <c r="E3622" t="s">
        <v>49</v>
      </c>
      <c r="F3622" t="s">
        <v>81</v>
      </c>
      <c r="G3622" t="s">
        <v>50</v>
      </c>
      <c r="H3622" t="s">
        <v>71</v>
      </c>
      <c r="I3622" t="s">
        <v>37</v>
      </c>
      <c r="J3622" t="s">
        <v>38</v>
      </c>
      <c r="K3622">
        <v>3685</v>
      </c>
      <c r="L3622">
        <v>132</v>
      </c>
      <c r="M3622">
        <v>236.91</v>
      </c>
      <c r="N3622">
        <v>7</v>
      </c>
      <c r="O3622">
        <v>87.58</v>
      </c>
      <c r="P3622">
        <f t="shared" si="224"/>
        <v>3.5820895522388062E-2</v>
      </c>
      <c r="Q3622">
        <f t="shared" si="224"/>
        <v>1.7947727272727272</v>
      </c>
      <c r="R3622">
        <f t="shared" si="225"/>
        <v>33.844285714285711</v>
      </c>
      <c r="S3622">
        <f t="shared" si="226"/>
        <v>0.36967624836435775</v>
      </c>
      <c r="T3622">
        <f t="shared" si="227"/>
        <v>5.3030303030303032E-2</v>
      </c>
      <c r="U3622" t="str">
        <f>YEAR('Campaign Data'!$A3622)&amp;"-"&amp;TEXT(MONTH('Campaign Data'!$A3622),"00")</f>
        <v>2026-07</v>
      </c>
    </row>
    <row r="3623" spans="1:21" x14ac:dyDescent="0.25">
      <c r="A3623">
        <v>46221</v>
      </c>
      <c r="B3623" t="s">
        <v>88</v>
      </c>
      <c r="C3623" t="s">
        <v>89</v>
      </c>
      <c r="D3623" t="s">
        <v>23</v>
      </c>
      <c r="E3623" t="s">
        <v>49</v>
      </c>
      <c r="F3623" t="s">
        <v>81</v>
      </c>
      <c r="G3623" t="s">
        <v>50</v>
      </c>
      <c r="H3623" t="s">
        <v>90</v>
      </c>
      <c r="I3623" t="s">
        <v>37</v>
      </c>
      <c r="J3623" t="s">
        <v>45</v>
      </c>
      <c r="K3623">
        <v>3169</v>
      </c>
      <c r="L3623">
        <v>232</v>
      </c>
      <c r="M3623">
        <v>147.65</v>
      </c>
      <c r="N3623">
        <v>9</v>
      </c>
      <c r="O3623">
        <v>48.12</v>
      </c>
      <c r="P3623">
        <f t="shared" si="224"/>
        <v>7.3209214263174505E-2</v>
      </c>
      <c r="Q3623">
        <f t="shared" si="224"/>
        <v>0.63642241379310349</v>
      </c>
      <c r="R3623">
        <f t="shared" si="225"/>
        <v>16.405555555555555</v>
      </c>
      <c r="S3623">
        <f t="shared" si="226"/>
        <v>0.32590585844903486</v>
      </c>
      <c r="T3623">
        <f t="shared" si="227"/>
        <v>3.8793103448275863E-2</v>
      </c>
      <c r="U3623" t="str">
        <f>YEAR('Campaign Data'!$A3623)&amp;"-"&amp;TEXT(MONTH('Campaign Data'!$A3623),"00")</f>
        <v>2026-07</v>
      </c>
    </row>
    <row r="3624" spans="1:21" x14ac:dyDescent="0.25">
      <c r="A3624">
        <v>46221</v>
      </c>
      <c r="B3624" t="s">
        <v>167</v>
      </c>
      <c r="C3624" t="s">
        <v>168</v>
      </c>
      <c r="D3624" t="s">
        <v>58</v>
      </c>
      <c r="E3624" t="s">
        <v>33</v>
      </c>
      <c r="F3624" t="s">
        <v>75</v>
      </c>
      <c r="G3624" t="s">
        <v>35</v>
      </c>
      <c r="H3624" t="s">
        <v>90</v>
      </c>
      <c r="I3624" t="s">
        <v>37</v>
      </c>
      <c r="J3624" t="s">
        <v>87</v>
      </c>
      <c r="K3624">
        <v>4812</v>
      </c>
      <c r="L3624">
        <v>56</v>
      </c>
      <c r="M3624">
        <v>5.68</v>
      </c>
      <c r="N3624">
        <v>1</v>
      </c>
      <c r="O3624">
        <v>14.01</v>
      </c>
      <c r="P3624">
        <f t="shared" si="224"/>
        <v>1.1637572734829594E-2</v>
      </c>
      <c r="Q3624">
        <f t="shared" si="224"/>
        <v>0.10142857142857142</v>
      </c>
      <c r="R3624">
        <f t="shared" si="225"/>
        <v>5.68</v>
      </c>
      <c r="S3624">
        <f t="shared" si="226"/>
        <v>2.466549295774648</v>
      </c>
      <c r="T3624">
        <f t="shared" si="227"/>
        <v>1.7857142857142856E-2</v>
      </c>
      <c r="U3624" t="str">
        <f>YEAR('Campaign Data'!$A3624)&amp;"-"&amp;TEXT(MONTH('Campaign Data'!$A3624),"00")</f>
        <v>2026-07</v>
      </c>
    </row>
    <row r="3625" spans="1:21" x14ac:dyDescent="0.25">
      <c r="A3625">
        <v>46221</v>
      </c>
      <c r="B3625" t="s">
        <v>147</v>
      </c>
      <c r="C3625" t="s">
        <v>148</v>
      </c>
      <c r="D3625" t="s">
        <v>23</v>
      </c>
      <c r="E3625" t="s">
        <v>42</v>
      </c>
      <c r="F3625" t="s">
        <v>75</v>
      </c>
      <c r="G3625" t="s">
        <v>44</v>
      </c>
      <c r="H3625" t="s">
        <v>90</v>
      </c>
      <c r="I3625" t="s">
        <v>37</v>
      </c>
      <c r="J3625" t="s">
        <v>62</v>
      </c>
      <c r="K3625">
        <v>3103</v>
      </c>
      <c r="L3625">
        <v>20</v>
      </c>
      <c r="M3625">
        <v>29.35</v>
      </c>
      <c r="N3625">
        <v>1</v>
      </c>
      <c r="O3625">
        <v>13.44</v>
      </c>
      <c r="P3625">
        <f t="shared" si="224"/>
        <v>6.4453754431195616E-3</v>
      </c>
      <c r="Q3625">
        <f t="shared" si="224"/>
        <v>1.4675</v>
      </c>
      <c r="R3625">
        <f t="shared" si="225"/>
        <v>29.35</v>
      </c>
      <c r="S3625">
        <f t="shared" si="226"/>
        <v>0.45792163543441222</v>
      </c>
      <c r="T3625">
        <f t="shared" si="227"/>
        <v>0.05</v>
      </c>
      <c r="U3625" t="str">
        <f>YEAR('Campaign Data'!$A3625)&amp;"-"&amp;TEXT(MONTH('Campaign Data'!$A3625),"00")</f>
        <v>2026-07</v>
      </c>
    </row>
    <row r="3626" spans="1:21" x14ac:dyDescent="0.25">
      <c r="A3626">
        <v>46221</v>
      </c>
      <c r="B3626" t="s">
        <v>125</v>
      </c>
      <c r="C3626" t="s">
        <v>126</v>
      </c>
      <c r="D3626" t="s">
        <v>41</v>
      </c>
      <c r="E3626" t="s">
        <v>42</v>
      </c>
      <c r="F3626" t="s">
        <v>81</v>
      </c>
      <c r="G3626" t="s">
        <v>44</v>
      </c>
      <c r="H3626" t="s">
        <v>60</v>
      </c>
      <c r="I3626" t="s">
        <v>37</v>
      </c>
      <c r="J3626" t="s">
        <v>62</v>
      </c>
      <c r="K3626">
        <v>6708</v>
      </c>
      <c r="L3626">
        <v>60</v>
      </c>
      <c r="M3626">
        <v>426.99</v>
      </c>
      <c r="N3626">
        <v>4</v>
      </c>
      <c r="O3626">
        <v>94.48</v>
      </c>
      <c r="P3626">
        <f t="shared" si="224"/>
        <v>8.9445438282647581E-3</v>
      </c>
      <c r="Q3626">
        <f t="shared" si="224"/>
        <v>7.1165000000000003</v>
      </c>
      <c r="R3626">
        <f t="shared" si="225"/>
        <v>106.7475</v>
      </c>
      <c r="S3626">
        <f t="shared" si="226"/>
        <v>0.22126981896531536</v>
      </c>
      <c r="T3626">
        <f t="shared" si="227"/>
        <v>6.6666666666666666E-2</v>
      </c>
      <c r="U3626" t="str">
        <f>YEAR('Campaign Data'!$A3626)&amp;"-"&amp;TEXT(MONTH('Campaign Data'!$A3626),"00")</f>
        <v>2026-07</v>
      </c>
    </row>
    <row r="3627" spans="1:21" x14ac:dyDescent="0.25">
      <c r="A3627">
        <v>46221</v>
      </c>
      <c r="B3627" t="s">
        <v>186</v>
      </c>
      <c r="C3627" t="s">
        <v>187</v>
      </c>
      <c r="D3627" t="s">
        <v>80</v>
      </c>
      <c r="E3627" t="s">
        <v>33</v>
      </c>
      <c r="F3627" t="s">
        <v>43</v>
      </c>
      <c r="G3627" t="s">
        <v>102</v>
      </c>
      <c r="H3627" t="s">
        <v>90</v>
      </c>
      <c r="I3627" t="s">
        <v>28</v>
      </c>
      <c r="J3627" t="s">
        <v>87</v>
      </c>
      <c r="K3627">
        <v>2856</v>
      </c>
      <c r="L3627">
        <v>9</v>
      </c>
      <c r="M3627">
        <v>1.45</v>
      </c>
      <c r="N3627">
        <v>0</v>
      </c>
      <c r="O3627">
        <v>0</v>
      </c>
      <c r="P3627">
        <f t="shared" si="224"/>
        <v>3.1512605042016808E-3</v>
      </c>
      <c r="Q3627">
        <f t="shared" si="224"/>
        <v>0.16111111111111109</v>
      </c>
      <c r="R3627">
        <f t="shared" si="225"/>
        <v>0</v>
      </c>
      <c r="S3627">
        <f t="shared" si="226"/>
        <v>0</v>
      </c>
      <c r="T3627">
        <f t="shared" si="227"/>
        <v>0</v>
      </c>
      <c r="U3627" t="str">
        <f>YEAR('Campaign Data'!$A3627)&amp;"-"&amp;TEXT(MONTH('Campaign Data'!$A3627),"00")</f>
        <v>2026-07</v>
      </c>
    </row>
    <row r="3628" spans="1:21" x14ac:dyDescent="0.25">
      <c r="A3628">
        <v>46221</v>
      </c>
      <c r="B3628" t="s">
        <v>30</v>
      </c>
      <c r="C3628" t="s">
        <v>31</v>
      </c>
      <c r="D3628" t="s">
        <v>32</v>
      </c>
      <c r="E3628" t="s">
        <v>33</v>
      </c>
      <c r="F3628" t="s">
        <v>34</v>
      </c>
      <c r="G3628" t="s">
        <v>35</v>
      </c>
      <c r="H3628" t="s">
        <v>60</v>
      </c>
      <c r="I3628" t="s">
        <v>37</v>
      </c>
      <c r="J3628" t="s">
        <v>87</v>
      </c>
      <c r="K3628">
        <v>6780</v>
      </c>
      <c r="L3628">
        <v>73</v>
      </c>
      <c r="M3628">
        <v>50.19</v>
      </c>
      <c r="N3628">
        <v>2</v>
      </c>
      <c r="O3628">
        <v>400.8</v>
      </c>
      <c r="P3628">
        <f t="shared" si="224"/>
        <v>1.0766961651917404E-2</v>
      </c>
      <c r="Q3628">
        <f t="shared" si="224"/>
        <v>0.68753424657534246</v>
      </c>
      <c r="R3628">
        <f t="shared" si="225"/>
        <v>25.094999999999999</v>
      </c>
      <c r="S3628">
        <f t="shared" si="226"/>
        <v>7.9856545128511662</v>
      </c>
      <c r="T3628">
        <f t="shared" si="227"/>
        <v>2.7397260273972601E-2</v>
      </c>
      <c r="U3628" t="str">
        <f>YEAR('Campaign Data'!$A3628)&amp;"-"&amp;TEXT(MONTH('Campaign Data'!$A3628),"00")</f>
        <v>2026-07</v>
      </c>
    </row>
    <row r="3629" spans="1:21" x14ac:dyDescent="0.25">
      <c r="A3629">
        <v>46221</v>
      </c>
      <c r="B3629" t="s">
        <v>52</v>
      </c>
      <c r="C3629" t="s">
        <v>53</v>
      </c>
      <c r="D3629" t="s">
        <v>32</v>
      </c>
      <c r="E3629" t="s">
        <v>42</v>
      </c>
      <c r="F3629" t="s">
        <v>25</v>
      </c>
      <c r="G3629" t="s">
        <v>54</v>
      </c>
      <c r="H3629" t="s">
        <v>60</v>
      </c>
      <c r="I3629" t="s">
        <v>28</v>
      </c>
      <c r="J3629" t="s">
        <v>87</v>
      </c>
      <c r="K3629">
        <v>5899</v>
      </c>
      <c r="L3629">
        <v>32</v>
      </c>
      <c r="M3629">
        <v>229.3</v>
      </c>
      <c r="N3629">
        <v>0</v>
      </c>
      <c r="O3629">
        <v>0</v>
      </c>
      <c r="P3629">
        <f t="shared" si="224"/>
        <v>5.4246482454653328E-3</v>
      </c>
      <c r="Q3629">
        <f t="shared" si="224"/>
        <v>7.1656250000000004</v>
      </c>
      <c r="R3629">
        <f t="shared" si="225"/>
        <v>0</v>
      </c>
      <c r="S3629">
        <f t="shared" si="226"/>
        <v>0</v>
      </c>
      <c r="T3629">
        <f t="shared" si="227"/>
        <v>0</v>
      </c>
      <c r="U3629" t="str">
        <f>YEAR('Campaign Data'!$A3629)&amp;"-"&amp;TEXT(MONTH('Campaign Data'!$A3629),"00")</f>
        <v>2026-07</v>
      </c>
    </row>
    <row r="3630" spans="1:21" x14ac:dyDescent="0.25">
      <c r="A3630">
        <v>46221</v>
      </c>
      <c r="B3630" t="s">
        <v>127</v>
      </c>
      <c r="C3630" t="s">
        <v>128</v>
      </c>
      <c r="D3630" t="s">
        <v>58</v>
      </c>
      <c r="E3630" t="s">
        <v>24</v>
      </c>
      <c r="F3630" t="s">
        <v>81</v>
      </c>
      <c r="G3630" t="s">
        <v>129</v>
      </c>
      <c r="H3630" t="s">
        <v>27</v>
      </c>
      <c r="I3630" t="s">
        <v>37</v>
      </c>
      <c r="J3630" t="s">
        <v>29</v>
      </c>
      <c r="K3630">
        <v>3214</v>
      </c>
      <c r="L3630">
        <v>30</v>
      </c>
      <c r="M3630">
        <v>24.26</v>
      </c>
      <c r="N3630">
        <v>2</v>
      </c>
      <c r="O3630">
        <v>50.5</v>
      </c>
      <c r="P3630">
        <f t="shared" si="224"/>
        <v>9.3341630367143741E-3</v>
      </c>
      <c r="Q3630">
        <f t="shared" si="224"/>
        <v>0.80866666666666676</v>
      </c>
      <c r="R3630">
        <f t="shared" si="225"/>
        <v>12.13</v>
      </c>
      <c r="S3630">
        <f t="shared" si="226"/>
        <v>2.0816158285243196</v>
      </c>
      <c r="T3630">
        <f t="shared" si="227"/>
        <v>6.6666666666666666E-2</v>
      </c>
      <c r="U3630" t="str">
        <f>YEAR('Campaign Data'!$A3630)&amp;"-"&amp;TEXT(MONTH('Campaign Data'!$A3630),"00")</f>
        <v>2026-07</v>
      </c>
    </row>
    <row r="3631" spans="1:21" x14ac:dyDescent="0.25">
      <c r="A3631">
        <v>46221</v>
      </c>
      <c r="B3631" t="s">
        <v>130</v>
      </c>
      <c r="C3631" t="s">
        <v>131</v>
      </c>
      <c r="D3631" t="s">
        <v>48</v>
      </c>
      <c r="E3631" t="s">
        <v>33</v>
      </c>
      <c r="F3631" t="s">
        <v>34</v>
      </c>
      <c r="G3631" t="s">
        <v>35</v>
      </c>
      <c r="H3631" t="s">
        <v>27</v>
      </c>
      <c r="I3631" t="s">
        <v>37</v>
      </c>
      <c r="J3631" t="s">
        <v>29</v>
      </c>
      <c r="K3631">
        <v>6718</v>
      </c>
      <c r="L3631">
        <v>40</v>
      </c>
      <c r="M3631">
        <v>30.73</v>
      </c>
      <c r="N3631">
        <v>0</v>
      </c>
      <c r="O3631">
        <v>0</v>
      </c>
      <c r="P3631">
        <f t="shared" si="224"/>
        <v>5.9541530217326584E-3</v>
      </c>
      <c r="Q3631">
        <f t="shared" si="224"/>
        <v>0.76824999999999999</v>
      </c>
      <c r="R3631">
        <f t="shared" si="225"/>
        <v>0</v>
      </c>
      <c r="S3631">
        <f t="shared" si="226"/>
        <v>0</v>
      </c>
      <c r="T3631">
        <f t="shared" si="227"/>
        <v>0</v>
      </c>
      <c r="U3631" t="str">
        <f>YEAR('Campaign Data'!$A3631)&amp;"-"&amp;TEXT(MONTH('Campaign Data'!$A3631),"00")</f>
        <v>2026-07</v>
      </c>
    </row>
    <row r="3632" spans="1:21" x14ac:dyDescent="0.25">
      <c r="A3632">
        <v>46221</v>
      </c>
      <c r="B3632" t="s">
        <v>132</v>
      </c>
      <c r="C3632" t="s">
        <v>133</v>
      </c>
      <c r="D3632" t="s">
        <v>23</v>
      </c>
      <c r="E3632" t="s">
        <v>42</v>
      </c>
      <c r="F3632" t="s">
        <v>75</v>
      </c>
      <c r="G3632" t="s">
        <v>84</v>
      </c>
      <c r="H3632" t="s">
        <v>90</v>
      </c>
      <c r="I3632" t="s">
        <v>61</v>
      </c>
      <c r="J3632" t="s">
        <v>29</v>
      </c>
      <c r="K3632">
        <v>6872</v>
      </c>
      <c r="L3632">
        <v>32</v>
      </c>
      <c r="M3632">
        <v>48.69</v>
      </c>
      <c r="N3632">
        <v>1</v>
      </c>
      <c r="O3632">
        <v>12.41</v>
      </c>
      <c r="P3632">
        <f t="shared" si="224"/>
        <v>4.6565774155995342E-3</v>
      </c>
      <c r="Q3632">
        <f t="shared" si="224"/>
        <v>1.5215624999999999</v>
      </c>
      <c r="R3632">
        <f t="shared" si="225"/>
        <v>48.69</v>
      </c>
      <c r="S3632">
        <f t="shared" si="226"/>
        <v>0.25487779831587598</v>
      </c>
      <c r="T3632">
        <f t="shared" si="227"/>
        <v>3.125E-2</v>
      </c>
      <c r="U3632" t="str">
        <f>YEAR('Campaign Data'!$A3632)&amp;"-"&amp;TEXT(MONTH('Campaign Data'!$A3632),"00")</f>
        <v>2026-07</v>
      </c>
    </row>
    <row r="3633" spans="1:21" x14ac:dyDescent="0.25">
      <c r="A3633">
        <v>46221</v>
      </c>
      <c r="B3633" t="s">
        <v>179</v>
      </c>
      <c r="C3633" t="s">
        <v>180</v>
      </c>
      <c r="D3633" t="s">
        <v>58</v>
      </c>
      <c r="E3633" t="s">
        <v>42</v>
      </c>
      <c r="F3633" t="s">
        <v>25</v>
      </c>
      <c r="G3633" t="s">
        <v>54</v>
      </c>
      <c r="H3633" t="s">
        <v>36</v>
      </c>
      <c r="I3633" t="s">
        <v>37</v>
      </c>
      <c r="J3633" t="s">
        <v>87</v>
      </c>
      <c r="K3633">
        <v>1447</v>
      </c>
      <c r="L3633">
        <v>15</v>
      </c>
      <c r="M3633">
        <v>85.09</v>
      </c>
      <c r="N3633">
        <v>0</v>
      </c>
      <c r="O3633">
        <v>0</v>
      </c>
      <c r="P3633">
        <f t="shared" si="224"/>
        <v>1.0366275051831375E-2</v>
      </c>
      <c r="Q3633">
        <f t="shared" si="224"/>
        <v>5.6726666666666672</v>
      </c>
      <c r="R3633">
        <f t="shared" si="225"/>
        <v>0</v>
      </c>
      <c r="S3633">
        <f t="shared" si="226"/>
        <v>0</v>
      </c>
      <c r="T3633">
        <f t="shared" si="227"/>
        <v>0</v>
      </c>
      <c r="U3633" t="str">
        <f>YEAR('Campaign Data'!$A3633)&amp;"-"&amp;TEXT(MONTH('Campaign Data'!$A3633),"00")</f>
        <v>2026-07</v>
      </c>
    </row>
    <row r="3634" spans="1:21" x14ac:dyDescent="0.25">
      <c r="A3634">
        <v>46221</v>
      </c>
      <c r="B3634" t="s">
        <v>179</v>
      </c>
      <c r="C3634" t="s">
        <v>180</v>
      </c>
      <c r="D3634" t="s">
        <v>58</v>
      </c>
      <c r="E3634" t="s">
        <v>42</v>
      </c>
      <c r="F3634" t="s">
        <v>25</v>
      </c>
      <c r="G3634" t="s">
        <v>54</v>
      </c>
      <c r="H3634" t="s">
        <v>51</v>
      </c>
      <c r="I3634" t="s">
        <v>37</v>
      </c>
      <c r="J3634" t="s">
        <v>87</v>
      </c>
      <c r="K3634">
        <v>9663</v>
      </c>
      <c r="L3634">
        <v>57</v>
      </c>
      <c r="M3634">
        <v>384.98</v>
      </c>
      <c r="N3634">
        <v>1</v>
      </c>
      <c r="O3634">
        <v>143.37</v>
      </c>
      <c r="P3634">
        <f t="shared" si="224"/>
        <v>5.8987891959018934E-3</v>
      </c>
      <c r="Q3634">
        <f t="shared" si="224"/>
        <v>6.7540350877192985</v>
      </c>
      <c r="R3634">
        <f t="shared" si="225"/>
        <v>384.98</v>
      </c>
      <c r="S3634">
        <f t="shared" si="226"/>
        <v>0.37240895630941867</v>
      </c>
      <c r="T3634">
        <f t="shared" si="227"/>
        <v>1.7543859649122806E-2</v>
      </c>
      <c r="U3634" t="str">
        <f>YEAR('Campaign Data'!$A3634)&amp;"-"&amp;TEXT(MONTH('Campaign Data'!$A3634),"00")</f>
        <v>2026-07</v>
      </c>
    </row>
    <row r="3635" spans="1:21" x14ac:dyDescent="0.25">
      <c r="A3635">
        <v>46221</v>
      </c>
      <c r="B3635" t="s">
        <v>112</v>
      </c>
      <c r="C3635" t="s">
        <v>113</v>
      </c>
      <c r="D3635" t="s">
        <v>32</v>
      </c>
      <c r="E3635" t="s">
        <v>24</v>
      </c>
      <c r="F3635" t="s">
        <v>75</v>
      </c>
      <c r="G3635" t="s">
        <v>66</v>
      </c>
      <c r="H3635" t="s">
        <v>55</v>
      </c>
      <c r="I3635" t="s">
        <v>37</v>
      </c>
      <c r="J3635" t="s">
        <v>62</v>
      </c>
      <c r="K3635">
        <v>8513</v>
      </c>
      <c r="L3635">
        <v>143</v>
      </c>
      <c r="M3635">
        <v>93.07</v>
      </c>
      <c r="N3635">
        <v>3</v>
      </c>
      <c r="O3635">
        <v>61.21</v>
      </c>
      <c r="P3635">
        <f t="shared" si="224"/>
        <v>1.6797838599788558E-2</v>
      </c>
      <c r="Q3635">
        <f t="shared" si="224"/>
        <v>0.65083916083916082</v>
      </c>
      <c r="R3635">
        <f t="shared" si="225"/>
        <v>31.02333333333333</v>
      </c>
      <c r="S3635">
        <f t="shared" si="226"/>
        <v>0.65767701729880745</v>
      </c>
      <c r="T3635">
        <f t="shared" si="227"/>
        <v>2.097902097902098E-2</v>
      </c>
      <c r="U3635" t="str">
        <f>YEAR('Campaign Data'!$A3635)&amp;"-"&amp;TEXT(MONTH('Campaign Data'!$A3635),"00")</f>
        <v>2026-07</v>
      </c>
    </row>
    <row r="3636" spans="1:21" x14ac:dyDescent="0.25">
      <c r="A3636">
        <v>46221</v>
      </c>
      <c r="B3636" t="s">
        <v>112</v>
      </c>
      <c r="C3636" t="s">
        <v>113</v>
      </c>
      <c r="D3636" t="s">
        <v>32</v>
      </c>
      <c r="E3636" t="s">
        <v>24</v>
      </c>
      <c r="F3636" t="s">
        <v>75</v>
      </c>
      <c r="G3636" t="s">
        <v>66</v>
      </c>
      <c r="H3636" t="s">
        <v>55</v>
      </c>
      <c r="I3636" t="s">
        <v>37</v>
      </c>
      <c r="J3636" t="s">
        <v>38</v>
      </c>
      <c r="K3636">
        <v>1397</v>
      </c>
      <c r="L3636">
        <v>17</v>
      </c>
      <c r="M3636">
        <v>16.649999999999999</v>
      </c>
      <c r="N3636">
        <v>2</v>
      </c>
      <c r="O3636">
        <v>58.69</v>
      </c>
      <c r="P3636">
        <f t="shared" si="224"/>
        <v>1.2168933428775949E-2</v>
      </c>
      <c r="Q3636">
        <f t="shared" si="224"/>
        <v>0.97941176470588232</v>
      </c>
      <c r="R3636">
        <f t="shared" si="225"/>
        <v>8.3249999999999993</v>
      </c>
      <c r="S3636">
        <f t="shared" si="226"/>
        <v>3.524924924924925</v>
      </c>
      <c r="T3636">
        <f t="shared" si="227"/>
        <v>0.11764705882352941</v>
      </c>
      <c r="U3636" t="str">
        <f>YEAR('Campaign Data'!$A3636)&amp;"-"&amp;TEXT(MONTH('Campaign Data'!$A3636),"00")</f>
        <v>2026-07</v>
      </c>
    </row>
    <row r="3637" spans="1:21" x14ac:dyDescent="0.25">
      <c r="A3637">
        <v>46221</v>
      </c>
      <c r="B3637" t="s">
        <v>181</v>
      </c>
      <c r="C3637" t="s">
        <v>182</v>
      </c>
      <c r="D3637" t="s">
        <v>32</v>
      </c>
      <c r="E3637" t="s">
        <v>33</v>
      </c>
      <c r="F3637" t="s">
        <v>75</v>
      </c>
      <c r="G3637" t="s">
        <v>59</v>
      </c>
      <c r="H3637" t="s">
        <v>60</v>
      </c>
      <c r="I3637" t="s">
        <v>37</v>
      </c>
      <c r="J3637" t="s">
        <v>38</v>
      </c>
      <c r="K3637">
        <v>4246</v>
      </c>
      <c r="L3637">
        <v>34</v>
      </c>
      <c r="M3637">
        <v>25.37</v>
      </c>
      <c r="N3637">
        <v>0</v>
      </c>
      <c r="O3637">
        <v>0</v>
      </c>
      <c r="P3637">
        <f t="shared" si="224"/>
        <v>8.0075365049458308E-3</v>
      </c>
      <c r="Q3637">
        <f t="shared" si="224"/>
        <v>0.74617647058823533</v>
      </c>
      <c r="R3637">
        <f t="shared" si="225"/>
        <v>0</v>
      </c>
      <c r="S3637">
        <f t="shared" si="226"/>
        <v>0</v>
      </c>
      <c r="T3637">
        <f t="shared" si="227"/>
        <v>0</v>
      </c>
      <c r="U3637" t="str">
        <f>YEAR('Campaign Data'!$A3637)&amp;"-"&amp;TEXT(MONTH('Campaign Data'!$A3637),"00")</f>
        <v>2026-07</v>
      </c>
    </row>
    <row r="3638" spans="1:21" x14ac:dyDescent="0.25">
      <c r="A3638">
        <v>46221</v>
      </c>
      <c r="B3638" t="s">
        <v>114</v>
      </c>
      <c r="C3638" t="s">
        <v>115</v>
      </c>
      <c r="D3638" t="s">
        <v>69</v>
      </c>
      <c r="E3638" t="s">
        <v>49</v>
      </c>
      <c r="F3638" t="s">
        <v>25</v>
      </c>
      <c r="G3638" t="s">
        <v>107</v>
      </c>
      <c r="H3638" t="s">
        <v>27</v>
      </c>
      <c r="I3638" t="s">
        <v>37</v>
      </c>
      <c r="J3638" t="s">
        <v>87</v>
      </c>
      <c r="K3638">
        <v>25583</v>
      </c>
      <c r="L3638">
        <v>938</v>
      </c>
      <c r="M3638">
        <v>1598.58</v>
      </c>
      <c r="N3638">
        <v>39</v>
      </c>
      <c r="O3638">
        <v>8535.35</v>
      </c>
      <c r="P3638">
        <f t="shared" si="224"/>
        <v>3.6664972833522262E-2</v>
      </c>
      <c r="Q3638">
        <f t="shared" si="224"/>
        <v>1.7042430703624734</v>
      </c>
      <c r="R3638">
        <f t="shared" si="225"/>
        <v>40.989230769230765</v>
      </c>
      <c r="S3638">
        <f t="shared" si="226"/>
        <v>5.3393324075116668</v>
      </c>
      <c r="T3638">
        <f t="shared" si="227"/>
        <v>4.1577825159914712E-2</v>
      </c>
      <c r="U3638" t="str">
        <f>YEAR('Campaign Data'!$A3638)&amp;"-"&amp;TEXT(MONTH('Campaign Data'!$A3638),"00")</f>
        <v>2026-07</v>
      </c>
    </row>
    <row r="3639" spans="1:21" x14ac:dyDescent="0.25">
      <c r="A3639">
        <v>46221</v>
      </c>
      <c r="B3639" t="s">
        <v>183</v>
      </c>
      <c r="C3639" t="s">
        <v>184</v>
      </c>
      <c r="D3639" t="s">
        <v>23</v>
      </c>
      <c r="E3639" t="s">
        <v>24</v>
      </c>
      <c r="F3639" t="s">
        <v>81</v>
      </c>
      <c r="G3639" t="s">
        <v>185</v>
      </c>
      <c r="H3639" t="s">
        <v>27</v>
      </c>
      <c r="I3639" t="s">
        <v>37</v>
      </c>
      <c r="J3639" t="s">
        <v>29</v>
      </c>
      <c r="K3639">
        <v>1269</v>
      </c>
      <c r="L3639">
        <v>10</v>
      </c>
      <c r="M3639">
        <v>9.43</v>
      </c>
      <c r="N3639">
        <v>0</v>
      </c>
      <c r="O3639">
        <v>0</v>
      </c>
      <c r="P3639">
        <f t="shared" si="224"/>
        <v>7.8802206461780922E-3</v>
      </c>
      <c r="Q3639">
        <f t="shared" si="224"/>
        <v>0.94299999999999995</v>
      </c>
      <c r="R3639">
        <f t="shared" si="225"/>
        <v>0</v>
      </c>
      <c r="S3639">
        <f t="shared" si="226"/>
        <v>0</v>
      </c>
      <c r="T3639">
        <f t="shared" si="227"/>
        <v>0</v>
      </c>
      <c r="U3639" t="str">
        <f>YEAR('Campaign Data'!$A3639)&amp;"-"&amp;TEXT(MONTH('Campaign Data'!$A3639),"00")</f>
        <v>2026-07</v>
      </c>
    </row>
    <row r="3640" spans="1:21" x14ac:dyDescent="0.25">
      <c r="A3640">
        <v>46221</v>
      </c>
      <c r="B3640" t="s">
        <v>72</v>
      </c>
      <c r="C3640" t="s">
        <v>73</v>
      </c>
      <c r="D3640" t="s">
        <v>69</v>
      </c>
      <c r="E3640" t="s">
        <v>74</v>
      </c>
      <c r="F3640" t="s">
        <v>75</v>
      </c>
      <c r="G3640" t="s">
        <v>9</v>
      </c>
      <c r="H3640" t="s">
        <v>55</v>
      </c>
      <c r="I3640" t="s">
        <v>28</v>
      </c>
      <c r="J3640" t="s">
        <v>29</v>
      </c>
      <c r="K3640">
        <v>1752</v>
      </c>
      <c r="L3640">
        <v>72</v>
      </c>
      <c r="M3640">
        <v>74.7</v>
      </c>
      <c r="N3640">
        <v>4</v>
      </c>
      <c r="O3640">
        <v>135.76</v>
      </c>
      <c r="P3640">
        <f t="shared" si="224"/>
        <v>4.1095890410958902E-2</v>
      </c>
      <c r="Q3640">
        <f t="shared" si="224"/>
        <v>1.0375000000000001</v>
      </c>
      <c r="R3640">
        <f t="shared" si="225"/>
        <v>18.675000000000001</v>
      </c>
      <c r="S3640">
        <f t="shared" si="226"/>
        <v>1.8174029451137883</v>
      </c>
      <c r="T3640">
        <f t="shared" si="227"/>
        <v>5.5555555555555552E-2</v>
      </c>
      <c r="U3640" t="str">
        <f>YEAR('Campaign Data'!$A3640)&amp;"-"&amp;TEXT(MONTH('Campaign Data'!$A3640),"00")</f>
        <v>2026-07</v>
      </c>
    </row>
    <row r="3641" spans="1:21" x14ac:dyDescent="0.25">
      <c r="A3641">
        <v>46221</v>
      </c>
      <c r="B3641" t="s">
        <v>116</v>
      </c>
      <c r="C3641" t="s">
        <v>117</v>
      </c>
      <c r="D3641" t="s">
        <v>48</v>
      </c>
      <c r="E3641" t="s">
        <v>24</v>
      </c>
      <c r="F3641" t="s">
        <v>43</v>
      </c>
      <c r="G3641" t="s">
        <v>26</v>
      </c>
      <c r="H3641" t="s">
        <v>36</v>
      </c>
      <c r="I3641" t="s">
        <v>61</v>
      </c>
      <c r="J3641" t="s">
        <v>29</v>
      </c>
      <c r="K3641">
        <v>2917</v>
      </c>
      <c r="L3641">
        <v>35</v>
      </c>
      <c r="M3641">
        <v>34.26</v>
      </c>
      <c r="N3641">
        <v>0</v>
      </c>
      <c r="O3641">
        <v>0</v>
      </c>
      <c r="P3641">
        <f t="shared" si="224"/>
        <v>1.1998628728145356E-2</v>
      </c>
      <c r="Q3641">
        <f t="shared" si="224"/>
        <v>0.97885714285714276</v>
      </c>
      <c r="R3641">
        <f t="shared" si="225"/>
        <v>0</v>
      </c>
      <c r="S3641">
        <f t="shared" si="226"/>
        <v>0</v>
      </c>
      <c r="T3641">
        <f t="shared" si="227"/>
        <v>0</v>
      </c>
      <c r="U3641" t="str">
        <f>YEAR('Campaign Data'!$A3641)&amp;"-"&amp;TEXT(MONTH('Campaign Data'!$A3641),"00")</f>
        <v>2026-07</v>
      </c>
    </row>
    <row r="3642" spans="1:21" x14ac:dyDescent="0.25">
      <c r="A3642">
        <v>46222</v>
      </c>
      <c r="B3642" t="s">
        <v>175</v>
      </c>
      <c r="C3642" t="s">
        <v>176</v>
      </c>
      <c r="D3642" t="s">
        <v>65</v>
      </c>
      <c r="E3642" t="s">
        <v>49</v>
      </c>
      <c r="F3642" t="s">
        <v>75</v>
      </c>
      <c r="G3642" t="s">
        <v>70</v>
      </c>
      <c r="H3642" t="s">
        <v>51</v>
      </c>
      <c r="I3642" t="s">
        <v>37</v>
      </c>
      <c r="J3642" t="s">
        <v>38</v>
      </c>
      <c r="K3642">
        <v>14400</v>
      </c>
      <c r="L3642">
        <v>711</v>
      </c>
      <c r="M3642">
        <v>1254.68</v>
      </c>
      <c r="N3642">
        <v>18</v>
      </c>
      <c r="O3642">
        <v>640.63</v>
      </c>
      <c r="P3642">
        <f t="shared" si="224"/>
        <v>4.9375000000000002E-2</v>
      </c>
      <c r="Q3642">
        <f t="shared" si="224"/>
        <v>1.7646694796061886</v>
      </c>
      <c r="R3642">
        <f t="shared" si="225"/>
        <v>69.704444444444448</v>
      </c>
      <c r="S3642">
        <f t="shared" si="226"/>
        <v>0.51059234227053907</v>
      </c>
      <c r="T3642">
        <f t="shared" si="227"/>
        <v>2.5316455696202531E-2</v>
      </c>
      <c r="U3642" t="str">
        <f>YEAR('Campaign Data'!$A3642)&amp;"-"&amp;TEXT(MONTH('Campaign Data'!$A3642),"00")</f>
        <v>2026-07</v>
      </c>
    </row>
    <row r="3643" spans="1:21" x14ac:dyDescent="0.25">
      <c r="A3643">
        <v>46222</v>
      </c>
      <c r="B3643" t="s">
        <v>85</v>
      </c>
      <c r="C3643" t="s">
        <v>86</v>
      </c>
      <c r="D3643" t="s">
        <v>80</v>
      </c>
      <c r="E3643" t="s">
        <v>33</v>
      </c>
      <c r="F3643" t="s">
        <v>43</v>
      </c>
      <c r="G3643" t="s">
        <v>35</v>
      </c>
      <c r="H3643" t="s">
        <v>27</v>
      </c>
      <c r="I3643" t="s">
        <v>37</v>
      </c>
      <c r="J3643" t="s">
        <v>87</v>
      </c>
      <c r="K3643">
        <v>10375</v>
      </c>
      <c r="L3643">
        <v>89</v>
      </c>
      <c r="M3643">
        <v>39.96</v>
      </c>
      <c r="N3643">
        <v>4</v>
      </c>
      <c r="O3643">
        <v>98.07</v>
      </c>
      <c r="P3643">
        <f t="shared" si="224"/>
        <v>8.5783132530120477E-3</v>
      </c>
      <c r="Q3643">
        <f t="shared" si="224"/>
        <v>0.44898876404494381</v>
      </c>
      <c r="R3643">
        <f t="shared" si="225"/>
        <v>9.99</v>
      </c>
      <c r="S3643">
        <f t="shared" si="226"/>
        <v>2.454204204204204</v>
      </c>
      <c r="T3643">
        <f t="shared" si="227"/>
        <v>4.49438202247191E-2</v>
      </c>
      <c r="U3643" t="str">
        <f>YEAR('Campaign Data'!$A3643)&amp;"-"&amp;TEXT(MONTH('Campaign Data'!$A3643),"00")</f>
        <v>2026-07</v>
      </c>
    </row>
    <row r="3644" spans="1:21" x14ac:dyDescent="0.25">
      <c r="A3644">
        <v>46222</v>
      </c>
      <c r="B3644" t="s">
        <v>88</v>
      </c>
      <c r="C3644" t="s">
        <v>89</v>
      </c>
      <c r="D3644" t="s">
        <v>23</v>
      </c>
      <c r="E3644" t="s">
        <v>49</v>
      </c>
      <c r="F3644" t="s">
        <v>81</v>
      </c>
      <c r="G3644" t="s">
        <v>50</v>
      </c>
      <c r="H3644" t="s">
        <v>51</v>
      </c>
      <c r="I3644" t="s">
        <v>28</v>
      </c>
      <c r="J3644" t="s">
        <v>29</v>
      </c>
      <c r="K3644">
        <v>5640</v>
      </c>
      <c r="L3644">
        <v>239</v>
      </c>
      <c r="M3644">
        <v>473.71</v>
      </c>
      <c r="N3644">
        <v>8</v>
      </c>
      <c r="O3644">
        <v>158.55000000000001</v>
      </c>
      <c r="P3644">
        <f t="shared" si="224"/>
        <v>4.2375886524822694E-2</v>
      </c>
      <c r="Q3644">
        <f t="shared" si="224"/>
        <v>1.9820502092050207</v>
      </c>
      <c r="R3644">
        <f t="shared" si="225"/>
        <v>59.213749999999997</v>
      </c>
      <c r="S3644">
        <f t="shared" si="226"/>
        <v>0.33469844419581607</v>
      </c>
      <c r="T3644">
        <f t="shared" si="227"/>
        <v>3.3472803347280332E-2</v>
      </c>
      <c r="U3644" t="str">
        <f>YEAR('Campaign Data'!$A3644)&amp;"-"&amp;TEXT(MONTH('Campaign Data'!$A3644),"00")</f>
        <v>2026-07</v>
      </c>
    </row>
    <row r="3645" spans="1:21" x14ac:dyDescent="0.25">
      <c r="A3645">
        <v>46222</v>
      </c>
      <c r="B3645" t="s">
        <v>21</v>
      </c>
      <c r="C3645" t="s">
        <v>124</v>
      </c>
      <c r="D3645" t="s">
        <v>23</v>
      </c>
      <c r="E3645" t="s">
        <v>24</v>
      </c>
      <c r="F3645" t="s">
        <v>25</v>
      </c>
      <c r="G3645" t="s">
        <v>26</v>
      </c>
      <c r="H3645" t="s">
        <v>51</v>
      </c>
      <c r="I3645" t="s">
        <v>37</v>
      </c>
      <c r="J3645" t="s">
        <v>29</v>
      </c>
      <c r="K3645">
        <v>1932</v>
      </c>
      <c r="L3645">
        <v>16</v>
      </c>
      <c r="M3645">
        <v>16.36</v>
      </c>
      <c r="N3645">
        <v>0</v>
      </c>
      <c r="O3645">
        <v>0</v>
      </c>
      <c r="P3645">
        <f t="shared" si="224"/>
        <v>8.2815734989648039E-3</v>
      </c>
      <c r="Q3645">
        <f t="shared" si="224"/>
        <v>1.0225</v>
      </c>
      <c r="R3645">
        <f t="shared" si="225"/>
        <v>0</v>
      </c>
      <c r="S3645">
        <f t="shared" si="226"/>
        <v>0</v>
      </c>
      <c r="T3645">
        <f t="shared" si="227"/>
        <v>0</v>
      </c>
      <c r="U3645" t="str">
        <f>YEAR('Campaign Data'!$A3645)&amp;"-"&amp;TEXT(MONTH('Campaign Data'!$A3645),"00")</f>
        <v>2026-07</v>
      </c>
    </row>
    <row r="3646" spans="1:21" x14ac:dyDescent="0.25">
      <c r="A3646">
        <v>46222</v>
      </c>
      <c r="B3646" t="s">
        <v>125</v>
      </c>
      <c r="C3646" t="s">
        <v>126</v>
      </c>
      <c r="D3646" t="s">
        <v>41</v>
      </c>
      <c r="E3646" t="s">
        <v>42</v>
      </c>
      <c r="F3646" t="s">
        <v>81</v>
      </c>
      <c r="G3646" t="s">
        <v>44</v>
      </c>
      <c r="H3646" t="s">
        <v>90</v>
      </c>
      <c r="I3646" t="s">
        <v>37</v>
      </c>
      <c r="J3646" t="s">
        <v>38</v>
      </c>
      <c r="K3646">
        <v>1854</v>
      </c>
      <c r="L3646">
        <v>13</v>
      </c>
      <c r="M3646">
        <v>20.28</v>
      </c>
      <c r="N3646">
        <v>0</v>
      </c>
      <c r="O3646">
        <v>0</v>
      </c>
      <c r="P3646">
        <f t="shared" si="224"/>
        <v>7.0118662351672063E-3</v>
      </c>
      <c r="Q3646">
        <f t="shared" si="224"/>
        <v>1.56</v>
      </c>
      <c r="R3646">
        <f t="shared" si="225"/>
        <v>0</v>
      </c>
      <c r="S3646">
        <f t="shared" si="226"/>
        <v>0</v>
      </c>
      <c r="T3646">
        <f t="shared" si="227"/>
        <v>0</v>
      </c>
      <c r="U3646" t="str">
        <f>YEAR('Campaign Data'!$A3646)&amp;"-"&amp;TEXT(MONTH('Campaign Data'!$A3646),"00")</f>
        <v>2026-07</v>
      </c>
    </row>
    <row r="3647" spans="1:21" x14ac:dyDescent="0.25">
      <c r="A3647">
        <v>46222</v>
      </c>
      <c r="B3647" t="s">
        <v>30</v>
      </c>
      <c r="C3647" t="s">
        <v>31</v>
      </c>
      <c r="D3647" t="s">
        <v>32</v>
      </c>
      <c r="E3647" t="s">
        <v>33</v>
      </c>
      <c r="F3647" t="s">
        <v>34</v>
      </c>
      <c r="G3647" t="s">
        <v>35</v>
      </c>
      <c r="H3647" t="s">
        <v>55</v>
      </c>
      <c r="I3647" t="s">
        <v>28</v>
      </c>
      <c r="J3647" t="s">
        <v>45</v>
      </c>
      <c r="K3647">
        <v>7197</v>
      </c>
      <c r="L3647">
        <v>53</v>
      </c>
      <c r="M3647">
        <v>22.24</v>
      </c>
      <c r="N3647">
        <v>1</v>
      </c>
      <c r="O3647">
        <v>87.98</v>
      </c>
      <c r="P3647">
        <f t="shared" si="224"/>
        <v>7.3641795192441297E-3</v>
      </c>
      <c r="Q3647">
        <f t="shared" si="224"/>
        <v>0.41962264150943396</v>
      </c>
      <c r="R3647">
        <f t="shared" si="225"/>
        <v>22.24</v>
      </c>
      <c r="S3647">
        <f t="shared" si="226"/>
        <v>3.9559352517985618</v>
      </c>
      <c r="T3647">
        <f t="shared" si="227"/>
        <v>1.8867924528301886E-2</v>
      </c>
      <c r="U3647" t="str">
        <f>YEAR('Campaign Data'!$A3647)&amp;"-"&amp;TEXT(MONTH('Campaign Data'!$A3647),"00")</f>
        <v>2026-07</v>
      </c>
    </row>
    <row r="3648" spans="1:21" x14ac:dyDescent="0.25">
      <c r="A3648">
        <v>46222</v>
      </c>
      <c r="B3648" t="s">
        <v>127</v>
      </c>
      <c r="C3648" t="s">
        <v>128</v>
      </c>
      <c r="D3648" t="s">
        <v>58</v>
      </c>
      <c r="E3648" t="s">
        <v>24</v>
      </c>
      <c r="F3648" t="s">
        <v>81</v>
      </c>
      <c r="G3648" t="s">
        <v>129</v>
      </c>
      <c r="H3648" t="s">
        <v>71</v>
      </c>
      <c r="I3648" t="s">
        <v>37</v>
      </c>
      <c r="J3648" t="s">
        <v>38</v>
      </c>
      <c r="K3648">
        <v>2683</v>
      </c>
      <c r="L3648">
        <v>25</v>
      </c>
      <c r="M3648">
        <v>19</v>
      </c>
      <c r="N3648">
        <v>3</v>
      </c>
      <c r="O3648">
        <v>42.32</v>
      </c>
      <c r="P3648">
        <f t="shared" si="224"/>
        <v>9.3179276928811033E-3</v>
      </c>
      <c r="Q3648">
        <f t="shared" si="224"/>
        <v>0.76</v>
      </c>
      <c r="R3648">
        <f t="shared" si="225"/>
        <v>6.333333333333333</v>
      </c>
      <c r="S3648">
        <f t="shared" si="226"/>
        <v>2.2273684210526317</v>
      </c>
      <c r="T3648">
        <f t="shared" si="227"/>
        <v>0.12</v>
      </c>
      <c r="U3648" t="str">
        <f>YEAR('Campaign Data'!$A3648)&amp;"-"&amp;TEXT(MONTH('Campaign Data'!$A3648),"00")</f>
        <v>2026-07</v>
      </c>
    </row>
    <row r="3649" spans="1:21" x14ac:dyDescent="0.25">
      <c r="A3649">
        <v>46222</v>
      </c>
      <c r="B3649" t="s">
        <v>179</v>
      </c>
      <c r="C3649" t="s">
        <v>180</v>
      </c>
      <c r="D3649" t="s">
        <v>58</v>
      </c>
      <c r="E3649" t="s">
        <v>42</v>
      </c>
      <c r="F3649" t="s">
        <v>25</v>
      </c>
      <c r="G3649" t="s">
        <v>54</v>
      </c>
      <c r="H3649" t="s">
        <v>90</v>
      </c>
      <c r="I3649" t="s">
        <v>37</v>
      </c>
      <c r="J3649" t="s">
        <v>87</v>
      </c>
      <c r="K3649">
        <v>6520</v>
      </c>
      <c r="L3649">
        <v>46</v>
      </c>
      <c r="M3649">
        <v>40.22</v>
      </c>
      <c r="N3649">
        <v>3</v>
      </c>
      <c r="O3649">
        <v>226.07</v>
      </c>
      <c r="P3649">
        <f t="shared" si="224"/>
        <v>7.0552147239263804E-3</v>
      </c>
      <c r="Q3649">
        <f t="shared" si="224"/>
        <v>0.87434782608695649</v>
      </c>
      <c r="R3649">
        <f t="shared" si="225"/>
        <v>13.406666666666666</v>
      </c>
      <c r="S3649">
        <f t="shared" si="226"/>
        <v>5.6208354052710092</v>
      </c>
      <c r="T3649">
        <f t="shared" si="227"/>
        <v>6.5217391304347824E-2</v>
      </c>
      <c r="U3649" t="str">
        <f>YEAR('Campaign Data'!$A3649)&amp;"-"&amp;TEXT(MONTH('Campaign Data'!$A3649),"00")</f>
        <v>2026-07</v>
      </c>
    </row>
    <row r="3650" spans="1:21" x14ac:dyDescent="0.25">
      <c r="A3650">
        <v>46222</v>
      </c>
      <c r="B3650" t="s">
        <v>171</v>
      </c>
      <c r="C3650" t="s">
        <v>172</v>
      </c>
      <c r="D3650" t="s">
        <v>23</v>
      </c>
      <c r="E3650" t="s">
        <v>33</v>
      </c>
      <c r="F3650" t="s">
        <v>75</v>
      </c>
      <c r="G3650" t="s">
        <v>59</v>
      </c>
      <c r="H3650" t="s">
        <v>27</v>
      </c>
      <c r="I3650" t="s">
        <v>28</v>
      </c>
      <c r="J3650" t="s">
        <v>87</v>
      </c>
      <c r="K3650">
        <v>4963</v>
      </c>
      <c r="L3650">
        <v>35</v>
      </c>
      <c r="M3650">
        <v>28.64</v>
      </c>
      <c r="N3650">
        <v>0</v>
      </c>
      <c r="O3650">
        <v>0</v>
      </c>
      <c r="P3650">
        <f t="shared" ref="P3650:Q3713" si="228">IF(K3650=0,0,L3650/K3650)</f>
        <v>7.052186177715092E-3</v>
      </c>
      <c r="Q3650">
        <f t="shared" si="228"/>
        <v>0.81828571428571428</v>
      </c>
      <c r="R3650">
        <f t="shared" ref="R3650:R3713" si="229">IF(N3650=0,0,M3650/N3650)</f>
        <v>0</v>
      </c>
      <c r="S3650">
        <f t="shared" ref="S3650:S3713" si="230">IF(M3650=0,0,O3650/M3650)</f>
        <v>0</v>
      </c>
      <c r="T3650">
        <f t="shared" ref="T3650:T3713" si="231">IF(L3650=0,0,N3650/L3650)</f>
        <v>0</v>
      </c>
      <c r="U3650" t="str">
        <f>YEAR('Campaign Data'!$A3650)&amp;"-"&amp;TEXT(MONTH('Campaign Data'!$A3650),"00")</f>
        <v>2026-07</v>
      </c>
    </row>
    <row r="3651" spans="1:21" x14ac:dyDescent="0.25">
      <c r="A3651">
        <v>46222</v>
      </c>
      <c r="B3651" t="s">
        <v>140</v>
      </c>
      <c r="C3651" t="s">
        <v>40</v>
      </c>
      <c r="D3651" t="s">
        <v>41</v>
      </c>
      <c r="E3651" t="s">
        <v>42</v>
      </c>
      <c r="F3651" t="s">
        <v>43</v>
      </c>
      <c r="G3651" t="s">
        <v>44</v>
      </c>
      <c r="H3651" t="s">
        <v>90</v>
      </c>
      <c r="I3651" t="s">
        <v>28</v>
      </c>
      <c r="J3651" t="s">
        <v>29</v>
      </c>
      <c r="K3651">
        <v>2696</v>
      </c>
      <c r="L3651">
        <v>19</v>
      </c>
      <c r="M3651">
        <v>23.02</v>
      </c>
      <c r="N3651">
        <v>0</v>
      </c>
      <c r="O3651">
        <v>0</v>
      </c>
      <c r="P3651">
        <f t="shared" si="228"/>
        <v>7.0474777448071213E-3</v>
      </c>
      <c r="Q3651">
        <f t="shared" si="228"/>
        <v>1.2115789473684211</v>
      </c>
      <c r="R3651">
        <f t="shared" si="229"/>
        <v>0</v>
      </c>
      <c r="S3651">
        <f t="shared" si="230"/>
        <v>0</v>
      </c>
      <c r="T3651">
        <f t="shared" si="231"/>
        <v>0</v>
      </c>
      <c r="U3651" t="str">
        <f>YEAR('Campaign Data'!$A3651)&amp;"-"&amp;TEXT(MONTH('Campaign Data'!$A3651),"00")</f>
        <v>2026-07</v>
      </c>
    </row>
    <row r="3652" spans="1:21" x14ac:dyDescent="0.25">
      <c r="A3652">
        <v>46222</v>
      </c>
      <c r="B3652" t="s">
        <v>110</v>
      </c>
      <c r="C3652" t="s">
        <v>111</v>
      </c>
      <c r="D3652" t="s">
        <v>23</v>
      </c>
      <c r="E3652" t="s">
        <v>49</v>
      </c>
      <c r="F3652" t="s">
        <v>34</v>
      </c>
      <c r="G3652" t="s">
        <v>50</v>
      </c>
      <c r="H3652" t="s">
        <v>36</v>
      </c>
      <c r="I3652" t="s">
        <v>37</v>
      </c>
      <c r="J3652" t="s">
        <v>38</v>
      </c>
      <c r="K3652">
        <v>4738</v>
      </c>
      <c r="L3652">
        <v>273</v>
      </c>
      <c r="M3652">
        <v>413.1</v>
      </c>
      <c r="N3652">
        <v>10</v>
      </c>
      <c r="O3652">
        <v>1083.53</v>
      </c>
      <c r="P3652">
        <f t="shared" si="228"/>
        <v>5.7619248628113129E-2</v>
      </c>
      <c r="Q3652">
        <f t="shared" si="228"/>
        <v>1.5131868131868134</v>
      </c>
      <c r="R3652">
        <f t="shared" si="229"/>
        <v>41.31</v>
      </c>
      <c r="S3652">
        <f t="shared" si="230"/>
        <v>2.6229242314209631</v>
      </c>
      <c r="T3652">
        <f t="shared" si="231"/>
        <v>3.6630036630036632E-2</v>
      </c>
      <c r="U3652" t="str">
        <f>YEAR('Campaign Data'!$A3652)&amp;"-"&amp;TEXT(MONTH('Campaign Data'!$A3652),"00")</f>
        <v>2026-07</v>
      </c>
    </row>
    <row r="3653" spans="1:21" x14ac:dyDescent="0.25">
      <c r="A3653">
        <v>46222</v>
      </c>
      <c r="B3653" t="s">
        <v>159</v>
      </c>
      <c r="C3653" t="s">
        <v>160</v>
      </c>
      <c r="D3653" t="s">
        <v>65</v>
      </c>
      <c r="E3653" t="s">
        <v>42</v>
      </c>
      <c r="F3653" t="s">
        <v>75</v>
      </c>
      <c r="G3653" t="s">
        <v>54</v>
      </c>
      <c r="H3653" t="s">
        <v>51</v>
      </c>
      <c r="I3653" t="s">
        <v>37</v>
      </c>
      <c r="J3653" t="s">
        <v>87</v>
      </c>
      <c r="K3653">
        <v>3863</v>
      </c>
      <c r="L3653">
        <v>27</v>
      </c>
      <c r="M3653">
        <v>118.54</v>
      </c>
      <c r="N3653">
        <v>0</v>
      </c>
      <c r="O3653">
        <v>0</v>
      </c>
      <c r="P3653">
        <f t="shared" si="228"/>
        <v>6.989386487186125E-3</v>
      </c>
      <c r="Q3653">
        <f t="shared" si="228"/>
        <v>4.3903703703703707</v>
      </c>
      <c r="R3653">
        <f t="shared" si="229"/>
        <v>0</v>
      </c>
      <c r="S3653">
        <f t="shared" si="230"/>
        <v>0</v>
      </c>
      <c r="T3653">
        <f t="shared" si="231"/>
        <v>0</v>
      </c>
      <c r="U3653" t="str">
        <f>YEAR('Campaign Data'!$A3653)&amp;"-"&amp;TEXT(MONTH('Campaign Data'!$A3653),"00")</f>
        <v>2026-07</v>
      </c>
    </row>
    <row r="3654" spans="1:21" x14ac:dyDescent="0.25">
      <c r="A3654">
        <v>46222</v>
      </c>
      <c r="B3654" t="s">
        <v>114</v>
      </c>
      <c r="C3654" t="s">
        <v>115</v>
      </c>
      <c r="D3654" t="s">
        <v>69</v>
      </c>
      <c r="E3654" t="s">
        <v>49</v>
      </c>
      <c r="F3654" t="s">
        <v>25</v>
      </c>
      <c r="G3654" t="s">
        <v>107</v>
      </c>
      <c r="H3654" t="s">
        <v>60</v>
      </c>
      <c r="I3654" t="s">
        <v>28</v>
      </c>
      <c r="J3654" t="s">
        <v>29</v>
      </c>
      <c r="K3654">
        <v>4323</v>
      </c>
      <c r="L3654">
        <v>241</v>
      </c>
      <c r="M3654">
        <v>190.65</v>
      </c>
      <c r="N3654">
        <v>20</v>
      </c>
      <c r="O3654">
        <v>4488.24</v>
      </c>
      <c r="P3654">
        <f t="shared" si="228"/>
        <v>5.5748322923895442E-2</v>
      </c>
      <c r="Q3654">
        <f t="shared" si="228"/>
        <v>0.79107883817427394</v>
      </c>
      <c r="R3654">
        <f t="shared" si="229"/>
        <v>9.5325000000000006</v>
      </c>
      <c r="S3654">
        <f t="shared" si="230"/>
        <v>23.541778127458691</v>
      </c>
      <c r="T3654">
        <f t="shared" si="231"/>
        <v>8.2987551867219914E-2</v>
      </c>
      <c r="U3654" t="str">
        <f>YEAR('Campaign Data'!$A3654)&amp;"-"&amp;TEXT(MONTH('Campaign Data'!$A3654),"00")</f>
        <v>2026-07</v>
      </c>
    </row>
    <row r="3655" spans="1:21" x14ac:dyDescent="0.25">
      <c r="A3655">
        <v>46222</v>
      </c>
      <c r="B3655" t="s">
        <v>56</v>
      </c>
      <c r="C3655" t="s">
        <v>57</v>
      </c>
      <c r="D3655" t="s">
        <v>58</v>
      </c>
      <c r="E3655" t="s">
        <v>33</v>
      </c>
      <c r="F3655" t="s">
        <v>43</v>
      </c>
      <c r="G3655" t="s">
        <v>59</v>
      </c>
      <c r="H3655" t="s">
        <v>51</v>
      </c>
      <c r="I3655" t="s">
        <v>28</v>
      </c>
      <c r="J3655" t="s">
        <v>45</v>
      </c>
      <c r="K3655">
        <v>9359</v>
      </c>
      <c r="L3655">
        <v>57</v>
      </c>
      <c r="M3655">
        <v>37.57</v>
      </c>
      <c r="N3655">
        <v>1</v>
      </c>
      <c r="O3655">
        <v>26.41</v>
      </c>
      <c r="P3655">
        <f t="shared" si="228"/>
        <v>6.090394272892403E-3</v>
      </c>
      <c r="Q3655">
        <f t="shared" si="228"/>
        <v>0.65912280701754389</v>
      </c>
      <c r="R3655">
        <f t="shared" si="229"/>
        <v>37.57</v>
      </c>
      <c r="S3655">
        <f t="shared" si="230"/>
        <v>0.70295448496140533</v>
      </c>
      <c r="T3655">
        <f t="shared" si="231"/>
        <v>1.7543859649122806E-2</v>
      </c>
      <c r="U3655" t="str">
        <f>YEAR('Campaign Data'!$A3655)&amp;"-"&amp;TEXT(MONTH('Campaign Data'!$A3655),"00")</f>
        <v>2026-07</v>
      </c>
    </row>
    <row r="3656" spans="1:21" x14ac:dyDescent="0.25">
      <c r="A3656">
        <v>46222</v>
      </c>
      <c r="B3656" t="s">
        <v>56</v>
      </c>
      <c r="C3656" t="s">
        <v>57</v>
      </c>
      <c r="D3656" t="s">
        <v>58</v>
      </c>
      <c r="E3656" t="s">
        <v>33</v>
      </c>
      <c r="F3656" t="s">
        <v>43</v>
      </c>
      <c r="G3656" t="s">
        <v>59</v>
      </c>
      <c r="H3656" t="s">
        <v>71</v>
      </c>
      <c r="I3656" t="s">
        <v>28</v>
      </c>
      <c r="J3656" t="s">
        <v>62</v>
      </c>
      <c r="K3656">
        <v>6592</v>
      </c>
      <c r="L3656">
        <v>53</v>
      </c>
      <c r="M3656">
        <v>25.78</v>
      </c>
      <c r="N3656">
        <v>0</v>
      </c>
      <c r="O3656">
        <v>0</v>
      </c>
      <c r="P3656">
        <f t="shared" si="228"/>
        <v>8.0400485436893203E-3</v>
      </c>
      <c r="Q3656">
        <f t="shared" si="228"/>
        <v>0.48641509433962266</v>
      </c>
      <c r="R3656">
        <f t="shared" si="229"/>
        <v>0</v>
      </c>
      <c r="S3656">
        <f t="shared" si="230"/>
        <v>0</v>
      </c>
      <c r="T3656">
        <f t="shared" si="231"/>
        <v>0</v>
      </c>
      <c r="U3656" t="str">
        <f>YEAR('Campaign Data'!$A3656)&amp;"-"&amp;TEXT(MONTH('Campaign Data'!$A3656),"00")</f>
        <v>2026-07</v>
      </c>
    </row>
    <row r="3657" spans="1:21" x14ac:dyDescent="0.25">
      <c r="A3657">
        <v>46222</v>
      </c>
      <c r="B3657" t="s">
        <v>141</v>
      </c>
      <c r="C3657" t="s">
        <v>142</v>
      </c>
      <c r="D3657" t="s">
        <v>80</v>
      </c>
      <c r="E3657" t="s">
        <v>49</v>
      </c>
      <c r="F3657" t="s">
        <v>81</v>
      </c>
      <c r="G3657" t="s">
        <v>97</v>
      </c>
      <c r="H3657" t="s">
        <v>27</v>
      </c>
      <c r="I3657" t="s">
        <v>37</v>
      </c>
      <c r="J3657" t="s">
        <v>29</v>
      </c>
      <c r="K3657">
        <v>10488</v>
      </c>
      <c r="L3657">
        <v>585</v>
      </c>
      <c r="M3657">
        <v>984.66</v>
      </c>
      <c r="N3657">
        <v>56</v>
      </c>
      <c r="O3657">
        <v>860.2</v>
      </c>
      <c r="P3657">
        <f t="shared" si="228"/>
        <v>5.5778032036613273E-2</v>
      </c>
      <c r="Q3657">
        <f t="shared" si="228"/>
        <v>1.6831794871794872</v>
      </c>
      <c r="R3657">
        <f t="shared" si="229"/>
        <v>17.583214285714284</v>
      </c>
      <c r="S3657">
        <f t="shared" si="230"/>
        <v>0.87360103995287719</v>
      </c>
      <c r="T3657">
        <f t="shared" si="231"/>
        <v>9.5726495726495733E-2</v>
      </c>
      <c r="U3657" t="str">
        <f>YEAR('Campaign Data'!$A3657)&amp;"-"&amp;TEXT(MONTH('Campaign Data'!$A3657),"00")</f>
        <v>2026-07</v>
      </c>
    </row>
    <row r="3658" spans="1:21" x14ac:dyDescent="0.25">
      <c r="A3658">
        <v>46222</v>
      </c>
      <c r="B3658" t="s">
        <v>63</v>
      </c>
      <c r="C3658" t="s">
        <v>64</v>
      </c>
      <c r="D3658" t="s">
        <v>65</v>
      </c>
      <c r="E3658" t="s">
        <v>24</v>
      </c>
      <c r="F3658" t="s">
        <v>43</v>
      </c>
      <c r="G3658" t="s">
        <v>66</v>
      </c>
      <c r="H3658" t="s">
        <v>27</v>
      </c>
      <c r="I3658" t="s">
        <v>28</v>
      </c>
      <c r="J3658" t="s">
        <v>87</v>
      </c>
      <c r="K3658">
        <v>6467</v>
      </c>
      <c r="L3658">
        <v>69</v>
      </c>
      <c r="M3658">
        <v>117.74</v>
      </c>
      <c r="N3658">
        <v>2</v>
      </c>
      <c r="O3658">
        <v>78.12</v>
      </c>
      <c r="P3658">
        <f t="shared" si="228"/>
        <v>1.0669553115818773E-2</v>
      </c>
      <c r="Q3658">
        <f t="shared" si="228"/>
        <v>1.7063768115942028</v>
      </c>
      <c r="R3658">
        <f t="shared" si="229"/>
        <v>58.87</v>
      </c>
      <c r="S3658">
        <f t="shared" si="230"/>
        <v>0.66349583828775271</v>
      </c>
      <c r="T3658">
        <f t="shared" si="231"/>
        <v>2.8985507246376812E-2</v>
      </c>
      <c r="U3658" t="str">
        <f>YEAR('Campaign Data'!$A3658)&amp;"-"&amp;TEXT(MONTH('Campaign Data'!$A3658),"00")</f>
        <v>2026-07</v>
      </c>
    </row>
    <row r="3659" spans="1:21" x14ac:dyDescent="0.25">
      <c r="A3659">
        <v>46222</v>
      </c>
      <c r="B3659" t="s">
        <v>67</v>
      </c>
      <c r="C3659" t="s">
        <v>68</v>
      </c>
      <c r="D3659" t="s">
        <v>69</v>
      </c>
      <c r="E3659" t="s">
        <v>49</v>
      </c>
      <c r="F3659" t="s">
        <v>34</v>
      </c>
      <c r="G3659" t="s">
        <v>70</v>
      </c>
      <c r="H3659" t="s">
        <v>27</v>
      </c>
      <c r="I3659" t="s">
        <v>61</v>
      </c>
      <c r="J3659" t="s">
        <v>62</v>
      </c>
      <c r="K3659">
        <v>3286</v>
      </c>
      <c r="L3659">
        <v>206</v>
      </c>
      <c r="M3659">
        <v>627.71</v>
      </c>
      <c r="N3659">
        <v>17</v>
      </c>
      <c r="O3659">
        <v>3097.07</v>
      </c>
      <c r="P3659">
        <f t="shared" si="228"/>
        <v>6.2690200852099823E-2</v>
      </c>
      <c r="Q3659">
        <f t="shared" si="228"/>
        <v>3.0471359223300971</v>
      </c>
      <c r="R3659">
        <f t="shared" si="229"/>
        <v>36.924117647058829</v>
      </c>
      <c r="S3659">
        <f t="shared" si="230"/>
        <v>4.9339185292571406</v>
      </c>
      <c r="T3659">
        <f t="shared" si="231"/>
        <v>8.2524271844660199E-2</v>
      </c>
      <c r="U3659" t="str">
        <f>YEAR('Campaign Data'!$A3659)&amp;"-"&amp;TEXT(MONTH('Campaign Data'!$A3659),"00")</f>
        <v>2026-07</v>
      </c>
    </row>
    <row r="3660" spans="1:21" x14ac:dyDescent="0.25">
      <c r="A3660">
        <v>46222</v>
      </c>
      <c r="B3660" t="s">
        <v>67</v>
      </c>
      <c r="C3660" t="s">
        <v>68</v>
      </c>
      <c r="D3660" t="s">
        <v>69</v>
      </c>
      <c r="E3660" t="s">
        <v>49</v>
      </c>
      <c r="F3660" t="s">
        <v>34</v>
      </c>
      <c r="G3660" t="s">
        <v>70</v>
      </c>
      <c r="H3660" t="s">
        <v>27</v>
      </c>
      <c r="I3660" t="s">
        <v>28</v>
      </c>
      <c r="J3660" t="s">
        <v>45</v>
      </c>
      <c r="K3660">
        <v>4376</v>
      </c>
      <c r="L3660">
        <v>223</v>
      </c>
      <c r="M3660">
        <v>557.71</v>
      </c>
      <c r="N3660">
        <v>13</v>
      </c>
      <c r="O3660">
        <v>2142.3000000000002</v>
      </c>
      <c r="P3660">
        <f t="shared" si="228"/>
        <v>5.0959780621572213E-2</v>
      </c>
      <c r="Q3660">
        <f t="shared" si="228"/>
        <v>2.5009417040358746</v>
      </c>
      <c r="R3660">
        <f t="shared" si="229"/>
        <v>42.900769230769235</v>
      </c>
      <c r="S3660">
        <f t="shared" si="230"/>
        <v>3.8412436570977748</v>
      </c>
      <c r="T3660">
        <f t="shared" si="231"/>
        <v>5.829596412556054E-2</v>
      </c>
      <c r="U3660" t="str">
        <f>YEAR('Campaign Data'!$A3660)&amp;"-"&amp;TEXT(MONTH('Campaign Data'!$A3660),"00")</f>
        <v>2026-07</v>
      </c>
    </row>
    <row r="3661" spans="1:21" x14ac:dyDescent="0.25">
      <c r="A3661">
        <v>46222</v>
      </c>
      <c r="B3661" t="s">
        <v>120</v>
      </c>
      <c r="C3661" t="s">
        <v>121</v>
      </c>
      <c r="D3661" t="s">
        <v>23</v>
      </c>
      <c r="E3661" t="s">
        <v>49</v>
      </c>
      <c r="F3661" t="s">
        <v>75</v>
      </c>
      <c r="G3661" t="s">
        <v>70</v>
      </c>
      <c r="H3661" t="s">
        <v>55</v>
      </c>
      <c r="I3661" t="s">
        <v>28</v>
      </c>
      <c r="J3661" t="s">
        <v>62</v>
      </c>
      <c r="K3661">
        <v>847</v>
      </c>
      <c r="L3661">
        <v>64</v>
      </c>
      <c r="M3661">
        <v>107.45</v>
      </c>
      <c r="N3661">
        <v>9</v>
      </c>
      <c r="O3661">
        <v>85.18</v>
      </c>
      <c r="P3661">
        <f t="shared" si="228"/>
        <v>7.5560802833530102E-2</v>
      </c>
      <c r="Q3661">
        <f t="shared" si="228"/>
        <v>1.67890625</v>
      </c>
      <c r="R3661">
        <f t="shared" si="229"/>
        <v>11.93888888888889</v>
      </c>
      <c r="S3661">
        <f t="shared" si="230"/>
        <v>0.79274080967892047</v>
      </c>
      <c r="T3661">
        <f t="shared" si="231"/>
        <v>0.140625</v>
      </c>
      <c r="U3661" t="str">
        <f>YEAR('Campaign Data'!$A3661)&amp;"-"&amp;TEXT(MONTH('Campaign Data'!$A3661),"00")</f>
        <v>2026-07</v>
      </c>
    </row>
    <row r="3662" spans="1:21" x14ac:dyDescent="0.25">
      <c r="A3662">
        <v>46222</v>
      </c>
      <c r="B3662" t="s">
        <v>82</v>
      </c>
      <c r="C3662" t="s">
        <v>83</v>
      </c>
      <c r="D3662" t="s">
        <v>80</v>
      </c>
      <c r="E3662" t="s">
        <v>42</v>
      </c>
      <c r="F3662" t="s">
        <v>34</v>
      </c>
      <c r="G3662" t="s">
        <v>84</v>
      </c>
      <c r="H3662" t="s">
        <v>27</v>
      </c>
      <c r="I3662" t="s">
        <v>37</v>
      </c>
      <c r="J3662" t="s">
        <v>87</v>
      </c>
      <c r="K3662">
        <v>2889</v>
      </c>
      <c r="L3662">
        <v>18</v>
      </c>
      <c r="M3662">
        <v>137.04</v>
      </c>
      <c r="N3662">
        <v>0</v>
      </c>
      <c r="O3662">
        <v>0</v>
      </c>
      <c r="P3662">
        <f t="shared" si="228"/>
        <v>6.2305295950155761E-3</v>
      </c>
      <c r="Q3662">
        <f t="shared" si="228"/>
        <v>7.6133333333333333</v>
      </c>
      <c r="R3662">
        <f t="shared" si="229"/>
        <v>0</v>
      </c>
      <c r="S3662">
        <f t="shared" si="230"/>
        <v>0</v>
      </c>
      <c r="T3662">
        <f t="shared" si="231"/>
        <v>0</v>
      </c>
      <c r="U3662" t="str">
        <f>YEAR('Campaign Data'!$A3662)&amp;"-"&amp;TEXT(MONTH('Campaign Data'!$A3662),"00")</f>
        <v>2026-07</v>
      </c>
    </row>
    <row r="3663" spans="1:21" x14ac:dyDescent="0.25">
      <c r="A3663">
        <v>46223</v>
      </c>
      <c r="B3663" t="s">
        <v>21</v>
      </c>
      <c r="C3663" t="s">
        <v>124</v>
      </c>
      <c r="D3663" t="s">
        <v>23</v>
      </c>
      <c r="E3663" t="s">
        <v>24</v>
      </c>
      <c r="F3663" t="s">
        <v>25</v>
      </c>
      <c r="G3663" t="s">
        <v>26</v>
      </c>
      <c r="H3663" t="s">
        <v>51</v>
      </c>
      <c r="I3663" t="s">
        <v>37</v>
      </c>
      <c r="J3663" t="s">
        <v>87</v>
      </c>
      <c r="K3663">
        <v>6509</v>
      </c>
      <c r="L3663">
        <v>87</v>
      </c>
      <c r="M3663">
        <v>54.98</v>
      </c>
      <c r="N3663">
        <v>4</v>
      </c>
      <c r="O3663">
        <v>282.07</v>
      </c>
      <c r="P3663">
        <f t="shared" si="228"/>
        <v>1.3366108465202028E-2</v>
      </c>
      <c r="Q3663">
        <f t="shared" si="228"/>
        <v>0.63195402298850567</v>
      </c>
      <c r="R3663">
        <f t="shared" si="229"/>
        <v>13.744999999999999</v>
      </c>
      <c r="S3663">
        <f t="shared" si="230"/>
        <v>5.1304110585667519</v>
      </c>
      <c r="T3663">
        <f t="shared" si="231"/>
        <v>4.5977011494252873E-2</v>
      </c>
      <c r="U3663" t="str">
        <f>YEAR('Campaign Data'!$A3663)&amp;"-"&amp;TEXT(MONTH('Campaign Data'!$A3663),"00")</f>
        <v>2026-07</v>
      </c>
    </row>
    <row r="3664" spans="1:21" x14ac:dyDescent="0.25">
      <c r="A3664">
        <v>46223</v>
      </c>
      <c r="B3664" t="s">
        <v>21</v>
      </c>
      <c r="C3664" t="s">
        <v>124</v>
      </c>
      <c r="D3664" t="s">
        <v>23</v>
      </c>
      <c r="E3664" t="s">
        <v>24</v>
      </c>
      <c r="F3664" t="s">
        <v>25</v>
      </c>
      <c r="G3664" t="s">
        <v>26</v>
      </c>
      <c r="H3664" t="s">
        <v>27</v>
      </c>
      <c r="I3664" t="s">
        <v>37</v>
      </c>
      <c r="J3664" t="s">
        <v>45</v>
      </c>
      <c r="K3664">
        <v>4401</v>
      </c>
      <c r="L3664">
        <v>18</v>
      </c>
      <c r="M3664">
        <v>28.08</v>
      </c>
      <c r="N3664">
        <v>0</v>
      </c>
      <c r="O3664">
        <v>0</v>
      </c>
      <c r="P3664">
        <f t="shared" si="228"/>
        <v>4.0899795501022499E-3</v>
      </c>
      <c r="Q3664">
        <f t="shared" si="228"/>
        <v>1.5599999999999998</v>
      </c>
      <c r="R3664">
        <f t="shared" si="229"/>
        <v>0</v>
      </c>
      <c r="S3664">
        <f t="shared" si="230"/>
        <v>0</v>
      </c>
      <c r="T3664">
        <f t="shared" si="231"/>
        <v>0</v>
      </c>
      <c r="U3664" t="str">
        <f>YEAR('Campaign Data'!$A3664)&amp;"-"&amp;TEXT(MONTH('Campaign Data'!$A3664),"00")</f>
        <v>2026-07</v>
      </c>
    </row>
    <row r="3665" spans="1:21" x14ac:dyDescent="0.25">
      <c r="A3665">
        <v>46223</v>
      </c>
      <c r="B3665" t="s">
        <v>21</v>
      </c>
      <c r="C3665" t="s">
        <v>124</v>
      </c>
      <c r="D3665" t="s">
        <v>23</v>
      </c>
      <c r="E3665" t="s">
        <v>24</v>
      </c>
      <c r="F3665" t="s">
        <v>25</v>
      </c>
      <c r="G3665" t="s">
        <v>26</v>
      </c>
      <c r="H3665" t="s">
        <v>55</v>
      </c>
      <c r="I3665" t="s">
        <v>28</v>
      </c>
      <c r="J3665" t="s">
        <v>29</v>
      </c>
      <c r="K3665">
        <v>12266</v>
      </c>
      <c r="L3665">
        <v>45</v>
      </c>
      <c r="M3665">
        <v>42.66</v>
      </c>
      <c r="N3665">
        <v>1</v>
      </c>
      <c r="O3665">
        <v>122.21</v>
      </c>
      <c r="P3665">
        <f t="shared" si="228"/>
        <v>3.6686776455242135E-3</v>
      </c>
      <c r="Q3665">
        <f t="shared" si="228"/>
        <v>0.94799999999999995</v>
      </c>
      <c r="R3665">
        <f t="shared" si="229"/>
        <v>42.66</v>
      </c>
      <c r="S3665">
        <f t="shared" si="230"/>
        <v>2.8647444913267699</v>
      </c>
      <c r="T3665">
        <f t="shared" si="231"/>
        <v>2.2222222222222223E-2</v>
      </c>
      <c r="U3665" t="str">
        <f>YEAR('Campaign Data'!$A3665)&amp;"-"&amp;TEXT(MONTH('Campaign Data'!$A3665),"00")</f>
        <v>2026-07</v>
      </c>
    </row>
    <row r="3666" spans="1:21" x14ac:dyDescent="0.25">
      <c r="A3666">
        <v>46223</v>
      </c>
      <c r="B3666" t="s">
        <v>147</v>
      </c>
      <c r="C3666" t="s">
        <v>148</v>
      </c>
      <c r="D3666" t="s">
        <v>23</v>
      </c>
      <c r="E3666" t="s">
        <v>42</v>
      </c>
      <c r="F3666" t="s">
        <v>75</v>
      </c>
      <c r="G3666" t="s">
        <v>44</v>
      </c>
      <c r="H3666" t="s">
        <v>60</v>
      </c>
      <c r="I3666" t="s">
        <v>28</v>
      </c>
      <c r="J3666" t="s">
        <v>38</v>
      </c>
      <c r="K3666">
        <v>3404</v>
      </c>
      <c r="L3666">
        <v>15</v>
      </c>
      <c r="M3666">
        <v>111.51</v>
      </c>
      <c r="N3666">
        <v>0</v>
      </c>
      <c r="O3666">
        <v>0</v>
      </c>
      <c r="P3666">
        <f t="shared" si="228"/>
        <v>4.4065804935370153E-3</v>
      </c>
      <c r="Q3666">
        <f t="shared" si="228"/>
        <v>7.4340000000000002</v>
      </c>
      <c r="R3666">
        <f t="shared" si="229"/>
        <v>0</v>
      </c>
      <c r="S3666">
        <f t="shared" si="230"/>
        <v>0</v>
      </c>
      <c r="T3666">
        <f t="shared" si="231"/>
        <v>0</v>
      </c>
      <c r="U3666" t="str">
        <f>YEAR('Campaign Data'!$A3666)&amp;"-"&amp;TEXT(MONTH('Campaign Data'!$A3666),"00")</f>
        <v>2026-07</v>
      </c>
    </row>
    <row r="3667" spans="1:21" x14ac:dyDescent="0.25">
      <c r="A3667">
        <v>46223</v>
      </c>
      <c r="B3667" t="s">
        <v>125</v>
      </c>
      <c r="C3667" t="s">
        <v>126</v>
      </c>
      <c r="D3667" t="s">
        <v>41</v>
      </c>
      <c r="E3667" t="s">
        <v>42</v>
      </c>
      <c r="F3667" t="s">
        <v>81</v>
      </c>
      <c r="G3667" t="s">
        <v>44</v>
      </c>
      <c r="H3667" t="s">
        <v>51</v>
      </c>
      <c r="I3667" t="s">
        <v>37</v>
      </c>
      <c r="J3667" t="s">
        <v>38</v>
      </c>
      <c r="K3667">
        <v>8548</v>
      </c>
      <c r="L3667">
        <v>35</v>
      </c>
      <c r="M3667">
        <v>198.08</v>
      </c>
      <c r="N3667">
        <v>2</v>
      </c>
      <c r="O3667">
        <v>20.11</v>
      </c>
      <c r="P3667">
        <f t="shared" si="228"/>
        <v>4.0945250350959287E-3</v>
      </c>
      <c r="Q3667">
        <f t="shared" si="228"/>
        <v>5.6594285714285721</v>
      </c>
      <c r="R3667">
        <f t="shared" si="229"/>
        <v>99.04</v>
      </c>
      <c r="S3667">
        <f t="shared" si="230"/>
        <v>0.1015246365105008</v>
      </c>
      <c r="T3667">
        <f t="shared" si="231"/>
        <v>5.7142857142857141E-2</v>
      </c>
      <c r="U3667" t="str">
        <f>YEAR('Campaign Data'!$A3667)&amp;"-"&amp;TEXT(MONTH('Campaign Data'!$A3667),"00")</f>
        <v>2026-07</v>
      </c>
    </row>
    <row r="3668" spans="1:21" x14ac:dyDescent="0.25">
      <c r="A3668">
        <v>46223</v>
      </c>
      <c r="B3668" t="s">
        <v>138</v>
      </c>
      <c r="C3668" t="s">
        <v>139</v>
      </c>
      <c r="D3668" t="s">
        <v>58</v>
      </c>
      <c r="E3668" t="s">
        <v>74</v>
      </c>
      <c r="F3668" t="s">
        <v>34</v>
      </c>
      <c r="G3668" t="s">
        <v>9</v>
      </c>
      <c r="H3668" t="s">
        <v>27</v>
      </c>
      <c r="I3668" t="s">
        <v>37</v>
      </c>
      <c r="J3668" t="s">
        <v>29</v>
      </c>
      <c r="K3668">
        <v>19041</v>
      </c>
      <c r="L3668">
        <v>820</v>
      </c>
      <c r="M3668">
        <v>1531.56</v>
      </c>
      <c r="N3668">
        <v>38</v>
      </c>
      <c r="O3668">
        <v>9696.17</v>
      </c>
      <c r="P3668">
        <f t="shared" si="228"/>
        <v>4.3064965075363691E-2</v>
      </c>
      <c r="Q3668">
        <f t="shared" si="228"/>
        <v>1.8677560975609755</v>
      </c>
      <c r="R3668">
        <f t="shared" si="229"/>
        <v>40.304210526315785</v>
      </c>
      <c r="S3668">
        <f t="shared" si="230"/>
        <v>6.3309109665961509</v>
      </c>
      <c r="T3668">
        <f t="shared" si="231"/>
        <v>4.6341463414634146E-2</v>
      </c>
      <c r="U3668" t="str">
        <f>YEAR('Campaign Data'!$A3668)&amp;"-"&amp;TEXT(MONTH('Campaign Data'!$A3668),"00")</f>
        <v>2026-07</v>
      </c>
    </row>
    <row r="3669" spans="1:21" x14ac:dyDescent="0.25">
      <c r="A3669">
        <v>46223</v>
      </c>
      <c r="B3669" t="s">
        <v>138</v>
      </c>
      <c r="C3669" t="s">
        <v>139</v>
      </c>
      <c r="D3669" t="s">
        <v>58</v>
      </c>
      <c r="E3669" t="s">
        <v>74</v>
      </c>
      <c r="F3669" t="s">
        <v>34</v>
      </c>
      <c r="G3669" t="s">
        <v>9</v>
      </c>
      <c r="H3669" t="s">
        <v>27</v>
      </c>
      <c r="I3669" t="s">
        <v>37</v>
      </c>
      <c r="J3669" t="s">
        <v>38</v>
      </c>
      <c r="K3669">
        <v>2874</v>
      </c>
      <c r="L3669">
        <v>96</v>
      </c>
      <c r="M3669">
        <v>168.5</v>
      </c>
      <c r="N3669">
        <v>8</v>
      </c>
      <c r="O3669">
        <v>1169.54</v>
      </c>
      <c r="P3669">
        <f t="shared" si="228"/>
        <v>3.3402922755741124E-2</v>
      </c>
      <c r="Q3669">
        <f t="shared" si="228"/>
        <v>1.7552083333333333</v>
      </c>
      <c r="R3669">
        <f t="shared" si="229"/>
        <v>21.0625</v>
      </c>
      <c r="S3669">
        <f t="shared" si="230"/>
        <v>6.9408902077151335</v>
      </c>
      <c r="T3669">
        <f t="shared" si="231"/>
        <v>8.3333333333333329E-2</v>
      </c>
      <c r="U3669" t="str">
        <f>YEAR('Campaign Data'!$A3669)&amp;"-"&amp;TEXT(MONTH('Campaign Data'!$A3669),"00")</f>
        <v>2026-07</v>
      </c>
    </row>
    <row r="3670" spans="1:21" x14ac:dyDescent="0.25">
      <c r="A3670">
        <v>46223</v>
      </c>
      <c r="B3670" t="s">
        <v>138</v>
      </c>
      <c r="C3670" t="s">
        <v>139</v>
      </c>
      <c r="D3670" t="s">
        <v>58</v>
      </c>
      <c r="E3670" t="s">
        <v>74</v>
      </c>
      <c r="F3670" t="s">
        <v>34</v>
      </c>
      <c r="G3670" t="s">
        <v>9</v>
      </c>
      <c r="H3670" t="s">
        <v>51</v>
      </c>
      <c r="I3670" t="s">
        <v>37</v>
      </c>
      <c r="J3670" t="s">
        <v>87</v>
      </c>
      <c r="K3670">
        <v>5638</v>
      </c>
      <c r="L3670">
        <v>92</v>
      </c>
      <c r="M3670">
        <v>126.81</v>
      </c>
      <c r="N3670">
        <v>1</v>
      </c>
      <c r="O3670">
        <v>107.83</v>
      </c>
      <c r="P3670">
        <f t="shared" si="228"/>
        <v>1.6317843206810925E-2</v>
      </c>
      <c r="Q3670">
        <f t="shared" si="228"/>
        <v>1.3783695652173913</v>
      </c>
      <c r="R3670">
        <f t="shared" si="229"/>
        <v>126.81</v>
      </c>
      <c r="S3670">
        <f t="shared" si="230"/>
        <v>0.85032726125699865</v>
      </c>
      <c r="T3670">
        <f t="shared" si="231"/>
        <v>1.0869565217391304E-2</v>
      </c>
      <c r="U3670" t="str">
        <f>YEAR('Campaign Data'!$A3670)&amp;"-"&amp;TEXT(MONTH('Campaign Data'!$A3670),"00")</f>
        <v>2026-07</v>
      </c>
    </row>
    <row r="3671" spans="1:21" x14ac:dyDescent="0.25">
      <c r="A3671">
        <v>46223</v>
      </c>
      <c r="B3671" t="s">
        <v>127</v>
      </c>
      <c r="C3671" t="s">
        <v>128</v>
      </c>
      <c r="D3671" t="s">
        <v>58</v>
      </c>
      <c r="E3671" t="s">
        <v>24</v>
      </c>
      <c r="F3671" t="s">
        <v>81</v>
      </c>
      <c r="G3671" t="s">
        <v>129</v>
      </c>
      <c r="H3671" t="s">
        <v>36</v>
      </c>
      <c r="I3671" t="s">
        <v>37</v>
      </c>
      <c r="J3671" t="s">
        <v>38</v>
      </c>
      <c r="K3671">
        <v>3724</v>
      </c>
      <c r="L3671">
        <v>51</v>
      </c>
      <c r="M3671">
        <v>61.4</v>
      </c>
      <c r="N3671">
        <v>3</v>
      </c>
      <c r="O3671">
        <v>64.22</v>
      </c>
      <c r="P3671">
        <f t="shared" si="228"/>
        <v>1.3694951664876477E-2</v>
      </c>
      <c r="Q3671">
        <f t="shared" si="228"/>
        <v>1.2039215686274509</v>
      </c>
      <c r="R3671">
        <f t="shared" si="229"/>
        <v>20.466666666666665</v>
      </c>
      <c r="S3671">
        <f t="shared" si="230"/>
        <v>1.0459283387622149</v>
      </c>
      <c r="T3671">
        <f t="shared" si="231"/>
        <v>5.8823529411764705E-2</v>
      </c>
      <c r="U3671" t="str">
        <f>YEAR('Campaign Data'!$A3671)&amp;"-"&amp;TEXT(MONTH('Campaign Data'!$A3671),"00")</f>
        <v>2026-07</v>
      </c>
    </row>
    <row r="3672" spans="1:21" x14ac:dyDescent="0.25">
      <c r="A3672">
        <v>46223</v>
      </c>
      <c r="B3672" t="s">
        <v>157</v>
      </c>
      <c r="C3672" t="s">
        <v>158</v>
      </c>
      <c r="D3672" t="s">
        <v>58</v>
      </c>
      <c r="E3672" t="s">
        <v>49</v>
      </c>
      <c r="F3672" t="s">
        <v>81</v>
      </c>
      <c r="G3672" t="s">
        <v>50</v>
      </c>
      <c r="H3672" t="s">
        <v>51</v>
      </c>
      <c r="I3672" t="s">
        <v>28</v>
      </c>
      <c r="J3672" t="s">
        <v>38</v>
      </c>
      <c r="K3672">
        <v>18076</v>
      </c>
      <c r="L3672">
        <v>843</v>
      </c>
      <c r="M3672">
        <v>1414.01</v>
      </c>
      <c r="N3672">
        <v>41</v>
      </c>
      <c r="O3672">
        <v>733.94</v>
      </c>
      <c r="P3672">
        <f t="shared" si="228"/>
        <v>4.6636423987607881E-2</v>
      </c>
      <c r="Q3672">
        <f t="shared" si="228"/>
        <v>1.6773546856465005</v>
      </c>
      <c r="R3672">
        <f t="shared" si="229"/>
        <v>34.488048780487802</v>
      </c>
      <c r="S3672">
        <f t="shared" si="230"/>
        <v>0.51904866302218522</v>
      </c>
      <c r="T3672">
        <f t="shared" si="231"/>
        <v>4.8635824436536183E-2</v>
      </c>
      <c r="U3672" t="str">
        <f>YEAR('Campaign Data'!$A3672)&amp;"-"&amp;TEXT(MONTH('Campaign Data'!$A3672),"00")</f>
        <v>2026-07</v>
      </c>
    </row>
    <row r="3673" spans="1:21" x14ac:dyDescent="0.25">
      <c r="A3673">
        <v>46223</v>
      </c>
      <c r="B3673" t="s">
        <v>112</v>
      </c>
      <c r="C3673" t="s">
        <v>113</v>
      </c>
      <c r="D3673" t="s">
        <v>32</v>
      </c>
      <c r="E3673" t="s">
        <v>24</v>
      </c>
      <c r="F3673" t="s">
        <v>75</v>
      </c>
      <c r="G3673" t="s">
        <v>66</v>
      </c>
      <c r="H3673" t="s">
        <v>36</v>
      </c>
      <c r="I3673" t="s">
        <v>37</v>
      </c>
      <c r="J3673" t="s">
        <v>87</v>
      </c>
      <c r="K3673">
        <v>12261</v>
      </c>
      <c r="L3673">
        <v>145</v>
      </c>
      <c r="M3673">
        <v>156.69</v>
      </c>
      <c r="N3673">
        <v>2</v>
      </c>
      <c r="O3673">
        <v>79.19</v>
      </c>
      <c r="P3673">
        <f t="shared" si="228"/>
        <v>1.1826115325014272E-2</v>
      </c>
      <c r="Q3673">
        <f t="shared" si="228"/>
        <v>1.0806206896551724</v>
      </c>
      <c r="R3673">
        <f t="shared" si="229"/>
        <v>78.344999999999999</v>
      </c>
      <c r="S3673">
        <f t="shared" si="230"/>
        <v>0.50539281383623713</v>
      </c>
      <c r="T3673">
        <f t="shared" si="231"/>
        <v>1.3793103448275862E-2</v>
      </c>
      <c r="U3673" t="str">
        <f>YEAR('Campaign Data'!$A3673)&amp;"-"&amp;TEXT(MONTH('Campaign Data'!$A3673),"00")</f>
        <v>2026-07</v>
      </c>
    </row>
    <row r="3674" spans="1:21" x14ac:dyDescent="0.25">
      <c r="A3674">
        <v>46223</v>
      </c>
      <c r="B3674" t="s">
        <v>136</v>
      </c>
      <c r="C3674" t="s">
        <v>137</v>
      </c>
      <c r="D3674" t="s">
        <v>32</v>
      </c>
      <c r="E3674" t="s">
        <v>49</v>
      </c>
      <c r="F3674" t="s">
        <v>75</v>
      </c>
      <c r="G3674" t="s">
        <v>97</v>
      </c>
      <c r="H3674" t="s">
        <v>55</v>
      </c>
      <c r="I3674" t="s">
        <v>28</v>
      </c>
      <c r="J3674" t="s">
        <v>38</v>
      </c>
      <c r="K3674">
        <v>4644</v>
      </c>
      <c r="L3674">
        <v>190</v>
      </c>
      <c r="M3674">
        <v>292.37</v>
      </c>
      <c r="N3674">
        <v>6</v>
      </c>
      <c r="O3674">
        <v>159.27000000000001</v>
      </c>
      <c r="P3674">
        <f t="shared" si="228"/>
        <v>4.0913006029285097E-2</v>
      </c>
      <c r="Q3674">
        <f t="shared" si="228"/>
        <v>1.5387894736842105</v>
      </c>
      <c r="R3674">
        <f t="shared" si="229"/>
        <v>48.728333333333332</v>
      </c>
      <c r="S3674">
        <f t="shared" si="230"/>
        <v>0.54475493381673912</v>
      </c>
      <c r="T3674">
        <f t="shared" si="231"/>
        <v>3.1578947368421054E-2</v>
      </c>
      <c r="U3674" t="str">
        <f>YEAR('Campaign Data'!$A3674)&amp;"-"&amp;TEXT(MONTH('Campaign Data'!$A3674),"00")</f>
        <v>2026-07</v>
      </c>
    </row>
    <row r="3675" spans="1:21" x14ac:dyDescent="0.25">
      <c r="A3675">
        <v>46223</v>
      </c>
      <c r="B3675" t="s">
        <v>116</v>
      </c>
      <c r="C3675" t="s">
        <v>117</v>
      </c>
      <c r="D3675" t="s">
        <v>48</v>
      </c>
      <c r="E3675" t="s">
        <v>24</v>
      </c>
      <c r="F3675" t="s">
        <v>43</v>
      </c>
      <c r="G3675" t="s">
        <v>26</v>
      </c>
      <c r="H3675" t="s">
        <v>90</v>
      </c>
      <c r="I3675" t="s">
        <v>37</v>
      </c>
      <c r="J3675" t="s">
        <v>87</v>
      </c>
      <c r="K3675">
        <v>7759</v>
      </c>
      <c r="L3675">
        <v>119</v>
      </c>
      <c r="M3675">
        <v>33.68</v>
      </c>
      <c r="N3675">
        <v>1</v>
      </c>
      <c r="O3675">
        <v>7.22</v>
      </c>
      <c r="P3675">
        <f t="shared" si="228"/>
        <v>1.5337027967521588E-2</v>
      </c>
      <c r="Q3675">
        <f t="shared" si="228"/>
        <v>0.28302521008403358</v>
      </c>
      <c r="R3675">
        <f t="shared" si="229"/>
        <v>33.68</v>
      </c>
      <c r="S3675">
        <f t="shared" si="230"/>
        <v>0.21437054631828978</v>
      </c>
      <c r="T3675">
        <f t="shared" si="231"/>
        <v>8.4033613445378148E-3</v>
      </c>
      <c r="U3675" t="str">
        <f>YEAR('Campaign Data'!$A3675)&amp;"-"&amp;TEXT(MONTH('Campaign Data'!$A3675),"00")</f>
        <v>2026-07</v>
      </c>
    </row>
    <row r="3676" spans="1:21" x14ac:dyDescent="0.25">
      <c r="A3676">
        <v>46223</v>
      </c>
      <c r="B3676" t="s">
        <v>118</v>
      </c>
      <c r="C3676" t="s">
        <v>119</v>
      </c>
      <c r="D3676" t="s">
        <v>69</v>
      </c>
      <c r="E3676" t="s">
        <v>33</v>
      </c>
      <c r="F3676" t="s">
        <v>34</v>
      </c>
      <c r="G3676" t="s">
        <v>35</v>
      </c>
      <c r="H3676" t="s">
        <v>27</v>
      </c>
      <c r="I3676" t="s">
        <v>28</v>
      </c>
      <c r="J3676" t="s">
        <v>38</v>
      </c>
      <c r="K3676">
        <v>15765</v>
      </c>
      <c r="L3676">
        <v>169</v>
      </c>
      <c r="M3676">
        <v>112.02</v>
      </c>
      <c r="N3676">
        <v>2</v>
      </c>
      <c r="O3676">
        <v>356.15</v>
      </c>
      <c r="P3676">
        <f t="shared" si="228"/>
        <v>1.0719949254678084E-2</v>
      </c>
      <c r="Q3676">
        <f t="shared" si="228"/>
        <v>0.66284023668639047</v>
      </c>
      <c r="R3676">
        <f t="shared" si="229"/>
        <v>56.01</v>
      </c>
      <c r="S3676">
        <f t="shared" si="230"/>
        <v>3.1793429744688448</v>
      </c>
      <c r="T3676">
        <f t="shared" si="231"/>
        <v>1.1834319526627219E-2</v>
      </c>
      <c r="U3676" t="str">
        <f>YEAR('Campaign Data'!$A3676)&amp;"-"&amp;TEXT(MONTH('Campaign Data'!$A3676),"00")</f>
        <v>2026-07</v>
      </c>
    </row>
    <row r="3677" spans="1:21" x14ac:dyDescent="0.25">
      <c r="A3677">
        <v>46223</v>
      </c>
      <c r="B3677" t="s">
        <v>122</v>
      </c>
      <c r="C3677" t="s">
        <v>123</v>
      </c>
      <c r="D3677" t="s">
        <v>41</v>
      </c>
      <c r="E3677" t="s">
        <v>33</v>
      </c>
      <c r="F3677" t="s">
        <v>75</v>
      </c>
      <c r="G3677" t="s">
        <v>35</v>
      </c>
      <c r="H3677" t="s">
        <v>55</v>
      </c>
      <c r="I3677" t="s">
        <v>28</v>
      </c>
      <c r="J3677" t="s">
        <v>87</v>
      </c>
      <c r="K3677">
        <v>7860</v>
      </c>
      <c r="L3677">
        <v>99</v>
      </c>
      <c r="M3677">
        <v>59.26</v>
      </c>
      <c r="N3677">
        <v>3</v>
      </c>
      <c r="O3677">
        <v>118.17</v>
      </c>
      <c r="P3677">
        <f t="shared" si="228"/>
        <v>1.2595419847328244E-2</v>
      </c>
      <c r="Q3677">
        <f t="shared" si="228"/>
        <v>0.59858585858585855</v>
      </c>
      <c r="R3677">
        <f t="shared" si="229"/>
        <v>19.753333333333334</v>
      </c>
      <c r="S3677">
        <f t="shared" si="230"/>
        <v>1.9940938238272023</v>
      </c>
      <c r="T3677">
        <f t="shared" si="231"/>
        <v>3.0303030303030304E-2</v>
      </c>
      <c r="U3677" t="str">
        <f>YEAR('Campaign Data'!$A3677)&amp;"-"&amp;TEXT(MONTH('Campaign Data'!$A3677),"00")</f>
        <v>2026-07</v>
      </c>
    </row>
    <row r="3678" spans="1:21" x14ac:dyDescent="0.25">
      <c r="A3678">
        <v>46223</v>
      </c>
      <c r="B3678" t="s">
        <v>82</v>
      </c>
      <c r="C3678" t="s">
        <v>83</v>
      </c>
      <c r="D3678" t="s">
        <v>80</v>
      </c>
      <c r="E3678" t="s">
        <v>42</v>
      </c>
      <c r="F3678" t="s">
        <v>34</v>
      </c>
      <c r="G3678" t="s">
        <v>84</v>
      </c>
      <c r="H3678" t="s">
        <v>71</v>
      </c>
      <c r="I3678" t="s">
        <v>28</v>
      </c>
      <c r="J3678" t="s">
        <v>29</v>
      </c>
      <c r="K3678">
        <v>30003</v>
      </c>
      <c r="L3678">
        <v>221</v>
      </c>
      <c r="M3678">
        <v>1411.56</v>
      </c>
      <c r="N3678">
        <v>7</v>
      </c>
      <c r="O3678">
        <v>1143.01</v>
      </c>
      <c r="P3678">
        <f t="shared" si="228"/>
        <v>7.3659300736593006E-3</v>
      </c>
      <c r="Q3678">
        <f t="shared" si="228"/>
        <v>6.3871493212669677</v>
      </c>
      <c r="R3678">
        <f t="shared" si="229"/>
        <v>201.65142857142857</v>
      </c>
      <c r="S3678">
        <f t="shared" si="230"/>
        <v>0.80974949701039989</v>
      </c>
      <c r="T3678">
        <f t="shared" si="231"/>
        <v>3.1674208144796379E-2</v>
      </c>
      <c r="U3678" t="str">
        <f>YEAR('Campaign Data'!$A3678)&amp;"-"&amp;TEXT(MONTH('Campaign Data'!$A3678),"00")</f>
        <v>2026-07</v>
      </c>
    </row>
    <row r="3679" spans="1:21" x14ac:dyDescent="0.25">
      <c r="A3679">
        <v>46224</v>
      </c>
      <c r="B3679" t="s">
        <v>173</v>
      </c>
      <c r="C3679" t="s">
        <v>174</v>
      </c>
      <c r="D3679" t="s">
        <v>48</v>
      </c>
      <c r="E3679" t="s">
        <v>74</v>
      </c>
      <c r="F3679" t="s">
        <v>25</v>
      </c>
      <c r="G3679" t="s">
        <v>9</v>
      </c>
      <c r="H3679" t="s">
        <v>60</v>
      </c>
      <c r="I3679" t="s">
        <v>61</v>
      </c>
      <c r="J3679" t="s">
        <v>87</v>
      </c>
      <c r="K3679">
        <v>2775</v>
      </c>
      <c r="L3679">
        <v>127</v>
      </c>
      <c r="M3679">
        <v>183.1</v>
      </c>
      <c r="N3679">
        <v>5</v>
      </c>
      <c r="O3679">
        <v>771.11</v>
      </c>
      <c r="P3679">
        <f t="shared" si="228"/>
        <v>4.5765765765765763E-2</v>
      </c>
      <c r="Q3679">
        <f t="shared" si="228"/>
        <v>1.4417322834645669</v>
      </c>
      <c r="R3679">
        <f t="shared" si="229"/>
        <v>36.619999999999997</v>
      </c>
      <c r="S3679">
        <f t="shared" si="230"/>
        <v>4.2114145275805575</v>
      </c>
      <c r="T3679">
        <f t="shared" si="231"/>
        <v>3.937007874015748E-2</v>
      </c>
      <c r="U3679" t="str">
        <f>YEAR('Campaign Data'!$A3679)&amp;"-"&amp;TEXT(MONTH('Campaign Data'!$A3679),"00")</f>
        <v>2026-07</v>
      </c>
    </row>
    <row r="3680" spans="1:21" x14ac:dyDescent="0.25">
      <c r="A3680">
        <v>46224</v>
      </c>
      <c r="B3680" t="s">
        <v>173</v>
      </c>
      <c r="C3680" t="s">
        <v>174</v>
      </c>
      <c r="D3680" t="s">
        <v>48</v>
      </c>
      <c r="E3680" t="s">
        <v>74</v>
      </c>
      <c r="F3680" t="s">
        <v>25</v>
      </c>
      <c r="G3680" t="s">
        <v>9</v>
      </c>
      <c r="H3680" t="s">
        <v>71</v>
      </c>
      <c r="I3680" t="s">
        <v>37</v>
      </c>
      <c r="J3680" t="s">
        <v>29</v>
      </c>
      <c r="K3680">
        <v>7872</v>
      </c>
      <c r="L3680">
        <v>229</v>
      </c>
      <c r="M3680">
        <v>246.11</v>
      </c>
      <c r="N3680">
        <v>11</v>
      </c>
      <c r="O3680">
        <v>1036.2</v>
      </c>
      <c r="P3680">
        <f t="shared" si="228"/>
        <v>2.9090447154471545E-2</v>
      </c>
      <c r="Q3680">
        <f t="shared" si="228"/>
        <v>1.0747161572052402</v>
      </c>
      <c r="R3680">
        <f t="shared" si="229"/>
        <v>22.373636363636365</v>
      </c>
      <c r="S3680">
        <f t="shared" si="230"/>
        <v>4.2103124619072769</v>
      </c>
      <c r="T3680">
        <f t="shared" si="231"/>
        <v>4.8034934497816595E-2</v>
      </c>
      <c r="U3680" t="str">
        <f>YEAR('Campaign Data'!$A3680)&amp;"-"&amp;TEXT(MONTH('Campaign Data'!$A3680),"00")</f>
        <v>2026-07</v>
      </c>
    </row>
    <row r="3681" spans="1:21" x14ac:dyDescent="0.25">
      <c r="A3681">
        <v>46224</v>
      </c>
      <c r="B3681" t="s">
        <v>173</v>
      </c>
      <c r="C3681" t="s">
        <v>174</v>
      </c>
      <c r="D3681" t="s">
        <v>48</v>
      </c>
      <c r="E3681" t="s">
        <v>74</v>
      </c>
      <c r="F3681" t="s">
        <v>25</v>
      </c>
      <c r="G3681" t="s">
        <v>9</v>
      </c>
      <c r="H3681" t="s">
        <v>90</v>
      </c>
      <c r="I3681" t="s">
        <v>28</v>
      </c>
      <c r="J3681" t="s">
        <v>45</v>
      </c>
      <c r="K3681">
        <v>1990</v>
      </c>
      <c r="L3681">
        <v>32</v>
      </c>
      <c r="M3681">
        <v>8.98</v>
      </c>
      <c r="N3681">
        <v>0</v>
      </c>
      <c r="O3681">
        <v>0</v>
      </c>
      <c r="P3681">
        <f t="shared" si="228"/>
        <v>1.6080402010050253E-2</v>
      </c>
      <c r="Q3681">
        <f t="shared" si="228"/>
        <v>0.28062500000000001</v>
      </c>
      <c r="R3681">
        <f t="shared" si="229"/>
        <v>0</v>
      </c>
      <c r="S3681">
        <f t="shared" si="230"/>
        <v>0</v>
      </c>
      <c r="T3681">
        <f t="shared" si="231"/>
        <v>0</v>
      </c>
      <c r="U3681" t="str">
        <f>YEAR('Campaign Data'!$A3681)&amp;"-"&amp;TEXT(MONTH('Campaign Data'!$A3681),"00")</f>
        <v>2026-07</v>
      </c>
    </row>
    <row r="3682" spans="1:21" x14ac:dyDescent="0.25">
      <c r="A3682">
        <v>46224</v>
      </c>
      <c r="B3682" t="s">
        <v>175</v>
      </c>
      <c r="C3682" t="s">
        <v>176</v>
      </c>
      <c r="D3682" t="s">
        <v>65</v>
      </c>
      <c r="E3682" t="s">
        <v>49</v>
      </c>
      <c r="F3682" t="s">
        <v>75</v>
      </c>
      <c r="G3682" t="s">
        <v>70</v>
      </c>
      <c r="H3682" t="s">
        <v>27</v>
      </c>
      <c r="I3682" t="s">
        <v>37</v>
      </c>
      <c r="J3682" t="s">
        <v>87</v>
      </c>
      <c r="K3682">
        <v>5398</v>
      </c>
      <c r="L3682">
        <v>232</v>
      </c>
      <c r="M3682">
        <v>439.44</v>
      </c>
      <c r="N3682">
        <v>17</v>
      </c>
      <c r="O3682">
        <v>911.4</v>
      </c>
      <c r="P3682">
        <f t="shared" si="228"/>
        <v>4.2978881067061873E-2</v>
      </c>
      <c r="Q3682">
        <f t="shared" si="228"/>
        <v>1.8941379310344828</v>
      </c>
      <c r="R3682">
        <f t="shared" si="229"/>
        <v>25.849411764705881</v>
      </c>
      <c r="S3682">
        <f t="shared" si="230"/>
        <v>2.0740032768978698</v>
      </c>
      <c r="T3682">
        <f t="shared" si="231"/>
        <v>7.3275862068965511E-2</v>
      </c>
      <c r="U3682" t="str">
        <f>YEAR('Campaign Data'!$A3682)&amp;"-"&amp;TEXT(MONTH('Campaign Data'!$A3682),"00")</f>
        <v>2026-07</v>
      </c>
    </row>
    <row r="3683" spans="1:21" x14ac:dyDescent="0.25">
      <c r="A3683">
        <v>46224</v>
      </c>
      <c r="B3683" t="s">
        <v>167</v>
      </c>
      <c r="C3683" t="s">
        <v>168</v>
      </c>
      <c r="D3683" t="s">
        <v>58</v>
      </c>
      <c r="E3683" t="s">
        <v>33</v>
      </c>
      <c r="F3683" t="s">
        <v>75</v>
      </c>
      <c r="G3683" t="s">
        <v>35</v>
      </c>
      <c r="H3683" t="s">
        <v>27</v>
      </c>
      <c r="I3683" t="s">
        <v>28</v>
      </c>
      <c r="J3683" t="s">
        <v>38</v>
      </c>
      <c r="K3683">
        <v>14673</v>
      </c>
      <c r="L3683">
        <v>91</v>
      </c>
      <c r="M3683">
        <v>57.93</v>
      </c>
      <c r="N3683">
        <v>2</v>
      </c>
      <c r="O3683">
        <v>62.13</v>
      </c>
      <c r="P3683">
        <f t="shared" si="228"/>
        <v>6.20186737545151E-3</v>
      </c>
      <c r="Q3683">
        <f t="shared" si="228"/>
        <v>0.63659340659340657</v>
      </c>
      <c r="R3683">
        <f t="shared" si="229"/>
        <v>28.965</v>
      </c>
      <c r="S3683">
        <f t="shared" si="230"/>
        <v>1.0725012946659762</v>
      </c>
      <c r="T3683">
        <f t="shared" si="231"/>
        <v>2.197802197802198E-2</v>
      </c>
      <c r="U3683" t="str">
        <f>YEAR('Campaign Data'!$A3683)&amp;"-"&amp;TEXT(MONTH('Campaign Data'!$A3683),"00")</f>
        <v>2026-07</v>
      </c>
    </row>
    <row r="3684" spans="1:21" x14ac:dyDescent="0.25">
      <c r="A3684">
        <v>46224</v>
      </c>
      <c r="B3684" t="s">
        <v>147</v>
      </c>
      <c r="C3684" t="s">
        <v>148</v>
      </c>
      <c r="D3684" t="s">
        <v>23</v>
      </c>
      <c r="E3684" t="s">
        <v>42</v>
      </c>
      <c r="F3684" t="s">
        <v>75</v>
      </c>
      <c r="G3684" t="s">
        <v>44</v>
      </c>
      <c r="H3684" t="s">
        <v>27</v>
      </c>
      <c r="I3684" t="s">
        <v>28</v>
      </c>
      <c r="J3684" t="s">
        <v>87</v>
      </c>
      <c r="K3684">
        <v>7571</v>
      </c>
      <c r="L3684">
        <v>59</v>
      </c>
      <c r="M3684">
        <v>338.25</v>
      </c>
      <c r="N3684">
        <v>1</v>
      </c>
      <c r="O3684">
        <v>61.78</v>
      </c>
      <c r="P3684">
        <f t="shared" si="228"/>
        <v>7.792893937392683E-3</v>
      </c>
      <c r="Q3684">
        <f t="shared" si="228"/>
        <v>5.7330508474576272</v>
      </c>
      <c r="R3684">
        <f t="shared" si="229"/>
        <v>338.25</v>
      </c>
      <c r="S3684">
        <f t="shared" si="230"/>
        <v>0.1826459719142646</v>
      </c>
      <c r="T3684">
        <f t="shared" si="231"/>
        <v>1.6949152542372881E-2</v>
      </c>
      <c r="U3684" t="str">
        <f>YEAR('Campaign Data'!$A3684)&amp;"-"&amp;TEXT(MONTH('Campaign Data'!$A3684),"00")</f>
        <v>2026-07</v>
      </c>
    </row>
    <row r="3685" spans="1:21" x14ac:dyDescent="0.25">
      <c r="A3685">
        <v>46224</v>
      </c>
      <c r="B3685" t="s">
        <v>93</v>
      </c>
      <c r="C3685" t="s">
        <v>94</v>
      </c>
      <c r="D3685" t="s">
        <v>69</v>
      </c>
      <c r="E3685" t="s">
        <v>42</v>
      </c>
      <c r="F3685" t="s">
        <v>75</v>
      </c>
      <c r="G3685" t="s">
        <v>44</v>
      </c>
      <c r="H3685" t="s">
        <v>51</v>
      </c>
      <c r="I3685" t="s">
        <v>28</v>
      </c>
      <c r="J3685" t="s">
        <v>29</v>
      </c>
      <c r="K3685">
        <v>3289</v>
      </c>
      <c r="L3685">
        <v>20</v>
      </c>
      <c r="M3685">
        <v>127.6</v>
      </c>
      <c r="N3685">
        <v>0</v>
      </c>
      <c r="O3685">
        <v>0</v>
      </c>
      <c r="P3685">
        <f t="shared" si="228"/>
        <v>6.0808756460930371E-3</v>
      </c>
      <c r="Q3685">
        <f t="shared" si="228"/>
        <v>6.38</v>
      </c>
      <c r="R3685">
        <f t="shared" si="229"/>
        <v>0</v>
      </c>
      <c r="S3685">
        <f t="shared" si="230"/>
        <v>0</v>
      </c>
      <c r="T3685">
        <f t="shared" si="231"/>
        <v>0</v>
      </c>
      <c r="U3685" t="str">
        <f>YEAR('Campaign Data'!$A3685)&amp;"-"&amp;TEXT(MONTH('Campaign Data'!$A3685),"00")</f>
        <v>2026-07</v>
      </c>
    </row>
    <row r="3686" spans="1:21" x14ac:dyDescent="0.25">
      <c r="A3686">
        <v>46224</v>
      </c>
      <c r="B3686" t="s">
        <v>93</v>
      </c>
      <c r="C3686" t="s">
        <v>94</v>
      </c>
      <c r="D3686" t="s">
        <v>69</v>
      </c>
      <c r="E3686" t="s">
        <v>42</v>
      </c>
      <c r="F3686" t="s">
        <v>75</v>
      </c>
      <c r="G3686" t="s">
        <v>44</v>
      </c>
      <c r="H3686" t="s">
        <v>90</v>
      </c>
      <c r="I3686" t="s">
        <v>37</v>
      </c>
      <c r="J3686" t="s">
        <v>38</v>
      </c>
      <c r="K3686">
        <v>4793</v>
      </c>
      <c r="L3686">
        <v>32</v>
      </c>
      <c r="M3686">
        <v>54.83</v>
      </c>
      <c r="N3686">
        <v>1</v>
      </c>
      <c r="O3686">
        <v>8.66</v>
      </c>
      <c r="P3686">
        <f t="shared" si="228"/>
        <v>6.6764030878364283E-3</v>
      </c>
      <c r="Q3686">
        <f t="shared" si="228"/>
        <v>1.7134374999999999</v>
      </c>
      <c r="R3686">
        <f t="shared" si="229"/>
        <v>54.83</v>
      </c>
      <c r="S3686">
        <f t="shared" si="230"/>
        <v>0.15794273208097759</v>
      </c>
      <c r="T3686">
        <f t="shared" si="231"/>
        <v>3.125E-2</v>
      </c>
      <c r="U3686" t="str">
        <f>YEAR('Campaign Data'!$A3686)&amp;"-"&amp;TEXT(MONTH('Campaign Data'!$A3686),"00")</f>
        <v>2026-07</v>
      </c>
    </row>
    <row r="3687" spans="1:21" x14ac:dyDescent="0.25">
      <c r="A3687">
        <v>46224</v>
      </c>
      <c r="B3687" t="s">
        <v>93</v>
      </c>
      <c r="C3687" t="s">
        <v>94</v>
      </c>
      <c r="D3687" t="s">
        <v>69</v>
      </c>
      <c r="E3687" t="s">
        <v>42</v>
      </c>
      <c r="F3687" t="s">
        <v>75</v>
      </c>
      <c r="G3687" t="s">
        <v>44</v>
      </c>
      <c r="H3687" t="s">
        <v>27</v>
      </c>
      <c r="I3687" t="s">
        <v>37</v>
      </c>
      <c r="J3687" t="s">
        <v>45</v>
      </c>
      <c r="K3687">
        <v>7092</v>
      </c>
      <c r="L3687">
        <v>36</v>
      </c>
      <c r="M3687">
        <v>283.97000000000003</v>
      </c>
      <c r="N3687">
        <v>2</v>
      </c>
      <c r="O3687">
        <v>42.53</v>
      </c>
      <c r="P3687">
        <f t="shared" si="228"/>
        <v>5.076142131979695E-3</v>
      </c>
      <c r="Q3687">
        <f t="shared" si="228"/>
        <v>7.8880555555555567</v>
      </c>
      <c r="R3687">
        <f t="shared" si="229"/>
        <v>141.98500000000001</v>
      </c>
      <c r="S3687">
        <f t="shared" si="230"/>
        <v>0.14976934183188365</v>
      </c>
      <c r="T3687">
        <f t="shared" si="231"/>
        <v>5.5555555555555552E-2</v>
      </c>
      <c r="U3687" t="str">
        <f>YEAR('Campaign Data'!$A3687)&amp;"-"&amp;TEXT(MONTH('Campaign Data'!$A3687),"00")</f>
        <v>2026-07</v>
      </c>
    </row>
    <row r="3688" spans="1:21" x14ac:dyDescent="0.25">
      <c r="A3688">
        <v>46224</v>
      </c>
      <c r="B3688" t="s">
        <v>39</v>
      </c>
      <c r="C3688" t="s">
        <v>40</v>
      </c>
      <c r="D3688" t="s">
        <v>41</v>
      </c>
      <c r="E3688" t="s">
        <v>42</v>
      </c>
      <c r="F3688" t="s">
        <v>43</v>
      </c>
      <c r="G3688" t="s">
        <v>44</v>
      </c>
      <c r="H3688" t="s">
        <v>90</v>
      </c>
      <c r="I3688" t="s">
        <v>37</v>
      </c>
      <c r="J3688" t="s">
        <v>87</v>
      </c>
      <c r="K3688">
        <v>3795</v>
      </c>
      <c r="L3688">
        <v>8</v>
      </c>
      <c r="M3688">
        <v>7.07</v>
      </c>
      <c r="N3688">
        <v>1</v>
      </c>
      <c r="O3688">
        <v>7.37</v>
      </c>
      <c r="P3688">
        <f t="shared" si="228"/>
        <v>2.1080368906455861E-3</v>
      </c>
      <c r="Q3688">
        <f t="shared" si="228"/>
        <v>0.88375000000000004</v>
      </c>
      <c r="R3688">
        <f t="shared" si="229"/>
        <v>7.07</v>
      </c>
      <c r="S3688">
        <f t="shared" si="230"/>
        <v>1.0424328147100423</v>
      </c>
      <c r="T3688">
        <f t="shared" si="231"/>
        <v>0.125</v>
      </c>
      <c r="U3688" t="str">
        <f>YEAR('Campaign Data'!$A3688)&amp;"-"&amp;TEXT(MONTH('Campaign Data'!$A3688),"00")</f>
        <v>2026-07</v>
      </c>
    </row>
    <row r="3689" spans="1:21" x14ac:dyDescent="0.25">
      <c r="A3689">
        <v>46224</v>
      </c>
      <c r="B3689" t="s">
        <v>108</v>
      </c>
      <c r="C3689" t="s">
        <v>109</v>
      </c>
      <c r="D3689" t="s">
        <v>58</v>
      </c>
      <c r="E3689" t="s">
        <v>33</v>
      </c>
      <c r="F3689" t="s">
        <v>43</v>
      </c>
      <c r="G3689" t="s">
        <v>59</v>
      </c>
      <c r="H3689" t="s">
        <v>90</v>
      </c>
      <c r="I3689" t="s">
        <v>37</v>
      </c>
      <c r="J3689" t="s">
        <v>87</v>
      </c>
      <c r="K3689">
        <v>4409</v>
      </c>
      <c r="L3689">
        <v>37</v>
      </c>
      <c r="M3689">
        <v>6.7</v>
      </c>
      <c r="N3689">
        <v>0</v>
      </c>
      <c r="O3689">
        <v>0</v>
      </c>
      <c r="P3689">
        <f t="shared" si="228"/>
        <v>8.3919256067135403E-3</v>
      </c>
      <c r="Q3689">
        <f t="shared" si="228"/>
        <v>0.18108108108108109</v>
      </c>
      <c r="R3689">
        <f t="shared" si="229"/>
        <v>0</v>
      </c>
      <c r="S3689">
        <f t="shared" si="230"/>
        <v>0</v>
      </c>
      <c r="T3689">
        <f t="shared" si="231"/>
        <v>0</v>
      </c>
      <c r="U3689" t="str">
        <f>YEAR('Campaign Data'!$A3689)&amp;"-"&amp;TEXT(MONTH('Campaign Data'!$A3689),"00")</f>
        <v>2026-07</v>
      </c>
    </row>
    <row r="3690" spans="1:21" x14ac:dyDescent="0.25">
      <c r="A3690">
        <v>46224</v>
      </c>
      <c r="B3690" t="s">
        <v>130</v>
      </c>
      <c r="C3690" t="s">
        <v>131</v>
      </c>
      <c r="D3690" t="s">
        <v>48</v>
      </c>
      <c r="E3690" t="s">
        <v>33</v>
      </c>
      <c r="F3690" t="s">
        <v>34</v>
      </c>
      <c r="G3690" t="s">
        <v>35</v>
      </c>
      <c r="H3690" t="s">
        <v>71</v>
      </c>
      <c r="I3690" t="s">
        <v>37</v>
      </c>
      <c r="J3690" t="s">
        <v>45</v>
      </c>
      <c r="K3690">
        <v>2753</v>
      </c>
      <c r="L3690">
        <v>19</v>
      </c>
      <c r="M3690">
        <v>5.13</v>
      </c>
      <c r="N3690">
        <v>1</v>
      </c>
      <c r="O3690">
        <v>61.4</v>
      </c>
      <c r="P3690">
        <f t="shared" si="228"/>
        <v>6.9015619324373414E-3</v>
      </c>
      <c r="Q3690">
        <f t="shared" si="228"/>
        <v>0.27</v>
      </c>
      <c r="R3690">
        <f t="shared" si="229"/>
        <v>5.13</v>
      </c>
      <c r="S3690">
        <f t="shared" si="230"/>
        <v>11.968810916179336</v>
      </c>
      <c r="T3690">
        <f t="shared" si="231"/>
        <v>5.2631578947368418E-2</v>
      </c>
      <c r="U3690" t="str">
        <f>YEAR('Campaign Data'!$A3690)&amp;"-"&amp;TEXT(MONTH('Campaign Data'!$A3690),"00")</f>
        <v>2026-07</v>
      </c>
    </row>
    <row r="3691" spans="1:21" x14ac:dyDescent="0.25">
      <c r="A3691">
        <v>46224</v>
      </c>
      <c r="B3691" t="s">
        <v>130</v>
      </c>
      <c r="C3691" t="s">
        <v>131</v>
      </c>
      <c r="D3691" t="s">
        <v>48</v>
      </c>
      <c r="E3691" t="s">
        <v>33</v>
      </c>
      <c r="F3691" t="s">
        <v>34</v>
      </c>
      <c r="G3691" t="s">
        <v>35</v>
      </c>
      <c r="H3691" t="s">
        <v>27</v>
      </c>
      <c r="I3691" t="s">
        <v>37</v>
      </c>
      <c r="J3691" t="s">
        <v>87</v>
      </c>
      <c r="K3691">
        <v>3585</v>
      </c>
      <c r="L3691">
        <v>28</v>
      </c>
      <c r="M3691">
        <v>19.36</v>
      </c>
      <c r="N3691">
        <v>0</v>
      </c>
      <c r="O3691">
        <v>0</v>
      </c>
      <c r="P3691">
        <f t="shared" si="228"/>
        <v>7.8103207810320784E-3</v>
      </c>
      <c r="Q3691">
        <f t="shared" si="228"/>
        <v>0.69142857142857139</v>
      </c>
      <c r="R3691">
        <f t="shared" si="229"/>
        <v>0</v>
      </c>
      <c r="S3691">
        <f t="shared" si="230"/>
        <v>0</v>
      </c>
      <c r="T3691">
        <f t="shared" si="231"/>
        <v>0</v>
      </c>
      <c r="U3691" t="str">
        <f>YEAR('Campaign Data'!$A3691)&amp;"-"&amp;TEXT(MONTH('Campaign Data'!$A3691),"00")</f>
        <v>2026-07</v>
      </c>
    </row>
    <row r="3692" spans="1:21" x14ac:dyDescent="0.25">
      <c r="A3692">
        <v>46224</v>
      </c>
      <c r="B3692" t="s">
        <v>132</v>
      </c>
      <c r="C3692" t="s">
        <v>133</v>
      </c>
      <c r="D3692" t="s">
        <v>23</v>
      </c>
      <c r="E3692" t="s">
        <v>42</v>
      </c>
      <c r="F3692" t="s">
        <v>75</v>
      </c>
      <c r="G3692" t="s">
        <v>84</v>
      </c>
      <c r="H3692" t="s">
        <v>71</v>
      </c>
      <c r="I3692" t="s">
        <v>37</v>
      </c>
      <c r="J3692" t="s">
        <v>45</v>
      </c>
      <c r="K3692">
        <v>5513</v>
      </c>
      <c r="L3692">
        <v>46</v>
      </c>
      <c r="M3692">
        <v>266.05</v>
      </c>
      <c r="N3692">
        <v>0</v>
      </c>
      <c r="O3692">
        <v>0</v>
      </c>
      <c r="P3692">
        <f t="shared" si="228"/>
        <v>8.3439143841828409E-3</v>
      </c>
      <c r="Q3692">
        <f t="shared" si="228"/>
        <v>5.7836956521739129</v>
      </c>
      <c r="R3692">
        <f t="shared" si="229"/>
        <v>0</v>
      </c>
      <c r="S3692">
        <f t="shared" si="230"/>
        <v>0</v>
      </c>
      <c r="T3692">
        <f t="shared" si="231"/>
        <v>0</v>
      </c>
      <c r="U3692" t="str">
        <f>YEAR('Campaign Data'!$A3692)&amp;"-"&amp;TEXT(MONTH('Campaign Data'!$A3692),"00")</f>
        <v>2026-07</v>
      </c>
    </row>
    <row r="3693" spans="1:21" x14ac:dyDescent="0.25">
      <c r="A3693">
        <v>46224</v>
      </c>
      <c r="B3693" t="s">
        <v>177</v>
      </c>
      <c r="C3693" t="s">
        <v>178</v>
      </c>
      <c r="D3693" t="s">
        <v>41</v>
      </c>
      <c r="E3693" t="s">
        <v>49</v>
      </c>
      <c r="F3693" t="s">
        <v>34</v>
      </c>
      <c r="G3693" t="s">
        <v>107</v>
      </c>
      <c r="H3693" t="s">
        <v>55</v>
      </c>
      <c r="I3693" t="s">
        <v>37</v>
      </c>
      <c r="J3693" t="s">
        <v>29</v>
      </c>
      <c r="K3693">
        <v>3323</v>
      </c>
      <c r="L3693">
        <v>137</v>
      </c>
      <c r="M3693">
        <v>276.63</v>
      </c>
      <c r="N3693">
        <v>7</v>
      </c>
      <c r="O3693">
        <v>763.48</v>
      </c>
      <c r="P3693">
        <f t="shared" si="228"/>
        <v>4.1227806199217572E-2</v>
      </c>
      <c r="Q3693">
        <f t="shared" si="228"/>
        <v>2.019197080291971</v>
      </c>
      <c r="R3693">
        <f t="shared" si="229"/>
        <v>39.518571428571427</v>
      </c>
      <c r="S3693">
        <f t="shared" si="230"/>
        <v>2.7599320391859163</v>
      </c>
      <c r="T3693">
        <f t="shared" si="231"/>
        <v>5.1094890510948905E-2</v>
      </c>
      <c r="U3693" t="str">
        <f>YEAR('Campaign Data'!$A3693)&amp;"-"&amp;TEXT(MONTH('Campaign Data'!$A3693),"00")</f>
        <v>2026-07</v>
      </c>
    </row>
    <row r="3694" spans="1:21" x14ac:dyDescent="0.25">
      <c r="A3694">
        <v>46224</v>
      </c>
      <c r="B3694" t="s">
        <v>177</v>
      </c>
      <c r="C3694" t="s">
        <v>178</v>
      </c>
      <c r="D3694" t="s">
        <v>41</v>
      </c>
      <c r="E3694" t="s">
        <v>49</v>
      </c>
      <c r="F3694" t="s">
        <v>34</v>
      </c>
      <c r="G3694" t="s">
        <v>107</v>
      </c>
      <c r="H3694" t="s">
        <v>27</v>
      </c>
      <c r="I3694" t="s">
        <v>28</v>
      </c>
      <c r="J3694" t="s">
        <v>62</v>
      </c>
      <c r="K3694">
        <v>4558</v>
      </c>
      <c r="L3694">
        <v>303</v>
      </c>
      <c r="M3694">
        <v>492.24</v>
      </c>
      <c r="N3694">
        <v>23</v>
      </c>
      <c r="O3694">
        <v>4977.78</v>
      </c>
      <c r="P3694">
        <f t="shared" si="228"/>
        <v>6.6476524791575259E-2</v>
      </c>
      <c r="Q3694">
        <f t="shared" si="228"/>
        <v>1.6245544554455447</v>
      </c>
      <c r="R3694">
        <f t="shared" si="229"/>
        <v>21.401739130434784</v>
      </c>
      <c r="S3694">
        <f t="shared" si="230"/>
        <v>10.112506094588005</v>
      </c>
      <c r="T3694">
        <f t="shared" si="231"/>
        <v>7.590759075907591E-2</v>
      </c>
      <c r="U3694" t="str">
        <f>YEAR('Campaign Data'!$A3694)&amp;"-"&amp;TEXT(MONTH('Campaign Data'!$A3694),"00")</f>
        <v>2026-07</v>
      </c>
    </row>
    <row r="3695" spans="1:21" x14ac:dyDescent="0.25">
      <c r="A3695">
        <v>46224</v>
      </c>
      <c r="B3695" t="s">
        <v>140</v>
      </c>
      <c r="C3695" t="s">
        <v>40</v>
      </c>
      <c r="D3695" t="s">
        <v>41</v>
      </c>
      <c r="E3695" t="s">
        <v>42</v>
      </c>
      <c r="F3695" t="s">
        <v>43</v>
      </c>
      <c r="G3695" t="s">
        <v>44</v>
      </c>
      <c r="H3695" t="s">
        <v>90</v>
      </c>
      <c r="I3695" t="s">
        <v>28</v>
      </c>
      <c r="J3695" t="s">
        <v>38</v>
      </c>
      <c r="K3695">
        <v>4974</v>
      </c>
      <c r="L3695">
        <v>24</v>
      </c>
      <c r="M3695">
        <v>37</v>
      </c>
      <c r="N3695">
        <v>4</v>
      </c>
      <c r="O3695">
        <v>40.69</v>
      </c>
      <c r="P3695">
        <f t="shared" si="228"/>
        <v>4.8250904704463205E-3</v>
      </c>
      <c r="Q3695">
        <f t="shared" si="228"/>
        <v>1.5416666666666667</v>
      </c>
      <c r="R3695">
        <f t="shared" si="229"/>
        <v>9.25</v>
      </c>
      <c r="S3695">
        <f t="shared" si="230"/>
        <v>1.0997297297297297</v>
      </c>
      <c r="T3695">
        <f t="shared" si="231"/>
        <v>0.16666666666666666</v>
      </c>
      <c r="U3695" t="str">
        <f>YEAR('Campaign Data'!$A3695)&amp;"-"&amp;TEXT(MONTH('Campaign Data'!$A3695),"00")</f>
        <v>2026-07</v>
      </c>
    </row>
    <row r="3696" spans="1:21" x14ac:dyDescent="0.25">
      <c r="A3696">
        <v>46224</v>
      </c>
      <c r="B3696" t="s">
        <v>157</v>
      </c>
      <c r="C3696" t="s">
        <v>158</v>
      </c>
      <c r="D3696" t="s">
        <v>58</v>
      </c>
      <c r="E3696" t="s">
        <v>49</v>
      </c>
      <c r="F3696" t="s">
        <v>81</v>
      </c>
      <c r="G3696" t="s">
        <v>50</v>
      </c>
      <c r="H3696" t="s">
        <v>90</v>
      </c>
      <c r="I3696" t="s">
        <v>37</v>
      </c>
      <c r="J3696" t="s">
        <v>45</v>
      </c>
      <c r="K3696">
        <v>2953</v>
      </c>
      <c r="L3696">
        <v>141</v>
      </c>
      <c r="M3696">
        <v>72.459999999999994</v>
      </c>
      <c r="N3696">
        <v>9</v>
      </c>
      <c r="O3696">
        <v>49.5</v>
      </c>
      <c r="P3696">
        <f t="shared" si="228"/>
        <v>4.7748052827632913E-2</v>
      </c>
      <c r="Q3696">
        <f t="shared" si="228"/>
        <v>0.51390070921985809</v>
      </c>
      <c r="R3696">
        <f t="shared" si="229"/>
        <v>8.0511111111111102</v>
      </c>
      <c r="S3696">
        <f t="shared" si="230"/>
        <v>0.68313552304719849</v>
      </c>
      <c r="T3696">
        <f t="shared" si="231"/>
        <v>6.3829787234042548E-2</v>
      </c>
      <c r="U3696" t="str">
        <f>YEAR('Campaign Data'!$A3696)&amp;"-"&amp;TEXT(MONTH('Campaign Data'!$A3696),"00")</f>
        <v>2026-07</v>
      </c>
    </row>
    <row r="3697" spans="1:21" x14ac:dyDescent="0.25">
      <c r="A3697">
        <v>46224</v>
      </c>
      <c r="B3697" t="s">
        <v>112</v>
      </c>
      <c r="C3697" t="s">
        <v>113</v>
      </c>
      <c r="D3697" t="s">
        <v>32</v>
      </c>
      <c r="E3697" t="s">
        <v>24</v>
      </c>
      <c r="F3697" t="s">
        <v>75</v>
      </c>
      <c r="G3697" t="s">
        <v>66</v>
      </c>
      <c r="H3697" t="s">
        <v>90</v>
      </c>
      <c r="I3697" t="s">
        <v>37</v>
      </c>
      <c r="J3697" t="s">
        <v>62</v>
      </c>
      <c r="K3697">
        <v>4836</v>
      </c>
      <c r="L3697">
        <v>68</v>
      </c>
      <c r="M3697">
        <v>16.37</v>
      </c>
      <c r="N3697">
        <v>6</v>
      </c>
      <c r="O3697">
        <v>60.83</v>
      </c>
      <c r="P3697">
        <f t="shared" si="228"/>
        <v>1.4061207609594707E-2</v>
      </c>
      <c r="Q3697">
        <f t="shared" si="228"/>
        <v>0.24073529411764708</v>
      </c>
      <c r="R3697">
        <f t="shared" si="229"/>
        <v>2.7283333333333335</v>
      </c>
      <c r="S3697">
        <f t="shared" si="230"/>
        <v>3.7159437996334757</v>
      </c>
      <c r="T3697">
        <f t="shared" si="231"/>
        <v>8.8235294117647065E-2</v>
      </c>
      <c r="U3697" t="str">
        <f>YEAR('Campaign Data'!$A3697)&amp;"-"&amp;TEXT(MONTH('Campaign Data'!$A3697),"00")</f>
        <v>2026-07</v>
      </c>
    </row>
    <row r="3698" spans="1:21" x14ac:dyDescent="0.25">
      <c r="A3698">
        <v>46224</v>
      </c>
      <c r="B3698" t="s">
        <v>159</v>
      </c>
      <c r="C3698" t="s">
        <v>160</v>
      </c>
      <c r="D3698" t="s">
        <v>65</v>
      </c>
      <c r="E3698" t="s">
        <v>42</v>
      </c>
      <c r="F3698" t="s">
        <v>75</v>
      </c>
      <c r="G3698" t="s">
        <v>54</v>
      </c>
      <c r="H3698" t="s">
        <v>90</v>
      </c>
      <c r="I3698" t="s">
        <v>28</v>
      </c>
      <c r="J3698" t="s">
        <v>38</v>
      </c>
      <c r="K3698">
        <v>13380</v>
      </c>
      <c r="L3698">
        <v>74</v>
      </c>
      <c r="M3698">
        <v>91.95</v>
      </c>
      <c r="N3698">
        <v>1</v>
      </c>
      <c r="O3698">
        <v>5</v>
      </c>
      <c r="P3698">
        <f t="shared" si="228"/>
        <v>5.5306427503736917E-3</v>
      </c>
      <c r="Q3698">
        <f t="shared" si="228"/>
        <v>1.2425675675675676</v>
      </c>
      <c r="R3698">
        <f t="shared" si="229"/>
        <v>91.95</v>
      </c>
      <c r="S3698">
        <f t="shared" si="230"/>
        <v>5.4377379010331697E-2</v>
      </c>
      <c r="T3698">
        <f t="shared" si="231"/>
        <v>1.3513513513513514E-2</v>
      </c>
      <c r="U3698" t="str">
        <f>YEAR('Campaign Data'!$A3698)&amp;"-"&amp;TEXT(MONTH('Campaign Data'!$A3698),"00")</f>
        <v>2026-07</v>
      </c>
    </row>
    <row r="3699" spans="1:21" x14ac:dyDescent="0.25">
      <c r="A3699">
        <v>46224</v>
      </c>
      <c r="B3699" t="s">
        <v>159</v>
      </c>
      <c r="C3699" t="s">
        <v>160</v>
      </c>
      <c r="D3699" t="s">
        <v>65</v>
      </c>
      <c r="E3699" t="s">
        <v>42</v>
      </c>
      <c r="F3699" t="s">
        <v>75</v>
      </c>
      <c r="G3699" t="s">
        <v>54</v>
      </c>
      <c r="H3699" t="s">
        <v>27</v>
      </c>
      <c r="I3699" t="s">
        <v>37</v>
      </c>
      <c r="J3699" t="s">
        <v>38</v>
      </c>
      <c r="K3699">
        <v>3663</v>
      </c>
      <c r="L3699">
        <v>24</v>
      </c>
      <c r="M3699">
        <v>140.59</v>
      </c>
      <c r="N3699">
        <v>0</v>
      </c>
      <c r="O3699">
        <v>0</v>
      </c>
      <c r="P3699">
        <f t="shared" si="228"/>
        <v>6.5520065520065524E-3</v>
      </c>
      <c r="Q3699">
        <f t="shared" si="228"/>
        <v>5.8579166666666671</v>
      </c>
      <c r="R3699">
        <f t="shared" si="229"/>
        <v>0</v>
      </c>
      <c r="S3699">
        <f t="shared" si="230"/>
        <v>0</v>
      </c>
      <c r="T3699">
        <f t="shared" si="231"/>
        <v>0</v>
      </c>
      <c r="U3699" t="str">
        <f>YEAR('Campaign Data'!$A3699)&amp;"-"&amp;TEXT(MONTH('Campaign Data'!$A3699),"00")</f>
        <v>2026-07</v>
      </c>
    </row>
    <row r="3700" spans="1:21" x14ac:dyDescent="0.25">
      <c r="A3700">
        <v>46224</v>
      </c>
      <c r="B3700" t="s">
        <v>183</v>
      </c>
      <c r="C3700" t="s">
        <v>184</v>
      </c>
      <c r="D3700" t="s">
        <v>23</v>
      </c>
      <c r="E3700" t="s">
        <v>24</v>
      </c>
      <c r="F3700" t="s">
        <v>81</v>
      </c>
      <c r="G3700" t="s">
        <v>185</v>
      </c>
      <c r="H3700" t="s">
        <v>27</v>
      </c>
      <c r="I3700" t="s">
        <v>28</v>
      </c>
      <c r="J3700" t="s">
        <v>62</v>
      </c>
      <c r="K3700">
        <v>82653</v>
      </c>
      <c r="L3700">
        <v>1729</v>
      </c>
      <c r="M3700">
        <v>996.32</v>
      </c>
      <c r="N3700">
        <v>47</v>
      </c>
      <c r="O3700">
        <v>1117.9000000000001</v>
      </c>
      <c r="P3700">
        <f t="shared" si="228"/>
        <v>2.0918780927492046E-2</v>
      </c>
      <c r="Q3700">
        <f t="shared" si="228"/>
        <v>0.57624060150375944</v>
      </c>
      <c r="R3700">
        <f t="shared" si="229"/>
        <v>21.198297872340426</v>
      </c>
      <c r="S3700">
        <f t="shared" si="230"/>
        <v>1.1220290669664366</v>
      </c>
      <c r="T3700">
        <f t="shared" si="231"/>
        <v>2.7183342972816656E-2</v>
      </c>
      <c r="U3700" t="str">
        <f>YEAR('Campaign Data'!$A3700)&amp;"-"&amp;TEXT(MONTH('Campaign Data'!$A3700),"00")</f>
        <v>2026-07</v>
      </c>
    </row>
    <row r="3701" spans="1:21" x14ac:dyDescent="0.25">
      <c r="A3701">
        <v>46224</v>
      </c>
      <c r="B3701" t="s">
        <v>72</v>
      </c>
      <c r="C3701" t="s">
        <v>73</v>
      </c>
      <c r="D3701" t="s">
        <v>69</v>
      </c>
      <c r="E3701" t="s">
        <v>74</v>
      </c>
      <c r="F3701" t="s">
        <v>75</v>
      </c>
      <c r="G3701" t="s">
        <v>9</v>
      </c>
      <c r="H3701" t="s">
        <v>90</v>
      </c>
      <c r="I3701" t="s">
        <v>37</v>
      </c>
      <c r="J3701" t="s">
        <v>29</v>
      </c>
      <c r="K3701">
        <v>4639</v>
      </c>
      <c r="L3701">
        <v>40</v>
      </c>
      <c r="M3701">
        <v>17.71</v>
      </c>
      <c r="N3701">
        <v>2</v>
      </c>
      <c r="O3701">
        <v>10</v>
      </c>
      <c r="P3701">
        <f t="shared" si="228"/>
        <v>8.6225479629230446E-3</v>
      </c>
      <c r="Q3701">
        <f t="shared" si="228"/>
        <v>0.44275000000000003</v>
      </c>
      <c r="R3701">
        <f t="shared" si="229"/>
        <v>8.8550000000000004</v>
      </c>
      <c r="S3701">
        <f t="shared" si="230"/>
        <v>0.56465273856578202</v>
      </c>
      <c r="T3701">
        <f t="shared" si="231"/>
        <v>0.05</v>
      </c>
      <c r="U3701" t="str">
        <f>YEAR('Campaign Data'!$A3701)&amp;"-"&amp;TEXT(MONTH('Campaign Data'!$A3701),"00")</f>
        <v>2026-07</v>
      </c>
    </row>
    <row r="3702" spans="1:21" x14ac:dyDescent="0.25">
      <c r="A3702">
        <v>46224</v>
      </c>
      <c r="B3702" t="s">
        <v>116</v>
      </c>
      <c r="C3702" t="s">
        <v>117</v>
      </c>
      <c r="D3702" t="s">
        <v>48</v>
      </c>
      <c r="E3702" t="s">
        <v>24</v>
      </c>
      <c r="F3702" t="s">
        <v>43</v>
      </c>
      <c r="G3702" t="s">
        <v>26</v>
      </c>
      <c r="H3702" t="s">
        <v>90</v>
      </c>
      <c r="I3702" t="s">
        <v>37</v>
      </c>
      <c r="J3702" t="s">
        <v>29</v>
      </c>
      <c r="K3702">
        <v>6595</v>
      </c>
      <c r="L3702">
        <v>96</v>
      </c>
      <c r="M3702">
        <v>26.98</v>
      </c>
      <c r="N3702">
        <v>3</v>
      </c>
      <c r="O3702">
        <v>26.86</v>
      </c>
      <c r="P3702">
        <f t="shared" si="228"/>
        <v>1.4556482183472327E-2</v>
      </c>
      <c r="Q3702">
        <f t="shared" si="228"/>
        <v>0.28104166666666669</v>
      </c>
      <c r="R3702">
        <f t="shared" si="229"/>
        <v>8.9933333333333341</v>
      </c>
      <c r="S3702">
        <f t="shared" si="230"/>
        <v>0.99555226093402516</v>
      </c>
      <c r="T3702">
        <f t="shared" si="231"/>
        <v>3.125E-2</v>
      </c>
      <c r="U3702" t="str">
        <f>YEAR('Campaign Data'!$A3702)&amp;"-"&amp;TEXT(MONTH('Campaign Data'!$A3702),"00")</f>
        <v>2026-07</v>
      </c>
    </row>
    <row r="3703" spans="1:21" x14ac:dyDescent="0.25">
      <c r="A3703">
        <v>46224</v>
      </c>
      <c r="B3703" t="s">
        <v>116</v>
      </c>
      <c r="C3703" t="s">
        <v>117</v>
      </c>
      <c r="D3703" t="s">
        <v>48</v>
      </c>
      <c r="E3703" t="s">
        <v>24</v>
      </c>
      <c r="F3703" t="s">
        <v>43</v>
      </c>
      <c r="G3703" t="s">
        <v>26</v>
      </c>
      <c r="H3703" t="s">
        <v>27</v>
      </c>
      <c r="I3703" t="s">
        <v>28</v>
      </c>
      <c r="J3703" t="s">
        <v>87</v>
      </c>
      <c r="K3703">
        <v>7139</v>
      </c>
      <c r="L3703">
        <v>128</v>
      </c>
      <c r="M3703">
        <v>126.64</v>
      </c>
      <c r="N3703">
        <v>2</v>
      </c>
      <c r="O3703">
        <v>58.15</v>
      </c>
      <c r="P3703">
        <f t="shared" si="228"/>
        <v>1.7929682028295278E-2</v>
      </c>
      <c r="Q3703">
        <f t="shared" si="228"/>
        <v>0.989375</v>
      </c>
      <c r="R3703">
        <f t="shared" si="229"/>
        <v>63.32</v>
      </c>
      <c r="S3703">
        <f t="shared" si="230"/>
        <v>0.45917561591914086</v>
      </c>
      <c r="T3703">
        <f t="shared" si="231"/>
        <v>1.5625E-2</v>
      </c>
      <c r="U3703" t="str">
        <f>YEAR('Campaign Data'!$A3703)&amp;"-"&amp;TEXT(MONTH('Campaign Data'!$A3703),"00")</f>
        <v>2026-07</v>
      </c>
    </row>
    <row r="3704" spans="1:21" x14ac:dyDescent="0.25">
      <c r="A3704">
        <v>46224</v>
      </c>
      <c r="B3704" t="s">
        <v>163</v>
      </c>
      <c r="C3704" t="s">
        <v>164</v>
      </c>
      <c r="D3704" t="s">
        <v>58</v>
      </c>
      <c r="E3704" t="s">
        <v>42</v>
      </c>
      <c r="F3704" t="s">
        <v>43</v>
      </c>
      <c r="G3704" t="s">
        <v>44</v>
      </c>
      <c r="H3704" t="s">
        <v>90</v>
      </c>
      <c r="I3704" t="s">
        <v>37</v>
      </c>
      <c r="J3704" t="s">
        <v>62</v>
      </c>
      <c r="K3704">
        <v>1576</v>
      </c>
      <c r="L3704">
        <v>11</v>
      </c>
      <c r="M3704">
        <v>14.81</v>
      </c>
      <c r="N3704">
        <v>0</v>
      </c>
      <c r="O3704">
        <v>0</v>
      </c>
      <c r="P3704">
        <f t="shared" si="228"/>
        <v>6.9796954314720813E-3</v>
      </c>
      <c r="Q3704">
        <f t="shared" si="228"/>
        <v>1.3463636363636364</v>
      </c>
      <c r="R3704">
        <f t="shared" si="229"/>
        <v>0</v>
      </c>
      <c r="S3704">
        <f t="shared" si="230"/>
        <v>0</v>
      </c>
      <c r="T3704">
        <f t="shared" si="231"/>
        <v>0</v>
      </c>
      <c r="U3704" t="str">
        <f>YEAR('Campaign Data'!$A3704)&amp;"-"&amp;TEXT(MONTH('Campaign Data'!$A3704),"00")</f>
        <v>2026-07</v>
      </c>
    </row>
    <row r="3705" spans="1:21" x14ac:dyDescent="0.25">
      <c r="A3705">
        <v>46224</v>
      </c>
      <c r="B3705" t="s">
        <v>122</v>
      </c>
      <c r="C3705" t="s">
        <v>123</v>
      </c>
      <c r="D3705" t="s">
        <v>41</v>
      </c>
      <c r="E3705" t="s">
        <v>33</v>
      </c>
      <c r="F3705" t="s">
        <v>75</v>
      </c>
      <c r="G3705" t="s">
        <v>35</v>
      </c>
      <c r="H3705" t="s">
        <v>90</v>
      </c>
      <c r="I3705" t="s">
        <v>28</v>
      </c>
      <c r="J3705" t="s">
        <v>38</v>
      </c>
      <c r="K3705">
        <v>8846</v>
      </c>
      <c r="L3705">
        <v>90</v>
      </c>
      <c r="M3705">
        <v>18.73</v>
      </c>
      <c r="N3705">
        <v>4</v>
      </c>
      <c r="O3705">
        <v>36.03</v>
      </c>
      <c r="P3705">
        <f t="shared" si="228"/>
        <v>1.0174089984173637E-2</v>
      </c>
      <c r="Q3705">
        <f t="shared" si="228"/>
        <v>0.20811111111111111</v>
      </c>
      <c r="R3705">
        <f t="shared" si="229"/>
        <v>4.6825000000000001</v>
      </c>
      <c r="S3705">
        <f t="shared" si="230"/>
        <v>1.9236518953550454</v>
      </c>
      <c r="T3705">
        <f t="shared" si="231"/>
        <v>4.4444444444444446E-2</v>
      </c>
      <c r="U3705" t="str">
        <f>YEAR('Campaign Data'!$A3705)&amp;"-"&amp;TEXT(MONTH('Campaign Data'!$A3705),"00")</f>
        <v>2026-07</v>
      </c>
    </row>
    <row r="3706" spans="1:21" x14ac:dyDescent="0.25">
      <c r="A3706">
        <v>46225</v>
      </c>
      <c r="B3706" t="s">
        <v>165</v>
      </c>
      <c r="C3706" t="s">
        <v>166</v>
      </c>
      <c r="D3706" t="s">
        <v>41</v>
      </c>
      <c r="E3706" t="s">
        <v>33</v>
      </c>
      <c r="F3706" t="s">
        <v>43</v>
      </c>
      <c r="G3706" t="s">
        <v>59</v>
      </c>
      <c r="H3706" t="s">
        <v>90</v>
      </c>
      <c r="I3706" t="s">
        <v>37</v>
      </c>
      <c r="J3706" t="s">
        <v>62</v>
      </c>
      <c r="K3706">
        <v>7116</v>
      </c>
      <c r="L3706">
        <v>51</v>
      </c>
      <c r="M3706">
        <v>6.53</v>
      </c>
      <c r="N3706">
        <v>3</v>
      </c>
      <c r="O3706">
        <v>24.64</v>
      </c>
      <c r="P3706">
        <f t="shared" si="228"/>
        <v>7.166947723440135E-3</v>
      </c>
      <c r="Q3706">
        <f t="shared" si="228"/>
        <v>0.12803921568627452</v>
      </c>
      <c r="R3706">
        <f t="shared" si="229"/>
        <v>2.1766666666666667</v>
      </c>
      <c r="S3706">
        <f t="shared" si="230"/>
        <v>3.7733537519142417</v>
      </c>
      <c r="T3706">
        <f t="shared" si="231"/>
        <v>5.8823529411764705E-2</v>
      </c>
      <c r="U3706" t="str">
        <f>YEAR('Campaign Data'!$A3706)&amp;"-"&amp;TEXT(MONTH('Campaign Data'!$A3706),"00")</f>
        <v>2026-07</v>
      </c>
    </row>
    <row r="3707" spans="1:21" x14ac:dyDescent="0.25">
      <c r="A3707">
        <v>46225</v>
      </c>
      <c r="B3707" t="s">
        <v>149</v>
      </c>
      <c r="C3707" t="s">
        <v>150</v>
      </c>
      <c r="D3707" t="s">
        <v>65</v>
      </c>
      <c r="E3707" t="s">
        <v>33</v>
      </c>
      <c r="F3707" t="s">
        <v>43</v>
      </c>
      <c r="G3707" t="s">
        <v>59</v>
      </c>
      <c r="H3707" t="s">
        <v>51</v>
      </c>
      <c r="I3707" t="s">
        <v>61</v>
      </c>
      <c r="J3707" t="s">
        <v>62</v>
      </c>
      <c r="K3707">
        <v>3181</v>
      </c>
      <c r="L3707">
        <v>51</v>
      </c>
      <c r="M3707">
        <v>27.24</v>
      </c>
      <c r="N3707">
        <v>2</v>
      </c>
      <c r="O3707">
        <v>59.69</v>
      </c>
      <c r="P3707">
        <f t="shared" si="228"/>
        <v>1.6032694121345489E-2</v>
      </c>
      <c r="Q3707">
        <f t="shared" si="228"/>
        <v>0.53411764705882347</v>
      </c>
      <c r="R3707">
        <f t="shared" si="229"/>
        <v>13.62</v>
      </c>
      <c r="S3707">
        <f t="shared" si="230"/>
        <v>2.1912628487518355</v>
      </c>
      <c r="T3707">
        <f t="shared" si="231"/>
        <v>3.9215686274509803E-2</v>
      </c>
      <c r="U3707" t="str">
        <f>YEAR('Campaign Data'!$A3707)&amp;"-"&amp;TEXT(MONTH('Campaign Data'!$A3707),"00")</f>
        <v>2026-07</v>
      </c>
    </row>
    <row r="3708" spans="1:21" x14ac:dyDescent="0.25">
      <c r="A3708">
        <v>46225</v>
      </c>
      <c r="B3708" t="s">
        <v>91</v>
      </c>
      <c r="C3708" t="s">
        <v>92</v>
      </c>
      <c r="D3708" t="s">
        <v>41</v>
      </c>
      <c r="E3708" t="s">
        <v>74</v>
      </c>
      <c r="F3708" t="s">
        <v>75</v>
      </c>
      <c r="G3708" t="s">
        <v>9</v>
      </c>
      <c r="H3708" t="s">
        <v>27</v>
      </c>
      <c r="I3708" t="s">
        <v>37</v>
      </c>
      <c r="J3708" t="s">
        <v>29</v>
      </c>
      <c r="K3708">
        <v>3540</v>
      </c>
      <c r="L3708">
        <v>103</v>
      </c>
      <c r="M3708">
        <v>146.24</v>
      </c>
      <c r="N3708">
        <v>4</v>
      </c>
      <c r="O3708">
        <v>164.42</v>
      </c>
      <c r="P3708">
        <f t="shared" si="228"/>
        <v>2.9096045197740113E-2</v>
      </c>
      <c r="Q3708">
        <f t="shared" si="228"/>
        <v>1.4198058252427186</v>
      </c>
      <c r="R3708">
        <f t="shared" si="229"/>
        <v>36.56</v>
      </c>
      <c r="S3708">
        <f t="shared" si="230"/>
        <v>1.124316192560175</v>
      </c>
      <c r="T3708">
        <f t="shared" si="231"/>
        <v>3.8834951456310676E-2</v>
      </c>
      <c r="U3708" t="str">
        <f>YEAR('Campaign Data'!$A3708)&amp;"-"&amp;TEXT(MONTH('Campaign Data'!$A3708),"00")</f>
        <v>2026-07</v>
      </c>
    </row>
    <row r="3709" spans="1:21" x14ac:dyDescent="0.25">
      <c r="A3709">
        <v>46225</v>
      </c>
      <c r="B3709" t="s">
        <v>95</v>
      </c>
      <c r="C3709" t="s">
        <v>96</v>
      </c>
      <c r="D3709" t="s">
        <v>23</v>
      </c>
      <c r="E3709" t="s">
        <v>49</v>
      </c>
      <c r="F3709" t="s">
        <v>43</v>
      </c>
      <c r="G3709" t="s">
        <v>97</v>
      </c>
      <c r="H3709" t="s">
        <v>55</v>
      </c>
      <c r="I3709" t="s">
        <v>37</v>
      </c>
      <c r="J3709" t="s">
        <v>45</v>
      </c>
      <c r="K3709">
        <v>4858</v>
      </c>
      <c r="L3709">
        <v>207</v>
      </c>
      <c r="M3709">
        <v>350.01</v>
      </c>
      <c r="N3709">
        <v>16</v>
      </c>
      <c r="O3709">
        <v>280.83999999999997</v>
      </c>
      <c r="P3709">
        <f t="shared" si="228"/>
        <v>4.2610127624536843E-2</v>
      </c>
      <c r="Q3709">
        <f t="shared" si="228"/>
        <v>1.6908695652173913</v>
      </c>
      <c r="R3709">
        <f t="shared" si="229"/>
        <v>21.875624999999999</v>
      </c>
      <c r="S3709">
        <f t="shared" si="230"/>
        <v>0.80237707494071597</v>
      </c>
      <c r="T3709">
        <f t="shared" si="231"/>
        <v>7.7294685990338161E-2</v>
      </c>
      <c r="U3709" t="str">
        <f>YEAR('Campaign Data'!$A3709)&amp;"-"&amp;TEXT(MONTH('Campaign Data'!$A3709),"00")</f>
        <v>2026-07</v>
      </c>
    </row>
    <row r="3710" spans="1:21" x14ac:dyDescent="0.25">
      <c r="A3710">
        <v>46225</v>
      </c>
      <c r="B3710" t="s">
        <v>151</v>
      </c>
      <c r="C3710" t="s">
        <v>152</v>
      </c>
      <c r="D3710" t="s">
        <v>48</v>
      </c>
      <c r="E3710" t="s">
        <v>24</v>
      </c>
      <c r="F3710" t="s">
        <v>81</v>
      </c>
      <c r="G3710" t="s">
        <v>129</v>
      </c>
      <c r="H3710" t="s">
        <v>27</v>
      </c>
      <c r="I3710" t="s">
        <v>61</v>
      </c>
      <c r="J3710" t="s">
        <v>45</v>
      </c>
      <c r="K3710">
        <v>12826</v>
      </c>
      <c r="L3710">
        <v>110</v>
      </c>
      <c r="M3710">
        <v>155.56</v>
      </c>
      <c r="N3710">
        <v>4</v>
      </c>
      <c r="O3710">
        <v>114.72</v>
      </c>
      <c r="P3710">
        <f t="shared" si="228"/>
        <v>8.5763293310463125E-3</v>
      </c>
      <c r="Q3710">
        <f t="shared" si="228"/>
        <v>1.4141818181818182</v>
      </c>
      <c r="R3710">
        <f t="shared" si="229"/>
        <v>38.89</v>
      </c>
      <c r="S3710">
        <f t="shared" si="230"/>
        <v>0.73746464386731803</v>
      </c>
      <c r="T3710">
        <f t="shared" si="231"/>
        <v>3.6363636363636362E-2</v>
      </c>
      <c r="U3710" t="str">
        <f>YEAR('Campaign Data'!$A3710)&amp;"-"&amp;TEXT(MONTH('Campaign Data'!$A3710),"00")</f>
        <v>2026-07</v>
      </c>
    </row>
    <row r="3711" spans="1:21" x14ac:dyDescent="0.25">
      <c r="A3711">
        <v>46225</v>
      </c>
      <c r="B3711" t="s">
        <v>98</v>
      </c>
      <c r="C3711" t="s">
        <v>99</v>
      </c>
      <c r="D3711" t="s">
        <v>69</v>
      </c>
      <c r="E3711" t="s">
        <v>24</v>
      </c>
      <c r="F3711" t="s">
        <v>75</v>
      </c>
      <c r="G3711" t="s">
        <v>66</v>
      </c>
      <c r="H3711" t="s">
        <v>90</v>
      </c>
      <c r="I3711" t="s">
        <v>28</v>
      </c>
      <c r="J3711" t="s">
        <v>38</v>
      </c>
      <c r="K3711">
        <v>2964</v>
      </c>
      <c r="L3711">
        <v>46</v>
      </c>
      <c r="M3711">
        <v>15.27</v>
      </c>
      <c r="N3711">
        <v>0</v>
      </c>
      <c r="O3711">
        <v>0</v>
      </c>
      <c r="P3711">
        <f t="shared" si="228"/>
        <v>1.5519568151147099E-2</v>
      </c>
      <c r="Q3711">
        <f t="shared" si="228"/>
        <v>0.33195652173913043</v>
      </c>
      <c r="R3711">
        <f t="shared" si="229"/>
        <v>0</v>
      </c>
      <c r="S3711">
        <f t="shared" si="230"/>
        <v>0</v>
      </c>
      <c r="T3711">
        <f t="shared" si="231"/>
        <v>0</v>
      </c>
      <c r="U3711" t="str">
        <f>YEAR('Campaign Data'!$A3711)&amp;"-"&amp;TEXT(MONTH('Campaign Data'!$A3711),"00")</f>
        <v>2026-07</v>
      </c>
    </row>
    <row r="3712" spans="1:21" x14ac:dyDescent="0.25">
      <c r="A3712">
        <v>46225</v>
      </c>
      <c r="B3712" t="s">
        <v>130</v>
      </c>
      <c r="C3712" t="s">
        <v>131</v>
      </c>
      <c r="D3712" t="s">
        <v>48</v>
      </c>
      <c r="E3712" t="s">
        <v>33</v>
      </c>
      <c r="F3712" t="s">
        <v>34</v>
      </c>
      <c r="G3712" t="s">
        <v>35</v>
      </c>
      <c r="H3712" t="s">
        <v>27</v>
      </c>
      <c r="I3712" t="s">
        <v>28</v>
      </c>
      <c r="J3712" t="s">
        <v>87</v>
      </c>
      <c r="K3712">
        <v>11974</v>
      </c>
      <c r="L3712">
        <v>122</v>
      </c>
      <c r="M3712">
        <v>106.78</v>
      </c>
      <c r="N3712">
        <v>1</v>
      </c>
      <c r="O3712">
        <v>250.15</v>
      </c>
      <c r="P3712">
        <f t="shared" si="228"/>
        <v>1.0188742274929012E-2</v>
      </c>
      <c r="Q3712">
        <f t="shared" si="228"/>
        <v>0.87524590163934424</v>
      </c>
      <c r="R3712">
        <f t="shared" si="229"/>
        <v>106.78</v>
      </c>
      <c r="S3712">
        <f t="shared" si="230"/>
        <v>2.3426671661359806</v>
      </c>
      <c r="T3712">
        <f t="shared" si="231"/>
        <v>8.1967213114754103E-3</v>
      </c>
      <c r="U3712" t="str">
        <f>YEAR('Campaign Data'!$A3712)&amp;"-"&amp;TEXT(MONTH('Campaign Data'!$A3712),"00")</f>
        <v>2026-07</v>
      </c>
    </row>
    <row r="3713" spans="1:21" x14ac:dyDescent="0.25">
      <c r="A3713">
        <v>46225</v>
      </c>
      <c r="B3713" t="s">
        <v>110</v>
      </c>
      <c r="C3713" t="s">
        <v>111</v>
      </c>
      <c r="D3713" t="s">
        <v>23</v>
      </c>
      <c r="E3713" t="s">
        <v>49</v>
      </c>
      <c r="F3713" t="s">
        <v>34</v>
      </c>
      <c r="G3713" t="s">
        <v>50</v>
      </c>
      <c r="H3713" t="s">
        <v>90</v>
      </c>
      <c r="I3713" t="s">
        <v>28</v>
      </c>
      <c r="J3713" t="s">
        <v>45</v>
      </c>
      <c r="K3713">
        <v>8272</v>
      </c>
      <c r="L3713">
        <v>308</v>
      </c>
      <c r="M3713">
        <v>158.1</v>
      </c>
      <c r="N3713">
        <v>25</v>
      </c>
      <c r="O3713">
        <v>1308.46</v>
      </c>
      <c r="P3713">
        <f t="shared" si="228"/>
        <v>3.7234042553191488E-2</v>
      </c>
      <c r="Q3713">
        <f t="shared" si="228"/>
        <v>0.51331168831168827</v>
      </c>
      <c r="R3713">
        <f t="shared" si="229"/>
        <v>6.3239999999999998</v>
      </c>
      <c r="S3713">
        <f t="shared" si="230"/>
        <v>8.2761543327008233</v>
      </c>
      <c r="T3713">
        <f t="shared" si="231"/>
        <v>8.1168831168831168E-2</v>
      </c>
      <c r="U3713" t="str">
        <f>YEAR('Campaign Data'!$A3713)&amp;"-"&amp;TEXT(MONTH('Campaign Data'!$A3713),"00")</f>
        <v>2026-07</v>
      </c>
    </row>
    <row r="3714" spans="1:21" x14ac:dyDescent="0.25">
      <c r="A3714">
        <v>46225</v>
      </c>
      <c r="B3714" t="s">
        <v>159</v>
      </c>
      <c r="C3714" t="s">
        <v>160</v>
      </c>
      <c r="D3714" t="s">
        <v>65</v>
      </c>
      <c r="E3714" t="s">
        <v>42</v>
      </c>
      <c r="F3714" t="s">
        <v>75</v>
      </c>
      <c r="G3714" t="s">
        <v>54</v>
      </c>
      <c r="H3714" t="s">
        <v>60</v>
      </c>
      <c r="I3714" t="s">
        <v>37</v>
      </c>
      <c r="J3714" t="s">
        <v>87</v>
      </c>
      <c r="K3714">
        <v>2725</v>
      </c>
      <c r="L3714">
        <v>15</v>
      </c>
      <c r="M3714">
        <v>67.47</v>
      </c>
      <c r="N3714">
        <v>0</v>
      </c>
      <c r="O3714">
        <v>0</v>
      </c>
      <c r="P3714">
        <f t="shared" ref="P3714:Q3777" si="232">IF(K3714=0,0,L3714/K3714)</f>
        <v>5.5045871559633031E-3</v>
      </c>
      <c r="Q3714">
        <f t="shared" si="232"/>
        <v>4.4980000000000002</v>
      </c>
      <c r="R3714">
        <f t="shared" ref="R3714:R3777" si="233">IF(N3714=0,0,M3714/N3714)</f>
        <v>0</v>
      </c>
      <c r="S3714">
        <f t="shared" ref="S3714:S3777" si="234">IF(M3714=0,0,O3714/M3714)</f>
        <v>0</v>
      </c>
      <c r="T3714">
        <f t="shared" ref="T3714:T3777" si="235">IF(L3714=0,0,N3714/L3714)</f>
        <v>0</v>
      </c>
      <c r="U3714" t="str">
        <f>YEAR('Campaign Data'!$A3714)&amp;"-"&amp;TEXT(MONTH('Campaign Data'!$A3714),"00")</f>
        <v>2026-07</v>
      </c>
    </row>
    <row r="3715" spans="1:21" x14ac:dyDescent="0.25">
      <c r="A3715">
        <v>46225</v>
      </c>
      <c r="B3715" t="s">
        <v>161</v>
      </c>
      <c r="C3715" t="s">
        <v>162</v>
      </c>
      <c r="D3715" t="s">
        <v>48</v>
      </c>
      <c r="E3715" t="s">
        <v>74</v>
      </c>
      <c r="F3715" t="s">
        <v>34</v>
      </c>
      <c r="G3715" t="s">
        <v>107</v>
      </c>
      <c r="H3715" t="s">
        <v>71</v>
      </c>
      <c r="I3715" t="s">
        <v>37</v>
      </c>
      <c r="J3715" t="s">
        <v>38</v>
      </c>
      <c r="K3715">
        <v>13134</v>
      </c>
      <c r="L3715">
        <v>529</v>
      </c>
      <c r="M3715">
        <v>670.2</v>
      </c>
      <c r="N3715">
        <v>19</v>
      </c>
      <c r="O3715">
        <v>3570.37</v>
      </c>
      <c r="P3715">
        <f t="shared" si="232"/>
        <v>4.0277143292218667E-2</v>
      </c>
      <c r="Q3715">
        <f t="shared" si="232"/>
        <v>1.2669187145557657</v>
      </c>
      <c r="R3715">
        <f t="shared" si="233"/>
        <v>35.273684210526319</v>
      </c>
      <c r="S3715">
        <f t="shared" si="234"/>
        <v>5.3273202029244997</v>
      </c>
      <c r="T3715">
        <f t="shared" si="235"/>
        <v>3.5916824196597356E-2</v>
      </c>
      <c r="U3715" t="str">
        <f>YEAR('Campaign Data'!$A3715)&amp;"-"&amp;TEXT(MONTH('Campaign Data'!$A3715),"00")</f>
        <v>2026-07</v>
      </c>
    </row>
    <row r="3716" spans="1:21" x14ac:dyDescent="0.25">
      <c r="A3716">
        <v>46225</v>
      </c>
      <c r="B3716" t="s">
        <v>183</v>
      </c>
      <c r="C3716" t="s">
        <v>184</v>
      </c>
      <c r="D3716" t="s">
        <v>23</v>
      </c>
      <c r="E3716" t="s">
        <v>24</v>
      </c>
      <c r="F3716" t="s">
        <v>81</v>
      </c>
      <c r="G3716" t="s">
        <v>185</v>
      </c>
      <c r="H3716" t="s">
        <v>51</v>
      </c>
      <c r="I3716" t="s">
        <v>28</v>
      </c>
      <c r="J3716" t="s">
        <v>62</v>
      </c>
      <c r="K3716">
        <v>9336</v>
      </c>
      <c r="L3716">
        <v>189</v>
      </c>
      <c r="M3716">
        <v>215.65</v>
      </c>
      <c r="N3716">
        <v>5</v>
      </c>
      <c r="O3716">
        <v>118.37</v>
      </c>
      <c r="P3716">
        <f t="shared" si="232"/>
        <v>2.0244215938303341E-2</v>
      </c>
      <c r="Q3716">
        <f t="shared" si="232"/>
        <v>1.141005291005291</v>
      </c>
      <c r="R3716">
        <f t="shared" si="233"/>
        <v>43.13</v>
      </c>
      <c r="S3716">
        <f t="shared" si="234"/>
        <v>0.5488986784140969</v>
      </c>
      <c r="T3716">
        <f t="shared" si="235"/>
        <v>2.6455026455026454E-2</v>
      </c>
      <c r="U3716" t="str">
        <f>YEAR('Campaign Data'!$A3716)&amp;"-"&amp;TEXT(MONTH('Campaign Data'!$A3716),"00")</f>
        <v>2026-07</v>
      </c>
    </row>
    <row r="3717" spans="1:21" x14ac:dyDescent="0.25">
      <c r="A3717">
        <v>46225</v>
      </c>
      <c r="B3717" t="s">
        <v>163</v>
      </c>
      <c r="C3717" t="s">
        <v>164</v>
      </c>
      <c r="D3717" t="s">
        <v>58</v>
      </c>
      <c r="E3717" t="s">
        <v>42</v>
      </c>
      <c r="F3717" t="s">
        <v>43</v>
      </c>
      <c r="G3717" t="s">
        <v>44</v>
      </c>
      <c r="H3717" t="s">
        <v>90</v>
      </c>
      <c r="I3717" t="s">
        <v>37</v>
      </c>
      <c r="J3717" t="s">
        <v>29</v>
      </c>
      <c r="K3717">
        <v>5892</v>
      </c>
      <c r="L3717">
        <v>32</v>
      </c>
      <c r="M3717">
        <v>49.49</v>
      </c>
      <c r="N3717">
        <v>1</v>
      </c>
      <c r="O3717">
        <v>5</v>
      </c>
      <c r="P3717">
        <f t="shared" si="232"/>
        <v>5.4310930074677527E-3</v>
      </c>
      <c r="Q3717">
        <f t="shared" si="232"/>
        <v>1.5465625000000001</v>
      </c>
      <c r="R3717">
        <f t="shared" si="233"/>
        <v>49.49</v>
      </c>
      <c r="S3717">
        <f t="shared" si="234"/>
        <v>0.10103051121438673</v>
      </c>
      <c r="T3717">
        <f t="shared" si="235"/>
        <v>3.125E-2</v>
      </c>
      <c r="U3717" t="str">
        <f>YEAR('Campaign Data'!$A3717)&amp;"-"&amp;TEXT(MONTH('Campaign Data'!$A3717),"00")</f>
        <v>2026-07</v>
      </c>
    </row>
    <row r="3718" spans="1:21" x14ac:dyDescent="0.25">
      <c r="A3718">
        <v>46226</v>
      </c>
      <c r="B3718" t="s">
        <v>125</v>
      </c>
      <c r="C3718" t="s">
        <v>126</v>
      </c>
      <c r="D3718" t="s">
        <v>41</v>
      </c>
      <c r="E3718" t="s">
        <v>42</v>
      </c>
      <c r="F3718" t="s">
        <v>81</v>
      </c>
      <c r="G3718" t="s">
        <v>44</v>
      </c>
      <c r="H3718" t="s">
        <v>71</v>
      </c>
      <c r="I3718" t="s">
        <v>37</v>
      </c>
      <c r="J3718" t="s">
        <v>62</v>
      </c>
      <c r="K3718">
        <v>13839</v>
      </c>
      <c r="L3718">
        <v>108</v>
      </c>
      <c r="M3718">
        <v>502.3</v>
      </c>
      <c r="N3718">
        <v>5</v>
      </c>
      <c r="O3718">
        <v>73.27</v>
      </c>
      <c r="P3718">
        <f t="shared" si="232"/>
        <v>7.8040320832430086E-3</v>
      </c>
      <c r="Q3718">
        <f t="shared" si="232"/>
        <v>4.6509259259259261</v>
      </c>
      <c r="R3718">
        <f t="shared" si="233"/>
        <v>100.46000000000001</v>
      </c>
      <c r="S3718">
        <f t="shared" si="234"/>
        <v>0.14586900258809476</v>
      </c>
      <c r="T3718">
        <f t="shared" si="235"/>
        <v>4.6296296296296294E-2</v>
      </c>
      <c r="U3718" t="str">
        <f>YEAR('Campaign Data'!$A3718)&amp;"-"&amp;TEXT(MONTH('Campaign Data'!$A3718),"00")</f>
        <v>2026-07</v>
      </c>
    </row>
    <row r="3719" spans="1:21" x14ac:dyDescent="0.25">
      <c r="A3719">
        <v>46226</v>
      </c>
      <c r="B3719" t="s">
        <v>30</v>
      </c>
      <c r="C3719" t="s">
        <v>31</v>
      </c>
      <c r="D3719" t="s">
        <v>32</v>
      </c>
      <c r="E3719" t="s">
        <v>33</v>
      </c>
      <c r="F3719" t="s">
        <v>34</v>
      </c>
      <c r="G3719" t="s">
        <v>35</v>
      </c>
      <c r="H3719" t="s">
        <v>51</v>
      </c>
      <c r="I3719" t="s">
        <v>37</v>
      </c>
      <c r="J3719" t="s">
        <v>38</v>
      </c>
      <c r="K3719">
        <v>13839</v>
      </c>
      <c r="L3719">
        <v>103</v>
      </c>
      <c r="M3719">
        <v>76.010000000000005</v>
      </c>
      <c r="N3719">
        <v>4</v>
      </c>
      <c r="O3719">
        <v>574.77</v>
      </c>
      <c r="P3719">
        <f t="shared" si="232"/>
        <v>7.4427343016113881E-3</v>
      </c>
      <c r="Q3719">
        <f t="shared" si="232"/>
        <v>0.7379611650485437</v>
      </c>
      <c r="R3719">
        <f t="shared" si="233"/>
        <v>19.002500000000001</v>
      </c>
      <c r="S3719">
        <f t="shared" si="234"/>
        <v>7.5617681883962629</v>
      </c>
      <c r="T3719">
        <f t="shared" si="235"/>
        <v>3.8834951456310676E-2</v>
      </c>
      <c r="U3719" t="str">
        <f>YEAR('Campaign Data'!$A3719)&amp;"-"&amp;TEXT(MONTH('Campaign Data'!$A3719),"00")</f>
        <v>2026-07</v>
      </c>
    </row>
    <row r="3720" spans="1:21" x14ac:dyDescent="0.25">
      <c r="A3720">
        <v>46226</v>
      </c>
      <c r="B3720" t="s">
        <v>39</v>
      </c>
      <c r="C3720" t="s">
        <v>40</v>
      </c>
      <c r="D3720" t="s">
        <v>41</v>
      </c>
      <c r="E3720" t="s">
        <v>42</v>
      </c>
      <c r="F3720" t="s">
        <v>43</v>
      </c>
      <c r="G3720" t="s">
        <v>44</v>
      </c>
      <c r="H3720" t="s">
        <v>36</v>
      </c>
      <c r="I3720" t="s">
        <v>37</v>
      </c>
      <c r="J3720" t="s">
        <v>87</v>
      </c>
      <c r="K3720">
        <v>2715</v>
      </c>
      <c r="L3720">
        <v>12</v>
      </c>
      <c r="M3720">
        <v>89.21</v>
      </c>
      <c r="N3720">
        <v>0</v>
      </c>
      <c r="O3720">
        <v>0</v>
      </c>
      <c r="P3720">
        <f t="shared" si="232"/>
        <v>4.4198895027624313E-3</v>
      </c>
      <c r="Q3720">
        <f t="shared" si="232"/>
        <v>7.4341666666666661</v>
      </c>
      <c r="R3720">
        <f t="shared" si="233"/>
        <v>0</v>
      </c>
      <c r="S3720">
        <f t="shared" si="234"/>
        <v>0</v>
      </c>
      <c r="T3720">
        <f t="shared" si="235"/>
        <v>0</v>
      </c>
      <c r="U3720" t="str">
        <f>YEAR('Campaign Data'!$A3720)&amp;"-"&amp;TEXT(MONTH('Campaign Data'!$A3720),"00")</f>
        <v>2026-07</v>
      </c>
    </row>
    <row r="3721" spans="1:21" x14ac:dyDescent="0.25">
      <c r="A3721">
        <v>46226</v>
      </c>
      <c r="B3721" t="s">
        <v>46</v>
      </c>
      <c r="C3721" t="s">
        <v>47</v>
      </c>
      <c r="D3721" t="s">
        <v>48</v>
      </c>
      <c r="E3721" t="s">
        <v>49</v>
      </c>
      <c r="F3721" t="s">
        <v>43</v>
      </c>
      <c r="G3721" t="s">
        <v>50</v>
      </c>
      <c r="H3721" t="s">
        <v>71</v>
      </c>
      <c r="I3721" t="s">
        <v>37</v>
      </c>
      <c r="J3721" t="s">
        <v>87</v>
      </c>
      <c r="K3721">
        <v>8709</v>
      </c>
      <c r="L3721">
        <v>209</v>
      </c>
      <c r="M3721">
        <v>297.89</v>
      </c>
      <c r="N3721">
        <v>12</v>
      </c>
      <c r="O3721">
        <v>245.62</v>
      </c>
      <c r="P3721">
        <f t="shared" si="232"/>
        <v>2.3998162820071191E-2</v>
      </c>
      <c r="Q3721">
        <f t="shared" si="232"/>
        <v>1.4253110047846889</v>
      </c>
      <c r="R3721">
        <f t="shared" si="233"/>
        <v>24.824166666666667</v>
      </c>
      <c r="S3721">
        <f t="shared" si="234"/>
        <v>0.8245325455705127</v>
      </c>
      <c r="T3721">
        <f t="shared" si="235"/>
        <v>5.7416267942583733E-2</v>
      </c>
      <c r="U3721" t="str">
        <f>YEAR('Campaign Data'!$A3721)&amp;"-"&amp;TEXT(MONTH('Campaign Data'!$A3721),"00")</f>
        <v>2026-07</v>
      </c>
    </row>
    <row r="3722" spans="1:21" x14ac:dyDescent="0.25">
      <c r="A3722">
        <v>46226</v>
      </c>
      <c r="B3722" t="s">
        <v>169</v>
      </c>
      <c r="C3722" t="s">
        <v>170</v>
      </c>
      <c r="D3722" t="s">
        <v>58</v>
      </c>
      <c r="E3722" t="s">
        <v>74</v>
      </c>
      <c r="F3722" t="s">
        <v>75</v>
      </c>
      <c r="G3722" t="s">
        <v>9</v>
      </c>
      <c r="H3722" t="s">
        <v>51</v>
      </c>
      <c r="I3722" t="s">
        <v>37</v>
      </c>
      <c r="J3722" t="s">
        <v>29</v>
      </c>
      <c r="K3722">
        <v>2923</v>
      </c>
      <c r="L3722">
        <v>101</v>
      </c>
      <c r="M3722">
        <v>175.07</v>
      </c>
      <c r="N3722">
        <v>8</v>
      </c>
      <c r="O3722">
        <v>409.62</v>
      </c>
      <c r="P3722">
        <f t="shared" si="232"/>
        <v>3.4553540882654804E-2</v>
      </c>
      <c r="Q3722">
        <f t="shared" si="232"/>
        <v>1.7333663366336634</v>
      </c>
      <c r="R3722">
        <f t="shared" si="233"/>
        <v>21.883749999999999</v>
      </c>
      <c r="S3722">
        <f t="shared" si="234"/>
        <v>2.3397498143599704</v>
      </c>
      <c r="T3722">
        <f t="shared" si="235"/>
        <v>7.9207920792079209E-2</v>
      </c>
      <c r="U3722" t="str">
        <f>YEAR('Campaign Data'!$A3722)&amp;"-"&amp;TEXT(MONTH('Campaign Data'!$A3722),"00")</f>
        <v>2026-07</v>
      </c>
    </row>
    <row r="3723" spans="1:21" x14ac:dyDescent="0.25">
      <c r="A3723">
        <v>46226</v>
      </c>
      <c r="B3723" t="s">
        <v>130</v>
      </c>
      <c r="C3723" t="s">
        <v>131</v>
      </c>
      <c r="D3723" t="s">
        <v>48</v>
      </c>
      <c r="E3723" t="s">
        <v>33</v>
      </c>
      <c r="F3723" t="s">
        <v>34</v>
      </c>
      <c r="G3723" t="s">
        <v>35</v>
      </c>
      <c r="H3723" t="s">
        <v>60</v>
      </c>
      <c r="I3723" t="s">
        <v>28</v>
      </c>
      <c r="J3723" t="s">
        <v>45</v>
      </c>
      <c r="K3723">
        <v>2860</v>
      </c>
      <c r="L3723">
        <v>9</v>
      </c>
      <c r="M3723">
        <v>4.87</v>
      </c>
      <c r="N3723">
        <v>0</v>
      </c>
      <c r="O3723">
        <v>0</v>
      </c>
      <c r="P3723">
        <f t="shared" si="232"/>
        <v>3.1468531468531471E-3</v>
      </c>
      <c r="Q3723">
        <f t="shared" si="232"/>
        <v>0.5411111111111111</v>
      </c>
      <c r="R3723">
        <f t="shared" si="233"/>
        <v>0</v>
      </c>
      <c r="S3723">
        <f t="shared" si="234"/>
        <v>0</v>
      </c>
      <c r="T3723">
        <f t="shared" si="235"/>
        <v>0</v>
      </c>
      <c r="U3723" t="str">
        <f>YEAR('Campaign Data'!$A3723)&amp;"-"&amp;TEXT(MONTH('Campaign Data'!$A3723),"00")</f>
        <v>2026-07</v>
      </c>
    </row>
    <row r="3724" spans="1:21" x14ac:dyDescent="0.25">
      <c r="A3724">
        <v>46226</v>
      </c>
      <c r="B3724" t="s">
        <v>132</v>
      </c>
      <c r="C3724" t="s">
        <v>133</v>
      </c>
      <c r="D3724" t="s">
        <v>23</v>
      </c>
      <c r="E3724" t="s">
        <v>42</v>
      </c>
      <c r="F3724" t="s">
        <v>75</v>
      </c>
      <c r="G3724" t="s">
        <v>84</v>
      </c>
      <c r="H3724" t="s">
        <v>51</v>
      </c>
      <c r="I3724" t="s">
        <v>37</v>
      </c>
      <c r="J3724" t="s">
        <v>45</v>
      </c>
      <c r="K3724">
        <v>9384</v>
      </c>
      <c r="L3724">
        <v>31</v>
      </c>
      <c r="M3724">
        <v>160.88999999999999</v>
      </c>
      <c r="N3724">
        <v>4</v>
      </c>
      <c r="O3724">
        <v>202.91</v>
      </c>
      <c r="P3724">
        <f t="shared" si="232"/>
        <v>3.3034953111679456E-3</v>
      </c>
      <c r="Q3724">
        <f t="shared" si="232"/>
        <v>5.1899999999999995</v>
      </c>
      <c r="R3724">
        <f t="shared" si="233"/>
        <v>40.222499999999997</v>
      </c>
      <c r="S3724">
        <f t="shared" si="234"/>
        <v>1.2611722294735535</v>
      </c>
      <c r="T3724">
        <f t="shared" si="235"/>
        <v>0.12903225806451613</v>
      </c>
      <c r="U3724" t="str">
        <f>YEAR('Campaign Data'!$A3724)&amp;"-"&amp;TEXT(MONTH('Campaign Data'!$A3724),"00")</f>
        <v>2026-07</v>
      </c>
    </row>
    <row r="3725" spans="1:21" x14ac:dyDescent="0.25">
      <c r="A3725">
        <v>46226</v>
      </c>
      <c r="B3725" t="s">
        <v>153</v>
      </c>
      <c r="C3725" t="s">
        <v>154</v>
      </c>
      <c r="D3725" t="s">
        <v>48</v>
      </c>
      <c r="E3725" t="s">
        <v>33</v>
      </c>
      <c r="F3725" t="s">
        <v>43</v>
      </c>
      <c r="G3725" t="s">
        <v>59</v>
      </c>
      <c r="H3725" t="s">
        <v>55</v>
      </c>
      <c r="I3725" t="s">
        <v>28</v>
      </c>
      <c r="J3725" t="s">
        <v>45</v>
      </c>
      <c r="K3725">
        <v>3936</v>
      </c>
      <c r="L3725">
        <v>24</v>
      </c>
      <c r="M3725">
        <v>15.55</v>
      </c>
      <c r="N3725">
        <v>0</v>
      </c>
      <c r="O3725">
        <v>0</v>
      </c>
      <c r="P3725">
        <f t="shared" si="232"/>
        <v>6.0975609756097563E-3</v>
      </c>
      <c r="Q3725">
        <f t="shared" si="232"/>
        <v>0.6479166666666667</v>
      </c>
      <c r="R3725">
        <f t="shared" si="233"/>
        <v>0</v>
      </c>
      <c r="S3725">
        <f t="shared" si="234"/>
        <v>0</v>
      </c>
      <c r="T3725">
        <f t="shared" si="235"/>
        <v>0</v>
      </c>
      <c r="U3725" t="str">
        <f>YEAR('Campaign Data'!$A3725)&amp;"-"&amp;TEXT(MONTH('Campaign Data'!$A3725),"00")</f>
        <v>2026-07</v>
      </c>
    </row>
    <row r="3726" spans="1:21" x14ac:dyDescent="0.25">
      <c r="A3726">
        <v>46226</v>
      </c>
      <c r="B3726" t="s">
        <v>141</v>
      </c>
      <c r="C3726" t="s">
        <v>142</v>
      </c>
      <c r="D3726" t="s">
        <v>80</v>
      </c>
      <c r="E3726" t="s">
        <v>49</v>
      </c>
      <c r="F3726" t="s">
        <v>81</v>
      </c>
      <c r="G3726" t="s">
        <v>97</v>
      </c>
      <c r="H3726" t="s">
        <v>27</v>
      </c>
      <c r="I3726" t="s">
        <v>28</v>
      </c>
      <c r="J3726" t="s">
        <v>87</v>
      </c>
      <c r="K3726">
        <v>19141</v>
      </c>
      <c r="L3726">
        <v>1234</v>
      </c>
      <c r="M3726">
        <v>3572.09</v>
      </c>
      <c r="N3726">
        <v>41</v>
      </c>
      <c r="O3726">
        <v>890.65</v>
      </c>
      <c r="P3726">
        <f t="shared" si="232"/>
        <v>6.4468941016665796E-2</v>
      </c>
      <c r="Q3726">
        <f t="shared" si="232"/>
        <v>2.8947244732576984</v>
      </c>
      <c r="R3726">
        <f t="shared" si="233"/>
        <v>87.124146341463415</v>
      </c>
      <c r="S3726">
        <f t="shared" si="234"/>
        <v>0.24933582300557935</v>
      </c>
      <c r="T3726">
        <f t="shared" si="235"/>
        <v>3.3225283630470018E-2</v>
      </c>
      <c r="U3726" t="str">
        <f>YEAR('Campaign Data'!$A3726)&amp;"-"&amp;TEXT(MONTH('Campaign Data'!$A3726),"00")</f>
        <v>2026-07</v>
      </c>
    </row>
    <row r="3727" spans="1:21" x14ac:dyDescent="0.25">
      <c r="A3727">
        <v>46226</v>
      </c>
      <c r="B3727" t="s">
        <v>136</v>
      </c>
      <c r="C3727" t="s">
        <v>137</v>
      </c>
      <c r="D3727" t="s">
        <v>32</v>
      </c>
      <c r="E3727" t="s">
        <v>49</v>
      </c>
      <c r="F3727" t="s">
        <v>75</v>
      </c>
      <c r="G3727" t="s">
        <v>97</v>
      </c>
      <c r="H3727" t="s">
        <v>27</v>
      </c>
      <c r="I3727" t="s">
        <v>37</v>
      </c>
      <c r="J3727" t="s">
        <v>62</v>
      </c>
      <c r="K3727">
        <v>7026</v>
      </c>
      <c r="L3727">
        <v>420</v>
      </c>
      <c r="M3727">
        <v>1293.17</v>
      </c>
      <c r="N3727">
        <v>31</v>
      </c>
      <c r="O3727">
        <v>345.58</v>
      </c>
      <c r="P3727">
        <f t="shared" si="232"/>
        <v>5.9777967549103334E-2</v>
      </c>
      <c r="Q3727">
        <f t="shared" si="232"/>
        <v>3.0789761904761908</v>
      </c>
      <c r="R3727">
        <f t="shared" si="233"/>
        <v>41.715161290322584</v>
      </c>
      <c r="S3727">
        <f t="shared" si="234"/>
        <v>0.2672347796500073</v>
      </c>
      <c r="T3727">
        <f t="shared" si="235"/>
        <v>7.3809523809523811E-2</v>
      </c>
      <c r="U3727" t="str">
        <f>YEAR('Campaign Data'!$A3727)&amp;"-"&amp;TEXT(MONTH('Campaign Data'!$A3727),"00")</f>
        <v>2026-07</v>
      </c>
    </row>
    <row r="3728" spans="1:21" x14ac:dyDescent="0.25">
      <c r="A3728">
        <v>46226</v>
      </c>
      <c r="B3728" t="s">
        <v>143</v>
      </c>
      <c r="C3728" t="s">
        <v>144</v>
      </c>
      <c r="D3728" t="s">
        <v>48</v>
      </c>
      <c r="E3728" t="s">
        <v>42</v>
      </c>
      <c r="F3728" t="s">
        <v>25</v>
      </c>
      <c r="G3728" t="s">
        <v>84</v>
      </c>
      <c r="H3728" t="s">
        <v>90</v>
      </c>
      <c r="I3728" t="s">
        <v>28</v>
      </c>
      <c r="J3728" t="s">
        <v>29</v>
      </c>
      <c r="K3728">
        <v>6629</v>
      </c>
      <c r="L3728">
        <v>43</v>
      </c>
      <c r="M3728">
        <v>75.78</v>
      </c>
      <c r="N3728">
        <v>0</v>
      </c>
      <c r="O3728">
        <v>0</v>
      </c>
      <c r="P3728">
        <f t="shared" si="232"/>
        <v>6.4866495700709008E-3</v>
      </c>
      <c r="Q3728">
        <f t="shared" si="232"/>
        <v>1.7623255813953489</v>
      </c>
      <c r="R3728">
        <f t="shared" si="233"/>
        <v>0</v>
      </c>
      <c r="S3728">
        <f t="shared" si="234"/>
        <v>0</v>
      </c>
      <c r="T3728">
        <f t="shared" si="235"/>
        <v>0</v>
      </c>
      <c r="U3728" t="str">
        <f>YEAR('Campaign Data'!$A3728)&amp;"-"&amp;TEXT(MONTH('Campaign Data'!$A3728),"00")</f>
        <v>2026-07</v>
      </c>
    </row>
    <row r="3729" spans="1:21" x14ac:dyDescent="0.25">
      <c r="A3729">
        <v>46227</v>
      </c>
      <c r="B3729" t="s">
        <v>138</v>
      </c>
      <c r="C3729" t="s">
        <v>139</v>
      </c>
      <c r="D3729" t="s">
        <v>58</v>
      </c>
      <c r="E3729" t="s">
        <v>74</v>
      </c>
      <c r="F3729" t="s">
        <v>34</v>
      </c>
      <c r="G3729" t="s">
        <v>9</v>
      </c>
      <c r="H3729" t="s">
        <v>27</v>
      </c>
      <c r="I3729" t="s">
        <v>37</v>
      </c>
      <c r="J3729" t="s">
        <v>87</v>
      </c>
      <c r="K3729">
        <v>6234</v>
      </c>
      <c r="L3729">
        <v>194</v>
      </c>
      <c r="M3729">
        <v>280.67</v>
      </c>
      <c r="N3729">
        <v>5</v>
      </c>
      <c r="O3729">
        <v>983.27</v>
      </c>
      <c r="P3729">
        <f t="shared" si="232"/>
        <v>3.1119666345845363E-2</v>
      </c>
      <c r="Q3729">
        <f t="shared" si="232"/>
        <v>1.4467525773195877</v>
      </c>
      <c r="R3729">
        <f t="shared" si="233"/>
        <v>56.134</v>
      </c>
      <c r="S3729">
        <f t="shared" si="234"/>
        <v>3.5032956853244022</v>
      </c>
      <c r="T3729">
        <f t="shared" si="235"/>
        <v>2.5773195876288658E-2</v>
      </c>
      <c r="U3729" t="str">
        <f>YEAR('Campaign Data'!$A3729)&amp;"-"&amp;TEXT(MONTH('Campaign Data'!$A3729),"00")</f>
        <v>2026-07</v>
      </c>
    </row>
    <row r="3730" spans="1:21" x14ac:dyDescent="0.25">
      <c r="A3730">
        <v>46227</v>
      </c>
      <c r="B3730" t="s">
        <v>149</v>
      </c>
      <c r="C3730" t="s">
        <v>150</v>
      </c>
      <c r="D3730" t="s">
        <v>65</v>
      </c>
      <c r="E3730" t="s">
        <v>33</v>
      </c>
      <c r="F3730" t="s">
        <v>43</v>
      </c>
      <c r="G3730" t="s">
        <v>59</v>
      </c>
      <c r="H3730" t="s">
        <v>90</v>
      </c>
      <c r="I3730" t="s">
        <v>37</v>
      </c>
      <c r="J3730" t="s">
        <v>62</v>
      </c>
      <c r="K3730">
        <v>6522</v>
      </c>
      <c r="L3730">
        <v>82</v>
      </c>
      <c r="M3730">
        <v>11.26</v>
      </c>
      <c r="N3730">
        <v>1</v>
      </c>
      <c r="O3730">
        <v>6.86</v>
      </c>
      <c r="P3730">
        <f t="shared" si="232"/>
        <v>1.2572830420116528E-2</v>
      </c>
      <c r="Q3730">
        <f t="shared" si="232"/>
        <v>0.13731707317073172</v>
      </c>
      <c r="R3730">
        <f t="shared" si="233"/>
        <v>11.26</v>
      </c>
      <c r="S3730">
        <f t="shared" si="234"/>
        <v>0.60923623445825936</v>
      </c>
      <c r="T3730">
        <f t="shared" si="235"/>
        <v>1.2195121951219513E-2</v>
      </c>
      <c r="U3730" t="str">
        <f>YEAR('Campaign Data'!$A3730)&amp;"-"&amp;TEXT(MONTH('Campaign Data'!$A3730),"00")</f>
        <v>2026-07</v>
      </c>
    </row>
    <row r="3731" spans="1:21" x14ac:dyDescent="0.25">
      <c r="A3731">
        <v>46227</v>
      </c>
      <c r="B3731" t="s">
        <v>91</v>
      </c>
      <c r="C3731" t="s">
        <v>92</v>
      </c>
      <c r="D3731" t="s">
        <v>41</v>
      </c>
      <c r="E3731" t="s">
        <v>74</v>
      </c>
      <c r="F3731" t="s">
        <v>75</v>
      </c>
      <c r="G3731" t="s">
        <v>9</v>
      </c>
      <c r="H3731" t="s">
        <v>27</v>
      </c>
      <c r="I3731" t="s">
        <v>28</v>
      </c>
      <c r="J3731" t="s">
        <v>87</v>
      </c>
      <c r="K3731">
        <v>10136</v>
      </c>
      <c r="L3731">
        <v>346</v>
      </c>
      <c r="M3731">
        <v>526.54</v>
      </c>
      <c r="N3731">
        <v>11</v>
      </c>
      <c r="O3731">
        <v>414.92</v>
      </c>
      <c r="P3731">
        <f t="shared" si="232"/>
        <v>3.4135753749013419E-2</v>
      </c>
      <c r="Q3731">
        <f t="shared" si="232"/>
        <v>1.5217919075144508</v>
      </c>
      <c r="R3731">
        <f t="shared" si="233"/>
        <v>47.867272727272727</v>
      </c>
      <c r="S3731">
        <f t="shared" si="234"/>
        <v>0.78801230675732148</v>
      </c>
      <c r="T3731">
        <f t="shared" si="235"/>
        <v>3.1791907514450865E-2</v>
      </c>
      <c r="U3731" t="str">
        <f>YEAR('Campaign Data'!$A3731)&amp;"-"&amp;TEXT(MONTH('Campaign Data'!$A3731),"00")</f>
        <v>2026-07</v>
      </c>
    </row>
    <row r="3732" spans="1:21" x14ac:dyDescent="0.25">
      <c r="A3732">
        <v>46227</v>
      </c>
      <c r="B3732" t="s">
        <v>151</v>
      </c>
      <c r="C3732" t="s">
        <v>152</v>
      </c>
      <c r="D3732" t="s">
        <v>48</v>
      </c>
      <c r="E3732" t="s">
        <v>24</v>
      </c>
      <c r="F3732" t="s">
        <v>81</v>
      </c>
      <c r="G3732" t="s">
        <v>129</v>
      </c>
      <c r="H3732" t="s">
        <v>55</v>
      </c>
      <c r="I3732" t="s">
        <v>37</v>
      </c>
      <c r="J3732" t="s">
        <v>87</v>
      </c>
      <c r="K3732">
        <v>6356</v>
      </c>
      <c r="L3732">
        <v>97</v>
      </c>
      <c r="M3732">
        <v>105.09</v>
      </c>
      <c r="N3732">
        <v>2</v>
      </c>
      <c r="O3732">
        <v>24.06</v>
      </c>
      <c r="P3732">
        <f t="shared" si="232"/>
        <v>1.526117054751416E-2</v>
      </c>
      <c r="Q3732">
        <f t="shared" si="232"/>
        <v>1.0834020618556701</v>
      </c>
      <c r="R3732">
        <f t="shared" si="233"/>
        <v>52.545000000000002</v>
      </c>
      <c r="S3732">
        <f t="shared" si="234"/>
        <v>0.22894661718526976</v>
      </c>
      <c r="T3732">
        <f t="shared" si="235"/>
        <v>2.0618556701030927E-2</v>
      </c>
      <c r="U3732" t="str">
        <f>YEAR('Campaign Data'!$A3732)&amp;"-"&amp;TEXT(MONTH('Campaign Data'!$A3732),"00")</f>
        <v>2026-07</v>
      </c>
    </row>
    <row r="3733" spans="1:21" x14ac:dyDescent="0.25">
      <c r="A3733">
        <v>46227</v>
      </c>
      <c r="B3733" t="s">
        <v>151</v>
      </c>
      <c r="C3733" t="s">
        <v>152</v>
      </c>
      <c r="D3733" t="s">
        <v>48</v>
      </c>
      <c r="E3733" t="s">
        <v>24</v>
      </c>
      <c r="F3733" t="s">
        <v>81</v>
      </c>
      <c r="G3733" t="s">
        <v>129</v>
      </c>
      <c r="H3733" t="s">
        <v>27</v>
      </c>
      <c r="I3733" t="s">
        <v>37</v>
      </c>
      <c r="J3733" t="s">
        <v>38</v>
      </c>
      <c r="K3733">
        <v>2618</v>
      </c>
      <c r="L3733">
        <v>32</v>
      </c>
      <c r="M3733">
        <v>36.29</v>
      </c>
      <c r="N3733">
        <v>0</v>
      </c>
      <c r="O3733">
        <v>0</v>
      </c>
      <c r="P3733">
        <f t="shared" si="232"/>
        <v>1.2223071046600458E-2</v>
      </c>
      <c r="Q3733">
        <f t="shared" si="232"/>
        <v>1.1340625</v>
      </c>
      <c r="R3733">
        <f t="shared" si="233"/>
        <v>0</v>
      </c>
      <c r="S3733">
        <f t="shared" si="234"/>
        <v>0</v>
      </c>
      <c r="T3733">
        <f t="shared" si="235"/>
        <v>0</v>
      </c>
      <c r="U3733" t="str">
        <f>YEAR('Campaign Data'!$A3733)&amp;"-"&amp;TEXT(MONTH('Campaign Data'!$A3733),"00")</f>
        <v>2026-07</v>
      </c>
    </row>
    <row r="3734" spans="1:21" x14ac:dyDescent="0.25">
      <c r="A3734">
        <v>46227</v>
      </c>
      <c r="B3734" t="s">
        <v>98</v>
      </c>
      <c r="C3734" t="s">
        <v>99</v>
      </c>
      <c r="D3734" t="s">
        <v>69</v>
      </c>
      <c r="E3734" t="s">
        <v>24</v>
      </c>
      <c r="F3734" t="s">
        <v>75</v>
      </c>
      <c r="G3734" t="s">
        <v>66</v>
      </c>
      <c r="H3734" t="s">
        <v>27</v>
      </c>
      <c r="I3734" t="s">
        <v>37</v>
      </c>
      <c r="J3734" t="s">
        <v>45</v>
      </c>
      <c r="K3734">
        <v>7222</v>
      </c>
      <c r="L3734">
        <v>76</v>
      </c>
      <c r="M3734">
        <v>85.61</v>
      </c>
      <c r="N3734">
        <v>1</v>
      </c>
      <c r="O3734">
        <v>35.909999999999997</v>
      </c>
      <c r="P3734">
        <f t="shared" si="232"/>
        <v>1.0523400720022155E-2</v>
      </c>
      <c r="Q3734">
        <f t="shared" si="232"/>
        <v>1.1264473684210525</v>
      </c>
      <c r="R3734">
        <f t="shared" si="233"/>
        <v>85.61</v>
      </c>
      <c r="S3734">
        <f t="shared" si="234"/>
        <v>0.41946034341782501</v>
      </c>
      <c r="T3734">
        <f t="shared" si="235"/>
        <v>1.3157894736842105E-2</v>
      </c>
      <c r="U3734" t="str">
        <f>YEAR('Campaign Data'!$A3734)&amp;"-"&amp;TEXT(MONTH('Campaign Data'!$A3734),"00")</f>
        <v>2026-07</v>
      </c>
    </row>
    <row r="3735" spans="1:21" x14ac:dyDescent="0.25">
      <c r="A3735">
        <v>46227</v>
      </c>
      <c r="B3735" t="s">
        <v>100</v>
      </c>
      <c r="C3735" t="s">
        <v>101</v>
      </c>
      <c r="D3735" t="s">
        <v>80</v>
      </c>
      <c r="E3735" t="s">
        <v>33</v>
      </c>
      <c r="F3735" t="s">
        <v>25</v>
      </c>
      <c r="G3735" t="s">
        <v>102</v>
      </c>
      <c r="H3735" t="s">
        <v>27</v>
      </c>
      <c r="I3735" t="s">
        <v>28</v>
      </c>
      <c r="J3735" t="s">
        <v>62</v>
      </c>
      <c r="K3735">
        <v>6803</v>
      </c>
      <c r="L3735">
        <v>53</v>
      </c>
      <c r="M3735">
        <v>42.47</v>
      </c>
      <c r="N3735">
        <v>1</v>
      </c>
      <c r="O3735">
        <v>192.64</v>
      </c>
      <c r="P3735">
        <f t="shared" si="232"/>
        <v>7.7906805820961338E-3</v>
      </c>
      <c r="Q3735">
        <f t="shared" si="232"/>
        <v>0.80132075471698117</v>
      </c>
      <c r="R3735">
        <f t="shared" si="233"/>
        <v>42.47</v>
      </c>
      <c r="S3735">
        <f t="shared" si="234"/>
        <v>4.5359076995526255</v>
      </c>
      <c r="T3735">
        <f t="shared" si="235"/>
        <v>1.8867924528301886E-2</v>
      </c>
      <c r="U3735" t="str">
        <f>YEAR('Campaign Data'!$A3735)&amp;"-"&amp;TEXT(MONTH('Campaign Data'!$A3735),"00")</f>
        <v>2026-07</v>
      </c>
    </row>
    <row r="3736" spans="1:21" x14ac:dyDescent="0.25">
      <c r="A3736">
        <v>46227</v>
      </c>
      <c r="B3736" t="s">
        <v>100</v>
      </c>
      <c r="C3736" t="s">
        <v>101</v>
      </c>
      <c r="D3736" t="s">
        <v>80</v>
      </c>
      <c r="E3736" t="s">
        <v>33</v>
      </c>
      <c r="F3736" t="s">
        <v>25</v>
      </c>
      <c r="G3736" t="s">
        <v>102</v>
      </c>
      <c r="H3736" t="s">
        <v>90</v>
      </c>
      <c r="I3736" t="s">
        <v>28</v>
      </c>
      <c r="J3736" t="s">
        <v>29</v>
      </c>
      <c r="K3736">
        <v>12952</v>
      </c>
      <c r="L3736">
        <v>33</v>
      </c>
      <c r="M3736">
        <v>5.1100000000000003</v>
      </c>
      <c r="N3736">
        <v>1</v>
      </c>
      <c r="O3736">
        <v>22.35</v>
      </c>
      <c r="P3736">
        <f t="shared" si="232"/>
        <v>2.5478690549722051E-3</v>
      </c>
      <c r="Q3736">
        <f t="shared" si="232"/>
        <v>0.15484848484848485</v>
      </c>
      <c r="R3736">
        <f t="shared" si="233"/>
        <v>5.1100000000000003</v>
      </c>
      <c r="S3736">
        <f t="shared" si="234"/>
        <v>4.3737769080234834</v>
      </c>
      <c r="T3736">
        <f t="shared" si="235"/>
        <v>3.0303030303030304E-2</v>
      </c>
      <c r="U3736" t="str">
        <f>YEAR('Campaign Data'!$A3736)&amp;"-"&amp;TEXT(MONTH('Campaign Data'!$A3736),"00")</f>
        <v>2026-07</v>
      </c>
    </row>
    <row r="3737" spans="1:21" x14ac:dyDescent="0.25">
      <c r="A3737">
        <v>46227</v>
      </c>
      <c r="B3737" t="s">
        <v>177</v>
      </c>
      <c r="C3737" t="s">
        <v>178</v>
      </c>
      <c r="D3737" t="s">
        <v>41</v>
      </c>
      <c r="E3737" t="s">
        <v>49</v>
      </c>
      <c r="F3737" t="s">
        <v>34</v>
      </c>
      <c r="G3737" t="s">
        <v>107</v>
      </c>
      <c r="H3737" t="s">
        <v>71</v>
      </c>
      <c r="I3737" t="s">
        <v>37</v>
      </c>
      <c r="J3737" t="s">
        <v>45</v>
      </c>
      <c r="K3737">
        <v>6202</v>
      </c>
      <c r="L3737">
        <v>296</v>
      </c>
      <c r="M3737">
        <v>427.92</v>
      </c>
      <c r="N3737">
        <v>13</v>
      </c>
      <c r="O3737">
        <v>1471.46</v>
      </c>
      <c r="P3737">
        <f t="shared" si="232"/>
        <v>4.7726539825862627E-2</v>
      </c>
      <c r="Q3737">
        <f t="shared" si="232"/>
        <v>1.4456756756756757</v>
      </c>
      <c r="R3737">
        <f t="shared" si="233"/>
        <v>32.916923076923077</v>
      </c>
      <c r="S3737">
        <f t="shared" si="234"/>
        <v>3.438633389418583</v>
      </c>
      <c r="T3737">
        <f t="shared" si="235"/>
        <v>4.3918918918918921E-2</v>
      </c>
      <c r="U3737" t="str">
        <f>YEAR('Campaign Data'!$A3737)&amp;"-"&amp;TEXT(MONTH('Campaign Data'!$A3737),"00")</f>
        <v>2026-07</v>
      </c>
    </row>
    <row r="3738" spans="1:21" x14ac:dyDescent="0.25">
      <c r="A3738">
        <v>46227</v>
      </c>
      <c r="B3738" t="s">
        <v>171</v>
      </c>
      <c r="C3738" t="s">
        <v>172</v>
      </c>
      <c r="D3738" t="s">
        <v>23</v>
      </c>
      <c r="E3738" t="s">
        <v>33</v>
      </c>
      <c r="F3738" t="s">
        <v>75</v>
      </c>
      <c r="G3738" t="s">
        <v>59</v>
      </c>
      <c r="H3738" t="s">
        <v>27</v>
      </c>
      <c r="I3738" t="s">
        <v>37</v>
      </c>
      <c r="J3738" t="s">
        <v>29</v>
      </c>
      <c r="K3738">
        <v>4105</v>
      </c>
      <c r="L3738">
        <v>39</v>
      </c>
      <c r="M3738">
        <v>27.72</v>
      </c>
      <c r="N3738">
        <v>2</v>
      </c>
      <c r="O3738">
        <v>97.5</v>
      </c>
      <c r="P3738">
        <f t="shared" si="232"/>
        <v>9.5006090133982948E-3</v>
      </c>
      <c r="Q3738">
        <f t="shared" si="232"/>
        <v>0.71076923076923071</v>
      </c>
      <c r="R3738">
        <f t="shared" si="233"/>
        <v>13.86</v>
      </c>
      <c r="S3738">
        <f t="shared" si="234"/>
        <v>3.5173160173160176</v>
      </c>
      <c r="T3738">
        <f t="shared" si="235"/>
        <v>5.128205128205128E-2</v>
      </c>
      <c r="U3738" t="str">
        <f>YEAR('Campaign Data'!$A3738)&amp;"-"&amp;TEXT(MONTH('Campaign Data'!$A3738),"00")</f>
        <v>2026-07</v>
      </c>
    </row>
    <row r="3739" spans="1:21" x14ac:dyDescent="0.25">
      <c r="A3739">
        <v>46227</v>
      </c>
      <c r="B3739" t="s">
        <v>171</v>
      </c>
      <c r="C3739" t="s">
        <v>172</v>
      </c>
      <c r="D3739" t="s">
        <v>23</v>
      </c>
      <c r="E3739" t="s">
        <v>33</v>
      </c>
      <c r="F3739" t="s">
        <v>75</v>
      </c>
      <c r="G3739" t="s">
        <v>59</v>
      </c>
      <c r="H3739" t="s">
        <v>71</v>
      </c>
      <c r="I3739" t="s">
        <v>37</v>
      </c>
      <c r="J3739" t="s">
        <v>38</v>
      </c>
      <c r="K3739">
        <v>9095</v>
      </c>
      <c r="L3739">
        <v>85</v>
      </c>
      <c r="M3739">
        <v>50.08</v>
      </c>
      <c r="N3739">
        <v>2</v>
      </c>
      <c r="O3739">
        <v>59.37</v>
      </c>
      <c r="P3739">
        <f t="shared" si="232"/>
        <v>9.3457943925233638E-3</v>
      </c>
      <c r="Q3739">
        <f t="shared" si="232"/>
        <v>0.5891764705882353</v>
      </c>
      <c r="R3739">
        <f t="shared" si="233"/>
        <v>25.04</v>
      </c>
      <c r="S3739">
        <f t="shared" si="234"/>
        <v>1.1855031948881789</v>
      </c>
      <c r="T3739">
        <f t="shared" si="235"/>
        <v>2.3529411764705882E-2</v>
      </c>
      <c r="U3739" t="str">
        <f>YEAR('Campaign Data'!$A3739)&amp;"-"&amp;TEXT(MONTH('Campaign Data'!$A3739),"00")</f>
        <v>2026-07</v>
      </c>
    </row>
    <row r="3740" spans="1:21" x14ac:dyDescent="0.25">
      <c r="A3740">
        <v>46227</v>
      </c>
      <c r="B3740" t="s">
        <v>134</v>
      </c>
      <c r="C3740" t="s">
        <v>135</v>
      </c>
      <c r="D3740" t="s">
        <v>32</v>
      </c>
      <c r="E3740" t="s">
        <v>74</v>
      </c>
      <c r="F3740" t="s">
        <v>25</v>
      </c>
      <c r="G3740" t="s">
        <v>107</v>
      </c>
      <c r="H3740" t="s">
        <v>27</v>
      </c>
      <c r="I3740" t="s">
        <v>37</v>
      </c>
      <c r="J3740" t="s">
        <v>29</v>
      </c>
      <c r="K3740">
        <v>17858</v>
      </c>
      <c r="L3740">
        <v>682</v>
      </c>
      <c r="M3740">
        <v>1242.93</v>
      </c>
      <c r="N3740">
        <v>34</v>
      </c>
      <c r="O3740">
        <v>3509.41</v>
      </c>
      <c r="P3740">
        <f t="shared" si="232"/>
        <v>3.8190166871990144E-2</v>
      </c>
      <c r="Q3740">
        <f t="shared" si="232"/>
        <v>1.8224780058651027</v>
      </c>
      <c r="R3740">
        <f t="shared" si="233"/>
        <v>36.556764705882358</v>
      </c>
      <c r="S3740">
        <f t="shared" si="234"/>
        <v>2.823497703008214</v>
      </c>
      <c r="T3740">
        <f t="shared" si="235"/>
        <v>4.9853372434017593E-2</v>
      </c>
      <c r="U3740" t="str">
        <f>YEAR('Campaign Data'!$A3740)&amp;"-"&amp;TEXT(MONTH('Campaign Data'!$A3740),"00")</f>
        <v>2026-07</v>
      </c>
    </row>
    <row r="3741" spans="1:21" x14ac:dyDescent="0.25">
      <c r="A3741">
        <v>46227</v>
      </c>
      <c r="B3741" t="s">
        <v>181</v>
      </c>
      <c r="C3741" t="s">
        <v>182</v>
      </c>
      <c r="D3741" t="s">
        <v>32</v>
      </c>
      <c r="E3741" t="s">
        <v>33</v>
      </c>
      <c r="F3741" t="s">
        <v>75</v>
      </c>
      <c r="G3741" t="s">
        <v>59</v>
      </c>
      <c r="H3741" t="s">
        <v>90</v>
      </c>
      <c r="I3741" t="s">
        <v>28</v>
      </c>
      <c r="J3741" t="s">
        <v>62</v>
      </c>
      <c r="K3741">
        <v>5341</v>
      </c>
      <c r="L3741">
        <v>52</v>
      </c>
      <c r="M3741">
        <v>9.07</v>
      </c>
      <c r="N3741">
        <v>1</v>
      </c>
      <c r="O3741">
        <v>11.2</v>
      </c>
      <c r="P3741">
        <f t="shared" si="232"/>
        <v>9.7360044935405361E-3</v>
      </c>
      <c r="Q3741">
        <f t="shared" si="232"/>
        <v>0.17442307692307693</v>
      </c>
      <c r="R3741">
        <f t="shared" si="233"/>
        <v>9.07</v>
      </c>
      <c r="S3741">
        <f t="shared" si="234"/>
        <v>1.2348401323042997</v>
      </c>
      <c r="T3741">
        <f t="shared" si="235"/>
        <v>1.9230769230769232E-2</v>
      </c>
      <c r="U3741" t="str">
        <f>YEAR('Campaign Data'!$A3741)&amp;"-"&amp;TEXT(MONTH('Campaign Data'!$A3741),"00")</f>
        <v>2026-07</v>
      </c>
    </row>
    <row r="3742" spans="1:21" x14ac:dyDescent="0.25">
      <c r="A3742">
        <v>46227</v>
      </c>
      <c r="B3742" t="s">
        <v>56</v>
      </c>
      <c r="C3742" t="s">
        <v>57</v>
      </c>
      <c r="D3742" t="s">
        <v>58</v>
      </c>
      <c r="E3742" t="s">
        <v>33</v>
      </c>
      <c r="F3742" t="s">
        <v>43</v>
      </c>
      <c r="G3742" t="s">
        <v>59</v>
      </c>
      <c r="H3742" t="s">
        <v>71</v>
      </c>
      <c r="I3742" t="s">
        <v>37</v>
      </c>
      <c r="J3742" t="s">
        <v>87</v>
      </c>
      <c r="K3742">
        <v>5271</v>
      </c>
      <c r="L3742">
        <v>58</v>
      </c>
      <c r="M3742">
        <v>24.04</v>
      </c>
      <c r="N3742">
        <v>2</v>
      </c>
      <c r="O3742">
        <v>38.520000000000003</v>
      </c>
      <c r="P3742">
        <f t="shared" si="232"/>
        <v>1.1003604629102636E-2</v>
      </c>
      <c r="Q3742">
        <f t="shared" si="232"/>
        <v>0.41448275862068962</v>
      </c>
      <c r="R3742">
        <f t="shared" si="233"/>
        <v>12.02</v>
      </c>
      <c r="S3742">
        <f t="shared" si="234"/>
        <v>1.6023294509151416</v>
      </c>
      <c r="T3742">
        <f t="shared" si="235"/>
        <v>3.4482758620689655E-2</v>
      </c>
      <c r="U3742" t="str">
        <f>YEAR('Campaign Data'!$A3742)&amp;"-"&amp;TEXT(MONTH('Campaign Data'!$A3742),"00")</f>
        <v>2026-07</v>
      </c>
    </row>
    <row r="3743" spans="1:21" x14ac:dyDescent="0.25">
      <c r="A3743">
        <v>46227</v>
      </c>
      <c r="B3743" t="s">
        <v>56</v>
      </c>
      <c r="C3743" t="s">
        <v>57</v>
      </c>
      <c r="D3743" t="s">
        <v>58</v>
      </c>
      <c r="E3743" t="s">
        <v>33</v>
      </c>
      <c r="F3743" t="s">
        <v>43</v>
      </c>
      <c r="G3743" t="s">
        <v>59</v>
      </c>
      <c r="H3743" t="s">
        <v>51</v>
      </c>
      <c r="I3743" t="s">
        <v>28</v>
      </c>
      <c r="J3743" t="s">
        <v>45</v>
      </c>
      <c r="K3743">
        <v>5139</v>
      </c>
      <c r="L3743">
        <v>37</v>
      </c>
      <c r="M3743">
        <v>21.85</v>
      </c>
      <c r="N3743">
        <v>1</v>
      </c>
      <c r="O3743">
        <v>30.69</v>
      </c>
      <c r="P3743">
        <f t="shared" si="232"/>
        <v>7.1998443276902122E-3</v>
      </c>
      <c r="Q3743">
        <f t="shared" si="232"/>
        <v>0.59054054054054061</v>
      </c>
      <c r="R3743">
        <f t="shared" si="233"/>
        <v>21.85</v>
      </c>
      <c r="S3743">
        <f t="shared" si="234"/>
        <v>1.4045766590389015</v>
      </c>
      <c r="T3743">
        <f t="shared" si="235"/>
        <v>2.7027027027027029E-2</v>
      </c>
      <c r="U3743" t="str">
        <f>YEAR('Campaign Data'!$A3743)&amp;"-"&amp;TEXT(MONTH('Campaign Data'!$A3743),"00")</f>
        <v>2026-07</v>
      </c>
    </row>
    <row r="3744" spans="1:21" x14ac:dyDescent="0.25">
      <c r="A3744">
        <v>46227</v>
      </c>
      <c r="B3744" t="s">
        <v>72</v>
      </c>
      <c r="C3744" t="s">
        <v>73</v>
      </c>
      <c r="D3744" t="s">
        <v>69</v>
      </c>
      <c r="E3744" t="s">
        <v>74</v>
      </c>
      <c r="F3744" t="s">
        <v>75</v>
      </c>
      <c r="G3744" t="s">
        <v>9</v>
      </c>
      <c r="H3744" t="s">
        <v>55</v>
      </c>
      <c r="I3744" t="s">
        <v>28</v>
      </c>
      <c r="J3744" t="s">
        <v>87</v>
      </c>
      <c r="K3744">
        <v>2809</v>
      </c>
      <c r="L3744">
        <v>91</v>
      </c>
      <c r="M3744">
        <v>124.67</v>
      </c>
      <c r="N3744">
        <v>1</v>
      </c>
      <c r="O3744">
        <v>54.18</v>
      </c>
      <c r="P3744">
        <f t="shared" si="232"/>
        <v>3.2395870416518334E-2</v>
      </c>
      <c r="Q3744">
        <f t="shared" si="232"/>
        <v>1.37</v>
      </c>
      <c r="R3744">
        <f t="shared" si="233"/>
        <v>124.67</v>
      </c>
      <c r="S3744">
        <f t="shared" si="234"/>
        <v>0.43458731049971927</v>
      </c>
      <c r="T3744">
        <f t="shared" si="235"/>
        <v>1.098901098901099E-2</v>
      </c>
      <c r="U3744" t="str">
        <f>YEAR('Campaign Data'!$A3744)&amp;"-"&amp;TEXT(MONTH('Campaign Data'!$A3744),"00")</f>
        <v>2026-07</v>
      </c>
    </row>
    <row r="3745" spans="1:21" x14ac:dyDescent="0.25">
      <c r="A3745">
        <v>46228</v>
      </c>
      <c r="B3745" t="s">
        <v>21</v>
      </c>
      <c r="C3745" t="s">
        <v>124</v>
      </c>
      <c r="D3745" t="s">
        <v>23</v>
      </c>
      <c r="E3745" t="s">
        <v>24</v>
      </c>
      <c r="F3745" t="s">
        <v>25</v>
      </c>
      <c r="G3745" t="s">
        <v>26</v>
      </c>
      <c r="H3745" t="s">
        <v>51</v>
      </c>
      <c r="I3745" t="s">
        <v>37</v>
      </c>
      <c r="J3745" t="s">
        <v>29</v>
      </c>
      <c r="K3745">
        <v>1410</v>
      </c>
      <c r="L3745">
        <v>19</v>
      </c>
      <c r="M3745">
        <v>16.53</v>
      </c>
      <c r="N3745">
        <v>0</v>
      </c>
      <c r="O3745">
        <v>0</v>
      </c>
      <c r="P3745">
        <f t="shared" si="232"/>
        <v>1.3475177304964539E-2</v>
      </c>
      <c r="Q3745">
        <f t="shared" si="232"/>
        <v>0.87000000000000011</v>
      </c>
      <c r="R3745">
        <f t="shared" si="233"/>
        <v>0</v>
      </c>
      <c r="S3745">
        <f t="shared" si="234"/>
        <v>0</v>
      </c>
      <c r="T3745">
        <f t="shared" si="235"/>
        <v>0</v>
      </c>
      <c r="U3745" t="str">
        <f>YEAR('Campaign Data'!$A3745)&amp;"-"&amp;TEXT(MONTH('Campaign Data'!$A3745),"00")</f>
        <v>2026-07</v>
      </c>
    </row>
    <row r="3746" spans="1:21" x14ac:dyDescent="0.25">
      <c r="A3746">
        <v>46228</v>
      </c>
      <c r="B3746" t="s">
        <v>151</v>
      </c>
      <c r="C3746" t="s">
        <v>152</v>
      </c>
      <c r="D3746" t="s">
        <v>48</v>
      </c>
      <c r="E3746" t="s">
        <v>24</v>
      </c>
      <c r="F3746" t="s">
        <v>81</v>
      </c>
      <c r="G3746" t="s">
        <v>129</v>
      </c>
      <c r="H3746" t="s">
        <v>90</v>
      </c>
      <c r="I3746" t="s">
        <v>37</v>
      </c>
      <c r="J3746" t="s">
        <v>29</v>
      </c>
      <c r="K3746">
        <v>7390</v>
      </c>
      <c r="L3746">
        <v>52</v>
      </c>
      <c r="M3746">
        <v>16.37</v>
      </c>
      <c r="N3746">
        <v>1</v>
      </c>
      <c r="O3746">
        <v>5</v>
      </c>
      <c r="P3746">
        <f t="shared" si="232"/>
        <v>7.0365358592692825E-3</v>
      </c>
      <c r="Q3746">
        <f t="shared" si="232"/>
        <v>0.31480769230769234</v>
      </c>
      <c r="R3746">
        <f t="shared" si="233"/>
        <v>16.37</v>
      </c>
      <c r="S3746">
        <f t="shared" si="234"/>
        <v>0.30543677458766033</v>
      </c>
      <c r="T3746">
        <f t="shared" si="235"/>
        <v>1.9230769230769232E-2</v>
      </c>
      <c r="U3746" t="str">
        <f>YEAR('Campaign Data'!$A3746)&amp;"-"&amp;TEXT(MONTH('Campaign Data'!$A3746),"00")</f>
        <v>2026-07</v>
      </c>
    </row>
    <row r="3747" spans="1:21" x14ac:dyDescent="0.25">
      <c r="A3747">
        <v>46228</v>
      </c>
      <c r="B3747" t="s">
        <v>151</v>
      </c>
      <c r="C3747" t="s">
        <v>152</v>
      </c>
      <c r="D3747" t="s">
        <v>48</v>
      </c>
      <c r="E3747" t="s">
        <v>24</v>
      </c>
      <c r="F3747" t="s">
        <v>81</v>
      </c>
      <c r="G3747" t="s">
        <v>129</v>
      </c>
      <c r="H3747" t="s">
        <v>71</v>
      </c>
      <c r="I3747" t="s">
        <v>37</v>
      </c>
      <c r="J3747" t="s">
        <v>29</v>
      </c>
      <c r="K3747">
        <v>2349</v>
      </c>
      <c r="L3747">
        <v>12</v>
      </c>
      <c r="M3747">
        <v>12.92</v>
      </c>
      <c r="N3747">
        <v>0</v>
      </c>
      <c r="O3747">
        <v>0</v>
      </c>
      <c r="P3747">
        <f t="shared" si="232"/>
        <v>5.108556832694764E-3</v>
      </c>
      <c r="Q3747">
        <f t="shared" si="232"/>
        <v>1.0766666666666667</v>
      </c>
      <c r="R3747">
        <f t="shared" si="233"/>
        <v>0</v>
      </c>
      <c r="S3747">
        <f t="shared" si="234"/>
        <v>0</v>
      </c>
      <c r="T3747">
        <f t="shared" si="235"/>
        <v>0</v>
      </c>
      <c r="U3747" t="str">
        <f>YEAR('Campaign Data'!$A3747)&amp;"-"&amp;TEXT(MONTH('Campaign Data'!$A3747),"00")</f>
        <v>2026-07</v>
      </c>
    </row>
    <row r="3748" spans="1:21" x14ac:dyDescent="0.25">
      <c r="A3748">
        <v>46228</v>
      </c>
      <c r="B3748" t="s">
        <v>39</v>
      </c>
      <c r="C3748" t="s">
        <v>40</v>
      </c>
      <c r="D3748" t="s">
        <v>41</v>
      </c>
      <c r="E3748" t="s">
        <v>42</v>
      </c>
      <c r="F3748" t="s">
        <v>43</v>
      </c>
      <c r="G3748" t="s">
        <v>44</v>
      </c>
      <c r="H3748" t="s">
        <v>27</v>
      </c>
      <c r="I3748" t="s">
        <v>37</v>
      </c>
      <c r="J3748" t="s">
        <v>87</v>
      </c>
      <c r="K3748">
        <v>3037</v>
      </c>
      <c r="L3748">
        <v>11</v>
      </c>
      <c r="M3748">
        <v>72.599999999999994</v>
      </c>
      <c r="N3748">
        <v>0</v>
      </c>
      <c r="O3748">
        <v>0</v>
      </c>
      <c r="P3748">
        <f t="shared" si="232"/>
        <v>3.6219953901876854E-3</v>
      </c>
      <c r="Q3748">
        <f t="shared" si="232"/>
        <v>6.6</v>
      </c>
      <c r="R3748">
        <f t="shared" si="233"/>
        <v>0</v>
      </c>
      <c r="S3748">
        <f t="shared" si="234"/>
        <v>0</v>
      </c>
      <c r="T3748">
        <f t="shared" si="235"/>
        <v>0</v>
      </c>
      <c r="U3748" t="str">
        <f>YEAR('Campaign Data'!$A3748)&amp;"-"&amp;TEXT(MONTH('Campaign Data'!$A3748),"00")</f>
        <v>2026-07</v>
      </c>
    </row>
    <row r="3749" spans="1:21" x14ac:dyDescent="0.25">
      <c r="A3749">
        <v>46228</v>
      </c>
      <c r="B3749" t="s">
        <v>46</v>
      </c>
      <c r="C3749" t="s">
        <v>47</v>
      </c>
      <c r="D3749" t="s">
        <v>48</v>
      </c>
      <c r="E3749" t="s">
        <v>49</v>
      </c>
      <c r="F3749" t="s">
        <v>43</v>
      </c>
      <c r="G3749" t="s">
        <v>50</v>
      </c>
      <c r="H3749" t="s">
        <v>36</v>
      </c>
      <c r="I3749" t="s">
        <v>37</v>
      </c>
      <c r="J3749" t="s">
        <v>45</v>
      </c>
      <c r="K3749">
        <v>2734</v>
      </c>
      <c r="L3749">
        <v>110</v>
      </c>
      <c r="M3749">
        <v>230.6</v>
      </c>
      <c r="N3749">
        <v>6</v>
      </c>
      <c r="O3749">
        <v>94.95</v>
      </c>
      <c r="P3749">
        <f t="shared" si="232"/>
        <v>4.0234089246525238E-2</v>
      </c>
      <c r="Q3749">
        <f t="shared" si="232"/>
        <v>2.0963636363636362</v>
      </c>
      <c r="R3749">
        <f t="shared" si="233"/>
        <v>38.43333333333333</v>
      </c>
      <c r="S3749">
        <f t="shared" si="234"/>
        <v>0.41175195143104948</v>
      </c>
      <c r="T3749">
        <f t="shared" si="235"/>
        <v>5.4545454545454543E-2</v>
      </c>
      <c r="U3749" t="str">
        <f>YEAR('Campaign Data'!$A3749)&amp;"-"&amp;TEXT(MONTH('Campaign Data'!$A3749),"00")</f>
        <v>2026-07</v>
      </c>
    </row>
    <row r="3750" spans="1:21" x14ac:dyDescent="0.25">
      <c r="A3750">
        <v>46228</v>
      </c>
      <c r="B3750" t="s">
        <v>100</v>
      </c>
      <c r="C3750" t="s">
        <v>101</v>
      </c>
      <c r="D3750" t="s">
        <v>80</v>
      </c>
      <c r="E3750" t="s">
        <v>33</v>
      </c>
      <c r="F3750" t="s">
        <v>25</v>
      </c>
      <c r="G3750" t="s">
        <v>102</v>
      </c>
      <c r="H3750" t="s">
        <v>27</v>
      </c>
      <c r="I3750" t="s">
        <v>37</v>
      </c>
      <c r="J3750" t="s">
        <v>45</v>
      </c>
      <c r="K3750">
        <v>5890</v>
      </c>
      <c r="L3750">
        <v>34</v>
      </c>
      <c r="M3750">
        <v>28.21</v>
      </c>
      <c r="N3750">
        <v>1</v>
      </c>
      <c r="O3750">
        <v>113.9</v>
      </c>
      <c r="P3750">
        <f t="shared" si="232"/>
        <v>5.772495755517827E-3</v>
      </c>
      <c r="Q3750">
        <f t="shared" si="232"/>
        <v>0.82970588235294118</v>
      </c>
      <c r="R3750">
        <f t="shared" si="233"/>
        <v>28.21</v>
      </c>
      <c r="S3750">
        <f t="shared" si="234"/>
        <v>4.0375753278979083</v>
      </c>
      <c r="T3750">
        <f t="shared" si="235"/>
        <v>2.9411764705882353E-2</v>
      </c>
      <c r="U3750" t="str">
        <f>YEAR('Campaign Data'!$A3750)&amp;"-"&amp;TEXT(MONTH('Campaign Data'!$A3750),"00")</f>
        <v>2026-07</v>
      </c>
    </row>
    <row r="3751" spans="1:21" x14ac:dyDescent="0.25">
      <c r="A3751">
        <v>46228</v>
      </c>
      <c r="B3751" t="s">
        <v>100</v>
      </c>
      <c r="C3751" t="s">
        <v>101</v>
      </c>
      <c r="D3751" t="s">
        <v>80</v>
      </c>
      <c r="E3751" t="s">
        <v>33</v>
      </c>
      <c r="F3751" t="s">
        <v>25</v>
      </c>
      <c r="G3751" t="s">
        <v>102</v>
      </c>
      <c r="H3751" t="s">
        <v>90</v>
      </c>
      <c r="I3751" t="s">
        <v>28</v>
      </c>
      <c r="J3751" t="s">
        <v>62</v>
      </c>
      <c r="K3751">
        <v>3577</v>
      </c>
      <c r="L3751">
        <v>43</v>
      </c>
      <c r="M3751">
        <v>7.18</v>
      </c>
      <c r="N3751">
        <v>1</v>
      </c>
      <c r="O3751">
        <v>22.78</v>
      </c>
      <c r="P3751">
        <f t="shared" si="232"/>
        <v>1.2021246854906346E-2</v>
      </c>
      <c r="Q3751">
        <f t="shared" si="232"/>
        <v>0.16697674418604649</v>
      </c>
      <c r="R3751">
        <f t="shared" si="233"/>
        <v>7.18</v>
      </c>
      <c r="S3751">
        <f t="shared" si="234"/>
        <v>3.1727019498607247</v>
      </c>
      <c r="T3751">
        <f t="shared" si="235"/>
        <v>2.3255813953488372E-2</v>
      </c>
      <c r="U3751" t="str">
        <f>YEAR('Campaign Data'!$A3751)&amp;"-"&amp;TEXT(MONTH('Campaign Data'!$A3751),"00")</f>
        <v>2026-07</v>
      </c>
    </row>
    <row r="3752" spans="1:21" x14ac:dyDescent="0.25">
      <c r="A3752">
        <v>46228</v>
      </c>
      <c r="B3752" t="s">
        <v>169</v>
      </c>
      <c r="C3752" t="s">
        <v>170</v>
      </c>
      <c r="D3752" t="s">
        <v>58</v>
      </c>
      <c r="E3752" t="s">
        <v>74</v>
      </c>
      <c r="F3752" t="s">
        <v>75</v>
      </c>
      <c r="G3752" t="s">
        <v>9</v>
      </c>
      <c r="H3752" t="s">
        <v>60</v>
      </c>
      <c r="I3752" t="s">
        <v>37</v>
      </c>
      <c r="J3752" t="s">
        <v>38</v>
      </c>
      <c r="K3752">
        <v>6806</v>
      </c>
      <c r="L3752">
        <v>235</v>
      </c>
      <c r="M3752">
        <v>179.01</v>
      </c>
      <c r="N3752">
        <v>2</v>
      </c>
      <c r="O3752">
        <v>59.85</v>
      </c>
      <c r="P3752">
        <f t="shared" si="232"/>
        <v>3.4528357331766089E-2</v>
      </c>
      <c r="Q3752">
        <f t="shared" si="232"/>
        <v>0.76174468085106384</v>
      </c>
      <c r="R3752">
        <f t="shared" si="233"/>
        <v>89.504999999999995</v>
      </c>
      <c r="S3752">
        <f t="shared" si="234"/>
        <v>0.33433886375062849</v>
      </c>
      <c r="T3752">
        <f t="shared" si="235"/>
        <v>8.5106382978723406E-3</v>
      </c>
      <c r="U3752" t="str">
        <f>YEAR('Campaign Data'!$A3752)&amp;"-"&amp;TEXT(MONTH('Campaign Data'!$A3752),"00")</f>
        <v>2026-07</v>
      </c>
    </row>
    <row r="3753" spans="1:21" x14ac:dyDescent="0.25">
      <c r="A3753">
        <v>46228</v>
      </c>
      <c r="B3753" t="s">
        <v>108</v>
      </c>
      <c r="C3753" t="s">
        <v>109</v>
      </c>
      <c r="D3753" t="s">
        <v>58</v>
      </c>
      <c r="E3753" t="s">
        <v>33</v>
      </c>
      <c r="F3753" t="s">
        <v>43</v>
      </c>
      <c r="G3753" t="s">
        <v>59</v>
      </c>
      <c r="H3753" t="s">
        <v>90</v>
      </c>
      <c r="I3753" t="s">
        <v>37</v>
      </c>
      <c r="J3753" t="s">
        <v>29</v>
      </c>
      <c r="K3753">
        <v>4176</v>
      </c>
      <c r="L3753">
        <v>35</v>
      </c>
      <c r="M3753">
        <v>5.23</v>
      </c>
      <c r="N3753">
        <v>0</v>
      </c>
      <c r="O3753">
        <v>0</v>
      </c>
      <c r="P3753">
        <f t="shared" si="232"/>
        <v>8.3812260536398463E-3</v>
      </c>
      <c r="Q3753">
        <f t="shared" si="232"/>
        <v>0.14942857142857144</v>
      </c>
      <c r="R3753">
        <f t="shared" si="233"/>
        <v>0</v>
      </c>
      <c r="S3753">
        <f t="shared" si="234"/>
        <v>0</v>
      </c>
      <c r="T3753">
        <f t="shared" si="235"/>
        <v>0</v>
      </c>
      <c r="U3753" t="str">
        <f>YEAR('Campaign Data'!$A3753)&amp;"-"&amp;TEXT(MONTH('Campaign Data'!$A3753),"00")</f>
        <v>2026-07</v>
      </c>
    </row>
    <row r="3754" spans="1:21" x14ac:dyDescent="0.25">
      <c r="A3754">
        <v>46228</v>
      </c>
      <c r="B3754" t="s">
        <v>108</v>
      </c>
      <c r="C3754" t="s">
        <v>109</v>
      </c>
      <c r="D3754" t="s">
        <v>58</v>
      </c>
      <c r="E3754" t="s">
        <v>33</v>
      </c>
      <c r="F3754" t="s">
        <v>43</v>
      </c>
      <c r="G3754" t="s">
        <v>59</v>
      </c>
      <c r="H3754" t="s">
        <v>36</v>
      </c>
      <c r="I3754" t="s">
        <v>37</v>
      </c>
      <c r="J3754" t="s">
        <v>29</v>
      </c>
      <c r="K3754">
        <v>4973</v>
      </c>
      <c r="L3754">
        <v>47</v>
      </c>
      <c r="M3754">
        <v>35.49</v>
      </c>
      <c r="N3754">
        <v>0</v>
      </c>
      <c r="O3754">
        <v>0</v>
      </c>
      <c r="P3754">
        <f t="shared" si="232"/>
        <v>9.4510355921978689E-3</v>
      </c>
      <c r="Q3754">
        <f t="shared" si="232"/>
        <v>0.75510638297872346</v>
      </c>
      <c r="R3754">
        <f t="shared" si="233"/>
        <v>0</v>
      </c>
      <c r="S3754">
        <f t="shared" si="234"/>
        <v>0</v>
      </c>
      <c r="T3754">
        <f t="shared" si="235"/>
        <v>0</v>
      </c>
      <c r="U3754" t="str">
        <f>YEAR('Campaign Data'!$A3754)&amp;"-"&amp;TEXT(MONTH('Campaign Data'!$A3754),"00")</f>
        <v>2026-07</v>
      </c>
    </row>
    <row r="3755" spans="1:21" x14ac:dyDescent="0.25">
      <c r="A3755">
        <v>46228</v>
      </c>
      <c r="B3755" t="s">
        <v>153</v>
      </c>
      <c r="C3755" t="s">
        <v>154</v>
      </c>
      <c r="D3755" t="s">
        <v>48</v>
      </c>
      <c r="E3755" t="s">
        <v>33</v>
      </c>
      <c r="F3755" t="s">
        <v>43</v>
      </c>
      <c r="G3755" t="s">
        <v>59</v>
      </c>
      <c r="H3755" t="s">
        <v>27</v>
      </c>
      <c r="I3755" t="s">
        <v>61</v>
      </c>
      <c r="J3755" t="s">
        <v>62</v>
      </c>
      <c r="K3755">
        <v>4790</v>
      </c>
      <c r="L3755">
        <v>45</v>
      </c>
      <c r="M3755">
        <v>34.24</v>
      </c>
      <c r="N3755">
        <v>1</v>
      </c>
      <c r="O3755">
        <v>29.16</v>
      </c>
      <c r="P3755">
        <f t="shared" si="232"/>
        <v>9.3945720250521916E-3</v>
      </c>
      <c r="Q3755">
        <f t="shared" si="232"/>
        <v>0.76088888888888895</v>
      </c>
      <c r="R3755">
        <f t="shared" si="233"/>
        <v>34.24</v>
      </c>
      <c r="S3755">
        <f t="shared" si="234"/>
        <v>0.85163551401869153</v>
      </c>
      <c r="T3755">
        <f t="shared" si="235"/>
        <v>2.2222222222222223E-2</v>
      </c>
      <c r="U3755" t="str">
        <f>YEAR('Campaign Data'!$A3755)&amp;"-"&amp;TEXT(MONTH('Campaign Data'!$A3755),"00")</f>
        <v>2026-07</v>
      </c>
    </row>
    <row r="3756" spans="1:21" x14ac:dyDescent="0.25">
      <c r="A3756">
        <v>46228</v>
      </c>
      <c r="B3756" t="s">
        <v>110</v>
      </c>
      <c r="C3756" t="s">
        <v>111</v>
      </c>
      <c r="D3756" t="s">
        <v>23</v>
      </c>
      <c r="E3756" t="s">
        <v>49</v>
      </c>
      <c r="F3756" t="s">
        <v>34</v>
      </c>
      <c r="G3756" t="s">
        <v>50</v>
      </c>
      <c r="H3756" t="s">
        <v>90</v>
      </c>
      <c r="I3756" t="s">
        <v>37</v>
      </c>
      <c r="J3756" t="s">
        <v>87</v>
      </c>
      <c r="K3756">
        <v>1780</v>
      </c>
      <c r="L3756">
        <v>82</v>
      </c>
      <c r="M3756">
        <v>45.2</v>
      </c>
      <c r="N3756">
        <v>2</v>
      </c>
      <c r="O3756">
        <v>89.93</v>
      </c>
      <c r="P3756">
        <f t="shared" si="232"/>
        <v>4.6067415730337076E-2</v>
      </c>
      <c r="Q3756">
        <f t="shared" si="232"/>
        <v>0.551219512195122</v>
      </c>
      <c r="R3756">
        <f t="shared" si="233"/>
        <v>22.6</v>
      </c>
      <c r="S3756">
        <f t="shared" si="234"/>
        <v>1.9896017699115045</v>
      </c>
      <c r="T3756">
        <f t="shared" si="235"/>
        <v>2.4390243902439025E-2</v>
      </c>
      <c r="U3756" t="str">
        <f>YEAR('Campaign Data'!$A3756)&amp;"-"&amp;TEXT(MONTH('Campaign Data'!$A3756),"00")</f>
        <v>2026-07</v>
      </c>
    </row>
    <row r="3757" spans="1:21" x14ac:dyDescent="0.25">
      <c r="A3757">
        <v>46228</v>
      </c>
      <c r="B3757" t="s">
        <v>159</v>
      </c>
      <c r="C3757" t="s">
        <v>160</v>
      </c>
      <c r="D3757" t="s">
        <v>65</v>
      </c>
      <c r="E3757" t="s">
        <v>42</v>
      </c>
      <c r="F3757" t="s">
        <v>75</v>
      </c>
      <c r="G3757" t="s">
        <v>54</v>
      </c>
      <c r="H3757" t="s">
        <v>36</v>
      </c>
      <c r="I3757" t="s">
        <v>37</v>
      </c>
      <c r="J3757" t="s">
        <v>29</v>
      </c>
      <c r="K3757">
        <v>2621</v>
      </c>
      <c r="L3757">
        <v>11</v>
      </c>
      <c r="M3757">
        <v>42.27</v>
      </c>
      <c r="N3757">
        <v>1</v>
      </c>
      <c r="O3757">
        <v>29.93</v>
      </c>
      <c r="P3757">
        <f t="shared" si="232"/>
        <v>4.1968714231209459E-3</v>
      </c>
      <c r="Q3757">
        <f t="shared" si="232"/>
        <v>3.8427272727272732</v>
      </c>
      <c r="R3757">
        <f t="shared" si="233"/>
        <v>42.27</v>
      </c>
      <c r="S3757">
        <f t="shared" si="234"/>
        <v>0.70806718713035244</v>
      </c>
      <c r="T3757">
        <f t="shared" si="235"/>
        <v>9.0909090909090912E-2</v>
      </c>
      <c r="U3757" t="str">
        <f>YEAR('Campaign Data'!$A3757)&amp;"-"&amp;TEXT(MONTH('Campaign Data'!$A3757),"00")</f>
        <v>2026-07</v>
      </c>
    </row>
    <row r="3758" spans="1:21" x14ac:dyDescent="0.25">
      <c r="A3758">
        <v>46228</v>
      </c>
      <c r="B3758" t="s">
        <v>181</v>
      </c>
      <c r="C3758" t="s">
        <v>182</v>
      </c>
      <c r="D3758" t="s">
        <v>32</v>
      </c>
      <c r="E3758" t="s">
        <v>33</v>
      </c>
      <c r="F3758" t="s">
        <v>75</v>
      </c>
      <c r="G3758" t="s">
        <v>59</v>
      </c>
      <c r="H3758" t="s">
        <v>90</v>
      </c>
      <c r="I3758" t="s">
        <v>37</v>
      </c>
      <c r="J3758" t="s">
        <v>38</v>
      </c>
      <c r="K3758">
        <v>4694</v>
      </c>
      <c r="L3758">
        <v>29</v>
      </c>
      <c r="M3758">
        <v>6.41</v>
      </c>
      <c r="N3758">
        <v>1</v>
      </c>
      <c r="O3758">
        <v>10.029999999999999</v>
      </c>
      <c r="P3758">
        <f t="shared" si="232"/>
        <v>6.1780997017469108E-3</v>
      </c>
      <c r="Q3758">
        <f t="shared" si="232"/>
        <v>0.2210344827586207</v>
      </c>
      <c r="R3758">
        <f t="shared" si="233"/>
        <v>6.41</v>
      </c>
      <c r="S3758">
        <f t="shared" si="234"/>
        <v>1.564742589703588</v>
      </c>
      <c r="T3758">
        <f t="shared" si="235"/>
        <v>3.4482758620689655E-2</v>
      </c>
      <c r="U3758" t="str">
        <f>YEAR('Campaign Data'!$A3758)&amp;"-"&amp;TEXT(MONTH('Campaign Data'!$A3758),"00")</f>
        <v>2026-07</v>
      </c>
    </row>
    <row r="3759" spans="1:21" x14ac:dyDescent="0.25">
      <c r="A3759">
        <v>46228</v>
      </c>
      <c r="B3759" t="s">
        <v>56</v>
      </c>
      <c r="C3759" t="s">
        <v>57</v>
      </c>
      <c r="D3759" t="s">
        <v>58</v>
      </c>
      <c r="E3759" t="s">
        <v>33</v>
      </c>
      <c r="F3759" t="s">
        <v>43</v>
      </c>
      <c r="G3759" t="s">
        <v>59</v>
      </c>
      <c r="H3759" t="s">
        <v>71</v>
      </c>
      <c r="I3759" t="s">
        <v>37</v>
      </c>
      <c r="J3759" t="s">
        <v>29</v>
      </c>
      <c r="K3759">
        <v>2367</v>
      </c>
      <c r="L3759">
        <v>40</v>
      </c>
      <c r="M3759">
        <v>24.51</v>
      </c>
      <c r="N3759">
        <v>0</v>
      </c>
      <c r="O3759">
        <v>0</v>
      </c>
      <c r="P3759">
        <f t="shared" si="232"/>
        <v>1.6899028305872411E-2</v>
      </c>
      <c r="Q3759">
        <f t="shared" si="232"/>
        <v>0.61275000000000002</v>
      </c>
      <c r="R3759">
        <f t="shared" si="233"/>
        <v>0</v>
      </c>
      <c r="S3759">
        <f t="shared" si="234"/>
        <v>0</v>
      </c>
      <c r="T3759">
        <f t="shared" si="235"/>
        <v>0</v>
      </c>
      <c r="U3759" t="str">
        <f>YEAR('Campaign Data'!$A3759)&amp;"-"&amp;TEXT(MONTH('Campaign Data'!$A3759),"00")</f>
        <v>2026-07</v>
      </c>
    </row>
    <row r="3760" spans="1:21" x14ac:dyDescent="0.25">
      <c r="A3760">
        <v>46228</v>
      </c>
      <c r="B3760" t="s">
        <v>67</v>
      </c>
      <c r="C3760" t="s">
        <v>68</v>
      </c>
      <c r="D3760" t="s">
        <v>69</v>
      </c>
      <c r="E3760" t="s">
        <v>49</v>
      </c>
      <c r="F3760" t="s">
        <v>34</v>
      </c>
      <c r="G3760" t="s">
        <v>70</v>
      </c>
      <c r="H3760" t="s">
        <v>27</v>
      </c>
      <c r="I3760" t="s">
        <v>28</v>
      </c>
      <c r="J3760" t="s">
        <v>38</v>
      </c>
      <c r="K3760">
        <v>5656</v>
      </c>
      <c r="L3760">
        <v>329</v>
      </c>
      <c r="M3760">
        <v>596.05999999999995</v>
      </c>
      <c r="N3760">
        <v>18</v>
      </c>
      <c r="O3760">
        <v>3590.71</v>
      </c>
      <c r="P3760">
        <f t="shared" si="232"/>
        <v>5.8168316831683171E-2</v>
      </c>
      <c r="Q3760">
        <f t="shared" si="232"/>
        <v>1.8117325227963523</v>
      </c>
      <c r="R3760">
        <f t="shared" si="233"/>
        <v>33.114444444444445</v>
      </c>
      <c r="S3760">
        <f t="shared" si="234"/>
        <v>6.0240747575747413</v>
      </c>
      <c r="T3760">
        <f t="shared" si="235"/>
        <v>5.4711246200607903E-2</v>
      </c>
      <c r="U3760" t="str">
        <f>YEAR('Campaign Data'!$A3760)&amp;"-"&amp;TEXT(MONTH('Campaign Data'!$A3760),"00")</f>
        <v>2026-07</v>
      </c>
    </row>
    <row r="3761" spans="1:21" x14ac:dyDescent="0.25">
      <c r="A3761">
        <v>46228</v>
      </c>
      <c r="B3761" t="s">
        <v>118</v>
      </c>
      <c r="C3761" t="s">
        <v>119</v>
      </c>
      <c r="D3761" t="s">
        <v>69</v>
      </c>
      <c r="E3761" t="s">
        <v>33</v>
      </c>
      <c r="F3761" t="s">
        <v>34</v>
      </c>
      <c r="G3761" t="s">
        <v>35</v>
      </c>
      <c r="H3761" t="s">
        <v>36</v>
      </c>
      <c r="I3761" t="s">
        <v>37</v>
      </c>
      <c r="J3761" t="s">
        <v>29</v>
      </c>
      <c r="K3761">
        <v>10724</v>
      </c>
      <c r="L3761">
        <v>76</v>
      </c>
      <c r="M3761">
        <v>46.9</v>
      </c>
      <c r="N3761">
        <v>2</v>
      </c>
      <c r="O3761">
        <v>213.14</v>
      </c>
      <c r="P3761">
        <f t="shared" si="232"/>
        <v>7.0869078701976873E-3</v>
      </c>
      <c r="Q3761">
        <f t="shared" si="232"/>
        <v>0.61710526315789471</v>
      </c>
      <c r="R3761">
        <f t="shared" si="233"/>
        <v>23.45</v>
      </c>
      <c r="S3761">
        <f t="shared" si="234"/>
        <v>4.5445628997867802</v>
      </c>
      <c r="T3761">
        <f t="shared" si="235"/>
        <v>2.6315789473684209E-2</v>
      </c>
      <c r="U3761" t="str">
        <f>YEAR('Campaign Data'!$A3761)&amp;"-"&amp;TEXT(MONTH('Campaign Data'!$A3761),"00")</f>
        <v>2026-07</v>
      </c>
    </row>
    <row r="3762" spans="1:21" x14ac:dyDescent="0.25">
      <c r="A3762">
        <v>46228</v>
      </c>
      <c r="B3762" t="s">
        <v>145</v>
      </c>
      <c r="C3762" t="s">
        <v>146</v>
      </c>
      <c r="D3762" t="s">
        <v>41</v>
      </c>
      <c r="E3762" t="s">
        <v>49</v>
      </c>
      <c r="F3762" t="s">
        <v>75</v>
      </c>
      <c r="G3762" t="s">
        <v>70</v>
      </c>
      <c r="H3762" t="s">
        <v>27</v>
      </c>
      <c r="I3762" t="s">
        <v>37</v>
      </c>
      <c r="J3762" t="s">
        <v>62</v>
      </c>
      <c r="K3762">
        <v>6390</v>
      </c>
      <c r="L3762">
        <v>469</v>
      </c>
      <c r="M3762">
        <v>1094.74</v>
      </c>
      <c r="N3762">
        <v>26</v>
      </c>
      <c r="O3762">
        <v>1087.6199999999999</v>
      </c>
      <c r="P3762">
        <f t="shared" si="232"/>
        <v>7.3395931142410012E-2</v>
      </c>
      <c r="Q3762">
        <f t="shared" si="232"/>
        <v>2.3342004264392324</v>
      </c>
      <c r="R3762">
        <f t="shared" si="233"/>
        <v>42.105384615384615</v>
      </c>
      <c r="S3762">
        <f t="shared" si="234"/>
        <v>0.99349617260719425</v>
      </c>
      <c r="T3762">
        <f t="shared" si="235"/>
        <v>5.5437100213219619E-2</v>
      </c>
      <c r="U3762" t="str">
        <f>YEAR('Campaign Data'!$A3762)&amp;"-"&amp;TEXT(MONTH('Campaign Data'!$A3762),"00")</f>
        <v>2026-07</v>
      </c>
    </row>
    <row r="3763" spans="1:21" x14ac:dyDescent="0.25">
      <c r="A3763">
        <v>46228</v>
      </c>
      <c r="B3763" t="s">
        <v>78</v>
      </c>
      <c r="C3763" t="s">
        <v>79</v>
      </c>
      <c r="D3763" t="s">
        <v>80</v>
      </c>
      <c r="E3763" t="s">
        <v>24</v>
      </c>
      <c r="F3763" t="s">
        <v>81</v>
      </c>
      <c r="G3763" t="s">
        <v>66</v>
      </c>
      <c r="H3763" t="s">
        <v>90</v>
      </c>
      <c r="I3763" t="s">
        <v>28</v>
      </c>
      <c r="J3763" t="s">
        <v>29</v>
      </c>
      <c r="K3763">
        <v>11456</v>
      </c>
      <c r="L3763">
        <v>189</v>
      </c>
      <c r="M3763">
        <v>54.76</v>
      </c>
      <c r="N3763">
        <v>5</v>
      </c>
      <c r="O3763">
        <v>37.72</v>
      </c>
      <c r="P3763">
        <f t="shared" si="232"/>
        <v>1.6497905027932962E-2</v>
      </c>
      <c r="Q3763">
        <f t="shared" si="232"/>
        <v>0.28973544973544973</v>
      </c>
      <c r="R3763">
        <f t="shared" si="233"/>
        <v>10.952</v>
      </c>
      <c r="S3763">
        <f t="shared" si="234"/>
        <v>0.68882395909422933</v>
      </c>
      <c r="T3763">
        <f t="shared" si="235"/>
        <v>2.6455026455026454E-2</v>
      </c>
      <c r="U3763" t="str">
        <f>YEAR('Campaign Data'!$A3763)&amp;"-"&amp;TEXT(MONTH('Campaign Data'!$A3763),"00")</f>
        <v>2026-07</v>
      </c>
    </row>
    <row r="3764" spans="1:21" x14ac:dyDescent="0.25">
      <c r="A3764">
        <v>46228</v>
      </c>
      <c r="B3764" t="s">
        <v>120</v>
      </c>
      <c r="C3764" t="s">
        <v>121</v>
      </c>
      <c r="D3764" t="s">
        <v>23</v>
      </c>
      <c r="E3764" t="s">
        <v>49</v>
      </c>
      <c r="F3764" t="s">
        <v>75</v>
      </c>
      <c r="G3764" t="s">
        <v>70</v>
      </c>
      <c r="H3764" t="s">
        <v>71</v>
      </c>
      <c r="I3764" t="s">
        <v>37</v>
      </c>
      <c r="J3764" t="s">
        <v>29</v>
      </c>
      <c r="K3764">
        <v>3108</v>
      </c>
      <c r="L3764">
        <v>186</v>
      </c>
      <c r="M3764">
        <v>312.88</v>
      </c>
      <c r="N3764">
        <v>10</v>
      </c>
      <c r="O3764">
        <v>539.87</v>
      </c>
      <c r="P3764">
        <f t="shared" si="232"/>
        <v>5.9845559845559844E-2</v>
      </c>
      <c r="Q3764">
        <f t="shared" si="232"/>
        <v>1.6821505376344086</v>
      </c>
      <c r="R3764">
        <f t="shared" si="233"/>
        <v>31.288</v>
      </c>
      <c r="S3764">
        <f t="shared" si="234"/>
        <v>1.7254858092559449</v>
      </c>
      <c r="T3764">
        <f t="shared" si="235"/>
        <v>5.3763440860215055E-2</v>
      </c>
      <c r="U3764" t="str">
        <f>YEAR('Campaign Data'!$A3764)&amp;"-"&amp;TEXT(MONTH('Campaign Data'!$A3764),"00")</f>
        <v>2026-07</v>
      </c>
    </row>
    <row r="3765" spans="1:21" x14ac:dyDescent="0.25">
      <c r="A3765">
        <v>46228</v>
      </c>
      <c r="B3765" t="s">
        <v>120</v>
      </c>
      <c r="C3765" t="s">
        <v>121</v>
      </c>
      <c r="D3765" t="s">
        <v>23</v>
      </c>
      <c r="E3765" t="s">
        <v>49</v>
      </c>
      <c r="F3765" t="s">
        <v>75</v>
      </c>
      <c r="G3765" t="s">
        <v>70</v>
      </c>
      <c r="H3765" t="s">
        <v>55</v>
      </c>
      <c r="I3765" t="s">
        <v>37</v>
      </c>
      <c r="J3765" t="s">
        <v>29</v>
      </c>
      <c r="K3765">
        <v>3205</v>
      </c>
      <c r="L3765">
        <v>183</v>
      </c>
      <c r="M3765">
        <v>241.69</v>
      </c>
      <c r="N3765">
        <v>6</v>
      </c>
      <c r="O3765">
        <v>251.48</v>
      </c>
      <c r="P3765">
        <f t="shared" si="232"/>
        <v>5.7098283931357255E-2</v>
      </c>
      <c r="Q3765">
        <f t="shared" si="232"/>
        <v>1.3207103825136612</v>
      </c>
      <c r="R3765">
        <f t="shared" si="233"/>
        <v>40.281666666666666</v>
      </c>
      <c r="S3765">
        <f t="shared" si="234"/>
        <v>1.0405064338615582</v>
      </c>
      <c r="T3765">
        <f t="shared" si="235"/>
        <v>3.2786885245901641E-2</v>
      </c>
      <c r="U3765" t="str">
        <f>YEAR('Campaign Data'!$A3765)&amp;"-"&amp;TEXT(MONTH('Campaign Data'!$A3765),"00")</f>
        <v>2026-07</v>
      </c>
    </row>
    <row r="3766" spans="1:21" x14ac:dyDescent="0.25">
      <c r="A3766">
        <v>46229</v>
      </c>
      <c r="B3766" t="s">
        <v>165</v>
      </c>
      <c r="C3766" t="s">
        <v>166</v>
      </c>
      <c r="D3766" t="s">
        <v>41</v>
      </c>
      <c r="E3766" t="s">
        <v>33</v>
      </c>
      <c r="F3766" t="s">
        <v>43</v>
      </c>
      <c r="G3766" t="s">
        <v>59</v>
      </c>
      <c r="H3766" t="s">
        <v>90</v>
      </c>
      <c r="I3766" t="s">
        <v>37</v>
      </c>
      <c r="J3766" t="s">
        <v>87</v>
      </c>
      <c r="K3766">
        <v>3955</v>
      </c>
      <c r="L3766">
        <v>48</v>
      </c>
      <c r="M3766">
        <v>7.55</v>
      </c>
      <c r="N3766">
        <v>0</v>
      </c>
      <c r="O3766">
        <v>0</v>
      </c>
      <c r="P3766">
        <f t="shared" si="232"/>
        <v>1.213653603034134E-2</v>
      </c>
      <c r="Q3766">
        <f t="shared" si="232"/>
        <v>0.15729166666666666</v>
      </c>
      <c r="R3766">
        <f t="shared" si="233"/>
        <v>0</v>
      </c>
      <c r="S3766">
        <f t="shared" si="234"/>
        <v>0</v>
      </c>
      <c r="T3766">
        <f t="shared" si="235"/>
        <v>0</v>
      </c>
      <c r="U3766" t="str">
        <f>YEAR('Campaign Data'!$A3766)&amp;"-"&amp;TEXT(MONTH('Campaign Data'!$A3766),"00")</f>
        <v>2026-07</v>
      </c>
    </row>
    <row r="3767" spans="1:21" x14ac:dyDescent="0.25">
      <c r="A3767">
        <v>46229</v>
      </c>
      <c r="B3767" t="s">
        <v>88</v>
      </c>
      <c r="C3767" t="s">
        <v>89</v>
      </c>
      <c r="D3767" t="s">
        <v>23</v>
      </c>
      <c r="E3767" t="s">
        <v>49</v>
      </c>
      <c r="F3767" t="s">
        <v>81</v>
      </c>
      <c r="G3767" t="s">
        <v>50</v>
      </c>
      <c r="H3767" t="s">
        <v>90</v>
      </c>
      <c r="I3767" t="s">
        <v>28</v>
      </c>
      <c r="J3767" t="s">
        <v>29</v>
      </c>
      <c r="K3767">
        <v>2930</v>
      </c>
      <c r="L3767">
        <v>115</v>
      </c>
      <c r="M3767">
        <v>47.31</v>
      </c>
      <c r="N3767">
        <v>2</v>
      </c>
      <c r="O3767">
        <v>15.58</v>
      </c>
      <c r="P3767">
        <f t="shared" si="232"/>
        <v>3.9249146757679182E-2</v>
      </c>
      <c r="Q3767">
        <f t="shared" si="232"/>
        <v>0.41139130434782611</v>
      </c>
      <c r="R3767">
        <f t="shared" si="233"/>
        <v>23.655000000000001</v>
      </c>
      <c r="S3767">
        <f t="shared" si="234"/>
        <v>0.32931726907630521</v>
      </c>
      <c r="T3767">
        <f t="shared" si="235"/>
        <v>1.7391304347826087E-2</v>
      </c>
      <c r="U3767" t="str">
        <f>YEAR('Campaign Data'!$A3767)&amp;"-"&amp;TEXT(MONTH('Campaign Data'!$A3767),"00")</f>
        <v>2026-07</v>
      </c>
    </row>
    <row r="3768" spans="1:21" x14ac:dyDescent="0.25">
      <c r="A3768">
        <v>46229</v>
      </c>
      <c r="B3768" t="s">
        <v>93</v>
      </c>
      <c r="C3768" t="s">
        <v>94</v>
      </c>
      <c r="D3768" t="s">
        <v>69</v>
      </c>
      <c r="E3768" t="s">
        <v>42</v>
      </c>
      <c r="F3768" t="s">
        <v>75</v>
      </c>
      <c r="G3768" t="s">
        <v>44</v>
      </c>
      <c r="H3768" t="s">
        <v>60</v>
      </c>
      <c r="I3768" t="s">
        <v>37</v>
      </c>
      <c r="J3768" t="s">
        <v>38</v>
      </c>
      <c r="K3768">
        <v>3094</v>
      </c>
      <c r="L3768">
        <v>27</v>
      </c>
      <c r="M3768">
        <v>144.5</v>
      </c>
      <c r="N3768">
        <v>0</v>
      </c>
      <c r="O3768">
        <v>0</v>
      </c>
      <c r="P3768">
        <f t="shared" si="232"/>
        <v>8.7265675500969621E-3</v>
      </c>
      <c r="Q3768">
        <f t="shared" si="232"/>
        <v>5.3518518518518521</v>
      </c>
      <c r="R3768">
        <f t="shared" si="233"/>
        <v>0</v>
      </c>
      <c r="S3768">
        <f t="shared" si="234"/>
        <v>0</v>
      </c>
      <c r="T3768">
        <f t="shared" si="235"/>
        <v>0</v>
      </c>
      <c r="U3768" t="str">
        <f>YEAR('Campaign Data'!$A3768)&amp;"-"&amp;TEXT(MONTH('Campaign Data'!$A3768),"00")</f>
        <v>2026-07</v>
      </c>
    </row>
    <row r="3769" spans="1:21" x14ac:dyDescent="0.25">
      <c r="A3769">
        <v>46229</v>
      </c>
      <c r="B3769" t="s">
        <v>127</v>
      </c>
      <c r="C3769" t="s">
        <v>128</v>
      </c>
      <c r="D3769" t="s">
        <v>58</v>
      </c>
      <c r="E3769" t="s">
        <v>24</v>
      </c>
      <c r="F3769" t="s">
        <v>81</v>
      </c>
      <c r="G3769" t="s">
        <v>129</v>
      </c>
      <c r="H3769" t="s">
        <v>36</v>
      </c>
      <c r="I3769" t="s">
        <v>37</v>
      </c>
      <c r="J3769" t="s">
        <v>87</v>
      </c>
      <c r="K3769">
        <v>2540</v>
      </c>
      <c r="L3769">
        <v>23</v>
      </c>
      <c r="M3769">
        <v>29.52</v>
      </c>
      <c r="N3769">
        <v>0</v>
      </c>
      <c r="O3769">
        <v>0</v>
      </c>
      <c r="P3769">
        <f t="shared" si="232"/>
        <v>9.0551181102362203E-3</v>
      </c>
      <c r="Q3769">
        <f t="shared" si="232"/>
        <v>1.2834782608695652</v>
      </c>
      <c r="R3769">
        <f t="shared" si="233"/>
        <v>0</v>
      </c>
      <c r="S3769">
        <f t="shared" si="234"/>
        <v>0</v>
      </c>
      <c r="T3769">
        <f t="shared" si="235"/>
        <v>0</v>
      </c>
      <c r="U3769" t="str">
        <f>YEAR('Campaign Data'!$A3769)&amp;"-"&amp;TEXT(MONTH('Campaign Data'!$A3769),"00")</f>
        <v>2026-07</v>
      </c>
    </row>
    <row r="3770" spans="1:21" x14ac:dyDescent="0.25">
      <c r="A3770">
        <v>46229</v>
      </c>
      <c r="B3770" t="s">
        <v>108</v>
      </c>
      <c r="C3770" t="s">
        <v>109</v>
      </c>
      <c r="D3770" t="s">
        <v>58</v>
      </c>
      <c r="E3770" t="s">
        <v>33</v>
      </c>
      <c r="F3770" t="s">
        <v>43</v>
      </c>
      <c r="G3770" t="s">
        <v>59</v>
      </c>
      <c r="H3770" t="s">
        <v>27</v>
      </c>
      <c r="I3770" t="s">
        <v>37</v>
      </c>
      <c r="J3770" t="s">
        <v>45</v>
      </c>
      <c r="K3770">
        <v>3423</v>
      </c>
      <c r="L3770">
        <v>33</v>
      </c>
      <c r="M3770">
        <v>25.4</v>
      </c>
      <c r="N3770">
        <v>0</v>
      </c>
      <c r="O3770">
        <v>0</v>
      </c>
      <c r="P3770">
        <f t="shared" si="232"/>
        <v>9.6406660823838732E-3</v>
      </c>
      <c r="Q3770">
        <f t="shared" si="232"/>
        <v>0.76969696969696966</v>
      </c>
      <c r="R3770">
        <f t="shared" si="233"/>
        <v>0</v>
      </c>
      <c r="S3770">
        <f t="shared" si="234"/>
        <v>0</v>
      </c>
      <c r="T3770">
        <f t="shared" si="235"/>
        <v>0</v>
      </c>
      <c r="U3770" t="str">
        <f>YEAR('Campaign Data'!$A3770)&amp;"-"&amp;TEXT(MONTH('Campaign Data'!$A3770),"00")</f>
        <v>2026-07</v>
      </c>
    </row>
    <row r="3771" spans="1:21" x14ac:dyDescent="0.25">
      <c r="A3771">
        <v>46229</v>
      </c>
      <c r="B3771" t="s">
        <v>155</v>
      </c>
      <c r="C3771" t="s">
        <v>156</v>
      </c>
      <c r="D3771" t="s">
        <v>32</v>
      </c>
      <c r="E3771" t="s">
        <v>24</v>
      </c>
      <c r="F3771" t="s">
        <v>34</v>
      </c>
      <c r="G3771" t="s">
        <v>129</v>
      </c>
      <c r="H3771" t="s">
        <v>36</v>
      </c>
      <c r="I3771" t="s">
        <v>37</v>
      </c>
      <c r="J3771" t="s">
        <v>45</v>
      </c>
      <c r="K3771">
        <v>2522</v>
      </c>
      <c r="L3771">
        <v>50</v>
      </c>
      <c r="M3771">
        <v>55.58</v>
      </c>
      <c r="N3771">
        <v>3</v>
      </c>
      <c r="O3771">
        <v>425.04</v>
      </c>
      <c r="P3771">
        <f t="shared" si="232"/>
        <v>1.9825535289452814E-2</v>
      </c>
      <c r="Q3771">
        <f t="shared" si="232"/>
        <v>1.1115999999999999</v>
      </c>
      <c r="R3771">
        <f t="shared" si="233"/>
        <v>18.526666666666667</v>
      </c>
      <c r="S3771">
        <f t="shared" si="234"/>
        <v>7.6473551637279602</v>
      </c>
      <c r="T3771">
        <f t="shared" si="235"/>
        <v>0.06</v>
      </c>
      <c r="U3771" t="str">
        <f>YEAR('Campaign Data'!$A3771)&amp;"-"&amp;TEXT(MONTH('Campaign Data'!$A3771),"00")</f>
        <v>2026-07</v>
      </c>
    </row>
    <row r="3772" spans="1:21" x14ac:dyDescent="0.25">
      <c r="A3772">
        <v>46229</v>
      </c>
      <c r="B3772" t="s">
        <v>112</v>
      </c>
      <c r="C3772" t="s">
        <v>113</v>
      </c>
      <c r="D3772" t="s">
        <v>32</v>
      </c>
      <c r="E3772" t="s">
        <v>24</v>
      </c>
      <c r="F3772" t="s">
        <v>75</v>
      </c>
      <c r="G3772" t="s">
        <v>66</v>
      </c>
      <c r="H3772" t="s">
        <v>36</v>
      </c>
      <c r="I3772" t="s">
        <v>28</v>
      </c>
      <c r="J3772" t="s">
        <v>38</v>
      </c>
      <c r="K3772">
        <v>1268</v>
      </c>
      <c r="L3772">
        <v>20</v>
      </c>
      <c r="M3772">
        <v>19.34</v>
      </c>
      <c r="N3772">
        <v>0</v>
      </c>
      <c r="O3772">
        <v>0</v>
      </c>
      <c r="P3772">
        <f t="shared" si="232"/>
        <v>1.5772870662460567E-2</v>
      </c>
      <c r="Q3772">
        <f t="shared" si="232"/>
        <v>0.96699999999999997</v>
      </c>
      <c r="R3772">
        <f t="shared" si="233"/>
        <v>0</v>
      </c>
      <c r="S3772">
        <f t="shared" si="234"/>
        <v>0</v>
      </c>
      <c r="T3772">
        <f t="shared" si="235"/>
        <v>0</v>
      </c>
      <c r="U3772" t="str">
        <f>YEAR('Campaign Data'!$A3772)&amp;"-"&amp;TEXT(MONTH('Campaign Data'!$A3772),"00")</f>
        <v>2026-07</v>
      </c>
    </row>
    <row r="3773" spans="1:21" x14ac:dyDescent="0.25">
      <c r="A3773">
        <v>46229</v>
      </c>
      <c r="B3773" t="s">
        <v>114</v>
      </c>
      <c r="C3773" t="s">
        <v>115</v>
      </c>
      <c r="D3773" t="s">
        <v>69</v>
      </c>
      <c r="E3773" t="s">
        <v>49</v>
      </c>
      <c r="F3773" t="s">
        <v>25</v>
      </c>
      <c r="G3773" t="s">
        <v>107</v>
      </c>
      <c r="H3773" t="s">
        <v>90</v>
      </c>
      <c r="I3773" t="s">
        <v>37</v>
      </c>
      <c r="J3773" t="s">
        <v>87</v>
      </c>
      <c r="K3773">
        <v>5186</v>
      </c>
      <c r="L3773">
        <v>356</v>
      </c>
      <c r="M3773">
        <v>137.83000000000001</v>
      </c>
      <c r="N3773">
        <v>15</v>
      </c>
      <c r="O3773">
        <v>1084.5899999999999</v>
      </c>
      <c r="P3773">
        <f t="shared" si="232"/>
        <v>6.8646355572695716E-2</v>
      </c>
      <c r="Q3773">
        <f t="shared" si="232"/>
        <v>0.38716292134831465</v>
      </c>
      <c r="R3773">
        <f t="shared" si="233"/>
        <v>9.1886666666666681</v>
      </c>
      <c r="S3773">
        <f t="shared" si="234"/>
        <v>7.8690415729521863</v>
      </c>
      <c r="T3773">
        <f t="shared" si="235"/>
        <v>4.2134831460674156E-2</v>
      </c>
      <c r="U3773" t="str">
        <f>YEAR('Campaign Data'!$A3773)&amp;"-"&amp;TEXT(MONTH('Campaign Data'!$A3773),"00")</f>
        <v>2026-07</v>
      </c>
    </row>
    <row r="3774" spans="1:21" x14ac:dyDescent="0.25">
      <c r="A3774">
        <v>46229</v>
      </c>
      <c r="B3774" t="s">
        <v>56</v>
      </c>
      <c r="C3774" t="s">
        <v>57</v>
      </c>
      <c r="D3774" t="s">
        <v>58</v>
      </c>
      <c r="E3774" t="s">
        <v>33</v>
      </c>
      <c r="F3774" t="s">
        <v>43</v>
      </c>
      <c r="G3774" t="s">
        <v>59</v>
      </c>
      <c r="H3774" t="s">
        <v>60</v>
      </c>
      <c r="I3774" t="s">
        <v>37</v>
      </c>
      <c r="J3774" t="s">
        <v>38</v>
      </c>
      <c r="K3774">
        <v>6998</v>
      </c>
      <c r="L3774">
        <v>96</v>
      </c>
      <c r="M3774">
        <v>74.39</v>
      </c>
      <c r="N3774">
        <v>0</v>
      </c>
      <c r="O3774">
        <v>0</v>
      </c>
      <c r="P3774">
        <f t="shared" si="232"/>
        <v>1.3718205201486139E-2</v>
      </c>
      <c r="Q3774">
        <f t="shared" si="232"/>
        <v>0.77489583333333334</v>
      </c>
      <c r="R3774">
        <f t="shared" si="233"/>
        <v>0</v>
      </c>
      <c r="S3774">
        <f t="shared" si="234"/>
        <v>0</v>
      </c>
      <c r="T3774">
        <f t="shared" si="235"/>
        <v>0</v>
      </c>
      <c r="U3774" t="str">
        <f>YEAR('Campaign Data'!$A3774)&amp;"-"&amp;TEXT(MONTH('Campaign Data'!$A3774),"00")</f>
        <v>2026-07</v>
      </c>
    </row>
    <row r="3775" spans="1:21" x14ac:dyDescent="0.25">
      <c r="A3775">
        <v>46229</v>
      </c>
      <c r="B3775" t="s">
        <v>56</v>
      </c>
      <c r="C3775" t="s">
        <v>57</v>
      </c>
      <c r="D3775" t="s">
        <v>58</v>
      </c>
      <c r="E3775" t="s">
        <v>33</v>
      </c>
      <c r="F3775" t="s">
        <v>43</v>
      </c>
      <c r="G3775" t="s">
        <v>59</v>
      </c>
      <c r="H3775" t="s">
        <v>27</v>
      </c>
      <c r="I3775" t="s">
        <v>37</v>
      </c>
      <c r="J3775" t="s">
        <v>29</v>
      </c>
      <c r="K3775">
        <v>13434</v>
      </c>
      <c r="L3775">
        <v>131</v>
      </c>
      <c r="M3775">
        <v>94.35</v>
      </c>
      <c r="N3775">
        <v>1</v>
      </c>
      <c r="O3775">
        <v>33.799999999999997</v>
      </c>
      <c r="P3775">
        <f t="shared" si="232"/>
        <v>9.7513771028733057E-3</v>
      </c>
      <c r="Q3775">
        <f t="shared" si="232"/>
        <v>0.72022900763358777</v>
      </c>
      <c r="R3775">
        <f t="shared" si="233"/>
        <v>94.35</v>
      </c>
      <c r="S3775">
        <f t="shared" si="234"/>
        <v>0.35824059353471116</v>
      </c>
      <c r="T3775">
        <f t="shared" si="235"/>
        <v>7.6335877862595417E-3</v>
      </c>
      <c r="U3775" t="str">
        <f>YEAR('Campaign Data'!$A3775)&amp;"-"&amp;TEXT(MONTH('Campaign Data'!$A3775),"00")</f>
        <v>2026-07</v>
      </c>
    </row>
    <row r="3776" spans="1:21" x14ac:dyDescent="0.25">
      <c r="A3776">
        <v>46229</v>
      </c>
      <c r="B3776" t="s">
        <v>118</v>
      </c>
      <c r="C3776" t="s">
        <v>119</v>
      </c>
      <c r="D3776" t="s">
        <v>69</v>
      </c>
      <c r="E3776" t="s">
        <v>33</v>
      </c>
      <c r="F3776" t="s">
        <v>34</v>
      </c>
      <c r="G3776" t="s">
        <v>35</v>
      </c>
      <c r="H3776" t="s">
        <v>71</v>
      </c>
      <c r="I3776" t="s">
        <v>37</v>
      </c>
      <c r="J3776" t="s">
        <v>62</v>
      </c>
      <c r="K3776">
        <v>3732</v>
      </c>
      <c r="L3776">
        <v>57</v>
      </c>
      <c r="M3776">
        <v>35.75</v>
      </c>
      <c r="N3776">
        <v>3</v>
      </c>
      <c r="O3776">
        <v>454.21</v>
      </c>
      <c r="P3776">
        <f t="shared" si="232"/>
        <v>1.5273311897106109E-2</v>
      </c>
      <c r="Q3776">
        <f t="shared" si="232"/>
        <v>0.6271929824561403</v>
      </c>
      <c r="R3776">
        <f t="shared" si="233"/>
        <v>11.916666666666666</v>
      </c>
      <c r="S3776">
        <f t="shared" si="234"/>
        <v>12.705174825174824</v>
      </c>
      <c r="T3776">
        <f t="shared" si="235"/>
        <v>5.2631578947368418E-2</v>
      </c>
      <c r="U3776" t="str">
        <f>YEAR('Campaign Data'!$A3776)&amp;"-"&amp;TEXT(MONTH('Campaign Data'!$A3776),"00")</f>
        <v>2026-07</v>
      </c>
    </row>
    <row r="3777" spans="1:21" x14ac:dyDescent="0.25">
      <c r="A3777">
        <v>46230</v>
      </c>
      <c r="B3777" t="s">
        <v>167</v>
      </c>
      <c r="C3777" t="s">
        <v>168</v>
      </c>
      <c r="D3777" t="s">
        <v>58</v>
      </c>
      <c r="E3777" t="s">
        <v>33</v>
      </c>
      <c r="F3777" t="s">
        <v>75</v>
      </c>
      <c r="G3777" t="s">
        <v>35</v>
      </c>
      <c r="H3777" t="s">
        <v>90</v>
      </c>
      <c r="I3777" t="s">
        <v>28</v>
      </c>
      <c r="J3777" t="s">
        <v>87</v>
      </c>
      <c r="K3777">
        <v>7505</v>
      </c>
      <c r="L3777">
        <v>94</v>
      </c>
      <c r="M3777">
        <v>15.43</v>
      </c>
      <c r="N3777">
        <v>0</v>
      </c>
      <c r="O3777">
        <v>0</v>
      </c>
      <c r="P3777">
        <f t="shared" si="232"/>
        <v>1.2524983344437041E-2</v>
      </c>
      <c r="Q3777">
        <f t="shared" si="232"/>
        <v>0.16414893617021276</v>
      </c>
      <c r="R3777">
        <f t="shared" si="233"/>
        <v>0</v>
      </c>
      <c r="S3777">
        <f t="shared" si="234"/>
        <v>0</v>
      </c>
      <c r="T3777">
        <f t="shared" si="235"/>
        <v>0</v>
      </c>
      <c r="U3777" t="str">
        <f>YEAR('Campaign Data'!$A3777)&amp;"-"&amp;TEXT(MONTH('Campaign Data'!$A3777),"00")</f>
        <v>2026-07</v>
      </c>
    </row>
    <row r="3778" spans="1:21" x14ac:dyDescent="0.25">
      <c r="A3778">
        <v>46230</v>
      </c>
      <c r="B3778" t="s">
        <v>125</v>
      </c>
      <c r="C3778" t="s">
        <v>126</v>
      </c>
      <c r="D3778" t="s">
        <v>41</v>
      </c>
      <c r="E3778" t="s">
        <v>42</v>
      </c>
      <c r="F3778" t="s">
        <v>81</v>
      </c>
      <c r="G3778" t="s">
        <v>44</v>
      </c>
      <c r="H3778" t="s">
        <v>90</v>
      </c>
      <c r="I3778" t="s">
        <v>37</v>
      </c>
      <c r="J3778" t="s">
        <v>38</v>
      </c>
      <c r="K3778">
        <v>8363</v>
      </c>
      <c r="L3778">
        <v>62</v>
      </c>
      <c r="M3778">
        <v>91.84</v>
      </c>
      <c r="N3778">
        <v>0</v>
      </c>
      <c r="O3778">
        <v>0</v>
      </c>
      <c r="P3778">
        <f t="shared" ref="P3778:Q3841" si="236">IF(K3778=0,0,L3778/K3778)</f>
        <v>7.4136075570967359E-3</v>
      </c>
      <c r="Q3778">
        <f t="shared" si="236"/>
        <v>1.4812903225806453</v>
      </c>
      <c r="R3778">
        <f t="shared" ref="R3778:R3841" si="237">IF(N3778=0,0,M3778/N3778)</f>
        <v>0</v>
      </c>
      <c r="S3778">
        <f t="shared" ref="S3778:S3841" si="238">IF(M3778=0,0,O3778/M3778)</f>
        <v>0</v>
      </c>
      <c r="T3778">
        <f t="shared" ref="T3778:T3841" si="239">IF(L3778=0,0,N3778/L3778)</f>
        <v>0</v>
      </c>
      <c r="U3778" t="str">
        <f>YEAR('Campaign Data'!$A3778)&amp;"-"&amp;TEXT(MONTH('Campaign Data'!$A3778),"00")</f>
        <v>2026-07</v>
      </c>
    </row>
    <row r="3779" spans="1:21" x14ac:dyDescent="0.25">
      <c r="A3779">
        <v>46230</v>
      </c>
      <c r="B3779" t="s">
        <v>149</v>
      </c>
      <c r="C3779" t="s">
        <v>150</v>
      </c>
      <c r="D3779" t="s">
        <v>65</v>
      </c>
      <c r="E3779" t="s">
        <v>33</v>
      </c>
      <c r="F3779" t="s">
        <v>43</v>
      </c>
      <c r="G3779" t="s">
        <v>59</v>
      </c>
      <c r="H3779" t="s">
        <v>71</v>
      </c>
      <c r="I3779" t="s">
        <v>37</v>
      </c>
      <c r="J3779" t="s">
        <v>38</v>
      </c>
      <c r="K3779">
        <v>18601</v>
      </c>
      <c r="L3779">
        <v>100</v>
      </c>
      <c r="M3779">
        <v>54.9</v>
      </c>
      <c r="N3779">
        <v>1</v>
      </c>
      <c r="O3779">
        <v>21.6</v>
      </c>
      <c r="P3779">
        <f t="shared" si="236"/>
        <v>5.37605505080372E-3</v>
      </c>
      <c r="Q3779">
        <f t="shared" si="236"/>
        <v>0.54899999999999993</v>
      </c>
      <c r="R3779">
        <f t="shared" si="237"/>
        <v>54.9</v>
      </c>
      <c r="S3779">
        <f t="shared" si="238"/>
        <v>0.39344262295081972</v>
      </c>
      <c r="T3779">
        <f t="shared" si="239"/>
        <v>0.01</v>
      </c>
      <c r="U3779" t="str">
        <f>YEAR('Campaign Data'!$A3779)&amp;"-"&amp;TEXT(MONTH('Campaign Data'!$A3779),"00")</f>
        <v>2026-07</v>
      </c>
    </row>
    <row r="3780" spans="1:21" x14ac:dyDescent="0.25">
      <c r="A3780">
        <v>46230</v>
      </c>
      <c r="B3780" t="s">
        <v>186</v>
      </c>
      <c r="C3780" t="s">
        <v>187</v>
      </c>
      <c r="D3780" t="s">
        <v>80</v>
      </c>
      <c r="E3780" t="s">
        <v>33</v>
      </c>
      <c r="F3780" t="s">
        <v>43</v>
      </c>
      <c r="G3780" t="s">
        <v>102</v>
      </c>
      <c r="H3780" t="s">
        <v>51</v>
      </c>
      <c r="I3780" t="s">
        <v>37</v>
      </c>
      <c r="J3780" t="s">
        <v>45</v>
      </c>
      <c r="K3780">
        <v>10027</v>
      </c>
      <c r="L3780">
        <v>96</v>
      </c>
      <c r="M3780">
        <v>66.930000000000007</v>
      </c>
      <c r="N3780">
        <v>2</v>
      </c>
      <c r="O3780">
        <v>58.56</v>
      </c>
      <c r="P3780">
        <f t="shared" si="236"/>
        <v>9.5741497955520102E-3</v>
      </c>
      <c r="Q3780">
        <f t="shared" si="236"/>
        <v>0.69718750000000007</v>
      </c>
      <c r="R3780">
        <f t="shared" si="237"/>
        <v>33.465000000000003</v>
      </c>
      <c r="S3780">
        <f t="shared" si="238"/>
        <v>0.87494397131331236</v>
      </c>
      <c r="T3780">
        <f t="shared" si="239"/>
        <v>2.0833333333333332E-2</v>
      </c>
      <c r="U3780" t="str">
        <f>YEAR('Campaign Data'!$A3780)&amp;"-"&amp;TEXT(MONTH('Campaign Data'!$A3780),"00")</f>
        <v>2026-07</v>
      </c>
    </row>
    <row r="3781" spans="1:21" x14ac:dyDescent="0.25">
      <c r="A3781">
        <v>46230</v>
      </c>
      <c r="B3781" t="s">
        <v>52</v>
      </c>
      <c r="C3781" t="s">
        <v>53</v>
      </c>
      <c r="D3781" t="s">
        <v>32</v>
      </c>
      <c r="E3781" t="s">
        <v>42</v>
      </c>
      <c r="F3781" t="s">
        <v>25</v>
      </c>
      <c r="G3781" t="s">
        <v>54</v>
      </c>
      <c r="H3781" t="s">
        <v>71</v>
      </c>
      <c r="I3781" t="s">
        <v>37</v>
      </c>
      <c r="J3781" t="s">
        <v>38</v>
      </c>
      <c r="K3781">
        <v>3509</v>
      </c>
      <c r="L3781">
        <v>13</v>
      </c>
      <c r="M3781">
        <v>69.819999999999993</v>
      </c>
      <c r="N3781">
        <v>0</v>
      </c>
      <c r="O3781">
        <v>0</v>
      </c>
      <c r="P3781">
        <f t="shared" si="236"/>
        <v>3.7047591906526076E-3</v>
      </c>
      <c r="Q3781">
        <f t="shared" si="236"/>
        <v>5.3707692307692305</v>
      </c>
      <c r="R3781">
        <f t="shared" si="237"/>
        <v>0</v>
      </c>
      <c r="S3781">
        <f t="shared" si="238"/>
        <v>0</v>
      </c>
      <c r="T3781">
        <f t="shared" si="239"/>
        <v>0</v>
      </c>
      <c r="U3781" t="str">
        <f>YEAR('Campaign Data'!$A3781)&amp;"-"&amp;TEXT(MONTH('Campaign Data'!$A3781),"00")</f>
        <v>2026-07</v>
      </c>
    </row>
    <row r="3782" spans="1:21" x14ac:dyDescent="0.25">
      <c r="A3782">
        <v>46230</v>
      </c>
      <c r="B3782" t="s">
        <v>169</v>
      </c>
      <c r="C3782" t="s">
        <v>170</v>
      </c>
      <c r="D3782" t="s">
        <v>58</v>
      </c>
      <c r="E3782" t="s">
        <v>74</v>
      </c>
      <c r="F3782" t="s">
        <v>75</v>
      </c>
      <c r="G3782" t="s">
        <v>9</v>
      </c>
      <c r="H3782" t="s">
        <v>55</v>
      </c>
      <c r="I3782" t="s">
        <v>28</v>
      </c>
      <c r="J3782" t="s">
        <v>45</v>
      </c>
      <c r="K3782">
        <v>4273</v>
      </c>
      <c r="L3782">
        <v>156</v>
      </c>
      <c r="M3782">
        <v>201.07</v>
      </c>
      <c r="N3782">
        <v>9</v>
      </c>
      <c r="O3782">
        <v>259.48</v>
      </c>
      <c r="P3782">
        <f t="shared" si="236"/>
        <v>3.650830798034168E-2</v>
      </c>
      <c r="Q3782">
        <f t="shared" si="236"/>
        <v>1.2889102564102564</v>
      </c>
      <c r="R3782">
        <f t="shared" si="237"/>
        <v>22.341111111111111</v>
      </c>
      <c r="S3782">
        <f t="shared" si="238"/>
        <v>1.2904958472173871</v>
      </c>
      <c r="T3782">
        <f t="shared" si="239"/>
        <v>5.7692307692307696E-2</v>
      </c>
      <c r="U3782" t="str">
        <f>YEAR('Campaign Data'!$A3782)&amp;"-"&amp;TEXT(MONTH('Campaign Data'!$A3782),"00")</f>
        <v>2026-07</v>
      </c>
    </row>
    <row r="3783" spans="1:21" x14ac:dyDescent="0.25">
      <c r="A3783">
        <v>46230</v>
      </c>
      <c r="B3783" t="s">
        <v>127</v>
      </c>
      <c r="C3783" t="s">
        <v>128</v>
      </c>
      <c r="D3783" t="s">
        <v>58</v>
      </c>
      <c r="E3783" t="s">
        <v>24</v>
      </c>
      <c r="F3783" t="s">
        <v>81</v>
      </c>
      <c r="G3783" t="s">
        <v>129</v>
      </c>
      <c r="H3783" t="s">
        <v>71</v>
      </c>
      <c r="I3783" t="s">
        <v>37</v>
      </c>
      <c r="J3783" t="s">
        <v>38</v>
      </c>
      <c r="K3783">
        <v>2426</v>
      </c>
      <c r="L3783">
        <v>33</v>
      </c>
      <c r="M3783">
        <v>37.31</v>
      </c>
      <c r="N3783">
        <v>4</v>
      </c>
      <c r="O3783">
        <v>62.75</v>
      </c>
      <c r="P3783">
        <f t="shared" si="236"/>
        <v>1.3602638087386645E-2</v>
      </c>
      <c r="Q3783">
        <f t="shared" si="236"/>
        <v>1.1306060606060606</v>
      </c>
      <c r="R3783">
        <f t="shared" si="237"/>
        <v>9.3275000000000006</v>
      </c>
      <c r="S3783">
        <f t="shared" si="238"/>
        <v>1.6818547306352183</v>
      </c>
      <c r="T3783">
        <f t="shared" si="239"/>
        <v>0.12121212121212122</v>
      </c>
      <c r="U3783" t="str">
        <f>YEAR('Campaign Data'!$A3783)&amp;"-"&amp;TEXT(MONTH('Campaign Data'!$A3783),"00")</f>
        <v>2026-07</v>
      </c>
    </row>
    <row r="3784" spans="1:21" x14ac:dyDescent="0.25">
      <c r="A3784">
        <v>46230</v>
      </c>
      <c r="B3784" t="s">
        <v>127</v>
      </c>
      <c r="C3784" t="s">
        <v>128</v>
      </c>
      <c r="D3784" t="s">
        <v>58</v>
      </c>
      <c r="E3784" t="s">
        <v>24</v>
      </c>
      <c r="F3784" t="s">
        <v>81</v>
      </c>
      <c r="G3784" t="s">
        <v>129</v>
      </c>
      <c r="H3784" t="s">
        <v>90</v>
      </c>
      <c r="I3784" t="s">
        <v>28</v>
      </c>
      <c r="J3784" t="s">
        <v>62</v>
      </c>
      <c r="K3784">
        <v>4316</v>
      </c>
      <c r="L3784">
        <v>24</v>
      </c>
      <c r="M3784">
        <v>8.69</v>
      </c>
      <c r="N3784">
        <v>1</v>
      </c>
      <c r="O3784">
        <v>5.8</v>
      </c>
      <c r="P3784">
        <f t="shared" si="236"/>
        <v>5.5607043558850789E-3</v>
      </c>
      <c r="Q3784">
        <f t="shared" si="236"/>
        <v>0.36208333333333331</v>
      </c>
      <c r="R3784">
        <f t="shared" si="237"/>
        <v>8.69</v>
      </c>
      <c r="S3784">
        <f t="shared" si="238"/>
        <v>0.66743383199079398</v>
      </c>
      <c r="T3784">
        <f t="shared" si="239"/>
        <v>4.1666666666666664E-2</v>
      </c>
      <c r="U3784" t="str">
        <f>YEAR('Campaign Data'!$A3784)&amp;"-"&amp;TEXT(MONTH('Campaign Data'!$A3784),"00")</f>
        <v>2026-07</v>
      </c>
    </row>
    <row r="3785" spans="1:21" x14ac:dyDescent="0.25">
      <c r="A3785">
        <v>46230</v>
      </c>
      <c r="B3785" t="s">
        <v>108</v>
      </c>
      <c r="C3785" t="s">
        <v>109</v>
      </c>
      <c r="D3785" t="s">
        <v>58</v>
      </c>
      <c r="E3785" t="s">
        <v>33</v>
      </c>
      <c r="F3785" t="s">
        <v>43</v>
      </c>
      <c r="G3785" t="s">
        <v>59</v>
      </c>
      <c r="H3785" t="s">
        <v>51</v>
      </c>
      <c r="I3785" t="s">
        <v>37</v>
      </c>
      <c r="J3785" t="s">
        <v>29</v>
      </c>
      <c r="K3785">
        <v>3981</v>
      </c>
      <c r="L3785">
        <v>49</v>
      </c>
      <c r="M3785">
        <v>18.8</v>
      </c>
      <c r="N3785">
        <v>0</v>
      </c>
      <c r="O3785">
        <v>0</v>
      </c>
      <c r="P3785">
        <f t="shared" si="236"/>
        <v>1.2308465209746294E-2</v>
      </c>
      <c r="Q3785">
        <f t="shared" si="236"/>
        <v>0.3836734693877551</v>
      </c>
      <c r="R3785">
        <f t="shared" si="237"/>
        <v>0</v>
      </c>
      <c r="S3785">
        <f t="shared" si="238"/>
        <v>0</v>
      </c>
      <c r="T3785">
        <f t="shared" si="239"/>
        <v>0</v>
      </c>
      <c r="U3785" t="str">
        <f>YEAR('Campaign Data'!$A3785)&amp;"-"&amp;TEXT(MONTH('Campaign Data'!$A3785),"00")</f>
        <v>2026-07</v>
      </c>
    </row>
    <row r="3786" spans="1:21" x14ac:dyDescent="0.25">
      <c r="A3786">
        <v>46230</v>
      </c>
      <c r="B3786" t="s">
        <v>108</v>
      </c>
      <c r="C3786" t="s">
        <v>109</v>
      </c>
      <c r="D3786" t="s">
        <v>58</v>
      </c>
      <c r="E3786" t="s">
        <v>33</v>
      </c>
      <c r="F3786" t="s">
        <v>43</v>
      </c>
      <c r="G3786" t="s">
        <v>59</v>
      </c>
      <c r="H3786" t="s">
        <v>90</v>
      </c>
      <c r="I3786" t="s">
        <v>37</v>
      </c>
      <c r="J3786" t="s">
        <v>29</v>
      </c>
      <c r="K3786">
        <v>3550</v>
      </c>
      <c r="L3786">
        <v>33</v>
      </c>
      <c r="M3786">
        <v>4.75</v>
      </c>
      <c r="N3786">
        <v>0</v>
      </c>
      <c r="O3786">
        <v>0</v>
      </c>
      <c r="P3786">
        <f t="shared" si="236"/>
        <v>9.2957746478873234E-3</v>
      </c>
      <c r="Q3786">
        <f t="shared" si="236"/>
        <v>0.14393939393939395</v>
      </c>
      <c r="R3786">
        <f t="shared" si="237"/>
        <v>0</v>
      </c>
      <c r="S3786">
        <f t="shared" si="238"/>
        <v>0</v>
      </c>
      <c r="T3786">
        <f t="shared" si="239"/>
        <v>0</v>
      </c>
      <c r="U3786" t="str">
        <f>YEAR('Campaign Data'!$A3786)&amp;"-"&amp;TEXT(MONTH('Campaign Data'!$A3786),"00")</f>
        <v>2026-07</v>
      </c>
    </row>
    <row r="3787" spans="1:21" x14ac:dyDescent="0.25">
      <c r="A3787">
        <v>46230</v>
      </c>
      <c r="B3787" t="s">
        <v>132</v>
      </c>
      <c r="C3787" t="s">
        <v>133</v>
      </c>
      <c r="D3787" t="s">
        <v>23</v>
      </c>
      <c r="E3787" t="s">
        <v>42</v>
      </c>
      <c r="F3787" t="s">
        <v>75</v>
      </c>
      <c r="G3787" t="s">
        <v>84</v>
      </c>
      <c r="H3787" t="s">
        <v>90</v>
      </c>
      <c r="I3787" t="s">
        <v>37</v>
      </c>
      <c r="J3787" t="s">
        <v>29</v>
      </c>
      <c r="K3787">
        <v>3830</v>
      </c>
      <c r="L3787">
        <v>32</v>
      </c>
      <c r="M3787">
        <v>49.66</v>
      </c>
      <c r="N3787">
        <v>1</v>
      </c>
      <c r="O3787">
        <v>12.9</v>
      </c>
      <c r="P3787">
        <f t="shared" si="236"/>
        <v>8.3550913838120102E-3</v>
      </c>
      <c r="Q3787">
        <f t="shared" si="236"/>
        <v>1.5518749999999999</v>
      </c>
      <c r="R3787">
        <f t="shared" si="237"/>
        <v>49.66</v>
      </c>
      <c r="S3787">
        <f t="shared" si="238"/>
        <v>0.25976641159887237</v>
      </c>
      <c r="T3787">
        <f t="shared" si="239"/>
        <v>3.125E-2</v>
      </c>
      <c r="U3787" t="str">
        <f>YEAR('Campaign Data'!$A3787)&amp;"-"&amp;TEXT(MONTH('Campaign Data'!$A3787),"00")</f>
        <v>2026-07</v>
      </c>
    </row>
    <row r="3788" spans="1:21" x14ac:dyDescent="0.25">
      <c r="A3788">
        <v>46230</v>
      </c>
      <c r="B3788" t="s">
        <v>110</v>
      </c>
      <c r="C3788" t="s">
        <v>111</v>
      </c>
      <c r="D3788" t="s">
        <v>23</v>
      </c>
      <c r="E3788" t="s">
        <v>49</v>
      </c>
      <c r="F3788" t="s">
        <v>34</v>
      </c>
      <c r="G3788" t="s">
        <v>50</v>
      </c>
      <c r="H3788" t="s">
        <v>90</v>
      </c>
      <c r="I3788" t="s">
        <v>37</v>
      </c>
      <c r="J3788" t="s">
        <v>29</v>
      </c>
      <c r="K3788">
        <v>1136</v>
      </c>
      <c r="L3788">
        <v>59</v>
      </c>
      <c r="M3788">
        <v>28.92</v>
      </c>
      <c r="N3788">
        <v>5</v>
      </c>
      <c r="O3788">
        <v>136.87</v>
      </c>
      <c r="P3788">
        <f t="shared" si="236"/>
        <v>5.1936619718309859E-2</v>
      </c>
      <c r="Q3788">
        <f t="shared" si="236"/>
        <v>0.49016949152542377</v>
      </c>
      <c r="R3788">
        <f t="shared" si="237"/>
        <v>5.7840000000000007</v>
      </c>
      <c r="S3788">
        <f t="shared" si="238"/>
        <v>4.7327109266943292</v>
      </c>
      <c r="T3788">
        <f t="shared" si="239"/>
        <v>8.4745762711864403E-2</v>
      </c>
      <c r="U3788" t="str">
        <f>YEAR('Campaign Data'!$A3788)&amp;"-"&amp;TEXT(MONTH('Campaign Data'!$A3788),"00")</f>
        <v>2026-07</v>
      </c>
    </row>
    <row r="3789" spans="1:21" x14ac:dyDescent="0.25">
      <c r="A3789">
        <v>46230</v>
      </c>
      <c r="B3789" t="s">
        <v>110</v>
      </c>
      <c r="C3789" t="s">
        <v>111</v>
      </c>
      <c r="D3789" t="s">
        <v>23</v>
      </c>
      <c r="E3789" t="s">
        <v>49</v>
      </c>
      <c r="F3789" t="s">
        <v>34</v>
      </c>
      <c r="G3789" t="s">
        <v>50</v>
      </c>
      <c r="H3789" t="s">
        <v>55</v>
      </c>
      <c r="I3789" t="s">
        <v>37</v>
      </c>
      <c r="J3789" t="s">
        <v>45</v>
      </c>
      <c r="K3789">
        <v>27724</v>
      </c>
      <c r="L3789">
        <v>1120</v>
      </c>
      <c r="M3789">
        <v>1620.23</v>
      </c>
      <c r="N3789">
        <v>49</v>
      </c>
      <c r="O3789">
        <v>9293.56</v>
      </c>
      <c r="P3789">
        <f t="shared" si="236"/>
        <v>4.0398210936372816E-2</v>
      </c>
      <c r="Q3789">
        <f t="shared" si="236"/>
        <v>1.4466339285714287</v>
      </c>
      <c r="R3789">
        <f t="shared" si="237"/>
        <v>33.065918367346939</v>
      </c>
      <c r="S3789">
        <f t="shared" si="238"/>
        <v>5.7359510686754343</v>
      </c>
      <c r="T3789">
        <f t="shared" si="239"/>
        <v>4.3749999999999997E-2</v>
      </c>
      <c r="U3789" t="str">
        <f>YEAR('Campaign Data'!$A3789)&amp;"-"&amp;TEXT(MONTH('Campaign Data'!$A3789),"00")</f>
        <v>2026-07</v>
      </c>
    </row>
    <row r="3790" spans="1:21" x14ac:dyDescent="0.25">
      <c r="A3790">
        <v>46230</v>
      </c>
      <c r="B3790" t="s">
        <v>112</v>
      </c>
      <c r="C3790" t="s">
        <v>113</v>
      </c>
      <c r="D3790" t="s">
        <v>32</v>
      </c>
      <c r="E3790" t="s">
        <v>24</v>
      </c>
      <c r="F3790" t="s">
        <v>75</v>
      </c>
      <c r="G3790" t="s">
        <v>66</v>
      </c>
      <c r="H3790" t="s">
        <v>36</v>
      </c>
      <c r="I3790" t="s">
        <v>28</v>
      </c>
      <c r="J3790" t="s">
        <v>38</v>
      </c>
      <c r="K3790">
        <v>4758</v>
      </c>
      <c r="L3790">
        <v>43</v>
      </c>
      <c r="M3790">
        <v>46.16</v>
      </c>
      <c r="N3790">
        <v>2</v>
      </c>
      <c r="O3790">
        <v>79.680000000000007</v>
      </c>
      <c r="P3790">
        <f t="shared" si="236"/>
        <v>9.0374106767549395E-3</v>
      </c>
      <c r="Q3790">
        <f t="shared" si="236"/>
        <v>1.0734883720930233</v>
      </c>
      <c r="R3790">
        <f t="shared" si="237"/>
        <v>23.08</v>
      </c>
      <c r="S3790">
        <f t="shared" si="238"/>
        <v>1.7261698440207975</v>
      </c>
      <c r="T3790">
        <f t="shared" si="239"/>
        <v>4.6511627906976744E-2</v>
      </c>
      <c r="U3790" t="str">
        <f>YEAR('Campaign Data'!$A3790)&amp;"-"&amp;TEXT(MONTH('Campaign Data'!$A3790),"00")</f>
        <v>2026-07</v>
      </c>
    </row>
    <row r="3791" spans="1:21" x14ac:dyDescent="0.25">
      <c r="A3791">
        <v>46230</v>
      </c>
      <c r="B3791" t="s">
        <v>161</v>
      </c>
      <c r="C3791" t="s">
        <v>162</v>
      </c>
      <c r="D3791" t="s">
        <v>48</v>
      </c>
      <c r="E3791" t="s">
        <v>74</v>
      </c>
      <c r="F3791" t="s">
        <v>34</v>
      </c>
      <c r="G3791" t="s">
        <v>107</v>
      </c>
      <c r="H3791" t="s">
        <v>90</v>
      </c>
      <c r="I3791" t="s">
        <v>37</v>
      </c>
      <c r="J3791" t="s">
        <v>38</v>
      </c>
      <c r="K3791">
        <v>7329</v>
      </c>
      <c r="L3791">
        <v>285</v>
      </c>
      <c r="M3791">
        <v>68.2</v>
      </c>
      <c r="N3791">
        <v>16</v>
      </c>
      <c r="O3791">
        <v>1021.03</v>
      </c>
      <c r="P3791">
        <f t="shared" si="236"/>
        <v>3.8886614817846908E-2</v>
      </c>
      <c r="Q3791">
        <f t="shared" si="236"/>
        <v>0.23929824561403509</v>
      </c>
      <c r="R3791">
        <f t="shared" si="237"/>
        <v>4.2625000000000002</v>
      </c>
      <c r="S3791">
        <f t="shared" si="238"/>
        <v>14.971114369501466</v>
      </c>
      <c r="T3791">
        <f t="shared" si="239"/>
        <v>5.6140350877192984E-2</v>
      </c>
      <c r="U3791" t="str">
        <f>YEAR('Campaign Data'!$A3791)&amp;"-"&amp;TEXT(MONTH('Campaign Data'!$A3791),"00")</f>
        <v>2026-07</v>
      </c>
    </row>
    <row r="3792" spans="1:21" x14ac:dyDescent="0.25">
      <c r="A3792">
        <v>46230</v>
      </c>
      <c r="B3792" t="s">
        <v>67</v>
      </c>
      <c r="C3792" t="s">
        <v>68</v>
      </c>
      <c r="D3792" t="s">
        <v>69</v>
      </c>
      <c r="E3792" t="s">
        <v>49</v>
      </c>
      <c r="F3792" t="s">
        <v>34</v>
      </c>
      <c r="G3792" t="s">
        <v>70</v>
      </c>
      <c r="H3792" t="s">
        <v>55</v>
      </c>
      <c r="I3792" t="s">
        <v>37</v>
      </c>
      <c r="J3792" t="s">
        <v>62</v>
      </c>
      <c r="K3792">
        <v>6023</v>
      </c>
      <c r="L3792">
        <v>374</v>
      </c>
      <c r="M3792">
        <v>665.94</v>
      </c>
      <c r="N3792">
        <v>21</v>
      </c>
      <c r="O3792">
        <v>3624.07</v>
      </c>
      <c r="P3792">
        <f t="shared" si="236"/>
        <v>6.2095301344844762E-2</v>
      </c>
      <c r="Q3792">
        <f t="shared" si="236"/>
        <v>1.7805882352941178</v>
      </c>
      <c r="R3792">
        <f t="shared" si="237"/>
        <v>31.711428571428574</v>
      </c>
      <c r="S3792">
        <f t="shared" si="238"/>
        <v>5.4420368201339455</v>
      </c>
      <c r="T3792">
        <f t="shared" si="239"/>
        <v>5.6149732620320858E-2</v>
      </c>
      <c r="U3792" t="str">
        <f>YEAR('Campaign Data'!$A3792)&amp;"-"&amp;TEXT(MONTH('Campaign Data'!$A3792),"00")</f>
        <v>2026-07</v>
      </c>
    </row>
    <row r="3793" spans="1:21" x14ac:dyDescent="0.25">
      <c r="A3793">
        <v>46230</v>
      </c>
      <c r="B3793" t="s">
        <v>116</v>
      </c>
      <c r="C3793" t="s">
        <v>117</v>
      </c>
      <c r="D3793" t="s">
        <v>48</v>
      </c>
      <c r="E3793" t="s">
        <v>24</v>
      </c>
      <c r="F3793" t="s">
        <v>43</v>
      </c>
      <c r="G3793" t="s">
        <v>26</v>
      </c>
      <c r="H3793" t="s">
        <v>90</v>
      </c>
      <c r="I3793" t="s">
        <v>37</v>
      </c>
      <c r="J3793" t="s">
        <v>29</v>
      </c>
      <c r="K3793">
        <v>5445</v>
      </c>
      <c r="L3793">
        <v>89</v>
      </c>
      <c r="M3793">
        <v>26.47</v>
      </c>
      <c r="N3793">
        <v>0</v>
      </c>
      <c r="O3793">
        <v>0</v>
      </c>
      <c r="P3793">
        <f t="shared" si="236"/>
        <v>1.6345270890725436E-2</v>
      </c>
      <c r="Q3793">
        <f t="shared" si="236"/>
        <v>0.29741573033707863</v>
      </c>
      <c r="R3793">
        <f t="shared" si="237"/>
        <v>0</v>
      </c>
      <c r="S3793">
        <f t="shared" si="238"/>
        <v>0</v>
      </c>
      <c r="T3793">
        <f t="shared" si="239"/>
        <v>0</v>
      </c>
      <c r="U3793" t="str">
        <f>YEAR('Campaign Data'!$A3793)&amp;"-"&amp;TEXT(MONTH('Campaign Data'!$A3793),"00")</f>
        <v>2026-07</v>
      </c>
    </row>
    <row r="3794" spans="1:21" x14ac:dyDescent="0.25">
      <c r="A3794">
        <v>46230</v>
      </c>
      <c r="B3794" t="s">
        <v>118</v>
      </c>
      <c r="C3794" t="s">
        <v>119</v>
      </c>
      <c r="D3794" t="s">
        <v>69</v>
      </c>
      <c r="E3794" t="s">
        <v>33</v>
      </c>
      <c r="F3794" t="s">
        <v>34</v>
      </c>
      <c r="G3794" t="s">
        <v>35</v>
      </c>
      <c r="H3794" t="s">
        <v>27</v>
      </c>
      <c r="I3794" t="s">
        <v>61</v>
      </c>
      <c r="J3794" t="s">
        <v>87</v>
      </c>
      <c r="K3794">
        <v>5723</v>
      </c>
      <c r="L3794">
        <v>28</v>
      </c>
      <c r="M3794">
        <v>17.66</v>
      </c>
      <c r="N3794">
        <v>0</v>
      </c>
      <c r="O3794">
        <v>0</v>
      </c>
      <c r="P3794">
        <f t="shared" si="236"/>
        <v>4.8925388782107291E-3</v>
      </c>
      <c r="Q3794">
        <f t="shared" si="236"/>
        <v>0.63071428571428567</v>
      </c>
      <c r="R3794">
        <f t="shared" si="237"/>
        <v>0</v>
      </c>
      <c r="S3794">
        <f t="shared" si="238"/>
        <v>0</v>
      </c>
      <c r="T3794">
        <f t="shared" si="239"/>
        <v>0</v>
      </c>
      <c r="U3794" t="str">
        <f>YEAR('Campaign Data'!$A3794)&amp;"-"&amp;TEXT(MONTH('Campaign Data'!$A3794),"00")</f>
        <v>2026-07</v>
      </c>
    </row>
    <row r="3795" spans="1:21" x14ac:dyDescent="0.25">
      <c r="A3795">
        <v>46231</v>
      </c>
      <c r="B3795" t="s">
        <v>85</v>
      </c>
      <c r="C3795" t="s">
        <v>86</v>
      </c>
      <c r="D3795" t="s">
        <v>80</v>
      </c>
      <c r="E3795" t="s">
        <v>33</v>
      </c>
      <c r="F3795" t="s">
        <v>43</v>
      </c>
      <c r="G3795" t="s">
        <v>35</v>
      </c>
      <c r="H3795" t="s">
        <v>71</v>
      </c>
      <c r="I3795" t="s">
        <v>37</v>
      </c>
      <c r="J3795" t="s">
        <v>38</v>
      </c>
      <c r="K3795">
        <v>9025</v>
      </c>
      <c r="L3795">
        <v>45</v>
      </c>
      <c r="M3795">
        <v>26.26</v>
      </c>
      <c r="N3795">
        <v>1</v>
      </c>
      <c r="O3795">
        <v>12.21</v>
      </c>
      <c r="P3795">
        <f t="shared" si="236"/>
        <v>4.9861495844875344E-3</v>
      </c>
      <c r="Q3795">
        <f t="shared" si="236"/>
        <v>0.58355555555555561</v>
      </c>
      <c r="R3795">
        <f t="shared" si="237"/>
        <v>26.26</v>
      </c>
      <c r="S3795">
        <f t="shared" si="238"/>
        <v>0.46496572734196495</v>
      </c>
      <c r="T3795">
        <f t="shared" si="239"/>
        <v>2.2222222222222223E-2</v>
      </c>
      <c r="U3795" t="str">
        <f>YEAR('Campaign Data'!$A3795)&amp;"-"&amp;TEXT(MONTH('Campaign Data'!$A3795),"00")</f>
        <v>2026-07</v>
      </c>
    </row>
    <row r="3796" spans="1:21" x14ac:dyDescent="0.25">
      <c r="A3796">
        <v>46231</v>
      </c>
      <c r="B3796" t="s">
        <v>167</v>
      </c>
      <c r="C3796" t="s">
        <v>168</v>
      </c>
      <c r="D3796" t="s">
        <v>58</v>
      </c>
      <c r="E3796" t="s">
        <v>33</v>
      </c>
      <c r="F3796" t="s">
        <v>75</v>
      </c>
      <c r="G3796" t="s">
        <v>35</v>
      </c>
      <c r="H3796" t="s">
        <v>27</v>
      </c>
      <c r="I3796" t="s">
        <v>37</v>
      </c>
      <c r="J3796" t="s">
        <v>29</v>
      </c>
      <c r="K3796">
        <v>3089</v>
      </c>
      <c r="L3796">
        <v>18</v>
      </c>
      <c r="M3796">
        <v>16.920000000000002</v>
      </c>
      <c r="N3796">
        <v>0</v>
      </c>
      <c r="O3796">
        <v>0</v>
      </c>
      <c r="P3796">
        <f t="shared" si="236"/>
        <v>5.8271285205568147E-3</v>
      </c>
      <c r="Q3796">
        <f t="shared" si="236"/>
        <v>0.94000000000000006</v>
      </c>
      <c r="R3796">
        <f t="shared" si="237"/>
        <v>0</v>
      </c>
      <c r="S3796">
        <f t="shared" si="238"/>
        <v>0</v>
      </c>
      <c r="T3796">
        <f t="shared" si="239"/>
        <v>0</v>
      </c>
      <c r="U3796" t="str">
        <f>YEAR('Campaign Data'!$A3796)&amp;"-"&amp;TEXT(MONTH('Campaign Data'!$A3796),"00")</f>
        <v>2026-07</v>
      </c>
    </row>
    <row r="3797" spans="1:21" x14ac:dyDescent="0.25">
      <c r="A3797">
        <v>46231</v>
      </c>
      <c r="B3797" t="s">
        <v>149</v>
      </c>
      <c r="C3797" t="s">
        <v>150</v>
      </c>
      <c r="D3797" t="s">
        <v>65</v>
      </c>
      <c r="E3797" t="s">
        <v>33</v>
      </c>
      <c r="F3797" t="s">
        <v>43</v>
      </c>
      <c r="G3797" t="s">
        <v>59</v>
      </c>
      <c r="H3797" t="s">
        <v>90</v>
      </c>
      <c r="I3797" t="s">
        <v>37</v>
      </c>
      <c r="J3797" t="s">
        <v>45</v>
      </c>
      <c r="K3797">
        <v>6217</v>
      </c>
      <c r="L3797">
        <v>37</v>
      </c>
      <c r="M3797">
        <v>8.08</v>
      </c>
      <c r="N3797">
        <v>0</v>
      </c>
      <c r="O3797">
        <v>0</v>
      </c>
      <c r="P3797">
        <f t="shared" si="236"/>
        <v>5.9514235161653535E-3</v>
      </c>
      <c r="Q3797">
        <f t="shared" si="236"/>
        <v>0.21837837837837837</v>
      </c>
      <c r="R3797">
        <f t="shared" si="237"/>
        <v>0</v>
      </c>
      <c r="S3797">
        <f t="shared" si="238"/>
        <v>0</v>
      </c>
      <c r="T3797">
        <f t="shared" si="239"/>
        <v>0</v>
      </c>
      <c r="U3797" t="str">
        <f>YEAR('Campaign Data'!$A3797)&amp;"-"&amp;TEXT(MONTH('Campaign Data'!$A3797),"00")</f>
        <v>2026-07</v>
      </c>
    </row>
    <row r="3798" spans="1:21" x14ac:dyDescent="0.25">
      <c r="A3798">
        <v>46231</v>
      </c>
      <c r="B3798" t="s">
        <v>127</v>
      </c>
      <c r="C3798" t="s">
        <v>128</v>
      </c>
      <c r="D3798" t="s">
        <v>58</v>
      </c>
      <c r="E3798" t="s">
        <v>24</v>
      </c>
      <c r="F3798" t="s">
        <v>81</v>
      </c>
      <c r="G3798" t="s">
        <v>129</v>
      </c>
      <c r="H3798" t="s">
        <v>51</v>
      </c>
      <c r="I3798" t="s">
        <v>37</v>
      </c>
      <c r="J3798" t="s">
        <v>29</v>
      </c>
      <c r="K3798">
        <v>5002</v>
      </c>
      <c r="L3798">
        <v>64</v>
      </c>
      <c r="M3798">
        <v>72.87</v>
      </c>
      <c r="N3798">
        <v>2</v>
      </c>
      <c r="O3798">
        <v>51.81</v>
      </c>
      <c r="P3798">
        <f t="shared" si="236"/>
        <v>1.2794882047181128E-2</v>
      </c>
      <c r="Q3798">
        <f t="shared" si="236"/>
        <v>1.1385937500000001</v>
      </c>
      <c r="R3798">
        <f t="shared" si="237"/>
        <v>36.435000000000002</v>
      </c>
      <c r="S3798">
        <f t="shared" si="238"/>
        <v>0.71099217785096747</v>
      </c>
      <c r="T3798">
        <f t="shared" si="239"/>
        <v>3.125E-2</v>
      </c>
      <c r="U3798" t="str">
        <f>YEAR('Campaign Data'!$A3798)&amp;"-"&amp;TEXT(MONTH('Campaign Data'!$A3798),"00")</f>
        <v>2026-07</v>
      </c>
    </row>
    <row r="3799" spans="1:21" x14ac:dyDescent="0.25">
      <c r="A3799">
        <v>46231</v>
      </c>
      <c r="B3799" t="s">
        <v>130</v>
      </c>
      <c r="C3799" t="s">
        <v>131</v>
      </c>
      <c r="D3799" t="s">
        <v>48</v>
      </c>
      <c r="E3799" t="s">
        <v>33</v>
      </c>
      <c r="F3799" t="s">
        <v>34</v>
      </c>
      <c r="G3799" t="s">
        <v>35</v>
      </c>
      <c r="H3799" t="s">
        <v>27</v>
      </c>
      <c r="I3799" t="s">
        <v>37</v>
      </c>
      <c r="J3799" t="s">
        <v>29</v>
      </c>
      <c r="K3799">
        <v>6124</v>
      </c>
      <c r="L3799">
        <v>26</v>
      </c>
      <c r="M3799">
        <v>22.36</v>
      </c>
      <c r="N3799">
        <v>1</v>
      </c>
      <c r="O3799">
        <v>267.48</v>
      </c>
      <c r="P3799">
        <f t="shared" si="236"/>
        <v>4.245591116917048E-3</v>
      </c>
      <c r="Q3799">
        <f t="shared" si="236"/>
        <v>0.86</v>
      </c>
      <c r="R3799">
        <f t="shared" si="237"/>
        <v>22.36</v>
      </c>
      <c r="S3799">
        <f t="shared" si="238"/>
        <v>11.962432915921289</v>
      </c>
      <c r="T3799">
        <f t="shared" si="239"/>
        <v>3.8461538461538464E-2</v>
      </c>
      <c r="U3799" t="str">
        <f>YEAR('Campaign Data'!$A3799)&amp;"-"&amp;TEXT(MONTH('Campaign Data'!$A3799),"00")</f>
        <v>2026-07</v>
      </c>
    </row>
    <row r="3800" spans="1:21" x14ac:dyDescent="0.25">
      <c r="A3800">
        <v>46231</v>
      </c>
      <c r="B3800" t="s">
        <v>179</v>
      </c>
      <c r="C3800" t="s">
        <v>180</v>
      </c>
      <c r="D3800" t="s">
        <v>58</v>
      </c>
      <c r="E3800" t="s">
        <v>42</v>
      </c>
      <c r="F3800" t="s">
        <v>25</v>
      </c>
      <c r="G3800" t="s">
        <v>54</v>
      </c>
      <c r="H3800" t="s">
        <v>90</v>
      </c>
      <c r="I3800" t="s">
        <v>28</v>
      </c>
      <c r="J3800" t="s">
        <v>87</v>
      </c>
      <c r="K3800">
        <v>12452</v>
      </c>
      <c r="L3800">
        <v>88</v>
      </c>
      <c r="M3800">
        <v>122.18</v>
      </c>
      <c r="N3800">
        <v>3</v>
      </c>
      <c r="O3800">
        <v>114.78</v>
      </c>
      <c r="P3800">
        <f t="shared" si="236"/>
        <v>7.0671378091872791E-3</v>
      </c>
      <c r="Q3800">
        <f t="shared" si="236"/>
        <v>1.3884090909090909</v>
      </c>
      <c r="R3800">
        <f t="shared" si="237"/>
        <v>40.726666666666667</v>
      </c>
      <c r="S3800">
        <f t="shared" si="238"/>
        <v>0.93943362252414464</v>
      </c>
      <c r="T3800">
        <f t="shared" si="239"/>
        <v>3.4090909090909088E-2</v>
      </c>
      <c r="U3800" t="str">
        <f>YEAR('Campaign Data'!$A3800)&amp;"-"&amp;TEXT(MONTH('Campaign Data'!$A3800),"00")</f>
        <v>2026-07</v>
      </c>
    </row>
    <row r="3801" spans="1:21" x14ac:dyDescent="0.25">
      <c r="A3801">
        <v>46231</v>
      </c>
      <c r="B3801" t="s">
        <v>140</v>
      </c>
      <c r="C3801" t="s">
        <v>40</v>
      </c>
      <c r="D3801" t="s">
        <v>41</v>
      </c>
      <c r="E3801" t="s">
        <v>42</v>
      </c>
      <c r="F3801" t="s">
        <v>43</v>
      </c>
      <c r="G3801" t="s">
        <v>44</v>
      </c>
      <c r="H3801" t="s">
        <v>60</v>
      </c>
      <c r="I3801" t="s">
        <v>28</v>
      </c>
      <c r="J3801" t="s">
        <v>45</v>
      </c>
      <c r="K3801">
        <v>2412</v>
      </c>
      <c r="L3801">
        <v>11</v>
      </c>
      <c r="M3801">
        <v>55.19</v>
      </c>
      <c r="N3801">
        <v>1</v>
      </c>
      <c r="O3801">
        <v>24.43</v>
      </c>
      <c r="P3801">
        <f t="shared" si="236"/>
        <v>4.5605306799336651E-3</v>
      </c>
      <c r="Q3801">
        <f t="shared" si="236"/>
        <v>5.0172727272727267</v>
      </c>
      <c r="R3801">
        <f t="shared" si="237"/>
        <v>55.19</v>
      </c>
      <c r="S3801">
        <f t="shared" si="238"/>
        <v>0.44265265446638885</v>
      </c>
      <c r="T3801">
        <f t="shared" si="239"/>
        <v>9.0909090909090912E-2</v>
      </c>
      <c r="U3801" t="str">
        <f>YEAR('Campaign Data'!$A3801)&amp;"-"&amp;TEXT(MONTH('Campaign Data'!$A3801),"00")</f>
        <v>2026-07</v>
      </c>
    </row>
    <row r="3802" spans="1:21" x14ac:dyDescent="0.25">
      <c r="A3802">
        <v>46231</v>
      </c>
      <c r="B3802" t="s">
        <v>134</v>
      </c>
      <c r="C3802" t="s">
        <v>135</v>
      </c>
      <c r="D3802" t="s">
        <v>32</v>
      </c>
      <c r="E3802" t="s">
        <v>74</v>
      </c>
      <c r="F3802" t="s">
        <v>25</v>
      </c>
      <c r="G3802" t="s">
        <v>107</v>
      </c>
      <c r="H3802" t="s">
        <v>55</v>
      </c>
      <c r="I3802" t="s">
        <v>28</v>
      </c>
      <c r="J3802" t="s">
        <v>29</v>
      </c>
      <c r="K3802">
        <v>13700</v>
      </c>
      <c r="L3802">
        <v>444</v>
      </c>
      <c r="M3802">
        <v>634.32000000000005</v>
      </c>
      <c r="N3802">
        <v>24</v>
      </c>
      <c r="O3802">
        <v>1537.75</v>
      </c>
      <c r="P3802">
        <f t="shared" si="236"/>
        <v>3.240875912408759E-2</v>
      </c>
      <c r="Q3802">
        <f t="shared" si="236"/>
        <v>1.4286486486486487</v>
      </c>
      <c r="R3802">
        <f t="shared" si="237"/>
        <v>26.430000000000003</v>
      </c>
      <c r="S3802">
        <f t="shared" si="238"/>
        <v>2.4242495901122458</v>
      </c>
      <c r="T3802">
        <f t="shared" si="239"/>
        <v>5.4054054054054057E-2</v>
      </c>
      <c r="U3802" t="str">
        <f>YEAR('Campaign Data'!$A3802)&amp;"-"&amp;TEXT(MONTH('Campaign Data'!$A3802),"00")</f>
        <v>2026-07</v>
      </c>
    </row>
    <row r="3803" spans="1:21" x14ac:dyDescent="0.25">
      <c r="A3803">
        <v>46231</v>
      </c>
      <c r="B3803" t="s">
        <v>181</v>
      </c>
      <c r="C3803" t="s">
        <v>182</v>
      </c>
      <c r="D3803" t="s">
        <v>32</v>
      </c>
      <c r="E3803" t="s">
        <v>33</v>
      </c>
      <c r="F3803" t="s">
        <v>75</v>
      </c>
      <c r="G3803" t="s">
        <v>59</v>
      </c>
      <c r="H3803" t="s">
        <v>27</v>
      </c>
      <c r="I3803" t="s">
        <v>28</v>
      </c>
      <c r="J3803" t="s">
        <v>87</v>
      </c>
      <c r="K3803">
        <v>4458</v>
      </c>
      <c r="L3803">
        <v>32</v>
      </c>
      <c r="M3803">
        <v>21.67</v>
      </c>
      <c r="N3803">
        <v>1</v>
      </c>
      <c r="O3803">
        <v>45.22</v>
      </c>
      <c r="P3803">
        <f t="shared" si="236"/>
        <v>7.1781067743382681E-3</v>
      </c>
      <c r="Q3803">
        <f t="shared" si="236"/>
        <v>0.67718750000000005</v>
      </c>
      <c r="R3803">
        <f t="shared" si="237"/>
        <v>21.67</v>
      </c>
      <c r="S3803">
        <f t="shared" si="238"/>
        <v>2.086755883710198</v>
      </c>
      <c r="T3803">
        <f t="shared" si="239"/>
        <v>3.125E-2</v>
      </c>
      <c r="U3803" t="str">
        <f>YEAR('Campaign Data'!$A3803)&amp;"-"&amp;TEXT(MONTH('Campaign Data'!$A3803),"00")</f>
        <v>2026-07</v>
      </c>
    </row>
    <row r="3804" spans="1:21" x14ac:dyDescent="0.25">
      <c r="A3804">
        <v>46231</v>
      </c>
      <c r="B3804" t="s">
        <v>56</v>
      </c>
      <c r="C3804" t="s">
        <v>57</v>
      </c>
      <c r="D3804" t="s">
        <v>58</v>
      </c>
      <c r="E3804" t="s">
        <v>33</v>
      </c>
      <c r="F3804" t="s">
        <v>43</v>
      </c>
      <c r="G3804" t="s">
        <v>59</v>
      </c>
      <c r="H3804" t="s">
        <v>36</v>
      </c>
      <c r="I3804" t="s">
        <v>37</v>
      </c>
      <c r="J3804" t="s">
        <v>29</v>
      </c>
      <c r="K3804">
        <v>10206</v>
      </c>
      <c r="L3804">
        <v>119</v>
      </c>
      <c r="M3804">
        <v>90.35</v>
      </c>
      <c r="N3804">
        <v>2</v>
      </c>
      <c r="O3804">
        <v>56.59</v>
      </c>
      <c r="P3804">
        <f t="shared" si="236"/>
        <v>1.1659807956104253E-2</v>
      </c>
      <c r="Q3804">
        <f t="shared" si="236"/>
        <v>0.75924369747899156</v>
      </c>
      <c r="R3804">
        <f t="shared" si="237"/>
        <v>45.174999999999997</v>
      </c>
      <c r="S3804">
        <f t="shared" si="238"/>
        <v>0.62634200332042067</v>
      </c>
      <c r="T3804">
        <f t="shared" si="239"/>
        <v>1.680672268907563E-2</v>
      </c>
      <c r="U3804" t="str">
        <f>YEAR('Campaign Data'!$A3804)&amp;"-"&amp;TEXT(MONTH('Campaign Data'!$A3804),"00")</f>
        <v>2026-07</v>
      </c>
    </row>
    <row r="3805" spans="1:21" x14ac:dyDescent="0.25">
      <c r="A3805">
        <v>46231</v>
      </c>
      <c r="B3805" t="s">
        <v>141</v>
      </c>
      <c r="C3805" t="s">
        <v>142</v>
      </c>
      <c r="D3805" t="s">
        <v>80</v>
      </c>
      <c r="E3805" t="s">
        <v>49</v>
      </c>
      <c r="F3805" t="s">
        <v>81</v>
      </c>
      <c r="G3805" t="s">
        <v>97</v>
      </c>
      <c r="H3805" t="s">
        <v>90</v>
      </c>
      <c r="I3805" t="s">
        <v>37</v>
      </c>
      <c r="J3805" t="s">
        <v>87</v>
      </c>
      <c r="K3805">
        <v>8751</v>
      </c>
      <c r="L3805">
        <v>351</v>
      </c>
      <c r="M3805">
        <v>251.67</v>
      </c>
      <c r="N3805">
        <v>26</v>
      </c>
      <c r="O3805">
        <v>132.54</v>
      </c>
      <c r="P3805">
        <f t="shared" si="236"/>
        <v>4.0109701748371612E-2</v>
      </c>
      <c r="Q3805">
        <f t="shared" si="236"/>
        <v>0.71700854700854699</v>
      </c>
      <c r="R3805">
        <f t="shared" si="237"/>
        <v>9.679615384615385</v>
      </c>
      <c r="S3805">
        <f t="shared" si="238"/>
        <v>0.52664203123137443</v>
      </c>
      <c r="T3805">
        <f t="shared" si="239"/>
        <v>7.407407407407407E-2</v>
      </c>
      <c r="U3805" t="str">
        <f>YEAR('Campaign Data'!$A3805)&amp;"-"&amp;TEXT(MONTH('Campaign Data'!$A3805),"00")</f>
        <v>2026-07</v>
      </c>
    </row>
    <row r="3806" spans="1:21" x14ac:dyDescent="0.25">
      <c r="A3806">
        <v>46231</v>
      </c>
      <c r="B3806" t="s">
        <v>141</v>
      </c>
      <c r="C3806" t="s">
        <v>142</v>
      </c>
      <c r="D3806" t="s">
        <v>80</v>
      </c>
      <c r="E3806" t="s">
        <v>49</v>
      </c>
      <c r="F3806" t="s">
        <v>81</v>
      </c>
      <c r="G3806" t="s">
        <v>97</v>
      </c>
      <c r="H3806" t="s">
        <v>27</v>
      </c>
      <c r="I3806" t="s">
        <v>37</v>
      </c>
      <c r="J3806" t="s">
        <v>29</v>
      </c>
      <c r="K3806">
        <v>4293</v>
      </c>
      <c r="L3806">
        <v>95</v>
      </c>
      <c r="M3806">
        <v>266.54000000000002</v>
      </c>
      <c r="N3806">
        <v>6</v>
      </c>
      <c r="O3806">
        <v>156.52000000000001</v>
      </c>
      <c r="P3806">
        <f t="shared" si="236"/>
        <v>2.2129047286279992E-2</v>
      </c>
      <c r="Q3806">
        <f t="shared" si="236"/>
        <v>2.8056842105263162</v>
      </c>
      <c r="R3806">
        <f t="shared" si="237"/>
        <v>44.423333333333339</v>
      </c>
      <c r="S3806">
        <f t="shared" si="238"/>
        <v>0.58722893374352814</v>
      </c>
      <c r="T3806">
        <f t="shared" si="239"/>
        <v>6.3157894736842107E-2</v>
      </c>
      <c r="U3806" t="str">
        <f>YEAR('Campaign Data'!$A3806)&amp;"-"&amp;TEXT(MONTH('Campaign Data'!$A3806),"00")</f>
        <v>2026-07</v>
      </c>
    </row>
    <row r="3807" spans="1:21" x14ac:dyDescent="0.25">
      <c r="A3807">
        <v>46231</v>
      </c>
      <c r="B3807" t="s">
        <v>136</v>
      </c>
      <c r="C3807" t="s">
        <v>137</v>
      </c>
      <c r="D3807" t="s">
        <v>32</v>
      </c>
      <c r="E3807" t="s">
        <v>49</v>
      </c>
      <c r="F3807" t="s">
        <v>75</v>
      </c>
      <c r="G3807" t="s">
        <v>97</v>
      </c>
      <c r="H3807" t="s">
        <v>90</v>
      </c>
      <c r="I3807" t="s">
        <v>28</v>
      </c>
      <c r="J3807" t="s">
        <v>87</v>
      </c>
      <c r="K3807">
        <v>8426</v>
      </c>
      <c r="L3807">
        <v>318</v>
      </c>
      <c r="M3807">
        <v>144.28</v>
      </c>
      <c r="N3807">
        <v>20</v>
      </c>
      <c r="O3807">
        <v>167.29</v>
      </c>
      <c r="P3807">
        <f t="shared" si="236"/>
        <v>3.7740327557559933E-2</v>
      </c>
      <c r="Q3807">
        <f t="shared" si="236"/>
        <v>0.45371069182389939</v>
      </c>
      <c r="R3807">
        <f t="shared" si="237"/>
        <v>7.2140000000000004</v>
      </c>
      <c r="S3807">
        <f t="shared" si="238"/>
        <v>1.1594815636262821</v>
      </c>
      <c r="T3807">
        <f t="shared" si="239"/>
        <v>6.2893081761006289E-2</v>
      </c>
      <c r="U3807" t="str">
        <f>YEAR('Campaign Data'!$A3807)&amp;"-"&amp;TEXT(MONTH('Campaign Data'!$A3807),"00")</f>
        <v>2026-07</v>
      </c>
    </row>
    <row r="3808" spans="1:21" x14ac:dyDescent="0.25">
      <c r="A3808">
        <v>46231</v>
      </c>
      <c r="B3808" t="s">
        <v>136</v>
      </c>
      <c r="C3808" t="s">
        <v>137</v>
      </c>
      <c r="D3808" t="s">
        <v>32</v>
      </c>
      <c r="E3808" t="s">
        <v>49</v>
      </c>
      <c r="F3808" t="s">
        <v>75</v>
      </c>
      <c r="G3808" t="s">
        <v>97</v>
      </c>
      <c r="H3808" t="s">
        <v>90</v>
      </c>
      <c r="I3808" t="s">
        <v>28</v>
      </c>
      <c r="J3808" t="s">
        <v>45</v>
      </c>
      <c r="K3808">
        <v>11469</v>
      </c>
      <c r="L3808">
        <v>618</v>
      </c>
      <c r="M3808">
        <v>272.89999999999998</v>
      </c>
      <c r="N3808">
        <v>24</v>
      </c>
      <c r="O3808">
        <v>242.52</v>
      </c>
      <c r="P3808">
        <f t="shared" si="236"/>
        <v>5.3884383991629613E-2</v>
      </c>
      <c r="Q3808">
        <f t="shared" si="236"/>
        <v>0.4415857605177993</v>
      </c>
      <c r="R3808">
        <f t="shared" si="237"/>
        <v>11.370833333333332</v>
      </c>
      <c r="S3808">
        <f t="shared" si="238"/>
        <v>0.88867717112495426</v>
      </c>
      <c r="T3808">
        <f t="shared" si="239"/>
        <v>3.8834951456310676E-2</v>
      </c>
      <c r="U3808" t="str">
        <f>YEAR('Campaign Data'!$A3808)&amp;"-"&amp;TEXT(MONTH('Campaign Data'!$A3808),"00")</f>
        <v>2026-07</v>
      </c>
    </row>
    <row r="3809" spans="1:21" x14ac:dyDescent="0.25">
      <c r="A3809">
        <v>46231</v>
      </c>
      <c r="B3809" t="s">
        <v>63</v>
      </c>
      <c r="C3809" t="s">
        <v>64</v>
      </c>
      <c r="D3809" t="s">
        <v>65</v>
      </c>
      <c r="E3809" t="s">
        <v>24</v>
      </c>
      <c r="F3809" t="s">
        <v>43</v>
      </c>
      <c r="G3809" t="s">
        <v>66</v>
      </c>
      <c r="H3809" t="s">
        <v>90</v>
      </c>
      <c r="I3809" t="s">
        <v>37</v>
      </c>
      <c r="J3809" t="s">
        <v>45</v>
      </c>
      <c r="K3809">
        <v>11290</v>
      </c>
      <c r="L3809">
        <v>106</v>
      </c>
      <c r="M3809">
        <v>23.57</v>
      </c>
      <c r="N3809">
        <v>2</v>
      </c>
      <c r="O3809">
        <v>10.92</v>
      </c>
      <c r="P3809">
        <f t="shared" si="236"/>
        <v>9.3888396811337461E-3</v>
      </c>
      <c r="Q3809">
        <f t="shared" si="236"/>
        <v>0.22235849056603774</v>
      </c>
      <c r="R3809">
        <f t="shared" si="237"/>
        <v>11.785</v>
      </c>
      <c r="S3809">
        <f t="shared" si="238"/>
        <v>0.46330080610946117</v>
      </c>
      <c r="T3809">
        <f t="shared" si="239"/>
        <v>1.8867924528301886E-2</v>
      </c>
      <c r="U3809" t="str">
        <f>YEAR('Campaign Data'!$A3809)&amp;"-"&amp;TEXT(MONTH('Campaign Data'!$A3809),"00")</f>
        <v>2026-07</v>
      </c>
    </row>
    <row r="3810" spans="1:21" x14ac:dyDescent="0.25">
      <c r="A3810">
        <v>46231</v>
      </c>
      <c r="B3810" t="s">
        <v>163</v>
      </c>
      <c r="C3810" t="s">
        <v>164</v>
      </c>
      <c r="D3810" t="s">
        <v>58</v>
      </c>
      <c r="E3810" t="s">
        <v>42</v>
      </c>
      <c r="F3810" t="s">
        <v>43</v>
      </c>
      <c r="G3810" t="s">
        <v>44</v>
      </c>
      <c r="H3810" t="s">
        <v>90</v>
      </c>
      <c r="I3810" t="s">
        <v>28</v>
      </c>
      <c r="J3810" t="s">
        <v>87</v>
      </c>
      <c r="K3810">
        <v>2610</v>
      </c>
      <c r="L3810">
        <v>15</v>
      </c>
      <c r="M3810">
        <v>21.26</v>
      </c>
      <c r="N3810">
        <v>0</v>
      </c>
      <c r="O3810">
        <v>0</v>
      </c>
      <c r="P3810">
        <f t="shared" si="236"/>
        <v>5.7471264367816091E-3</v>
      </c>
      <c r="Q3810">
        <f t="shared" si="236"/>
        <v>1.4173333333333333</v>
      </c>
      <c r="R3810">
        <f t="shared" si="237"/>
        <v>0</v>
      </c>
      <c r="S3810">
        <f t="shared" si="238"/>
        <v>0</v>
      </c>
      <c r="T3810">
        <f t="shared" si="239"/>
        <v>0</v>
      </c>
      <c r="U3810" t="str">
        <f>YEAR('Campaign Data'!$A3810)&amp;"-"&amp;TEXT(MONTH('Campaign Data'!$A3810),"00")</f>
        <v>2026-07</v>
      </c>
    </row>
    <row r="3811" spans="1:21" x14ac:dyDescent="0.25">
      <c r="A3811">
        <v>46231</v>
      </c>
      <c r="B3811" t="s">
        <v>145</v>
      </c>
      <c r="C3811" t="s">
        <v>146</v>
      </c>
      <c r="D3811" t="s">
        <v>41</v>
      </c>
      <c r="E3811" t="s">
        <v>49</v>
      </c>
      <c r="F3811" t="s">
        <v>75</v>
      </c>
      <c r="G3811" t="s">
        <v>70</v>
      </c>
      <c r="H3811" t="s">
        <v>90</v>
      </c>
      <c r="I3811" t="s">
        <v>28</v>
      </c>
      <c r="J3811" t="s">
        <v>87</v>
      </c>
      <c r="K3811">
        <v>2871</v>
      </c>
      <c r="L3811">
        <v>116</v>
      </c>
      <c r="M3811">
        <v>38.35</v>
      </c>
      <c r="N3811">
        <v>4</v>
      </c>
      <c r="O3811">
        <v>42.88</v>
      </c>
      <c r="P3811">
        <f t="shared" si="236"/>
        <v>4.0404040404040407E-2</v>
      </c>
      <c r="Q3811">
        <f t="shared" si="236"/>
        <v>0.33060344827586208</v>
      </c>
      <c r="R3811">
        <f t="shared" si="237"/>
        <v>9.5875000000000004</v>
      </c>
      <c r="S3811">
        <f t="shared" si="238"/>
        <v>1.1181225554106911</v>
      </c>
      <c r="T3811">
        <f t="shared" si="239"/>
        <v>3.4482758620689655E-2</v>
      </c>
      <c r="U3811" t="str">
        <f>YEAR('Campaign Data'!$A3811)&amp;"-"&amp;TEXT(MONTH('Campaign Data'!$A3811),"00")</f>
        <v>2026-07</v>
      </c>
    </row>
    <row r="3812" spans="1:21" x14ac:dyDescent="0.25">
      <c r="A3812">
        <v>46232</v>
      </c>
      <c r="B3812" t="s">
        <v>173</v>
      </c>
      <c r="C3812" t="s">
        <v>174</v>
      </c>
      <c r="D3812" t="s">
        <v>48</v>
      </c>
      <c r="E3812" t="s">
        <v>74</v>
      </c>
      <c r="F3812" t="s">
        <v>25</v>
      </c>
      <c r="G3812" t="s">
        <v>9</v>
      </c>
      <c r="H3812" t="s">
        <v>27</v>
      </c>
      <c r="I3812" t="s">
        <v>61</v>
      </c>
      <c r="J3812" t="s">
        <v>45</v>
      </c>
      <c r="K3812">
        <v>2381</v>
      </c>
      <c r="L3812">
        <v>37</v>
      </c>
      <c r="M3812">
        <v>41.51</v>
      </c>
      <c r="N3812">
        <v>2</v>
      </c>
      <c r="O3812">
        <v>339.81</v>
      </c>
      <c r="P3812">
        <f t="shared" si="236"/>
        <v>1.5539689206215875E-2</v>
      </c>
      <c r="Q3812">
        <f t="shared" si="236"/>
        <v>1.1218918918918919</v>
      </c>
      <c r="R3812">
        <f t="shared" si="237"/>
        <v>20.754999999999999</v>
      </c>
      <c r="S3812">
        <f t="shared" si="238"/>
        <v>8.1862201879065282</v>
      </c>
      <c r="T3812">
        <f t="shared" si="239"/>
        <v>5.4054054054054057E-2</v>
      </c>
      <c r="U3812" t="str">
        <f>YEAR('Campaign Data'!$A3812)&amp;"-"&amp;TEXT(MONTH('Campaign Data'!$A3812),"00")</f>
        <v>2026-07</v>
      </c>
    </row>
    <row r="3813" spans="1:21" x14ac:dyDescent="0.25">
      <c r="A3813">
        <v>46232</v>
      </c>
      <c r="B3813" t="s">
        <v>173</v>
      </c>
      <c r="C3813" t="s">
        <v>174</v>
      </c>
      <c r="D3813" t="s">
        <v>48</v>
      </c>
      <c r="E3813" t="s">
        <v>74</v>
      </c>
      <c r="F3813" t="s">
        <v>25</v>
      </c>
      <c r="G3813" t="s">
        <v>9</v>
      </c>
      <c r="H3813" t="s">
        <v>90</v>
      </c>
      <c r="I3813" t="s">
        <v>28</v>
      </c>
      <c r="J3813" t="s">
        <v>29</v>
      </c>
      <c r="K3813">
        <v>3949</v>
      </c>
      <c r="L3813">
        <v>129</v>
      </c>
      <c r="M3813">
        <v>49.92</v>
      </c>
      <c r="N3813">
        <v>3</v>
      </c>
      <c r="O3813">
        <v>131.68</v>
      </c>
      <c r="P3813">
        <f t="shared" si="236"/>
        <v>3.266649784755634E-2</v>
      </c>
      <c r="Q3813">
        <f t="shared" si="236"/>
        <v>0.38697674418604655</v>
      </c>
      <c r="R3813">
        <f t="shared" si="237"/>
        <v>16.64</v>
      </c>
      <c r="S3813">
        <f t="shared" si="238"/>
        <v>2.6378205128205128</v>
      </c>
      <c r="T3813">
        <f t="shared" si="239"/>
        <v>2.3255813953488372E-2</v>
      </c>
      <c r="U3813" t="str">
        <f>YEAR('Campaign Data'!$A3813)&amp;"-"&amp;TEXT(MONTH('Campaign Data'!$A3813),"00")</f>
        <v>2026-07</v>
      </c>
    </row>
    <row r="3814" spans="1:21" x14ac:dyDescent="0.25">
      <c r="A3814">
        <v>46232</v>
      </c>
      <c r="B3814" t="s">
        <v>149</v>
      </c>
      <c r="C3814" t="s">
        <v>150</v>
      </c>
      <c r="D3814" t="s">
        <v>65</v>
      </c>
      <c r="E3814" t="s">
        <v>33</v>
      </c>
      <c r="F3814" t="s">
        <v>43</v>
      </c>
      <c r="G3814" t="s">
        <v>59</v>
      </c>
      <c r="H3814" t="s">
        <v>90</v>
      </c>
      <c r="I3814" t="s">
        <v>37</v>
      </c>
      <c r="J3814" t="s">
        <v>29</v>
      </c>
      <c r="K3814">
        <v>23201</v>
      </c>
      <c r="L3814">
        <v>263</v>
      </c>
      <c r="M3814">
        <v>26.2</v>
      </c>
      <c r="N3814">
        <v>6</v>
      </c>
      <c r="O3814">
        <v>47.52</v>
      </c>
      <c r="P3814">
        <f t="shared" si="236"/>
        <v>1.1335718288004828E-2</v>
      </c>
      <c r="Q3814">
        <f t="shared" si="236"/>
        <v>9.9619771863117865E-2</v>
      </c>
      <c r="R3814">
        <f t="shared" si="237"/>
        <v>4.3666666666666663</v>
      </c>
      <c r="S3814">
        <f t="shared" si="238"/>
        <v>1.8137404580152674</v>
      </c>
      <c r="T3814">
        <f t="shared" si="239"/>
        <v>2.2813688212927757E-2</v>
      </c>
      <c r="U3814" t="str">
        <f>YEAR('Campaign Data'!$A3814)&amp;"-"&amp;TEXT(MONTH('Campaign Data'!$A3814),"00")</f>
        <v>2026-07</v>
      </c>
    </row>
    <row r="3815" spans="1:21" x14ac:dyDescent="0.25">
      <c r="A3815">
        <v>46232</v>
      </c>
      <c r="B3815" t="s">
        <v>91</v>
      </c>
      <c r="C3815" t="s">
        <v>92</v>
      </c>
      <c r="D3815" t="s">
        <v>41</v>
      </c>
      <c r="E3815" t="s">
        <v>74</v>
      </c>
      <c r="F3815" t="s">
        <v>75</v>
      </c>
      <c r="G3815" t="s">
        <v>9</v>
      </c>
      <c r="H3815" t="s">
        <v>90</v>
      </c>
      <c r="I3815" t="s">
        <v>37</v>
      </c>
      <c r="J3815" t="s">
        <v>62</v>
      </c>
      <c r="K3815">
        <v>5716</v>
      </c>
      <c r="L3815">
        <v>159</v>
      </c>
      <c r="M3815">
        <v>50.58</v>
      </c>
      <c r="N3815">
        <v>7</v>
      </c>
      <c r="O3815">
        <v>108.38</v>
      </c>
      <c r="P3815">
        <f t="shared" si="236"/>
        <v>2.781665500349895E-2</v>
      </c>
      <c r="Q3815">
        <f t="shared" si="236"/>
        <v>0.31811320754716982</v>
      </c>
      <c r="R3815">
        <f t="shared" si="237"/>
        <v>7.2257142857142851</v>
      </c>
      <c r="S3815">
        <f t="shared" si="238"/>
        <v>2.1427441676551995</v>
      </c>
      <c r="T3815">
        <f t="shared" si="239"/>
        <v>4.40251572327044E-2</v>
      </c>
      <c r="U3815" t="str">
        <f>YEAR('Campaign Data'!$A3815)&amp;"-"&amp;TEXT(MONTH('Campaign Data'!$A3815),"00")</f>
        <v>2026-07</v>
      </c>
    </row>
    <row r="3816" spans="1:21" x14ac:dyDescent="0.25">
      <c r="A3816">
        <v>46232</v>
      </c>
      <c r="B3816" t="s">
        <v>186</v>
      </c>
      <c r="C3816" t="s">
        <v>187</v>
      </c>
      <c r="D3816" t="s">
        <v>80</v>
      </c>
      <c r="E3816" t="s">
        <v>33</v>
      </c>
      <c r="F3816" t="s">
        <v>43</v>
      </c>
      <c r="G3816" t="s">
        <v>102</v>
      </c>
      <c r="H3816" t="s">
        <v>90</v>
      </c>
      <c r="I3816" t="s">
        <v>37</v>
      </c>
      <c r="J3816" t="s">
        <v>45</v>
      </c>
      <c r="K3816">
        <v>14848</v>
      </c>
      <c r="L3816">
        <v>163</v>
      </c>
      <c r="M3816">
        <v>32.56</v>
      </c>
      <c r="N3816">
        <v>3</v>
      </c>
      <c r="O3816">
        <v>15</v>
      </c>
      <c r="P3816">
        <f t="shared" si="236"/>
        <v>1.0977909482758621E-2</v>
      </c>
      <c r="Q3816">
        <f t="shared" si="236"/>
        <v>0.19975460122699387</v>
      </c>
      <c r="R3816">
        <f t="shared" si="237"/>
        <v>10.853333333333333</v>
      </c>
      <c r="S3816">
        <f t="shared" si="238"/>
        <v>0.46068796068796064</v>
      </c>
      <c r="T3816">
        <f t="shared" si="239"/>
        <v>1.8404907975460124E-2</v>
      </c>
      <c r="U3816" t="str">
        <f>YEAR('Campaign Data'!$A3816)&amp;"-"&amp;TEXT(MONTH('Campaign Data'!$A3816),"00")</f>
        <v>2026-07</v>
      </c>
    </row>
    <row r="3817" spans="1:21" x14ac:dyDescent="0.25">
      <c r="A3817">
        <v>46232</v>
      </c>
      <c r="B3817" t="s">
        <v>30</v>
      </c>
      <c r="C3817" t="s">
        <v>31</v>
      </c>
      <c r="D3817" t="s">
        <v>32</v>
      </c>
      <c r="E3817" t="s">
        <v>33</v>
      </c>
      <c r="F3817" t="s">
        <v>34</v>
      </c>
      <c r="G3817" t="s">
        <v>35</v>
      </c>
      <c r="H3817" t="s">
        <v>36</v>
      </c>
      <c r="I3817" t="s">
        <v>37</v>
      </c>
      <c r="J3817" t="s">
        <v>62</v>
      </c>
      <c r="K3817">
        <v>1911</v>
      </c>
      <c r="L3817">
        <v>28</v>
      </c>
      <c r="M3817">
        <v>20.21</v>
      </c>
      <c r="N3817">
        <v>0</v>
      </c>
      <c r="O3817">
        <v>0</v>
      </c>
      <c r="P3817">
        <f t="shared" si="236"/>
        <v>1.4652014652014652E-2</v>
      </c>
      <c r="Q3817">
        <f t="shared" si="236"/>
        <v>0.72178571428571436</v>
      </c>
      <c r="R3817">
        <f t="shared" si="237"/>
        <v>0</v>
      </c>
      <c r="S3817">
        <f t="shared" si="238"/>
        <v>0</v>
      </c>
      <c r="T3817">
        <f t="shared" si="239"/>
        <v>0</v>
      </c>
      <c r="U3817" t="str">
        <f>YEAR('Campaign Data'!$A3817)&amp;"-"&amp;TEXT(MONTH('Campaign Data'!$A3817),"00")</f>
        <v>2026-07</v>
      </c>
    </row>
    <row r="3818" spans="1:21" x14ac:dyDescent="0.25">
      <c r="A3818">
        <v>46232</v>
      </c>
      <c r="B3818" t="s">
        <v>46</v>
      </c>
      <c r="C3818" t="s">
        <v>47</v>
      </c>
      <c r="D3818" t="s">
        <v>48</v>
      </c>
      <c r="E3818" t="s">
        <v>49</v>
      </c>
      <c r="F3818" t="s">
        <v>43</v>
      </c>
      <c r="G3818" t="s">
        <v>50</v>
      </c>
      <c r="H3818" t="s">
        <v>36</v>
      </c>
      <c r="I3818" t="s">
        <v>28</v>
      </c>
      <c r="J3818" t="s">
        <v>87</v>
      </c>
      <c r="K3818">
        <v>4424</v>
      </c>
      <c r="L3818">
        <v>301</v>
      </c>
      <c r="M3818">
        <v>462.59</v>
      </c>
      <c r="N3818">
        <v>17</v>
      </c>
      <c r="O3818">
        <v>529.94000000000005</v>
      </c>
      <c r="P3818">
        <f t="shared" si="236"/>
        <v>6.8037974683544306E-2</v>
      </c>
      <c r="Q3818">
        <f t="shared" si="236"/>
        <v>1.536843853820598</v>
      </c>
      <c r="R3818">
        <f t="shared" si="237"/>
        <v>27.211176470588235</v>
      </c>
      <c r="S3818">
        <f t="shared" si="238"/>
        <v>1.1455932899543875</v>
      </c>
      <c r="T3818">
        <f t="shared" si="239"/>
        <v>5.647840531561462E-2</v>
      </c>
      <c r="U3818" t="str">
        <f>YEAR('Campaign Data'!$A3818)&amp;"-"&amp;TEXT(MONTH('Campaign Data'!$A3818),"00")</f>
        <v>2026-07</v>
      </c>
    </row>
    <row r="3819" spans="1:21" x14ac:dyDescent="0.25">
      <c r="A3819">
        <v>46232</v>
      </c>
      <c r="B3819" t="s">
        <v>98</v>
      </c>
      <c r="C3819" t="s">
        <v>99</v>
      </c>
      <c r="D3819" t="s">
        <v>69</v>
      </c>
      <c r="E3819" t="s">
        <v>24</v>
      </c>
      <c r="F3819" t="s">
        <v>75</v>
      </c>
      <c r="G3819" t="s">
        <v>66</v>
      </c>
      <c r="H3819" t="s">
        <v>27</v>
      </c>
      <c r="I3819" t="s">
        <v>37</v>
      </c>
      <c r="J3819" t="s">
        <v>62</v>
      </c>
      <c r="K3819">
        <v>7531</v>
      </c>
      <c r="L3819">
        <v>125</v>
      </c>
      <c r="M3819">
        <v>148.56</v>
      </c>
      <c r="N3819">
        <v>5</v>
      </c>
      <c r="O3819">
        <v>205.12</v>
      </c>
      <c r="P3819">
        <f t="shared" si="236"/>
        <v>1.6598061346434736E-2</v>
      </c>
      <c r="Q3819">
        <f t="shared" si="236"/>
        <v>1.18848</v>
      </c>
      <c r="R3819">
        <f t="shared" si="237"/>
        <v>29.712</v>
      </c>
      <c r="S3819">
        <f t="shared" si="238"/>
        <v>1.3807215939687669</v>
      </c>
      <c r="T3819">
        <f t="shared" si="239"/>
        <v>0.04</v>
      </c>
      <c r="U3819" t="str">
        <f>YEAR('Campaign Data'!$A3819)&amp;"-"&amp;TEXT(MONTH('Campaign Data'!$A3819),"00")</f>
        <v>2026-07</v>
      </c>
    </row>
    <row r="3820" spans="1:21" x14ac:dyDescent="0.25">
      <c r="A3820">
        <v>46232</v>
      </c>
      <c r="B3820" t="s">
        <v>98</v>
      </c>
      <c r="C3820" t="s">
        <v>99</v>
      </c>
      <c r="D3820" t="s">
        <v>69</v>
      </c>
      <c r="E3820" t="s">
        <v>24</v>
      </c>
      <c r="F3820" t="s">
        <v>75</v>
      </c>
      <c r="G3820" t="s">
        <v>66</v>
      </c>
      <c r="H3820" t="s">
        <v>27</v>
      </c>
      <c r="I3820" t="s">
        <v>61</v>
      </c>
      <c r="J3820" t="s">
        <v>38</v>
      </c>
      <c r="K3820">
        <v>5510</v>
      </c>
      <c r="L3820">
        <v>57</v>
      </c>
      <c r="M3820">
        <v>87.45</v>
      </c>
      <c r="N3820">
        <v>1</v>
      </c>
      <c r="O3820">
        <v>50.03</v>
      </c>
      <c r="P3820">
        <f t="shared" si="236"/>
        <v>1.0344827586206896E-2</v>
      </c>
      <c r="Q3820">
        <f t="shared" si="236"/>
        <v>1.5342105263157895</v>
      </c>
      <c r="R3820">
        <f t="shared" si="237"/>
        <v>87.45</v>
      </c>
      <c r="S3820">
        <f t="shared" si="238"/>
        <v>0.57209834190966269</v>
      </c>
      <c r="T3820">
        <f t="shared" si="239"/>
        <v>1.7543859649122806E-2</v>
      </c>
      <c r="U3820" t="str">
        <f>YEAR('Campaign Data'!$A3820)&amp;"-"&amp;TEXT(MONTH('Campaign Data'!$A3820),"00")</f>
        <v>2026-07</v>
      </c>
    </row>
    <row r="3821" spans="1:21" x14ac:dyDescent="0.25">
      <c r="A3821">
        <v>46232</v>
      </c>
      <c r="B3821" t="s">
        <v>100</v>
      </c>
      <c r="C3821" t="s">
        <v>101</v>
      </c>
      <c r="D3821" t="s">
        <v>80</v>
      </c>
      <c r="E3821" t="s">
        <v>33</v>
      </c>
      <c r="F3821" t="s">
        <v>25</v>
      </c>
      <c r="G3821" t="s">
        <v>102</v>
      </c>
      <c r="H3821" t="s">
        <v>55</v>
      </c>
      <c r="I3821" t="s">
        <v>28</v>
      </c>
      <c r="J3821" t="s">
        <v>45</v>
      </c>
      <c r="K3821">
        <v>2823</v>
      </c>
      <c r="L3821">
        <v>24</v>
      </c>
      <c r="M3821">
        <v>12.84</v>
      </c>
      <c r="N3821">
        <v>0</v>
      </c>
      <c r="O3821">
        <v>0</v>
      </c>
      <c r="P3821">
        <f t="shared" si="236"/>
        <v>8.5015940488841653E-3</v>
      </c>
      <c r="Q3821">
        <f t="shared" si="236"/>
        <v>0.53500000000000003</v>
      </c>
      <c r="R3821">
        <f t="shared" si="237"/>
        <v>0</v>
      </c>
      <c r="S3821">
        <f t="shared" si="238"/>
        <v>0</v>
      </c>
      <c r="T3821">
        <f t="shared" si="239"/>
        <v>0</v>
      </c>
      <c r="U3821" t="str">
        <f>YEAR('Campaign Data'!$A3821)&amp;"-"&amp;TEXT(MONTH('Campaign Data'!$A3821),"00")</f>
        <v>2026-07</v>
      </c>
    </row>
    <row r="3822" spans="1:21" x14ac:dyDescent="0.25">
      <c r="A3822">
        <v>46232</v>
      </c>
      <c r="B3822" t="s">
        <v>127</v>
      </c>
      <c r="C3822" t="s">
        <v>128</v>
      </c>
      <c r="D3822" t="s">
        <v>58</v>
      </c>
      <c r="E3822" t="s">
        <v>24</v>
      </c>
      <c r="F3822" t="s">
        <v>81</v>
      </c>
      <c r="G3822" t="s">
        <v>129</v>
      </c>
      <c r="H3822" t="s">
        <v>36</v>
      </c>
      <c r="I3822" t="s">
        <v>37</v>
      </c>
      <c r="J3822" t="s">
        <v>87</v>
      </c>
      <c r="K3822">
        <v>2601</v>
      </c>
      <c r="L3822">
        <v>29</v>
      </c>
      <c r="M3822">
        <v>26.17</v>
      </c>
      <c r="N3822">
        <v>0</v>
      </c>
      <c r="O3822">
        <v>0</v>
      </c>
      <c r="P3822">
        <f t="shared" si="236"/>
        <v>1.114955786236063E-2</v>
      </c>
      <c r="Q3822">
        <f t="shared" si="236"/>
        <v>0.90241379310344838</v>
      </c>
      <c r="R3822">
        <f t="shared" si="237"/>
        <v>0</v>
      </c>
      <c r="S3822">
        <f t="shared" si="238"/>
        <v>0</v>
      </c>
      <c r="T3822">
        <f t="shared" si="239"/>
        <v>0</v>
      </c>
      <c r="U3822" t="str">
        <f>YEAR('Campaign Data'!$A3822)&amp;"-"&amp;TEXT(MONTH('Campaign Data'!$A3822),"00")</f>
        <v>2026-07</v>
      </c>
    </row>
    <row r="3823" spans="1:21" x14ac:dyDescent="0.25">
      <c r="A3823">
        <v>46232</v>
      </c>
      <c r="B3823" t="s">
        <v>179</v>
      </c>
      <c r="C3823" t="s">
        <v>180</v>
      </c>
      <c r="D3823" t="s">
        <v>58</v>
      </c>
      <c r="E3823" t="s">
        <v>42</v>
      </c>
      <c r="F3823" t="s">
        <v>25</v>
      </c>
      <c r="G3823" t="s">
        <v>54</v>
      </c>
      <c r="H3823" t="s">
        <v>51</v>
      </c>
      <c r="I3823" t="s">
        <v>37</v>
      </c>
      <c r="J3823" t="s">
        <v>29</v>
      </c>
      <c r="K3823">
        <v>3480</v>
      </c>
      <c r="L3823">
        <v>14</v>
      </c>
      <c r="M3823">
        <v>65.849999999999994</v>
      </c>
      <c r="N3823">
        <v>1</v>
      </c>
      <c r="O3823">
        <v>147.43</v>
      </c>
      <c r="P3823">
        <f t="shared" si="236"/>
        <v>4.0229885057471264E-3</v>
      </c>
      <c r="Q3823">
        <f t="shared" si="236"/>
        <v>4.7035714285714283</v>
      </c>
      <c r="R3823">
        <f t="shared" si="237"/>
        <v>65.849999999999994</v>
      </c>
      <c r="S3823">
        <f t="shared" si="238"/>
        <v>2.2388762338648447</v>
      </c>
      <c r="T3823">
        <f t="shared" si="239"/>
        <v>7.1428571428571425E-2</v>
      </c>
      <c r="U3823" t="str">
        <f>YEAR('Campaign Data'!$A3823)&amp;"-"&amp;TEXT(MONTH('Campaign Data'!$A3823),"00")</f>
        <v>2026-07</v>
      </c>
    </row>
    <row r="3824" spans="1:21" x14ac:dyDescent="0.25">
      <c r="A3824">
        <v>46232</v>
      </c>
      <c r="B3824" t="s">
        <v>112</v>
      </c>
      <c r="C3824" t="s">
        <v>113</v>
      </c>
      <c r="D3824" t="s">
        <v>32</v>
      </c>
      <c r="E3824" t="s">
        <v>24</v>
      </c>
      <c r="F3824" t="s">
        <v>75</v>
      </c>
      <c r="G3824" t="s">
        <v>66</v>
      </c>
      <c r="H3824" t="s">
        <v>71</v>
      </c>
      <c r="I3824" t="s">
        <v>37</v>
      </c>
      <c r="J3824" t="s">
        <v>29</v>
      </c>
      <c r="K3824">
        <v>2143</v>
      </c>
      <c r="L3824">
        <v>30</v>
      </c>
      <c r="M3824">
        <v>31.73</v>
      </c>
      <c r="N3824">
        <v>3</v>
      </c>
      <c r="O3824">
        <v>83.56</v>
      </c>
      <c r="P3824">
        <f t="shared" si="236"/>
        <v>1.3999066728884742E-2</v>
      </c>
      <c r="Q3824">
        <f t="shared" si="236"/>
        <v>1.0576666666666668</v>
      </c>
      <c r="R3824">
        <f t="shared" si="237"/>
        <v>10.576666666666666</v>
      </c>
      <c r="S3824">
        <f t="shared" si="238"/>
        <v>2.633469902300662</v>
      </c>
      <c r="T3824">
        <f t="shared" si="239"/>
        <v>0.1</v>
      </c>
      <c r="U3824" t="str">
        <f>YEAR('Campaign Data'!$A3824)&amp;"-"&amp;TEXT(MONTH('Campaign Data'!$A3824),"00")</f>
        <v>2026-07</v>
      </c>
    </row>
    <row r="3825" spans="1:21" x14ac:dyDescent="0.25">
      <c r="A3825">
        <v>46232</v>
      </c>
      <c r="B3825" t="s">
        <v>112</v>
      </c>
      <c r="C3825" t="s">
        <v>113</v>
      </c>
      <c r="D3825" t="s">
        <v>32</v>
      </c>
      <c r="E3825" t="s">
        <v>24</v>
      </c>
      <c r="F3825" t="s">
        <v>75</v>
      </c>
      <c r="G3825" t="s">
        <v>66</v>
      </c>
      <c r="H3825" t="s">
        <v>27</v>
      </c>
      <c r="I3825" t="s">
        <v>37</v>
      </c>
      <c r="J3825" t="s">
        <v>62</v>
      </c>
      <c r="K3825">
        <v>6605</v>
      </c>
      <c r="L3825">
        <v>69</v>
      </c>
      <c r="M3825">
        <v>74.62</v>
      </c>
      <c r="N3825">
        <v>4</v>
      </c>
      <c r="O3825">
        <v>195.89</v>
      </c>
      <c r="P3825">
        <f t="shared" si="236"/>
        <v>1.0446631339894021E-2</v>
      </c>
      <c r="Q3825">
        <f t="shared" si="236"/>
        <v>1.0814492753623188</v>
      </c>
      <c r="R3825">
        <f t="shared" si="237"/>
        <v>18.655000000000001</v>
      </c>
      <c r="S3825">
        <f t="shared" si="238"/>
        <v>2.6251675154114174</v>
      </c>
      <c r="T3825">
        <f t="shared" si="239"/>
        <v>5.7971014492753624E-2</v>
      </c>
      <c r="U3825" t="str">
        <f>YEAR('Campaign Data'!$A3825)&amp;"-"&amp;TEXT(MONTH('Campaign Data'!$A3825),"00")</f>
        <v>2026-07</v>
      </c>
    </row>
    <row r="3826" spans="1:21" x14ac:dyDescent="0.25">
      <c r="A3826">
        <v>46232</v>
      </c>
      <c r="B3826" t="s">
        <v>159</v>
      </c>
      <c r="C3826" t="s">
        <v>160</v>
      </c>
      <c r="D3826" t="s">
        <v>65</v>
      </c>
      <c r="E3826" t="s">
        <v>42</v>
      </c>
      <c r="F3826" t="s">
        <v>75</v>
      </c>
      <c r="G3826" t="s">
        <v>54</v>
      </c>
      <c r="H3826" t="s">
        <v>27</v>
      </c>
      <c r="I3826" t="s">
        <v>37</v>
      </c>
      <c r="J3826" t="s">
        <v>62</v>
      </c>
      <c r="K3826">
        <v>19969</v>
      </c>
      <c r="L3826">
        <v>162</v>
      </c>
      <c r="M3826">
        <v>1625.81</v>
      </c>
      <c r="N3826">
        <v>10</v>
      </c>
      <c r="O3826">
        <v>515.51</v>
      </c>
      <c r="P3826">
        <f t="shared" si="236"/>
        <v>8.1125744904602132E-3</v>
      </c>
      <c r="Q3826">
        <f t="shared" si="236"/>
        <v>10.035864197530865</v>
      </c>
      <c r="R3826">
        <f t="shared" si="237"/>
        <v>162.58099999999999</v>
      </c>
      <c r="S3826">
        <f t="shared" si="238"/>
        <v>0.31707887145484404</v>
      </c>
      <c r="T3826">
        <f t="shared" si="239"/>
        <v>6.1728395061728392E-2</v>
      </c>
      <c r="U3826" t="str">
        <f>YEAR('Campaign Data'!$A3826)&amp;"-"&amp;TEXT(MONTH('Campaign Data'!$A3826),"00")</f>
        <v>2026-07</v>
      </c>
    </row>
    <row r="3827" spans="1:21" x14ac:dyDescent="0.25">
      <c r="A3827">
        <v>46232</v>
      </c>
      <c r="B3827" t="s">
        <v>183</v>
      </c>
      <c r="C3827" t="s">
        <v>184</v>
      </c>
      <c r="D3827" t="s">
        <v>23</v>
      </c>
      <c r="E3827" t="s">
        <v>24</v>
      </c>
      <c r="F3827" t="s">
        <v>81</v>
      </c>
      <c r="G3827" t="s">
        <v>185</v>
      </c>
      <c r="H3827" t="s">
        <v>90</v>
      </c>
      <c r="I3827" t="s">
        <v>37</v>
      </c>
      <c r="J3827" t="s">
        <v>45</v>
      </c>
      <c r="K3827">
        <v>12123</v>
      </c>
      <c r="L3827">
        <v>176</v>
      </c>
      <c r="M3827">
        <v>45.1</v>
      </c>
      <c r="N3827">
        <v>4</v>
      </c>
      <c r="O3827">
        <v>29.97</v>
      </c>
      <c r="P3827">
        <f t="shared" si="236"/>
        <v>1.4517858615854161E-2</v>
      </c>
      <c r="Q3827">
        <f t="shared" si="236"/>
        <v>0.25625000000000003</v>
      </c>
      <c r="R3827">
        <f t="shared" si="237"/>
        <v>11.275</v>
      </c>
      <c r="S3827">
        <f t="shared" si="238"/>
        <v>0.66452328159645224</v>
      </c>
      <c r="T3827">
        <f t="shared" si="239"/>
        <v>2.2727272727272728E-2</v>
      </c>
      <c r="U3827" t="str">
        <f>YEAR('Campaign Data'!$A3827)&amp;"-"&amp;TEXT(MONTH('Campaign Data'!$A3827),"00")</f>
        <v>2026-07</v>
      </c>
    </row>
    <row r="3828" spans="1:21" x14ac:dyDescent="0.25">
      <c r="A3828">
        <v>46232</v>
      </c>
      <c r="B3828" t="s">
        <v>67</v>
      </c>
      <c r="C3828" t="s">
        <v>68</v>
      </c>
      <c r="D3828" t="s">
        <v>69</v>
      </c>
      <c r="E3828" t="s">
        <v>49</v>
      </c>
      <c r="F3828" t="s">
        <v>34</v>
      </c>
      <c r="G3828" t="s">
        <v>70</v>
      </c>
      <c r="H3828" t="s">
        <v>71</v>
      </c>
      <c r="I3828" t="s">
        <v>28</v>
      </c>
      <c r="J3828" t="s">
        <v>62</v>
      </c>
      <c r="K3828">
        <v>6657</v>
      </c>
      <c r="L3828">
        <v>385</v>
      </c>
      <c r="M3828">
        <v>559.22</v>
      </c>
      <c r="N3828">
        <v>29</v>
      </c>
      <c r="O3828">
        <v>3507.46</v>
      </c>
      <c r="P3828">
        <f t="shared" si="236"/>
        <v>5.783385909568875E-2</v>
      </c>
      <c r="Q3828">
        <f t="shared" si="236"/>
        <v>1.4525194805194805</v>
      </c>
      <c r="R3828">
        <f t="shared" si="237"/>
        <v>19.283448275862071</v>
      </c>
      <c r="S3828">
        <f t="shared" si="238"/>
        <v>6.2720575086727939</v>
      </c>
      <c r="T3828">
        <f t="shared" si="239"/>
        <v>7.5324675324675322E-2</v>
      </c>
      <c r="U3828" t="str">
        <f>YEAR('Campaign Data'!$A3828)&amp;"-"&amp;TEXT(MONTH('Campaign Data'!$A3828),"00")</f>
        <v>2026-07</v>
      </c>
    </row>
    <row r="3829" spans="1:21" x14ac:dyDescent="0.25">
      <c r="A3829">
        <v>46232</v>
      </c>
      <c r="B3829" t="s">
        <v>120</v>
      </c>
      <c r="C3829" t="s">
        <v>121</v>
      </c>
      <c r="D3829" t="s">
        <v>23</v>
      </c>
      <c r="E3829" t="s">
        <v>49</v>
      </c>
      <c r="F3829" t="s">
        <v>75</v>
      </c>
      <c r="G3829" t="s">
        <v>70</v>
      </c>
      <c r="H3829" t="s">
        <v>60</v>
      </c>
      <c r="I3829" t="s">
        <v>28</v>
      </c>
      <c r="J3829" t="s">
        <v>45</v>
      </c>
      <c r="K3829">
        <v>36076</v>
      </c>
      <c r="L3829">
        <v>1829</v>
      </c>
      <c r="M3829">
        <v>2528.9299999999998</v>
      </c>
      <c r="N3829">
        <v>109</v>
      </c>
      <c r="O3829">
        <v>2257.3000000000002</v>
      </c>
      <c r="P3829">
        <f t="shared" si="236"/>
        <v>5.069852533540304E-2</v>
      </c>
      <c r="Q3829">
        <f t="shared" si="236"/>
        <v>1.3826845270639694</v>
      </c>
      <c r="R3829">
        <f t="shared" si="237"/>
        <v>23.201192660550458</v>
      </c>
      <c r="S3829">
        <f t="shared" si="238"/>
        <v>0.8925909376692911</v>
      </c>
      <c r="T3829">
        <f t="shared" si="239"/>
        <v>5.9595407326407876E-2</v>
      </c>
      <c r="U3829" t="str">
        <f>YEAR('Campaign Data'!$A3829)&amp;"-"&amp;TEXT(MONTH('Campaign Data'!$A3829),"00")</f>
        <v>2026-07</v>
      </c>
    </row>
    <row r="3830" spans="1:21" x14ac:dyDescent="0.25">
      <c r="A3830">
        <v>46232</v>
      </c>
      <c r="B3830" t="s">
        <v>82</v>
      </c>
      <c r="C3830" t="s">
        <v>83</v>
      </c>
      <c r="D3830" t="s">
        <v>80</v>
      </c>
      <c r="E3830" t="s">
        <v>42</v>
      </c>
      <c r="F3830" t="s">
        <v>34</v>
      </c>
      <c r="G3830" t="s">
        <v>84</v>
      </c>
      <c r="H3830" t="s">
        <v>27</v>
      </c>
      <c r="I3830" t="s">
        <v>37</v>
      </c>
      <c r="J3830" t="s">
        <v>38</v>
      </c>
      <c r="K3830">
        <v>6812</v>
      </c>
      <c r="L3830">
        <v>74</v>
      </c>
      <c r="M3830">
        <v>570.13</v>
      </c>
      <c r="N3830">
        <v>1</v>
      </c>
      <c r="O3830">
        <v>197.94</v>
      </c>
      <c r="P3830">
        <f t="shared" si="236"/>
        <v>1.0863182618907809E-2</v>
      </c>
      <c r="Q3830">
        <f t="shared" si="236"/>
        <v>7.7044594594594598</v>
      </c>
      <c r="R3830">
        <f t="shared" si="237"/>
        <v>570.13</v>
      </c>
      <c r="S3830">
        <f t="shared" si="238"/>
        <v>0.3471839755845158</v>
      </c>
      <c r="T3830">
        <f t="shared" si="239"/>
        <v>1.3513513513513514E-2</v>
      </c>
      <c r="U3830" t="str">
        <f>YEAR('Campaign Data'!$A3830)&amp;"-"&amp;TEXT(MONTH('Campaign Data'!$A3830),"00")</f>
        <v>2026-07</v>
      </c>
    </row>
    <row r="3831" spans="1:21" x14ac:dyDescent="0.25">
      <c r="A3831">
        <v>46233</v>
      </c>
      <c r="B3831" t="s">
        <v>149</v>
      </c>
      <c r="C3831" t="s">
        <v>150</v>
      </c>
      <c r="D3831" t="s">
        <v>65</v>
      </c>
      <c r="E3831" t="s">
        <v>33</v>
      </c>
      <c r="F3831" t="s">
        <v>43</v>
      </c>
      <c r="G3831" t="s">
        <v>59</v>
      </c>
      <c r="H3831" t="s">
        <v>27</v>
      </c>
      <c r="I3831" t="s">
        <v>28</v>
      </c>
      <c r="J3831" t="s">
        <v>45</v>
      </c>
      <c r="K3831">
        <v>3545</v>
      </c>
      <c r="L3831">
        <v>20</v>
      </c>
      <c r="M3831">
        <v>13.43</v>
      </c>
      <c r="N3831">
        <v>1</v>
      </c>
      <c r="O3831">
        <v>23.63</v>
      </c>
      <c r="P3831">
        <f t="shared" si="236"/>
        <v>5.6417489421720732E-3</v>
      </c>
      <c r="Q3831">
        <f t="shared" si="236"/>
        <v>0.67149999999999999</v>
      </c>
      <c r="R3831">
        <f t="shared" si="237"/>
        <v>13.43</v>
      </c>
      <c r="S3831">
        <f t="shared" si="238"/>
        <v>1.759493670886076</v>
      </c>
      <c r="T3831">
        <f t="shared" si="239"/>
        <v>0.05</v>
      </c>
      <c r="U3831" t="str">
        <f>YEAR('Campaign Data'!$A3831)&amp;"-"&amp;TEXT(MONTH('Campaign Data'!$A3831),"00")</f>
        <v>2026-07</v>
      </c>
    </row>
    <row r="3832" spans="1:21" x14ac:dyDescent="0.25">
      <c r="A3832">
        <v>46233</v>
      </c>
      <c r="B3832" t="s">
        <v>186</v>
      </c>
      <c r="C3832" t="s">
        <v>187</v>
      </c>
      <c r="D3832" t="s">
        <v>80</v>
      </c>
      <c r="E3832" t="s">
        <v>33</v>
      </c>
      <c r="F3832" t="s">
        <v>43</v>
      </c>
      <c r="G3832" t="s">
        <v>102</v>
      </c>
      <c r="H3832" t="s">
        <v>51</v>
      </c>
      <c r="I3832" t="s">
        <v>37</v>
      </c>
      <c r="J3832" t="s">
        <v>87</v>
      </c>
      <c r="K3832">
        <v>10422</v>
      </c>
      <c r="L3832">
        <v>119</v>
      </c>
      <c r="M3832">
        <v>76.75</v>
      </c>
      <c r="N3832">
        <v>1</v>
      </c>
      <c r="O3832">
        <v>16.809999999999999</v>
      </c>
      <c r="P3832">
        <f t="shared" si="236"/>
        <v>1.1418153905200538E-2</v>
      </c>
      <c r="Q3832">
        <f t="shared" si="236"/>
        <v>0.64495798319327735</v>
      </c>
      <c r="R3832">
        <f t="shared" si="237"/>
        <v>76.75</v>
      </c>
      <c r="S3832">
        <f t="shared" si="238"/>
        <v>0.21902280130293159</v>
      </c>
      <c r="T3832">
        <f t="shared" si="239"/>
        <v>8.4033613445378148E-3</v>
      </c>
      <c r="U3832" t="str">
        <f>YEAR('Campaign Data'!$A3832)&amp;"-"&amp;TEXT(MONTH('Campaign Data'!$A3832),"00")</f>
        <v>2026-07</v>
      </c>
    </row>
    <row r="3833" spans="1:21" x14ac:dyDescent="0.25">
      <c r="A3833">
        <v>46233</v>
      </c>
      <c r="B3833" t="s">
        <v>151</v>
      </c>
      <c r="C3833" t="s">
        <v>152</v>
      </c>
      <c r="D3833" t="s">
        <v>48</v>
      </c>
      <c r="E3833" t="s">
        <v>24</v>
      </c>
      <c r="F3833" t="s">
        <v>81</v>
      </c>
      <c r="G3833" t="s">
        <v>129</v>
      </c>
      <c r="H3833" t="s">
        <v>51</v>
      </c>
      <c r="I3833" t="s">
        <v>37</v>
      </c>
      <c r="J3833" t="s">
        <v>38</v>
      </c>
      <c r="K3833">
        <v>7937</v>
      </c>
      <c r="L3833">
        <v>113</v>
      </c>
      <c r="M3833">
        <v>144.91</v>
      </c>
      <c r="N3833">
        <v>1</v>
      </c>
      <c r="O3833">
        <v>29.14</v>
      </c>
      <c r="P3833">
        <f t="shared" si="236"/>
        <v>1.4237117298727479E-2</v>
      </c>
      <c r="Q3833">
        <f t="shared" si="236"/>
        <v>1.2823893805309734</v>
      </c>
      <c r="R3833">
        <f t="shared" si="237"/>
        <v>144.91</v>
      </c>
      <c r="S3833">
        <f t="shared" si="238"/>
        <v>0.20109033193016357</v>
      </c>
      <c r="T3833">
        <f t="shared" si="239"/>
        <v>8.8495575221238937E-3</v>
      </c>
      <c r="U3833" t="str">
        <f>YEAR('Campaign Data'!$A3833)&amp;"-"&amp;TEXT(MONTH('Campaign Data'!$A3833),"00")</f>
        <v>2026-07</v>
      </c>
    </row>
    <row r="3834" spans="1:21" x14ac:dyDescent="0.25">
      <c r="A3834">
        <v>46233</v>
      </c>
      <c r="B3834" t="s">
        <v>127</v>
      </c>
      <c r="C3834" t="s">
        <v>128</v>
      </c>
      <c r="D3834" t="s">
        <v>58</v>
      </c>
      <c r="E3834" t="s">
        <v>24</v>
      </c>
      <c r="F3834" t="s">
        <v>81</v>
      </c>
      <c r="G3834" t="s">
        <v>129</v>
      </c>
      <c r="H3834" t="s">
        <v>27</v>
      </c>
      <c r="I3834" t="s">
        <v>37</v>
      </c>
      <c r="J3834" t="s">
        <v>38</v>
      </c>
      <c r="K3834">
        <v>7296</v>
      </c>
      <c r="L3834">
        <v>120</v>
      </c>
      <c r="M3834">
        <v>148.91999999999999</v>
      </c>
      <c r="N3834">
        <v>2</v>
      </c>
      <c r="O3834">
        <v>53.22</v>
      </c>
      <c r="P3834">
        <f t="shared" si="236"/>
        <v>1.6447368421052631E-2</v>
      </c>
      <c r="Q3834">
        <f t="shared" si="236"/>
        <v>1.2409999999999999</v>
      </c>
      <c r="R3834">
        <f t="shared" si="237"/>
        <v>74.459999999999994</v>
      </c>
      <c r="S3834">
        <f t="shared" si="238"/>
        <v>0.35737308622078973</v>
      </c>
      <c r="T3834">
        <f t="shared" si="239"/>
        <v>1.6666666666666666E-2</v>
      </c>
      <c r="U3834" t="str">
        <f>YEAR('Campaign Data'!$A3834)&amp;"-"&amp;TEXT(MONTH('Campaign Data'!$A3834),"00")</f>
        <v>2026-07</v>
      </c>
    </row>
    <row r="3835" spans="1:21" x14ac:dyDescent="0.25">
      <c r="A3835">
        <v>46233</v>
      </c>
      <c r="B3835" t="s">
        <v>105</v>
      </c>
      <c r="C3835" t="s">
        <v>106</v>
      </c>
      <c r="D3835" t="s">
        <v>58</v>
      </c>
      <c r="E3835" t="s">
        <v>49</v>
      </c>
      <c r="F3835" t="s">
        <v>81</v>
      </c>
      <c r="G3835" t="s">
        <v>107</v>
      </c>
      <c r="H3835" t="s">
        <v>71</v>
      </c>
      <c r="I3835" t="s">
        <v>37</v>
      </c>
      <c r="J3835" t="s">
        <v>62</v>
      </c>
      <c r="K3835">
        <v>601</v>
      </c>
      <c r="L3835">
        <v>53</v>
      </c>
      <c r="M3835">
        <v>71.92</v>
      </c>
      <c r="N3835">
        <v>4</v>
      </c>
      <c r="O3835">
        <v>90.05</v>
      </c>
      <c r="P3835">
        <f t="shared" si="236"/>
        <v>8.8186356073211319E-2</v>
      </c>
      <c r="Q3835">
        <f t="shared" si="236"/>
        <v>1.3569811320754717</v>
      </c>
      <c r="R3835">
        <f t="shared" si="237"/>
        <v>17.98</v>
      </c>
      <c r="S3835">
        <f t="shared" si="238"/>
        <v>1.2520856507230256</v>
      </c>
      <c r="T3835">
        <f t="shared" si="239"/>
        <v>7.5471698113207544E-2</v>
      </c>
      <c r="U3835" t="str">
        <f>YEAR('Campaign Data'!$A3835)&amp;"-"&amp;TEXT(MONTH('Campaign Data'!$A3835),"00")</f>
        <v>2026-07</v>
      </c>
    </row>
    <row r="3836" spans="1:21" x14ac:dyDescent="0.25">
      <c r="A3836">
        <v>46233</v>
      </c>
      <c r="B3836" t="s">
        <v>105</v>
      </c>
      <c r="C3836" t="s">
        <v>106</v>
      </c>
      <c r="D3836" t="s">
        <v>58</v>
      </c>
      <c r="E3836" t="s">
        <v>49</v>
      </c>
      <c r="F3836" t="s">
        <v>81</v>
      </c>
      <c r="G3836" t="s">
        <v>107</v>
      </c>
      <c r="H3836" t="s">
        <v>55</v>
      </c>
      <c r="I3836" t="s">
        <v>37</v>
      </c>
      <c r="J3836" t="s">
        <v>87</v>
      </c>
      <c r="K3836">
        <v>6502</v>
      </c>
      <c r="L3836">
        <v>171</v>
      </c>
      <c r="M3836">
        <v>285.57</v>
      </c>
      <c r="N3836">
        <v>4</v>
      </c>
      <c r="O3836">
        <v>59.02</v>
      </c>
      <c r="P3836">
        <f t="shared" si="236"/>
        <v>2.6299600123039064E-2</v>
      </c>
      <c r="Q3836">
        <f t="shared" si="236"/>
        <v>1.67</v>
      </c>
      <c r="R3836">
        <f t="shared" si="237"/>
        <v>71.392499999999998</v>
      </c>
      <c r="S3836">
        <f t="shared" si="238"/>
        <v>0.20667437055713136</v>
      </c>
      <c r="T3836">
        <f t="shared" si="239"/>
        <v>2.3391812865497075E-2</v>
      </c>
      <c r="U3836" t="str">
        <f>YEAR('Campaign Data'!$A3836)&amp;"-"&amp;TEXT(MONTH('Campaign Data'!$A3836),"00")</f>
        <v>2026-07</v>
      </c>
    </row>
    <row r="3837" spans="1:21" x14ac:dyDescent="0.25">
      <c r="A3837">
        <v>46233</v>
      </c>
      <c r="B3837" t="s">
        <v>177</v>
      </c>
      <c r="C3837" t="s">
        <v>178</v>
      </c>
      <c r="D3837" t="s">
        <v>41</v>
      </c>
      <c r="E3837" t="s">
        <v>49</v>
      </c>
      <c r="F3837" t="s">
        <v>34</v>
      </c>
      <c r="G3837" t="s">
        <v>107</v>
      </c>
      <c r="H3837" t="s">
        <v>27</v>
      </c>
      <c r="I3837" t="s">
        <v>37</v>
      </c>
      <c r="J3837" t="s">
        <v>45</v>
      </c>
      <c r="K3837">
        <v>12985</v>
      </c>
      <c r="L3837">
        <v>765</v>
      </c>
      <c r="M3837">
        <v>2317.66</v>
      </c>
      <c r="N3837">
        <v>43</v>
      </c>
      <c r="O3837">
        <v>11051.13</v>
      </c>
      <c r="P3837">
        <f t="shared" si="236"/>
        <v>5.8914131690412014E-2</v>
      </c>
      <c r="Q3837">
        <f t="shared" si="236"/>
        <v>3.0296209150326794</v>
      </c>
      <c r="R3837">
        <f t="shared" si="237"/>
        <v>53.899069767441858</v>
      </c>
      <c r="S3837">
        <f t="shared" si="238"/>
        <v>4.7682274362935031</v>
      </c>
      <c r="T3837">
        <f t="shared" si="239"/>
        <v>5.6209150326797387E-2</v>
      </c>
      <c r="U3837" t="str">
        <f>YEAR('Campaign Data'!$A3837)&amp;"-"&amp;TEXT(MONTH('Campaign Data'!$A3837),"00")</f>
        <v>2026-07</v>
      </c>
    </row>
    <row r="3838" spans="1:21" x14ac:dyDescent="0.25">
      <c r="A3838">
        <v>46233</v>
      </c>
      <c r="B3838" t="s">
        <v>179</v>
      </c>
      <c r="C3838" t="s">
        <v>180</v>
      </c>
      <c r="D3838" t="s">
        <v>58</v>
      </c>
      <c r="E3838" t="s">
        <v>42</v>
      </c>
      <c r="F3838" t="s">
        <v>25</v>
      </c>
      <c r="G3838" t="s">
        <v>54</v>
      </c>
      <c r="H3838" t="s">
        <v>71</v>
      </c>
      <c r="I3838" t="s">
        <v>37</v>
      </c>
      <c r="J3838" t="s">
        <v>29</v>
      </c>
      <c r="K3838">
        <v>1434</v>
      </c>
      <c r="L3838">
        <v>4</v>
      </c>
      <c r="M3838">
        <v>22.79</v>
      </c>
      <c r="N3838">
        <v>0</v>
      </c>
      <c r="O3838">
        <v>0</v>
      </c>
      <c r="P3838">
        <f t="shared" si="236"/>
        <v>2.7894002789400278E-3</v>
      </c>
      <c r="Q3838">
        <f t="shared" si="236"/>
        <v>5.6974999999999998</v>
      </c>
      <c r="R3838">
        <f t="shared" si="237"/>
        <v>0</v>
      </c>
      <c r="S3838">
        <f t="shared" si="238"/>
        <v>0</v>
      </c>
      <c r="T3838">
        <f t="shared" si="239"/>
        <v>0</v>
      </c>
      <c r="U3838" t="str">
        <f>YEAR('Campaign Data'!$A3838)&amp;"-"&amp;TEXT(MONTH('Campaign Data'!$A3838),"00")</f>
        <v>2026-07</v>
      </c>
    </row>
    <row r="3839" spans="1:21" x14ac:dyDescent="0.25">
      <c r="A3839">
        <v>46233</v>
      </c>
      <c r="B3839" t="s">
        <v>171</v>
      </c>
      <c r="C3839" t="s">
        <v>172</v>
      </c>
      <c r="D3839" t="s">
        <v>23</v>
      </c>
      <c r="E3839" t="s">
        <v>33</v>
      </c>
      <c r="F3839" t="s">
        <v>75</v>
      </c>
      <c r="G3839" t="s">
        <v>59</v>
      </c>
      <c r="H3839" t="s">
        <v>90</v>
      </c>
      <c r="I3839" t="s">
        <v>37</v>
      </c>
      <c r="J3839" t="s">
        <v>38</v>
      </c>
      <c r="K3839">
        <v>5007</v>
      </c>
      <c r="L3839">
        <v>43</v>
      </c>
      <c r="M3839">
        <v>7.31</v>
      </c>
      <c r="N3839">
        <v>0</v>
      </c>
      <c r="O3839">
        <v>0</v>
      </c>
      <c r="P3839">
        <f t="shared" si="236"/>
        <v>8.5879768324345924E-3</v>
      </c>
      <c r="Q3839">
        <f t="shared" si="236"/>
        <v>0.16999999999999998</v>
      </c>
      <c r="R3839">
        <f t="shared" si="237"/>
        <v>0</v>
      </c>
      <c r="S3839">
        <f t="shared" si="238"/>
        <v>0</v>
      </c>
      <c r="T3839">
        <f t="shared" si="239"/>
        <v>0</v>
      </c>
      <c r="U3839" t="str">
        <f>YEAR('Campaign Data'!$A3839)&amp;"-"&amp;TEXT(MONTH('Campaign Data'!$A3839),"00")</f>
        <v>2026-07</v>
      </c>
    </row>
    <row r="3840" spans="1:21" x14ac:dyDescent="0.25">
      <c r="A3840">
        <v>46233</v>
      </c>
      <c r="B3840" t="s">
        <v>140</v>
      </c>
      <c r="C3840" t="s">
        <v>40</v>
      </c>
      <c r="D3840" t="s">
        <v>41</v>
      </c>
      <c r="E3840" t="s">
        <v>42</v>
      </c>
      <c r="F3840" t="s">
        <v>43</v>
      </c>
      <c r="G3840" t="s">
        <v>44</v>
      </c>
      <c r="H3840" t="s">
        <v>27</v>
      </c>
      <c r="I3840" t="s">
        <v>37</v>
      </c>
      <c r="J3840" t="s">
        <v>62</v>
      </c>
      <c r="K3840">
        <v>7454</v>
      </c>
      <c r="L3840">
        <v>46</v>
      </c>
      <c r="M3840">
        <v>390.57</v>
      </c>
      <c r="N3840">
        <v>4</v>
      </c>
      <c r="O3840">
        <v>117.61</v>
      </c>
      <c r="P3840">
        <f t="shared" si="236"/>
        <v>6.1711832573115109E-3</v>
      </c>
      <c r="Q3840">
        <f t="shared" si="236"/>
        <v>8.4906521739130429</v>
      </c>
      <c r="R3840">
        <f t="shared" si="237"/>
        <v>97.642499999999998</v>
      </c>
      <c r="S3840">
        <f t="shared" si="238"/>
        <v>0.30112399825895486</v>
      </c>
      <c r="T3840">
        <f t="shared" si="239"/>
        <v>8.6956521739130432E-2</v>
      </c>
      <c r="U3840" t="str">
        <f>YEAR('Campaign Data'!$A3840)&amp;"-"&amp;TEXT(MONTH('Campaign Data'!$A3840),"00")</f>
        <v>2026-07</v>
      </c>
    </row>
    <row r="3841" spans="1:21" x14ac:dyDescent="0.25">
      <c r="A3841">
        <v>46233</v>
      </c>
      <c r="B3841" t="s">
        <v>134</v>
      </c>
      <c r="C3841" t="s">
        <v>135</v>
      </c>
      <c r="D3841" t="s">
        <v>32</v>
      </c>
      <c r="E3841" t="s">
        <v>74</v>
      </c>
      <c r="F3841" t="s">
        <v>25</v>
      </c>
      <c r="G3841" t="s">
        <v>107</v>
      </c>
      <c r="H3841" t="s">
        <v>51</v>
      </c>
      <c r="I3841" t="s">
        <v>28</v>
      </c>
      <c r="J3841" t="s">
        <v>62</v>
      </c>
      <c r="K3841">
        <v>9026</v>
      </c>
      <c r="L3841">
        <v>455</v>
      </c>
      <c r="M3841">
        <v>656.54</v>
      </c>
      <c r="N3841">
        <v>29</v>
      </c>
      <c r="O3841">
        <v>7337.54</v>
      </c>
      <c r="P3841">
        <f t="shared" si="236"/>
        <v>5.0409926877908268E-2</v>
      </c>
      <c r="Q3841">
        <f t="shared" si="236"/>
        <v>1.4429450549450549</v>
      </c>
      <c r="R3841">
        <f t="shared" si="237"/>
        <v>22.639310344827585</v>
      </c>
      <c r="S3841">
        <f t="shared" si="238"/>
        <v>11.176074572760228</v>
      </c>
      <c r="T3841">
        <f t="shared" si="239"/>
        <v>6.3736263736263732E-2</v>
      </c>
      <c r="U3841" t="str">
        <f>YEAR('Campaign Data'!$A3841)&amp;"-"&amp;TEXT(MONTH('Campaign Data'!$A3841),"00")</f>
        <v>2026-07</v>
      </c>
    </row>
    <row r="3842" spans="1:21" x14ac:dyDescent="0.25">
      <c r="A3842">
        <v>46233</v>
      </c>
      <c r="B3842" t="s">
        <v>181</v>
      </c>
      <c r="C3842" t="s">
        <v>182</v>
      </c>
      <c r="D3842" t="s">
        <v>32</v>
      </c>
      <c r="E3842" t="s">
        <v>33</v>
      </c>
      <c r="F3842" t="s">
        <v>75</v>
      </c>
      <c r="G3842" t="s">
        <v>59</v>
      </c>
      <c r="H3842" t="s">
        <v>90</v>
      </c>
      <c r="I3842" t="s">
        <v>28</v>
      </c>
      <c r="J3842" t="s">
        <v>62</v>
      </c>
      <c r="K3842">
        <v>6237</v>
      </c>
      <c r="L3842">
        <v>86</v>
      </c>
      <c r="M3842">
        <v>12.29</v>
      </c>
      <c r="N3842">
        <v>0</v>
      </c>
      <c r="O3842">
        <v>0</v>
      </c>
      <c r="P3842">
        <f t="shared" ref="P3842:Q3905" si="240">IF(K3842=0,0,L3842/K3842)</f>
        <v>1.3788680455347122E-2</v>
      </c>
      <c r="Q3842">
        <f t="shared" si="240"/>
        <v>0.14290697674418604</v>
      </c>
      <c r="R3842">
        <f t="shared" ref="R3842:R3905" si="241">IF(N3842=0,0,M3842/N3842)</f>
        <v>0</v>
      </c>
      <c r="S3842">
        <f t="shared" ref="S3842:S3905" si="242">IF(M3842=0,0,O3842/M3842)</f>
        <v>0</v>
      </c>
      <c r="T3842">
        <f t="shared" ref="T3842:T3905" si="243">IF(L3842=0,0,N3842/L3842)</f>
        <v>0</v>
      </c>
      <c r="U3842" t="str">
        <f>YEAR('Campaign Data'!$A3842)&amp;"-"&amp;TEXT(MONTH('Campaign Data'!$A3842),"00")</f>
        <v>2026-07</v>
      </c>
    </row>
    <row r="3843" spans="1:21" x14ac:dyDescent="0.25">
      <c r="A3843">
        <v>46233</v>
      </c>
      <c r="B3843" t="s">
        <v>181</v>
      </c>
      <c r="C3843" t="s">
        <v>182</v>
      </c>
      <c r="D3843" t="s">
        <v>32</v>
      </c>
      <c r="E3843" t="s">
        <v>33</v>
      </c>
      <c r="F3843" t="s">
        <v>75</v>
      </c>
      <c r="G3843" t="s">
        <v>59</v>
      </c>
      <c r="H3843" t="s">
        <v>90</v>
      </c>
      <c r="I3843" t="s">
        <v>37</v>
      </c>
      <c r="J3843" t="s">
        <v>29</v>
      </c>
      <c r="K3843">
        <v>10018</v>
      </c>
      <c r="L3843">
        <v>132</v>
      </c>
      <c r="M3843">
        <v>16.309999999999999</v>
      </c>
      <c r="N3843">
        <v>2</v>
      </c>
      <c r="O3843">
        <v>11.25</v>
      </c>
      <c r="P3843">
        <f t="shared" si="240"/>
        <v>1.317628269115592E-2</v>
      </c>
      <c r="Q3843">
        <f t="shared" si="240"/>
        <v>0.12356060606060605</v>
      </c>
      <c r="R3843">
        <f t="shared" si="241"/>
        <v>8.1549999999999994</v>
      </c>
      <c r="S3843">
        <f t="shared" si="242"/>
        <v>0.68976088289393012</v>
      </c>
      <c r="T3843">
        <f t="shared" si="243"/>
        <v>1.5151515151515152E-2</v>
      </c>
      <c r="U3843" t="str">
        <f>YEAR('Campaign Data'!$A3843)&amp;"-"&amp;TEXT(MONTH('Campaign Data'!$A3843),"00")</f>
        <v>2026-07</v>
      </c>
    </row>
    <row r="3844" spans="1:21" x14ac:dyDescent="0.25">
      <c r="A3844">
        <v>46233</v>
      </c>
      <c r="B3844" t="s">
        <v>56</v>
      </c>
      <c r="C3844" t="s">
        <v>57</v>
      </c>
      <c r="D3844" t="s">
        <v>58</v>
      </c>
      <c r="E3844" t="s">
        <v>33</v>
      </c>
      <c r="F3844" t="s">
        <v>43</v>
      </c>
      <c r="G3844" t="s">
        <v>59</v>
      </c>
      <c r="H3844" t="s">
        <v>90</v>
      </c>
      <c r="I3844" t="s">
        <v>37</v>
      </c>
      <c r="J3844" t="s">
        <v>45</v>
      </c>
      <c r="K3844">
        <v>5122</v>
      </c>
      <c r="L3844">
        <v>53</v>
      </c>
      <c r="M3844">
        <v>11.01</v>
      </c>
      <c r="N3844">
        <v>1</v>
      </c>
      <c r="O3844">
        <v>9.02</v>
      </c>
      <c r="P3844">
        <f t="shared" si="240"/>
        <v>1.0347520499804764E-2</v>
      </c>
      <c r="Q3844">
        <f t="shared" si="240"/>
        <v>0.20773584905660378</v>
      </c>
      <c r="R3844">
        <f t="shared" si="241"/>
        <v>11.01</v>
      </c>
      <c r="S3844">
        <f t="shared" si="242"/>
        <v>0.81925522252497729</v>
      </c>
      <c r="T3844">
        <f t="shared" si="243"/>
        <v>1.8867924528301886E-2</v>
      </c>
      <c r="U3844" t="str">
        <f>YEAR('Campaign Data'!$A3844)&amp;"-"&amp;TEXT(MONTH('Campaign Data'!$A3844),"00")</f>
        <v>2026-07</v>
      </c>
    </row>
    <row r="3845" spans="1:21" x14ac:dyDescent="0.25">
      <c r="A3845">
        <v>46233</v>
      </c>
      <c r="B3845" t="s">
        <v>136</v>
      </c>
      <c r="C3845" t="s">
        <v>137</v>
      </c>
      <c r="D3845" t="s">
        <v>32</v>
      </c>
      <c r="E3845" t="s">
        <v>49</v>
      </c>
      <c r="F3845" t="s">
        <v>75</v>
      </c>
      <c r="G3845" t="s">
        <v>97</v>
      </c>
      <c r="H3845" t="s">
        <v>27</v>
      </c>
      <c r="I3845" t="s">
        <v>28</v>
      </c>
      <c r="J3845" t="s">
        <v>87</v>
      </c>
      <c r="K3845">
        <v>7117</v>
      </c>
      <c r="L3845">
        <v>231</v>
      </c>
      <c r="M3845">
        <v>397.18</v>
      </c>
      <c r="N3845">
        <v>5</v>
      </c>
      <c r="O3845">
        <v>233.02</v>
      </c>
      <c r="P3845">
        <f t="shared" si="240"/>
        <v>3.2457496136012363E-2</v>
      </c>
      <c r="Q3845">
        <f t="shared" si="240"/>
        <v>1.7193939393939395</v>
      </c>
      <c r="R3845">
        <f t="shared" si="241"/>
        <v>79.436000000000007</v>
      </c>
      <c r="S3845">
        <f t="shared" si="242"/>
        <v>0.58668613726773755</v>
      </c>
      <c r="T3845">
        <f t="shared" si="243"/>
        <v>2.1645021645021644E-2</v>
      </c>
      <c r="U3845" t="str">
        <f>YEAR('Campaign Data'!$A3845)&amp;"-"&amp;TEXT(MONTH('Campaign Data'!$A3845),"00")</f>
        <v>2026-07</v>
      </c>
    </row>
    <row r="3846" spans="1:21" x14ac:dyDescent="0.25">
      <c r="A3846">
        <v>46233</v>
      </c>
      <c r="B3846" t="s">
        <v>136</v>
      </c>
      <c r="C3846" t="s">
        <v>137</v>
      </c>
      <c r="D3846" t="s">
        <v>32</v>
      </c>
      <c r="E3846" t="s">
        <v>49</v>
      </c>
      <c r="F3846" t="s">
        <v>75</v>
      </c>
      <c r="G3846" t="s">
        <v>97</v>
      </c>
      <c r="H3846" t="s">
        <v>60</v>
      </c>
      <c r="I3846" t="s">
        <v>28</v>
      </c>
      <c r="J3846" t="s">
        <v>38</v>
      </c>
      <c r="K3846">
        <v>5275</v>
      </c>
      <c r="L3846">
        <v>278</v>
      </c>
      <c r="M3846">
        <v>649.49</v>
      </c>
      <c r="N3846">
        <v>4</v>
      </c>
      <c r="O3846">
        <v>219.25</v>
      </c>
      <c r="P3846">
        <f t="shared" si="240"/>
        <v>5.2701421800947869E-2</v>
      </c>
      <c r="Q3846">
        <f t="shared" si="240"/>
        <v>2.3362949640287769</v>
      </c>
      <c r="R3846">
        <f t="shared" si="241"/>
        <v>162.3725</v>
      </c>
      <c r="S3846">
        <f t="shared" si="242"/>
        <v>0.33757255692928295</v>
      </c>
      <c r="T3846">
        <f t="shared" si="243"/>
        <v>1.4388489208633094E-2</v>
      </c>
      <c r="U3846" t="str">
        <f>YEAR('Campaign Data'!$A3846)&amp;"-"&amp;TEXT(MONTH('Campaign Data'!$A3846),"00")</f>
        <v>2026-07</v>
      </c>
    </row>
    <row r="3847" spans="1:21" x14ac:dyDescent="0.25">
      <c r="A3847">
        <v>46233</v>
      </c>
      <c r="B3847" t="s">
        <v>183</v>
      </c>
      <c r="C3847" t="s">
        <v>184</v>
      </c>
      <c r="D3847" t="s">
        <v>23</v>
      </c>
      <c r="E3847" t="s">
        <v>24</v>
      </c>
      <c r="F3847" t="s">
        <v>81</v>
      </c>
      <c r="G3847" t="s">
        <v>185</v>
      </c>
      <c r="H3847" t="s">
        <v>71</v>
      </c>
      <c r="I3847" t="s">
        <v>37</v>
      </c>
      <c r="J3847" t="s">
        <v>45</v>
      </c>
      <c r="K3847">
        <v>4465</v>
      </c>
      <c r="L3847">
        <v>58</v>
      </c>
      <c r="M3847">
        <v>65.599999999999994</v>
      </c>
      <c r="N3847">
        <v>2</v>
      </c>
      <c r="O3847">
        <v>24.05</v>
      </c>
      <c r="P3847">
        <f t="shared" si="240"/>
        <v>1.2989921612541993E-2</v>
      </c>
      <c r="Q3847">
        <f t="shared" si="240"/>
        <v>1.1310344827586205</v>
      </c>
      <c r="R3847">
        <f t="shared" si="241"/>
        <v>32.799999999999997</v>
      </c>
      <c r="S3847">
        <f t="shared" si="242"/>
        <v>0.36661585365853661</v>
      </c>
      <c r="T3847">
        <f t="shared" si="243"/>
        <v>3.4482758620689655E-2</v>
      </c>
      <c r="U3847" t="str">
        <f>YEAR('Campaign Data'!$A3847)&amp;"-"&amp;TEXT(MONTH('Campaign Data'!$A3847),"00")</f>
        <v>2026-07</v>
      </c>
    </row>
    <row r="3848" spans="1:21" x14ac:dyDescent="0.25">
      <c r="A3848">
        <v>46233</v>
      </c>
      <c r="B3848" t="s">
        <v>163</v>
      </c>
      <c r="C3848" t="s">
        <v>164</v>
      </c>
      <c r="D3848" t="s">
        <v>58</v>
      </c>
      <c r="E3848" t="s">
        <v>42</v>
      </c>
      <c r="F3848" t="s">
        <v>43</v>
      </c>
      <c r="G3848" t="s">
        <v>44</v>
      </c>
      <c r="H3848" t="s">
        <v>27</v>
      </c>
      <c r="I3848" t="s">
        <v>37</v>
      </c>
      <c r="J3848" t="s">
        <v>87</v>
      </c>
      <c r="K3848">
        <v>8126</v>
      </c>
      <c r="L3848">
        <v>40</v>
      </c>
      <c r="M3848">
        <v>229.38</v>
      </c>
      <c r="N3848">
        <v>1</v>
      </c>
      <c r="O3848">
        <v>15.26</v>
      </c>
      <c r="P3848">
        <f t="shared" si="240"/>
        <v>4.9224710804824023E-3</v>
      </c>
      <c r="Q3848">
        <f t="shared" si="240"/>
        <v>5.7344999999999997</v>
      </c>
      <c r="R3848">
        <f t="shared" si="241"/>
        <v>229.38</v>
      </c>
      <c r="S3848">
        <f t="shared" si="242"/>
        <v>6.6527160170895452E-2</v>
      </c>
      <c r="T3848">
        <f t="shared" si="243"/>
        <v>2.5000000000000001E-2</v>
      </c>
      <c r="U3848" t="str">
        <f>YEAR('Campaign Data'!$A3848)&amp;"-"&amp;TEXT(MONTH('Campaign Data'!$A3848),"00")</f>
        <v>2026-07</v>
      </c>
    </row>
    <row r="3849" spans="1:21" x14ac:dyDescent="0.25">
      <c r="A3849">
        <v>46233</v>
      </c>
      <c r="B3849" t="s">
        <v>163</v>
      </c>
      <c r="C3849" t="s">
        <v>164</v>
      </c>
      <c r="D3849" t="s">
        <v>58</v>
      </c>
      <c r="E3849" t="s">
        <v>42</v>
      </c>
      <c r="F3849" t="s">
        <v>43</v>
      </c>
      <c r="G3849" t="s">
        <v>44</v>
      </c>
      <c r="H3849" t="s">
        <v>27</v>
      </c>
      <c r="I3849" t="s">
        <v>37</v>
      </c>
      <c r="J3849" t="s">
        <v>62</v>
      </c>
      <c r="K3849">
        <v>11424</v>
      </c>
      <c r="L3849">
        <v>69</v>
      </c>
      <c r="M3849">
        <v>562.64</v>
      </c>
      <c r="N3849">
        <v>2</v>
      </c>
      <c r="O3849">
        <v>58.21</v>
      </c>
      <c r="P3849">
        <f t="shared" si="240"/>
        <v>6.0399159663865548E-3</v>
      </c>
      <c r="Q3849">
        <f t="shared" si="240"/>
        <v>8.1542028985507251</v>
      </c>
      <c r="R3849">
        <f t="shared" si="241"/>
        <v>281.32</v>
      </c>
      <c r="S3849">
        <f t="shared" si="242"/>
        <v>0.10345869472486847</v>
      </c>
      <c r="T3849">
        <f t="shared" si="243"/>
        <v>2.8985507246376812E-2</v>
      </c>
      <c r="U3849" t="str">
        <f>YEAR('Campaign Data'!$A3849)&amp;"-"&amp;TEXT(MONTH('Campaign Data'!$A3849),"00")</f>
        <v>2026-07</v>
      </c>
    </row>
    <row r="3850" spans="1:21" x14ac:dyDescent="0.25">
      <c r="A3850">
        <v>46233</v>
      </c>
      <c r="B3850" t="s">
        <v>145</v>
      </c>
      <c r="C3850" t="s">
        <v>146</v>
      </c>
      <c r="D3850" t="s">
        <v>41</v>
      </c>
      <c r="E3850" t="s">
        <v>49</v>
      </c>
      <c r="F3850" t="s">
        <v>75</v>
      </c>
      <c r="G3850" t="s">
        <v>70</v>
      </c>
      <c r="H3850" t="s">
        <v>51</v>
      </c>
      <c r="I3850" t="s">
        <v>28</v>
      </c>
      <c r="J3850" t="s">
        <v>62</v>
      </c>
      <c r="K3850">
        <v>9015</v>
      </c>
      <c r="L3850">
        <v>623</v>
      </c>
      <c r="M3850">
        <v>1038.51</v>
      </c>
      <c r="N3850">
        <v>41</v>
      </c>
      <c r="O3850">
        <v>1536.94</v>
      </c>
      <c r="P3850">
        <f t="shared" si="240"/>
        <v>6.9107043815862454E-2</v>
      </c>
      <c r="Q3850">
        <f t="shared" si="240"/>
        <v>1.6669502407704655</v>
      </c>
      <c r="R3850">
        <f t="shared" si="241"/>
        <v>25.32951219512195</v>
      </c>
      <c r="S3850">
        <f t="shared" si="242"/>
        <v>1.4799472320921321</v>
      </c>
      <c r="T3850">
        <f t="shared" si="243"/>
        <v>6.5810593900481537E-2</v>
      </c>
      <c r="U3850" t="str">
        <f>YEAR('Campaign Data'!$A3850)&amp;"-"&amp;TEXT(MONTH('Campaign Data'!$A3850),"00")</f>
        <v>2026-07</v>
      </c>
    </row>
    <row r="3851" spans="1:21" x14ac:dyDescent="0.25">
      <c r="A3851">
        <v>46233</v>
      </c>
      <c r="B3851" t="s">
        <v>122</v>
      </c>
      <c r="C3851" t="s">
        <v>123</v>
      </c>
      <c r="D3851" t="s">
        <v>41</v>
      </c>
      <c r="E3851" t="s">
        <v>33</v>
      </c>
      <c r="F3851" t="s">
        <v>75</v>
      </c>
      <c r="G3851" t="s">
        <v>35</v>
      </c>
      <c r="H3851" t="s">
        <v>27</v>
      </c>
      <c r="I3851" t="s">
        <v>37</v>
      </c>
      <c r="J3851" t="s">
        <v>38</v>
      </c>
      <c r="K3851">
        <v>7255</v>
      </c>
      <c r="L3851">
        <v>103</v>
      </c>
      <c r="M3851">
        <v>92.74</v>
      </c>
      <c r="N3851">
        <v>2</v>
      </c>
      <c r="O3851">
        <v>107.96</v>
      </c>
      <c r="P3851">
        <f t="shared" si="240"/>
        <v>1.419710544452102E-2</v>
      </c>
      <c r="Q3851">
        <f t="shared" si="240"/>
        <v>0.90038834951456304</v>
      </c>
      <c r="R3851">
        <f t="shared" si="241"/>
        <v>46.37</v>
      </c>
      <c r="S3851">
        <f t="shared" si="242"/>
        <v>1.1641147293508733</v>
      </c>
      <c r="T3851">
        <f t="shared" si="243"/>
        <v>1.9417475728155338E-2</v>
      </c>
      <c r="U3851" t="str">
        <f>YEAR('Campaign Data'!$A3851)&amp;"-"&amp;TEXT(MONTH('Campaign Data'!$A3851),"00")</f>
        <v>2026-07</v>
      </c>
    </row>
    <row r="3852" spans="1:21" x14ac:dyDescent="0.25">
      <c r="A3852">
        <v>46233</v>
      </c>
      <c r="B3852" t="s">
        <v>82</v>
      </c>
      <c r="C3852" t="s">
        <v>83</v>
      </c>
      <c r="D3852" t="s">
        <v>80</v>
      </c>
      <c r="E3852" t="s">
        <v>42</v>
      </c>
      <c r="F3852" t="s">
        <v>34</v>
      </c>
      <c r="G3852" t="s">
        <v>84</v>
      </c>
      <c r="H3852" t="s">
        <v>27</v>
      </c>
      <c r="I3852" t="s">
        <v>61</v>
      </c>
      <c r="J3852" t="s">
        <v>87</v>
      </c>
      <c r="K3852">
        <v>9452</v>
      </c>
      <c r="L3852">
        <v>69</v>
      </c>
      <c r="M3852">
        <v>517.22</v>
      </c>
      <c r="N3852">
        <v>1</v>
      </c>
      <c r="O3852">
        <v>108.72</v>
      </c>
      <c r="P3852">
        <f t="shared" si="240"/>
        <v>7.3000423190859075E-3</v>
      </c>
      <c r="Q3852">
        <f t="shared" si="240"/>
        <v>7.4959420289855077</v>
      </c>
      <c r="R3852">
        <f t="shared" si="241"/>
        <v>517.22</v>
      </c>
      <c r="S3852">
        <f t="shared" si="242"/>
        <v>0.21020068829511618</v>
      </c>
      <c r="T3852">
        <f t="shared" si="243"/>
        <v>1.4492753623188406E-2</v>
      </c>
      <c r="U3852" t="str">
        <f>YEAR('Campaign Data'!$A3852)&amp;"-"&amp;TEXT(MONTH('Campaign Data'!$A3852),"00")</f>
        <v>2026-07</v>
      </c>
    </row>
    <row r="3853" spans="1:21" x14ac:dyDescent="0.25">
      <c r="A3853">
        <v>46233</v>
      </c>
      <c r="B3853" t="s">
        <v>82</v>
      </c>
      <c r="C3853" t="s">
        <v>83</v>
      </c>
      <c r="D3853" t="s">
        <v>80</v>
      </c>
      <c r="E3853" t="s">
        <v>42</v>
      </c>
      <c r="F3853" t="s">
        <v>34</v>
      </c>
      <c r="G3853" t="s">
        <v>84</v>
      </c>
      <c r="H3853" t="s">
        <v>71</v>
      </c>
      <c r="I3853" t="s">
        <v>37</v>
      </c>
      <c r="J3853" t="s">
        <v>62</v>
      </c>
      <c r="K3853">
        <v>8795</v>
      </c>
      <c r="L3853">
        <v>47</v>
      </c>
      <c r="M3853">
        <v>185.75</v>
      </c>
      <c r="N3853">
        <v>0</v>
      </c>
      <c r="O3853">
        <v>0</v>
      </c>
      <c r="P3853">
        <f t="shared" si="240"/>
        <v>5.3439454235361004E-3</v>
      </c>
      <c r="Q3853">
        <f t="shared" si="240"/>
        <v>3.9521276595744679</v>
      </c>
      <c r="R3853">
        <f t="shared" si="241"/>
        <v>0</v>
      </c>
      <c r="S3853">
        <f t="shared" si="242"/>
        <v>0</v>
      </c>
      <c r="T3853">
        <f t="shared" si="243"/>
        <v>0</v>
      </c>
      <c r="U3853" t="str">
        <f>YEAR('Campaign Data'!$A3853)&amp;"-"&amp;TEXT(MONTH('Campaign Data'!$A3853),"00")</f>
        <v>2026-07</v>
      </c>
    </row>
    <row r="3854" spans="1:21" x14ac:dyDescent="0.25">
      <c r="A3854">
        <v>46234</v>
      </c>
      <c r="B3854" t="s">
        <v>147</v>
      </c>
      <c r="C3854" t="s">
        <v>148</v>
      </c>
      <c r="D3854" t="s">
        <v>23</v>
      </c>
      <c r="E3854" t="s">
        <v>42</v>
      </c>
      <c r="F3854" t="s">
        <v>75</v>
      </c>
      <c r="G3854" t="s">
        <v>44</v>
      </c>
      <c r="H3854" t="s">
        <v>27</v>
      </c>
      <c r="I3854" t="s">
        <v>37</v>
      </c>
      <c r="J3854" t="s">
        <v>45</v>
      </c>
      <c r="K3854">
        <v>6531</v>
      </c>
      <c r="L3854">
        <v>26</v>
      </c>
      <c r="M3854">
        <v>183.92</v>
      </c>
      <c r="N3854">
        <v>1</v>
      </c>
      <c r="O3854">
        <v>74.38</v>
      </c>
      <c r="P3854">
        <f t="shared" si="240"/>
        <v>3.9810136273158783E-3</v>
      </c>
      <c r="Q3854">
        <f t="shared" si="240"/>
        <v>7.0738461538461532</v>
      </c>
      <c r="R3854">
        <f t="shared" si="241"/>
        <v>183.92</v>
      </c>
      <c r="S3854">
        <f t="shared" si="242"/>
        <v>0.40441496302740321</v>
      </c>
      <c r="T3854">
        <f t="shared" si="243"/>
        <v>3.8461538461538464E-2</v>
      </c>
      <c r="U3854" t="str">
        <f>YEAR('Campaign Data'!$A3854)&amp;"-"&amp;TEXT(MONTH('Campaign Data'!$A3854),"00")</f>
        <v>2026-07</v>
      </c>
    </row>
    <row r="3855" spans="1:21" x14ac:dyDescent="0.25">
      <c r="A3855">
        <v>46234</v>
      </c>
      <c r="B3855" t="s">
        <v>93</v>
      </c>
      <c r="C3855" t="s">
        <v>94</v>
      </c>
      <c r="D3855" t="s">
        <v>69</v>
      </c>
      <c r="E3855" t="s">
        <v>42</v>
      </c>
      <c r="F3855" t="s">
        <v>75</v>
      </c>
      <c r="G3855" t="s">
        <v>44</v>
      </c>
      <c r="H3855" t="s">
        <v>71</v>
      </c>
      <c r="I3855" t="s">
        <v>37</v>
      </c>
      <c r="J3855" t="s">
        <v>45</v>
      </c>
      <c r="K3855">
        <v>5248</v>
      </c>
      <c r="L3855">
        <v>32</v>
      </c>
      <c r="M3855">
        <v>207.21</v>
      </c>
      <c r="N3855">
        <v>0</v>
      </c>
      <c r="O3855">
        <v>0</v>
      </c>
      <c r="P3855">
        <f t="shared" si="240"/>
        <v>6.0975609756097563E-3</v>
      </c>
      <c r="Q3855">
        <f t="shared" si="240"/>
        <v>6.4753125000000002</v>
      </c>
      <c r="R3855">
        <f t="shared" si="241"/>
        <v>0</v>
      </c>
      <c r="S3855">
        <f t="shared" si="242"/>
        <v>0</v>
      </c>
      <c r="T3855">
        <f t="shared" si="243"/>
        <v>0</v>
      </c>
      <c r="U3855" t="str">
        <f>YEAR('Campaign Data'!$A3855)&amp;"-"&amp;TEXT(MONTH('Campaign Data'!$A3855),"00")</f>
        <v>2026-07</v>
      </c>
    </row>
    <row r="3856" spans="1:21" x14ac:dyDescent="0.25">
      <c r="A3856">
        <v>46234</v>
      </c>
      <c r="B3856" t="s">
        <v>169</v>
      </c>
      <c r="C3856" t="s">
        <v>170</v>
      </c>
      <c r="D3856" t="s">
        <v>58</v>
      </c>
      <c r="E3856" t="s">
        <v>74</v>
      </c>
      <c r="F3856" t="s">
        <v>75</v>
      </c>
      <c r="G3856" t="s">
        <v>9</v>
      </c>
      <c r="H3856" t="s">
        <v>90</v>
      </c>
      <c r="I3856" t="s">
        <v>37</v>
      </c>
      <c r="J3856" t="s">
        <v>38</v>
      </c>
      <c r="K3856">
        <v>28097</v>
      </c>
      <c r="L3856">
        <v>866</v>
      </c>
      <c r="M3856">
        <v>381.31</v>
      </c>
      <c r="N3856">
        <v>36</v>
      </c>
      <c r="O3856">
        <v>261.33999999999997</v>
      </c>
      <c r="P3856">
        <f t="shared" si="240"/>
        <v>3.0821795921272734E-2</v>
      </c>
      <c r="Q3856">
        <f t="shared" si="240"/>
        <v>0.44031177829099305</v>
      </c>
      <c r="R3856">
        <f t="shared" si="241"/>
        <v>10.591944444444444</v>
      </c>
      <c r="S3856">
        <f t="shared" si="242"/>
        <v>0.68537410505887586</v>
      </c>
      <c r="T3856">
        <f t="shared" si="243"/>
        <v>4.1570438799076209E-2</v>
      </c>
      <c r="U3856" t="str">
        <f>YEAR('Campaign Data'!$A3856)&amp;"-"&amp;TEXT(MONTH('Campaign Data'!$A3856),"00")</f>
        <v>2026-07</v>
      </c>
    </row>
    <row r="3857" spans="1:21" x14ac:dyDescent="0.25">
      <c r="A3857">
        <v>46234</v>
      </c>
      <c r="B3857" t="s">
        <v>177</v>
      </c>
      <c r="C3857" t="s">
        <v>178</v>
      </c>
      <c r="D3857" t="s">
        <v>41</v>
      </c>
      <c r="E3857" t="s">
        <v>49</v>
      </c>
      <c r="F3857" t="s">
        <v>34</v>
      </c>
      <c r="G3857" t="s">
        <v>107</v>
      </c>
      <c r="H3857" t="s">
        <v>36</v>
      </c>
      <c r="I3857" t="s">
        <v>37</v>
      </c>
      <c r="J3857" t="s">
        <v>87</v>
      </c>
      <c r="K3857">
        <v>10104</v>
      </c>
      <c r="L3857">
        <v>562</v>
      </c>
      <c r="M3857">
        <v>1191.23</v>
      </c>
      <c r="N3857">
        <v>23</v>
      </c>
      <c r="O3857">
        <v>3221.15</v>
      </c>
      <c r="P3857">
        <f t="shared" si="240"/>
        <v>5.5621536025336503E-2</v>
      </c>
      <c r="Q3857">
        <f t="shared" si="240"/>
        <v>2.1196263345195732</v>
      </c>
      <c r="R3857">
        <f t="shared" si="241"/>
        <v>51.792608695652177</v>
      </c>
      <c r="S3857">
        <f t="shared" si="242"/>
        <v>2.7040537931381849</v>
      </c>
      <c r="T3857">
        <f t="shared" si="243"/>
        <v>4.0925266903914591E-2</v>
      </c>
      <c r="U3857" t="str">
        <f>YEAR('Campaign Data'!$A3857)&amp;"-"&amp;TEXT(MONTH('Campaign Data'!$A3857),"00")</f>
        <v>2026-07</v>
      </c>
    </row>
    <row r="3858" spans="1:21" x14ac:dyDescent="0.25">
      <c r="A3858">
        <v>46234</v>
      </c>
      <c r="B3858" t="s">
        <v>153</v>
      </c>
      <c r="C3858" t="s">
        <v>154</v>
      </c>
      <c r="D3858" t="s">
        <v>48</v>
      </c>
      <c r="E3858" t="s">
        <v>33</v>
      </c>
      <c r="F3858" t="s">
        <v>43</v>
      </c>
      <c r="G3858" t="s">
        <v>59</v>
      </c>
      <c r="H3858" t="s">
        <v>71</v>
      </c>
      <c r="I3858" t="s">
        <v>37</v>
      </c>
      <c r="J3858" t="s">
        <v>45</v>
      </c>
      <c r="K3858">
        <v>5653</v>
      </c>
      <c r="L3858">
        <v>48</v>
      </c>
      <c r="M3858">
        <v>28.5</v>
      </c>
      <c r="N3858">
        <v>2</v>
      </c>
      <c r="O3858">
        <v>64.680000000000007</v>
      </c>
      <c r="P3858">
        <f t="shared" si="240"/>
        <v>8.4910666902529627E-3</v>
      </c>
      <c r="Q3858">
        <f t="shared" si="240"/>
        <v>0.59375</v>
      </c>
      <c r="R3858">
        <f t="shared" si="241"/>
        <v>14.25</v>
      </c>
      <c r="S3858">
        <f t="shared" si="242"/>
        <v>2.2694736842105265</v>
      </c>
      <c r="T3858">
        <f t="shared" si="243"/>
        <v>4.1666666666666664E-2</v>
      </c>
      <c r="U3858" t="str">
        <f>YEAR('Campaign Data'!$A3858)&amp;"-"&amp;TEXT(MONTH('Campaign Data'!$A3858),"00")</f>
        <v>2026-07</v>
      </c>
    </row>
    <row r="3859" spans="1:21" x14ac:dyDescent="0.25">
      <c r="A3859">
        <v>46234</v>
      </c>
      <c r="B3859" t="s">
        <v>140</v>
      </c>
      <c r="C3859" t="s">
        <v>40</v>
      </c>
      <c r="D3859" t="s">
        <v>41</v>
      </c>
      <c r="E3859" t="s">
        <v>42</v>
      </c>
      <c r="F3859" t="s">
        <v>43</v>
      </c>
      <c r="G3859" t="s">
        <v>44</v>
      </c>
      <c r="H3859" t="s">
        <v>27</v>
      </c>
      <c r="I3859" t="s">
        <v>37</v>
      </c>
      <c r="J3859" t="s">
        <v>45</v>
      </c>
      <c r="K3859">
        <v>11643</v>
      </c>
      <c r="L3859">
        <v>38</v>
      </c>
      <c r="M3859">
        <v>181.53</v>
      </c>
      <c r="N3859">
        <v>1</v>
      </c>
      <c r="O3859">
        <v>38.869999999999997</v>
      </c>
      <c r="P3859">
        <f t="shared" si="240"/>
        <v>3.2637636348020272E-3</v>
      </c>
      <c r="Q3859">
        <f t="shared" si="240"/>
        <v>4.7771052631578952</v>
      </c>
      <c r="R3859">
        <f t="shared" si="241"/>
        <v>181.53</v>
      </c>
      <c r="S3859">
        <f t="shared" si="242"/>
        <v>0.21412438715363849</v>
      </c>
      <c r="T3859">
        <f t="shared" si="243"/>
        <v>2.6315789473684209E-2</v>
      </c>
      <c r="U3859" t="str">
        <f>YEAR('Campaign Data'!$A3859)&amp;"-"&amp;TEXT(MONTH('Campaign Data'!$A3859),"00")</f>
        <v>2026-07</v>
      </c>
    </row>
    <row r="3860" spans="1:21" x14ac:dyDescent="0.25">
      <c r="A3860">
        <v>46234</v>
      </c>
      <c r="B3860" t="s">
        <v>159</v>
      </c>
      <c r="C3860" t="s">
        <v>160</v>
      </c>
      <c r="D3860" t="s">
        <v>65</v>
      </c>
      <c r="E3860" t="s">
        <v>42</v>
      </c>
      <c r="F3860" t="s">
        <v>75</v>
      </c>
      <c r="G3860" t="s">
        <v>54</v>
      </c>
      <c r="H3860" t="s">
        <v>27</v>
      </c>
      <c r="I3860" t="s">
        <v>37</v>
      </c>
      <c r="J3860" t="s">
        <v>87</v>
      </c>
      <c r="K3860">
        <v>7957</v>
      </c>
      <c r="L3860">
        <v>64</v>
      </c>
      <c r="M3860">
        <v>238.71</v>
      </c>
      <c r="N3860">
        <v>3</v>
      </c>
      <c r="O3860">
        <v>123.92</v>
      </c>
      <c r="P3860">
        <f t="shared" si="240"/>
        <v>8.0432323740103062E-3</v>
      </c>
      <c r="Q3860">
        <f t="shared" si="240"/>
        <v>3.7298437500000001</v>
      </c>
      <c r="R3860">
        <f t="shared" si="241"/>
        <v>79.570000000000007</v>
      </c>
      <c r="S3860">
        <f t="shared" si="242"/>
        <v>0.51912362280591506</v>
      </c>
      <c r="T3860">
        <f t="shared" si="243"/>
        <v>4.6875E-2</v>
      </c>
      <c r="U3860" t="str">
        <f>YEAR('Campaign Data'!$A3860)&amp;"-"&amp;TEXT(MONTH('Campaign Data'!$A3860),"00")</f>
        <v>2026-07</v>
      </c>
    </row>
    <row r="3861" spans="1:21" x14ac:dyDescent="0.25">
      <c r="A3861">
        <v>46234</v>
      </c>
      <c r="B3861" t="s">
        <v>161</v>
      </c>
      <c r="C3861" t="s">
        <v>162</v>
      </c>
      <c r="D3861" t="s">
        <v>48</v>
      </c>
      <c r="E3861" t="s">
        <v>74</v>
      </c>
      <c r="F3861" t="s">
        <v>34</v>
      </c>
      <c r="G3861" t="s">
        <v>107</v>
      </c>
      <c r="H3861" t="s">
        <v>27</v>
      </c>
      <c r="I3861" t="s">
        <v>28</v>
      </c>
      <c r="J3861" t="s">
        <v>38</v>
      </c>
      <c r="K3861">
        <v>9082</v>
      </c>
      <c r="L3861">
        <v>342</v>
      </c>
      <c r="M3861">
        <v>618.78</v>
      </c>
      <c r="N3861">
        <v>5</v>
      </c>
      <c r="O3861">
        <v>485.5</v>
      </c>
      <c r="P3861">
        <f t="shared" si="240"/>
        <v>3.7656903765690378E-2</v>
      </c>
      <c r="Q3861">
        <f t="shared" si="240"/>
        <v>1.809298245614035</v>
      </c>
      <c r="R3861">
        <f t="shared" si="241"/>
        <v>123.756</v>
      </c>
      <c r="S3861">
        <f t="shared" si="242"/>
        <v>0.78460842302595435</v>
      </c>
      <c r="T3861">
        <f t="shared" si="243"/>
        <v>1.4619883040935672E-2</v>
      </c>
      <c r="U3861" t="str">
        <f>YEAR('Campaign Data'!$A3861)&amp;"-"&amp;TEXT(MONTH('Campaign Data'!$A3861),"00")</f>
        <v>2026-07</v>
      </c>
    </row>
    <row r="3862" spans="1:21" x14ac:dyDescent="0.25">
      <c r="A3862">
        <v>46234</v>
      </c>
      <c r="B3862" t="s">
        <v>56</v>
      </c>
      <c r="C3862" t="s">
        <v>57</v>
      </c>
      <c r="D3862" t="s">
        <v>58</v>
      </c>
      <c r="E3862" t="s">
        <v>33</v>
      </c>
      <c r="F3862" t="s">
        <v>43</v>
      </c>
      <c r="G3862" t="s">
        <v>59</v>
      </c>
      <c r="H3862" t="s">
        <v>36</v>
      </c>
      <c r="I3862" t="s">
        <v>37</v>
      </c>
      <c r="J3862" t="s">
        <v>87</v>
      </c>
      <c r="K3862">
        <v>15537</v>
      </c>
      <c r="L3862">
        <v>122</v>
      </c>
      <c r="M3862">
        <v>76.290000000000006</v>
      </c>
      <c r="N3862">
        <v>2</v>
      </c>
      <c r="O3862">
        <v>34.409999999999997</v>
      </c>
      <c r="P3862">
        <f t="shared" si="240"/>
        <v>7.8522237240136444E-3</v>
      </c>
      <c r="Q3862">
        <f t="shared" si="240"/>
        <v>0.62532786885245906</v>
      </c>
      <c r="R3862">
        <f t="shared" si="241"/>
        <v>38.145000000000003</v>
      </c>
      <c r="S3862">
        <f t="shared" si="242"/>
        <v>0.45104207628784893</v>
      </c>
      <c r="T3862">
        <f t="shared" si="243"/>
        <v>1.6393442622950821E-2</v>
      </c>
      <c r="U3862" t="str">
        <f>YEAR('Campaign Data'!$A3862)&amp;"-"&amp;TEXT(MONTH('Campaign Data'!$A3862),"00")</f>
        <v>2026-07</v>
      </c>
    </row>
    <row r="3863" spans="1:21" x14ac:dyDescent="0.25">
      <c r="A3863">
        <v>46234</v>
      </c>
      <c r="B3863" t="s">
        <v>141</v>
      </c>
      <c r="C3863" t="s">
        <v>142</v>
      </c>
      <c r="D3863" t="s">
        <v>80</v>
      </c>
      <c r="E3863" t="s">
        <v>49</v>
      </c>
      <c r="F3863" t="s">
        <v>81</v>
      </c>
      <c r="G3863" t="s">
        <v>97</v>
      </c>
      <c r="H3863" t="s">
        <v>36</v>
      </c>
      <c r="I3863" t="s">
        <v>37</v>
      </c>
      <c r="J3863" t="s">
        <v>62</v>
      </c>
      <c r="K3863">
        <v>4969</v>
      </c>
      <c r="L3863">
        <v>251</v>
      </c>
      <c r="M3863">
        <v>477.41</v>
      </c>
      <c r="N3863">
        <v>18</v>
      </c>
      <c r="O3863">
        <v>406.8</v>
      </c>
      <c r="P3863">
        <f t="shared" si="240"/>
        <v>5.0513181726705575E-2</v>
      </c>
      <c r="Q3863">
        <f t="shared" si="240"/>
        <v>1.9020318725099603</v>
      </c>
      <c r="R3863">
        <f t="shared" si="241"/>
        <v>26.52277777777778</v>
      </c>
      <c r="S3863">
        <f t="shared" si="242"/>
        <v>0.85209777759158789</v>
      </c>
      <c r="T3863">
        <f t="shared" si="243"/>
        <v>7.1713147410358571E-2</v>
      </c>
      <c r="U3863" t="str">
        <f>YEAR('Campaign Data'!$A3863)&amp;"-"&amp;TEXT(MONTH('Campaign Data'!$A3863),"00")</f>
        <v>2026-07</v>
      </c>
    </row>
    <row r="3864" spans="1:21" x14ac:dyDescent="0.25">
      <c r="A3864">
        <v>46234</v>
      </c>
      <c r="B3864" t="s">
        <v>141</v>
      </c>
      <c r="C3864" t="s">
        <v>142</v>
      </c>
      <c r="D3864" t="s">
        <v>80</v>
      </c>
      <c r="E3864" t="s">
        <v>49</v>
      </c>
      <c r="F3864" t="s">
        <v>81</v>
      </c>
      <c r="G3864" t="s">
        <v>97</v>
      </c>
      <c r="H3864" t="s">
        <v>27</v>
      </c>
      <c r="I3864" t="s">
        <v>37</v>
      </c>
      <c r="J3864" t="s">
        <v>38</v>
      </c>
      <c r="K3864">
        <v>3258</v>
      </c>
      <c r="L3864">
        <v>183</v>
      </c>
      <c r="M3864">
        <v>311.01</v>
      </c>
      <c r="N3864">
        <v>7</v>
      </c>
      <c r="O3864">
        <v>126.16</v>
      </c>
      <c r="P3864">
        <f t="shared" si="240"/>
        <v>5.6169429097605895E-2</v>
      </c>
      <c r="Q3864">
        <f t="shared" si="240"/>
        <v>1.6995081967213115</v>
      </c>
      <c r="R3864">
        <f t="shared" si="241"/>
        <v>44.43</v>
      </c>
      <c r="S3864">
        <f t="shared" si="242"/>
        <v>0.40564612070351436</v>
      </c>
      <c r="T3864">
        <f t="shared" si="243"/>
        <v>3.825136612021858E-2</v>
      </c>
      <c r="U3864" t="str">
        <f>YEAR('Campaign Data'!$A3864)&amp;"-"&amp;TEXT(MONTH('Campaign Data'!$A3864),"00")</f>
        <v>2026-07</v>
      </c>
    </row>
    <row r="3865" spans="1:21" x14ac:dyDescent="0.25">
      <c r="A3865">
        <v>46234</v>
      </c>
      <c r="B3865" t="s">
        <v>143</v>
      </c>
      <c r="C3865" t="s">
        <v>144</v>
      </c>
      <c r="D3865" t="s">
        <v>48</v>
      </c>
      <c r="E3865" t="s">
        <v>42</v>
      </c>
      <c r="F3865" t="s">
        <v>25</v>
      </c>
      <c r="G3865" t="s">
        <v>84</v>
      </c>
      <c r="H3865" t="s">
        <v>60</v>
      </c>
      <c r="I3865" t="s">
        <v>61</v>
      </c>
      <c r="J3865" t="s">
        <v>29</v>
      </c>
      <c r="K3865">
        <v>5673</v>
      </c>
      <c r="L3865">
        <v>43</v>
      </c>
      <c r="M3865">
        <v>135.94</v>
      </c>
      <c r="N3865">
        <v>3</v>
      </c>
      <c r="O3865">
        <v>465.87</v>
      </c>
      <c r="P3865">
        <f t="shared" si="240"/>
        <v>7.5797637934073682E-3</v>
      </c>
      <c r="Q3865">
        <f t="shared" si="240"/>
        <v>3.1613953488372091</v>
      </c>
      <c r="R3865">
        <f t="shared" si="241"/>
        <v>45.313333333333333</v>
      </c>
      <c r="S3865">
        <f t="shared" si="242"/>
        <v>3.4270266293953218</v>
      </c>
      <c r="T3865">
        <f t="shared" si="243"/>
        <v>6.9767441860465115E-2</v>
      </c>
      <c r="U3865" t="str">
        <f>YEAR('Campaign Data'!$A3865)&amp;"-"&amp;TEXT(MONTH('Campaign Data'!$A3865),"00")</f>
        <v>2026-07</v>
      </c>
    </row>
    <row r="3866" spans="1:21" x14ac:dyDescent="0.25">
      <c r="A3866">
        <v>46234</v>
      </c>
      <c r="B3866" t="s">
        <v>183</v>
      </c>
      <c r="C3866" t="s">
        <v>184</v>
      </c>
      <c r="D3866" t="s">
        <v>23</v>
      </c>
      <c r="E3866" t="s">
        <v>24</v>
      </c>
      <c r="F3866" t="s">
        <v>81</v>
      </c>
      <c r="G3866" t="s">
        <v>185</v>
      </c>
      <c r="H3866" t="s">
        <v>27</v>
      </c>
      <c r="I3866" t="s">
        <v>37</v>
      </c>
      <c r="J3866" t="s">
        <v>29</v>
      </c>
      <c r="K3866">
        <v>3299</v>
      </c>
      <c r="L3866">
        <v>42</v>
      </c>
      <c r="M3866">
        <v>44.09</v>
      </c>
      <c r="N3866">
        <v>0</v>
      </c>
      <c r="O3866">
        <v>0</v>
      </c>
      <c r="P3866">
        <f t="shared" si="240"/>
        <v>1.2731130645650197E-2</v>
      </c>
      <c r="Q3866">
        <f t="shared" si="240"/>
        <v>1.0497619047619049</v>
      </c>
      <c r="R3866">
        <f t="shared" si="241"/>
        <v>0</v>
      </c>
      <c r="S3866">
        <f t="shared" si="242"/>
        <v>0</v>
      </c>
      <c r="T3866">
        <f t="shared" si="243"/>
        <v>0</v>
      </c>
      <c r="U3866" t="str">
        <f>YEAR('Campaign Data'!$A3866)&amp;"-"&amp;TEXT(MONTH('Campaign Data'!$A3866),"00")</f>
        <v>2026-07</v>
      </c>
    </row>
    <row r="3867" spans="1:21" x14ac:dyDescent="0.25">
      <c r="A3867">
        <v>46234</v>
      </c>
      <c r="B3867" t="s">
        <v>122</v>
      </c>
      <c r="C3867" t="s">
        <v>123</v>
      </c>
      <c r="D3867" t="s">
        <v>41</v>
      </c>
      <c r="E3867" t="s">
        <v>33</v>
      </c>
      <c r="F3867" t="s">
        <v>75</v>
      </c>
      <c r="G3867" t="s">
        <v>35</v>
      </c>
      <c r="H3867" t="s">
        <v>90</v>
      </c>
      <c r="I3867" t="s">
        <v>37</v>
      </c>
      <c r="J3867" t="s">
        <v>87</v>
      </c>
      <c r="K3867">
        <v>2305</v>
      </c>
      <c r="L3867">
        <v>26</v>
      </c>
      <c r="M3867">
        <v>5.73</v>
      </c>
      <c r="N3867">
        <v>0</v>
      </c>
      <c r="O3867">
        <v>0</v>
      </c>
      <c r="P3867">
        <f t="shared" si="240"/>
        <v>1.1279826464208243E-2</v>
      </c>
      <c r="Q3867">
        <f t="shared" si="240"/>
        <v>0.2203846153846154</v>
      </c>
      <c r="R3867">
        <f t="shared" si="241"/>
        <v>0</v>
      </c>
      <c r="S3867">
        <f t="shared" si="242"/>
        <v>0</v>
      </c>
      <c r="T3867">
        <f t="shared" si="243"/>
        <v>0</v>
      </c>
      <c r="U3867" t="str">
        <f>YEAR('Campaign Data'!$A3867)&amp;"-"&amp;TEXT(MONTH('Campaign Data'!$A3867),"00")</f>
        <v>2026-07</v>
      </c>
    </row>
    <row r="3868" spans="1:21" x14ac:dyDescent="0.25">
      <c r="A3868">
        <v>46235</v>
      </c>
      <c r="B3868" t="s">
        <v>173</v>
      </c>
      <c r="C3868" t="s">
        <v>174</v>
      </c>
      <c r="D3868" t="s">
        <v>48</v>
      </c>
      <c r="E3868" t="s">
        <v>74</v>
      </c>
      <c r="F3868" t="s">
        <v>25</v>
      </c>
      <c r="G3868" t="s">
        <v>9</v>
      </c>
      <c r="H3868" t="s">
        <v>51</v>
      </c>
      <c r="I3868" t="s">
        <v>37</v>
      </c>
      <c r="J3868" t="s">
        <v>38</v>
      </c>
      <c r="K3868">
        <v>4274</v>
      </c>
      <c r="L3868">
        <v>118</v>
      </c>
      <c r="M3868">
        <v>159.96</v>
      </c>
      <c r="N3868">
        <v>8</v>
      </c>
      <c r="O3868">
        <v>910.72</v>
      </c>
      <c r="P3868">
        <f t="shared" si="240"/>
        <v>2.7608797379503978E-2</v>
      </c>
      <c r="Q3868">
        <f t="shared" si="240"/>
        <v>1.3555932203389831</v>
      </c>
      <c r="R3868">
        <f t="shared" si="241"/>
        <v>19.995000000000001</v>
      </c>
      <c r="S3868">
        <f t="shared" si="242"/>
        <v>5.6934233558389593</v>
      </c>
      <c r="T3868">
        <f t="shared" si="243"/>
        <v>6.7796610169491525E-2</v>
      </c>
      <c r="U3868" t="str">
        <f>YEAR('Campaign Data'!$A3868)&amp;"-"&amp;TEXT(MONTH('Campaign Data'!$A3868),"00")</f>
        <v>2026-08</v>
      </c>
    </row>
    <row r="3869" spans="1:21" x14ac:dyDescent="0.25">
      <c r="A3869">
        <v>46235</v>
      </c>
      <c r="B3869" t="s">
        <v>175</v>
      </c>
      <c r="C3869" t="s">
        <v>176</v>
      </c>
      <c r="D3869" t="s">
        <v>65</v>
      </c>
      <c r="E3869" t="s">
        <v>49</v>
      </c>
      <c r="F3869" t="s">
        <v>75</v>
      </c>
      <c r="G3869" t="s">
        <v>70</v>
      </c>
      <c r="H3869" t="s">
        <v>51</v>
      </c>
      <c r="I3869" t="s">
        <v>61</v>
      </c>
      <c r="J3869" t="s">
        <v>87</v>
      </c>
      <c r="K3869">
        <v>3429</v>
      </c>
      <c r="L3869">
        <v>94</v>
      </c>
      <c r="M3869">
        <v>176.05</v>
      </c>
      <c r="N3869">
        <v>7</v>
      </c>
      <c r="O3869">
        <v>413.25</v>
      </c>
      <c r="P3869">
        <f t="shared" si="240"/>
        <v>2.7413240011665209E-2</v>
      </c>
      <c r="Q3869">
        <f t="shared" si="240"/>
        <v>1.8728723404255321</v>
      </c>
      <c r="R3869">
        <f t="shared" si="241"/>
        <v>25.150000000000002</v>
      </c>
      <c r="S3869">
        <f t="shared" si="242"/>
        <v>2.3473445044021584</v>
      </c>
      <c r="T3869">
        <f t="shared" si="243"/>
        <v>7.4468085106382975E-2</v>
      </c>
      <c r="U3869" t="str">
        <f>YEAR('Campaign Data'!$A3869)&amp;"-"&amp;TEXT(MONTH('Campaign Data'!$A3869),"00")</f>
        <v>2026-08</v>
      </c>
    </row>
    <row r="3870" spans="1:21" x14ac:dyDescent="0.25">
      <c r="A3870">
        <v>46235</v>
      </c>
      <c r="B3870" t="s">
        <v>88</v>
      </c>
      <c r="C3870" t="s">
        <v>89</v>
      </c>
      <c r="D3870" t="s">
        <v>23</v>
      </c>
      <c r="E3870" t="s">
        <v>49</v>
      </c>
      <c r="F3870" t="s">
        <v>81</v>
      </c>
      <c r="G3870" t="s">
        <v>50</v>
      </c>
      <c r="H3870" t="s">
        <v>27</v>
      </c>
      <c r="I3870" t="s">
        <v>37</v>
      </c>
      <c r="J3870" t="s">
        <v>62</v>
      </c>
      <c r="K3870">
        <v>2624</v>
      </c>
      <c r="L3870">
        <v>131</v>
      </c>
      <c r="M3870">
        <v>233.13</v>
      </c>
      <c r="N3870">
        <v>11</v>
      </c>
      <c r="O3870">
        <v>368.37</v>
      </c>
      <c r="P3870">
        <f t="shared" si="240"/>
        <v>4.9923780487804881E-2</v>
      </c>
      <c r="Q3870">
        <f t="shared" si="240"/>
        <v>1.779618320610687</v>
      </c>
      <c r="R3870">
        <f t="shared" si="241"/>
        <v>21.193636363636362</v>
      </c>
      <c r="S3870">
        <f t="shared" si="242"/>
        <v>1.580105520525029</v>
      </c>
      <c r="T3870">
        <f t="shared" si="243"/>
        <v>8.3969465648854963E-2</v>
      </c>
      <c r="U3870" t="str">
        <f>YEAR('Campaign Data'!$A3870)&amp;"-"&amp;TEXT(MONTH('Campaign Data'!$A3870),"00")</f>
        <v>2026-08</v>
      </c>
    </row>
    <row r="3871" spans="1:21" x14ac:dyDescent="0.25">
      <c r="A3871">
        <v>46235</v>
      </c>
      <c r="B3871" t="s">
        <v>91</v>
      </c>
      <c r="C3871" t="s">
        <v>92</v>
      </c>
      <c r="D3871" t="s">
        <v>41</v>
      </c>
      <c r="E3871" t="s">
        <v>74</v>
      </c>
      <c r="F3871" t="s">
        <v>75</v>
      </c>
      <c r="G3871" t="s">
        <v>9</v>
      </c>
      <c r="H3871" t="s">
        <v>27</v>
      </c>
      <c r="I3871" t="s">
        <v>37</v>
      </c>
      <c r="J3871" t="s">
        <v>29</v>
      </c>
      <c r="K3871">
        <v>2607</v>
      </c>
      <c r="L3871">
        <v>50</v>
      </c>
      <c r="M3871">
        <v>90.89</v>
      </c>
      <c r="N3871">
        <v>3</v>
      </c>
      <c r="O3871">
        <v>162.87</v>
      </c>
      <c r="P3871">
        <f t="shared" si="240"/>
        <v>1.9179133103183737E-2</v>
      </c>
      <c r="Q3871">
        <f t="shared" si="240"/>
        <v>1.8178000000000001</v>
      </c>
      <c r="R3871">
        <f t="shared" si="241"/>
        <v>30.296666666666667</v>
      </c>
      <c r="S3871">
        <f t="shared" si="242"/>
        <v>1.7919463087248322</v>
      </c>
      <c r="T3871">
        <f t="shared" si="243"/>
        <v>0.06</v>
      </c>
      <c r="U3871" t="str">
        <f>YEAR('Campaign Data'!$A3871)&amp;"-"&amp;TEXT(MONTH('Campaign Data'!$A3871),"00")</f>
        <v>2026-08</v>
      </c>
    </row>
    <row r="3872" spans="1:21" x14ac:dyDescent="0.25">
      <c r="A3872">
        <v>46235</v>
      </c>
      <c r="B3872" t="s">
        <v>93</v>
      </c>
      <c r="C3872" t="s">
        <v>94</v>
      </c>
      <c r="D3872" t="s">
        <v>69</v>
      </c>
      <c r="E3872" t="s">
        <v>42</v>
      </c>
      <c r="F3872" t="s">
        <v>75</v>
      </c>
      <c r="G3872" t="s">
        <v>44</v>
      </c>
      <c r="H3872" t="s">
        <v>27</v>
      </c>
      <c r="I3872" t="s">
        <v>61</v>
      </c>
      <c r="J3872" t="s">
        <v>45</v>
      </c>
      <c r="K3872">
        <v>3032</v>
      </c>
      <c r="L3872">
        <v>14</v>
      </c>
      <c r="M3872">
        <v>114.06</v>
      </c>
      <c r="N3872">
        <v>0</v>
      </c>
      <c r="O3872">
        <v>0</v>
      </c>
      <c r="P3872">
        <f t="shared" si="240"/>
        <v>4.6174142480211082E-3</v>
      </c>
      <c r="Q3872">
        <f t="shared" si="240"/>
        <v>8.1471428571428568</v>
      </c>
      <c r="R3872">
        <f t="shared" si="241"/>
        <v>0</v>
      </c>
      <c r="S3872">
        <f t="shared" si="242"/>
        <v>0</v>
      </c>
      <c r="T3872">
        <f t="shared" si="243"/>
        <v>0</v>
      </c>
      <c r="U3872" t="str">
        <f>YEAR('Campaign Data'!$A3872)&amp;"-"&amp;TEXT(MONTH('Campaign Data'!$A3872),"00")</f>
        <v>2026-08</v>
      </c>
    </row>
    <row r="3873" spans="1:21" x14ac:dyDescent="0.25">
      <c r="A3873">
        <v>46235</v>
      </c>
      <c r="B3873" t="s">
        <v>169</v>
      </c>
      <c r="C3873" t="s">
        <v>170</v>
      </c>
      <c r="D3873" t="s">
        <v>58</v>
      </c>
      <c r="E3873" t="s">
        <v>74</v>
      </c>
      <c r="F3873" t="s">
        <v>75</v>
      </c>
      <c r="G3873" t="s">
        <v>9</v>
      </c>
      <c r="H3873" t="s">
        <v>90</v>
      </c>
      <c r="I3873" t="s">
        <v>37</v>
      </c>
      <c r="J3873" t="s">
        <v>29</v>
      </c>
      <c r="K3873">
        <v>3464</v>
      </c>
      <c r="L3873">
        <v>115</v>
      </c>
      <c r="M3873">
        <v>50.45</v>
      </c>
      <c r="N3873">
        <v>6</v>
      </c>
      <c r="O3873">
        <v>49.67</v>
      </c>
      <c r="P3873">
        <f t="shared" si="240"/>
        <v>3.3198614318706694E-2</v>
      </c>
      <c r="Q3873">
        <f t="shared" si="240"/>
        <v>0.43869565217391304</v>
      </c>
      <c r="R3873">
        <f t="shared" si="241"/>
        <v>8.4083333333333332</v>
      </c>
      <c r="S3873">
        <f t="shared" si="242"/>
        <v>0.98453914767096129</v>
      </c>
      <c r="T3873">
        <f t="shared" si="243"/>
        <v>5.2173913043478258E-2</v>
      </c>
      <c r="U3873" t="str">
        <f>YEAR('Campaign Data'!$A3873)&amp;"-"&amp;TEXT(MONTH('Campaign Data'!$A3873),"00")</f>
        <v>2026-08</v>
      </c>
    </row>
    <row r="3874" spans="1:21" x14ac:dyDescent="0.25">
      <c r="A3874">
        <v>46235</v>
      </c>
      <c r="B3874" t="s">
        <v>127</v>
      </c>
      <c r="C3874" t="s">
        <v>128</v>
      </c>
      <c r="D3874" t="s">
        <v>58</v>
      </c>
      <c r="E3874" t="s">
        <v>24</v>
      </c>
      <c r="F3874" t="s">
        <v>81</v>
      </c>
      <c r="G3874" t="s">
        <v>129</v>
      </c>
      <c r="H3874" t="s">
        <v>27</v>
      </c>
      <c r="I3874" t="s">
        <v>37</v>
      </c>
      <c r="J3874" t="s">
        <v>38</v>
      </c>
      <c r="K3874">
        <v>1829</v>
      </c>
      <c r="L3874">
        <v>22</v>
      </c>
      <c r="M3874">
        <v>25.29</v>
      </c>
      <c r="N3874">
        <v>0</v>
      </c>
      <c r="O3874">
        <v>0</v>
      </c>
      <c r="P3874">
        <f t="shared" si="240"/>
        <v>1.2028430836522689E-2</v>
      </c>
      <c r="Q3874">
        <f t="shared" si="240"/>
        <v>1.1495454545454544</v>
      </c>
      <c r="R3874">
        <f t="shared" si="241"/>
        <v>0</v>
      </c>
      <c r="S3874">
        <f t="shared" si="242"/>
        <v>0</v>
      </c>
      <c r="T3874">
        <f t="shared" si="243"/>
        <v>0</v>
      </c>
      <c r="U3874" t="str">
        <f>YEAR('Campaign Data'!$A3874)&amp;"-"&amp;TEXT(MONTH('Campaign Data'!$A3874),"00")</f>
        <v>2026-08</v>
      </c>
    </row>
    <row r="3875" spans="1:21" x14ac:dyDescent="0.25">
      <c r="A3875">
        <v>46235</v>
      </c>
      <c r="B3875" t="s">
        <v>108</v>
      </c>
      <c r="C3875" t="s">
        <v>109</v>
      </c>
      <c r="D3875" t="s">
        <v>58</v>
      </c>
      <c r="E3875" t="s">
        <v>33</v>
      </c>
      <c r="F3875" t="s">
        <v>43</v>
      </c>
      <c r="G3875" t="s">
        <v>59</v>
      </c>
      <c r="H3875" t="s">
        <v>71</v>
      </c>
      <c r="I3875" t="s">
        <v>37</v>
      </c>
      <c r="J3875" t="s">
        <v>29</v>
      </c>
      <c r="K3875">
        <v>6188</v>
      </c>
      <c r="L3875">
        <v>63</v>
      </c>
      <c r="M3875">
        <v>48.8</v>
      </c>
      <c r="N3875">
        <v>1</v>
      </c>
      <c r="O3875">
        <v>23.53</v>
      </c>
      <c r="P3875">
        <f t="shared" si="240"/>
        <v>1.0180995475113122E-2</v>
      </c>
      <c r="Q3875">
        <f t="shared" si="240"/>
        <v>0.77460317460317452</v>
      </c>
      <c r="R3875">
        <f t="shared" si="241"/>
        <v>48.8</v>
      </c>
      <c r="S3875">
        <f t="shared" si="242"/>
        <v>0.48217213114754104</v>
      </c>
      <c r="T3875">
        <f t="shared" si="243"/>
        <v>1.5873015873015872E-2</v>
      </c>
      <c r="U3875" t="str">
        <f>YEAR('Campaign Data'!$A3875)&amp;"-"&amp;TEXT(MONTH('Campaign Data'!$A3875),"00")</f>
        <v>2026-08</v>
      </c>
    </row>
    <row r="3876" spans="1:21" x14ac:dyDescent="0.25">
      <c r="A3876">
        <v>46235</v>
      </c>
      <c r="B3876" t="s">
        <v>177</v>
      </c>
      <c r="C3876" t="s">
        <v>178</v>
      </c>
      <c r="D3876" t="s">
        <v>41</v>
      </c>
      <c r="E3876" t="s">
        <v>49</v>
      </c>
      <c r="F3876" t="s">
        <v>34</v>
      </c>
      <c r="G3876" t="s">
        <v>107</v>
      </c>
      <c r="H3876" t="s">
        <v>71</v>
      </c>
      <c r="I3876" t="s">
        <v>37</v>
      </c>
      <c r="J3876" t="s">
        <v>38</v>
      </c>
      <c r="K3876">
        <v>1387</v>
      </c>
      <c r="L3876">
        <v>81</v>
      </c>
      <c r="M3876">
        <v>108.36</v>
      </c>
      <c r="N3876">
        <v>7</v>
      </c>
      <c r="O3876">
        <v>592.28</v>
      </c>
      <c r="P3876">
        <f t="shared" si="240"/>
        <v>5.8399423215573176E-2</v>
      </c>
      <c r="Q3876">
        <f t="shared" si="240"/>
        <v>1.3377777777777777</v>
      </c>
      <c r="R3876">
        <f t="shared" si="241"/>
        <v>15.48</v>
      </c>
      <c r="S3876">
        <f t="shared" si="242"/>
        <v>5.4658545588778145</v>
      </c>
      <c r="T3876">
        <f t="shared" si="243"/>
        <v>8.6419753086419748E-2</v>
      </c>
      <c r="U3876" t="str">
        <f>YEAR('Campaign Data'!$A3876)&amp;"-"&amp;TEXT(MONTH('Campaign Data'!$A3876),"00")</f>
        <v>2026-08</v>
      </c>
    </row>
    <row r="3877" spans="1:21" x14ac:dyDescent="0.25">
      <c r="A3877">
        <v>46235</v>
      </c>
      <c r="B3877" t="s">
        <v>179</v>
      </c>
      <c r="C3877" t="s">
        <v>180</v>
      </c>
      <c r="D3877" t="s">
        <v>58</v>
      </c>
      <c r="E3877" t="s">
        <v>42</v>
      </c>
      <c r="F3877" t="s">
        <v>25</v>
      </c>
      <c r="G3877" t="s">
        <v>54</v>
      </c>
      <c r="H3877" t="s">
        <v>36</v>
      </c>
      <c r="I3877" t="s">
        <v>28</v>
      </c>
      <c r="J3877" t="s">
        <v>45</v>
      </c>
      <c r="K3877">
        <v>7295</v>
      </c>
      <c r="L3877">
        <v>61</v>
      </c>
      <c r="M3877">
        <v>453.59</v>
      </c>
      <c r="N3877">
        <v>3</v>
      </c>
      <c r="O3877">
        <v>1001.04</v>
      </c>
      <c r="P3877">
        <f t="shared" si="240"/>
        <v>8.3618917066483889E-3</v>
      </c>
      <c r="Q3877">
        <f t="shared" si="240"/>
        <v>7.4359016393442623</v>
      </c>
      <c r="R3877">
        <f t="shared" si="241"/>
        <v>151.19666666666666</v>
      </c>
      <c r="S3877">
        <f t="shared" si="242"/>
        <v>2.2069269604709101</v>
      </c>
      <c r="T3877">
        <f t="shared" si="243"/>
        <v>4.9180327868852458E-2</v>
      </c>
      <c r="U3877" t="str">
        <f>YEAR('Campaign Data'!$A3877)&amp;"-"&amp;TEXT(MONTH('Campaign Data'!$A3877),"00")</f>
        <v>2026-08</v>
      </c>
    </row>
    <row r="3878" spans="1:21" x14ac:dyDescent="0.25">
      <c r="A3878">
        <v>46235</v>
      </c>
      <c r="B3878" t="s">
        <v>110</v>
      </c>
      <c r="C3878" t="s">
        <v>111</v>
      </c>
      <c r="D3878" t="s">
        <v>23</v>
      </c>
      <c r="E3878" t="s">
        <v>49</v>
      </c>
      <c r="F3878" t="s">
        <v>34</v>
      </c>
      <c r="G3878" t="s">
        <v>50</v>
      </c>
      <c r="H3878" t="s">
        <v>55</v>
      </c>
      <c r="I3878" t="s">
        <v>37</v>
      </c>
      <c r="J3878" t="s">
        <v>87</v>
      </c>
      <c r="K3878">
        <v>2880</v>
      </c>
      <c r="L3878">
        <v>203</v>
      </c>
      <c r="M3878">
        <v>267.47000000000003</v>
      </c>
      <c r="N3878">
        <v>15</v>
      </c>
      <c r="O3878">
        <v>1713.93</v>
      </c>
      <c r="P3878">
        <f t="shared" si="240"/>
        <v>7.048611111111111E-2</v>
      </c>
      <c r="Q3878">
        <f t="shared" si="240"/>
        <v>1.3175862068965518</v>
      </c>
      <c r="R3878">
        <f t="shared" si="241"/>
        <v>17.831333333333337</v>
      </c>
      <c r="S3878">
        <f t="shared" si="242"/>
        <v>6.4079336000299092</v>
      </c>
      <c r="T3878">
        <f t="shared" si="243"/>
        <v>7.3891625615763554E-2</v>
      </c>
      <c r="U3878" t="str">
        <f>YEAR('Campaign Data'!$A3878)&amp;"-"&amp;TEXT(MONTH('Campaign Data'!$A3878),"00")</f>
        <v>2026-08</v>
      </c>
    </row>
    <row r="3879" spans="1:21" x14ac:dyDescent="0.25">
      <c r="A3879">
        <v>46235</v>
      </c>
      <c r="B3879" t="s">
        <v>155</v>
      </c>
      <c r="C3879" t="s">
        <v>156</v>
      </c>
      <c r="D3879" t="s">
        <v>32</v>
      </c>
      <c r="E3879" t="s">
        <v>24</v>
      </c>
      <c r="F3879" t="s">
        <v>34</v>
      </c>
      <c r="G3879" t="s">
        <v>129</v>
      </c>
      <c r="H3879" t="s">
        <v>27</v>
      </c>
      <c r="I3879" t="s">
        <v>37</v>
      </c>
      <c r="J3879" t="s">
        <v>45</v>
      </c>
      <c r="K3879">
        <v>5969</v>
      </c>
      <c r="L3879">
        <v>48</v>
      </c>
      <c r="M3879">
        <v>72.02</v>
      </c>
      <c r="N3879">
        <v>1</v>
      </c>
      <c r="O3879">
        <v>154.6</v>
      </c>
      <c r="P3879">
        <f t="shared" si="240"/>
        <v>8.0415479979896124E-3</v>
      </c>
      <c r="Q3879">
        <f t="shared" si="240"/>
        <v>1.5004166666666665</v>
      </c>
      <c r="R3879">
        <f t="shared" si="241"/>
        <v>72.02</v>
      </c>
      <c r="S3879">
        <f t="shared" si="242"/>
        <v>2.1466259372396559</v>
      </c>
      <c r="T3879">
        <f t="shared" si="243"/>
        <v>2.0833333333333332E-2</v>
      </c>
      <c r="U3879" t="str">
        <f>YEAR('Campaign Data'!$A3879)&amp;"-"&amp;TEXT(MONTH('Campaign Data'!$A3879),"00")</f>
        <v>2026-08</v>
      </c>
    </row>
    <row r="3880" spans="1:21" x14ac:dyDescent="0.25">
      <c r="A3880">
        <v>46235</v>
      </c>
      <c r="B3880" t="s">
        <v>134</v>
      </c>
      <c r="C3880" t="s">
        <v>135</v>
      </c>
      <c r="D3880" t="s">
        <v>32</v>
      </c>
      <c r="E3880" t="s">
        <v>74</v>
      </c>
      <c r="F3880" t="s">
        <v>25</v>
      </c>
      <c r="G3880" t="s">
        <v>107</v>
      </c>
      <c r="H3880" t="s">
        <v>90</v>
      </c>
      <c r="I3880" t="s">
        <v>37</v>
      </c>
      <c r="J3880" t="s">
        <v>62</v>
      </c>
      <c r="K3880">
        <v>11786</v>
      </c>
      <c r="L3880">
        <v>164</v>
      </c>
      <c r="M3880">
        <v>62.54</v>
      </c>
      <c r="N3880">
        <v>8</v>
      </c>
      <c r="O3880">
        <v>347.97</v>
      </c>
      <c r="P3880">
        <f t="shared" si="240"/>
        <v>1.3914814186322755E-2</v>
      </c>
      <c r="Q3880">
        <f t="shared" si="240"/>
        <v>0.38134146341463415</v>
      </c>
      <c r="R3880">
        <f t="shared" si="241"/>
        <v>7.8174999999999999</v>
      </c>
      <c r="S3880">
        <f t="shared" si="242"/>
        <v>5.5639590661976337</v>
      </c>
      <c r="T3880">
        <f t="shared" si="243"/>
        <v>4.878048780487805E-2</v>
      </c>
      <c r="U3880" t="str">
        <f>YEAR('Campaign Data'!$A3880)&amp;"-"&amp;TEXT(MONTH('Campaign Data'!$A3880),"00")</f>
        <v>2026-08</v>
      </c>
    </row>
    <row r="3881" spans="1:21" x14ac:dyDescent="0.25">
      <c r="A3881">
        <v>46235</v>
      </c>
      <c r="B3881" t="s">
        <v>157</v>
      </c>
      <c r="C3881" t="s">
        <v>158</v>
      </c>
      <c r="D3881" t="s">
        <v>58</v>
      </c>
      <c r="E3881" t="s">
        <v>49</v>
      </c>
      <c r="F3881" t="s">
        <v>81</v>
      </c>
      <c r="G3881" t="s">
        <v>50</v>
      </c>
      <c r="H3881" t="s">
        <v>27</v>
      </c>
      <c r="I3881" t="s">
        <v>37</v>
      </c>
      <c r="J3881" t="s">
        <v>62</v>
      </c>
      <c r="K3881">
        <v>8012</v>
      </c>
      <c r="L3881">
        <v>245</v>
      </c>
      <c r="M3881">
        <v>517.53</v>
      </c>
      <c r="N3881">
        <v>27</v>
      </c>
      <c r="O3881">
        <v>725.05</v>
      </c>
      <c r="P3881">
        <f t="shared" si="240"/>
        <v>3.0579131303045431E-2</v>
      </c>
      <c r="Q3881">
        <f t="shared" si="240"/>
        <v>2.1123673469387754</v>
      </c>
      <c r="R3881">
        <f t="shared" si="241"/>
        <v>19.167777777777776</v>
      </c>
      <c r="S3881">
        <f t="shared" si="242"/>
        <v>1.4009815856085637</v>
      </c>
      <c r="T3881">
        <f t="shared" si="243"/>
        <v>0.11020408163265306</v>
      </c>
      <c r="U3881" t="str">
        <f>YEAR('Campaign Data'!$A3881)&amp;"-"&amp;TEXT(MONTH('Campaign Data'!$A3881),"00")</f>
        <v>2026-08</v>
      </c>
    </row>
    <row r="3882" spans="1:21" x14ac:dyDescent="0.25">
      <c r="A3882">
        <v>46235</v>
      </c>
      <c r="B3882" t="s">
        <v>159</v>
      </c>
      <c r="C3882" t="s">
        <v>160</v>
      </c>
      <c r="D3882" t="s">
        <v>65</v>
      </c>
      <c r="E3882" t="s">
        <v>42</v>
      </c>
      <c r="F3882" t="s">
        <v>75</v>
      </c>
      <c r="G3882" t="s">
        <v>54</v>
      </c>
      <c r="H3882" t="s">
        <v>27</v>
      </c>
      <c r="I3882" t="s">
        <v>28</v>
      </c>
      <c r="J3882" t="s">
        <v>45</v>
      </c>
      <c r="K3882">
        <v>25599</v>
      </c>
      <c r="L3882">
        <v>155</v>
      </c>
      <c r="M3882">
        <v>1059.67</v>
      </c>
      <c r="N3882">
        <v>1</v>
      </c>
      <c r="O3882">
        <v>55.04</v>
      </c>
      <c r="P3882">
        <f t="shared" si="240"/>
        <v>6.0549240204695494E-3</v>
      </c>
      <c r="Q3882">
        <f t="shared" si="240"/>
        <v>6.8365806451612912</v>
      </c>
      <c r="R3882">
        <f t="shared" si="241"/>
        <v>1059.67</v>
      </c>
      <c r="S3882">
        <f t="shared" si="242"/>
        <v>5.1940698519350362E-2</v>
      </c>
      <c r="T3882">
        <f t="shared" si="243"/>
        <v>6.4516129032258064E-3</v>
      </c>
      <c r="U3882" t="str">
        <f>YEAR('Campaign Data'!$A3882)&amp;"-"&amp;TEXT(MONTH('Campaign Data'!$A3882),"00")</f>
        <v>2026-08</v>
      </c>
    </row>
    <row r="3883" spans="1:21" x14ac:dyDescent="0.25">
      <c r="A3883">
        <v>46235</v>
      </c>
      <c r="B3883" t="s">
        <v>141</v>
      </c>
      <c r="C3883" t="s">
        <v>142</v>
      </c>
      <c r="D3883" t="s">
        <v>80</v>
      </c>
      <c r="E3883" t="s">
        <v>49</v>
      </c>
      <c r="F3883" t="s">
        <v>81</v>
      </c>
      <c r="G3883" t="s">
        <v>97</v>
      </c>
      <c r="H3883" t="s">
        <v>27</v>
      </c>
      <c r="I3883" t="s">
        <v>28</v>
      </c>
      <c r="J3883" t="s">
        <v>38</v>
      </c>
      <c r="K3883">
        <v>6016</v>
      </c>
      <c r="L3883">
        <v>153</v>
      </c>
      <c r="M3883">
        <v>367.17</v>
      </c>
      <c r="N3883">
        <v>5</v>
      </c>
      <c r="O3883">
        <v>120.98</v>
      </c>
      <c r="P3883">
        <f t="shared" si="240"/>
        <v>2.5432180851063829E-2</v>
      </c>
      <c r="Q3883">
        <f t="shared" si="240"/>
        <v>2.3998039215686275</v>
      </c>
      <c r="R3883">
        <f t="shared" si="241"/>
        <v>73.433999999999997</v>
      </c>
      <c r="S3883">
        <f t="shared" si="242"/>
        <v>0.32949315031184467</v>
      </c>
      <c r="T3883">
        <f t="shared" si="243"/>
        <v>3.2679738562091505E-2</v>
      </c>
      <c r="U3883" t="str">
        <f>YEAR('Campaign Data'!$A3883)&amp;"-"&amp;TEXT(MONTH('Campaign Data'!$A3883),"00")</f>
        <v>2026-08</v>
      </c>
    </row>
    <row r="3884" spans="1:21" x14ac:dyDescent="0.25">
      <c r="A3884">
        <v>46235</v>
      </c>
      <c r="B3884" t="s">
        <v>67</v>
      </c>
      <c r="C3884" t="s">
        <v>68</v>
      </c>
      <c r="D3884" t="s">
        <v>69</v>
      </c>
      <c r="E3884" t="s">
        <v>49</v>
      </c>
      <c r="F3884" t="s">
        <v>34</v>
      </c>
      <c r="G3884" t="s">
        <v>70</v>
      </c>
      <c r="H3884" t="s">
        <v>51</v>
      </c>
      <c r="I3884" t="s">
        <v>37</v>
      </c>
      <c r="J3884" t="s">
        <v>29</v>
      </c>
      <c r="K3884">
        <v>19153</v>
      </c>
      <c r="L3884">
        <v>1147</v>
      </c>
      <c r="M3884">
        <v>2275.0100000000002</v>
      </c>
      <c r="N3884">
        <v>64</v>
      </c>
      <c r="O3884">
        <v>7266.33</v>
      </c>
      <c r="P3884">
        <f t="shared" si="240"/>
        <v>5.9886179710750276E-2</v>
      </c>
      <c r="Q3884">
        <f t="shared" si="240"/>
        <v>1.9834437663469924</v>
      </c>
      <c r="R3884">
        <f t="shared" si="241"/>
        <v>35.547031250000003</v>
      </c>
      <c r="S3884">
        <f t="shared" si="242"/>
        <v>3.1939771693311236</v>
      </c>
      <c r="T3884">
        <f t="shared" si="243"/>
        <v>5.5797733217088058E-2</v>
      </c>
      <c r="U3884" t="str">
        <f>YEAR('Campaign Data'!$A3884)&amp;"-"&amp;TEXT(MONTH('Campaign Data'!$A3884),"00")</f>
        <v>2026-08</v>
      </c>
    </row>
    <row r="3885" spans="1:21" x14ac:dyDescent="0.25">
      <c r="A3885">
        <v>46235</v>
      </c>
      <c r="B3885" t="s">
        <v>67</v>
      </c>
      <c r="C3885" t="s">
        <v>68</v>
      </c>
      <c r="D3885" t="s">
        <v>69</v>
      </c>
      <c r="E3885" t="s">
        <v>49</v>
      </c>
      <c r="F3885" t="s">
        <v>34</v>
      </c>
      <c r="G3885" t="s">
        <v>70</v>
      </c>
      <c r="H3885" t="s">
        <v>36</v>
      </c>
      <c r="I3885" t="s">
        <v>37</v>
      </c>
      <c r="J3885" t="s">
        <v>62</v>
      </c>
      <c r="K3885">
        <v>6644</v>
      </c>
      <c r="L3885">
        <v>337</v>
      </c>
      <c r="M3885">
        <v>615.88</v>
      </c>
      <c r="N3885">
        <v>11</v>
      </c>
      <c r="O3885">
        <v>1478.33</v>
      </c>
      <c r="P3885">
        <f t="shared" si="240"/>
        <v>5.0722456351595425E-2</v>
      </c>
      <c r="Q3885">
        <f t="shared" si="240"/>
        <v>1.8275370919881306</v>
      </c>
      <c r="R3885">
        <f t="shared" si="241"/>
        <v>55.989090909090912</v>
      </c>
      <c r="S3885">
        <f t="shared" si="242"/>
        <v>2.400353965058128</v>
      </c>
      <c r="T3885">
        <f t="shared" si="243"/>
        <v>3.2640949554896145E-2</v>
      </c>
      <c r="U3885" t="str">
        <f>YEAR('Campaign Data'!$A3885)&amp;"-"&amp;TEXT(MONTH('Campaign Data'!$A3885),"00")</f>
        <v>2026-08</v>
      </c>
    </row>
    <row r="3886" spans="1:21" x14ac:dyDescent="0.25">
      <c r="A3886">
        <v>46235</v>
      </c>
      <c r="B3886" t="s">
        <v>118</v>
      </c>
      <c r="C3886" t="s">
        <v>119</v>
      </c>
      <c r="D3886" t="s">
        <v>69</v>
      </c>
      <c r="E3886" t="s">
        <v>33</v>
      </c>
      <c r="F3886" t="s">
        <v>34</v>
      </c>
      <c r="G3886" t="s">
        <v>35</v>
      </c>
      <c r="H3886" t="s">
        <v>55</v>
      </c>
      <c r="I3886" t="s">
        <v>28</v>
      </c>
      <c r="J3886" t="s">
        <v>87</v>
      </c>
      <c r="K3886">
        <v>6342</v>
      </c>
      <c r="L3886">
        <v>75</v>
      </c>
      <c r="M3886">
        <v>44.38</v>
      </c>
      <c r="N3886">
        <v>2</v>
      </c>
      <c r="O3886">
        <v>180.79</v>
      </c>
      <c r="P3886">
        <f t="shared" si="240"/>
        <v>1.1825922421948912E-2</v>
      </c>
      <c r="Q3886">
        <f t="shared" si="240"/>
        <v>0.59173333333333333</v>
      </c>
      <c r="R3886">
        <f t="shared" si="241"/>
        <v>22.19</v>
      </c>
      <c r="S3886">
        <f t="shared" si="242"/>
        <v>4.0736818386660651</v>
      </c>
      <c r="T3886">
        <f t="shared" si="243"/>
        <v>2.6666666666666668E-2</v>
      </c>
      <c r="U3886" t="str">
        <f>YEAR('Campaign Data'!$A3886)&amp;"-"&amp;TEXT(MONTH('Campaign Data'!$A3886),"00")</f>
        <v>2026-08</v>
      </c>
    </row>
    <row r="3887" spans="1:21" x14ac:dyDescent="0.25">
      <c r="A3887">
        <v>46235</v>
      </c>
      <c r="B3887" t="s">
        <v>163</v>
      </c>
      <c r="C3887" t="s">
        <v>164</v>
      </c>
      <c r="D3887" t="s">
        <v>58</v>
      </c>
      <c r="E3887" t="s">
        <v>42</v>
      </c>
      <c r="F3887" t="s">
        <v>43</v>
      </c>
      <c r="G3887" t="s">
        <v>44</v>
      </c>
      <c r="H3887" t="s">
        <v>71</v>
      </c>
      <c r="I3887" t="s">
        <v>37</v>
      </c>
      <c r="J3887" t="s">
        <v>45</v>
      </c>
      <c r="K3887">
        <v>7853</v>
      </c>
      <c r="L3887">
        <v>55</v>
      </c>
      <c r="M3887">
        <v>242.31</v>
      </c>
      <c r="N3887">
        <v>0</v>
      </c>
      <c r="O3887">
        <v>0</v>
      </c>
      <c r="P3887">
        <f t="shared" si="240"/>
        <v>7.0036928562332863E-3</v>
      </c>
      <c r="Q3887">
        <f t="shared" si="240"/>
        <v>4.405636363636364</v>
      </c>
      <c r="R3887">
        <f t="shared" si="241"/>
        <v>0</v>
      </c>
      <c r="S3887">
        <f t="shared" si="242"/>
        <v>0</v>
      </c>
      <c r="T3887">
        <f t="shared" si="243"/>
        <v>0</v>
      </c>
      <c r="U3887" t="str">
        <f>YEAR('Campaign Data'!$A3887)&amp;"-"&amp;TEXT(MONTH('Campaign Data'!$A3887),"00")</f>
        <v>2026-08</v>
      </c>
    </row>
    <row r="3888" spans="1:21" x14ac:dyDescent="0.25">
      <c r="A3888">
        <v>46236</v>
      </c>
      <c r="B3888" t="s">
        <v>165</v>
      </c>
      <c r="C3888" t="s">
        <v>166</v>
      </c>
      <c r="D3888" t="s">
        <v>41</v>
      </c>
      <c r="E3888" t="s">
        <v>33</v>
      </c>
      <c r="F3888" t="s">
        <v>43</v>
      </c>
      <c r="G3888" t="s">
        <v>59</v>
      </c>
      <c r="H3888" t="s">
        <v>51</v>
      </c>
      <c r="I3888" t="s">
        <v>37</v>
      </c>
      <c r="J3888" t="s">
        <v>38</v>
      </c>
      <c r="K3888">
        <v>2908</v>
      </c>
      <c r="L3888">
        <v>29</v>
      </c>
      <c r="M3888">
        <v>25.17</v>
      </c>
      <c r="N3888">
        <v>1</v>
      </c>
      <c r="O3888">
        <v>32.64</v>
      </c>
      <c r="P3888">
        <f t="shared" si="240"/>
        <v>9.9724896836313609E-3</v>
      </c>
      <c r="Q3888">
        <f t="shared" si="240"/>
        <v>0.86793103448275866</v>
      </c>
      <c r="R3888">
        <f t="shared" si="241"/>
        <v>25.17</v>
      </c>
      <c r="S3888">
        <f t="shared" si="242"/>
        <v>1.2967818831942788</v>
      </c>
      <c r="T3888">
        <f t="shared" si="243"/>
        <v>3.4482758620689655E-2</v>
      </c>
      <c r="U3888" t="str">
        <f>YEAR('Campaign Data'!$A3888)&amp;"-"&amp;TEXT(MONTH('Campaign Data'!$A3888),"00")</f>
        <v>2026-08</v>
      </c>
    </row>
    <row r="3889" spans="1:21" x14ac:dyDescent="0.25">
      <c r="A3889">
        <v>46236</v>
      </c>
      <c r="B3889" t="s">
        <v>175</v>
      </c>
      <c r="C3889" t="s">
        <v>176</v>
      </c>
      <c r="D3889" t="s">
        <v>65</v>
      </c>
      <c r="E3889" t="s">
        <v>49</v>
      </c>
      <c r="F3889" t="s">
        <v>75</v>
      </c>
      <c r="G3889" t="s">
        <v>70</v>
      </c>
      <c r="H3889" t="s">
        <v>71</v>
      </c>
      <c r="I3889" t="s">
        <v>37</v>
      </c>
      <c r="J3889" t="s">
        <v>45</v>
      </c>
      <c r="K3889">
        <v>4007</v>
      </c>
      <c r="L3889">
        <v>198</v>
      </c>
      <c r="M3889">
        <v>296.8</v>
      </c>
      <c r="N3889">
        <v>15</v>
      </c>
      <c r="O3889">
        <v>507.98</v>
      </c>
      <c r="P3889">
        <f t="shared" si="240"/>
        <v>4.941352632892438E-2</v>
      </c>
      <c r="Q3889">
        <f t="shared" si="240"/>
        <v>1.4989898989898991</v>
      </c>
      <c r="R3889">
        <f t="shared" si="241"/>
        <v>19.786666666666669</v>
      </c>
      <c r="S3889">
        <f t="shared" si="242"/>
        <v>1.7115229110512129</v>
      </c>
      <c r="T3889">
        <f t="shared" si="243"/>
        <v>7.575757575757576E-2</v>
      </c>
      <c r="U3889" t="str">
        <f>YEAR('Campaign Data'!$A3889)&amp;"-"&amp;TEXT(MONTH('Campaign Data'!$A3889),"00")</f>
        <v>2026-08</v>
      </c>
    </row>
    <row r="3890" spans="1:21" x14ac:dyDescent="0.25">
      <c r="A3890">
        <v>46236</v>
      </c>
      <c r="B3890" t="s">
        <v>85</v>
      </c>
      <c r="C3890" t="s">
        <v>86</v>
      </c>
      <c r="D3890" t="s">
        <v>80</v>
      </c>
      <c r="E3890" t="s">
        <v>33</v>
      </c>
      <c r="F3890" t="s">
        <v>43</v>
      </c>
      <c r="G3890" t="s">
        <v>35</v>
      </c>
      <c r="H3890" t="s">
        <v>90</v>
      </c>
      <c r="I3890" t="s">
        <v>37</v>
      </c>
      <c r="J3890" t="s">
        <v>87</v>
      </c>
      <c r="K3890">
        <v>1523</v>
      </c>
      <c r="L3890">
        <v>15</v>
      </c>
      <c r="M3890">
        <v>1.46</v>
      </c>
      <c r="N3890">
        <v>0</v>
      </c>
      <c r="O3890">
        <v>0</v>
      </c>
      <c r="P3890">
        <f t="shared" si="240"/>
        <v>9.8489822718319103E-3</v>
      </c>
      <c r="Q3890">
        <f t="shared" si="240"/>
        <v>9.7333333333333327E-2</v>
      </c>
      <c r="R3890">
        <f t="shared" si="241"/>
        <v>0</v>
      </c>
      <c r="S3890">
        <f t="shared" si="242"/>
        <v>0</v>
      </c>
      <c r="T3890">
        <f t="shared" si="243"/>
        <v>0</v>
      </c>
      <c r="U3890" t="str">
        <f>YEAR('Campaign Data'!$A3890)&amp;"-"&amp;TEXT(MONTH('Campaign Data'!$A3890),"00")</f>
        <v>2026-08</v>
      </c>
    </row>
    <row r="3891" spans="1:21" x14ac:dyDescent="0.25">
      <c r="A3891">
        <v>46236</v>
      </c>
      <c r="B3891" t="s">
        <v>149</v>
      </c>
      <c r="C3891" t="s">
        <v>150</v>
      </c>
      <c r="D3891" t="s">
        <v>65</v>
      </c>
      <c r="E3891" t="s">
        <v>33</v>
      </c>
      <c r="F3891" t="s">
        <v>43</v>
      </c>
      <c r="G3891" t="s">
        <v>59</v>
      </c>
      <c r="H3891" t="s">
        <v>90</v>
      </c>
      <c r="I3891" t="s">
        <v>37</v>
      </c>
      <c r="J3891" t="s">
        <v>38</v>
      </c>
      <c r="K3891">
        <v>1669</v>
      </c>
      <c r="L3891">
        <v>6</v>
      </c>
      <c r="M3891">
        <v>0.98</v>
      </c>
      <c r="N3891">
        <v>0</v>
      </c>
      <c r="O3891">
        <v>0</v>
      </c>
      <c r="P3891">
        <f t="shared" si="240"/>
        <v>3.5949670461354103E-3</v>
      </c>
      <c r="Q3891">
        <f t="shared" si="240"/>
        <v>0.16333333333333333</v>
      </c>
      <c r="R3891">
        <f t="shared" si="241"/>
        <v>0</v>
      </c>
      <c r="S3891">
        <f t="shared" si="242"/>
        <v>0</v>
      </c>
      <c r="T3891">
        <f t="shared" si="243"/>
        <v>0</v>
      </c>
      <c r="U3891" t="str">
        <f>YEAR('Campaign Data'!$A3891)&amp;"-"&amp;TEXT(MONTH('Campaign Data'!$A3891),"00")</f>
        <v>2026-08</v>
      </c>
    </row>
    <row r="3892" spans="1:21" x14ac:dyDescent="0.25">
      <c r="A3892">
        <v>46236</v>
      </c>
      <c r="B3892" t="s">
        <v>95</v>
      </c>
      <c r="C3892" t="s">
        <v>96</v>
      </c>
      <c r="D3892" t="s">
        <v>23</v>
      </c>
      <c r="E3892" t="s">
        <v>49</v>
      </c>
      <c r="F3892" t="s">
        <v>43</v>
      </c>
      <c r="G3892" t="s">
        <v>97</v>
      </c>
      <c r="H3892" t="s">
        <v>36</v>
      </c>
      <c r="I3892" t="s">
        <v>28</v>
      </c>
      <c r="J3892" t="s">
        <v>62</v>
      </c>
      <c r="K3892">
        <v>2524</v>
      </c>
      <c r="L3892">
        <v>148</v>
      </c>
      <c r="M3892">
        <v>276.63</v>
      </c>
      <c r="N3892">
        <v>3</v>
      </c>
      <c r="O3892">
        <v>105.62</v>
      </c>
      <c r="P3892">
        <f t="shared" si="240"/>
        <v>5.8637083993660855E-2</v>
      </c>
      <c r="Q3892">
        <f t="shared" si="240"/>
        <v>1.8691216216216215</v>
      </c>
      <c r="R3892">
        <f t="shared" si="241"/>
        <v>92.21</v>
      </c>
      <c r="S3892">
        <f t="shared" si="242"/>
        <v>0.381809637421827</v>
      </c>
      <c r="T3892">
        <f t="shared" si="243"/>
        <v>2.0270270270270271E-2</v>
      </c>
      <c r="U3892" t="str">
        <f>YEAR('Campaign Data'!$A3892)&amp;"-"&amp;TEXT(MONTH('Campaign Data'!$A3892),"00")</f>
        <v>2026-08</v>
      </c>
    </row>
    <row r="3893" spans="1:21" x14ac:dyDescent="0.25">
      <c r="A3893">
        <v>46236</v>
      </c>
      <c r="B3893" t="s">
        <v>30</v>
      </c>
      <c r="C3893" t="s">
        <v>31</v>
      </c>
      <c r="D3893" t="s">
        <v>32</v>
      </c>
      <c r="E3893" t="s">
        <v>33</v>
      </c>
      <c r="F3893" t="s">
        <v>34</v>
      </c>
      <c r="G3893" t="s">
        <v>35</v>
      </c>
      <c r="H3893" t="s">
        <v>90</v>
      </c>
      <c r="I3893" t="s">
        <v>28</v>
      </c>
      <c r="J3893" t="s">
        <v>38</v>
      </c>
      <c r="K3893">
        <v>1700</v>
      </c>
      <c r="L3893">
        <v>18</v>
      </c>
      <c r="M3893">
        <v>2.84</v>
      </c>
      <c r="N3893">
        <v>0</v>
      </c>
      <c r="O3893">
        <v>0</v>
      </c>
      <c r="P3893">
        <f t="shared" si="240"/>
        <v>1.0588235294117647E-2</v>
      </c>
      <c r="Q3893">
        <f t="shared" si="240"/>
        <v>0.15777777777777777</v>
      </c>
      <c r="R3893">
        <f t="shared" si="241"/>
        <v>0</v>
      </c>
      <c r="S3893">
        <f t="shared" si="242"/>
        <v>0</v>
      </c>
      <c r="T3893">
        <f t="shared" si="243"/>
        <v>0</v>
      </c>
      <c r="U3893" t="str">
        <f>YEAR('Campaign Data'!$A3893)&amp;"-"&amp;TEXT(MONTH('Campaign Data'!$A3893),"00")</f>
        <v>2026-08</v>
      </c>
    </row>
    <row r="3894" spans="1:21" x14ac:dyDescent="0.25">
      <c r="A3894">
        <v>46236</v>
      </c>
      <c r="B3894" t="s">
        <v>151</v>
      </c>
      <c r="C3894" t="s">
        <v>152</v>
      </c>
      <c r="D3894" t="s">
        <v>48</v>
      </c>
      <c r="E3894" t="s">
        <v>24</v>
      </c>
      <c r="F3894" t="s">
        <v>81</v>
      </c>
      <c r="G3894" t="s">
        <v>129</v>
      </c>
      <c r="H3894" t="s">
        <v>36</v>
      </c>
      <c r="I3894" t="s">
        <v>37</v>
      </c>
      <c r="J3894" t="s">
        <v>45</v>
      </c>
      <c r="K3894">
        <v>1502</v>
      </c>
      <c r="L3894">
        <v>11</v>
      </c>
      <c r="M3894">
        <v>10.4</v>
      </c>
      <c r="N3894">
        <v>1</v>
      </c>
      <c r="O3894">
        <v>23.21</v>
      </c>
      <c r="P3894">
        <f t="shared" si="240"/>
        <v>7.3235685752330226E-3</v>
      </c>
      <c r="Q3894">
        <f t="shared" si="240"/>
        <v>0.94545454545454544</v>
      </c>
      <c r="R3894">
        <f t="shared" si="241"/>
        <v>10.4</v>
      </c>
      <c r="S3894">
        <f t="shared" si="242"/>
        <v>2.2317307692307691</v>
      </c>
      <c r="T3894">
        <f t="shared" si="243"/>
        <v>9.0909090909090912E-2</v>
      </c>
      <c r="U3894" t="str">
        <f>YEAR('Campaign Data'!$A3894)&amp;"-"&amp;TEXT(MONTH('Campaign Data'!$A3894),"00")</f>
        <v>2026-08</v>
      </c>
    </row>
    <row r="3895" spans="1:21" x14ac:dyDescent="0.25">
      <c r="A3895">
        <v>46236</v>
      </c>
      <c r="B3895" t="s">
        <v>151</v>
      </c>
      <c r="C3895" t="s">
        <v>152</v>
      </c>
      <c r="D3895" t="s">
        <v>48</v>
      </c>
      <c r="E3895" t="s">
        <v>24</v>
      </c>
      <c r="F3895" t="s">
        <v>81</v>
      </c>
      <c r="G3895" t="s">
        <v>129</v>
      </c>
      <c r="H3895" t="s">
        <v>51</v>
      </c>
      <c r="I3895" t="s">
        <v>37</v>
      </c>
      <c r="J3895" t="s">
        <v>29</v>
      </c>
      <c r="K3895">
        <v>9718</v>
      </c>
      <c r="L3895">
        <v>98</v>
      </c>
      <c r="M3895">
        <v>109.69</v>
      </c>
      <c r="N3895">
        <v>5</v>
      </c>
      <c r="O3895">
        <v>120.51</v>
      </c>
      <c r="P3895">
        <f t="shared" si="240"/>
        <v>1.0084379501955135E-2</v>
      </c>
      <c r="Q3895">
        <f t="shared" si="240"/>
        <v>1.1192857142857142</v>
      </c>
      <c r="R3895">
        <f t="shared" si="241"/>
        <v>21.937999999999999</v>
      </c>
      <c r="S3895">
        <f t="shared" si="242"/>
        <v>1.0986416264016776</v>
      </c>
      <c r="T3895">
        <f t="shared" si="243"/>
        <v>5.1020408163265307E-2</v>
      </c>
      <c r="U3895" t="str">
        <f>YEAR('Campaign Data'!$A3895)&amp;"-"&amp;TEXT(MONTH('Campaign Data'!$A3895),"00")</f>
        <v>2026-08</v>
      </c>
    </row>
    <row r="3896" spans="1:21" x14ac:dyDescent="0.25">
      <c r="A3896">
        <v>46236</v>
      </c>
      <c r="B3896" t="s">
        <v>39</v>
      </c>
      <c r="C3896" t="s">
        <v>40</v>
      </c>
      <c r="D3896" t="s">
        <v>41</v>
      </c>
      <c r="E3896" t="s">
        <v>42</v>
      </c>
      <c r="F3896" t="s">
        <v>43</v>
      </c>
      <c r="G3896" t="s">
        <v>44</v>
      </c>
      <c r="H3896" t="s">
        <v>27</v>
      </c>
      <c r="I3896" t="s">
        <v>37</v>
      </c>
      <c r="J3896" t="s">
        <v>62</v>
      </c>
      <c r="K3896">
        <v>2479</v>
      </c>
      <c r="L3896">
        <v>20</v>
      </c>
      <c r="M3896">
        <v>121.39</v>
      </c>
      <c r="N3896">
        <v>1</v>
      </c>
      <c r="O3896">
        <v>30.22</v>
      </c>
      <c r="P3896">
        <f t="shared" si="240"/>
        <v>8.0677692617991126E-3</v>
      </c>
      <c r="Q3896">
        <f t="shared" si="240"/>
        <v>6.0694999999999997</v>
      </c>
      <c r="R3896">
        <f t="shared" si="241"/>
        <v>121.39</v>
      </c>
      <c r="S3896">
        <f t="shared" si="242"/>
        <v>0.24894966636460991</v>
      </c>
      <c r="T3896">
        <f t="shared" si="243"/>
        <v>0.05</v>
      </c>
      <c r="U3896" t="str">
        <f>YEAR('Campaign Data'!$A3896)&amp;"-"&amp;TEXT(MONTH('Campaign Data'!$A3896),"00")</f>
        <v>2026-08</v>
      </c>
    </row>
    <row r="3897" spans="1:21" x14ac:dyDescent="0.25">
      <c r="A3897">
        <v>46236</v>
      </c>
      <c r="B3897" t="s">
        <v>98</v>
      </c>
      <c r="C3897" t="s">
        <v>99</v>
      </c>
      <c r="D3897" t="s">
        <v>69</v>
      </c>
      <c r="E3897" t="s">
        <v>24</v>
      </c>
      <c r="F3897" t="s">
        <v>75</v>
      </c>
      <c r="G3897" t="s">
        <v>66</v>
      </c>
      <c r="H3897" t="s">
        <v>71</v>
      </c>
      <c r="I3897" t="s">
        <v>37</v>
      </c>
      <c r="J3897" t="s">
        <v>38</v>
      </c>
      <c r="K3897">
        <v>4902</v>
      </c>
      <c r="L3897">
        <v>55</v>
      </c>
      <c r="M3897">
        <v>19.940000000000001</v>
      </c>
      <c r="N3897">
        <v>2</v>
      </c>
      <c r="O3897">
        <v>37.85</v>
      </c>
      <c r="P3897">
        <f t="shared" si="240"/>
        <v>1.1219910240718074E-2</v>
      </c>
      <c r="Q3897">
        <f t="shared" si="240"/>
        <v>0.36254545454545456</v>
      </c>
      <c r="R3897">
        <f t="shared" si="241"/>
        <v>9.9700000000000006</v>
      </c>
      <c r="S3897">
        <f t="shared" si="242"/>
        <v>1.8981945837512537</v>
      </c>
      <c r="T3897">
        <f t="shared" si="243"/>
        <v>3.6363636363636362E-2</v>
      </c>
      <c r="U3897" t="str">
        <f>YEAR('Campaign Data'!$A3897)&amp;"-"&amp;TEXT(MONTH('Campaign Data'!$A3897),"00")</f>
        <v>2026-08</v>
      </c>
    </row>
    <row r="3898" spans="1:21" x14ac:dyDescent="0.25">
      <c r="A3898">
        <v>46236</v>
      </c>
      <c r="B3898" t="s">
        <v>169</v>
      </c>
      <c r="C3898" t="s">
        <v>170</v>
      </c>
      <c r="D3898" t="s">
        <v>58</v>
      </c>
      <c r="E3898" t="s">
        <v>74</v>
      </c>
      <c r="F3898" t="s">
        <v>75</v>
      </c>
      <c r="G3898" t="s">
        <v>9</v>
      </c>
      <c r="H3898" t="s">
        <v>51</v>
      </c>
      <c r="I3898" t="s">
        <v>37</v>
      </c>
      <c r="J3898" t="s">
        <v>45</v>
      </c>
      <c r="K3898">
        <v>7736</v>
      </c>
      <c r="L3898">
        <v>192</v>
      </c>
      <c r="M3898">
        <v>216.31</v>
      </c>
      <c r="N3898">
        <v>6</v>
      </c>
      <c r="O3898">
        <v>347.78</v>
      </c>
      <c r="P3898">
        <f t="shared" si="240"/>
        <v>2.481902792140641E-2</v>
      </c>
      <c r="Q3898">
        <f t="shared" si="240"/>
        <v>1.1266145833333334</v>
      </c>
      <c r="R3898">
        <f t="shared" si="241"/>
        <v>36.051666666666669</v>
      </c>
      <c r="S3898">
        <f t="shared" si="242"/>
        <v>1.6077851232028106</v>
      </c>
      <c r="T3898">
        <f t="shared" si="243"/>
        <v>3.125E-2</v>
      </c>
      <c r="U3898" t="str">
        <f>YEAR('Campaign Data'!$A3898)&amp;"-"&amp;TEXT(MONTH('Campaign Data'!$A3898),"00")</f>
        <v>2026-08</v>
      </c>
    </row>
    <row r="3899" spans="1:21" x14ac:dyDescent="0.25">
      <c r="A3899">
        <v>46236</v>
      </c>
      <c r="B3899" t="s">
        <v>132</v>
      </c>
      <c r="C3899" t="s">
        <v>133</v>
      </c>
      <c r="D3899" t="s">
        <v>23</v>
      </c>
      <c r="E3899" t="s">
        <v>42</v>
      </c>
      <c r="F3899" t="s">
        <v>75</v>
      </c>
      <c r="G3899" t="s">
        <v>84</v>
      </c>
      <c r="H3899" t="s">
        <v>90</v>
      </c>
      <c r="I3899" t="s">
        <v>28</v>
      </c>
      <c r="J3899" t="s">
        <v>45</v>
      </c>
      <c r="K3899">
        <v>4065</v>
      </c>
      <c r="L3899">
        <v>33</v>
      </c>
      <c r="M3899">
        <v>50.91</v>
      </c>
      <c r="N3899">
        <v>4</v>
      </c>
      <c r="O3899">
        <v>53.94</v>
      </c>
      <c r="P3899">
        <f t="shared" si="240"/>
        <v>8.1180811808118074E-3</v>
      </c>
      <c r="Q3899">
        <f t="shared" si="240"/>
        <v>1.5427272727272727</v>
      </c>
      <c r="R3899">
        <f t="shared" si="241"/>
        <v>12.727499999999999</v>
      </c>
      <c r="S3899">
        <f t="shared" si="242"/>
        <v>1.0595167943429582</v>
      </c>
      <c r="T3899">
        <f t="shared" si="243"/>
        <v>0.12121212121212122</v>
      </c>
      <c r="U3899" t="str">
        <f>YEAR('Campaign Data'!$A3899)&amp;"-"&amp;TEXT(MONTH('Campaign Data'!$A3899),"00")</f>
        <v>2026-08</v>
      </c>
    </row>
    <row r="3900" spans="1:21" x14ac:dyDescent="0.25">
      <c r="A3900">
        <v>46236</v>
      </c>
      <c r="B3900" t="s">
        <v>132</v>
      </c>
      <c r="C3900" t="s">
        <v>133</v>
      </c>
      <c r="D3900" t="s">
        <v>23</v>
      </c>
      <c r="E3900" t="s">
        <v>42</v>
      </c>
      <c r="F3900" t="s">
        <v>75</v>
      </c>
      <c r="G3900" t="s">
        <v>84</v>
      </c>
      <c r="H3900" t="s">
        <v>36</v>
      </c>
      <c r="I3900" t="s">
        <v>37</v>
      </c>
      <c r="J3900" t="s">
        <v>45</v>
      </c>
      <c r="K3900">
        <v>6569</v>
      </c>
      <c r="L3900">
        <v>37</v>
      </c>
      <c r="M3900">
        <v>208.08</v>
      </c>
      <c r="N3900">
        <v>0</v>
      </c>
      <c r="O3900">
        <v>0</v>
      </c>
      <c r="P3900">
        <f t="shared" si="240"/>
        <v>5.6325163647434921E-3</v>
      </c>
      <c r="Q3900">
        <f t="shared" si="240"/>
        <v>5.6237837837837841</v>
      </c>
      <c r="R3900">
        <f t="shared" si="241"/>
        <v>0</v>
      </c>
      <c r="S3900">
        <f t="shared" si="242"/>
        <v>0</v>
      </c>
      <c r="T3900">
        <f t="shared" si="243"/>
        <v>0</v>
      </c>
      <c r="U3900" t="str">
        <f>YEAR('Campaign Data'!$A3900)&amp;"-"&amp;TEXT(MONTH('Campaign Data'!$A3900),"00")</f>
        <v>2026-08</v>
      </c>
    </row>
    <row r="3901" spans="1:21" x14ac:dyDescent="0.25">
      <c r="A3901">
        <v>46236</v>
      </c>
      <c r="B3901" t="s">
        <v>171</v>
      </c>
      <c r="C3901" t="s">
        <v>172</v>
      </c>
      <c r="D3901" t="s">
        <v>23</v>
      </c>
      <c r="E3901" t="s">
        <v>33</v>
      </c>
      <c r="F3901" t="s">
        <v>75</v>
      </c>
      <c r="G3901" t="s">
        <v>59</v>
      </c>
      <c r="H3901" t="s">
        <v>51</v>
      </c>
      <c r="I3901" t="s">
        <v>28</v>
      </c>
      <c r="J3901" t="s">
        <v>62</v>
      </c>
      <c r="K3901">
        <v>4816</v>
      </c>
      <c r="L3901">
        <v>69</v>
      </c>
      <c r="M3901">
        <v>39.450000000000003</v>
      </c>
      <c r="N3901">
        <v>3</v>
      </c>
      <c r="O3901">
        <v>92.56</v>
      </c>
      <c r="P3901">
        <f t="shared" si="240"/>
        <v>1.4327242524916944E-2</v>
      </c>
      <c r="Q3901">
        <f t="shared" si="240"/>
        <v>0.57173913043478264</v>
      </c>
      <c r="R3901">
        <f t="shared" si="241"/>
        <v>13.15</v>
      </c>
      <c r="S3901">
        <f t="shared" si="242"/>
        <v>2.3462610899873257</v>
      </c>
      <c r="T3901">
        <f t="shared" si="243"/>
        <v>4.3478260869565216E-2</v>
      </c>
      <c r="U3901" t="str">
        <f>YEAR('Campaign Data'!$A3901)&amp;"-"&amp;TEXT(MONTH('Campaign Data'!$A3901),"00")</f>
        <v>2026-08</v>
      </c>
    </row>
    <row r="3902" spans="1:21" x14ac:dyDescent="0.25">
      <c r="A3902">
        <v>46236</v>
      </c>
      <c r="B3902" t="s">
        <v>110</v>
      </c>
      <c r="C3902" t="s">
        <v>111</v>
      </c>
      <c r="D3902" t="s">
        <v>23</v>
      </c>
      <c r="E3902" t="s">
        <v>49</v>
      </c>
      <c r="F3902" t="s">
        <v>34</v>
      </c>
      <c r="G3902" t="s">
        <v>50</v>
      </c>
      <c r="H3902" t="s">
        <v>51</v>
      </c>
      <c r="I3902" t="s">
        <v>37</v>
      </c>
      <c r="J3902" t="s">
        <v>87</v>
      </c>
      <c r="K3902">
        <v>1779</v>
      </c>
      <c r="L3902">
        <v>66</v>
      </c>
      <c r="M3902">
        <v>158.06</v>
      </c>
      <c r="N3902">
        <v>1</v>
      </c>
      <c r="O3902">
        <v>83.73</v>
      </c>
      <c r="P3902">
        <f t="shared" si="240"/>
        <v>3.7099494097807759E-2</v>
      </c>
      <c r="Q3902">
        <f t="shared" si="240"/>
        <v>2.394848484848485</v>
      </c>
      <c r="R3902">
        <f t="shared" si="241"/>
        <v>158.06</v>
      </c>
      <c r="S3902">
        <f t="shared" si="242"/>
        <v>0.52973554346450713</v>
      </c>
      <c r="T3902">
        <f t="shared" si="243"/>
        <v>1.5151515151515152E-2</v>
      </c>
      <c r="U3902" t="str">
        <f>YEAR('Campaign Data'!$A3902)&amp;"-"&amp;TEXT(MONTH('Campaign Data'!$A3902),"00")</f>
        <v>2026-08</v>
      </c>
    </row>
    <row r="3903" spans="1:21" x14ac:dyDescent="0.25">
      <c r="A3903">
        <v>46236</v>
      </c>
      <c r="B3903" t="s">
        <v>114</v>
      </c>
      <c r="C3903" t="s">
        <v>115</v>
      </c>
      <c r="D3903" t="s">
        <v>69</v>
      </c>
      <c r="E3903" t="s">
        <v>49</v>
      </c>
      <c r="F3903" t="s">
        <v>25</v>
      </c>
      <c r="G3903" t="s">
        <v>107</v>
      </c>
      <c r="H3903" t="s">
        <v>51</v>
      </c>
      <c r="I3903" t="s">
        <v>28</v>
      </c>
      <c r="J3903" t="s">
        <v>45</v>
      </c>
      <c r="K3903">
        <v>8715</v>
      </c>
      <c r="L3903">
        <v>284</v>
      </c>
      <c r="M3903">
        <v>484.44</v>
      </c>
      <c r="N3903">
        <v>13</v>
      </c>
      <c r="O3903">
        <v>2690.92</v>
      </c>
      <c r="P3903">
        <f t="shared" si="240"/>
        <v>3.2587492828456681E-2</v>
      </c>
      <c r="Q3903">
        <f t="shared" si="240"/>
        <v>1.7057746478873239</v>
      </c>
      <c r="R3903">
        <f t="shared" si="241"/>
        <v>37.264615384615382</v>
      </c>
      <c r="S3903">
        <f t="shared" si="242"/>
        <v>5.5547023367186856</v>
      </c>
      <c r="T3903">
        <f t="shared" si="243"/>
        <v>4.5774647887323945E-2</v>
      </c>
      <c r="U3903" t="str">
        <f>YEAR('Campaign Data'!$A3903)&amp;"-"&amp;TEXT(MONTH('Campaign Data'!$A3903),"00")</f>
        <v>2026-08</v>
      </c>
    </row>
    <row r="3904" spans="1:21" x14ac:dyDescent="0.25">
      <c r="A3904">
        <v>46236</v>
      </c>
      <c r="B3904" t="s">
        <v>141</v>
      </c>
      <c r="C3904" t="s">
        <v>142</v>
      </c>
      <c r="D3904" t="s">
        <v>80</v>
      </c>
      <c r="E3904" t="s">
        <v>49</v>
      </c>
      <c r="F3904" t="s">
        <v>81</v>
      </c>
      <c r="G3904" t="s">
        <v>97</v>
      </c>
      <c r="H3904" t="s">
        <v>55</v>
      </c>
      <c r="I3904" t="s">
        <v>37</v>
      </c>
      <c r="J3904" t="s">
        <v>62</v>
      </c>
      <c r="K3904">
        <v>4416</v>
      </c>
      <c r="L3904">
        <v>278</v>
      </c>
      <c r="M3904">
        <v>326.52</v>
      </c>
      <c r="N3904">
        <v>31</v>
      </c>
      <c r="O3904">
        <v>602.79999999999995</v>
      </c>
      <c r="P3904">
        <f t="shared" si="240"/>
        <v>6.295289855072464E-2</v>
      </c>
      <c r="Q3904">
        <f t="shared" si="240"/>
        <v>1.1745323741007194</v>
      </c>
      <c r="R3904">
        <f t="shared" si="241"/>
        <v>10.532903225806452</v>
      </c>
      <c r="S3904">
        <f t="shared" si="242"/>
        <v>1.84613499938748</v>
      </c>
      <c r="T3904">
        <f t="shared" si="243"/>
        <v>0.11151079136690648</v>
      </c>
      <c r="U3904" t="str">
        <f>YEAR('Campaign Data'!$A3904)&amp;"-"&amp;TEXT(MONTH('Campaign Data'!$A3904),"00")</f>
        <v>2026-08</v>
      </c>
    </row>
    <row r="3905" spans="1:21" x14ac:dyDescent="0.25">
      <c r="A3905">
        <v>46236</v>
      </c>
      <c r="B3905" t="s">
        <v>141</v>
      </c>
      <c r="C3905" t="s">
        <v>142</v>
      </c>
      <c r="D3905" t="s">
        <v>80</v>
      </c>
      <c r="E3905" t="s">
        <v>49</v>
      </c>
      <c r="F3905" t="s">
        <v>81</v>
      </c>
      <c r="G3905" t="s">
        <v>97</v>
      </c>
      <c r="H3905" t="s">
        <v>60</v>
      </c>
      <c r="I3905" t="s">
        <v>28</v>
      </c>
      <c r="J3905" t="s">
        <v>62</v>
      </c>
      <c r="K3905">
        <v>1748</v>
      </c>
      <c r="L3905">
        <v>121</v>
      </c>
      <c r="M3905">
        <v>125.57</v>
      </c>
      <c r="N3905">
        <v>0</v>
      </c>
      <c r="O3905">
        <v>0</v>
      </c>
      <c r="P3905">
        <f t="shared" si="240"/>
        <v>6.9221967963386727E-2</v>
      </c>
      <c r="Q3905">
        <f t="shared" si="240"/>
        <v>1.0377685950413222</v>
      </c>
      <c r="R3905">
        <f t="shared" si="241"/>
        <v>0</v>
      </c>
      <c r="S3905">
        <f t="shared" si="242"/>
        <v>0</v>
      </c>
      <c r="T3905">
        <f t="shared" si="243"/>
        <v>0</v>
      </c>
      <c r="U3905" t="str">
        <f>YEAR('Campaign Data'!$A3905)&amp;"-"&amp;TEXT(MONTH('Campaign Data'!$A3905),"00")</f>
        <v>2026-08</v>
      </c>
    </row>
    <row r="3906" spans="1:21" x14ac:dyDescent="0.25">
      <c r="A3906">
        <v>46236</v>
      </c>
      <c r="B3906" t="s">
        <v>63</v>
      </c>
      <c r="C3906" t="s">
        <v>64</v>
      </c>
      <c r="D3906" t="s">
        <v>65</v>
      </c>
      <c r="E3906" t="s">
        <v>24</v>
      </c>
      <c r="F3906" t="s">
        <v>43</v>
      </c>
      <c r="G3906" t="s">
        <v>66</v>
      </c>
      <c r="H3906" t="s">
        <v>27</v>
      </c>
      <c r="I3906" t="s">
        <v>28</v>
      </c>
      <c r="J3906" t="s">
        <v>62</v>
      </c>
      <c r="K3906">
        <v>7110</v>
      </c>
      <c r="L3906">
        <v>95</v>
      </c>
      <c r="M3906">
        <v>112.15</v>
      </c>
      <c r="N3906">
        <v>6</v>
      </c>
      <c r="O3906">
        <v>216.14</v>
      </c>
      <c r="P3906">
        <f t="shared" ref="P3906:Q3969" si="244">IF(K3906=0,0,L3906/K3906)</f>
        <v>1.3361462728551337E-2</v>
      </c>
      <c r="Q3906">
        <f t="shared" si="244"/>
        <v>1.1805263157894736</v>
      </c>
      <c r="R3906">
        <f t="shared" ref="R3906:R3969" si="245">IF(N3906=0,0,M3906/N3906)</f>
        <v>18.691666666666666</v>
      </c>
      <c r="S3906">
        <f t="shared" ref="S3906:S3969" si="246">IF(M3906=0,0,O3906/M3906)</f>
        <v>1.9272403031654033</v>
      </c>
      <c r="T3906">
        <f t="shared" ref="T3906:T3969" si="247">IF(L3906=0,0,N3906/L3906)</f>
        <v>6.3157894736842107E-2</v>
      </c>
      <c r="U3906" t="str">
        <f>YEAR('Campaign Data'!$A3906)&amp;"-"&amp;TEXT(MONTH('Campaign Data'!$A3906),"00")</f>
        <v>2026-08</v>
      </c>
    </row>
    <row r="3907" spans="1:21" x14ac:dyDescent="0.25">
      <c r="A3907">
        <v>46236</v>
      </c>
      <c r="B3907" t="s">
        <v>67</v>
      </c>
      <c r="C3907" t="s">
        <v>68</v>
      </c>
      <c r="D3907" t="s">
        <v>69</v>
      </c>
      <c r="E3907" t="s">
        <v>49</v>
      </c>
      <c r="F3907" t="s">
        <v>34</v>
      </c>
      <c r="G3907" t="s">
        <v>70</v>
      </c>
      <c r="H3907" t="s">
        <v>27</v>
      </c>
      <c r="I3907" t="s">
        <v>37</v>
      </c>
      <c r="J3907" t="s">
        <v>38</v>
      </c>
      <c r="K3907">
        <v>6058</v>
      </c>
      <c r="L3907">
        <v>401</v>
      </c>
      <c r="M3907">
        <v>1019.17</v>
      </c>
      <c r="N3907">
        <v>21</v>
      </c>
      <c r="O3907">
        <v>3846.42</v>
      </c>
      <c r="P3907">
        <f t="shared" si="244"/>
        <v>6.6193463189171339E-2</v>
      </c>
      <c r="Q3907">
        <f t="shared" si="244"/>
        <v>2.541571072319202</v>
      </c>
      <c r="R3907">
        <f t="shared" si="245"/>
        <v>48.531904761904762</v>
      </c>
      <c r="S3907">
        <f t="shared" si="246"/>
        <v>3.774071057821561</v>
      </c>
      <c r="T3907">
        <f t="shared" si="247"/>
        <v>5.2369077306733167E-2</v>
      </c>
      <c r="U3907" t="str">
        <f>YEAR('Campaign Data'!$A3907)&amp;"-"&amp;TEXT(MONTH('Campaign Data'!$A3907),"00")</f>
        <v>2026-08</v>
      </c>
    </row>
    <row r="3908" spans="1:21" x14ac:dyDescent="0.25">
      <c r="A3908">
        <v>46236</v>
      </c>
      <c r="B3908" t="s">
        <v>163</v>
      </c>
      <c r="C3908" t="s">
        <v>164</v>
      </c>
      <c r="D3908" t="s">
        <v>58</v>
      </c>
      <c r="E3908" t="s">
        <v>42</v>
      </c>
      <c r="F3908" t="s">
        <v>43</v>
      </c>
      <c r="G3908" t="s">
        <v>44</v>
      </c>
      <c r="H3908" t="s">
        <v>27</v>
      </c>
      <c r="I3908" t="s">
        <v>37</v>
      </c>
      <c r="J3908" t="s">
        <v>45</v>
      </c>
      <c r="K3908">
        <v>4466</v>
      </c>
      <c r="L3908">
        <v>26</v>
      </c>
      <c r="M3908">
        <v>134.63999999999999</v>
      </c>
      <c r="N3908">
        <v>1</v>
      </c>
      <c r="O3908">
        <v>29.27</v>
      </c>
      <c r="P3908">
        <f t="shared" si="244"/>
        <v>5.8217644424540978E-3</v>
      </c>
      <c r="Q3908">
        <f t="shared" si="244"/>
        <v>5.178461538461538</v>
      </c>
      <c r="R3908">
        <f t="shared" si="245"/>
        <v>134.63999999999999</v>
      </c>
      <c r="S3908">
        <f t="shared" si="246"/>
        <v>0.21739453357100419</v>
      </c>
      <c r="T3908">
        <f t="shared" si="247"/>
        <v>3.8461538461538464E-2</v>
      </c>
      <c r="U3908" t="str">
        <f>YEAR('Campaign Data'!$A3908)&amp;"-"&amp;TEXT(MONTH('Campaign Data'!$A3908),"00")</f>
        <v>2026-08</v>
      </c>
    </row>
    <row r="3909" spans="1:21" x14ac:dyDescent="0.25">
      <c r="A3909">
        <v>46236</v>
      </c>
      <c r="B3909" t="s">
        <v>145</v>
      </c>
      <c r="C3909" t="s">
        <v>146</v>
      </c>
      <c r="D3909" t="s">
        <v>41</v>
      </c>
      <c r="E3909" t="s">
        <v>49</v>
      </c>
      <c r="F3909" t="s">
        <v>75</v>
      </c>
      <c r="G3909" t="s">
        <v>70</v>
      </c>
      <c r="H3909" t="s">
        <v>60</v>
      </c>
      <c r="I3909" t="s">
        <v>37</v>
      </c>
      <c r="J3909" t="s">
        <v>45</v>
      </c>
      <c r="K3909">
        <v>6108</v>
      </c>
      <c r="L3909">
        <v>180</v>
      </c>
      <c r="M3909">
        <v>302.12</v>
      </c>
      <c r="N3909">
        <v>2</v>
      </c>
      <c r="O3909">
        <v>77.150000000000006</v>
      </c>
      <c r="P3909">
        <f t="shared" si="244"/>
        <v>2.9469548133595286E-2</v>
      </c>
      <c r="Q3909">
        <f t="shared" si="244"/>
        <v>1.6784444444444444</v>
      </c>
      <c r="R3909">
        <f t="shared" si="245"/>
        <v>151.06</v>
      </c>
      <c r="S3909">
        <f t="shared" si="246"/>
        <v>0.25536210777174634</v>
      </c>
      <c r="T3909">
        <f t="shared" si="247"/>
        <v>1.1111111111111112E-2</v>
      </c>
      <c r="U3909" t="str">
        <f>YEAR('Campaign Data'!$A3909)&amp;"-"&amp;TEXT(MONTH('Campaign Data'!$A3909),"00")</f>
        <v>2026-08</v>
      </c>
    </row>
    <row r="3910" spans="1:21" x14ac:dyDescent="0.25">
      <c r="A3910">
        <v>46236</v>
      </c>
      <c r="B3910" t="s">
        <v>145</v>
      </c>
      <c r="C3910" t="s">
        <v>146</v>
      </c>
      <c r="D3910" t="s">
        <v>41</v>
      </c>
      <c r="E3910" t="s">
        <v>49</v>
      </c>
      <c r="F3910" t="s">
        <v>75</v>
      </c>
      <c r="G3910" t="s">
        <v>70</v>
      </c>
      <c r="H3910" t="s">
        <v>36</v>
      </c>
      <c r="I3910" t="s">
        <v>37</v>
      </c>
      <c r="J3910" t="s">
        <v>62</v>
      </c>
      <c r="K3910">
        <v>1685</v>
      </c>
      <c r="L3910">
        <v>94</v>
      </c>
      <c r="M3910">
        <v>131.34</v>
      </c>
      <c r="N3910">
        <v>8</v>
      </c>
      <c r="O3910">
        <v>289.85000000000002</v>
      </c>
      <c r="P3910">
        <f t="shared" si="244"/>
        <v>5.5786350148367955E-2</v>
      </c>
      <c r="Q3910">
        <f t="shared" si="244"/>
        <v>1.3972340425531915</v>
      </c>
      <c r="R3910">
        <f t="shared" si="245"/>
        <v>16.4175</v>
      </c>
      <c r="S3910">
        <f t="shared" si="246"/>
        <v>2.2068676716917923</v>
      </c>
      <c r="T3910">
        <f t="shared" si="247"/>
        <v>8.5106382978723402E-2</v>
      </c>
      <c r="U3910" t="str">
        <f>YEAR('Campaign Data'!$A3910)&amp;"-"&amp;TEXT(MONTH('Campaign Data'!$A3910),"00")</f>
        <v>2026-08</v>
      </c>
    </row>
    <row r="3911" spans="1:21" x14ac:dyDescent="0.25">
      <c r="A3911">
        <v>46236</v>
      </c>
      <c r="B3911" t="s">
        <v>145</v>
      </c>
      <c r="C3911" t="s">
        <v>146</v>
      </c>
      <c r="D3911" t="s">
        <v>41</v>
      </c>
      <c r="E3911" t="s">
        <v>49</v>
      </c>
      <c r="F3911" t="s">
        <v>75</v>
      </c>
      <c r="G3911" t="s">
        <v>70</v>
      </c>
      <c r="H3911" t="s">
        <v>90</v>
      </c>
      <c r="I3911" t="s">
        <v>28</v>
      </c>
      <c r="J3911" t="s">
        <v>45</v>
      </c>
      <c r="K3911">
        <v>13330</v>
      </c>
      <c r="L3911">
        <v>200</v>
      </c>
      <c r="M3911">
        <v>95.49</v>
      </c>
      <c r="N3911">
        <v>13</v>
      </c>
      <c r="O3911">
        <v>169.84</v>
      </c>
      <c r="P3911">
        <f t="shared" si="244"/>
        <v>1.5003750937734433E-2</v>
      </c>
      <c r="Q3911">
        <f t="shared" si="244"/>
        <v>0.47744999999999999</v>
      </c>
      <c r="R3911">
        <f t="shared" si="245"/>
        <v>7.3453846153846154</v>
      </c>
      <c r="S3911">
        <f t="shared" si="246"/>
        <v>1.7786155618389361</v>
      </c>
      <c r="T3911">
        <f t="shared" si="247"/>
        <v>6.5000000000000002E-2</v>
      </c>
      <c r="U3911" t="str">
        <f>YEAR('Campaign Data'!$A3911)&amp;"-"&amp;TEXT(MONTH('Campaign Data'!$A3911),"00")</f>
        <v>2026-08</v>
      </c>
    </row>
    <row r="3912" spans="1:21" x14ac:dyDescent="0.25">
      <c r="A3912">
        <v>46236</v>
      </c>
      <c r="B3912" t="s">
        <v>82</v>
      </c>
      <c r="C3912" t="s">
        <v>83</v>
      </c>
      <c r="D3912" t="s">
        <v>80</v>
      </c>
      <c r="E3912" t="s">
        <v>42</v>
      </c>
      <c r="F3912" t="s">
        <v>34</v>
      </c>
      <c r="G3912" t="s">
        <v>84</v>
      </c>
      <c r="H3912" t="s">
        <v>90</v>
      </c>
      <c r="I3912" t="s">
        <v>28</v>
      </c>
      <c r="J3912" t="s">
        <v>29</v>
      </c>
      <c r="K3912">
        <v>5839</v>
      </c>
      <c r="L3912">
        <v>31</v>
      </c>
      <c r="M3912">
        <v>47.69</v>
      </c>
      <c r="N3912">
        <v>1</v>
      </c>
      <c r="O3912">
        <v>39.6</v>
      </c>
      <c r="P3912">
        <f t="shared" si="244"/>
        <v>5.3091282753896215E-3</v>
      </c>
      <c r="Q3912">
        <f t="shared" si="244"/>
        <v>1.5383870967741935</v>
      </c>
      <c r="R3912">
        <f t="shared" si="245"/>
        <v>47.69</v>
      </c>
      <c r="S3912">
        <f t="shared" si="246"/>
        <v>0.83036275948836236</v>
      </c>
      <c r="T3912">
        <f t="shared" si="247"/>
        <v>3.2258064516129031E-2</v>
      </c>
      <c r="U3912" t="str">
        <f>YEAR('Campaign Data'!$A3912)&amp;"-"&amp;TEXT(MONTH('Campaign Data'!$A3912),"00")</f>
        <v>2026-08</v>
      </c>
    </row>
    <row r="3913" spans="1:21" x14ac:dyDescent="0.25">
      <c r="A3913">
        <v>46237</v>
      </c>
      <c r="B3913" t="s">
        <v>91</v>
      </c>
      <c r="C3913" t="s">
        <v>92</v>
      </c>
      <c r="D3913" t="s">
        <v>41</v>
      </c>
      <c r="E3913" t="s">
        <v>74</v>
      </c>
      <c r="F3913" t="s">
        <v>75</v>
      </c>
      <c r="G3913" t="s">
        <v>9</v>
      </c>
      <c r="H3913" t="s">
        <v>71</v>
      </c>
      <c r="I3913" t="s">
        <v>28</v>
      </c>
      <c r="J3913" t="s">
        <v>62</v>
      </c>
      <c r="K3913">
        <v>2319</v>
      </c>
      <c r="L3913">
        <v>107</v>
      </c>
      <c r="M3913">
        <v>130.34</v>
      </c>
      <c r="N3913">
        <v>9</v>
      </c>
      <c r="O3913">
        <v>457.94</v>
      </c>
      <c r="P3913">
        <f t="shared" si="244"/>
        <v>4.6140577835273824E-2</v>
      </c>
      <c r="Q3913">
        <f t="shared" si="244"/>
        <v>1.2181308411214953</v>
      </c>
      <c r="R3913">
        <f t="shared" si="245"/>
        <v>14.482222222222223</v>
      </c>
      <c r="S3913">
        <f t="shared" si="246"/>
        <v>3.5134264232008592</v>
      </c>
      <c r="T3913">
        <f t="shared" si="247"/>
        <v>8.4112149532710276E-2</v>
      </c>
      <c r="U3913" t="str">
        <f>YEAR('Campaign Data'!$A3913)&amp;"-"&amp;TEXT(MONTH('Campaign Data'!$A3913),"00")</f>
        <v>2026-08</v>
      </c>
    </row>
    <row r="3914" spans="1:21" x14ac:dyDescent="0.25">
      <c r="A3914">
        <v>46237</v>
      </c>
      <c r="B3914" t="s">
        <v>91</v>
      </c>
      <c r="C3914" t="s">
        <v>92</v>
      </c>
      <c r="D3914" t="s">
        <v>41</v>
      </c>
      <c r="E3914" t="s">
        <v>74</v>
      </c>
      <c r="F3914" t="s">
        <v>75</v>
      </c>
      <c r="G3914" t="s">
        <v>9</v>
      </c>
      <c r="H3914" t="s">
        <v>90</v>
      </c>
      <c r="I3914" t="s">
        <v>37</v>
      </c>
      <c r="J3914" t="s">
        <v>87</v>
      </c>
      <c r="K3914">
        <v>9771</v>
      </c>
      <c r="L3914">
        <v>412</v>
      </c>
      <c r="M3914">
        <v>137.13</v>
      </c>
      <c r="N3914">
        <v>26</v>
      </c>
      <c r="O3914">
        <v>299.52</v>
      </c>
      <c r="P3914">
        <f t="shared" si="244"/>
        <v>4.2165592058131203E-2</v>
      </c>
      <c r="Q3914">
        <f t="shared" si="244"/>
        <v>0.3328398058252427</v>
      </c>
      <c r="R3914">
        <f t="shared" si="245"/>
        <v>5.2742307692307691</v>
      </c>
      <c r="S3914">
        <f t="shared" si="246"/>
        <v>2.184204769197112</v>
      </c>
      <c r="T3914">
        <f t="shared" si="247"/>
        <v>6.3106796116504854E-2</v>
      </c>
      <c r="U3914" t="str">
        <f>YEAR('Campaign Data'!$A3914)&amp;"-"&amp;TEXT(MONTH('Campaign Data'!$A3914),"00")</f>
        <v>2026-08</v>
      </c>
    </row>
    <row r="3915" spans="1:21" x14ac:dyDescent="0.25">
      <c r="A3915">
        <v>46237</v>
      </c>
      <c r="B3915" t="s">
        <v>186</v>
      </c>
      <c r="C3915" t="s">
        <v>187</v>
      </c>
      <c r="D3915" t="s">
        <v>80</v>
      </c>
      <c r="E3915" t="s">
        <v>33</v>
      </c>
      <c r="F3915" t="s">
        <v>43</v>
      </c>
      <c r="G3915" t="s">
        <v>102</v>
      </c>
      <c r="H3915" t="s">
        <v>90</v>
      </c>
      <c r="I3915" t="s">
        <v>28</v>
      </c>
      <c r="J3915" t="s">
        <v>29</v>
      </c>
      <c r="K3915">
        <v>13820</v>
      </c>
      <c r="L3915">
        <v>84</v>
      </c>
      <c r="M3915">
        <v>12.79</v>
      </c>
      <c r="N3915">
        <v>1</v>
      </c>
      <c r="O3915">
        <v>7.4</v>
      </c>
      <c r="P3915">
        <f t="shared" si="244"/>
        <v>6.0781476121562952E-3</v>
      </c>
      <c r="Q3915">
        <f t="shared" si="244"/>
        <v>0.15226190476190476</v>
      </c>
      <c r="R3915">
        <f t="shared" si="245"/>
        <v>12.79</v>
      </c>
      <c r="S3915">
        <f t="shared" si="246"/>
        <v>0.57857701329163413</v>
      </c>
      <c r="T3915">
        <f t="shared" si="247"/>
        <v>1.1904761904761904E-2</v>
      </c>
      <c r="U3915" t="str">
        <f>YEAR('Campaign Data'!$A3915)&amp;"-"&amp;TEXT(MONTH('Campaign Data'!$A3915),"00")</f>
        <v>2026-08</v>
      </c>
    </row>
    <row r="3916" spans="1:21" x14ac:dyDescent="0.25">
      <c r="A3916">
        <v>46237</v>
      </c>
      <c r="B3916" t="s">
        <v>186</v>
      </c>
      <c r="C3916" t="s">
        <v>187</v>
      </c>
      <c r="D3916" t="s">
        <v>80</v>
      </c>
      <c r="E3916" t="s">
        <v>33</v>
      </c>
      <c r="F3916" t="s">
        <v>43</v>
      </c>
      <c r="G3916" t="s">
        <v>102</v>
      </c>
      <c r="H3916" t="s">
        <v>27</v>
      </c>
      <c r="I3916" t="s">
        <v>37</v>
      </c>
      <c r="J3916" t="s">
        <v>38</v>
      </c>
      <c r="K3916">
        <v>5731</v>
      </c>
      <c r="L3916">
        <v>53</v>
      </c>
      <c r="M3916">
        <v>44.29</v>
      </c>
      <c r="N3916">
        <v>0</v>
      </c>
      <c r="O3916">
        <v>0</v>
      </c>
      <c r="P3916">
        <f t="shared" si="244"/>
        <v>9.2479497469900532E-3</v>
      </c>
      <c r="Q3916">
        <f t="shared" si="244"/>
        <v>0.83566037735849052</v>
      </c>
      <c r="R3916">
        <f t="shared" si="245"/>
        <v>0</v>
      </c>
      <c r="S3916">
        <f t="shared" si="246"/>
        <v>0</v>
      </c>
      <c r="T3916">
        <f t="shared" si="247"/>
        <v>0</v>
      </c>
      <c r="U3916" t="str">
        <f>YEAR('Campaign Data'!$A3916)&amp;"-"&amp;TEXT(MONTH('Campaign Data'!$A3916),"00")</f>
        <v>2026-08</v>
      </c>
    </row>
    <row r="3917" spans="1:21" x14ac:dyDescent="0.25">
      <c r="A3917">
        <v>46237</v>
      </c>
      <c r="B3917" t="s">
        <v>95</v>
      </c>
      <c r="C3917" t="s">
        <v>96</v>
      </c>
      <c r="D3917" t="s">
        <v>23</v>
      </c>
      <c r="E3917" t="s">
        <v>49</v>
      </c>
      <c r="F3917" t="s">
        <v>43</v>
      </c>
      <c r="G3917" t="s">
        <v>97</v>
      </c>
      <c r="H3917" t="s">
        <v>36</v>
      </c>
      <c r="I3917" t="s">
        <v>37</v>
      </c>
      <c r="J3917" t="s">
        <v>29</v>
      </c>
      <c r="K3917">
        <v>35721</v>
      </c>
      <c r="L3917">
        <v>1689</v>
      </c>
      <c r="M3917">
        <v>3228.47</v>
      </c>
      <c r="N3917">
        <v>51</v>
      </c>
      <c r="O3917">
        <v>1480.64</v>
      </c>
      <c r="P3917">
        <f t="shared" si="244"/>
        <v>4.7283110775174268E-2</v>
      </c>
      <c r="Q3917">
        <f t="shared" si="244"/>
        <v>1.9114683244523385</v>
      </c>
      <c r="R3917">
        <f t="shared" si="245"/>
        <v>63.303333333333327</v>
      </c>
      <c r="S3917">
        <f t="shared" si="246"/>
        <v>0.45861971769909593</v>
      </c>
      <c r="T3917">
        <f t="shared" si="247"/>
        <v>3.0195381882770871E-2</v>
      </c>
      <c r="U3917" t="str">
        <f>YEAR('Campaign Data'!$A3917)&amp;"-"&amp;TEXT(MONTH('Campaign Data'!$A3917),"00")</f>
        <v>2026-08</v>
      </c>
    </row>
    <row r="3918" spans="1:21" x14ac:dyDescent="0.25">
      <c r="A3918">
        <v>46237</v>
      </c>
      <c r="B3918" t="s">
        <v>30</v>
      </c>
      <c r="C3918" t="s">
        <v>31</v>
      </c>
      <c r="D3918" t="s">
        <v>32</v>
      </c>
      <c r="E3918" t="s">
        <v>33</v>
      </c>
      <c r="F3918" t="s">
        <v>34</v>
      </c>
      <c r="G3918" t="s">
        <v>35</v>
      </c>
      <c r="H3918" t="s">
        <v>90</v>
      </c>
      <c r="I3918" t="s">
        <v>28</v>
      </c>
      <c r="J3918" t="s">
        <v>87</v>
      </c>
      <c r="K3918">
        <v>2094</v>
      </c>
      <c r="L3918">
        <v>28</v>
      </c>
      <c r="M3918">
        <v>5.04</v>
      </c>
      <c r="N3918">
        <v>1</v>
      </c>
      <c r="O3918">
        <v>35.39</v>
      </c>
      <c r="P3918">
        <f t="shared" si="244"/>
        <v>1.3371537726838587E-2</v>
      </c>
      <c r="Q3918">
        <f t="shared" si="244"/>
        <v>0.18</v>
      </c>
      <c r="R3918">
        <f t="shared" si="245"/>
        <v>5.04</v>
      </c>
      <c r="S3918">
        <f t="shared" si="246"/>
        <v>7.0218253968253972</v>
      </c>
      <c r="T3918">
        <f t="shared" si="247"/>
        <v>3.5714285714285712E-2</v>
      </c>
      <c r="U3918" t="str">
        <f>YEAR('Campaign Data'!$A3918)&amp;"-"&amp;TEXT(MONTH('Campaign Data'!$A3918),"00")</f>
        <v>2026-08</v>
      </c>
    </row>
    <row r="3919" spans="1:21" x14ac:dyDescent="0.25">
      <c r="A3919">
        <v>46237</v>
      </c>
      <c r="B3919" t="s">
        <v>46</v>
      </c>
      <c r="C3919" t="s">
        <v>47</v>
      </c>
      <c r="D3919" t="s">
        <v>48</v>
      </c>
      <c r="E3919" t="s">
        <v>49</v>
      </c>
      <c r="F3919" t="s">
        <v>43</v>
      </c>
      <c r="G3919" t="s">
        <v>50</v>
      </c>
      <c r="H3919" t="s">
        <v>90</v>
      </c>
      <c r="I3919" t="s">
        <v>37</v>
      </c>
      <c r="J3919" t="s">
        <v>87</v>
      </c>
      <c r="K3919">
        <v>1957</v>
      </c>
      <c r="L3919">
        <v>46</v>
      </c>
      <c r="M3919">
        <v>22.65</v>
      </c>
      <c r="N3919">
        <v>2</v>
      </c>
      <c r="O3919">
        <v>10</v>
      </c>
      <c r="P3919">
        <f t="shared" si="244"/>
        <v>2.3505365355135411E-2</v>
      </c>
      <c r="Q3919">
        <f t="shared" si="244"/>
        <v>0.49239130434782608</v>
      </c>
      <c r="R3919">
        <f t="shared" si="245"/>
        <v>11.324999999999999</v>
      </c>
      <c r="S3919">
        <f t="shared" si="246"/>
        <v>0.44150110375275942</v>
      </c>
      <c r="T3919">
        <f t="shared" si="247"/>
        <v>4.3478260869565216E-2</v>
      </c>
      <c r="U3919" t="str">
        <f>YEAR('Campaign Data'!$A3919)&amp;"-"&amp;TEXT(MONTH('Campaign Data'!$A3919),"00")</f>
        <v>2026-08</v>
      </c>
    </row>
    <row r="3920" spans="1:21" x14ac:dyDescent="0.25">
      <c r="A3920">
        <v>46237</v>
      </c>
      <c r="B3920" t="s">
        <v>100</v>
      </c>
      <c r="C3920" t="s">
        <v>101</v>
      </c>
      <c r="D3920" t="s">
        <v>80</v>
      </c>
      <c r="E3920" t="s">
        <v>33</v>
      </c>
      <c r="F3920" t="s">
        <v>25</v>
      </c>
      <c r="G3920" t="s">
        <v>102</v>
      </c>
      <c r="H3920" t="s">
        <v>55</v>
      </c>
      <c r="I3920" t="s">
        <v>37</v>
      </c>
      <c r="J3920" t="s">
        <v>29</v>
      </c>
      <c r="K3920">
        <v>8343</v>
      </c>
      <c r="L3920">
        <v>55</v>
      </c>
      <c r="M3920">
        <v>30.18</v>
      </c>
      <c r="N3920">
        <v>2</v>
      </c>
      <c r="O3920">
        <v>198.25</v>
      </c>
      <c r="P3920">
        <f t="shared" si="244"/>
        <v>6.5923528706700232E-3</v>
      </c>
      <c r="Q3920">
        <f t="shared" si="244"/>
        <v>0.54872727272727273</v>
      </c>
      <c r="R3920">
        <f t="shared" si="245"/>
        <v>15.09</v>
      </c>
      <c r="S3920">
        <f t="shared" si="246"/>
        <v>6.5689198144466534</v>
      </c>
      <c r="T3920">
        <f t="shared" si="247"/>
        <v>3.6363636363636362E-2</v>
      </c>
      <c r="U3920" t="str">
        <f>YEAR('Campaign Data'!$A3920)&amp;"-"&amp;TEXT(MONTH('Campaign Data'!$A3920),"00")</f>
        <v>2026-08</v>
      </c>
    </row>
    <row r="3921" spans="1:21" x14ac:dyDescent="0.25">
      <c r="A3921">
        <v>46237</v>
      </c>
      <c r="B3921" t="s">
        <v>169</v>
      </c>
      <c r="C3921" t="s">
        <v>170</v>
      </c>
      <c r="D3921" t="s">
        <v>58</v>
      </c>
      <c r="E3921" t="s">
        <v>74</v>
      </c>
      <c r="F3921" t="s">
        <v>75</v>
      </c>
      <c r="G3921" t="s">
        <v>9</v>
      </c>
      <c r="H3921" t="s">
        <v>51</v>
      </c>
      <c r="I3921" t="s">
        <v>37</v>
      </c>
      <c r="J3921" t="s">
        <v>29</v>
      </c>
      <c r="K3921">
        <v>5958</v>
      </c>
      <c r="L3921">
        <v>188</v>
      </c>
      <c r="M3921">
        <v>160.47999999999999</v>
      </c>
      <c r="N3921">
        <v>9</v>
      </c>
      <c r="O3921">
        <v>330.22</v>
      </c>
      <c r="P3921">
        <f t="shared" si="244"/>
        <v>3.1554212823095E-2</v>
      </c>
      <c r="Q3921">
        <f t="shared" si="244"/>
        <v>0.85361702127659567</v>
      </c>
      <c r="R3921">
        <f t="shared" si="245"/>
        <v>17.83111111111111</v>
      </c>
      <c r="S3921">
        <f t="shared" si="246"/>
        <v>2.0577018943170491</v>
      </c>
      <c r="T3921">
        <f t="shared" si="247"/>
        <v>4.7872340425531915E-2</v>
      </c>
      <c r="U3921" t="str">
        <f>YEAR('Campaign Data'!$A3921)&amp;"-"&amp;TEXT(MONTH('Campaign Data'!$A3921),"00")</f>
        <v>2026-08</v>
      </c>
    </row>
    <row r="3922" spans="1:21" x14ac:dyDescent="0.25">
      <c r="A3922">
        <v>46237</v>
      </c>
      <c r="B3922" t="s">
        <v>127</v>
      </c>
      <c r="C3922" t="s">
        <v>128</v>
      </c>
      <c r="D3922" t="s">
        <v>58</v>
      </c>
      <c r="E3922" t="s">
        <v>24</v>
      </c>
      <c r="F3922" t="s">
        <v>81</v>
      </c>
      <c r="G3922" t="s">
        <v>129</v>
      </c>
      <c r="H3922" t="s">
        <v>90</v>
      </c>
      <c r="I3922" t="s">
        <v>37</v>
      </c>
      <c r="J3922" t="s">
        <v>87</v>
      </c>
      <c r="K3922">
        <v>4578</v>
      </c>
      <c r="L3922">
        <v>53</v>
      </c>
      <c r="M3922">
        <v>13.28</v>
      </c>
      <c r="N3922">
        <v>0</v>
      </c>
      <c r="O3922">
        <v>0</v>
      </c>
      <c r="P3922">
        <f t="shared" si="244"/>
        <v>1.1577107907383137E-2</v>
      </c>
      <c r="Q3922">
        <f t="shared" si="244"/>
        <v>0.25056603773584907</v>
      </c>
      <c r="R3922">
        <f t="shared" si="245"/>
        <v>0</v>
      </c>
      <c r="S3922">
        <f t="shared" si="246"/>
        <v>0</v>
      </c>
      <c r="T3922">
        <f t="shared" si="247"/>
        <v>0</v>
      </c>
      <c r="U3922" t="str">
        <f>YEAR('Campaign Data'!$A3922)&amp;"-"&amp;TEXT(MONTH('Campaign Data'!$A3922),"00")</f>
        <v>2026-08</v>
      </c>
    </row>
    <row r="3923" spans="1:21" x14ac:dyDescent="0.25">
      <c r="A3923">
        <v>46237</v>
      </c>
      <c r="B3923" t="s">
        <v>179</v>
      </c>
      <c r="C3923" t="s">
        <v>180</v>
      </c>
      <c r="D3923" t="s">
        <v>58</v>
      </c>
      <c r="E3923" t="s">
        <v>42</v>
      </c>
      <c r="F3923" t="s">
        <v>25</v>
      </c>
      <c r="G3923" t="s">
        <v>54</v>
      </c>
      <c r="H3923" t="s">
        <v>90</v>
      </c>
      <c r="I3923" t="s">
        <v>37</v>
      </c>
      <c r="J3923" t="s">
        <v>45</v>
      </c>
      <c r="K3923">
        <v>14641</v>
      </c>
      <c r="L3923">
        <v>82</v>
      </c>
      <c r="M3923">
        <v>118.63</v>
      </c>
      <c r="N3923">
        <v>1</v>
      </c>
      <c r="O3923">
        <v>67.78</v>
      </c>
      <c r="P3923">
        <f t="shared" si="244"/>
        <v>5.6007103339935794E-3</v>
      </c>
      <c r="Q3923">
        <f t="shared" si="244"/>
        <v>1.4467073170731706</v>
      </c>
      <c r="R3923">
        <f t="shared" si="245"/>
        <v>118.63</v>
      </c>
      <c r="S3923">
        <f t="shared" si="246"/>
        <v>0.57135631796341568</v>
      </c>
      <c r="T3923">
        <f t="shared" si="247"/>
        <v>1.2195121951219513E-2</v>
      </c>
      <c r="U3923" t="str">
        <f>YEAR('Campaign Data'!$A3923)&amp;"-"&amp;TEXT(MONTH('Campaign Data'!$A3923),"00")</f>
        <v>2026-08</v>
      </c>
    </row>
    <row r="3924" spans="1:21" x14ac:dyDescent="0.25">
      <c r="A3924">
        <v>46237</v>
      </c>
      <c r="B3924" t="s">
        <v>179</v>
      </c>
      <c r="C3924" t="s">
        <v>180</v>
      </c>
      <c r="D3924" t="s">
        <v>58</v>
      </c>
      <c r="E3924" t="s">
        <v>42</v>
      </c>
      <c r="F3924" t="s">
        <v>25</v>
      </c>
      <c r="G3924" t="s">
        <v>54</v>
      </c>
      <c r="H3924" t="s">
        <v>90</v>
      </c>
      <c r="I3924" t="s">
        <v>37</v>
      </c>
      <c r="J3924" t="s">
        <v>62</v>
      </c>
      <c r="K3924">
        <v>25175</v>
      </c>
      <c r="L3924">
        <v>252</v>
      </c>
      <c r="M3924">
        <v>261.58999999999997</v>
      </c>
      <c r="N3924">
        <v>21</v>
      </c>
      <c r="O3924">
        <v>892.32</v>
      </c>
      <c r="P3924">
        <f t="shared" si="244"/>
        <v>1.0009930486593844E-2</v>
      </c>
      <c r="Q3924">
        <f t="shared" si="244"/>
        <v>1.0380555555555555</v>
      </c>
      <c r="R3924">
        <f t="shared" si="245"/>
        <v>12.456666666666665</v>
      </c>
      <c r="S3924">
        <f t="shared" si="246"/>
        <v>3.4111395695554116</v>
      </c>
      <c r="T3924">
        <f t="shared" si="247"/>
        <v>8.3333333333333329E-2</v>
      </c>
      <c r="U3924" t="str">
        <f>YEAR('Campaign Data'!$A3924)&amp;"-"&amp;TEXT(MONTH('Campaign Data'!$A3924),"00")</f>
        <v>2026-08</v>
      </c>
    </row>
    <row r="3925" spans="1:21" x14ac:dyDescent="0.25">
      <c r="A3925">
        <v>46237</v>
      </c>
      <c r="B3925" t="s">
        <v>140</v>
      </c>
      <c r="C3925" t="s">
        <v>40</v>
      </c>
      <c r="D3925" t="s">
        <v>41</v>
      </c>
      <c r="E3925" t="s">
        <v>42</v>
      </c>
      <c r="F3925" t="s">
        <v>43</v>
      </c>
      <c r="G3925" t="s">
        <v>44</v>
      </c>
      <c r="H3925" t="s">
        <v>90</v>
      </c>
      <c r="I3925" t="s">
        <v>37</v>
      </c>
      <c r="J3925" t="s">
        <v>87</v>
      </c>
      <c r="K3925">
        <v>9767</v>
      </c>
      <c r="L3925">
        <v>46</v>
      </c>
      <c r="M3925">
        <v>68.92</v>
      </c>
      <c r="N3925">
        <v>1</v>
      </c>
      <c r="O3925">
        <v>6.58</v>
      </c>
      <c r="P3925">
        <f t="shared" si="244"/>
        <v>4.7097368690488381E-3</v>
      </c>
      <c r="Q3925">
        <f t="shared" si="244"/>
        <v>1.4982608695652175</v>
      </c>
      <c r="R3925">
        <f t="shared" si="245"/>
        <v>68.92</v>
      </c>
      <c r="S3925">
        <f t="shared" si="246"/>
        <v>9.5473012188044104E-2</v>
      </c>
      <c r="T3925">
        <f t="shared" si="247"/>
        <v>2.1739130434782608E-2</v>
      </c>
      <c r="U3925" t="str">
        <f>YEAR('Campaign Data'!$A3925)&amp;"-"&amp;TEXT(MONTH('Campaign Data'!$A3925),"00")</f>
        <v>2026-08</v>
      </c>
    </row>
    <row r="3926" spans="1:21" x14ac:dyDescent="0.25">
      <c r="A3926">
        <v>46237</v>
      </c>
      <c r="B3926" t="s">
        <v>114</v>
      </c>
      <c r="C3926" t="s">
        <v>115</v>
      </c>
      <c r="D3926" t="s">
        <v>69</v>
      </c>
      <c r="E3926" t="s">
        <v>49</v>
      </c>
      <c r="F3926" t="s">
        <v>25</v>
      </c>
      <c r="G3926" t="s">
        <v>107</v>
      </c>
      <c r="H3926" t="s">
        <v>51</v>
      </c>
      <c r="I3926" t="s">
        <v>37</v>
      </c>
      <c r="J3926" t="s">
        <v>87</v>
      </c>
      <c r="K3926">
        <v>3146</v>
      </c>
      <c r="L3926">
        <v>123</v>
      </c>
      <c r="M3926">
        <v>190.58</v>
      </c>
      <c r="N3926">
        <v>6</v>
      </c>
      <c r="O3926">
        <v>651.78</v>
      </c>
      <c r="P3926">
        <f t="shared" si="244"/>
        <v>3.9097266369993645E-2</v>
      </c>
      <c r="Q3926">
        <f t="shared" si="244"/>
        <v>1.5494308943089432</v>
      </c>
      <c r="R3926">
        <f t="shared" si="245"/>
        <v>31.763333333333335</v>
      </c>
      <c r="S3926">
        <f t="shared" si="246"/>
        <v>3.4199811102948887</v>
      </c>
      <c r="T3926">
        <f t="shared" si="247"/>
        <v>4.878048780487805E-2</v>
      </c>
      <c r="U3926" t="str">
        <f>YEAR('Campaign Data'!$A3926)&amp;"-"&amp;TEXT(MONTH('Campaign Data'!$A3926),"00")</f>
        <v>2026-08</v>
      </c>
    </row>
    <row r="3927" spans="1:21" x14ac:dyDescent="0.25">
      <c r="A3927">
        <v>46237</v>
      </c>
      <c r="B3927" t="s">
        <v>143</v>
      </c>
      <c r="C3927" t="s">
        <v>144</v>
      </c>
      <c r="D3927" t="s">
        <v>48</v>
      </c>
      <c r="E3927" t="s">
        <v>42</v>
      </c>
      <c r="F3927" t="s">
        <v>25</v>
      </c>
      <c r="G3927" t="s">
        <v>84</v>
      </c>
      <c r="H3927" t="s">
        <v>27</v>
      </c>
      <c r="I3927" t="s">
        <v>37</v>
      </c>
      <c r="J3927" t="s">
        <v>38</v>
      </c>
      <c r="K3927">
        <v>7572</v>
      </c>
      <c r="L3927">
        <v>74</v>
      </c>
      <c r="M3927">
        <v>499.04</v>
      </c>
      <c r="N3927">
        <v>2</v>
      </c>
      <c r="O3927">
        <v>415.37</v>
      </c>
      <c r="P3927">
        <f t="shared" si="244"/>
        <v>9.7728473322768097E-3</v>
      </c>
      <c r="Q3927">
        <f t="shared" si="244"/>
        <v>6.7437837837837842</v>
      </c>
      <c r="R3927">
        <f t="shared" si="245"/>
        <v>249.52</v>
      </c>
      <c r="S3927">
        <f t="shared" si="246"/>
        <v>0.83233808913113172</v>
      </c>
      <c r="T3927">
        <f t="shared" si="247"/>
        <v>2.7027027027027029E-2</v>
      </c>
      <c r="U3927" t="str">
        <f>YEAR('Campaign Data'!$A3927)&amp;"-"&amp;TEXT(MONTH('Campaign Data'!$A3927),"00")</f>
        <v>2026-08</v>
      </c>
    </row>
    <row r="3928" spans="1:21" x14ac:dyDescent="0.25">
      <c r="A3928">
        <v>46237</v>
      </c>
      <c r="B3928" t="s">
        <v>63</v>
      </c>
      <c r="C3928" t="s">
        <v>64</v>
      </c>
      <c r="D3928" t="s">
        <v>65</v>
      </c>
      <c r="E3928" t="s">
        <v>24</v>
      </c>
      <c r="F3928" t="s">
        <v>43</v>
      </c>
      <c r="G3928" t="s">
        <v>66</v>
      </c>
      <c r="H3928" t="s">
        <v>27</v>
      </c>
      <c r="I3928" t="s">
        <v>28</v>
      </c>
      <c r="J3928" t="s">
        <v>62</v>
      </c>
      <c r="K3928">
        <v>3427</v>
      </c>
      <c r="L3928">
        <v>29</v>
      </c>
      <c r="M3928">
        <v>42.45</v>
      </c>
      <c r="N3928">
        <v>0</v>
      </c>
      <c r="O3928">
        <v>0</v>
      </c>
      <c r="P3928">
        <f t="shared" si="244"/>
        <v>8.4622118470965863E-3</v>
      </c>
      <c r="Q3928">
        <f t="shared" si="244"/>
        <v>1.4637931034482761</v>
      </c>
      <c r="R3928">
        <f t="shared" si="245"/>
        <v>0</v>
      </c>
      <c r="S3928">
        <f t="shared" si="246"/>
        <v>0</v>
      </c>
      <c r="T3928">
        <f t="shared" si="247"/>
        <v>0</v>
      </c>
      <c r="U3928" t="str">
        <f>YEAR('Campaign Data'!$A3928)&amp;"-"&amp;TEXT(MONTH('Campaign Data'!$A3928),"00")</f>
        <v>2026-08</v>
      </c>
    </row>
    <row r="3929" spans="1:21" x14ac:dyDescent="0.25">
      <c r="A3929">
        <v>46237</v>
      </c>
      <c r="B3929" t="s">
        <v>63</v>
      </c>
      <c r="C3929" t="s">
        <v>64</v>
      </c>
      <c r="D3929" t="s">
        <v>65</v>
      </c>
      <c r="E3929" t="s">
        <v>24</v>
      </c>
      <c r="F3929" t="s">
        <v>43</v>
      </c>
      <c r="G3929" t="s">
        <v>66</v>
      </c>
      <c r="H3929" t="s">
        <v>60</v>
      </c>
      <c r="I3929" t="s">
        <v>61</v>
      </c>
      <c r="J3929" t="s">
        <v>87</v>
      </c>
      <c r="K3929">
        <v>3513</v>
      </c>
      <c r="L3929">
        <v>37</v>
      </c>
      <c r="M3929">
        <v>52.39</v>
      </c>
      <c r="N3929">
        <v>1</v>
      </c>
      <c r="O3929">
        <v>23.96</v>
      </c>
      <c r="P3929">
        <f t="shared" si="244"/>
        <v>1.0532308568175349E-2</v>
      </c>
      <c r="Q3929">
        <f t="shared" si="244"/>
        <v>1.415945945945946</v>
      </c>
      <c r="R3929">
        <f t="shared" si="245"/>
        <v>52.39</v>
      </c>
      <c r="S3929">
        <f t="shared" si="246"/>
        <v>0.45733918686772285</v>
      </c>
      <c r="T3929">
        <f t="shared" si="247"/>
        <v>2.7027027027027029E-2</v>
      </c>
      <c r="U3929" t="str">
        <f>YEAR('Campaign Data'!$A3929)&amp;"-"&amp;TEXT(MONTH('Campaign Data'!$A3929),"00")</f>
        <v>2026-08</v>
      </c>
    </row>
    <row r="3930" spans="1:21" x14ac:dyDescent="0.25">
      <c r="A3930">
        <v>46237</v>
      </c>
      <c r="B3930" t="s">
        <v>63</v>
      </c>
      <c r="C3930" t="s">
        <v>64</v>
      </c>
      <c r="D3930" t="s">
        <v>65</v>
      </c>
      <c r="E3930" t="s">
        <v>24</v>
      </c>
      <c r="F3930" t="s">
        <v>43</v>
      </c>
      <c r="G3930" t="s">
        <v>66</v>
      </c>
      <c r="H3930" t="s">
        <v>71</v>
      </c>
      <c r="I3930" t="s">
        <v>37</v>
      </c>
      <c r="J3930" t="s">
        <v>45</v>
      </c>
      <c r="K3930">
        <v>10543</v>
      </c>
      <c r="L3930">
        <v>151</v>
      </c>
      <c r="M3930">
        <v>133.88</v>
      </c>
      <c r="N3930">
        <v>3</v>
      </c>
      <c r="O3930">
        <v>115.55</v>
      </c>
      <c r="P3930">
        <f t="shared" si="244"/>
        <v>1.4322299155837997E-2</v>
      </c>
      <c r="Q3930">
        <f t="shared" si="244"/>
        <v>0.88662251655629132</v>
      </c>
      <c r="R3930">
        <f t="shared" si="245"/>
        <v>44.626666666666665</v>
      </c>
      <c r="S3930">
        <f t="shared" si="246"/>
        <v>0.86308634598147593</v>
      </c>
      <c r="T3930">
        <f t="shared" si="247"/>
        <v>1.9867549668874173E-2</v>
      </c>
      <c r="U3930" t="str">
        <f>YEAR('Campaign Data'!$A3930)&amp;"-"&amp;TEXT(MONTH('Campaign Data'!$A3930),"00")</f>
        <v>2026-08</v>
      </c>
    </row>
    <row r="3931" spans="1:21" x14ac:dyDescent="0.25">
      <c r="A3931">
        <v>46237</v>
      </c>
      <c r="B3931" t="s">
        <v>183</v>
      </c>
      <c r="C3931" t="s">
        <v>184</v>
      </c>
      <c r="D3931" t="s">
        <v>23</v>
      </c>
      <c r="E3931" t="s">
        <v>24</v>
      </c>
      <c r="F3931" t="s">
        <v>81</v>
      </c>
      <c r="G3931" t="s">
        <v>185</v>
      </c>
      <c r="H3931" t="s">
        <v>27</v>
      </c>
      <c r="I3931" t="s">
        <v>37</v>
      </c>
      <c r="J3931" t="s">
        <v>87</v>
      </c>
      <c r="K3931">
        <v>9862</v>
      </c>
      <c r="L3931">
        <v>51</v>
      </c>
      <c r="M3931">
        <v>49.56</v>
      </c>
      <c r="N3931">
        <v>3</v>
      </c>
      <c r="O3931">
        <v>47.4</v>
      </c>
      <c r="P3931">
        <f t="shared" si="244"/>
        <v>5.171364834719124E-3</v>
      </c>
      <c r="Q3931">
        <f t="shared" si="244"/>
        <v>0.97176470588235297</v>
      </c>
      <c r="R3931">
        <f t="shared" si="245"/>
        <v>16.52</v>
      </c>
      <c r="S3931">
        <f t="shared" si="246"/>
        <v>0.95641646489104104</v>
      </c>
      <c r="T3931">
        <f t="shared" si="247"/>
        <v>5.8823529411764705E-2</v>
      </c>
      <c r="U3931" t="str">
        <f>YEAR('Campaign Data'!$A3931)&amp;"-"&amp;TEXT(MONTH('Campaign Data'!$A3931),"00")</f>
        <v>2026-08</v>
      </c>
    </row>
    <row r="3932" spans="1:21" x14ac:dyDescent="0.25">
      <c r="A3932">
        <v>46237</v>
      </c>
      <c r="B3932" t="s">
        <v>163</v>
      </c>
      <c r="C3932" t="s">
        <v>164</v>
      </c>
      <c r="D3932" t="s">
        <v>58</v>
      </c>
      <c r="E3932" t="s">
        <v>42</v>
      </c>
      <c r="F3932" t="s">
        <v>43</v>
      </c>
      <c r="G3932" t="s">
        <v>44</v>
      </c>
      <c r="H3932" t="s">
        <v>71</v>
      </c>
      <c r="I3932" t="s">
        <v>37</v>
      </c>
      <c r="J3932" t="s">
        <v>38</v>
      </c>
      <c r="K3932">
        <v>1721</v>
      </c>
      <c r="L3932">
        <v>12</v>
      </c>
      <c r="M3932">
        <v>57.77</v>
      </c>
      <c r="N3932">
        <v>0</v>
      </c>
      <c r="O3932">
        <v>0</v>
      </c>
      <c r="P3932">
        <f t="shared" si="244"/>
        <v>6.9726902963393378E-3</v>
      </c>
      <c r="Q3932">
        <f t="shared" si="244"/>
        <v>4.8141666666666669</v>
      </c>
      <c r="R3932">
        <f t="shared" si="245"/>
        <v>0</v>
      </c>
      <c r="S3932">
        <f t="shared" si="246"/>
        <v>0</v>
      </c>
      <c r="T3932">
        <f t="shared" si="247"/>
        <v>0</v>
      </c>
      <c r="U3932" t="str">
        <f>YEAR('Campaign Data'!$A3932)&amp;"-"&amp;TEXT(MONTH('Campaign Data'!$A3932),"00")</f>
        <v>2026-08</v>
      </c>
    </row>
    <row r="3933" spans="1:21" x14ac:dyDescent="0.25">
      <c r="A3933">
        <v>46237</v>
      </c>
      <c r="B3933" t="s">
        <v>76</v>
      </c>
      <c r="C3933" t="s">
        <v>77</v>
      </c>
      <c r="D3933" t="s">
        <v>65</v>
      </c>
      <c r="E3933" t="s">
        <v>42</v>
      </c>
      <c r="F3933" t="s">
        <v>43</v>
      </c>
      <c r="G3933" t="s">
        <v>44</v>
      </c>
      <c r="H3933" t="s">
        <v>55</v>
      </c>
      <c r="I3933" t="s">
        <v>37</v>
      </c>
      <c r="J3933" t="s">
        <v>29</v>
      </c>
      <c r="K3933">
        <v>3697</v>
      </c>
      <c r="L3933">
        <v>18</v>
      </c>
      <c r="M3933">
        <v>61.76</v>
      </c>
      <c r="N3933">
        <v>0</v>
      </c>
      <c r="O3933">
        <v>0</v>
      </c>
      <c r="P3933">
        <f t="shared" si="244"/>
        <v>4.8688125507167978E-3</v>
      </c>
      <c r="Q3933">
        <f t="shared" si="244"/>
        <v>3.431111111111111</v>
      </c>
      <c r="R3933">
        <f t="shared" si="245"/>
        <v>0</v>
      </c>
      <c r="S3933">
        <f t="shared" si="246"/>
        <v>0</v>
      </c>
      <c r="T3933">
        <f t="shared" si="247"/>
        <v>0</v>
      </c>
      <c r="U3933" t="str">
        <f>YEAR('Campaign Data'!$A3933)&amp;"-"&amp;TEXT(MONTH('Campaign Data'!$A3933),"00")</f>
        <v>2026-08</v>
      </c>
    </row>
    <row r="3934" spans="1:21" x14ac:dyDescent="0.25">
      <c r="A3934">
        <v>46238</v>
      </c>
      <c r="B3934" t="s">
        <v>175</v>
      </c>
      <c r="C3934" t="s">
        <v>176</v>
      </c>
      <c r="D3934" t="s">
        <v>65</v>
      </c>
      <c r="E3934" t="s">
        <v>49</v>
      </c>
      <c r="F3934" t="s">
        <v>75</v>
      </c>
      <c r="G3934" t="s">
        <v>70</v>
      </c>
      <c r="H3934" t="s">
        <v>90</v>
      </c>
      <c r="I3934" t="s">
        <v>37</v>
      </c>
      <c r="J3934" t="s">
        <v>38</v>
      </c>
      <c r="K3934">
        <v>19687</v>
      </c>
      <c r="L3934">
        <v>923</v>
      </c>
      <c r="M3934">
        <v>363.47</v>
      </c>
      <c r="N3934">
        <v>54</v>
      </c>
      <c r="O3934">
        <v>546.07000000000005</v>
      </c>
      <c r="P3934">
        <f t="shared" si="244"/>
        <v>4.6883730380454104E-2</v>
      </c>
      <c r="Q3934">
        <f t="shared" si="244"/>
        <v>0.39379198266522214</v>
      </c>
      <c r="R3934">
        <f t="shared" si="245"/>
        <v>6.7309259259259262</v>
      </c>
      <c r="S3934">
        <f t="shared" si="246"/>
        <v>1.5023798387762402</v>
      </c>
      <c r="T3934">
        <f t="shared" si="247"/>
        <v>5.8504875406283859E-2</v>
      </c>
      <c r="U3934" t="str">
        <f>YEAR('Campaign Data'!$A3934)&amp;"-"&amp;TEXT(MONTH('Campaign Data'!$A3934),"00")</f>
        <v>2026-08</v>
      </c>
    </row>
    <row r="3935" spans="1:21" x14ac:dyDescent="0.25">
      <c r="A3935">
        <v>46238</v>
      </c>
      <c r="B3935" t="s">
        <v>167</v>
      </c>
      <c r="C3935" t="s">
        <v>168</v>
      </c>
      <c r="D3935" t="s">
        <v>58</v>
      </c>
      <c r="E3935" t="s">
        <v>33</v>
      </c>
      <c r="F3935" t="s">
        <v>75</v>
      </c>
      <c r="G3935" t="s">
        <v>35</v>
      </c>
      <c r="H3935" t="s">
        <v>27</v>
      </c>
      <c r="I3935" t="s">
        <v>37</v>
      </c>
      <c r="J3935" t="s">
        <v>38</v>
      </c>
      <c r="K3935">
        <v>8561</v>
      </c>
      <c r="L3935">
        <v>63</v>
      </c>
      <c r="M3935">
        <v>52.85</v>
      </c>
      <c r="N3935">
        <v>2</v>
      </c>
      <c r="O3935">
        <v>76.39</v>
      </c>
      <c r="P3935">
        <f t="shared" si="244"/>
        <v>7.3589533932951756E-3</v>
      </c>
      <c r="Q3935">
        <f t="shared" si="244"/>
        <v>0.83888888888888891</v>
      </c>
      <c r="R3935">
        <f t="shared" si="245"/>
        <v>26.425000000000001</v>
      </c>
      <c r="S3935">
        <f t="shared" si="246"/>
        <v>1.4454115421002838</v>
      </c>
      <c r="T3935">
        <f t="shared" si="247"/>
        <v>3.1746031746031744E-2</v>
      </c>
      <c r="U3935" t="str">
        <f>YEAR('Campaign Data'!$A3935)&amp;"-"&amp;TEXT(MONTH('Campaign Data'!$A3935),"00")</f>
        <v>2026-08</v>
      </c>
    </row>
    <row r="3936" spans="1:21" x14ac:dyDescent="0.25">
      <c r="A3936">
        <v>46238</v>
      </c>
      <c r="B3936" t="s">
        <v>147</v>
      </c>
      <c r="C3936" t="s">
        <v>148</v>
      </c>
      <c r="D3936" t="s">
        <v>23</v>
      </c>
      <c r="E3936" t="s">
        <v>42</v>
      </c>
      <c r="F3936" t="s">
        <v>75</v>
      </c>
      <c r="G3936" t="s">
        <v>44</v>
      </c>
      <c r="H3936" t="s">
        <v>27</v>
      </c>
      <c r="I3936" t="s">
        <v>37</v>
      </c>
      <c r="J3936" t="s">
        <v>87</v>
      </c>
      <c r="K3936">
        <v>11575</v>
      </c>
      <c r="L3936">
        <v>36</v>
      </c>
      <c r="M3936">
        <v>339.83</v>
      </c>
      <c r="N3936">
        <v>2</v>
      </c>
      <c r="O3936">
        <v>158.63</v>
      </c>
      <c r="P3936">
        <f t="shared" si="244"/>
        <v>3.1101511879049674E-3</v>
      </c>
      <c r="Q3936">
        <f t="shared" si="244"/>
        <v>9.4397222222222226</v>
      </c>
      <c r="R3936">
        <f t="shared" si="245"/>
        <v>169.91499999999999</v>
      </c>
      <c r="S3936">
        <f t="shared" si="246"/>
        <v>0.4667922196392314</v>
      </c>
      <c r="T3936">
        <f t="shared" si="247"/>
        <v>5.5555555555555552E-2</v>
      </c>
      <c r="U3936" t="str">
        <f>YEAR('Campaign Data'!$A3936)&amp;"-"&amp;TEXT(MONTH('Campaign Data'!$A3936),"00")</f>
        <v>2026-08</v>
      </c>
    </row>
    <row r="3937" spans="1:21" x14ac:dyDescent="0.25">
      <c r="A3937">
        <v>46238</v>
      </c>
      <c r="B3937" t="s">
        <v>91</v>
      </c>
      <c r="C3937" t="s">
        <v>92</v>
      </c>
      <c r="D3937" t="s">
        <v>41</v>
      </c>
      <c r="E3937" t="s">
        <v>74</v>
      </c>
      <c r="F3937" t="s">
        <v>75</v>
      </c>
      <c r="G3937" t="s">
        <v>9</v>
      </c>
      <c r="H3937" t="s">
        <v>27</v>
      </c>
      <c r="I3937" t="s">
        <v>28</v>
      </c>
      <c r="J3937" t="s">
        <v>38</v>
      </c>
      <c r="K3937">
        <v>8949</v>
      </c>
      <c r="L3937">
        <v>206</v>
      </c>
      <c r="M3937">
        <v>433.81</v>
      </c>
      <c r="N3937">
        <v>9</v>
      </c>
      <c r="O3937">
        <v>467.12</v>
      </c>
      <c r="P3937">
        <f t="shared" si="244"/>
        <v>2.3019331768912729E-2</v>
      </c>
      <c r="Q3937">
        <f t="shared" si="244"/>
        <v>2.1058737864077668</v>
      </c>
      <c r="R3937">
        <f t="shared" si="245"/>
        <v>48.201111111111111</v>
      </c>
      <c r="S3937">
        <f t="shared" si="246"/>
        <v>1.0767847675249533</v>
      </c>
      <c r="T3937">
        <f t="shared" si="247"/>
        <v>4.3689320388349516E-2</v>
      </c>
      <c r="U3937" t="str">
        <f>YEAR('Campaign Data'!$A3937)&amp;"-"&amp;TEXT(MONTH('Campaign Data'!$A3937),"00")</f>
        <v>2026-08</v>
      </c>
    </row>
    <row r="3938" spans="1:21" x14ac:dyDescent="0.25">
      <c r="A3938">
        <v>46238</v>
      </c>
      <c r="B3938" t="s">
        <v>105</v>
      </c>
      <c r="C3938" t="s">
        <v>106</v>
      </c>
      <c r="D3938" t="s">
        <v>58</v>
      </c>
      <c r="E3938" t="s">
        <v>49</v>
      </c>
      <c r="F3938" t="s">
        <v>81</v>
      </c>
      <c r="G3938" t="s">
        <v>107</v>
      </c>
      <c r="H3938" t="s">
        <v>90</v>
      </c>
      <c r="I3938" t="s">
        <v>37</v>
      </c>
      <c r="J3938" t="s">
        <v>62</v>
      </c>
      <c r="K3938">
        <v>5551</v>
      </c>
      <c r="L3938">
        <v>374</v>
      </c>
      <c r="M3938">
        <v>199.57</v>
      </c>
      <c r="N3938">
        <v>23</v>
      </c>
      <c r="O3938">
        <v>120.94</v>
      </c>
      <c r="P3938">
        <f t="shared" si="244"/>
        <v>6.737524770311655E-2</v>
      </c>
      <c r="Q3938">
        <f t="shared" si="244"/>
        <v>0.53360962566844916</v>
      </c>
      <c r="R3938">
        <f t="shared" si="245"/>
        <v>8.6769565217391307</v>
      </c>
      <c r="S3938">
        <f t="shared" si="246"/>
        <v>0.60600290624843411</v>
      </c>
      <c r="T3938">
        <f t="shared" si="247"/>
        <v>6.1497326203208559E-2</v>
      </c>
      <c r="U3938" t="str">
        <f>YEAR('Campaign Data'!$A3938)&amp;"-"&amp;TEXT(MONTH('Campaign Data'!$A3938),"00")</f>
        <v>2026-08</v>
      </c>
    </row>
    <row r="3939" spans="1:21" x14ac:dyDescent="0.25">
      <c r="A3939">
        <v>46238</v>
      </c>
      <c r="B3939" t="s">
        <v>132</v>
      </c>
      <c r="C3939" t="s">
        <v>133</v>
      </c>
      <c r="D3939" t="s">
        <v>23</v>
      </c>
      <c r="E3939" t="s">
        <v>42</v>
      </c>
      <c r="F3939" t="s">
        <v>75</v>
      </c>
      <c r="G3939" t="s">
        <v>84</v>
      </c>
      <c r="H3939" t="s">
        <v>60</v>
      </c>
      <c r="I3939" t="s">
        <v>37</v>
      </c>
      <c r="J3939" t="s">
        <v>45</v>
      </c>
      <c r="K3939">
        <v>3851</v>
      </c>
      <c r="L3939">
        <v>23</v>
      </c>
      <c r="M3939">
        <v>99.75</v>
      </c>
      <c r="N3939">
        <v>0</v>
      </c>
      <c r="O3939">
        <v>0</v>
      </c>
      <c r="P3939">
        <f t="shared" si="244"/>
        <v>5.9724746819008051E-3</v>
      </c>
      <c r="Q3939">
        <f t="shared" si="244"/>
        <v>4.3369565217391308</v>
      </c>
      <c r="R3939">
        <f t="shared" si="245"/>
        <v>0</v>
      </c>
      <c r="S3939">
        <f t="shared" si="246"/>
        <v>0</v>
      </c>
      <c r="T3939">
        <f t="shared" si="247"/>
        <v>0</v>
      </c>
      <c r="U3939" t="str">
        <f>YEAR('Campaign Data'!$A3939)&amp;"-"&amp;TEXT(MONTH('Campaign Data'!$A3939),"00")</f>
        <v>2026-08</v>
      </c>
    </row>
    <row r="3940" spans="1:21" x14ac:dyDescent="0.25">
      <c r="A3940">
        <v>46238</v>
      </c>
      <c r="B3940" t="s">
        <v>177</v>
      </c>
      <c r="C3940" t="s">
        <v>178</v>
      </c>
      <c r="D3940" t="s">
        <v>41</v>
      </c>
      <c r="E3940" t="s">
        <v>49</v>
      </c>
      <c r="F3940" t="s">
        <v>34</v>
      </c>
      <c r="G3940" t="s">
        <v>107</v>
      </c>
      <c r="H3940" t="s">
        <v>90</v>
      </c>
      <c r="I3940" t="s">
        <v>37</v>
      </c>
      <c r="J3940" t="s">
        <v>38</v>
      </c>
      <c r="K3940">
        <v>10562</v>
      </c>
      <c r="L3940">
        <v>514</v>
      </c>
      <c r="M3940">
        <v>241.43</v>
      </c>
      <c r="N3940">
        <v>14</v>
      </c>
      <c r="O3940">
        <v>782.65</v>
      </c>
      <c r="P3940">
        <f t="shared" si="244"/>
        <v>4.8665025563340278E-2</v>
      </c>
      <c r="Q3940">
        <f t="shared" si="244"/>
        <v>0.46970817120622571</v>
      </c>
      <c r="R3940">
        <f t="shared" si="245"/>
        <v>17.245000000000001</v>
      </c>
      <c r="S3940">
        <f t="shared" si="246"/>
        <v>3.2417263803172762</v>
      </c>
      <c r="T3940">
        <f t="shared" si="247"/>
        <v>2.7237354085603113E-2</v>
      </c>
      <c r="U3940" t="str">
        <f>YEAR('Campaign Data'!$A3940)&amp;"-"&amp;TEXT(MONTH('Campaign Data'!$A3940),"00")</f>
        <v>2026-08</v>
      </c>
    </row>
    <row r="3941" spans="1:21" x14ac:dyDescent="0.25">
      <c r="A3941">
        <v>46238</v>
      </c>
      <c r="B3941" t="s">
        <v>171</v>
      </c>
      <c r="C3941" t="s">
        <v>172</v>
      </c>
      <c r="D3941" t="s">
        <v>23</v>
      </c>
      <c r="E3941" t="s">
        <v>33</v>
      </c>
      <c r="F3941" t="s">
        <v>75</v>
      </c>
      <c r="G3941" t="s">
        <v>59</v>
      </c>
      <c r="H3941" t="s">
        <v>27</v>
      </c>
      <c r="I3941" t="s">
        <v>28</v>
      </c>
      <c r="J3941" t="s">
        <v>45</v>
      </c>
      <c r="K3941">
        <v>13539</v>
      </c>
      <c r="L3941">
        <v>162</v>
      </c>
      <c r="M3941">
        <v>91</v>
      </c>
      <c r="N3941">
        <v>4</v>
      </c>
      <c r="O3941">
        <v>195.91</v>
      </c>
      <c r="P3941">
        <f t="shared" si="244"/>
        <v>1.1965433192998006E-2</v>
      </c>
      <c r="Q3941">
        <f t="shared" si="244"/>
        <v>0.56172839506172845</v>
      </c>
      <c r="R3941">
        <f t="shared" si="245"/>
        <v>22.75</v>
      </c>
      <c r="S3941">
        <f t="shared" si="246"/>
        <v>2.152857142857143</v>
      </c>
      <c r="T3941">
        <f t="shared" si="247"/>
        <v>2.4691358024691357E-2</v>
      </c>
      <c r="U3941" t="str">
        <f>YEAR('Campaign Data'!$A3941)&amp;"-"&amp;TEXT(MONTH('Campaign Data'!$A3941),"00")</f>
        <v>2026-08</v>
      </c>
    </row>
    <row r="3942" spans="1:21" x14ac:dyDescent="0.25">
      <c r="A3942">
        <v>46238</v>
      </c>
      <c r="B3942" t="s">
        <v>110</v>
      </c>
      <c r="C3942" t="s">
        <v>111</v>
      </c>
      <c r="D3942" t="s">
        <v>23</v>
      </c>
      <c r="E3942" t="s">
        <v>49</v>
      </c>
      <c r="F3942" t="s">
        <v>34</v>
      </c>
      <c r="G3942" t="s">
        <v>50</v>
      </c>
      <c r="H3942" t="s">
        <v>60</v>
      </c>
      <c r="I3942" t="s">
        <v>37</v>
      </c>
      <c r="J3942" t="s">
        <v>29</v>
      </c>
      <c r="K3942">
        <v>16816</v>
      </c>
      <c r="L3942">
        <v>739</v>
      </c>
      <c r="M3942">
        <v>1645.99</v>
      </c>
      <c r="N3942">
        <v>71</v>
      </c>
      <c r="O3942">
        <v>7644.4</v>
      </c>
      <c r="P3942">
        <f t="shared" si="244"/>
        <v>4.3946241674595626E-2</v>
      </c>
      <c r="Q3942">
        <f t="shared" si="244"/>
        <v>2.2273207036535858</v>
      </c>
      <c r="R3942">
        <f t="shared" si="245"/>
        <v>23.182957746478873</v>
      </c>
      <c r="S3942">
        <f t="shared" si="246"/>
        <v>4.6442566479747747</v>
      </c>
      <c r="T3942">
        <f t="shared" si="247"/>
        <v>9.6075778078484442E-2</v>
      </c>
      <c r="U3942" t="str">
        <f>YEAR('Campaign Data'!$A3942)&amp;"-"&amp;TEXT(MONTH('Campaign Data'!$A3942),"00")</f>
        <v>2026-08</v>
      </c>
    </row>
    <row r="3943" spans="1:21" x14ac:dyDescent="0.25">
      <c r="A3943">
        <v>46238</v>
      </c>
      <c r="B3943" t="s">
        <v>110</v>
      </c>
      <c r="C3943" t="s">
        <v>111</v>
      </c>
      <c r="D3943" t="s">
        <v>23</v>
      </c>
      <c r="E3943" t="s">
        <v>49</v>
      </c>
      <c r="F3943" t="s">
        <v>34</v>
      </c>
      <c r="G3943" t="s">
        <v>50</v>
      </c>
      <c r="H3943" t="s">
        <v>90</v>
      </c>
      <c r="I3943" t="s">
        <v>37</v>
      </c>
      <c r="J3943" t="s">
        <v>62</v>
      </c>
      <c r="K3943">
        <v>3525</v>
      </c>
      <c r="L3943">
        <v>235</v>
      </c>
      <c r="M3943">
        <v>95.25</v>
      </c>
      <c r="N3943">
        <v>14</v>
      </c>
      <c r="O3943">
        <v>418.63</v>
      </c>
      <c r="P3943">
        <f t="shared" si="244"/>
        <v>6.6666666666666666E-2</v>
      </c>
      <c r="Q3943">
        <f t="shared" si="244"/>
        <v>0.40531914893617021</v>
      </c>
      <c r="R3943">
        <f t="shared" si="245"/>
        <v>6.8035714285714288</v>
      </c>
      <c r="S3943">
        <f t="shared" si="246"/>
        <v>4.3950656167979005</v>
      </c>
      <c r="T3943">
        <f t="shared" si="247"/>
        <v>5.9574468085106386E-2</v>
      </c>
      <c r="U3943" t="str">
        <f>YEAR('Campaign Data'!$A3943)&amp;"-"&amp;TEXT(MONTH('Campaign Data'!$A3943),"00")</f>
        <v>2026-08</v>
      </c>
    </row>
    <row r="3944" spans="1:21" x14ac:dyDescent="0.25">
      <c r="A3944">
        <v>46238</v>
      </c>
      <c r="B3944" t="s">
        <v>134</v>
      </c>
      <c r="C3944" t="s">
        <v>135</v>
      </c>
      <c r="D3944" t="s">
        <v>32</v>
      </c>
      <c r="E3944" t="s">
        <v>74</v>
      </c>
      <c r="F3944" t="s">
        <v>25</v>
      </c>
      <c r="G3944" t="s">
        <v>107</v>
      </c>
      <c r="H3944" t="s">
        <v>36</v>
      </c>
      <c r="I3944" t="s">
        <v>37</v>
      </c>
      <c r="J3944" t="s">
        <v>38</v>
      </c>
      <c r="K3944">
        <v>3984</v>
      </c>
      <c r="L3944">
        <v>122</v>
      </c>
      <c r="M3944">
        <v>153.01</v>
      </c>
      <c r="N3944">
        <v>3</v>
      </c>
      <c r="O3944">
        <v>344.73</v>
      </c>
      <c r="P3944">
        <f t="shared" si="244"/>
        <v>3.0622489959839357E-2</v>
      </c>
      <c r="Q3944">
        <f t="shared" si="244"/>
        <v>1.2541803278688524</v>
      </c>
      <c r="R3944">
        <f t="shared" si="245"/>
        <v>51.00333333333333</v>
      </c>
      <c r="S3944">
        <f t="shared" si="246"/>
        <v>2.2529900006535524</v>
      </c>
      <c r="T3944">
        <f t="shared" si="247"/>
        <v>2.4590163934426229E-2</v>
      </c>
      <c r="U3944" t="str">
        <f>YEAR('Campaign Data'!$A3944)&amp;"-"&amp;TEXT(MONTH('Campaign Data'!$A3944),"00")</f>
        <v>2026-08</v>
      </c>
    </row>
    <row r="3945" spans="1:21" x14ac:dyDescent="0.25">
      <c r="A3945">
        <v>46238</v>
      </c>
      <c r="B3945" t="s">
        <v>181</v>
      </c>
      <c r="C3945" t="s">
        <v>182</v>
      </c>
      <c r="D3945" t="s">
        <v>32</v>
      </c>
      <c r="E3945" t="s">
        <v>33</v>
      </c>
      <c r="F3945" t="s">
        <v>75</v>
      </c>
      <c r="G3945" t="s">
        <v>59</v>
      </c>
      <c r="H3945" t="s">
        <v>27</v>
      </c>
      <c r="I3945" t="s">
        <v>28</v>
      </c>
      <c r="J3945" t="s">
        <v>87</v>
      </c>
      <c r="K3945">
        <v>3453</v>
      </c>
      <c r="L3945">
        <v>29</v>
      </c>
      <c r="M3945">
        <v>21.92</v>
      </c>
      <c r="N3945">
        <v>0</v>
      </c>
      <c r="O3945">
        <v>0</v>
      </c>
      <c r="P3945">
        <f t="shared" si="244"/>
        <v>8.3984940631335065E-3</v>
      </c>
      <c r="Q3945">
        <f t="shared" si="244"/>
        <v>0.75586206896551733</v>
      </c>
      <c r="R3945">
        <f t="shared" si="245"/>
        <v>0</v>
      </c>
      <c r="S3945">
        <f t="shared" si="246"/>
        <v>0</v>
      </c>
      <c r="T3945">
        <f t="shared" si="247"/>
        <v>0</v>
      </c>
      <c r="U3945" t="str">
        <f>YEAR('Campaign Data'!$A3945)&amp;"-"&amp;TEXT(MONTH('Campaign Data'!$A3945),"00")</f>
        <v>2026-08</v>
      </c>
    </row>
    <row r="3946" spans="1:21" x14ac:dyDescent="0.25">
      <c r="A3946">
        <v>46238</v>
      </c>
      <c r="B3946" t="s">
        <v>161</v>
      </c>
      <c r="C3946" t="s">
        <v>162</v>
      </c>
      <c r="D3946" t="s">
        <v>48</v>
      </c>
      <c r="E3946" t="s">
        <v>74</v>
      </c>
      <c r="F3946" t="s">
        <v>34</v>
      </c>
      <c r="G3946" t="s">
        <v>107</v>
      </c>
      <c r="H3946" t="s">
        <v>60</v>
      </c>
      <c r="I3946" t="s">
        <v>28</v>
      </c>
      <c r="J3946" t="s">
        <v>62</v>
      </c>
      <c r="K3946">
        <v>5165</v>
      </c>
      <c r="L3946">
        <v>249</v>
      </c>
      <c r="M3946">
        <v>387.93</v>
      </c>
      <c r="N3946">
        <v>10</v>
      </c>
      <c r="O3946">
        <v>1626.88</v>
      </c>
      <c r="P3946">
        <f t="shared" si="244"/>
        <v>4.8209099709583737E-2</v>
      </c>
      <c r="Q3946">
        <f t="shared" si="244"/>
        <v>1.5579518072289158</v>
      </c>
      <c r="R3946">
        <f t="shared" si="245"/>
        <v>38.792999999999999</v>
      </c>
      <c r="S3946">
        <f t="shared" si="246"/>
        <v>4.1937462944345629</v>
      </c>
      <c r="T3946">
        <f t="shared" si="247"/>
        <v>4.0160642570281124E-2</v>
      </c>
      <c r="U3946" t="str">
        <f>YEAR('Campaign Data'!$A3946)&amp;"-"&amp;TEXT(MONTH('Campaign Data'!$A3946),"00")</f>
        <v>2026-08</v>
      </c>
    </row>
    <row r="3947" spans="1:21" x14ac:dyDescent="0.25">
      <c r="A3947">
        <v>46238</v>
      </c>
      <c r="B3947" t="s">
        <v>161</v>
      </c>
      <c r="C3947" t="s">
        <v>162</v>
      </c>
      <c r="D3947" t="s">
        <v>48</v>
      </c>
      <c r="E3947" t="s">
        <v>74</v>
      </c>
      <c r="F3947" t="s">
        <v>34</v>
      </c>
      <c r="G3947" t="s">
        <v>107</v>
      </c>
      <c r="H3947" t="s">
        <v>27</v>
      </c>
      <c r="I3947" t="s">
        <v>37</v>
      </c>
      <c r="J3947" t="s">
        <v>87</v>
      </c>
      <c r="K3947">
        <v>14559</v>
      </c>
      <c r="L3947">
        <v>402</v>
      </c>
      <c r="M3947">
        <v>790.48</v>
      </c>
      <c r="N3947">
        <v>22</v>
      </c>
      <c r="O3947">
        <v>3878.23</v>
      </c>
      <c r="P3947">
        <f t="shared" si="244"/>
        <v>2.7611786523799711E-2</v>
      </c>
      <c r="Q3947">
        <f t="shared" si="244"/>
        <v>1.9663681592039801</v>
      </c>
      <c r="R3947">
        <f t="shared" si="245"/>
        <v>35.93090909090909</v>
      </c>
      <c r="S3947">
        <f t="shared" si="246"/>
        <v>4.9061709341159805</v>
      </c>
      <c r="T3947">
        <f t="shared" si="247"/>
        <v>5.4726368159203981E-2</v>
      </c>
      <c r="U3947" t="str">
        <f>YEAR('Campaign Data'!$A3947)&amp;"-"&amp;TEXT(MONTH('Campaign Data'!$A3947),"00")</f>
        <v>2026-08</v>
      </c>
    </row>
    <row r="3948" spans="1:21" x14ac:dyDescent="0.25">
      <c r="A3948">
        <v>46238</v>
      </c>
      <c r="B3948" t="s">
        <v>56</v>
      </c>
      <c r="C3948" t="s">
        <v>57</v>
      </c>
      <c r="D3948" t="s">
        <v>58</v>
      </c>
      <c r="E3948" t="s">
        <v>33</v>
      </c>
      <c r="F3948" t="s">
        <v>43</v>
      </c>
      <c r="G3948" t="s">
        <v>59</v>
      </c>
      <c r="H3948" t="s">
        <v>55</v>
      </c>
      <c r="I3948" t="s">
        <v>37</v>
      </c>
      <c r="J3948" t="s">
        <v>62</v>
      </c>
      <c r="K3948">
        <v>3992</v>
      </c>
      <c r="L3948">
        <v>44</v>
      </c>
      <c r="M3948">
        <v>26.13</v>
      </c>
      <c r="N3948">
        <v>1</v>
      </c>
      <c r="O3948">
        <v>9.8699999999999992</v>
      </c>
      <c r="P3948">
        <f t="shared" si="244"/>
        <v>1.1022044088176353E-2</v>
      </c>
      <c r="Q3948">
        <f t="shared" si="244"/>
        <v>0.59386363636363637</v>
      </c>
      <c r="R3948">
        <f t="shared" si="245"/>
        <v>26.13</v>
      </c>
      <c r="S3948">
        <f t="shared" si="246"/>
        <v>0.37772675086107921</v>
      </c>
      <c r="T3948">
        <f t="shared" si="247"/>
        <v>2.2727272727272728E-2</v>
      </c>
      <c r="U3948" t="str">
        <f>YEAR('Campaign Data'!$A3948)&amp;"-"&amp;TEXT(MONTH('Campaign Data'!$A3948),"00")</f>
        <v>2026-08</v>
      </c>
    </row>
    <row r="3949" spans="1:21" x14ac:dyDescent="0.25">
      <c r="A3949">
        <v>46238</v>
      </c>
      <c r="B3949" t="s">
        <v>141</v>
      </c>
      <c r="C3949" t="s">
        <v>142</v>
      </c>
      <c r="D3949" t="s">
        <v>80</v>
      </c>
      <c r="E3949" t="s">
        <v>49</v>
      </c>
      <c r="F3949" t="s">
        <v>81</v>
      </c>
      <c r="G3949" t="s">
        <v>97</v>
      </c>
      <c r="H3949" t="s">
        <v>90</v>
      </c>
      <c r="I3949" t="s">
        <v>37</v>
      </c>
      <c r="J3949" t="s">
        <v>62</v>
      </c>
      <c r="K3949">
        <v>4594</v>
      </c>
      <c r="L3949">
        <v>294</v>
      </c>
      <c r="M3949">
        <v>154.81</v>
      </c>
      <c r="N3949">
        <v>10</v>
      </c>
      <c r="O3949">
        <v>64.25</v>
      </c>
      <c r="P3949">
        <f t="shared" si="244"/>
        <v>6.3996517196343056E-2</v>
      </c>
      <c r="Q3949">
        <f t="shared" si="244"/>
        <v>0.52656462585034014</v>
      </c>
      <c r="R3949">
        <f t="shared" si="245"/>
        <v>15.481</v>
      </c>
      <c r="S3949">
        <f t="shared" si="246"/>
        <v>0.41502486919449649</v>
      </c>
      <c r="T3949">
        <f t="shared" si="247"/>
        <v>3.4013605442176874E-2</v>
      </c>
      <c r="U3949" t="str">
        <f>YEAR('Campaign Data'!$A3949)&amp;"-"&amp;TEXT(MONTH('Campaign Data'!$A3949),"00")</f>
        <v>2026-08</v>
      </c>
    </row>
    <row r="3950" spans="1:21" x14ac:dyDescent="0.25">
      <c r="A3950">
        <v>46238</v>
      </c>
      <c r="B3950" t="s">
        <v>63</v>
      </c>
      <c r="C3950" t="s">
        <v>64</v>
      </c>
      <c r="D3950" t="s">
        <v>65</v>
      </c>
      <c r="E3950" t="s">
        <v>24</v>
      </c>
      <c r="F3950" t="s">
        <v>43</v>
      </c>
      <c r="G3950" t="s">
        <v>66</v>
      </c>
      <c r="H3950" t="s">
        <v>60</v>
      </c>
      <c r="I3950" t="s">
        <v>37</v>
      </c>
      <c r="J3950" t="s">
        <v>38</v>
      </c>
      <c r="K3950">
        <v>4681</v>
      </c>
      <c r="L3950">
        <v>56</v>
      </c>
      <c r="M3950">
        <v>67.989999999999995</v>
      </c>
      <c r="N3950">
        <v>1</v>
      </c>
      <c r="O3950">
        <v>20.25</v>
      </c>
      <c r="P3950">
        <f t="shared" si="244"/>
        <v>1.1963255714590899E-2</v>
      </c>
      <c r="Q3950">
        <f t="shared" si="244"/>
        <v>1.2141071428571428</v>
      </c>
      <c r="R3950">
        <f t="shared" si="245"/>
        <v>67.989999999999995</v>
      </c>
      <c r="S3950">
        <f t="shared" si="246"/>
        <v>0.29783791734078541</v>
      </c>
      <c r="T3950">
        <f t="shared" si="247"/>
        <v>1.7857142857142856E-2</v>
      </c>
      <c r="U3950" t="str">
        <f>YEAR('Campaign Data'!$A3950)&amp;"-"&amp;TEXT(MONTH('Campaign Data'!$A3950),"00")</f>
        <v>2026-08</v>
      </c>
    </row>
    <row r="3951" spans="1:21" x14ac:dyDescent="0.25">
      <c r="A3951">
        <v>46238</v>
      </c>
      <c r="B3951" t="s">
        <v>145</v>
      </c>
      <c r="C3951" t="s">
        <v>146</v>
      </c>
      <c r="D3951" t="s">
        <v>41</v>
      </c>
      <c r="E3951" t="s">
        <v>49</v>
      </c>
      <c r="F3951" t="s">
        <v>75</v>
      </c>
      <c r="G3951" t="s">
        <v>70</v>
      </c>
      <c r="H3951" t="s">
        <v>71</v>
      </c>
      <c r="I3951" t="s">
        <v>28</v>
      </c>
      <c r="J3951" t="s">
        <v>62</v>
      </c>
      <c r="K3951">
        <v>11016</v>
      </c>
      <c r="L3951">
        <v>656</v>
      </c>
      <c r="M3951">
        <v>1177.07</v>
      </c>
      <c r="N3951">
        <v>25</v>
      </c>
      <c r="O3951">
        <v>1163.23</v>
      </c>
      <c r="P3951">
        <f t="shared" si="244"/>
        <v>5.954974582425563E-2</v>
      </c>
      <c r="Q3951">
        <f t="shared" si="244"/>
        <v>1.7943140243902438</v>
      </c>
      <c r="R3951">
        <f t="shared" si="245"/>
        <v>47.082799999999999</v>
      </c>
      <c r="S3951">
        <f t="shared" si="246"/>
        <v>0.98824199070573548</v>
      </c>
      <c r="T3951">
        <f t="shared" si="247"/>
        <v>3.8109756097560975E-2</v>
      </c>
      <c r="U3951" t="str">
        <f>YEAR('Campaign Data'!$A3951)&amp;"-"&amp;TEXT(MONTH('Campaign Data'!$A3951),"00")</f>
        <v>2026-08</v>
      </c>
    </row>
    <row r="3952" spans="1:21" x14ac:dyDescent="0.25">
      <c r="A3952">
        <v>46239</v>
      </c>
      <c r="B3952" t="s">
        <v>21</v>
      </c>
      <c r="C3952" t="s">
        <v>124</v>
      </c>
      <c r="D3952" t="s">
        <v>23</v>
      </c>
      <c r="E3952" t="s">
        <v>24</v>
      </c>
      <c r="F3952" t="s">
        <v>25</v>
      </c>
      <c r="G3952" t="s">
        <v>26</v>
      </c>
      <c r="H3952" t="s">
        <v>36</v>
      </c>
      <c r="I3952" t="s">
        <v>37</v>
      </c>
      <c r="J3952" t="s">
        <v>29</v>
      </c>
      <c r="K3952">
        <v>1719</v>
      </c>
      <c r="L3952">
        <v>16</v>
      </c>
      <c r="M3952">
        <v>17.690000000000001</v>
      </c>
      <c r="N3952">
        <v>0</v>
      </c>
      <c r="O3952">
        <v>0</v>
      </c>
      <c r="P3952">
        <f t="shared" si="244"/>
        <v>9.3077370564281555E-3</v>
      </c>
      <c r="Q3952">
        <f t="shared" si="244"/>
        <v>1.1056250000000001</v>
      </c>
      <c r="R3952">
        <f t="shared" si="245"/>
        <v>0</v>
      </c>
      <c r="S3952">
        <f t="shared" si="246"/>
        <v>0</v>
      </c>
      <c r="T3952">
        <f t="shared" si="247"/>
        <v>0</v>
      </c>
      <c r="U3952" t="str">
        <f>YEAR('Campaign Data'!$A3952)&amp;"-"&amp;TEXT(MONTH('Campaign Data'!$A3952),"00")</f>
        <v>2026-08</v>
      </c>
    </row>
    <row r="3953" spans="1:21" x14ac:dyDescent="0.25">
      <c r="A3953">
        <v>46239</v>
      </c>
      <c r="B3953" t="s">
        <v>147</v>
      </c>
      <c r="C3953" t="s">
        <v>148</v>
      </c>
      <c r="D3953" t="s">
        <v>23</v>
      </c>
      <c r="E3953" t="s">
        <v>42</v>
      </c>
      <c r="F3953" t="s">
        <v>75</v>
      </c>
      <c r="G3953" t="s">
        <v>44</v>
      </c>
      <c r="H3953" t="s">
        <v>51</v>
      </c>
      <c r="I3953" t="s">
        <v>37</v>
      </c>
      <c r="J3953" t="s">
        <v>45</v>
      </c>
      <c r="K3953">
        <v>2902</v>
      </c>
      <c r="L3953">
        <v>7</v>
      </c>
      <c r="M3953">
        <v>43.23</v>
      </c>
      <c r="N3953">
        <v>0</v>
      </c>
      <c r="O3953">
        <v>0</v>
      </c>
      <c r="P3953">
        <f t="shared" si="244"/>
        <v>2.4121295658166781E-3</v>
      </c>
      <c r="Q3953">
        <f t="shared" si="244"/>
        <v>6.1757142857142853</v>
      </c>
      <c r="R3953">
        <f t="shared" si="245"/>
        <v>0</v>
      </c>
      <c r="S3953">
        <f t="shared" si="246"/>
        <v>0</v>
      </c>
      <c r="T3953">
        <f t="shared" si="247"/>
        <v>0</v>
      </c>
      <c r="U3953" t="str">
        <f>YEAR('Campaign Data'!$A3953)&amp;"-"&amp;TEXT(MONTH('Campaign Data'!$A3953),"00")</f>
        <v>2026-08</v>
      </c>
    </row>
    <row r="3954" spans="1:21" x14ac:dyDescent="0.25">
      <c r="A3954">
        <v>46239</v>
      </c>
      <c r="B3954" t="s">
        <v>147</v>
      </c>
      <c r="C3954" t="s">
        <v>148</v>
      </c>
      <c r="D3954" t="s">
        <v>23</v>
      </c>
      <c r="E3954" t="s">
        <v>42</v>
      </c>
      <c r="F3954" t="s">
        <v>75</v>
      </c>
      <c r="G3954" t="s">
        <v>44</v>
      </c>
      <c r="H3954" t="s">
        <v>27</v>
      </c>
      <c r="I3954" t="s">
        <v>37</v>
      </c>
      <c r="J3954" t="s">
        <v>29</v>
      </c>
      <c r="K3954">
        <v>1569</v>
      </c>
      <c r="L3954">
        <v>10</v>
      </c>
      <c r="M3954">
        <v>80.48</v>
      </c>
      <c r="N3954">
        <v>0</v>
      </c>
      <c r="O3954">
        <v>0</v>
      </c>
      <c r="P3954">
        <f t="shared" si="244"/>
        <v>6.3734862970044612E-3</v>
      </c>
      <c r="Q3954">
        <f t="shared" si="244"/>
        <v>8.048</v>
      </c>
      <c r="R3954">
        <f t="shared" si="245"/>
        <v>0</v>
      </c>
      <c r="S3954">
        <f t="shared" si="246"/>
        <v>0</v>
      </c>
      <c r="T3954">
        <f t="shared" si="247"/>
        <v>0</v>
      </c>
      <c r="U3954" t="str">
        <f>YEAR('Campaign Data'!$A3954)&amp;"-"&amp;TEXT(MONTH('Campaign Data'!$A3954),"00")</f>
        <v>2026-08</v>
      </c>
    </row>
    <row r="3955" spans="1:21" x14ac:dyDescent="0.25">
      <c r="A3955">
        <v>46239</v>
      </c>
      <c r="B3955" t="s">
        <v>147</v>
      </c>
      <c r="C3955" t="s">
        <v>148</v>
      </c>
      <c r="D3955" t="s">
        <v>23</v>
      </c>
      <c r="E3955" t="s">
        <v>42</v>
      </c>
      <c r="F3955" t="s">
        <v>75</v>
      </c>
      <c r="G3955" t="s">
        <v>44</v>
      </c>
      <c r="H3955" t="s">
        <v>27</v>
      </c>
      <c r="I3955" t="s">
        <v>37</v>
      </c>
      <c r="J3955" t="s">
        <v>62</v>
      </c>
      <c r="K3955">
        <v>6712</v>
      </c>
      <c r="L3955">
        <v>80</v>
      </c>
      <c r="M3955">
        <v>674.91</v>
      </c>
      <c r="N3955">
        <v>4</v>
      </c>
      <c r="O3955">
        <v>156.54</v>
      </c>
      <c r="P3955">
        <f t="shared" si="244"/>
        <v>1.1918951132300357E-2</v>
      </c>
      <c r="Q3955">
        <f t="shared" si="244"/>
        <v>8.436375</v>
      </c>
      <c r="R3955">
        <f t="shared" si="245"/>
        <v>168.72749999999999</v>
      </c>
      <c r="S3955">
        <f t="shared" si="246"/>
        <v>0.23194203671600658</v>
      </c>
      <c r="T3955">
        <f t="shared" si="247"/>
        <v>0.05</v>
      </c>
      <c r="U3955" t="str">
        <f>YEAR('Campaign Data'!$A3955)&amp;"-"&amp;TEXT(MONTH('Campaign Data'!$A3955),"00")</f>
        <v>2026-08</v>
      </c>
    </row>
    <row r="3956" spans="1:21" x14ac:dyDescent="0.25">
      <c r="A3956">
        <v>46239</v>
      </c>
      <c r="B3956" t="s">
        <v>125</v>
      </c>
      <c r="C3956" t="s">
        <v>126</v>
      </c>
      <c r="D3956" t="s">
        <v>41</v>
      </c>
      <c r="E3956" t="s">
        <v>42</v>
      </c>
      <c r="F3956" t="s">
        <v>81</v>
      </c>
      <c r="G3956" t="s">
        <v>44</v>
      </c>
      <c r="H3956" t="s">
        <v>71</v>
      </c>
      <c r="I3956" t="s">
        <v>28</v>
      </c>
      <c r="J3956" t="s">
        <v>29</v>
      </c>
      <c r="K3956">
        <v>4625</v>
      </c>
      <c r="L3956">
        <v>21</v>
      </c>
      <c r="M3956">
        <v>111.04</v>
      </c>
      <c r="N3956">
        <v>1</v>
      </c>
      <c r="O3956">
        <v>14.74</v>
      </c>
      <c r="P3956">
        <f t="shared" si="244"/>
        <v>4.5405405405405403E-3</v>
      </c>
      <c r="Q3956">
        <f t="shared" si="244"/>
        <v>5.2876190476190477</v>
      </c>
      <c r="R3956">
        <f t="shared" si="245"/>
        <v>111.04</v>
      </c>
      <c r="S3956">
        <f t="shared" si="246"/>
        <v>0.13274495677233428</v>
      </c>
      <c r="T3956">
        <f t="shared" si="247"/>
        <v>4.7619047619047616E-2</v>
      </c>
      <c r="U3956" t="str">
        <f>YEAR('Campaign Data'!$A3956)&amp;"-"&amp;TEXT(MONTH('Campaign Data'!$A3956),"00")</f>
        <v>2026-08</v>
      </c>
    </row>
    <row r="3957" spans="1:21" x14ac:dyDescent="0.25">
      <c r="A3957">
        <v>46239</v>
      </c>
      <c r="B3957" t="s">
        <v>149</v>
      </c>
      <c r="C3957" t="s">
        <v>150</v>
      </c>
      <c r="D3957" t="s">
        <v>65</v>
      </c>
      <c r="E3957" t="s">
        <v>33</v>
      </c>
      <c r="F3957" t="s">
        <v>43</v>
      </c>
      <c r="G3957" t="s">
        <v>59</v>
      </c>
      <c r="H3957" t="s">
        <v>60</v>
      </c>
      <c r="I3957" t="s">
        <v>37</v>
      </c>
      <c r="J3957" t="s">
        <v>38</v>
      </c>
      <c r="K3957">
        <v>6570</v>
      </c>
      <c r="L3957">
        <v>52</v>
      </c>
      <c r="M3957">
        <v>27.48</v>
      </c>
      <c r="N3957">
        <v>1</v>
      </c>
      <c r="O3957">
        <v>28.23</v>
      </c>
      <c r="P3957">
        <f t="shared" si="244"/>
        <v>7.914764079147641E-3</v>
      </c>
      <c r="Q3957">
        <f t="shared" si="244"/>
        <v>0.52846153846153843</v>
      </c>
      <c r="R3957">
        <f t="shared" si="245"/>
        <v>27.48</v>
      </c>
      <c r="S3957">
        <f t="shared" si="246"/>
        <v>1.027292576419214</v>
      </c>
      <c r="T3957">
        <f t="shared" si="247"/>
        <v>1.9230769230769232E-2</v>
      </c>
      <c r="U3957" t="str">
        <f>YEAR('Campaign Data'!$A3957)&amp;"-"&amp;TEXT(MONTH('Campaign Data'!$A3957),"00")</f>
        <v>2026-08</v>
      </c>
    </row>
    <row r="3958" spans="1:21" x14ac:dyDescent="0.25">
      <c r="A3958">
        <v>46239</v>
      </c>
      <c r="B3958" t="s">
        <v>149</v>
      </c>
      <c r="C3958" t="s">
        <v>150</v>
      </c>
      <c r="D3958" t="s">
        <v>65</v>
      </c>
      <c r="E3958" t="s">
        <v>33</v>
      </c>
      <c r="F3958" t="s">
        <v>43</v>
      </c>
      <c r="G3958" t="s">
        <v>59</v>
      </c>
      <c r="H3958" t="s">
        <v>90</v>
      </c>
      <c r="I3958" t="s">
        <v>37</v>
      </c>
      <c r="J3958" t="s">
        <v>45</v>
      </c>
      <c r="K3958">
        <v>3217</v>
      </c>
      <c r="L3958">
        <v>29</v>
      </c>
      <c r="M3958">
        <v>3.68</v>
      </c>
      <c r="N3958">
        <v>0</v>
      </c>
      <c r="O3958">
        <v>0</v>
      </c>
      <c r="P3958">
        <f t="shared" si="244"/>
        <v>9.0146098849860114E-3</v>
      </c>
      <c r="Q3958">
        <f t="shared" si="244"/>
        <v>0.12689655172413794</v>
      </c>
      <c r="R3958">
        <f t="shared" si="245"/>
        <v>0</v>
      </c>
      <c r="S3958">
        <f t="shared" si="246"/>
        <v>0</v>
      </c>
      <c r="T3958">
        <f t="shared" si="247"/>
        <v>0</v>
      </c>
      <c r="U3958" t="str">
        <f>YEAR('Campaign Data'!$A3958)&amp;"-"&amp;TEXT(MONTH('Campaign Data'!$A3958),"00")</f>
        <v>2026-08</v>
      </c>
    </row>
    <row r="3959" spans="1:21" x14ac:dyDescent="0.25">
      <c r="A3959">
        <v>46239</v>
      </c>
      <c r="B3959" t="s">
        <v>93</v>
      </c>
      <c r="C3959" t="s">
        <v>94</v>
      </c>
      <c r="D3959" t="s">
        <v>69</v>
      </c>
      <c r="E3959" t="s">
        <v>42</v>
      </c>
      <c r="F3959" t="s">
        <v>75</v>
      </c>
      <c r="G3959" t="s">
        <v>44</v>
      </c>
      <c r="H3959" t="s">
        <v>27</v>
      </c>
      <c r="I3959" t="s">
        <v>61</v>
      </c>
      <c r="J3959" t="s">
        <v>87</v>
      </c>
      <c r="K3959">
        <v>3538</v>
      </c>
      <c r="L3959">
        <v>24</v>
      </c>
      <c r="M3959">
        <v>174.32</v>
      </c>
      <c r="N3959">
        <v>1</v>
      </c>
      <c r="O3959">
        <v>49.93</v>
      </c>
      <c r="P3959">
        <f t="shared" si="244"/>
        <v>6.7834934991520632E-3</v>
      </c>
      <c r="Q3959">
        <f t="shared" si="244"/>
        <v>7.2633333333333328</v>
      </c>
      <c r="R3959">
        <f t="shared" si="245"/>
        <v>174.32</v>
      </c>
      <c r="S3959">
        <f t="shared" si="246"/>
        <v>0.28642726021110604</v>
      </c>
      <c r="T3959">
        <f t="shared" si="247"/>
        <v>4.1666666666666664E-2</v>
      </c>
      <c r="U3959" t="str">
        <f>YEAR('Campaign Data'!$A3959)&amp;"-"&amp;TEXT(MONTH('Campaign Data'!$A3959),"00")</f>
        <v>2026-08</v>
      </c>
    </row>
    <row r="3960" spans="1:21" x14ac:dyDescent="0.25">
      <c r="A3960">
        <v>46239</v>
      </c>
      <c r="B3960" t="s">
        <v>151</v>
      </c>
      <c r="C3960" t="s">
        <v>152</v>
      </c>
      <c r="D3960" t="s">
        <v>48</v>
      </c>
      <c r="E3960" t="s">
        <v>24</v>
      </c>
      <c r="F3960" t="s">
        <v>81</v>
      </c>
      <c r="G3960" t="s">
        <v>129</v>
      </c>
      <c r="H3960" t="s">
        <v>90</v>
      </c>
      <c r="I3960" t="s">
        <v>37</v>
      </c>
      <c r="J3960" t="s">
        <v>45</v>
      </c>
      <c r="K3960">
        <v>1356</v>
      </c>
      <c r="L3960">
        <v>28</v>
      </c>
      <c r="M3960">
        <v>7.97</v>
      </c>
      <c r="N3960">
        <v>1</v>
      </c>
      <c r="O3960">
        <v>5</v>
      </c>
      <c r="P3960">
        <f t="shared" si="244"/>
        <v>2.0648967551622419E-2</v>
      </c>
      <c r="Q3960">
        <f t="shared" si="244"/>
        <v>0.28464285714285714</v>
      </c>
      <c r="R3960">
        <f t="shared" si="245"/>
        <v>7.97</v>
      </c>
      <c r="S3960">
        <f t="shared" si="246"/>
        <v>0.62735257214554585</v>
      </c>
      <c r="T3960">
        <f t="shared" si="247"/>
        <v>3.5714285714285712E-2</v>
      </c>
      <c r="U3960" t="str">
        <f>YEAR('Campaign Data'!$A3960)&amp;"-"&amp;TEXT(MONTH('Campaign Data'!$A3960),"00")</f>
        <v>2026-08</v>
      </c>
    </row>
    <row r="3961" spans="1:21" x14ac:dyDescent="0.25">
      <c r="A3961">
        <v>46239</v>
      </c>
      <c r="B3961" t="s">
        <v>52</v>
      </c>
      <c r="C3961" t="s">
        <v>53</v>
      </c>
      <c r="D3961" t="s">
        <v>32</v>
      </c>
      <c r="E3961" t="s">
        <v>42</v>
      </c>
      <c r="F3961" t="s">
        <v>25</v>
      </c>
      <c r="G3961" t="s">
        <v>54</v>
      </c>
      <c r="H3961" t="s">
        <v>90</v>
      </c>
      <c r="I3961" t="s">
        <v>37</v>
      </c>
      <c r="J3961" t="s">
        <v>45</v>
      </c>
      <c r="K3961">
        <v>5278</v>
      </c>
      <c r="L3961">
        <v>30</v>
      </c>
      <c r="M3961">
        <v>39.770000000000003</v>
      </c>
      <c r="N3961">
        <v>1</v>
      </c>
      <c r="O3961">
        <v>67.45</v>
      </c>
      <c r="P3961">
        <f t="shared" si="244"/>
        <v>5.6839712012125808E-3</v>
      </c>
      <c r="Q3961">
        <f t="shared" si="244"/>
        <v>1.3256666666666668</v>
      </c>
      <c r="R3961">
        <f t="shared" si="245"/>
        <v>39.770000000000003</v>
      </c>
      <c r="S3961">
        <f t="shared" si="246"/>
        <v>1.6960020115665073</v>
      </c>
      <c r="T3961">
        <f t="shared" si="247"/>
        <v>3.3333333333333333E-2</v>
      </c>
      <c r="U3961" t="str">
        <f>YEAR('Campaign Data'!$A3961)&amp;"-"&amp;TEXT(MONTH('Campaign Data'!$A3961),"00")</f>
        <v>2026-08</v>
      </c>
    </row>
    <row r="3962" spans="1:21" x14ac:dyDescent="0.25">
      <c r="A3962">
        <v>46239</v>
      </c>
      <c r="B3962" t="s">
        <v>169</v>
      </c>
      <c r="C3962" t="s">
        <v>170</v>
      </c>
      <c r="D3962" t="s">
        <v>58</v>
      </c>
      <c r="E3962" t="s">
        <v>74</v>
      </c>
      <c r="F3962" t="s">
        <v>75</v>
      </c>
      <c r="G3962" t="s">
        <v>9</v>
      </c>
      <c r="H3962" t="s">
        <v>90</v>
      </c>
      <c r="I3962" t="s">
        <v>37</v>
      </c>
      <c r="J3962" t="s">
        <v>62</v>
      </c>
      <c r="K3962">
        <v>8632</v>
      </c>
      <c r="L3962">
        <v>207</v>
      </c>
      <c r="M3962">
        <v>100.3</v>
      </c>
      <c r="N3962">
        <v>21</v>
      </c>
      <c r="O3962">
        <v>266.19</v>
      </c>
      <c r="P3962">
        <f t="shared" si="244"/>
        <v>2.3980537534754404E-2</v>
      </c>
      <c r="Q3962">
        <f t="shared" si="244"/>
        <v>0.48454106280193238</v>
      </c>
      <c r="R3962">
        <f t="shared" si="245"/>
        <v>4.7761904761904761</v>
      </c>
      <c r="S3962">
        <f t="shared" si="246"/>
        <v>2.653938185443669</v>
      </c>
      <c r="T3962">
        <f t="shared" si="247"/>
        <v>0.10144927536231885</v>
      </c>
      <c r="U3962" t="str">
        <f>YEAR('Campaign Data'!$A3962)&amp;"-"&amp;TEXT(MONTH('Campaign Data'!$A3962),"00")</f>
        <v>2026-08</v>
      </c>
    </row>
    <row r="3963" spans="1:21" x14ac:dyDescent="0.25">
      <c r="A3963">
        <v>46239</v>
      </c>
      <c r="B3963" t="s">
        <v>134</v>
      </c>
      <c r="C3963" t="s">
        <v>135</v>
      </c>
      <c r="D3963" t="s">
        <v>32</v>
      </c>
      <c r="E3963" t="s">
        <v>74</v>
      </c>
      <c r="F3963" t="s">
        <v>25</v>
      </c>
      <c r="G3963" t="s">
        <v>107</v>
      </c>
      <c r="H3963" t="s">
        <v>27</v>
      </c>
      <c r="I3963" t="s">
        <v>37</v>
      </c>
      <c r="J3963" t="s">
        <v>62</v>
      </c>
      <c r="K3963">
        <v>4414</v>
      </c>
      <c r="L3963">
        <v>133</v>
      </c>
      <c r="M3963">
        <v>250.29</v>
      </c>
      <c r="N3963">
        <v>4</v>
      </c>
      <c r="O3963">
        <v>661.2</v>
      </c>
      <c r="P3963">
        <f t="shared" si="244"/>
        <v>3.0131400090620753E-2</v>
      </c>
      <c r="Q3963">
        <f t="shared" si="244"/>
        <v>1.8818796992481202</v>
      </c>
      <c r="R3963">
        <f t="shared" si="245"/>
        <v>62.572499999999998</v>
      </c>
      <c r="S3963">
        <f t="shared" si="246"/>
        <v>2.6417355867194057</v>
      </c>
      <c r="T3963">
        <f t="shared" si="247"/>
        <v>3.007518796992481E-2</v>
      </c>
      <c r="U3963" t="str">
        <f>YEAR('Campaign Data'!$A3963)&amp;"-"&amp;TEXT(MONTH('Campaign Data'!$A3963),"00")</f>
        <v>2026-08</v>
      </c>
    </row>
    <row r="3964" spans="1:21" x14ac:dyDescent="0.25">
      <c r="A3964">
        <v>46239</v>
      </c>
      <c r="B3964" t="s">
        <v>134</v>
      </c>
      <c r="C3964" t="s">
        <v>135</v>
      </c>
      <c r="D3964" t="s">
        <v>32</v>
      </c>
      <c r="E3964" t="s">
        <v>74</v>
      </c>
      <c r="F3964" t="s">
        <v>25</v>
      </c>
      <c r="G3964" t="s">
        <v>107</v>
      </c>
      <c r="H3964" t="s">
        <v>36</v>
      </c>
      <c r="I3964" t="s">
        <v>28</v>
      </c>
      <c r="J3964" t="s">
        <v>38</v>
      </c>
      <c r="K3964">
        <v>8559</v>
      </c>
      <c r="L3964">
        <v>258</v>
      </c>
      <c r="M3964">
        <v>244.28</v>
      </c>
      <c r="N3964">
        <v>12</v>
      </c>
      <c r="O3964">
        <v>1746.77</v>
      </c>
      <c r="P3964">
        <f t="shared" si="244"/>
        <v>3.0143708377146864E-2</v>
      </c>
      <c r="Q3964">
        <f t="shared" si="244"/>
        <v>0.94682170542635657</v>
      </c>
      <c r="R3964">
        <f t="shared" si="245"/>
        <v>20.356666666666666</v>
      </c>
      <c r="S3964">
        <f t="shared" si="246"/>
        <v>7.1506877353856231</v>
      </c>
      <c r="T3964">
        <f t="shared" si="247"/>
        <v>4.6511627906976744E-2</v>
      </c>
      <c r="U3964" t="str">
        <f>YEAR('Campaign Data'!$A3964)&amp;"-"&amp;TEXT(MONTH('Campaign Data'!$A3964),"00")</f>
        <v>2026-08</v>
      </c>
    </row>
    <row r="3965" spans="1:21" x14ac:dyDescent="0.25">
      <c r="A3965">
        <v>46239</v>
      </c>
      <c r="B3965" t="s">
        <v>181</v>
      </c>
      <c r="C3965" t="s">
        <v>182</v>
      </c>
      <c r="D3965" t="s">
        <v>32</v>
      </c>
      <c r="E3965" t="s">
        <v>33</v>
      </c>
      <c r="F3965" t="s">
        <v>75</v>
      </c>
      <c r="G3965" t="s">
        <v>59</v>
      </c>
      <c r="H3965" t="s">
        <v>27</v>
      </c>
      <c r="I3965" t="s">
        <v>28</v>
      </c>
      <c r="J3965" t="s">
        <v>87</v>
      </c>
      <c r="K3965">
        <v>44342</v>
      </c>
      <c r="L3965">
        <v>419</v>
      </c>
      <c r="M3965">
        <v>363.34</v>
      </c>
      <c r="N3965">
        <v>9</v>
      </c>
      <c r="O3965">
        <v>536.36</v>
      </c>
      <c r="P3965">
        <f t="shared" si="244"/>
        <v>9.4492805917640154E-3</v>
      </c>
      <c r="Q3965">
        <f t="shared" si="244"/>
        <v>0.86715990453460612</v>
      </c>
      <c r="R3965">
        <f t="shared" si="245"/>
        <v>40.371111111111105</v>
      </c>
      <c r="S3965">
        <f t="shared" si="246"/>
        <v>1.4761930973743602</v>
      </c>
      <c r="T3965">
        <f t="shared" si="247"/>
        <v>2.1479713603818614E-2</v>
      </c>
      <c r="U3965" t="str">
        <f>YEAR('Campaign Data'!$A3965)&amp;"-"&amp;TEXT(MONTH('Campaign Data'!$A3965),"00")</f>
        <v>2026-08</v>
      </c>
    </row>
    <row r="3966" spans="1:21" x14ac:dyDescent="0.25">
      <c r="A3966">
        <v>46239</v>
      </c>
      <c r="B3966" t="s">
        <v>183</v>
      </c>
      <c r="C3966" t="s">
        <v>184</v>
      </c>
      <c r="D3966" t="s">
        <v>23</v>
      </c>
      <c r="E3966" t="s">
        <v>24</v>
      </c>
      <c r="F3966" t="s">
        <v>81</v>
      </c>
      <c r="G3966" t="s">
        <v>185</v>
      </c>
      <c r="H3966" t="s">
        <v>51</v>
      </c>
      <c r="I3966" t="s">
        <v>37</v>
      </c>
      <c r="J3966" t="s">
        <v>45</v>
      </c>
      <c r="K3966">
        <v>2865</v>
      </c>
      <c r="L3966">
        <v>33</v>
      </c>
      <c r="M3966">
        <v>32.28</v>
      </c>
      <c r="N3966">
        <v>1</v>
      </c>
      <c r="O3966">
        <v>15.97</v>
      </c>
      <c r="P3966">
        <f t="shared" si="244"/>
        <v>1.1518324607329843E-2</v>
      </c>
      <c r="Q3966">
        <f t="shared" si="244"/>
        <v>0.97818181818181826</v>
      </c>
      <c r="R3966">
        <f t="shared" si="245"/>
        <v>32.28</v>
      </c>
      <c r="S3966">
        <f t="shared" si="246"/>
        <v>0.49473358116480792</v>
      </c>
      <c r="T3966">
        <f t="shared" si="247"/>
        <v>3.0303030303030304E-2</v>
      </c>
      <c r="U3966" t="str">
        <f>YEAR('Campaign Data'!$A3966)&amp;"-"&amp;TEXT(MONTH('Campaign Data'!$A3966),"00")</f>
        <v>2026-08</v>
      </c>
    </row>
    <row r="3967" spans="1:21" x14ac:dyDescent="0.25">
      <c r="A3967">
        <v>46239</v>
      </c>
      <c r="B3967" t="s">
        <v>67</v>
      </c>
      <c r="C3967" t="s">
        <v>68</v>
      </c>
      <c r="D3967" t="s">
        <v>69</v>
      </c>
      <c r="E3967" t="s">
        <v>49</v>
      </c>
      <c r="F3967" t="s">
        <v>34</v>
      </c>
      <c r="G3967" t="s">
        <v>70</v>
      </c>
      <c r="H3967" t="s">
        <v>51</v>
      </c>
      <c r="I3967" t="s">
        <v>61</v>
      </c>
      <c r="J3967" t="s">
        <v>62</v>
      </c>
      <c r="K3967">
        <v>3967</v>
      </c>
      <c r="L3967">
        <v>232</v>
      </c>
      <c r="M3967">
        <v>406.5</v>
      </c>
      <c r="N3967">
        <v>7</v>
      </c>
      <c r="O3967">
        <v>974.82</v>
      </c>
      <c r="P3967">
        <f t="shared" si="244"/>
        <v>5.8482480463826571E-2</v>
      </c>
      <c r="Q3967">
        <f t="shared" si="244"/>
        <v>1.7521551724137931</v>
      </c>
      <c r="R3967">
        <f t="shared" si="245"/>
        <v>58.071428571428569</v>
      </c>
      <c r="S3967">
        <f t="shared" si="246"/>
        <v>2.3980811808118081</v>
      </c>
      <c r="T3967">
        <f t="shared" si="247"/>
        <v>3.017241379310345E-2</v>
      </c>
      <c r="U3967" t="str">
        <f>YEAR('Campaign Data'!$A3967)&amp;"-"&amp;TEXT(MONTH('Campaign Data'!$A3967),"00")</f>
        <v>2026-08</v>
      </c>
    </row>
    <row r="3968" spans="1:21" x14ac:dyDescent="0.25">
      <c r="A3968">
        <v>46239</v>
      </c>
      <c r="B3968" t="s">
        <v>122</v>
      </c>
      <c r="C3968" t="s">
        <v>123</v>
      </c>
      <c r="D3968" t="s">
        <v>41</v>
      </c>
      <c r="E3968" t="s">
        <v>33</v>
      </c>
      <c r="F3968" t="s">
        <v>75</v>
      </c>
      <c r="G3968" t="s">
        <v>35</v>
      </c>
      <c r="H3968" t="s">
        <v>90</v>
      </c>
      <c r="I3968" t="s">
        <v>37</v>
      </c>
      <c r="J3968" t="s">
        <v>62</v>
      </c>
      <c r="K3968">
        <v>12515</v>
      </c>
      <c r="L3968">
        <v>101</v>
      </c>
      <c r="M3968">
        <v>18.43</v>
      </c>
      <c r="N3968">
        <v>1</v>
      </c>
      <c r="O3968">
        <v>7.92</v>
      </c>
      <c r="P3968">
        <f t="shared" si="244"/>
        <v>8.0703156212544938E-3</v>
      </c>
      <c r="Q3968">
        <f t="shared" si="244"/>
        <v>0.18247524752475247</v>
      </c>
      <c r="R3968">
        <f t="shared" si="245"/>
        <v>18.43</v>
      </c>
      <c r="S3968">
        <f t="shared" si="246"/>
        <v>0.42973412913727621</v>
      </c>
      <c r="T3968">
        <f t="shared" si="247"/>
        <v>9.9009900990099011E-3</v>
      </c>
      <c r="U3968" t="str">
        <f>YEAR('Campaign Data'!$A3968)&amp;"-"&amp;TEXT(MONTH('Campaign Data'!$A3968),"00")</f>
        <v>2026-08</v>
      </c>
    </row>
    <row r="3969" spans="1:21" x14ac:dyDescent="0.25">
      <c r="A3969">
        <v>46239</v>
      </c>
      <c r="B3969" t="s">
        <v>122</v>
      </c>
      <c r="C3969" t="s">
        <v>123</v>
      </c>
      <c r="D3969" t="s">
        <v>41</v>
      </c>
      <c r="E3969" t="s">
        <v>33</v>
      </c>
      <c r="F3969" t="s">
        <v>75</v>
      </c>
      <c r="G3969" t="s">
        <v>35</v>
      </c>
      <c r="H3969" t="s">
        <v>27</v>
      </c>
      <c r="I3969" t="s">
        <v>28</v>
      </c>
      <c r="J3969" t="s">
        <v>62</v>
      </c>
      <c r="K3969">
        <v>5641</v>
      </c>
      <c r="L3969">
        <v>43</v>
      </c>
      <c r="M3969">
        <v>42.71</v>
      </c>
      <c r="N3969">
        <v>7</v>
      </c>
      <c r="O3969">
        <v>348.93</v>
      </c>
      <c r="P3969">
        <f t="shared" si="244"/>
        <v>7.6227619216450984E-3</v>
      </c>
      <c r="Q3969">
        <f t="shared" si="244"/>
        <v>0.99325581395348839</v>
      </c>
      <c r="R3969">
        <f t="shared" si="245"/>
        <v>6.1014285714285714</v>
      </c>
      <c r="S3969">
        <f t="shared" si="246"/>
        <v>8.1697494731912901</v>
      </c>
      <c r="T3969">
        <f t="shared" si="247"/>
        <v>0.16279069767441862</v>
      </c>
      <c r="U3969" t="str">
        <f>YEAR('Campaign Data'!$A3969)&amp;"-"&amp;TEXT(MONTH('Campaign Data'!$A3969),"00")</f>
        <v>2026-08</v>
      </c>
    </row>
    <row r="3970" spans="1:21" x14ac:dyDescent="0.25">
      <c r="A3970">
        <v>46240</v>
      </c>
      <c r="B3970" t="s">
        <v>175</v>
      </c>
      <c r="C3970" t="s">
        <v>176</v>
      </c>
      <c r="D3970" t="s">
        <v>65</v>
      </c>
      <c r="E3970" t="s">
        <v>49</v>
      </c>
      <c r="F3970" t="s">
        <v>75</v>
      </c>
      <c r="G3970" t="s">
        <v>70</v>
      </c>
      <c r="H3970" t="s">
        <v>90</v>
      </c>
      <c r="I3970" t="s">
        <v>28</v>
      </c>
      <c r="J3970" t="s">
        <v>29</v>
      </c>
      <c r="K3970">
        <v>5429</v>
      </c>
      <c r="L3970">
        <v>138</v>
      </c>
      <c r="M3970">
        <v>75.11</v>
      </c>
      <c r="N3970">
        <v>9</v>
      </c>
      <c r="O3970">
        <v>87.47</v>
      </c>
      <c r="P3970">
        <f t="shared" ref="P3970:Q4033" si="248">IF(K3970=0,0,L3970/K3970)</f>
        <v>2.5419045864800146E-2</v>
      </c>
      <c r="Q3970">
        <f t="shared" si="248"/>
        <v>0.54427536231884055</v>
      </c>
      <c r="R3970">
        <f t="shared" ref="R3970:R4033" si="249">IF(N3970=0,0,M3970/N3970)</f>
        <v>8.3455555555555563</v>
      </c>
      <c r="S3970">
        <f t="shared" ref="S3970:S4033" si="250">IF(M3970=0,0,O3970/M3970)</f>
        <v>1.164558647317268</v>
      </c>
      <c r="T3970">
        <f t="shared" ref="T3970:T4033" si="251">IF(L3970=0,0,N3970/L3970)</f>
        <v>6.5217391304347824E-2</v>
      </c>
      <c r="U3970" t="str">
        <f>YEAR('Campaign Data'!$A3970)&amp;"-"&amp;TEXT(MONTH('Campaign Data'!$A3970),"00")</f>
        <v>2026-08</v>
      </c>
    </row>
    <row r="3971" spans="1:21" x14ac:dyDescent="0.25">
      <c r="A3971">
        <v>46240</v>
      </c>
      <c r="B3971" t="s">
        <v>21</v>
      </c>
      <c r="C3971" t="s">
        <v>124</v>
      </c>
      <c r="D3971" t="s">
        <v>23</v>
      </c>
      <c r="E3971" t="s">
        <v>24</v>
      </c>
      <c r="F3971" t="s">
        <v>25</v>
      </c>
      <c r="G3971" t="s">
        <v>26</v>
      </c>
      <c r="H3971" t="s">
        <v>51</v>
      </c>
      <c r="I3971" t="s">
        <v>37</v>
      </c>
      <c r="J3971" t="s">
        <v>45</v>
      </c>
      <c r="K3971">
        <v>2925</v>
      </c>
      <c r="L3971">
        <v>51</v>
      </c>
      <c r="M3971">
        <v>43.38</v>
      </c>
      <c r="N3971">
        <v>0</v>
      </c>
      <c r="O3971">
        <v>0</v>
      </c>
      <c r="P3971">
        <f t="shared" si="248"/>
        <v>1.7435897435897435E-2</v>
      </c>
      <c r="Q3971">
        <f t="shared" si="248"/>
        <v>0.85058823529411764</v>
      </c>
      <c r="R3971">
        <f t="shared" si="249"/>
        <v>0</v>
      </c>
      <c r="S3971">
        <f t="shared" si="250"/>
        <v>0</v>
      </c>
      <c r="T3971">
        <f t="shared" si="251"/>
        <v>0</v>
      </c>
      <c r="U3971" t="str">
        <f>YEAR('Campaign Data'!$A3971)&amp;"-"&amp;TEXT(MONTH('Campaign Data'!$A3971),"00")</f>
        <v>2026-08</v>
      </c>
    </row>
    <row r="3972" spans="1:21" x14ac:dyDescent="0.25">
      <c r="A3972">
        <v>46240</v>
      </c>
      <c r="B3972" t="s">
        <v>21</v>
      </c>
      <c r="C3972" t="s">
        <v>124</v>
      </c>
      <c r="D3972" t="s">
        <v>23</v>
      </c>
      <c r="E3972" t="s">
        <v>24</v>
      </c>
      <c r="F3972" t="s">
        <v>25</v>
      </c>
      <c r="G3972" t="s">
        <v>26</v>
      </c>
      <c r="H3972" t="s">
        <v>27</v>
      </c>
      <c r="I3972" t="s">
        <v>37</v>
      </c>
      <c r="J3972" t="s">
        <v>38</v>
      </c>
      <c r="K3972">
        <v>11568</v>
      </c>
      <c r="L3972">
        <v>80</v>
      </c>
      <c r="M3972">
        <v>120.51</v>
      </c>
      <c r="N3972">
        <v>2</v>
      </c>
      <c r="O3972">
        <v>295.88</v>
      </c>
      <c r="P3972">
        <f t="shared" si="248"/>
        <v>6.9156293222683261E-3</v>
      </c>
      <c r="Q3972">
        <f t="shared" si="248"/>
        <v>1.506375</v>
      </c>
      <c r="R3972">
        <f t="shared" si="249"/>
        <v>60.255000000000003</v>
      </c>
      <c r="S3972">
        <f t="shared" si="250"/>
        <v>2.4552319309600863</v>
      </c>
      <c r="T3972">
        <f t="shared" si="251"/>
        <v>2.5000000000000001E-2</v>
      </c>
      <c r="U3972" t="str">
        <f>YEAR('Campaign Data'!$A3972)&amp;"-"&amp;TEXT(MONTH('Campaign Data'!$A3972),"00")</f>
        <v>2026-08</v>
      </c>
    </row>
    <row r="3973" spans="1:21" x14ac:dyDescent="0.25">
      <c r="A3973">
        <v>46240</v>
      </c>
      <c r="B3973" t="s">
        <v>167</v>
      </c>
      <c r="C3973" t="s">
        <v>168</v>
      </c>
      <c r="D3973" t="s">
        <v>58</v>
      </c>
      <c r="E3973" t="s">
        <v>33</v>
      </c>
      <c r="F3973" t="s">
        <v>75</v>
      </c>
      <c r="G3973" t="s">
        <v>35</v>
      </c>
      <c r="H3973" t="s">
        <v>55</v>
      </c>
      <c r="I3973" t="s">
        <v>28</v>
      </c>
      <c r="J3973" t="s">
        <v>62</v>
      </c>
      <c r="K3973">
        <v>3773</v>
      </c>
      <c r="L3973">
        <v>36</v>
      </c>
      <c r="M3973">
        <v>16.29</v>
      </c>
      <c r="N3973">
        <v>0</v>
      </c>
      <c r="O3973">
        <v>0</v>
      </c>
      <c r="P3973">
        <f t="shared" si="248"/>
        <v>9.5414789292340308E-3</v>
      </c>
      <c r="Q3973">
        <f t="shared" si="248"/>
        <v>0.45249999999999996</v>
      </c>
      <c r="R3973">
        <f t="shared" si="249"/>
        <v>0</v>
      </c>
      <c r="S3973">
        <f t="shared" si="250"/>
        <v>0</v>
      </c>
      <c r="T3973">
        <f t="shared" si="251"/>
        <v>0</v>
      </c>
      <c r="U3973" t="str">
        <f>YEAR('Campaign Data'!$A3973)&amp;"-"&amp;TEXT(MONTH('Campaign Data'!$A3973),"00")</f>
        <v>2026-08</v>
      </c>
    </row>
    <row r="3974" spans="1:21" x14ac:dyDescent="0.25">
      <c r="A3974">
        <v>46240</v>
      </c>
      <c r="B3974" t="s">
        <v>147</v>
      </c>
      <c r="C3974" t="s">
        <v>148</v>
      </c>
      <c r="D3974" t="s">
        <v>23</v>
      </c>
      <c r="E3974" t="s">
        <v>42</v>
      </c>
      <c r="F3974" t="s">
        <v>75</v>
      </c>
      <c r="G3974" t="s">
        <v>44</v>
      </c>
      <c r="H3974" t="s">
        <v>55</v>
      </c>
      <c r="I3974" t="s">
        <v>37</v>
      </c>
      <c r="J3974" t="s">
        <v>29</v>
      </c>
      <c r="K3974">
        <v>1667</v>
      </c>
      <c r="L3974">
        <v>12</v>
      </c>
      <c r="M3974">
        <v>57.43</v>
      </c>
      <c r="N3974">
        <v>0</v>
      </c>
      <c r="O3974">
        <v>0</v>
      </c>
      <c r="P3974">
        <f t="shared" si="248"/>
        <v>7.1985602879424118E-3</v>
      </c>
      <c r="Q3974">
        <f t="shared" si="248"/>
        <v>4.7858333333333336</v>
      </c>
      <c r="R3974">
        <f t="shared" si="249"/>
        <v>0</v>
      </c>
      <c r="S3974">
        <f t="shared" si="250"/>
        <v>0</v>
      </c>
      <c r="T3974">
        <f t="shared" si="251"/>
        <v>0</v>
      </c>
      <c r="U3974" t="str">
        <f>YEAR('Campaign Data'!$A3974)&amp;"-"&amp;TEXT(MONTH('Campaign Data'!$A3974),"00")</f>
        <v>2026-08</v>
      </c>
    </row>
    <row r="3975" spans="1:21" x14ac:dyDescent="0.25">
      <c r="A3975">
        <v>46240</v>
      </c>
      <c r="B3975" t="s">
        <v>138</v>
      </c>
      <c r="C3975" t="s">
        <v>139</v>
      </c>
      <c r="D3975" t="s">
        <v>58</v>
      </c>
      <c r="E3975" t="s">
        <v>74</v>
      </c>
      <c r="F3975" t="s">
        <v>34</v>
      </c>
      <c r="G3975" t="s">
        <v>9</v>
      </c>
      <c r="H3975" t="s">
        <v>27</v>
      </c>
      <c r="I3975" t="s">
        <v>37</v>
      </c>
      <c r="J3975" t="s">
        <v>29</v>
      </c>
      <c r="K3975">
        <v>8308</v>
      </c>
      <c r="L3975">
        <v>232</v>
      </c>
      <c r="M3975">
        <v>302.83</v>
      </c>
      <c r="N3975">
        <v>23</v>
      </c>
      <c r="O3975">
        <v>2779.38</v>
      </c>
      <c r="P3975">
        <f t="shared" si="248"/>
        <v>2.7924891670678863E-2</v>
      </c>
      <c r="Q3975">
        <f t="shared" si="248"/>
        <v>1.305301724137931</v>
      </c>
      <c r="R3975">
        <f t="shared" si="249"/>
        <v>13.166521739130435</v>
      </c>
      <c r="S3975">
        <f t="shared" si="250"/>
        <v>9.1780206716639707</v>
      </c>
      <c r="T3975">
        <f t="shared" si="251"/>
        <v>9.9137931034482762E-2</v>
      </c>
      <c r="U3975" t="str">
        <f>YEAR('Campaign Data'!$A3975)&amp;"-"&amp;TEXT(MONTH('Campaign Data'!$A3975),"00")</f>
        <v>2026-08</v>
      </c>
    </row>
    <row r="3976" spans="1:21" x14ac:dyDescent="0.25">
      <c r="A3976">
        <v>46240</v>
      </c>
      <c r="B3976" t="s">
        <v>138</v>
      </c>
      <c r="C3976" t="s">
        <v>139</v>
      </c>
      <c r="D3976" t="s">
        <v>58</v>
      </c>
      <c r="E3976" t="s">
        <v>74</v>
      </c>
      <c r="F3976" t="s">
        <v>34</v>
      </c>
      <c r="G3976" t="s">
        <v>9</v>
      </c>
      <c r="H3976" t="s">
        <v>27</v>
      </c>
      <c r="I3976" t="s">
        <v>37</v>
      </c>
      <c r="J3976" t="s">
        <v>45</v>
      </c>
      <c r="K3976">
        <v>12990</v>
      </c>
      <c r="L3976">
        <v>273</v>
      </c>
      <c r="M3976">
        <v>544.69000000000005</v>
      </c>
      <c r="N3976">
        <v>9</v>
      </c>
      <c r="O3976">
        <v>1499.61</v>
      </c>
      <c r="P3976">
        <f t="shared" si="248"/>
        <v>2.1016166281755195E-2</v>
      </c>
      <c r="Q3976">
        <f t="shared" si="248"/>
        <v>1.9952014652014654</v>
      </c>
      <c r="R3976">
        <f t="shared" si="249"/>
        <v>60.521111111111118</v>
      </c>
      <c r="S3976">
        <f t="shared" si="250"/>
        <v>2.7531439901595398</v>
      </c>
      <c r="T3976">
        <f t="shared" si="251"/>
        <v>3.2967032967032968E-2</v>
      </c>
      <c r="U3976" t="str">
        <f>YEAR('Campaign Data'!$A3976)&amp;"-"&amp;TEXT(MONTH('Campaign Data'!$A3976),"00")</f>
        <v>2026-08</v>
      </c>
    </row>
    <row r="3977" spans="1:21" x14ac:dyDescent="0.25">
      <c r="A3977">
        <v>46240</v>
      </c>
      <c r="B3977" t="s">
        <v>91</v>
      </c>
      <c r="C3977" t="s">
        <v>92</v>
      </c>
      <c r="D3977" t="s">
        <v>41</v>
      </c>
      <c r="E3977" t="s">
        <v>74</v>
      </c>
      <c r="F3977" t="s">
        <v>75</v>
      </c>
      <c r="G3977" t="s">
        <v>9</v>
      </c>
      <c r="H3977" t="s">
        <v>71</v>
      </c>
      <c r="I3977" t="s">
        <v>37</v>
      </c>
      <c r="J3977" t="s">
        <v>87</v>
      </c>
      <c r="K3977">
        <v>5972</v>
      </c>
      <c r="L3977">
        <v>164</v>
      </c>
      <c r="M3977">
        <v>187.07</v>
      </c>
      <c r="N3977">
        <v>10</v>
      </c>
      <c r="O3977">
        <v>367.18</v>
      </c>
      <c r="P3977">
        <f t="shared" si="248"/>
        <v>2.7461486939048894E-2</v>
      </c>
      <c r="Q3977">
        <f t="shared" si="248"/>
        <v>1.140670731707317</v>
      </c>
      <c r="R3977">
        <f t="shared" si="249"/>
        <v>18.707000000000001</v>
      </c>
      <c r="S3977">
        <f t="shared" si="250"/>
        <v>1.9627946757898114</v>
      </c>
      <c r="T3977">
        <f t="shared" si="251"/>
        <v>6.097560975609756E-2</v>
      </c>
      <c r="U3977" t="str">
        <f>YEAR('Campaign Data'!$A3977)&amp;"-"&amp;TEXT(MONTH('Campaign Data'!$A3977),"00")</f>
        <v>2026-08</v>
      </c>
    </row>
    <row r="3978" spans="1:21" x14ac:dyDescent="0.25">
      <c r="A3978">
        <v>46240</v>
      </c>
      <c r="B3978" t="s">
        <v>46</v>
      </c>
      <c r="C3978" t="s">
        <v>47</v>
      </c>
      <c r="D3978" t="s">
        <v>48</v>
      </c>
      <c r="E3978" t="s">
        <v>49</v>
      </c>
      <c r="F3978" t="s">
        <v>43</v>
      </c>
      <c r="G3978" t="s">
        <v>50</v>
      </c>
      <c r="H3978" t="s">
        <v>36</v>
      </c>
      <c r="I3978" t="s">
        <v>28</v>
      </c>
      <c r="J3978" t="s">
        <v>45</v>
      </c>
      <c r="K3978">
        <v>1686</v>
      </c>
      <c r="L3978">
        <v>57</v>
      </c>
      <c r="M3978">
        <v>57.81</v>
      </c>
      <c r="N3978">
        <v>3</v>
      </c>
      <c r="O3978">
        <v>46.11</v>
      </c>
      <c r="P3978">
        <f t="shared" si="248"/>
        <v>3.3807829181494664E-2</v>
      </c>
      <c r="Q3978">
        <f t="shared" si="248"/>
        <v>1.0142105263157895</v>
      </c>
      <c r="R3978">
        <f t="shared" si="249"/>
        <v>19.27</v>
      </c>
      <c r="S3978">
        <f t="shared" si="250"/>
        <v>0.79761286974571866</v>
      </c>
      <c r="T3978">
        <f t="shared" si="251"/>
        <v>5.2631578947368418E-2</v>
      </c>
      <c r="U3978" t="str">
        <f>YEAR('Campaign Data'!$A3978)&amp;"-"&amp;TEXT(MONTH('Campaign Data'!$A3978),"00")</f>
        <v>2026-08</v>
      </c>
    </row>
    <row r="3979" spans="1:21" x14ac:dyDescent="0.25">
      <c r="A3979">
        <v>46240</v>
      </c>
      <c r="B3979" t="s">
        <v>105</v>
      </c>
      <c r="C3979" t="s">
        <v>106</v>
      </c>
      <c r="D3979" t="s">
        <v>58</v>
      </c>
      <c r="E3979" t="s">
        <v>49</v>
      </c>
      <c r="F3979" t="s">
        <v>81</v>
      </c>
      <c r="G3979" t="s">
        <v>107</v>
      </c>
      <c r="H3979" t="s">
        <v>27</v>
      </c>
      <c r="I3979" t="s">
        <v>28</v>
      </c>
      <c r="J3979" t="s">
        <v>38</v>
      </c>
      <c r="K3979">
        <v>6385</v>
      </c>
      <c r="L3979">
        <v>172</v>
      </c>
      <c r="M3979">
        <v>439.78</v>
      </c>
      <c r="N3979">
        <v>7</v>
      </c>
      <c r="O3979">
        <v>207.02</v>
      </c>
      <c r="P3979">
        <f t="shared" si="248"/>
        <v>2.6938136256851996E-2</v>
      </c>
      <c r="Q3979">
        <f t="shared" si="248"/>
        <v>2.5568604651162787</v>
      </c>
      <c r="R3979">
        <f t="shared" si="249"/>
        <v>62.825714285714284</v>
      </c>
      <c r="S3979">
        <f t="shared" si="250"/>
        <v>0.470735367683842</v>
      </c>
      <c r="T3979">
        <f t="shared" si="251"/>
        <v>4.0697674418604654E-2</v>
      </c>
      <c r="U3979" t="str">
        <f>YEAR('Campaign Data'!$A3979)&amp;"-"&amp;TEXT(MONTH('Campaign Data'!$A3979),"00")</f>
        <v>2026-08</v>
      </c>
    </row>
    <row r="3980" spans="1:21" x14ac:dyDescent="0.25">
      <c r="A3980">
        <v>46240</v>
      </c>
      <c r="B3980" t="s">
        <v>108</v>
      </c>
      <c r="C3980" t="s">
        <v>109</v>
      </c>
      <c r="D3980" t="s">
        <v>58</v>
      </c>
      <c r="E3980" t="s">
        <v>33</v>
      </c>
      <c r="F3980" t="s">
        <v>43</v>
      </c>
      <c r="G3980" t="s">
        <v>59</v>
      </c>
      <c r="H3980" t="s">
        <v>90</v>
      </c>
      <c r="I3980" t="s">
        <v>37</v>
      </c>
      <c r="J3980" t="s">
        <v>45</v>
      </c>
      <c r="K3980">
        <v>12592</v>
      </c>
      <c r="L3980">
        <v>94</v>
      </c>
      <c r="M3980">
        <v>15.83</v>
      </c>
      <c r="N3980">
        <v>0</v>
      </c>
      <c r="O3980">
        <v>0</v>
      </c>
      <c r="P3980">
        <f t="shared" si="248"/>
        <v>7.4650571791613721E-3</v>
      </c>
      <c r="Q3980">
        <f t="shared" si="248"/>
        <v>0.16840425531914893</v>
      </c>
      <c r="R3980">
        <f t="shared" si="249"/>
        <v>0</v>
      </c>
      <c r="S3980">
        <f t="shared" si="250"/>
        <v>0</v>
      </c>
      <c r="T3980">
        <f t="shared" si="251"/>
        <v>0</v>
      </c>
      <c r="U3980" t="str">
        <f>YEAR('Campaign Data'!$A3980)&amp;"-"&amp;TEXT(MONTH('Campaign Data'!$A3980),"00")</f>
        <v>2026-08</v>
      </c>
    </row>
    <row r="3981" spans="1:21" x14ac:dyDescent="0.25">
      <c r="A3981">
        <v>46240</v>
      </c>
      <c r="B3981" t="s">
        <v>132</v>
      </c>
      <c r="C3981" t="s">
        <v>133</v>
      </c>
      <c r="D3981" t="s">
        <v>23</v>
      </c>
      <c r="E3981" t="s">
        <v>42</v>
      </c>
      <c r="F3981" t="s">
        <v>75</v>
      </c>
      <c r="G3981" t="s">
        <v>84</v>
      </c>
      <c r="H3981" t="s">
        <v>60</v>
      </c>
      <c r="I3981" t="s">
        <v>37</v>
      </c>
      <c r="J3981" t="s">
        <v>38</v>
      </c>
      <c r="K3981">
        <v>6215</v>
      </c>
      <c r="L3981">
        <v>50</v>
      </c>
      <c r="M3981">
        <v>247.62</v>
      </c>
      <c r="N3981">
        <v>1</v>
      </c>
      <c r="O3981">
        <v>27.52</v>
      </c>
      <c r="P3981">
        <f t="shared" si="248"/>
        <v>8.0450522928399038E-3</v>
      </c>
      <c r="Q3981">
        <f t="shared" si="248"/>
        <v>4.9523999999999999</v>
      </c>
      <c r="R3981">
        <f t="shared" si="249"/>
        <v>247.62</v>
      </c>
      <c r="S3981">
        <f t="shared" si="250"/>
        <v>0.11113803408448429</v>
      </c>
      <c r="T3981">
        <f t="shared" si="251"/>
        <v>0.02</v>
      </c>
      <c r="U3981" t="str">
        <f>YEAR('Campaign Data'!$A3981)&amp;"-"&amp;TEXT(MONTH('Campaign Data'!$A3981),"00")</f>
        <v>2026-08</v>
      </c>
    </row>
    <row r="3982" spans="1:21" x14ac:dyDescent="0.25">
      <c r="A3982">
        <v>46240</v>
      </c>
      <c r="B3982" t="s">
        <v>132</v>
      </c>
      <c r="C3982" t="s">
        <v>133</v>
      </c>
      <c r="D3982" t="s">
        <v>23</v>
      </c>
      <c r="E3982" t="s">
        <v>42</v>
      </c>
      <c r="F3982" t="s">
        <v>75</v>
      </c>
      <c r="G3982" t="s">
        <v>84</v>
      </c>
      <c r="H3982" t="s">
        <v>51</v>
      </c>
      <c r="I3982" t="s">
        <v>37</v>
      </c>
      <c r="J3982" t="s">
        <v>38</v>
      </c>
      <c r="K3982">
        <v>5626</v>
      </c>
      <c r="L3982">
        <v>24</v>
      </c>
      <c r="M3982">
        <v>125.04</v>
      </c>
      <c r="N3982">
        <v>0</v>
      </c>
      <c r="O3982">
        <v>0</v>
      </c>
      <c r="P3982">
        <f t="shared" si="248"/>
        <v>4.2659082829719164E-3</v>
      </c>
      <c r="Q3982">
        <f t="shared" si="248"/>
        <v>5.21</v>
      </c>
      <c r="R3982">
        <f t="shared" si="249"/>
        <v>0</v>
      </c>
      <c r="S3982">
        <f t="shared" si="250"/>
        <v>0</v>
      </c>
      <c r="T3982">
        <f t="shared" si="251"/>
        <v>0</v>
      </c>
      <c r="U3982" t="str">
        <f>YEAR('Campaign Data'!$A3982)&amp;"-"&amp;TEXT(MONTH('Campaign Data'!$A3982),"00")</f>
        <v>2026-08</v>
      </c>
    </row>
    <row r="3983" spans="1:21" x14ac:dyDescent="0.25">
      <c r="A3983">
        <v>46240</v>
      </c>
      <c r="B3983" t="s">
        <v>110</v>
      </c>
      <c r="C3983" t="s">
        <v>111</v>
      </c>
      <c r="D3983" t="s">
        <v>23</v>
      </c>
      <c r="E3983" t="s">
        <v>49</v>
      </c>
      <c r="F3983" t="s">
        <v>34</v>
      </c>
      <c r="G3983" t="s">
        <v>50</v>
      </c>
      <c r="H3983" t="s">
        <v>90</v>
      </c>
      <c r="I3983" t="s">
        <v>37</v>
      </c>
      <c r="J3983" t="s">
        <v>62</v>
      </c>
      <c r="K3983">
        <v>4635</v>
      </c>
      <c r="L3983">
        <v>147</v>
      </c>
      <c r="M3983">
        <v>88.64</v>
      </c>
      <c r="N3983">
        <v>12</v>
      </c>
      <c r="O3983">
        <v>379.49</v>
      </c>
      <c r="P3983">
        <f t="shared" si="248"/>
        <v>3.1715210355987053E-2</v>
      </c>
      <c r="Q3983">
        <f t="shared" si="248"/>
        <v>0.60299319727891154</v>
      </c>
      <c r="R3983">
        <f t="shared" si="249"/>
        <v>7.3866666666666667</v>
      </c>
      <c r="S3983">
        <f t="shared" si="250"/>
        <v>4.28125</v>
      </c>
      <c r="T3983">
        <f t="shared" si="251"/>
        <v>8.1632653061224483E-2</v>
      </c>
      <c r="U3983" t="str">
        <f>YEAR('Campaign Data'!$A3983)&amp;"-"&amp;TEXT(MONTH('Campaign Data'!$A3983),"00")</f>
        <v>2026-08</v>
      </c>
    </row>
    <row r="3984" spans="1:21" x14ac:dyDescent="0.25">
      <c r="A3984">
        <v>46240</v>
      </c>
      <c r="B3984" t="s">
        <v>134</v>
      </c>
      <c r="C3984" t="s">
        <v>135</v>
      </c>
      <c r="D3984" t="s">
        <v>32</v>
      </c>
      <c r="E3984" t="s">
        <v>74</v>
      </c>
      <c r="F3984" t="s">
        <v>25</v>
      </c>
      <c r="G3984" t="s">
        <v>107</v>
      </c>
      <c r="H3984" t="s">
        <v>27</v>
      </c>
      <c r="I3984" t="s">
        <v>28</v>
      </c>
      <c r="J3984" t="s">
        <v>62</v>
      </c>
      <c r="K3984">
        <v>5798</v>
      </c>
      <c r="L3984">
        <v>173</v>
      </c>
      <c r="M3984">
        <v>259.39</v>
      </c>
      <c r="N3984">
        <v>4</v>
      </c>
      <c r="O3984">
        <v>577.62</v>
      </c>
      <c r="P3984">
        <f t="shared" si="248"/>
        <v>2.983787512935495E-2</v>
      </c>
      <c r="Q3984">
        <f t="shared" si="248"/>
        <v>1.4993641618497109</v>
      </c>
      <c r="R3984">
        <f t="shared" si="249"/>
        <v>64.847499999999997</v>
      </c>
      <c r="S3984">
        <f t="shared" si="250"/>
        <v>2.226839893596515</v>
      </c>
      <c r="T3984">
        <f t="shared" si="251"/>
        <v>2.3121387283236993E-2</v>
      </c>
      <c r="U3984" t="str">
        <f>YEAR('Campaign Data'!$A3984)&amp;"-"&amp;TEXT(MONTH('Campaign Data'!$A3984),"00")</f>
        <v>2026-08</v>
      </c>
    </row>
    <row r="3985" spans="1:21" x14ac:dyDescent="0.25">
      <c r="A3985">
        <v>46240</v>
      </c>
      <c r="B3985" t="s">
        <v>134</v>
      </c>
      <c r="C3985" t="s">
        <v>135</v>
      </c>
      <c r="D3985" t="s">
        <v>32</v>
      </c>
      <c r="E3985" t="s">
        <v>74</v>
      </c>
      <c r="F3985" t="s">
        <v>25</v>
      </c>
      <c r="G3985" t="s">
        <v>107</v>
      </c>
      <c r="H3985" t="s">
        <v>90</v>
      </c>
      <c r="I3985" t="s">
        <v>61</v>
      </c>
      <c r="J3985" t="s">
        <v>29</v>
      </c>
      <c r="K3985">
        <v>4266</v>
      </c>
      <c r="L3985">
        <v>111</v>
      </c>
      <c r="M3985">
        <v>41.46</v>
      </c>
      <c r="N3985">
        <v>5</v>
      </c>
      <c r="O3985">
        <v>250.1</v>
      </c>
      <c r="P3985">
        <f t="shared" si="248"/>
        <v>2.6019690576652602E-2</v>
      </c>
      <c r="Q3985">
        <f t="shared" si="248"/>
        <v>0.37351351351351353</v>
      </c>
      <c r="R3985">
        <f t="shared" si="249"/>
        <v>8.2919999999999998</v>
      </c>
      <c r="S3985">
        <f t="shared" si="250"/>
        <v>6.0323203087313066</v>
      </c>
      <c r="T3985">
        <f t="shared" si="251"/>
        <v>4.5045045045045043E-2</v>
      </c>
      <c r="U3985" t="str">
        <f>YEAR('Campaign Data'!$A3985)&amp;"-"&amp;TEXT(MONTH('Campaign Data'!$A3985),"00")</f>
        <v>2026-08</v>
      </c>
    </row>
    <row r="3986" spans="1:21" x14ac:dyDescent="0.25">
      <c r="A3986">
        <v>46240</v>
      </c>
      <c r="B3986" t="s">
        <v>181</v>
      </c>
      <c r="C3986" t="s">
        <v>182</v>
      </c>
      <c r="D3986" t="s">
        <v>32</v>
      </c>
      <c r="E3986" t="s">
        <v>33</v>
      </c>
      <c r="F3986" t="s">
        <v>75</v>
      </c>
      <c r="G3986" t="s">
        <v>59</v>
      </c>
      <c r="H3986" t="s">
        <v>27</v>
      </c>
      <c r="I3986" t="s">
        <v>37</v>
      </c>
      <c r="J3986" t="s">
        <v>62</v>
      </c>
      <c r="K3986">
        <v>3526</v>
      </c>
      <c r="L3986">
        <v>36</v>
      </c>
      <c r="M3986">
        <v>34.32</v>
      </c>
      <c r="N3986">
        <v>1</v>
      </c>
      <c r="O3986">
        <v>26.3</v>
      </c>
      <c r="P3986">
        <f t="shared" si="248"/>
        <v>1.0209869540555871E-2</v>
      </c>
      <c r="Q3986">
        <f t="shared" si="248"/>
        <v>0.95333333333333337</v>
      </c>
      <c r="R3986">
        <f t="shared" si="249"/>
        <v>34.32</v>
      </c>
      <c r="S3986">
        <f t="shared" si="250"/>
        <v>0.76631701631701632</v>
      </c>
      <c r="T3986">
        <f t="shared" si="251"/>
        <v>2.7777777777777776E-2</v>
      </c>
      <c r="U3986" t="str">
        <f>YEAR('Campaign Data'!$A3986)&amp;"-"&amp;TEXT(MONTH('Campaign Data'!$A3986),"00")</f>
        <v>2026-08</v>
      </c>
    </row>
    <row r="3987" spans="1:21" x14ac:dyDescent="0.25">
      <c r="A3987">
        <v>46240</v>
      </c>
      <c r="B3987" t="s">
        <v>114</v>
      </c>
      <c r="C3987" t="s">
        <v>115</v>
      </c>
      <c r="D3987" t="s">
        <v>69</v>
      </c>
      <c r="E3987" t="s">
        <v>49</v>
      </c>
      <c r="F3987" t="s">
        <v>25</v>
      </c>
      <c r="G3987" t="s">
        <v>107</v>
      </c>
      <c r="H3987" t="s">
        <v>27</v>
      </c>
      <c r="I3987" t="s">
        <v>28</v>
      </c>
      <c r="J3987" t="s">
        <v>62</v>
      </c>
      <c r="K3987">
        <v>1670</v>
      </c>
      <c r="L3987">
        <v>55</v>
      </c>
      <c r="M3987">
        <v>73.31</v>
      </c>
      <c r="N3987">
        <v>4</v>
      </c>
      <c r="O3987">
        <v>1027.58</v>
      </c>
      <c r="P3987">
        <f t="shared" si="248"/>
        <v>3.2934131736526949E-2</v>
      </c>
      <c r="Q3987">
        <f t="shared" si="248"/>
        <v>1.332909090909091</v>
      </c>
      <c r="R3987">
        <f t="shared" si="249"/>
        <v>18.327500000000001</v>
      </c>
      <c r="S3987">
        <f t="shared" si="250"/>
        <v>14.016914472786794</v>
      </c>
      <c r="T3987">
        <f t="shared" si="251"/>
        <v>7.2727272727272724E-2</v>
      </c>
      <c r="U3987" t="str">
        <f>YEAR('Campaign Data'!$A3987)&amp;"-"&amp;TEXT(MONTH('Campaign Data'!$A3987),"00")</f>
        <v>2026-08</v>
      </c>
    </row>
    <row r="3988" spans="1:21" x14ac:dyDescent="0.25">
      <c r="A3988">
        <v>46240</v>
      </c>
      <c r="B3988" t="s">
        <v>141</v>
      </c>
      <c r="C3988" t="s">
        <v>142</v>
      </c>
      <c r="D3988" t="s">
        <v>80</v>
      </c>
      <c r="E3988" t="s">
        <v>49</v>
      </c>
      <c r="F3988" t="s">
        <v>81</v>
      </c>
      <c r="G3988" t="s">
        <v>97</v>
      </c>
      <c r="H3988" t="s">
        <v>27</v>
      </c>
      <c r="I3988" t="s">
        <v>37</v>
      </c>
      <c r="J3988" t="s">
        <v>45</v>
      </c>
      <c r="K3988">
        <v>4412</v>
      </c>
      <c r="L3988">
        <v>148</v>
      </c>
      <c r="M3988">
        <v>434.15</v>
      </c>
      <c r="N3988">
        <v>3</v>
      </c>
      <c r="O3988">
        <v>48.06</v>
      </c>
      <c r="P3988">
        <f t="shared" si="248"/>
        <v>3.3544877606527655E-2</v>
      </c>
      <c r="Q3988">
        <f t="shared" si="248"/>
        <v>2.9334459459459459</v>
      </c>
      <c r="R3988">
        <f t="shared" si="249"/>
        <v>144.71666666666667</v>
      </c>
      <c r="S3988">
        <f t="shared" si="250"/>
        <v>0.11069906714269263</v>
      </c>
      <c r="T3988">
        <f t="shared" si="251"/>
        <v>2.0270270270270271E-2</v>
      </c>
      <c r="U3988" t="str">
        <f>YEAR('Campaign Data'!$A3988)&amp;"-"&amp;TEXT(MONTH('Campaign Data'!$A3988),"00")</f>
        <v>2026-08</v>
      </c>
    </row>
    <row r="3989" spans="1:21" x14ac:dyDescent="0.25">
      <c r="A3989">
        <v>46240</v>
      </c>
      <c r="B3989" t="s">
        <v>67</v>
      </c>
      <c r="C3989" t="s">
        <v>68</v>
      </c>
      <c r="D3989" t="s">
        <v>69</v>
      </c>
      <c r="E3989" t="s">
        <v>49</v>
      </c>
      <c r="F3989" t="s">
        <v>34</v>
      </c>
      <c r="G3989" t="s">
        <v>70</v>
      </c>
      <c r="H3989" t="s">
        <v>36</v>
      </c>
      <c r="I3989" t="s">
        <v>28</v>
      </c>
      <c r="J3989" t="s">
        <v>62</v>
      </c>
      <c r="K3989">
        <v>4407</v>
      </c>
      <c r="L3989">
        <v>129</v>
      </c>
      <c r="M3989">
        <v>131.22999999999999</v>
      </c>
      <c r="N3989">
        <v>7</v>
      </c>
      <c r="O3989">
        <v>1419.06</v>
      </c>
      <c r="P3989">
        <f t="shared" si="248"/>
        <v>2.9271613342409804E-2</v>
      </c>
      <c r="Q3989">
        <f t="shared" si="248"/>
        <v>1.0172868217054263</v>
      </c>
      <c r="R3989">
        <f t="shared" si="249"/>
        <v>18.747142857142855</v>
      </c>
      <c r="S3989">
        <f t="shared" si="250"/>
        <v>10.813533490817649</v>
      </c>
      <c r="T3989">
        <f t="shared" si="251"/>
        <v>5.4263565891472867E-2</v>
      </c>
      <c r="U3989" t="str">
        <f>YEAR('Campaign Data'!$A3989)&amp;"-"&amp;TEXT(MONTH('Campaign Data'!$A3989),"00")</f>
        <v>2026-08</v>
      </c>
    </row>
    <row r="3990" spans="1:21" x14ac:dyDescent="0.25">
      <c r="A3990">
        <v>46240</v>
      </c>
      <c r="B3990" t="s">
        <v>118</v>
      </c>
      <c r="C3990" t="s">
        <v>119</v>
      </c>
      <c r="D3990" t="s">
        <v>69</v>
      </c>
      <c r="E3990" t="s">
        <v>33</v>
      </c>
      <c r="F3990" t="s">
        <v>34</v>
      </c>
      <c r="G3990" t="s">
        <v>35</v>
      </c>
      <c r="H3990" t="s">
        <v>27</v>
      </c>
      <c r="I3990" t="s">
        <v>28</v>
      </c>
      <c r="J3990" t="s">
        <v>62</v>
      </c>
      <c r="K3990">
        <v>15076</v>
      </c>
      <c r="L3990">
        <v>201</v>
      </c>
      <c r="M3990">
        <v>171.56</v>
      </c>
      <c r="N3990">
        <v>4</v>
      </c>
      <c r="O3990">
        <v>537.47</v>
      </c>
      <c r="P3990">
        <f t="shared" si="248"/>
        <v>1.3332448925444416E-2</v>
      </c>
      <c r="Q3990">
        <f t="shared" si="248"/>
        <v>0.85353233830845776</v>
      </c>
      <c r="R3990">
        <f t="shared" si="249"/>
        <v>42.89</v>
      </c>
      <c r="S3990">
        <f t="shared" si="250"/>
        <v>3.1328398228025183</v>
      </c>
      <c r="T3990">
        <f t="shared" si="251"/>
        <v>1.9900497512437811E-2</v>
      </c>
      <c r="U3990" t="str">
        <f>YEAR('Campaign Data'!$A3990)&amp;"-"&amp;TEXT(MONTH('Campaign Data'!$A3990),"00")</f>
        <v>2026-08</v>
      </c>
    </row>
    <row r="3991" spans="1:21" x14ac:dyDescent="0.25">
      <c r="A3991">
        <v>46240</v>
      </c>
      <c r="B3991" t="s">
        <v>120</v>
      </c>
      <c r="C3991" t="s">
        <v>121</v>
      </c>
      <c r="D3991" t="s">
        <v>23</v>
      </c>
      <c r="E3991" t="s">
        <v>49</v>
      </c>
      <c r="F3991" t="s">
        <v>75</v>
      </c>
      <c r="G3991" t="s">
        <v>70</v>
      </c>
      <c r="H3991" t="s">
        <v>90</v>
      </c>
      <c r="I3991" t="s">
        <v>37</v>
      </c>
      <c r="J3991" t="s">
        <v>62</v>
      </c>
      <c r="K3991">
        <v>6078</v>
      </c>
      <c r="L3991">
        <v>304</v>
      </c>
      <c r="M3991">
        <v>156.44999999999999</v>
      </c>
      <c r="N3991">
        <v>15</v>
      </c>
      <c r="O3991">
        <v>202.08</v>
      </c>
      <c r="P3991">
        <f t="shared" si="248"/>
        <v>5.0016452780519909E-2</v>
      </c>
      <c r="Q3991">
        <f t="shared" si="248"/>
        <v>0.51463815789473677</v>
      </c>
      <c r="R3991">
        <f t="shared" si="249"/>
        <v>10.43</v>
      </c>
      <c r="S3991">
        <f t="shared" si="250"/>
        <v>1.2916586768935765</v>
      </c>
      <c r="T3991">
        <f t="shared" si="251"/>
        <v>4.9342105263157895E-2</v>
      </c>
      <c r="U3991" t="str">
        <f>YEAR('Campaign Data'!$A3991)&amp;"-"&amp;TEXT(MONTH('Campaign Data'!$A3991),"00")</f>
        <v>2026-08</v>
      </c>
    </row>
    <row r="3992" spans="1:21" x14ac:dyDescent="0.25">
      <c r="A3992">
        <v>46241</v>
      </c>
      <c r="B3992" t="s">
        <v>165</v>
      </c>
      <c r="C3992" t="s">
        <v>166</v>
      </c>
      <c r="D3992" t="s">
        <v>41</v>
      </c>
      <c r="E3992" t="s">
        <v>33</v>
      </c>
      <c r="F3992" t="s">
        <v>43</v>
      </c>
      <c r="G3992" t="s">
        <v>59</v>
      </c>
      <c r="H3992" t="s">
        <v>51</v>
      </c>
      <c r="I3992" t="s">
        <v>61</v>
      </c>
      <c r="J3992" t="s">
        <v>38</v>
      </c>
      <c r="K3992">
        <v>6326</v>
      </c>
      <c r="L3992">
        <v>85</v>
      </c>
      <c r="M3992">
        <v>54.33</v>
      </c>
      <c r="N3992">
        <v>1</v>
      </c>
      <c r="O3992">
        <v>33.42</v>
      </c>
      <c r="P3992">
        <f t="shared" si="248"/>
        <v>1.343661081251976E-2</v>
      </c>
      <c r="Q3992">
        <f t="shared" si="248"/>
        <v>0.63917647058823523</v>
      </c>
      <c r="R3992">
        <f t="shared" si="249"/>
        <v>54.33</v>
      </c>
      <c r="S3992">
        <f t="shared" si="250"/>
        <v>0.61512976256212037</v>
      </c>
      <c r="T3992">
        <f t="shared" si="251"/>
        <v>1.1764705882352941E-2</v>
      </c>
      <c r="U3992" t="str">
        <f>YEAR('Campaign Data'!$A3992)&amp;"-"&amp;TEXT(MONTH('Campaign Data'!$A3992),"00")</f>
        <v>2026-08</v>
      </c>
    </row>
    <row r="3993" spans="1:21" x14ac:dyDescent="0.25">
      <c r="A3993">
        <v>46241</v>
      </c>
      <c r="B3993" t="s">
        <v>85</v>
      </c>
      <c r="C3993" t="s">
        <v>86</v>
      </c>
      <c r="D3993" t="s">
        <v>80</v>
      </c>
      <c r="E3993" t="s">
        <v>33</v>
      </c>
      <c r="F3993" t="s">
        <v>43</v>
      </c>
      <c r="G3993" t="s">
        <v>35</v>
      </c>
      <c r="H3993" t="s">
        <v>90</v>
      </c>
      <c r="I3993" t="s">
        <v>37</v>
      </c>
      <c r="J3993" t="s">
        <v>29</v>
      </c>
      <c r="K3993">
        <v>10790</v>
      </c>
      <c r="L3993">
        <v>47</v>
      </c>
      <c r="M3993">
        <v>7.15</v>
      </c>
      <c r="N3993">
        <v>0</v>
      </c>
      <c r="O3993">
        <v>0</v>
      </c>
      <c r="P3993">
        <f t="shared" si="248"/>
        <v>4.3558850787766452E-3</v>
      </c>
      <c r="Q3993">
        <f t="shared" si="248"/>
        <v>0.15212765957446808</v>
      </c>
      <c r="R3993">
        <f t="shared" si="249"/>
        <v>0</v>
      </c>
      <c r="S3993">
        <f t="shared" si="250"/>
        <v>0</v>
      </c>
      <c r="T3993">
        <f t="shared" si="251"/>
        <v>0</v>
      </c>
      <c r="U3993" t="str">
        <f>YEAR('Campaign Data'!$A3993)&amp;"-"&amp;TEXT(MONTH('Campaign Data'!$A3993),"00")</f>
        <v>2026-08</v>
      </c>
    </row>
    <row r="3994" spans="1:21" x14ac:dyDescent="0.25">
      <c r="A3994">
        <v>46241</v>
      </c>
      <c r="B3994" t="s">
        <v>167</v>
      </c>
      <c r="C3994" t="s">
        <v>168</v>
      </c>
      <c r="D3994" t="s">
        <v>58</v>
      </c>
      <c r="E3994" t="s">
        <v>33</v>
      </c>
      <c r="F3994" t="s">
        <v>75</v>
      </c>
      <c r="G3994" t="s">
        <v>35</v>
      </c>
      <c r="H3994" t="s">
        <v>36</v>
      </c>
      <c r="I3994" t="s">
        <v>61</v>
      </c>
      <c r="J3994" t="s">
        <v>45</v>
      </c>
      <c r="K3994">
        <v>10039</v>
      </c>
      <c r="L3994">
        <v>97</v>
      </c>
      <c r="M3994">
        <v>49.49</v>
      </c>
      <c r="N3994">
        <v>2</v>
      </c>
      <c r="O3994">
        <v>76.86</v>
      </c>
      <c r="P3994">
        <f t="shared" si="248"/>
        <v>9.6623169638410198E-3</v>
      </c>
      <c r="Q3994">
        <f t="shared" si="248"/>
        <v>0.51020618556701036</v>
      </c>
      <c r="R3994">
        <f t="shared" si="249"/>
        <v>24.745000000000001</v>
      </c>
      <c r="S3994">
        <f t="shared" si="250"/>
        <v>1.5530410183875529</v>
      </c>
      <c r="T3994">
        <f t="shared" si="251"/>
        <v>2.0618556701030927E-2</v>
      </c>
      <c r="U3994" t="str">
        <f>YEAR('Campaign Data'!$A3994)&amp;"-"&amp;TEXT(MONTH('Campaign Data'!$A3994),"00")</f>
        <v>2026-08</v>
      </c>
    </row>
    <row r="3995" spans="1:21" x14ac:dyDescent="0.25">
      <c r="A3995">
        <v>46241</v>
      </c>
      <c r="B3995" t="s">
        <v>125</v>
      </c>
      <c r="C3995" t="s">
        <v>126</v>
      </c>
      <c r="D3995" t="s">
        <v>41</v>
      </c>
      <c r="E3995" t="s">
        <v>42</v>
      </c>
      <c r="F3995" t="s">
        <v>81</v>
      </c>
      <c r="G3995" t="s">
        <v>44</v>
      </c>
      <c r="H3995" t="s">
        <v>36</v>
      </c>
      <c r="I3995" t="s">
        <v>28</v>
      </c>
      <c r="J3995" t="s">
        <v>87</v>
      </c>
      <c r="K3995">
        <v>12787</v>
      </c>
      <c r="L3995">
        <v>68</v>
      </c>
      <c r="M3995">
        <v>360.15</v>
      </c>
      <c r="N3995">
        <v>1</v>
      </c>
      <c r="O3995">
        <v>28.91</v>
      </c>
      <c r="P3995">
        <f t="shared" si="248"/>
        <v>5.3179009931962149E-3</v>
      </c>
      <c r="Q3995">
        <f t="shared" si="248"/>
        <v>5.2963235294117643</v>
      </c>
      <c r="R3995">
        <f t="shared" si="249"/>
        <v>360.15</v>
      </c>
      <c r="S3995">
        <f t="shared" si="250"/>
        <v>8.0272108843537415E-2</v>
      </c>
      <c r="T3995">
        <f t="shared" si="251"/>
        <v>1.4705882352941176E-2</v>
      </c>
      <c r="U3995" t="str">
        <f>YEAR('Campaign Data'!$A3995)&amp;"-"&amp;TEXT(MONTH('Campaign Data'!$A3995),"00")</f>
        <v>2026-08</v>
      </c>
    </row>
    <row r="3996" spans="1:21" x14ac:dyDescent="0.25">
      <c r="A3996">
        <v>46241</v>
      </c>
      <c r="B3996" t="s">
        <v>186</v>
      </c>
      <c r="C3996" t="s">
        <v>187</v>
      </c>
      <c r="D3996" t="s">
        <v>80</v>
      </c>
      <c r="E3996" t="s">
        <v>33</v>
      </c>
      <c r="F3996" t="s">
        <v>43</v>
      </c>
      <c r="G3996" t="s">
        <v>102</v>
      </c>
      <c r="H3996" t="s">
        <v>90</v>
      </c>
      <c r="I3996" t="s">
        <v>37</v>
      </c>
      <c r="J3996" t="s">
        <v>38</v>
      </c>
      <c r="K3996">
        <v>7208</v>
      </c>
      <c r="L3996">
        <v>87</v>
      </c>
      <c r="M3996">
        <v>19.48</v>
      </c>
      <c r="N3996">
        <v>2</v>
      </c>
      <c r="O3996">
        <v>15.29</v>
      </c>
      <c r="P3996">
        <f t="shared" si="248"/>
        <v>1.2069922308546061E-2</v>
      </c>
      <c r="Q3996">
        <f t="shared" si="248"/>
        <v>0.2239080459770115</v>
      </c>
      <c r="R3996">
        <f t="shared" si="249"/>
        <v>9.74</v>
      </c>
      <c r="S3996">
        <f t="shared" si="250"/>
        <v>0.7849075975359342</v>
      </c>
      <c r="T3996">
        <f t="shared" si="251"/>
        <v>2.2988505747126436E-2</v>
      </c>
      <c r="U3996" t="str">
        <f>YEAR('Campaign Data'!$A3996)&amp;"-"&amp;TEXT(MONTH('Campaign Data'!$A3996),"00")</f>
        <v>2026-08</v>
      </c>
    </row>
    <row r="3997" spans="1:21" x14ac:dyDescent="0.25">
      <c r="A3997">
        <v>46241</v>
      </c>
      <c r="B3997" t="s">
        <v>186</v>
      </c>
      <c r="C3997" t="s">
        <v>187</v>
      </c>
      <c r="D3997" t="s">
        <v>80</v>
      </c>
      <c r="E3997" t="s">
        <v>33</v>
      </c>
      <c r="F3997" t="s">
        <v>43</v>
      </c>
      <c r="G3997" t="s">
        <v>102</v>
      </c>
      <c r="H3997" t="s">
        <v>27</v>
      </c>
      <c r="I3997" t="s">
        <v>28</v>
      </c>
      <c r="J3997" t="s">
        <v>29</v>
      </c>
      <c r="K3997">
        <v>12528</v>
      </c>
      <c r="L3997">
        <v>73</v>
      </c>
      <c r="M3997">
        <v>69.989999999999995</v>
      </c>
      <c r="N3997">
        <v>0</v>
      </c>
      <c r="O3997">
        <v>0</v>
      </c>
      <c r="P3997">
        <f t="shared" si="248"/>
        <v>5.8269476372924652E-3</v>
      </c>
      <c r="Q3997">
        <f t="shared" si="248"/>
        <v>0.95876712328767111</v>
      </c>
      <c r="R3997">
        <f t="shared" si="249"/>
        <v>0</v>
      </c>
      <c r="S3997">
        <f t="shared" si="250"/>
        <v>0</v>
      </c>
      <c r="T3997">
        <f t="shared" si="251"/>
        <v>0</v>
      </c>
      <c r="U3997" t="str">
        <f>YEAR('Campaign Data'!$A3997)&amp;"-"&amp;TEXT(MONTH('Campaign Data'!$A3997),"00")</f>
        <v>2026-08</v>
      </c>
    </row>
    <row r="3998" spans="1:21" x14ac:dyDescent="0.25">
      <c r="A3998">
        <v>46241</v>
      </c>
      <c r="B3998" t="s">
        <v>30</v>
      </c>
      <c r="C3998" t="s">
        <v>31</v>
      </c>
      <c r="D3998" t="s">
        <v>32</v>
      </c>
      <c r="E3998" t="s">
        <v>33</v>
      </c>
      <c r="F3998" t="s">
        <v>34</v>
      </c>
      <c r="G3998" t="s">
        <v>35</v>
      </c>
      <c r="H3998" t="s">
        <v>36</v>
      </c>
      <c r="I3998" t="s">
        <v>28</v>
      </c>
      <c r="J3998" t="s">
        <v>38</v>
      </c>
      <c r="K3998">
        <v>16711</v>
      </c>
      <c r="L3998">
        <v>132</v>
      </c>
      <c r="M3998">
        <v>89.45</v>
      </c>
      <c r="N3998">
        <v>2</v>
      </c>
      <c r="O3998">
        <v>208.54</v>
      </c>
      <c r="P3998">
        <f t="shared" si="248"/>
        <v>7.8989886900843759E-3</v>
      </c>
      <c r="Q3998">
        <f t="shared" si="248"/>
        <v>0.67765151515151523</v>
      </c>
      <c r="R3998">
        <f t="shared" si="249"/>
        <v>44.725000000000001</v>
      </c>
      <c r="S3998">
        <f t="shared" si="250"/>
        <v>2.3313583007266629</v>
      </c>
      <c r="T3998">
        <f t="shared" si="251"/>
        <v>1.5151515151515152E-2</v>
      </c>
      <c r="U3998" t="str">
        <f>YEAR('Campaign Data'!$A3998)&amp;"-"&amp;TEXT(MONTH('Campaign Data'!$A3998),"00")</f>
        <v>2026-08</v>
      </c>
    </row>
    <row r="3999" spans="1:21" x14ac:dyDescent="0.25">
      <c r="A3999">
        <v>46241</v>
      </c>
      <c r="B3999" t="s">
        <v>52</v>
      </c>
      <c r="C3999" t="s">
        <v>53</v>
      </c>
      <c r="D3999" t="s">
        <v>32</v>
      </c>
      <c r="E3999" t="s">
        <v>42</v>
      </c>
      <c r="F3999" t="s">
        <v>25</v>
      </c>
      <c r="G3999" t="s">
        <v>54</v>
      </c>
      <c r="H3999" t="s">
        <v>90</v>
      </c>
      <c r="I3999" t="s">
        <v>61</v>
      </c>
      <c r="J3999" t="s">
        <v>38</v>
      </c>
      <c r="K3999">
        <v>2660</v>
      </c>
      <c r="L3999">
        <v>17</v>
      </c>
      <c r="M3999">
        <v>25.31</v>
      </c>
      <c r="N3999">
        <v>0</v>
      </c>
      <c r="O3999">
        <v>0</v>
      </c>
      <c r="P3999">
        <f t="shared" si="248"/>
        <v>6.3909774436090227E-3</v>
      </c>
      <c r="Q3999">
        <f t="shared" si="248"/>
        <v>1.4888235294117647</v>
      </c>
      <c r="R3999">
        <f t="shared" si="249"/>
        <v>0</v>
      </c>
      <c r="S3999">
        <f t="shared" si="250"/>
        <v>0</v>
      </c>
      <c r="T3999">
        <f t="shared" si="251"/>
        <v>0</v>
      </c>
      <c r="U3999" t="str">
        <f>YEAR('Campaign Data'!$A3999)&amp;"-"&amp;TEXT(MONTH('Campaign Data'!$A3999),"00")</f>
        <v>2026-08</v>
      </c>
    </row>
    <row r="4000" spans="1:21" x14ac:dyDescent="0.25">
      <c r="A4000">
        <v>46241</v>
      </c>
      <c r="B4000" t="s">
        <v>103</v>
      </c>
      <c r="C4000" t="s">
        <v>104</v>
      </c>
      <c r="D4000" t="s">
        <v>65</v>
      </c>
      <c r="E4000" t="s">
        <v>33</v>
      </c>
      <c r="F4000" t="s">
        <v>43</v>
      </c>
      <c r="G4000" t="s">
        <v>102</v>
      </c>
      <c r="H4000" t="s">
        <v>36</v>
      </c>
      <c r="I4000" t="s">
        <v>28</v>
      </c>
      <c r="J4000" t="s">
        <v>62</v>
      </c>
      <c r="K4000">
        <v>10198</v>
      </c>
      <c r="L4000">
        <v>131</v>
      </c>
      <c r="M4000">
        <v>78.09</v>
      </c>
      <c r="N4000">
        <v>2</v>
      </c>
      <c r="O4000">
        <v>27.62</v>
      </c>
      <c r="P4000">
        <f t="shared" si="248"/>
        <v>1.2845656010982545E-2</v>
      </c>
      <c r="Q4000">
        <f t="shared" si="248"/>
        <v>0.59610687022900766</v>
      </c>
      <c r="R4000">
        <f t="shared" si="249"/>
        <v>39.045000000000002</v>
      </c>
      <c r="S4000">
        <f t="shared" si="250"/>
        <v>0.35369445511589193</v>
      </c>
      <c r="T4000">
        <f t="shared" si="251"/>
        <v>1.5267175572519083E-2</v>
      </c>
      <c r="U4000" t="str">
        <f>YEAR('Campaign Data'!$A4000)&amp;"-"&amp;TEXT(MONTH('Campaign Data'!$A4000),"00")</f>
        <v>2026-08</v>
      </c>
    </row>
    <row r="4001" spans="1:21" x14ac:dyDescent="0.25">
      <c r="A4001">
        <v>46241</v>
      </c>
      <c r="B4001" t="s">
        <v>105</v>
      </c>
      <c r="C4001" t="s">
        <v>106</v>
      </c>
      <c r="D4001" t="s">
        <v>58</v>
      </c>
      <c r="E4001" t="s">
        <v>49</v>
      </c>
      <c r="F4001" t="s">
        <v>81</v>
      </c>
      <c r="G4001" t="s">
        <v>107</v>
      </c>
      <c r="H4001" t="s">
        <v>90</v>
      </c>
      <c r="I4001" t="s">
        <v>37</v>
      </c>
      <c r="J4001" t="s">
        <v>38</v>
      </c>
      <c r="K4001">
        <v>7285</v>
      </c>
      <c r="L4001">
        <v>236</v>
      </c>
      <c r="M4001">
        <v>118.25</v>
      </c>
      <c r="N4001">
        <v>7</v>
      </c>
      <c r="O4001">
        <v>47.14</v>
      </c>
      <c r="P4001">
        <f t="shared" si="248"/>
        <v>3.2395332875772134E-2</v>
      </c>
      <c r="Q4001">
        <f t="shared" si="248"/>
        <v>0.50105932203389836</v>
      </c>
      <c r="R4001">
        <f t="shared" si="249"/>
        <v>16.892857142857142</v>
      </c>
      <c r="S4001">
        <f t="shared" si="250"/>
        <v>0.39864693446088795</v>
      </c>
      <c r="T4001">
        <f t="shared" si="251"/>
        <v>2.9661016949152543E-2</v>
      </c>
      <c r="U4001" t="str">
        <f>YEAR('Campaign Data'!$A4001)&amp;"-"&amp;TEXT(MONTH('Campaign Data'!$A4001),"00")</f>
        <v>2026-08</v>
      </c>
    </row>
    <row r="4002" spans="1:21" x14ac:dyDescent="0.25">
      <c r="A4002">
        <v>46241</v>
      </c>
      <c r="B4002" t="s">
        <v>105</v>
      </c>
      <c r="C4002" t="s">
        <v>106</v>
      </c>
      <c r="D4002" t="s">
        <v>58</v>
      </c>
      <c r="E4002" t="s">
        <v>49</v>
      </c>
      <c r="F4002" t="s">
        <v>81</v>
      </c>
      <c r="G4002" t="s">
        <v>107</v>
      </c>
      <c r="H4002" t="s">
        <v>71</v>
      </c>
      <c r="I4002" t="s">
        <v>37</v>
      </c>
      <c r="J4002" t="s">
        <v>38</v>
      </c>
      <c r="K4002">
        <v>3252</v>
      </c>
      <c r="L4002">
        <v>218</v>
      </c>
      <c r="M4002">
        <v>297.54000000000002</v>
      </c>
      <c r="N4002">
        <v>20</v>
      </c>
      <c r="O4002">
        <v>294.48</v>
      </c>
      <c r="P4002">
        <f t="shared" si="248"/>
        <v>6.7035670356703561E-2</v>
      </c>
      <c r="Q4002">
        <f t="shared" si="248"/>
        <v>1.364862385321101</v>
      </c>
      <c r="R4002">
        <f t="shared" si="249"/>
        <v>14.877000000000001</v>
      </c>
      <c r="S4002">
        <f t="shared" si="250"/>
        <v>0.98971566848154868</v>
      </c>
      <c r="T4002">
        <f t="shared" si="251"/>
        <v>9.1743119266055051E-2</v>
      </c>
      <c r="U4002" t="str">
        <f>YEAR('Campaign Data'!$A4002)&amp;"-"&amp;TEXT(MONTH('Campaign Data'!$A4002),"00")</f>
        <v>2026-08</v>
      </c>
    </row>
    <row r="4003" spans="1:21" x14ac:dyDescent="0.25">
      <c r="A4003">
        <v>46241</v>
      </c>
      <c r="B4003" t="s">
        <v>177</v>
      </c>
      <c r="C4003" t="s">
        <v>178</v>
      </c>
      <c r="D4003" t="s">
        <v>41</v>
      </c>
      <c r="E4003" t="s">
        <v>49</v>
      </c>
      <c r="F4003" t="s">
        <v>34</v>
      </c>
      <c r="G4003" t="s">
        <v>107</v>
      </c>
      <c r="H4003" t="s">
        <v>90</v>
      </c>
      <c r="I4003" t="s">
        <v>37</v>
      </c>
      <c r="J4003" t="s">
        <v>38</v>
      </c>
      <c r="K4003">
        <v>4678</v>
      </c>
      <c r="L4003">
        <v>178</v>
      </c>
      <c r="M4003">
        <v>122.6</v>
      </c>
      <c r="N4003">
        <v>6</v>
      </c>
      <c r="O4003">
        <v>221.99</v>
      </c>
      <c r="P4003">
        <f t="shared" si="248"/>
        <v>3.8050448909790507E-2</v>
      </c>
      <c r="Q4003">
        <f t="shared" si="248"/>
        <v>0.68876404494382015</v>
      </c>
      <c r="R4003">
        <f t="shared" si="249"/>
        <v>20.433333333333334</v>
      </c>
      <c r="S4003">
        <f t="shared" si="250"/>
        <v>1.8106851549755303</v>
      </c>
      <c r="T4003">
        <f t="shared" si="251"/>
        <v>3.3707865168539325E-2</v>
      </c>
      <c r="U4003" t="str">
        <f>YEAR('Campaign Data'!$A4003)&amp;"-"&amp;TEXT(MONTH('Campaign Data'!$A4003),"00")</f>
        <v>2026-08</v>
      </c>
    </row>
    <row r="4004" spans="1:21" x14ac:dyDescent="0.25">
      <c r="A4004">
        <v>46241</v>
      </c>
      <c r="B4004" t="s">
        <v>171</v>
      </c>
      <c r="C4004" t="s">
        <v>172</v>
      </c>
      <c r="D4004" t="s">
        <v>23</v>
      </c>
      <c r="E4004" t="s">
        <v>33</v>
      </c>
      <c r="F4004" t="s">
        <v>75</v>
      </c>
      <c r="G4004" t="s">
        <v>59</v>
      </c>
      <c r="H4004" t="s">
        <v>27</v>
      </c>
      <c r="I4004" t="s">
        <v>37</v>
      </c>
      <c r="J4004" t="s">
        <v>38</v>
      </c>
      <c r="K4004">
        <v>7372</v>
      </c>
      <c r="L4004">
        <v>56</v>
      </c>
      <c r="M4004">
        <v>32.06</v>
      </c>
      <c r="N4004">
        <v>0</v>
      </c>
      <c r="O4004">
        <v>0</v>
      </c>
      <c r="P4004">
        <f t="shared" si="248"/>
        <v>7.5963103635377106E-3</v>
      </c>
      <c r="Q4004">
        <f t="shared" si="248"/>
        <v>0.57250000000000001</v>
      </c>
      <c r="R4004">
        <f t="shared" si="249"/>
        <v>0</v>
      </c>
      <c r="S4004">
        <f t="shared" si="250"/>
        <v>0</v>
      </c>
      <c r="T4004">
        <f t="shared" si="251"/>
        <v>0</v>
      </c>
      <c r="U4004" t="str">
        <f>YEAR('Campaign Data'!$A4004)&amp;"-"&amp;TEXT(MONTH('Campaign Data'!$A4004),"00")</f>
        <v>2026-08</v>
      </c>
    </row>
    <row r="4005" spans="1:21" x14ac:dyDescent="0.25">
      <c r="A4005">
        <v>46241</v>
      </c>
      <c r="B4005" t="s">
        <v>140</v>
      </c>
      <c r="C4005" t="s">
        <v>40</v>
      </c>
      <c r="D4005" t="s">
        <v>41</v>
      </c>
      <c r="E4005" t="s">
        <v>42</v>
      </c>
      <c r="F4005" t="s">
        <v>43</v>
      </c>
      <c r="G4005" t="s">
        <v>44</v>
      </c>
      <c r="H4005" t="s">
        <v>55</v>
      </c>
      <c r="I4005" t="s">
        <v>37</v>
      </c>
      <c r="J4005" t="s">
        <v>29</v>
      </c>
      <c r="K4005">
        <v>2491</v>
      </c>
      <c r="L4005">
        <v>15</v>
      </c>
      <c r="M4005">
        <v>70.62</v>
      </c>
      <c r="N4005">
        <v>1</v>
      </c>
      <c r="O4005">
        <v>28.61</v>
      </c>
      <c r="P4005">
        <f t="shared" si="248"/>
        <v>6.0216780409474103E-3</v>
      </c>
      <c r="Q4005">
        <f t="shared" si="248"/>
        <v>4.7080000000000002</v>
      </c>
      <c r="R4005">
        <f t="shared" si="249"/>
        <v>70.62</v>
      </c>
      <c r="S4005">
        <f t="shared" si="250"/>
        <v>0.40512602662135366</v>
      </c>
      <c r="T4005">
        <f t="shared" si="251"/>
        <v>6.6666666666666666E-2</v>
      </c>
      <c r="U4005" t="str">
        <f>YEAR('Campaign Data'!$A4005)&amp;"-"&amp;TEXT(MONTH('Campaign Data'!$A4005),"00")</f>
        <v>2026-08</v>
      </c>
    </row>
    <row r="4006" spans="1:21" x14ac:dyDescent="0.25">
      <c r="A4006">
        <v>46241</v>
      </c>
      <c r="B4006" t="s">
        <v>112</v>
      </c>
      <c r="C4006" t="s">
        <v>113</v>
      </c>
      <c r="D4006" t="s">
        <v>32</v>
      </c>
      <c r="E4006" t="s">
        <v>24</v>
      </c>
      <c r="F4006" t="s">
        <v>75</v>
      </c>
      <c r="G4006" t="s">
        <v>66</v>
      </c>
      <c r="H4006" t="s">
        <v>71</v>
      </c>
      <c r="I4006" t="s">
        <v>28</v>
      </c>
      <c r="J4006" t="s">
        <v>62</v>
      </c>
      <c r="K4006">
        <v>2426</v>
      </c>
      <c r="L4006">
        <v>57</v>
      </c>
      <c r="M4006">
        <v>42.86</v>
      </c>
      <c r="N4006">
        <v>2</v>
      </c>
      <c r="O4006">
        <v>62.32</v>
      </c>
      <c r="P4006">
        <f t="shared" si="248"/>
        <v>2.3495465787304205E-2</v>
      </c>
      <c r="Q4006">
        <f t="shared" si="248"/>
        <v>0.75192982456140345</v>
      </c>
      <c r="R4006">
        <f t="shared" si="249"/>
        <v>21.43</v>
      </c>
      <c r="S4006">
        <f t="shared" si="250"/>
        <v>1.4540363975734951</v>
      </c>
      <c r="T4006">
        <f t="shared" si="251"/>
        <v>3.5087719298245612E-2</v>
      </c>
      <c r="U4006" t="str">
        <f>YEAR('Campaign Data'!$A4006)&amp;"-"&amp;TEXT(MONTH('Campaign Data'!$A4006),"00")</f>
        <v>2026-08</v>
      </c>
    </row>
    <row r="4007" spans="1:21" x14ac:dyDescent="0.25">
      <c r="A4007">
        <v>46241</v>
      </c>
      <c r="B4007" t="s">
        <v>112</v>
      </c>
      <c r="C4007" t="s">
        <v>113</v>
      </c>
      <c r="D4007" t="s">
        <v>32</v>
      </c>
      <c r="E4007" t="s">
        <v>24</v>
      </c>
      <c r="F4007" t="s">
        <v>75</v>
      </c>
      <c r="G4007" t="s">
        <v>66</v>
      </c>
      <c r="H4007" t="s">
        <v>36</v>
      </c>
      <c r="I4007" t="s">
        <v>28</v>
      </c>
      <c r="J4007" t="s">
        <v>29</v>
      </c>
      <c r="K4007">
        <v>3813</v>
      </c>
      <c r="L4007">
        <v>42</v>
      </c>
      <c r="M4007">
        <v>32.1</v>
      </c>
      <c r="N4007">
        <v>3</v>
      </c>
      <c r="O4007">
        <v>137.79</v>
      </c>
      <c r="P4007">
        <f t="shared" si="248"/>
        <v>1.1014948859166011E-2</v>
      </c>
      <c r="Q4007">
        <f t="shared" si="248"/>
        <v>0.76428571428571435</v>
      </c>
      <c r="R4007">
        <f t="shared" si="249"/>
        <v>10.700000000000001</v>
      </c>
      <c r="S4007">
        <f t="shared" si="250"/>
        <v>4.292523364485981</v>
      </c>
      <c r="T4007">
        <f t="shared" si="251"/>
        <v>7.1428571428571425E-2</v>
      </c>
      <c r="U4007" t="str">
        <f>YEAR('Campaign Data'!$A4007)&amp;"-"&amp;TEXT(MONTH('Campaign Data'!$A4007),"00")</f>
        <v>2026-08</v>
      </c>
    </row>
    <row r="4008" spans="1:21" x14ac:dyDescent="0.25">
      <c r="A4008">
        <v>46241</v>
      </c>
      <c r="B4008" t="s">
        <v>159</v>
      </c>
      <c r="C4008" t="s">
        <v>160</v>
      </c>
      <c r="D4008" t="s">
        <v>65</v>
      </c>
      <c r="E4008" t="s">
        <v>42</v>
      </c>
      <c r="F4008" t="s">
        <v>75</v>
      </c>
      <c r="G4008" t="s">
        <v>54</v>
      </c>
      <c r="H4008" t="s">
        <v>51</v>
      </c>
      <c r="I4008" t="s">
        <v>28</v>
      </c>
      <c r="J4008" t="s">
        <v>45</v>
      </c>
      <c r="K4008">
        <v>9327</v>
      </c>
      <c r="L4008">
        <v>62</v>
      </c>
      <c r="M4008">
        <v>325.52999999999997</v>
      </c>
      <c r="N4008">
        <v>2</v>
      </c>
      <c r="O4008">
        <v>79.510000000000005</v>
      </c>
      <c r="P4008">
        <f t="shared" si="248"/>
        <v>6.6473678567599446E-3</v>
      </c>
      <c r="Q4008">
        <f t="shared" si="248"/>
        <v>5.2504838709677415</v>
      </c>
      <c r="R4008">
        <f t="shared" si="249"/>
        <v>162.76499999999999</v>
      </c>
      <c r="S4008">
        <f t="shared" si="250"/>
        <v>0.24424784198076985</v>
      </c>
      <c r="T4008">
        <f t="shared" si="251"/>
        <v>3.2258064516129031E-2</v>
      </c>
      <c r="U4008" t="str">
        <f>YEAR('Campaign Data'!$A4008)&amp;"-"&amp;TEXT(MONTH('Campaign Data'!$A4008),"00")</f>
        <v>2026-08</v>
      </c>
    </row>
    <row r="4009" spans="1:21" x14ac:dyDescent="0.25">
      <c r="A4009">
        <v>46241</v>
      </c>
      <c r="B4009" t="s">
        <v>161</v>
      </c>
      <c r="C4009" t="s">
        <v>162</v>
      </c>
      <c r="D4009" t="s">
        <v>48</v>
      </c>
      <c r="E4009" t="s">
        <v>74</v>
      </c>
      <c r="F4009" t="s">
        <v>34</v>
      </c>
      <c r="G4009" t="s">
        <v>107</v>
      </c>
      <c r="H4009" t="s">
        <v>27</v>
      </c>
      <c r="I4009" t="s">
        <v>37</v>
      </c>
      <c r="J4009" t="s">
        <v>87</v>
      </c>
      <c r="K4009">
        <v>10322</v>
      </c>
      <c r="L4009">
        <v>227</v>
      </c>
      <c r="M4009">
        <v>207.98</v>
      </c>
      <c r="N4009">
        <v>10</v>
      </c>
      <c r="O4009">
        <v>1380.98</v>
      </c>
      <c r="P4009">
        <f t="shared" si="248"/>
        <v>2.1991862042239876E-2</v>
      </c>
      <c r="Q4009">
        <f t="shared" si="248"/>
        <v>0.91621145374449331</v>
      </c>
      <c r="R4009">
        <f t="shared" si="249"/>
        <v>20.797999999999998</v>
      </c>
      <c r="S4009">
        <f t="shared" si="250"/>
        <v>6.6399653812866628</v>
      </c>
      <c r="T4009">
        <f t="shared" si="251"/>
        <v>4.405286343612335E-2</v>
      </c>
      <c r="U4009" t="str">
        <f>YEAR('Campaign Data'!$A4009)&amp;"-"&amp;TEXT(MONTH('Campaign Data'!$A4009),"00")</f>
        <v>2026-08</v>
      </c>
    </row>
    <row r="4010" spans="1:21" x14ac:dyDescent="0.25">
      <c r="A4010">
        <v>46241</v>
      </c>
      <c r="B4010" t="s">
        <v>141</v>
      </c>
      <c r="C4010" t="s">
        <v>142</v>
      </c>
      <c r="D4010" t="s">
        <v>80</v>
      </c>
      <c r="E4010" t="s">
        <v>49</v>
      </c>
      <c r="F4010" t="s">
        <v>81</v>
      </c>
      <c r="G4010" t="s">
        <v>97</v>
      </c>
      <c r="H4010" t="s">
        <v>27</v>
      </c>
      <c r="I4010" t="s">
        <v>28</v>
      </c>
      <c r="J4010" t="s">
        <v>29</v>
      </c>
      <c r="K4010">
        <v>4601</v>
      </c>
      <c r="L4010">
        <v>226</v>
      </c>
      <c r="M4010">
        <v>607.28</v>
      </c>
      <c r="N4010">
        <v>18</v>
      </c>
      <c r="O4010">
        <v>266.47000000000003</v>
      </c>
      <c r="P4010">
        <f t="shared" si="248"/>
        <v>4.9119756574657683E-2</v>
      </c>
      <c r="Q4010">
        <f t="shared" si="248"/>
        <v>2.6870796460176991</v>
      </c>
      <c r="R4010">
        <f t="shared" si="249"/>
        <v>33.737777777777779</v>
      </c>
      <c r="S4010">
        <f t="shared" si="250"/>
        <v>0.43879264918983013</v>
      </c>
      <c r="T4010">
        <f t="shared" si="251"/>
        <v>7.9646017699115043E-2</v>
      </c>
      <c r="U4010" t="str">
        <f>YEAR('Campaign Data'!$A4010)&amp;"-"&amp;TEXT(MONTH('Campaign Data'!$A4010),"00")</f>
        <v>2026-08</v>
      </c>
    </row>
    <row r="4011" spans="1:21" x14ac:dyDescent="0.25">
      <c r="A4011">
        <v>46241</v>
      </c>
      <c r="B4011" t="s">
        <v>141</v>
      </c>
      <c r="C4011" t="s">
        <v>142</v>
      </c>
      <c r="D4011" t="s">
        <v>80</v>
      </c>
      <c r="E4011" t="s">
        <v>49</v>
      </c>
      <c r="F4011" t="s">
        <v>81</v>
      </c>
      <c r="G4011" t="s">
        <v>97</v>
      </c>
      <c r="H4011" t="s">
        <v>55</v>
      </c>
      <c r="I4011" t="s">
        <v>28</v>
      </c>
      <c r="J4011" t="s">
        <v>29</v>
      </c>
      <c r="K4011">
        <v>10530</v>
      </c>
      <c r="L4011">
        <v>633</v>
      </c>
      <c r="M4011">
        <v>1259.1099999999999</v>
      </c>
      <c r="N4011">
        <v>23</v>
      </c>
      <c r="O4011">
        <v>485.16</v>
      </c>
      <c r="P4011">
        <f t="shared" si="248"/>
        <v>6.0113960113960113E-2</v>
      </c>
      <c r="Q4011">
        <f t="shared" si="248"/>
        <v>1.9891153238546602</v>
      </c>
      <c r="R4011">
        <f t="shared" si="249"/>
        <v>54.743913043478258</v>
      </c>
      <c r="S4011">
        <f t="shared" si="250"/>
        <v>0.3853197893750348</v>
      </c>
      <c r="T4011">
        <f t="shared" si="251"/>
        <v>3.6334913112164295E-2</v>
      </c>
      <c r="U4011" t="str">
        <f>YEAR('Campaign Data'!$A4011)&amp;"-"&amp;TEXT(MONTH('Campaign Data'!$A4011),"00")</f>
        <v>2026-08</v>
      </c>
    </row>
    <row r="4012" spans="1:21" x14ac:dyDescent="0.25">
      <c r="A4012">
        <v>46241</v>
      </c>
      <c r="B4012" t="s">
        <v>141</v>
      </c>
      <c r="C4012" t="s">
        <v>142</v>
      </c>
      <c r="D4012" t="s">
        <v>80</v>
      </c>
      <c r="E4012" t="s">
        <v>49</v>
      </c>
      <c r="F4012" t="s">
        <v>81</v>
      </c>
      <c r="G4012" t="s">
        <v>97</v>
      </c>
      <c r="H4012" t="s">
        <v>36</v>
      </c>
      <c r="I4012" t="s">
        <v>28</v>
      </c>
      <c r="J4012" t="s">
        <v>29</v>
      </c>
      <c r="K4012">
        <v>8183</v>
      </c>
      <c r="L4012">
        <v>454</v>
      </c>
      <c r="M4012">
        <v>788.04</v>
      </c>
      <c r="N4012">
        <v>16</v>
      </c>
      <c r="O4012">
        <v>335.33</v>
      </c>
      <c r="P4012">
        <f t="shared" si="248"/>
        <v>5.5480874984724426E-2</v>
      </c>
      <c r="Q4012">
        <f t="shared" si="248"/>
        <v>1.7357709251101321</v>
      </c>
      <c r="R4012">
        <f t="shared" si="249"/>
        <v>49.252499999999998</v>
      </c>
      <c r="S4012">
        <f t="shared" si="250"/>
        <v>0.42552408507182377</v>
      </c>
      <c r="T4012">
        <f t="shared" si="251"/>
        <v>3.5242290748898682E-2</v>
      </c>
      <c r="U4012" t="str">
        <f>YEAR('Campaign Data'!$A4012)&amp;"-"&amp;TEXT(MONTH('Campaign Data'!$A4012),"00")</f>
        <v>2026-08</v>
      </c>
    </row>
    <row r="4013" spans="1:21" x14ac:dyDescent="0.25">
      <c r="A4013">
        <v>46241</v>
      </c>
      <c r="B4013" t="s">
        <v>163</v>
      </c>
      <c r="C4013" t="s">
        <v>164</v>
      </c>
      <c r="D4013" t="s">
        <v>58</v>
      </c>
      <c r="E4013" t="s">
        <v>42</v>
      </c>
      <c r="F4013" t="s">
        <v>43</v>
      </c>
      <c r="G4013" t="s">
        <v>44</v>
      </c>
      <c r="H4013" t="s">
        <v>36</v>
      </c>
      <c r="I4013" t="s">
        <v>37</v>
      </c>
      <c r="J4013" t="s">
        <v>29</v>
      </c>
      <c r="K4013">
        <v>10116</v>
      </c>
      <c r="L4013">
        <v>75</v>
      </c>
      <c r="M4013">
        <v>407.11</v>
      </c>
      <c r="N4013">
        <v>3</v>
      </c>
      <c r="O4013">
        <v>73.62</v>
      </c>
      <c r="P4013">
        <f t="shared" si="248"/>
        <v>7.4139976275207596E-3</v>
      </c>
      <c r="Q4013">
        <f t="shared" si="248"/>
        <v>5.4281333333333333</v>
      </c>
      <c r="R4013">
        <f t="shared" si="249"/>
        <v>135.70333333333335</v>
      </c>
      <c r="S4013">
        <f t="shared" si="250"/>
        <v>0.18083564638549779</v>
      </c>
      <c r="T4013">
        <f t="shared" si="251"/>
        <v>0.04</v>
      </c>
      <c r="U4013" t="str">
        <f>YEAR('Campaign Data'!$A4013)&amp;"-"&amp;TEXT(MONTH('Campaign Data'!$A4013),"00")</f>
        <v>2026-08</v>
      </c>
    </row>
    <row r="4014" spans="1:21" x14ac:dyDescent="0.25">
      <c r="A4014">
        <v>46241</v>
      </c>
      <c r="B4014" t="s">
        <v>163</v>
      </c>
      <c r="C4014" t="s">
        <v>164</v>
      </c>
      <c r="D4014" t="s">
        <v>58</v>
      </c>
      <c r="E4014" t="s">
        <v>42</v>
      </c>
      <c r="F4014" t="s">
        <v>43</v>
      </c>
      <c r="G4014" t="s">
        <v>44</v>
      </c>
      <c r="H4014" t="s">
        <v>90</v>
      </c>
      <c r="I4014" t="s">
        <v>28</v>
      </c>
      <c r="J4014" t="s">
        <v>87</v>
      </c>
      <c r="K4014">
        <v>10742</v>
      </c>
      <c r="L4014">
        <v>69</v>
      </c>
      <c r="M4014">
        <v>84.51</v>
      </c>
      <c r="N4014">
        <v>1</v>
      </c>
      <c r="O4014">
        <v>5.48</v>
      </c>
      <c r="P4014">
        <f t="shared" si="248"/>
        <v>6.4233848445354683E-3</v>
      </c>
      <c r="Q4014">
        <f t="shared" si="248"/>
        <v>1.2247826086956521</v>
      </c>
      <c r="R4014">
        <f t="shared" si="249"/>
        <v>84.51</v>
      </c>
      <c r="S4014">
        <f t="shared" si="250"/>
        <v>6.4844397112767724E-2</v>
      </c>
      <c r="T4014">
        <f t="shared" si="251"/>
        <v>1.4492753623188406E-2</v>
      </c>
      <c r="U4014" t="str">
        <f>YEAR('Campaign Data'!$A4014)&amp;"-"&amp;TEXT(MONTH('Campaign Data'!$A4014),"00")</f>
        <v>2026-08</v>
      </c>
    </row>
    <row r="4015" spans="1:21" x14ac:dyDescent="0.25">
      <c r="A4015">
        <v>46241</v>
      </c>
      <c r="B4015" t="s">
        <v>145</v>
      </c>
      <c r="C4015" t="s">
        <v>146</v>
      </c>
      <c r="D4015" t="s">
        <v>41</v>
      </c>
      <c r="E4015" t="s">
        <v>49</v>
      </c>
      <c r="F4015" t="s">
        <v>75</v>
      </c>
      <c r="G4015" t="s">
        <v>70</v>
      </c>
      <c r="H4015" t="s">
        <v>27</v>
      </c>
      <c r="I4015" t="s">
        <v>28</v>
      </c>
      <c r="J4015" t="s">
        <v>38</v>
      </c>
      <c r="K4015">
        <v>6801</v>
      </c>
      <c r="L4015">
        <v>366</v>
      </c>
      <c r="M4015">
        <v>743.04</v>
      </c>
      <c r="N4015">
        <v>26</v>
      </c>
      <c r="O4015">
        <v>1710.96</v>
      </c>
      <c r="P4015">
        <f t="shared" si="248"/>
        <v>5.3815615350683722E-2</v>
      </c>
      <c r="Q4015">
        <f t="shared" si="248"/>
        <v>2.0301639344262292</v>
      </c>
      <c r="R4015">
        <f t="shared" si="249"/>
        <v>28.578461538461536</v>
      </c>
      <c r="S4015">
        <f t="shared" si="250"/>
        <v>2.3026485788113695</v>
      </c>
      <c r="T4015">
        <f t="shared" si="251"/>
        <v>7.1038251366120214E-2</v>
      </c>
      <c r="U4015" t="str">
        <f>YEAR('Campaign Data'!$A4015)&amp;"-"&amp;TEXT(MONTH('Campaign Data'!$A4015),"00")</f>
        <v>2026-08</v>
      </c>
    </row>
    <row r="4016" spans="1:21" x14ac:dyDescent="0.25">
      <c r="A4016">
        <v>46241</v>
      </c>
      <c r="B4016" t="s">
        <v>76</v>
      </c>
      <c r="C4016" t="s">
        <v>77</v>
      </c>
      <c r="D4016" t="s">
        <v>65</v>
      </c>
      <c r="E4016" t="s">
        <v>42</v>
      </c>
      <c r="F4016" t="s">
        <v>43</v>
      </c>
      <c r="G4016" t="s">
        <v>44</v>
      </c>
      <c r="H4016" t="s">
        <v>27</v>
      </c>
      <c r="I4016" t="s">
        <v>37</v>
      </c>
      <c r="J4016" t="s">
        <v>87</v>
      </c>
      <c r="K4016">
        <v>2789</v>
      </c>
      <c r="L4016">
        <v>16</v>
      </c>
      <c r="M4016">
        <v>122.75</v>
      </c>
      <c r="N4016">
        <v>1</v>
      </c>
      <c r="O4016">
        <v>20.260000000000002</v>
      </c>
      <c r="P4016">
        <f t="shared" si="248"/>
        <v>5.7368232341340987E-3</v>
      </c>
      <c r="Q4016">
        <f t="shared" si="248"/>
        <v>7.671875</v>
      </c>
      <c r="R4016">
        <f t="shared" si="249"/>
        <v>122.75</v>
      </c>
      <c r="S4016">
        <f t="shared" si="250"/>
        <v>0.16505091649694503</v>
      </c>
      <c r="T4016">
        <f t="shared" si="251"/>
        <v>6.25E-2</v>
      </c>
      <c r="U4016" t="str">
        <f>YEAR('Campaign Data'!$A4016)&amp;"-"&amp;TEXT(MONTH('Campaign Data'!$A4016),"00")</f>
        <v>2026-08</v>
      </c>
    </row>
    <row r="4017" spans="1:21" x14ac:dyDescent="0.25">
      <c r="A4017">
        <v>46242</v>
      </c>
      <c r="B4017" t="s">
        <v>173</v>
      </c>
      <c r="C4017" t="s">
        <v>174</v>
      </c>
      <c r="D4017" t="s">
        <v>48</v>
      </c>
      <c r="E4017" t="s">
        <v>74</v>
      </c>
      <c r="F4017" t="s">
        <v>25</v>
      </c>
      <c r="G4017" t="s">
        <v>9</v>
      </c>
      <c r="H4017" t="s">
        <v>51</v>
      </c>
      <c r="I4017" t="s">
        <v>37</v>
      </c>
      <c r="J4017" t="s">
        <v>38</v>
      </c>
      <c r="K4017">
        <v>1812</v>
      </c>
      <c r="L4017">
        <v>69</v>
      </c>
      <c r="M4017">
        <v>66.27</v>
      </c>
      <c r="N4017">
        <v>2</v>
      </c>
      <c r="O4017">
        <v>227.71</v>
      </c>
      <c r="P4017">
        <f t="shared" si="248"/>
        <v>3.8079470198675497E-2</v>
      </c>
      <c r="Q4017">
        <f t="shared" si="248"/>
        <v>0.96043478260869564</v>
      </c>
      <c r="R4017">
        <f t="shared" si="249"/>
        <v>33.134999999999998</v>
      </c>
      <c r="S4017">
        <f t="shared" si="250"/>
        <v>3.4360947638448773</v>
      </c>
      <c r="T4017">
        <f t="shared" si="251"/>
        <v>2.8985507246376812E-2</v>
      </c>
      <c r="U4017" t="str">
        <f>YEAR('Campaign Data'!$A4017)&amp;"-"&amp;TEXT(MONTH('Campaign Data'!$A4017),"00")</f>
        <v>2026-08</v>
      </c>
    </row>
    <row r="4018" spans="1:21" x14ac:dyDescent="0.25">
      <c r="A4018">
        <v>46242</v>
      </c>
      <c r="B4018" t="s">
        <v>138</v>
      </c>
      <c r="C4018" t="s">
        <v>139</v>
      </c>
      <c r="D4018" t="s">
        <v>58</v>
      </c>
      <c r="E4018" t="s">
        <v>74</v>
      </c>
      <c r="F4018" t="s">
        <v>34</v>
      </c>
      <c r="G4018" t="s">
        <v>9</v>
      </c>
      <c r="H4018" t="s">
        <v>90</v>
      </c>
      <c r="I4018" t="s">
        <v>28</v>
      </c>
      <c r="J4018" t="s">
        <v>87</v>
      </c>
      <c r="K4018">
        <v>2099</v>
      </c>
      <c r="L4018">
        <v>28</v>
      </c>
      <c r="M4018">
        <v>10.14</v>
      </c>
      <c r="N4018">
        <v>0</v>
      </c>
      <c r="O4018">
        <v>0</v>
      </c>
      <c r="P4018">
        <f t="shared" si="248"/>
        <v>1.3339685564554549E-2</v>
      </c>
      <c r="Q4018">
        <f t="shared" si="248"/>
        <v>0.36214285714285716</v>
      </c>
      <c r="R4018">
        <f t="shared" si="249"/>
        <v>0</v>
      </c>
      <c r="S4018">
        <f t="shared" si="250"/>
        <v>0</v>
      </c>
      <c r="T4018">
        <f t="shared" si="251"/>
        <v>0</v>
      </c>
      <c r="U4018" t="str">
        <f>YEAR('Campaign Data'!$A4018)&amp;"-"&amp;TEXT(MONTH('Campaign Data'!$A4018),"00")</f>
        <v>2026-08</v>
      </c>
    </row>
    <row r="4019" spans="1:21" x14ac:dyDescent="0.25">
      <c r="A4019">
        <v>46242</v>
      </c>
      <c r="B4019" t="s">
        <v>103</v>
      </c>
      <c r="C4019" t="s">
        <v>104</v>
      </c>
      <c r="D4019" t="s">
        <v>65</v>
      </c>
      <c r="E4019" t="s">
        <v>33</v>
      </c>
      <c r="F4019" t="s">
        <v>43</v>
      </c>
      <c r="G4019" t="s">
        <v>102</v>
      </c>
      <c r="H4019" t="s">
        <v>90</v>
      </c>
      <c r="I4019" t="s">
        <v>61</v>
      </c>
      <c r="J4019" t="s">
        <v>29</v>
      </c>
      <c r="K4019">
        <v>5601</v>
      </c>
      <c r="L4019">
        <v>60</v>
      </c>
      <c r="M4019">
        <v>9.6199999999999992</v>
      </c>
      <c r="N4019">
        <v>1</v>
      </c>
      <c r="O4019">
        <v>5</v>
      </c>
      <c r="P4019">
        <f t="shared" si="248"/>
        <v>1.0712372790573112E-2</v>
      </c>
      <c r="Q4019">
        <f t="shared" si="248"/>
        <v>0.16033333333333333</v>
      </c>
      <c r="R4019">
        <f t="shared" si="249"/>
        <v>9.6199999999999992</v>
      </c>
      <c r="S4019">
        <f t="shared" si="250"/>
        <v>0.51975051975051978</v>
      </c>
      <c r="T4019">
        <f t="shared" si="251"/>
        <v>1.6666666666666666E-2</v>
      </c>
      <c r="U4019" t="str">
        <f>YEAR('Campaign Data'!$A4019)&amp;"-"&amp;TEXT(MONTH('Campaign Data'!$A4019),"00")</f>
        <v>2026-08</v>
      </c>
    </row>
    <row r="4020" spans="1:21" x14ac:dyDescent="0.25">
      <c r="A4020">
        <v>46242</v>
      </c>
      <c r="B4020" t="s">
        <v>103</v>
      </c>
      <c r="C4020" t="s">
        <v>104</v>
      </c>
      <c r="D4020" t="s">
        <v>65</v>
      </c>
      <c r="E4020" t="s">
        <v>33</v>
      </c>
      <c r="F4020" t="s">
        <v>43</v>
      </c>
      <c r="G4020" t="s">
        <v>102</v>
      </c>
      <c r="H4020" t="s">
        <v>90</v>
      </c>
      <c r="I4020" t="s">
        <v>61</v>
      </c>
      <c r="J4020" t="s">
        <v>38</v>
      </c>
      <c r="K4020">
        <v>5780</v>
      </c>
      <c r="L4020">
        <v>49</v>
      </c>
      <c r="M4020">
        <v>6.77</v>
      </c>
      <c r="N4020">
        <v>1</v>
      </c>
      <c r="O4020">
        <v>6.21</v>
      </c>
      <c r="P4020">
        <f t="shared" si="248"/>
        <v>8.4775086505190309E-3</v>
      </c>
      <c r="Q4020">
        <f t="shared" si="248"/>
        <v>0.13816326530612244</v>
      </c>
      <c r="R4020">
        <f t="shared" si="249"/>
        <v>6.77</v>
      </c>
      <c r="S4020">
        <f t="shared" si="250"/>
        <v>0.9172821270310193</v>
      </c>
      <c r="T4020">
        <f t="shared" si="251"/>
        <v>2.0408163265306121E-2</v>
      </c>
      <c r="U4020" t="str">
        <f>YEAR('Campaign Data'!$A4020)&amp;"-"&amp;TEXT(MONTH('Campaign Data'!$A4020),"00")</f>
        <v>2026-08</v>
      </c>
    </row>
    <row r="4021" spans="1:21" x14ac:dyDescent="0.25">
      <c r="A4021">
        <v>46242</v>
      </c>
      <c r="B4021" t="s">
        <v>108</v>
      </c>
      <c r="C4021" t="s">
        <v>109</v>
      </c>
      <c r="D4021" t="s">
        <v>58</v>
      </c>
      <c r="E4021" t="s">
        <v>33</v>
      </c>
      <c r="F4021" t="s">
        <v>43</v>
      </c>
      <c r="G4021" t="s">
        <v>59</v>
      </c>
      <c r="H4021" t="s">
        <v>51</v>
      </c>
      <c r="I4021" t="s">
        <v>37</v>
      </c>
      <c r="J4021" t="s">
        <v>45</v>
      </c>
      <c r="K4021">
        <v>7556</v>
      </c>
      <c r="L4021">
        <v>64</v>
      </c>
      <c r="M4021">
        <v>44.29</v>
      </c>
      <c r="N4021">
        <v>0</v>
      </c>
      <c r="O4021">
        <v>0</v>
      </c>
      <c r="P4021">
        <f t="shared" si="248"/>
        <v>8.4700899947061942E-3</v>
      </c>
      <c r="Q4021">
        <f t="shared" si="248"/>
        <v>0.69203124999999999</v>
      </c>
      <c r="R4021">
        <f t="shared" si="249"/>
        <v>0</v>
      </c>
      <c r="S4021">
        <f t="shared" si="250"/>
        <v>0</v>
      </c>
      <c r="T4021">
        <f t="shared" si="251"/>
        <v>0</v>
      </c>
      <c r="U4021" t="str">
        <f>YEAR('Campaign Data'!$A4021)&amp;"-"&amp;TEXT(MONTH('Campaign Data'!$A4021),"00")</f>
        <v>2026-08</v>
      </c>
    </row>
    <row r="4022" spans="1:21" x14ac:dyDescent="0.25">
      <c r="A4022">
        <v>46242</v>
      </c>
      <c r="B4022" t="s">
        <v>108</v>
      </c>
      <c r="C4022" t="s">
        <v>109</v>
      </c>
      <c r="D4022" t="s">
        <v>58</v>
      </c>
      <c r="E4022" t="s">
        <v>33</v>
      </c>
      <c r="F4022" t="s">
        <v>43</v>
      </c>
      <c r="G4022" t="s">
        <v>59</v>
      </c>
      <c r="H4022" t="s">
        <v>90</v>
      </c>
      <c r="I4022" t="s">
        <v>37</v>
      </c>
      <c r="J4022" t="s">
        <v>38</v>
      </c>
      <c r="K4022">
        <v>6171</v>
      </c>
      <c r="L4022">
        <v>45</v>
      </c>
      <c r="M4022">
        <v>6.84</v>
      </c>
      <c r="N4022">
        <v>0</v>
      </c>
      <c r="O4022">
        <v>0</v>
      </c>
      <c r="P4022">
        <f t="shared" si="248"/>
        <v>7.2921730675741371E-3</v>
      </c>
      <c r="Q4022">
        <f t="shared" si="248"/>
        <v>0.152</v>
      </c>
      <c r="R4022">
        <f t="shared" si="249"/>
        <v>0</v>
      </c>
      <c r="S4022">
        <f t="shared" si="250"/>
        <v>0</v>
      </c>
      <c r="T4022">
        <f t="shared" si="251"/>
        <v>0</v>
      </c>
      <c r="U4022" t="str">
        <f>YEAR('Campaign Data'!$A4022)&amp;"-"&amp;TEXT(MONTH('Campaign Data'!$A4022),"00")</f>
        <v>2026-08</v>
      </c>
    </row>
    <row r="4023" spans="1:21" x14ac:dyDescent="0.25">
      <c r="A4023">
        <v>46242</v>
      </c>
      <c r="B4023" t="s">
        <v>130</v>
      </c>
      <c r="C4023" t="s">
        <v>131</v>
      </c>
      <c r="D4023" t="s">
        <v>48</v>
      </c>
      <c r="E4023" t="s">
        <v>33</v>
      </c>
      <c r="F4023" t="s">
        <v>34</v>
      </c>
      <c r="G4023" t="s">
        <v>35</v>
      </c>
      <c r="H4023" t="s">
        <v>27</v>
      </c>
      <c r="I4023" t="s">
        <v>28</v>
      </c>
      <c r="J4023" t="s">
        <v>62</v>
      </c>
      <c r="K4023">
        <v>4354</v>
      </c>
      <c r="L4023">
        <v>49</v>
      </c>
      <c r="M4023">
        <v>49.43</v>
      </c>
      <c r="N4023">
        <v>0</v>
      </c>
      <c r="O4023">
        <v>0</v>
      </c>
      <c r="P4023">
        <f t="shared" si="248"/>
        <v>1.1254019292604502E-2</v>
      </c>
      <c r="Q4023">
        <f t="shared" si="248"/>
        <v>1.0087755102040816</v>
      </c>
      <c r="R4023">
        <f t="shared" si="249"/>
        <v>0</v>
      </c>
      <c r="S4023">
        <f t="shared" si="250"/>
        <v>0</v>
      </c>
      <c r="T4023">
        <f t="shared" si="251"/>
        <v>0</v>
      </c>
      <c r="U4023" t="str">
        <f>YEAR('Campaign Data'!$A4023)&amp;"-"&amp;TEXT(MONTH('Campaign Data'!$A4023),"00")</f>
        <v>2026-08</v>
      </c>
    </row>
    <row r="4024" spans="1:21" x14ac:dyDescent="0.25">
      <c r="A4024">
        <v>46242</v>
      </c>
      <c r="B4024" t="s">
        <v>130</v>
      </c>
      <c r="C4024" t="s">
        <v>131</v>
      </c>
      <c r="D4024" t="s">
        <v>48</v>
      </c>
      <c r="E4024" t="s">
        <v>33</v>
      </c>
      <c r="F4024" t="s">
        <v>34</v>
      </c>
      <c r="G4024" t="s">
        <v>35</v>
      </c>
      <c r="H4024" t="s">
        <v>71</v>
      </c>
      <c r="I4024" t="s">
        <v>37</v>
      </c>
      <c r="J4024" t="s">
        <v>29</v>
      </c>
      <c r="K4024">
        <v>3640</v>
      </c>
      <c r="L4024">
        <v>21</v>
      </c>
      <c r="M4024">
        <v>10.58</v>
      </c>
      <c r="N4024">
        <v>0</v>
      </c>
      <c r="O4024">
        <v>0</v>
      </c>
      <c r="P4024">
        <f t="shared" si="248"/>
        <v>5.7692307692307696E-3</v>
      </c>
      <c r="Q4024">
        <f t="shared" si="248"/>
        <v>0.50380952380952382</v>
      </c>
      <c r="R4024">
        <f t="shared" si="249"/>
        <v>0</v>
      </c>
      <c r="S4024">
        <f t="shared" si="250"/>
        <v>0</v>
      </c>
      <c r="T4024">
        <f t="shared" si="251"/>
        <v>0</v>
      </c>
      <c r="U4024" t="str">
        <f>YEAR('Campaign Data'!$A4024)&amp;"-"&amp;TEXT(MONTH('Campaign Data'!$A4024),"00")</f>
        <v>2026-08</v>
      </c>
    </row>
    <row r="4025" spans="1:21" x14ac:dyDescent="0.25">
      <c r="A4025">
        <v>46242</v>
      </c>
      <c r="B4025" t="s">
        <v>132</v>
      </c>
      <c r="C4025" t="s">
        <v>133</v>
      </c>
      <c r="D4025" t="s">
        <v>23</v>
      </c>
      <c r="E4025" t="s">
        <v>42</v>
      </c>
      <c r="F4025" t="s">
        <v>75</v>
      </c>
      <c r="G4025" t="s">
        <v>84</v>
      </c>
      <c r="H4025" t="s">
        <v>27</v>
      </c>
      <c r="I4025" t="s">
        <v>37</v>
      </c>
      <c r="J4025" t="s">
        <v>87</v>
      </c>
      <c r="K4025">
        <v>5666</v>
      </c>
      <c r="L4025">
        <v>45</v>
      </c>
      <c r="M4025">
        <v>377.83</v>
      </c>
      <c r="N4025">
        <v>3</v>
      </c>
      <c r="O4025">
        <v>79.81</v>
      </c>
      <c r="P4025">
        <f t="shared" si="248"/>
        <v>7.9421108365690073E-3</v>
      </c>
      <c r="Q4025">
        <f t="shared" si="248"/>
        <v>8.3962222222222227</v>
      </c>
      <c r="R4025">
        <f t="shared" si="249"/>
        <v>125.94333333333333</v>
      </c>
      <c r="S4025">
        <f t="shared" si="250"/>
        <v>0.21123256491014478</v>
      </c>
      <c r="T4025">
        <f t="shared" si="251"/>
        <v>6.6666666666666666E-2</v>
      </c>
      <c r="U4025" t="str">
        <f>YEAR('Campaign Data'!$A4025)&amp;"-"&amp;TEXT(MONTH('Campaign Data'!$A4025),"00")</f>
        <v>2026-08</v>
      </c>
    </row>
    <row r="4026" spans="1:21" x14ac:dyDescent="0.25">
      <c r="A4026">
        <v>46242</v>
      </c>
      <c r="B4026" t="s">
        <v>134</v>
      </c>
      <c r="C4026" t="s">
        <v>135</v>
      </c>
      <c r="D4026" t="s">
        <v>32</v>
      </c>
      <c r="E4026" t="s">
        <v>74</v>
      </c>
      <c r="F4026" t="s">
        <v>25</v>
      </c>
      <c r="G4026" t="s">
        <v>107</v>
      </c>
      <c r="H4026" t="s">
        <v>51</v>
      </c>
      <c r="I4026" t="s">
        <v>37</v>
      </c>
      <c r="J4026" t="s">
        <v>87</v>
      </c>
      <c r="K4026">
        <v>14729</v>
      </c>
      <c r="L4026">
        <v>318</v>
      </c>
      <c r="M4026">
        <v>468.23</v>
      </c>
      <c r="N4026">
        <v>5</v>
      </c>
      <c r="O4026">
        <v>623.42999999999995</v>
      </c>
      <c r="P4026">
        <f t="shared" si="248"/>
        <v>2.1590060425011881E-2</v>
      </c>
      <c r="Q4026">
        <f t="shared" si="248"/>
        <v>1.4724213836477988</v>
      </c>
      <c r="R4026">
        <f t="shared" si="249"/>
        <v>93.646000000000001</v>
      </c>
      <c r="S4026">
        <f t="shared" si="250"/>
        <v>1.3314610341071693</v>
      </c>
      <c r="T4026">
        <f t="shared" si="251"/>
        <v>1.5723270440251572E-2</v>
      </c>
      <c r="U4026" t="str">
        <f>YEAR('Campaign Data'!$A4026)&amp;"-"&amp;TEXT(MONTH('Campaign Data'!$A4026),"00")</f>
        <v>2026-08</v>
      </c>
    </row>
    <row r="4027" spans="1:21" x14ac:dyDescent="0.25">
      <c r="A4027">
        <v>46242</v>
      </c>
      <c r="B4027" t="s">
        <v>112</v>
      </c>
      <c r="C4027" t="s">
        <v>113</v>
      </c>
      <c r="D4027" t="s">
        <v>32</v>
      </c>
      <c r="E4027" t="s">
        <v>24</v>
      </c>
      <c r="F4027" t="s">
        <v>75</v>
      </c>
      <c r="G4027" t="s">
        <v>66</v>
      </c>
      <c r="H4027" t="s">
        <v>27</v>
      </c>
      <c r="I4027" t="s">
        <v>37</v>
      </c>
      <c r="J4027" t="s">
        <v>38</v>
      </c>
      <c r="K4027">
        <v>7290</v>
      </c>
      <c r="L4027">
        <v>77</v>
      </c>
      <c r="M4027">
        <v>91.85</v>
      </c>
      <c r="N4027">
        <v>2</v>
      </c>
      <c r="O4027">
        <v>69.34</v>
      </c>
      <c r="P4027">
        <f t="shared" si="248"/>
        <v>1.0562414266117971E-2</v>
      </c>
      <c r="Q4027">
        <f t="shared" si="248"/>
        <v>1.1928571428571428</v>
      </c>
      <c r="R4027">
        <f t="shared" si="249"/>
        <v>45.924999999999997</v>
      </c>
      <c r="S4027">
        <f t="shared" si="250"/>
        <v>0.75492651061513349</v>
      </c>
      <c r="T4027">
        <f t="shared" si="251"/>
        <v>2.5974025974025976E-2</v>
      </c>
      <c r="U4027" t="str">
        <f>YEAR('Campaign Data'!$A4027)&amp;"-"&amp;TEXT(MONTH('Campaign Data'!$A4027),"00")</f>
        <v>2026-08</v>
      </c>
    </row>
    <row r="4028" spans="1:21" x14ac:dyDescent="0.25">
      <c r="A4028">
        <v>46242</v>
      </c>
      <c r="B4028" t="s">
        <v>181</v>
      </c>
      <c r="C4028" t="s">
        <v>182</v>
      </c>
      <c r="D4028" t="s">
        <v>32</v>
      </c>
      <c r="E4028" t="s">
        <v>33</v>
      </c>
      <c r="F4028" t="s">
        <v>75</v>
      </c>
      <c r="G4028" t="s">
        <v>59</v>
      </c>
      <c r="H4028" t="s">
        <v>36</v>
      </c>
      <c r="I4028" t="s">
        <v>37</v>
      </c>
      <c r="J4028" t="s">
        <v>62</v>
      </c>
      <c r="K4028">
        <v>3947</v>
      </c>
      <c r="L4028">
        <v>52</v>
      </c>
      <c r="M4028">
        <v>33.76</v>
      </c>
      <c r="N4028">
        <v>1</v>
      </c>
      <c r="O4028">
        <v>35.28</v>
      </c>
      <c r="P4028">
        <f t="shared" si="248"/>
        <v>1.3174562959209527E-2</v>
      </c>
      <c r="Q4028">
        <f t="shared" si="248"/>
        <v>0.64923076923076917</v>
      </c>
      <c r="R4028">
        <f t="shared" si="249"/>
        <v>33.76</v>
      </c>
      <c r="S4028">
        <f t="shared" si="250"/>
        <v>1.0450236966824646</v>
      </c>
      <c r="T4028">
        <f t="shared" si="251"/>
        <v>1.9230769230769232E-2</v>
      </c>
      <c r="U4028" t="str">
        <f>YEAR('Campaign Data'!$A4028)&amp;"-"&amp;TEXT(MONTH('Campaign Data'!$A4028),"00")</f>
        <v>2026-08</v>
      </c>
    </row>
    <row r="4029" spans="1:21" x14ac:dyDescent="0.25">
      <c r="A4029">
        <v>46242</v>
      </c>
      <c r="B4029" t="s">
        <v>143</v>
      </c>
      <c r="C4029" t="s">
        <v>144</v>
      </c>
      <c r="D4029" t="s">
        <v>48</v>
      </c>
      <c r="E4029" t="s">
        <v>42</v>
      </c>
      <c r="F4029" t="s">
        <v>25</v>
      </c>
      <c r="G4029" t="s">
        <v>84</v>
      </c>
      <c r="H4029" t="s">
        <v>90</v>
      </c>
      <c r="I4029" t="s">
        <v>37</v>
      </c>
      <c r="J4029" t="s">
        <v>62</v>
      </c>
      <c r="K4029">
        <v>2482</v>
      </c>
      <c r="L4029">
        <v>14</v>
      </c>
      <c r="M4029">
        <v>23.35</v>
      </c>
      <c r="N4029">
        <v>0</v>
      </c>
      <c r="O4029">
        <v>0</v>
      </c>
      <c r="P4029">
        <f t="shared" si="248"/>
        <v>5.6406124093473006E-3</v>
      </c>
      <c r="Q4029">
        <f t="shared" si="248"/>
        <v>1.6678571428571429</v>
      </c>
      <c r="R4029">
        <f t="shared" si="249"/>
        <v>0</v>
      </c>
      <c r="S4029">
        <f t="shared" si="250"/>
        <v>0</v>
      </c>
      <c r="T4029">
        <f t="shared" si="251"/>
        <v>0</v>
      </c>
      <c r="U4029" t="str">
        <f>YEAR('Campaign Data'!$A4029)&amp;"-"&amp;TEXT(MONTH('Campaign Data'!$A4029),"00")</f>
        <v>2026-08</v>
      </c>
    </row>
    <row r="4030" spans="1:21" x14ac:dyDescent="0.25">
      <c r="A4030">
        <v>46242</v>
      </c>
      <c r="B4030" t="s">
        <v>116</v>
      </c>
      <c r="C4030" t="s">
        <v>117</v>
      </c>
      <c r="D4030" t="s">
        <v>48</v>
      </c>
      <c r="E4030" t="s">
        <v>24</v>
      </c>
      <c r="F4030" t="s">
        <v>43</v>
      </c>
      <c r="G4030" t="s">
        <v>26</v>
      </c>
      <c r="H4030" t="s">
        <v>71</v>
      </c>
      <c r="I4030" t="s">
        <v>28</v>
      </c>
      <c r="J4030" t="s">
        <v>87</v>
      </c>
      <c r="K4030">
        <v>2901</v>
      </c>
      <c r="L4030">
        <v>32</v>
      </c>
      <c r="M4030">
        <v>30.11</v>
      </c>
      <c r="N4030">
        <v>2</v>
      </c>
      <c r="O4030">
        <v>32.74</v>
      </c>
      <c r="P4030">
        <f t="shared" si="248"/>
        <v>1.1030679076180628E-2</v>
      </c>
      <c r="Q4030">
        <f t="shared" si="248"/>
        <v>0.94093749999999998</v>
      </c>
      <c r="R4030">
        <f t="shared" si="249"/>
        <v>15.055</v>
      </c>
      <c r="S4030">
        <f t="shared" si="250"/>
        <v>1.0873463965459982</v>
      </c>
      <c r="T4030">
        <f t="shared" si="251"/>
        <v>6.25E-2</v>
      </c>
      <c r="U4030" t="str">
        <f>YEAR('Campaign Data'!$A4030)&amp;"-"&amp;TEXT(MONTH('Campaign Data'!$A4030),"00")</f>
        <v>2026-08</v>
      </c>
    </row>
    <row r="4031" spans="1:21" x14ac:dyDescent="0.25">
      <c r="A4031">
        <v>46242</v>
      </c>
      <c r="B4031" t="s">
        <v>76</v>
      </c>
      <c r="C4031" t="s">
        <v>77</v>
      </c>
      <c r="D4031" t="s">
        <v>65</v>
      </c>
      <c r="E4031" t="s">
        <v>42</v>
      </c>
      <c r="F4031" t="s">
        <v>43</v>
      </c>
      <c r="G4031" t="s">
        <v>44</v>
      </c>
      <c r="H4031" t="s">
        <v>27</v>
      </c>
      <c r="I4031" t="s">
        <v>37</v>
      </c>
      <c r="J4031" t="s">
        <v>87</v>
      </c>
      <c r="K4031">
        <v>3406</v>
      </c>
      <c r="L4031">
        <v>21</v>
      </c>
      <c r="M4031">
        <v>197.06</v>
      </c>
      <c r="N4031">
        <v>0</v>
      </c>
      <c r="O4031">
        <v>0</v>
      </c>
      <c r="P4031">
        <f t="shared" si="248"/>
        <v>6.1655901350557837E-3</v>
      </c>
      <c r="Q4031">
        <f t="shared" si="248"/>
        <v>9.3838095238095232</v>
      </c>
      <c r="R4031">
        <f t="shared" si="249"/>
        <v>0</v>
      </c>
      <c r="S4031">
        <f t="shared" si="250"/>
        <v>0</v>
      </c>
      <c r="T4031">
        <f t="shared" si="251"/>
        <v>0</v>
      </c>
      <c r="U4031" t="str">
        <f>YEAR('Campaign Data'!$A4031)&amp;"-"&amp;TEXT(MONTH('Campaign Data'!$A4031),"00")</f>
        <v>2026-08</v>
      </c>
    </row>
    <row r="4032" spans="1:21" x14ac:dyDescent="0.25">
      <c r="A4032">
        <v>46242</v>
      </c>
      <c r="B4032" t="s">
        <v>76</v>
      </c>
      <c r="C4032" t="s">
        <v>77</v>
      </c>
      <c r="D4032" t="s">
        <v>65</v>
      </c>
      <c r="E4032" t="s">
        <v>42</v>
      </c>
      <c r="F4032" t="s">
        <v>43</v>
      </c>
      <c r="G4032" t="s">
        <v>44</v>
      </c>
      <c r="H4032" t="s">
        <v>60</v>
      </c>
      <c r="I4032" t="s">
        <v>28</v>
      </c>
      <c r="J4032" t="s">
        <v>87</v>
      </c>
      <c r="K4032">
        <v>16922</v>
      </c>
      <c r="L4032">
        <v>45</v>
      </c>
      <c r="M4032">
        <v>242.46</v>
      </c>
      <c r="N4032">
        <v>0</v>
      </c>
      <c r="O4032">
        <v>0</v>
      </c>
      <c r="P4032">
        <f t="shared" si="248"/>
        <v>2.6592601347358467E-3</v>
      </c>
      <c r="Q4032">
        <f t="shared" si="248"/>
        <v>5.3879999999999999</v>
      </c>
      <c r="R4032">
        <f t="shared" si="249"/>
        <v>0</v>
      </c>
      <c r="S4032">
        <f t="shared" si="250"/>
        <v>0</v>
      </c>
      <c r="T4032">
        <f t="shared" si="251"/>
        <v>0</v>
      </c>
      <c r="U4032" t="str">
        <f>YEAR('Campaign Data'!$A4032)&amp;"-"&amp;TEXT(MONTH('Campaign Data'!$A4032),"00")</f>
        <v>2026-08</v>
      </c>
    </row>
    <row r="4033" spans="1:21" x14ac:dyDescent="0.25">
      <c r="A4033">
        <v>46242</v>
      </c>
      <c r="B4033" t="s">
        <v>122</v>
      </c>
      <c r="C4033" t="s">
        <v>123</v>
      </c>
      <c r="D4033" t="s">
        <v>41</v>
      </c>
      <c r="E4033" t="s">
        <v>33</v>
      </c>
      <c r="F4033" t="s">
        <v>75</v>
      </c>
      <c r="G4033" t="s">
        <v>35</v>
      </c>
      <c r="H4033" t="s">
        <v>55</v>
      </c>
      <c r="I4033" t="s">
        <v>37</v>
      </c>
      <c r="J4033" t="s">
        <v>87</v>
      </c>
      <c r="K4033">
        <v>2217</v>
      </c>
      <c r="L4033">
        <v>34</v>
      </c>
      <c r="M4033">
        <v>16.23</v>
      </c>
      <c r="N4033">
        <v>0</v>
      </c>
      <c r="O4033">
        <v>0</v>
      </c>
      <c r="P4033">
        <f t="shared" si="248"/>
        <v>1.5336039693279206E-2</v>
      </c>
      <c r="Q4033">
        <f t="shared" si="248"/>
        <v>0.47735294117647059</v>
      </c>
      <c r="R4033">
        <f t="shared" si="249"/>
        <v>0</v>
      </c>
      <c r="S4033">
        <f t="shared" si="250"/>
        <v>0</v>
      </c>
      <c r="T4033">
        <f t="shared" si="251"/>
        <v>0</v>
      </c>
      <c r="U4033" t="str">
        <f>YEAR('Campaign Data'!$A4033)&amp;"-"&amp;TEXT(MONTH('Campaign Data'!$A4033),"00")</f>
        <v>2026-08</v>
      </c>
    </row>
    <row r="4034" spans="1:21" x14ac:dyDescent="0.25">
      <c r="A4034">
        <v>46243</v>
      </c>
      <c r="B4034" t="s">
        <v>167</v>
      </c>
      <c r="C4034" t="s">
        <v>168</v>
      </c>
      <c r="D4034" t="s">
        <v>58</v>
      </c>
      <c r="E4034" t="s">
        <v>33</v>
      </c>
      <c r="F4034" t="s">
        <v>75</v>
      </c>
      <c r="G4034" t="s">
        <v>35</v>
      </c>
      <c r="H4034" t="s">
        <v>27</v>
      </c>
      <c r="I4034" t="s">
        <v>37</v>
      </c>
      <c r="J4034" t="s">
        <v>87</v>
      </c>
      <c r="K4034">
        <v>3980</v>
      </c>
      <c r="L4034">
        <v>42</v>
      </c>
      <c r="M4034">
        <v>32.25</v>
      </c>
      <c r="N4034">
        <v>0</v>
      </c>
      <c r="O4034">
        <v>0</v>
      </c>
      <c r="P4034">
        <f t="shared" ref="P4034:Q4097" si="252">IF(K4034=0,0,L4034/K4034)</f>
        <v>1.0552763819095477E-2</v>
      </c>
      <c r="Q4034">
        <f t="shared" si="252"/>
        <v>0.7678571428571429</v>
      </c>
      <c r="R4034">
        <f t="shared" ref="R4034:R4097" si="253">IF(N4034=0,0,M4034/N4034)</f>
        <v>0</v>
      </c>
      <c r="S4034">
        <f t="shared" ref="S4034:S4097" si="254">IF(M4034=0,0,O4034/M4034)</f>
        <v>0</v>
      </c>
      <c r="T4034">
        <f t="shared" ref="T4034:T4097" si="255">IF(L4034=0,0,N4034/L4034)</f>
        <v>0</v>
      </c>
      <c r="U4034" t="str">
        <f>YEAR('Campaign Data'!$A4034)&amp;"-"&amp;TEXT(MONTH('Campaign Data'!$A4034),"00")</f>
        <v>2026-08</v>
      </c>
    </row>
    <row r="4035" spans="1:21" x14ac:dyDescent="0.25">
      <c r="A4035">
        <v>46243</v>
      </c>
      <c r="B4035" t="s">
        <v>138</v>
      </c>
      <c r="C4035" t="s">
        <v>139</v>
      </c>
      <c r="D4035" t="s">
        <v>58</v>
      </c>
      <c r="E4035" t="s">
        <v>74</v>
      </c>
      <c r="F4035" t="s">
        <v>34</v>
      </c>
      <c r="G4035" t="s">
        <v>9</v>
      </c>
      <c r="H4035" t="s">
        <v>60</v>
      </c>
      <c r="I4035" t="s">
        <v>37</v>
      </c>
      <c r="J4035" t="s">
        <v>29</v>
      </c>
      <c r="K4035">
        <v>6314</v>
      </c>
      <c r="L4035">
        <v>166</v>
      </c>
      <c r="M4035">
        <v>254.72</v>
      </c>
      <c r="N4035">
        <v>7</v>
      </c>
      <c r="O4035">
        <v>833.51</v>
      </c>
      <c r="P4035">
        <f t="shared" si="252"/>
        <v>2.6290782388343363E-2</v>
      </c>
      <c r="Q4035">
        <f t="shared" si="252"/>
        <v>1.5344578313253012</v>
      </c>
      <c r="R4035">
        <f t="shared" si="253"/>
        <v>36.388571428571431</v>
      </c>
      <c r="S4035">
        <f t="shared" si="254"/>
        <v>3.2722597361809047</v>
      </c>
      <c r="T4035">
        <f t="shared" si="255"/>
        <v>4.2168674698795178E-2</v>
      </c>
      <c r="U4035" t="str">
        <f>YEAR('Campaign Data'!$A4035)&amp;"-"&amp;TEXT(MONTH('Campaign Data'!$A4035),"00")</f>
        <v>2026-08</v>
      </c>
    </row>
    <row r="4036" spans="1:21" x14ac:dyDescent="0.25">
      <c r="A4036">
        <v>46243</v>
      </c>
      <c r="B4036" t="s">
        <v>149</v>
      </c>
      <c r="C4036" t="s">
        <v>150</v>
      </c>
      <c r="D4036" t="s">
        <v>65</v>
      </c>
      <c r="E4036" t="s">
        <v>33</v>
      </c>
      <c r="F4036" t="s">
        <v>43</v>
      </c>
      <c r="G4036" t="s">
        <v>59</v>
      </c>
      <c r="H4036" t="s">
        <v>36</v>
      </c>
      <c r="I4036" t="s">
        <v>37</v>
      </c>
      <c r="J4036" t="s">
        <v>62</v>
      </c>
      <c r="K4036">
        <v>3450</v>
      </c>
      <c r="L4036">
        <v>38</v>
      </c>
      <c r="M4036">
        <v>23.86</v>
      </c>
      <c r="N4036">
        <v>1</v>
      </c>
      <c r="O4036">
        <v>18.93</v>
      </c>
      <c r="P4036">
        <f t="shared" si="252"/>
        <v>1.1014492753623189E-2</v>
      </c>
      <c r="Q4036">
        <f t="shared" si="252"/>
        <v>0.62789473684210528</v>
      </c>
      <c r="R4036">
        <f t="shared" si="253"/>
        <v>23.86</v>
      </c>
      <c r="S4036">
        <f t="shared" si="254"/>
        <v>0.7933780385582565</v>
      </c>
      <c r="T4036">
        <f t="shared" si="255"/>
        <v>2.6315789473684209E-2</v>
      </c>
      <c r="U4036" t="str">
        <f>YEAR('Campaign Data'!$A4036)&amp;"-"&amp;TEXT(MONTH('Campaign Data'!$A4036),"00")</f>
        <v>2026-08</v>
      </c>
    </row>
    <row r="4037" spans="1:21" x14ac:dyDescent="0.25">
      <c r="A4037">
        <v>46243</v>
      </c>
      <c r="B4037" t="s">
        <v>149</v>
      </c>
      <c r="C4037" t="s">
        <v>150</v>
      </c>
      <c r="D4037" t="s">
        <v>65</v>
      </c>
      <c r="E4037" t="s">
        <v>33</v>
      </c>
      <c r="F4037" t="s">
        <v>43</v>
      </c>
      <c r="G4037" t="s">
        <v>59</v>
      </c>
      <c r="H4037" t="s">
        <v>71</v>
      </c>
      <c r="I4037" t="s">
        <v>28</v>
      </c>
      <c r="J4037" t="s">
        <v>87</v>
      </c>
      <c r="K4037">
        <v>5791</v>
      </c>
      <c r="L4037">
        <v>17</v>
      </c>
      <c r="M4037">
        <v>7.8</v>
      </c>
      <c r="N4037">
        <v>0</v>
      </c>
      <c r="O4037">
        <v>0</v>
      </c>
      <c r="P4037">
        <f t="shared" si="252"/>
        <v>2.9355897081678466E-3</v>
      </c>
      <c r="Q4037">
        <f t="shared" si="252"/>
        <v>0.45882352941176469</v>
      </c>
      <c r="R4037">
        <f t="shared" si="253"/>
        <v>0</v>
      </c>
      <c r="S4037">
        <f t="shared" si="254"/>
        <v>0</v>
      </c>
      <c r="T4037">
        <f t="shared" si="255"/>
        <v>0</v>
      </c>
      <c r="U4037" t="str">
        <f>YEAR('Campaign Data'!$A4037)&amp;"-"&amp;TEXT(MONTH('Campaign Data'!$A4037),"00")</f>
        <v>2026-08</v>
      </c>
    </row>
    <row r="4038" spans="1:21" x14ac:dyDescent="0.25">
      <c r="A4038">
        <v>46243</v>
      </c>
      <c r="B4038" t="s">
        <v>149</v>
      </c>
      <c r="C4038" t="s">
        <v>150</v>
      </c>
      <c r="D4038" t="s">
        <v>65</v>
      </c>
      <c r="E4038" t="s">
        <v>33</v>
      </c>
      <c r="F4038" t="s">
        <v>43</v>
      </c>
      <c r="G4038" t="s">
        <v>59</v>
      </c>
      <c r="H4038" t="s">
        <v>51</v>
      </c>
      <c r="I4038" t="s">
        <v>28</v>
      </c>
      <c r="J4038" t="s">
        <v>62</v>
      </c>
      <c r="K4038">
        <v>7402</v>
      </c>
      <c r="L4038">
        <v>91</v>
      </c>
      <c r="M4038">
        <v>65.37</v>
      </c>
      <c r="N4038">
        <v>3</v>
      </c>
      <c r="O4038">
        <v>90.01</v>
      </c>
      <c r="P4038">
        <f t="shared" si="252"/>
        <v>1.2293974601459066E-2</v>
      </c>
      <c r="Q4038">
        <f t="shared" si="252"/>
        <v>0.71835164835164844</v>
      </c>
      <c r="R4038">
        <f t="shared" si="253"/>
        <v>21.790000000000003</v>
      </c>
      <c r="S4038">
        <f t="shared" si="254"/>
        <v>1.3769313140584365</v>
      </c>
      <c r="T4038">
        <f t="shared" si="255"/>
        <v>3.2967032967032968E-2</v>
      </c>
      <c r="U4038" t="str">
        <f>YEAR('Campaign Data'!$A4038)&amp;"-"&amp;TEXT(MONTH('Campaign Data'!$A4038),"00")</f>
        <v>2026-08</v>
      </c>
    </row>
    <row r="4039" spans="1:21" x14ac:dyDescent="0.25">
      <c r="A4039">
        <v>46243</v>
      </c>
      <c r="B4039" t="s">
        <v>93</v>
      </c>
      <c r="C4039" t="s">
        <v>94</v>
      </c>
      <c r="D4039" t="s">
        <v>69</v>
      </c>
      <c r="E4039" t="s">
        <v>42</v>
      </c>
      <c r="F4039" t="s">
        <v>75</v>
      </c>
      <c r="G4039" t="s">
        <v>44</v>
      </c>
      <c r="H4039" t="s">
        <v>90</v>
      </c>
      <c r="I4039" t="s">
        <v>28</v>
      </c>
      <c r="J4039" t="s">
        <v>62</v>
      </c>
      <c r="K4039">
        <v>7253</v>
      </c>
      <c r="L4039">
        <v>69</v>
      </c>
      <c r="M4039">
        <v>135.72999999999999</v>
      </c>
      <c r="N4039">
        <v>2</v>
      </c>
      <c r="O4039">
        <v>18.79</v>
      </c>
      <c r="P4039">
        <f t="shared" si="252"/>
        <v>9.5133048393768096E-3</v>
      </c>
      <c r="Q4039">
        <f t="shared" si="252"/>
        <v>1.9671014492753622</v>
      </c>
      <c r="R4039">
        <f t="shared" si="253"/>
        <v>67.864999999999995</v>
      </c>
      <c r="S4039">
        <f t="shared" si="254"/>
        <v>0.13843660207765418</v>
      </c>
      <c r="T4039">
        <f t="shared" si="255"/>
        <v>2.8985507246376812E-2</v>
      </c>
      <c r="U4039" t="str">
        <f>YEAR('Campaign Data'!$A4039)&amp;"-"&amp;TEXT(MONTH('Campaign Data'!$A4039),"00")</f>
        <v>2026-08</v>
      </c>
    </row>
    <row r="4040" spans="1:21" x14ac:dyDescent="0.25">
      <c r="A4040">
        <v>46243</v>
      </c>
      <c r="B4040" t="s">
        <v>151</v>
      </c>
      <c r="C4040" t="s">
        <v>152</v>
      </c>
      <c r="D4040" t="s">
        <v>48</v>
      </c>
      <c r="E4040" t="s">
        <v>24</v>
      </c>
      <c r="F4040" t="s">
        <v>81</v>
      </c>
      <c r="G4040" t="s">
        <v>129</v>
      </c>
      <c r="H4040" t="s">
        <v>27</v>
      </c>
      <c r="I4040" t="s">
        <v>37</v>
      </c>
      <c r="J4040" t="s">
        <v>62</v>
      </c>
      <c r="K4040">
        <v>7498</v>
      </c>
      <c r="L4040">
        <v>83</v>
      </c>
      <c r="M4040">
        <v>105.26</v>
      </c>
      <c r="N4040">
        <v>0</v>
      </c>
      <c r="O4040">
        <v>0</v>
      </c>
      <c r="P4040">
        <f t="shared" si="252"/>
        <v>1.1069618564950654E-2</v>
      </c>
      <c r="Q4040">
        <f t="shared" si="252"/>
        <v>1.2681927710843375</v>
      </c>
      <c r="R4040">
        <f t="shared" si="253"/>
        <v>0</v>
      </c>
      <c r="S4040">
        <f t="shared" si="254"/>
        <v>0</v>
      </c>
      <c r="T4040">
        <f t="shared" si="255"/>
        <v>0</v>
      </c>
      <c r="U4040" t="str">
        <f>YEAR('Campaign Data'!$A4040)&amp;"-"&amp;TEXT(MONTH('Campaign Data'!$A4040),"00")</f>
        <v>2026-08</v>
      </c>
    </row>
    <row r="4041" spans="1:21" x14ac:dyDescent="0.25">
      <c r="A4041">
        <v>46243</v>
      </c>
      <c r="B4041" t="s">
        <v>39</v>
      </c>
      <c r="C4041" t="s">
        <v>40</v>
      </c>
      <c r="D4041" t="s">
        <v>41</v>
      </c>
      <c r="E4041" t="s">
        <v>42</v>
      </c>
      <c r="F4041" t="s">
        <v>43</v>
      </c>
      <c r="G4041" t="s">
        <v>44</v>
      </c>
      <c r="H4041" t="s">
        <v>55</v>
      </c>
      <c r="I4041" t="s">
        <v>37</v>
      </c>
      <c r="J4041" t="s">
        <v>38</v>
      </c>
      <c r="K4041">
        <v>1885</v>
      </c>
      <c r="L4041">
        <v>6</v>
      </c>
      <c r="M4041">
        <v>32.9</v>
      </c>
      <c r="N4041">
        <v>0</v>
      </c>
      <c r="O4041">
        <v>0</v>
      </c>
      <c r="P4041">
        <f t="shared" si="252"/>
        <v>3.183023872679045E-3</v>
      </c>
      <c r="Q4041">
        <f t="shared" si="252"/>
        <v>5.4833333333333334</v>
      </c>
      <c r="R4041">
        <f t="shared" si="253"/>
        <v>0</v>
      </c>
      <c r="S4041">
        <f t="shared" si="254"/>
        <v>0</v>
      </c>
      <c r="T4041">
        <f t="shared" si="255"/>
        <v>0</v>
      </c>
      <c r="U4041" t="str">
        <f>YEAR('Campaign Data'!$A4041)&amp;"-"&amp;TEXT(MONTH('Campaign Data'!$A4041),"00")</f>
        <v>2026-08</v>
      </c>
    </row>
    <row r="4042" spans="1:21" x14ac:dyDescent="0.25">
      <c r="A4042">
        <v>46243</v>
      </c>
      <c r="B4042" t="s">
        <v>46</v>
      </c>
      <c r="C4042" t="s">
        <v>47</v>
      </c>
      <c r="D4042" t="s">
        <v>48</v>
      </c>
      <c r="E4042" t="s">
        <v>49</v>
      </c>
      <c r="F4042" t="s">
        <v>43</v>
      </c>
      <c r="G4042" t="s">
        <v>50</v>
      </c>
      <c r="H4042" t="s">
        <v>51</v>
      </c>
      <c r="I4042" t="s">
        <v>28</v>
      </c>
      <c r="J4042" t="s">
        <v>87</v>
      </c>
      <c r="K4042">
        <v>7220</v>
      </c>
      <c r="L4042">
        <v>272</v>
      </c>
      <c r="M4042">
        <v>638.72</v>
      </c>
      <c r="N4042">
        <v>15</v>
      </c>
      <c r="O4042">
        <v>194.67</v>
      </c>
      <c r="P4042">
        <f t="shared" si="252"/>
        <v>3.7673130193905814E-2</v>
      </c>
      <c r="Q4042">
        <f t="shared" si="252"/>
        <v>2.348235294117647</v>
      </c>
      <c r="R4042">
        <f t="shared" si="253"/>
        <v>42.581333333333333</v>
      </c>
      <c r="S4042">
        <f t="shared" si="254"/>
        <v>0.30478143787575146</v>
      </c>
      <c r="T4042">
        <f t="shared" si="255"/>
        <v>5.514705882352941E-2</v>
      </c>
      <c r="U4042" t="str">
        <f>YEAR('Campaign Data'!$A4042)&amp;"-"&amp;TEXT(MONTH('Campaign Data'!$A4042),"00")</f>
        <v>2026-08</v>
      </c>
    </row>
    <row r="4043" spans="1:21" x14ac:dyDescent="0.25">
      <c r="A4043">
        <v>46243</v>
      </c>
      <c r="B4043" t="s">
        <v>46</v>
      </c>
      <c r="C4043" t="s">
        <v>47</v>
      </c>
      <c r="D4043" t="s">
        <v>48</v>
      </c>
      <c r="E4043" t="s">
        <v>49</v>
      </c>
      <c r="F4043" t="s">
        <v>43</v>
      </c>
      <c r="G4043" t="s">
        <v>50</v>
      </c>
      <c r="H4043" t="s">
        <v>36</v>
      </c>
      <c r="I4043" t="s">
        <v>37</v>
      </c>
      <c r="J4043" t="s">
        <v>45</v>
      </c>
      <c r="K4043">
        <v>1894</v>
      </c>
      <c r="L4043">
        <v>71</v>
      </c>
      <c r="M4043">
        <v>81.5</v>
      </c>
      <c r="N4043">
        <v>1</v>
      </c>
      <c r="O4043">
        <v>19.98</v>
      </c>
      <c r="P4043">
        <f t="shared" si="252"/>
        <v>3.7486800422386481E-2</v>
      </c>
      <c r="Q4043">
        <f t="shared" si="252"/>
        <v>1.147887323943662</v>
      </c>
      <c r="R4043">
        <f t="shared" si="253"/>
        <v>81.5</v>
      </c>
      <c r="S4043">
        <f t="shared" si="254"/>
        <v>0.24515337423312883</v>
      </c>
      <c r="T4043">
        <f t="shared" si="255"/>
        <v>1.4084507042253521E-2</v>
      </c>
      <c r="U4043" t="str">
        <f>YEAR('Campaign Data'!$A4043)&amp;"-"&amp;TEXT(MONTH('Campaign Data'!$A4043),"00")</f>
        <v>2026-08</v>
      </c>
    </row>
    <row r="4044" spans="1:21" x14ac:dyDescent="0.25">
      <c r="A4044">
        <v>46243</v>
      </c>
      <c r="B4044" t="s">
        <v>98</v>
      </c>
      <c r="C4044" t="s">
        <v>99</v>
      </c>
      <c r="D4044" t="s">
        <v>69</v>
      </c>
      <c r="E4044" t="s">
        <v>24</v>
      </c>
      <c r="F4044" t="s">
        <v>75</v>
      </c>
      <c r="G4044" t="s">
        <v>66</v>
      </c>
      <c r="H4044" t="s">
        <v>90</v>
      </c>
      <c r="I4044" t="s">
        <v>37</v>
      </c>
      <c r="J4044" t="s">
        <v>38</v>
      </c>
      <c r="K4044">
        <v>3066</v>
      </c>
      <c r="L4044">
        <v>45</v>
      </c>
      <c r="M4044">
        <v>12.83</v>
      </c>
      <c r="N4044">
        <v>0</v>
      </c>
      <c r="O4044">
        <v>0</v>
      </c>
      <c r="P4044">
        <f t="shared" si="252"/>
        <v>1.4677103718199608E-2</v>
      </c>
      <c r="Q4044">
        <f t="shared" si="252"/>
        <v>0.28511111111111109</v>
      </c>
      <c r="R4044">
        <f t="shared" si="253"/>
        <v>0</v>
      </c>
      <c r="S4044">
        <f t="shared" si="254"/>
        <v>0</v>
      </c>
      <c r="T4044">
        <f t="shared" si="255"/>
        <v>0</v>
      </c>
      <c r="U4044" t="str">
        <f>YEAR('Campaign Data'!$A4044)&amp;"-"&amp;TEXT(MONTH('Campaign Data'!$A4044),"00")</f>
        <v>2026-08</v>
      </c>
    </row>
    <row r="4045" spans="1:21" x14ac:dyDescent="0.25">
      <c r="A4045">
        <v>46243</v>
      </c>
      <c r="B4045" t="s">
        <v>100</v>
      </c>
      <c r="C4045" t="s">
        <v>101</v>
      </c>
      <c r="D4045" t="s">
        <v>80</v>
      </c>
      <c r="E4045" t="s">
        <v>33</v>
      </c>
      <c r="F4045" t="s">
        <v>25</v>
      </c>
      <c r="G4045" t="s">
        <v>102</v>
      </c>
      <c r="H4045" t="s">
        <v>51</v>
      </c>
      <c r="I4045" t="s">
        <v>28</v>
      </c>
      <c r="J4045" t="s">
        <v>87</v>
      </c>
      <c r="K4045">
        <v>1068</v>
      </c>
      <c r="L4045">
        <v>8</v>
      </c>
      <c r="M4045">
        <v>5.3</v>
      </c>
      <c r="N4045">
        <v>0</v>
      </c>
      <c r="O4045">
        <v>0</v>
      </c>
      <c r="P4045">
        <f t="shared" si="252"/>
        <v>7.4906367041198503E-3</v>
      </c>
      <c r="Q4045">
        <f t="shared" si="252"/>
        <v>0.66249999999999998</v>
      </c>
      <c r="R4045">
        <f t="shared" si="253"/>
        <v>0</v>
      </c>
      <c r="S4045">
        <f t="shared" si="254"/>
        <v>0</v>
      </c>
      <c r="T4045">
        <f t="shared" si="255"/>
        <v>0</v>
      </c>
      <c r="U4045" t="str">
        <f>YEAR('Campaign Data'!$A4045)&amp;"-"&amp;TEXT(MONTH('Campaign Data'!$A4045),"00")</f>
        <v>2026-08</v>
      </c>
    </row>
    <row r="4046" spans="1:21" x14ac:dyDescent="0.25">
      <c r="A4046">
        <v>46243</v>
      </c>
      <c r="B4046" t="s">
        <v>169</v>
      </c>
      <c r="C4046" t="s">
        <v>170</v>
      </c>
      <c r="D4046" t="s">
        <v>58</v>
      </c>
      <c r="E4046" t="s">
        <v>74</v>
      </c>
      <c r="F4046" t="s">
        <v>75</v>
      </c>
      <c r="G4046" t="s">
        <v>9</v>
      </c>
      <c r="H4046" t="s">
        <v>27</v>
      </c>
      <c r="I4046" t="s">
        <v>37</v>
      </c>
      <c r="J4046" t="s">
        <v>62</v>
      </c>
      <c r="K4046">
        <v>12819</v>
      </c>
      <c r="L4046">
        <v>561</v>
      </c>
      <c r="M4046">
        <v>895.59</v>
      </c>
      <c r="N4046">
        <v>40</v>
      </c>
      <c r="O4046">
        <v>1653.55</v>
      </c>
      <c r="P4046">
        <f t="shared" si="252"/>
        <v>4.3763164053358297E-2</v>
      </c>
      <c r="Q4046">
        <f t="shared" si="252"/>
        <v>1.5964171122994653</v>
      </c>
      <c r="R4046">
        <f t="shared" si="253"/>
        <v>22.389749999999999</v>
      </c>
      <c r="S4046">
        <f t="shared" si="254"/>
        <v>1.846324769146596</v>
      </c>
      <c r="T4046">
        <f t="shared" si="255"/>
        <v>7.130124777183601E-2</v>
      </c>
      <c r="U4046" t="str">
        <f>YEAR('Campaign Data'!$A4046)&amp;"-"&amp;TEXT(MONTH('Campaign Data'!$A4046),"00")</f>
        <v>2026-08</v>
      </c>
    </row>
    <row r="4047" spans="1:21" x14ac:dyDescent="0.25">
      <c r="A4047">
        <v>46243</v>
      </c>
      <c r="B4047" t="s">
        <v>143</v>
      </c>
      <c r="C4047" t="s">
        <v>144</v>
      </c>
      <c r="D4047" t="s">
        <v>48</v>
      </c>
      <c r="E4047" t="s">
        <v>42</v>
      </c>
      <c r="F4047" t="s">
        <v>25</v>
      </c>
      <c r="G4047" t="s">
        <v>84</v>
      </c>
      <c r="H4047" t="s">
        <v>51</v>
      </c>
      <c r="I4047" t="s">
        <v>37</v>
      </c>
      <c r="J4047" t="s">
        <v>29</v>
      </c>
      <c r="K4047">
        <v>983</v>
      </c>
      <c r="L4047">
        <v>4</v>
      </c>
      <c r="M4047">
        <v>23.5</v>
      </c>
      <c r="N4047">
        <v>1</v>
      </c>
      <c r="O4047">
        <v>178.28</v>
      </c>
      <c r="P4047">
        <f t="shared" si="252"/>
        <v>4.0691759918616479E-3</v>
      </c>
      <c r="Q4047">
        <f t="shared" si="252"/>
        <v>5.875</v>
      </c>
      <c r="R4047">
        <f t="shared" si="253"/>
        <v>23.5</v>
      </c>
      <c r="S4047">
        <f t="shared" si="254"/>
        <v>7.5863829787234041</v>
      </c>
      <c r="T4047">
        <f t="shared" si="255"/>
        <v>0.25</v>
      </c>
      <c r="U4047" t="str">
        <f>YEAR('Campaign Data'!$A4047)&amp;"-"&amp;TEXT(MONTH('Campaign Data'!$A4047),"00")</f>
        <v>2026-08</v>
      </c>
    </row>
    <row r="4048" spans="1:21" x14ac:dyDescent="0.25">
      <c r="A4048">
        <v>46243</v>
      </c>
      <c r="B4048" t="s">
        <v>63</v>
      </c>
      <c r="C4048" t="s">
        <v>64</v>
      </c>
      <c r="D4048" t="s">
        <v>65</v>
      </c>
      <c r="E4048" t="s">
        <v>24</v>
      </c>
      <c r="F4048" t="s">
        <v>43</v>
      </c>
      <c r="G4048" t="s">
        <v>66</v>
      </c>
      <c r="H4048" t="s">
        <v>71</v>
      </c>
      <c r="I4048" t="s">
        <v>37</v>
      </c>
      <c r="J4048" t="s">
        <v>62</v>
      </c>
      <c r="K4048">
        <v>2647</v>
      </c>
      <c r="L4048">
        <v>31</v>
      </c>
      <c r="M4048">
        <v>19.77</v>
      </c>
      <c r="N4048">
        <v>0</v>
      </c>
      <c r="O4048">
        <v>0</v>
      </c>
      <c r="P4048">
        <f t="shared" si="252"/>
        <v>1.1711371363808084E-2</v>
      </c>
      <c r="Q4048">
        <f t="shared" si="252"/>
        <v>0.63774193548387093</v>
      </c>
      <c r="R4048">
        <f t="shared" si="253"/>
        <v>0</v>
      </c>
      <c r="S4048">
        <f t="shared" si="254"/>
        <v>0</v>
      </c>
      <c r="T4048">
        <f t="shared" si="255"/>
        <v>0</v>
      </c>
      <c r="U4048" t="str">
        <f>YEAR('Campaign Data'!$A4048)&amp;"-"&amp;TEXT(MONTH('Campaign Data'!$A4048),"00")</f>
        <v>2026-08</v>
      </c>
    </row>
    <row r="4049" spans="1:21" x14ac:dyDescent="0.25">
      <c r="A4049">
        <v>46243</v>
      </c>
      <c r="B4049" t="s">
        <v>67</v>
      </c>
      <c r="C4049" t="s">
        <v>68</v>
      </c>
      <c r="D4049" t="s">
        <v>69</v>
      </c>
      <c r="E4049" t="s">
        <v>49</v>
      </c>
      <c r="F4049" t="s">
        <v>34</v>
      </c>
      <c r="G4049" t="s">
        <v>70</v>
      </c>
      <c r="H4049" t="s">
        <v>90</v>
      </c>
      <c r="I4049" t="s">
        <v>37</v>
      </c>
      <c r="J4049" t="s">
        <v>87</v>
      </c>
      <c r="K4049">
        <v>10566</v>
      </c>
      <c r="L4049">
        <v>364</v>
      </c>
      <c r="M4049">
        <v>199.79</v>
      </c>
      <c r="N4049">
        <v>14</v>
      </c>
      <c r="O4049">
        <v>716.83</v>
      </c>
      <c r="P4049">
        <f t="shared" si="252"/>
        <v>3.4450123036153697E-2</v>
      </c>
      <c r="Q4049">
        <f t="shared" si="252"/>
        <v>0.54887362637362636</v>
      </c>
      <c r="R4049">
        <f t="shared" si="253"/>
        <v>14.270714285714286</v>
      </c>
      <c r="S4049">
        <f t="shared" si="254"/>
        <v>3.587917313178838</v>
      </c>
      <c r="T4049">
        <f t="shared" si="255"/>
        <v>3.8461538461538464E-2</v>
      </c>
      <c r="U4049" t="str">
        <f>YEAR('Campaign Data'!$A4049)&amp;"-"&amp;TEXT(MONTH('Campaign Data'!$A4049),"00")</f>
        <v>2026-08</v>
      </c>
    </row>
    <row r="4050" spans="1:21" x14ac:dyDescent="0.25">
      <c r="A4050">
        <v>46243</v>
      </c>
      <c r="B4050" t="s">
        <v>118</v>
      </c>
      <c r="C4050" t="s">
        <v>119</v>
      </c>
      <c r="D4050" t="s">
        <v>69</v>
      </c>
      <c r="E4050" t="s">
        <v>33</v>
      </c>
      <c r="F4050" t="s">
        <v>34</v>
      </c>
      <c r="G4050" t="s">
        <v>35</v>
      </c>
      <c r="H4050" t="s">
        <v>51</v>
      </c>
      <c r="I4050" t="s">
        <v>37</v>
      </c>
      <c r="J4050" t="s">
        <v>45</v>
      </c>
      <c r="K4050">
        <v>6523</v>
      </c>
      <c r="L4050">
        <v>32</v>
      </c>
      <c r="M4050">
        <v>20.14</v>
      </c>
      <c r="N4050">
        <v>0</v>
      </c>
      <c r="O4050">
        <v>0</v>
      </c>
      <c r="P4050">
        <f t="shared" si="252"/>
        <v>4.9057182278092904E-3</v>
      </c>
      <c r="Q4050">
        <f t="shared" si="252"/>
        <v>0.62937500000000002</v>
      </c>
      <c r="R4050">
        <f t="shared" si="253"/>
        <v>0</v>
      </c>
      <c r="S4050">
        <f t="shared" si="254"/>
        <v>0</v>
      </c>
      <c r="T4050">
        <f t="shared" si="255"/>
        <v>0</v>
      </c>
      <c r="U4050" t="str">
        <f>YEAR('Campaign Data'!$A4050)&amp;"-"&amp;TEXT(MONTH('Campaign Data'!$A4050),"00")</f>
        <v>2026-08</v>
      </c>
    </row>
    <row r="4051" spans="1:21" x14ac:dyDescent="0.25">
      <c r="A4051">
        <v>46243</v>
      </c>
      <c r="B4051" t="s">
        <v>145</v>
      </c>
      <c r="C4051" t="s">
        <v>146</v>
      </c>
      <c r="D4051" t="s">
        <v>41</v>
      </c>
      <c r="E4051" t="s">
        <v>49</v>
      </c>
      <c r="F4051" t="s">
        <v>75</v>
      </c>
      <c r="G4051" t="s">
        <v>70</v>
      </c>
      <c r="H4051" t="s">
        <v>51</v>
      </c>
      <c r="I4051" t="s">
        <v>28</v>
      </c>
      <c r="J4051" t="s">
        <v>87</v>
      </c>
      <c r="K4051">
        <v>5585</v>
      </c>
      <c r="L4051">
        <v>352</v>
      </c>
      <c r="M4051">
        <v>601.27</v>
      </c>
      <c r="N4051">
        <v>16</v>
      </c>
      <c r="O4051">
        <v>675.23</v>
      </c>
      <c r="P4051">
        <f t="shared" si="252"/>
        <v>6.3025962399283791E-2</v>
      </c>
      <c r="Q4051">
        <f t="shared" si="252"/>
        <v>1.708153409090909</v>
      </c>
      <c r="R4051">
        <f t="shared" si="253"/>
        <v>37.579374999999999</v>
      </c>
      <c r="S4051">
        <f t="shared" si="254"/>
        <v>1.1230063033246296</v>
      </c>
      <c r="T4051">
        <f t="shared" si="255"/>
        <v>4.5454545454545456E-2</v>
      </c>
      <c r="U4051" t="str">
        <f>YEAR('Campaign Data'!$A4051)&amp;"-"&amp;TEXT(MONTH('Campaign Data'!$A4051),"00")</f>
        <v>2026-08</v>
      </c>
    </row>
    <row r="4052" spans="1:21" x14ac:dyDescent="0.25">
      <c r="A4052">
        <v>46243</v>
      </c>
      <c r="B4052" t="s">
        <v>78</v>
      </c>
      <c r="C4052" t="s">
        <v>79</v>
      </c>
      <c r="D4052" t="s">
        <v>80</v>
      </c>
      <c r="E4052" t="s">
        <v>24</v>
      </c>
      <c r="F4052" t="s">
        <v>81</v>
      </c>
      <c r="G4052" t="s">
        <v>66</v>
      </c>
      <c r="H4052" t="s">
        <v>36</v>
      </c>
      <c r="I4052" t="s">
        <v>37</v>
      </c>
      <c r="J4052" t="s">
        <v>87</v>
      </c>
      <c r="K4052">
        <v>6295</v>
      </c>
      <c r="L4052">
        <v>79</v>
      </c>
      <c r="M4052">
        <v>51.77</v>
      </c>
      <c r="N4052">
        <v>4</v>
      </c>
      <c r="O4052">
        <v>78.63</v>
      </c>
      <c r="P4052">
        <f t="shared" si="252"/>
        <v>1.2549642573471008E-2</v>
      </c>
      <c r="Q4052">
        <f t="shared" si="252"/>
        <v>0.65531645569620256</v>
      </c>
      <c r="R4052">
        <f t="shared" si="253"/>
        <v>12.942500000000001</v>
      </c>
      <c r="S4052">
        <f t="shared" si="254"/>
        <v>1.518833301139656</v>
      </c>
      <c r="T4052">
        <f t="shared" si="255"/>
        <v>5.0632911392405063E-2</v>
      </c>
      <c r="U4052" t="str">
        <f>YEAR('Campaign Data'!$A4052)&amp;"-"&amp;TEXT(MONTH('Campaign Data'!$A4052),"00")</f>
        <v>2026-08</v>
      </c>
    </row>
    <row r="4053" spans="1:21" x14ac:dyDescent="0.25">
      <c r="A4053">
        <v>46243</v>
      </c>
      <c r="B4053" t="s">
        <v>82</v>
      </c>
      <c r="C4053" t="s">
        <v>83</v>
      </c>
      <c r="D4053" t="s">
        <v>80</v>
      </c>
      <c r="E4053" t="s">
        <v>42</v>
      </c>
      <c r="F4053" t="s">
        <v>34</v>
      </c>
      <c r="G4053" t="s">
        <v>84</v>
      </c>
      <c r="H4053" t="s">
        <v>27</v>
      </c>
      <c r="I4053" t="s">
        <v>28</v>
      </c>
      <c r="J4053" t="s">
        <v>29</v>
      </c>
      <c r="K4053">
        <v>3632</v>
      </c>
      <c r="L4053">
        <v>24</v>
      </c>
      <c r="M4053">
        <v>195.1</v>
      </c>
      <c r="N4053">
        <v>0</v>
      </c>
      <c r="O4053">
        <v>0</v>
      </c>
      <c r="P4053">
        <f t="shared" si="252"/>
        <v>6.6079295154185024E-3</v>
      </c>
      <c r="Q4053">
        <f t="shared" si="252"/>
        <v>8.1291666666666664</v>
      </c>
      <c r="R4053">
        <f t="shared" si="253"/>
        <v>0</v>
      </c>
      <c r="S4053">
        <f t="shared" si="254"/>
        <v>0</v>
      </c>
      <c r="T4053">
        <f t="shared" si="255"/>
        <v>0</v>
      </c>
      <c r="U4053" t="str">
        <f>YEAR('Campaign Data'!$A4053)&amp;"-"&amp;TEXT(MONTH('Campaign Data'!$A4053),"00")</f>
        <v>2026-08</v>
      </c>
    </row>
    <row r="4054" spans="1:21" x14ac:dyDescent="0.25">
      <c r="A4054">
        <v>46244</v>
      </c>
      <c r="B4054" t="s">
        <v>173</v>
      </c>
      <c r="C4054" t="s">
        <v>174</v>
      </c>
      <c r="D4054" t="s">
        <v>48</v>
      </c>
      <c r="E4054" t="s">
        <v>74</v>
      </c>
      <c r="F4054" t="s">
        <v>25</v>
      </c>
      <c r="G4054" t="s">
        <v>9</v>
      </c>
      <c r="H4054" t="s">
        <v>36</v>
      </c>
      <c r="I4054" t="s">
        <v>28</v>
      </c>
      <c r="J4054" t="s">
        <v>45</v>
      </c>
      <c r="K4054">
        <v>2992</v>
      </c>
      <c r="L4054">
        <v>76</v>
      </c>
      <c r="M4054">
        <v>104.34</v>
      </c>
      <c r="N4054">
        <v>4</v>
      </c>
      <c r="O4054">
        <v>666.63</v>
      </c>
      <c r="P4054">
        <f t="shared" si="252"/>
        <v>2.5401069518716578E-2</v>
      </c>
      <c r="Q4054">
        <f t="shared" si="252"/>
        <v>1.3728947368421054</v>
      </c>
      <c r="R4054">
        <f t="shared" si="253"/>
        <v>26.085000000000001</v>
      </c>
      <c r="S4054">
        <f t="shared" si="254"/>
        <v>6.3890166762507183</v>
      </c>
      <c r="T4054">
        <f t="shared" si="255"/>
        <v>5.2631578947368418E-2</v>
      </c>
      <c r="U4054" t="str">
        <f>YEAR('Campaign Data'!$A4054)&amp;"-"&amp;TEXT(MONTH('Campaign Data'!$A4054),"00")</f>
        <v>2026-08</v>
      </c>
    </row>
    <row r="4055" spans="1:21" x14ac:dyDescent="0.25">
      <c r="A4055">
        <v>46244</v>
      </c>
      <c r="B4055" t="s">
        <v>85</v>
      </c>
      <c r="C4055" t="s">
        <v>86</v>
      </c>
      <c r="D4055" t="s">
        <v>80</v>
      </c>
      <c r="E4055" t="s">
        <v>33</v>
      </c>
      <c r="F4055" t="s">
        <v>43</v>
      </c>
      <c r="G4055" t="s">
        <v>35</v>
      </c>
      <c r="H4055" t="s">
        <v>90</v>
      </c>
      <c r="I4055" t="s">
        <v>37</v>
      </c>
      <c r="J4055" t="s">
        <v>45</v>
      </c>
      <c r="K4055">
        <v>2969</v>
      </c>
      <c r="L4055">
        <v>27</v>
      </c>
      <c r="M4055">
        <v>4.49</v>
      </c>
      <c r="N4055">
        <v>0</v>
      </c>
      <c r="O4055">
        <v>0</v>
      </c>
      <c r="P4055">
        <f t="shared" si="252"/>
        <v>9.0939710340181886E-3</v>
      </c>
      <c r="Q4055">
        <f t="shared" si="252"/>
        <v>0.1662962962962963</v>
      </c>
      <c r="R4055">
        <f t="shared" si="253"/>
        <v>0</v>
      </c>
      <c r="S4055">
        <f t="shared" si="254"/>
        <v>0</v>
      </c>
      <c r="T4055">
        <f t="shared" si="255"/>
        <v>0</v>
      </c>
      <c r="U4055" t="str">
        <f>YEAR('Campaign Data'!$A4055)&amp;"-"&amp;TEXT(MONTH('Campaign Data'!$A4055),"00")</f>
        <v>2026-08</v>
      </c>
    </row>
    <row r="4056" spans="1:21" x14ac:dyDescent="0.25">
      <c r="A4056">
        <v>46244</v>
      </c>
      <c r="B4056" t="s">
        <v>21</v>
      </c>
      <c r="C4056" t="s">
        <v>124</v>
      </c>
      <c r="D4056" t="s">
        <v>23</v>
      </c>
      <c r="E4056" t="s">
        <v>24</v>
      </c>
      <c r="F4056" t="s">
        <v>25</v>
      </c>
      <c r="G4056" t="s">
        <v>26</v>
      </c>
      <c r="H4056" t="s">
        <v>27</v>
      </c>
      <c r="I4056" t="s">
        <v>37</v>
      </c>
      <c r="J4056" t="s">
        <v>45</v>
      </c>
      <c r="K4056">
        <v>8866</v>
      </c>
      <c r="L4056">
        <v>124</v>
      </c>
      <c r="M4056">
        <v>154.09</v>
      </c>
      <c r="N4056">
        <v>4</v>
      </c>
      <c r="O4056">
        <v>794.61</v>
      </c>
      <c r="P4056">
        <f t="shared" si="252"/>
        <v>1.3986013986013986E-2</v>
      </c>
      <c r="Q4056">
        <f t="shared" si="252"/>
        <v>1.2426612903225807</v>
      </c>
      <c r="R4056">
        <f t="shared" si="253"/>
        <v>38.522500000000001</v>
      </c>
      <c r="S4056">
        <f t="shared" si="254"/>
        <v>5.1567914854954893</v>
      </c>
      <c r="T4056">
        <f t="shared" si="255"/>
        <v>3.2258064516129031E-2</v>
      </c>
      <c r="U4056" t="str">
        <f>YEAR('Campaign Data'!$A4056)&amp;"-"&amp;TEXT(MONTH('Campaign Data'!$A4056),"00")</f>
        <v>2026-08</v>
      </c>
    </row>
    <row r="4057" spans="1:21" x14ac:dyDescent="0.25">
      <c r="A4057">
        <v>46244</v>
      </c>
      <c r="B4057" t="s">
        <v>167</v>
      </c>
      <c r="C4057" t="s">
        <v>168</v>
      </c>
      <c r="D4057" t="s">
        <v>58</v>
      </c>
      <c r="E4057" t="s">
        <v>33</v>
      </c>
      <c r="F4057" t="s">
        <v>75</v>
      </c>
      <c r="G4057" t="s">
        <v>35</v>
      </c>
      <c r="H4057" t="s">
        <v>51</v>
      </c>
      <c r="I4057" t="s">
        <v>37</v>
      </c>
      <c r="J4057" t="s">
        <v>87</v>
      </c>
      <c r="K4057">
        <v>11057</v>
      </c>
      <c r="L4057">
        <v>99</v>
      </c>
      <c r="M4057">
        <v>70.72</v>
      </c>
      <c r="N4057">
        <v>0</v>
      </c>
      <c r="O4057">
        <v>0</v>
      </c>
      <c r="P4057">
        <f t="shared" si="252"/>
        <v>8.9536040517319351E-3</v>
      </c>
      <c r="Q4057">
        <f t="shared" si="252"/>
        <v>0.71434343434343428</v>
      </c>
      <c r="R4057">
        <f t="shared" si="253"/>
        <v>0</v>
      </c>
      <c r="S4057">
        <f t="shared" si="254"/>
        <v>0</v>
      </c>
      <c r="T4057">
        <f t="shared" si="255"/>
        <v>0</v>
      </c>
      <c r="U4057" t="str">
        <f>YEAR('Campaign Data'!$A4057)&amp;"-"&amp;TEXT(MONTH('Campaign Data'!$A4057),"00")</f>
        <v>2026-08</v>
      </c>
    </row>
    <row r="4058" spans="1:21" x14ac:dyDescent="0.25">
      <c r="A4058">
        <v>46244</v>
      </c>
      <c r="B4058" t="s">
        <v>138</v>
      </c>
      <c r="C4058" t="s">
        <v>139</v>
      </c>
      <c r="D4058" t="s">
        <v>58</v>
      </c>
      <c r="E4058" t="s">
        <v>74</v>
      </c>
      <c r="F4058" t="s">
        <v>34</v>
      </c>
      <c r="G4058" t="s">
        <v>9</v>
      </c>
      <c r="H4058" t="s">
        <v>90</v>
      </c>
      <c r="I4058" t="s">
        <v>37</v>
      </c>
      <c r="J4058" t="s">
        <v>62</v>
      </c>
      <c r="K4058">
        <v>12295</v>
      </c>
      <c r="L4058">
        <v>441</v>
      </c>
      <c r="M4058">
        <v>208.01</v>
      </c>
      <c r="N4058">
        <v>33</v>
      </c>
      <c r="O4058">
        <v>805.88</v>
      </c>
      <c r="P4058">
        <f t="shared" si="252"/>
        <v>3.5868239121594141E-2</v>
      </c>
      <c r="Q4058">
        <f t="shared" si="252"/>
        <v>0.47167800453514735</v>
      </c>
      <c r="R4058">
        <f t="shared" si="253"/>
        <v>6.3033333333333328</v>
      </c>
      <c r="S4058">
        <f t="shared" si="254"/>
        <v>3.8742368155377145</v>
      </c>
      <c r="T4058">
        <f t="shared" si="255"/>
        <v>7.4829931972789115E-2</v>
      </c>
      <c r="U4058" t="str">
        <f>YEAR('Campaign Data'!$A4058)&amp;"-"&amp;TEXT(MONTH('Campaign Data'!$A4058),"00")</f>
        <v>2026-08</v>
      </c>
    </row>
    <row r="4059" spans="1:21" x14ac:dyDescent="0.25">
      <c r="A4059">
        <v>46244</v>
      </c>
      <c r="B4059" t="s">
        <v>149</v>
      </c>
      <c r="C4059" t="s">
        <v>150</v>
      </c>
      <c r="D4059" t="s">
        <v>65</v>
      </c>
      <c r="E4059" t="s">
        <v>33</v>
      </c>
      <c r="F4059" t="s">
        <v>43</v>
      </c>
      <c r="G4059" t="s">
        <v>59</v>
      </c>
      <c r="H4059" t="s">
        <v>90</v>
      </c>
      <c r="I4059" t="s">
        <v>61</v>
      </c>
      <c r="J4059" t="s">
        <v>45</v>
      </c>
      <c r="K4059">
        <v>12449</v>
      </c>
      <c r="L4059">
        <v>172</v>
      </c>
      <c r="M4059">
        <v>32.18</v>
      </c>
      <c r="N4059">
        <v>5</v>
      </c>
      <c r="O4059">
        <v>30.54</v>
      </c>
      <c r="P4059">
        <f t="shared" si="252"/>
        <v>1.3816370792834766E-2</v>
      </c>
      <c r="Q4059">
        <f t="shared" si="252"/>
        <v>0.18709302325581395</v>
      </c>
      <c r="R4059">
        <f t="shared" si="253"/>
        <v>6.4359999999999999</v>
      </c>
      <c r="S4059">
        <f t="shared" si="254"/>
        <v>0.9490366687383468</v>
      </c>
      <c r="T4059">
        <f t="shared" si="255"/>
        <v>2.9069767441860465E-2</v>
      </c>
      <c r="U4059" t="str">
        <f>YEAR('Campaign Data'!$A4059)&amp;"-"&amp;TEXT(MONTH('Campaign Data'!$A4059),"00")</f>
        <v>2026-08</v>
      </c>
    </row>
    <row r="4060" spans="1:21" x14ac:dyDescent="0.25">
      <c r="A4060">
        <v>46244</v>
      </c>
      <c r="B4060" t="s">
        <v>186</v>
      </c>
      <c r="C4060" t="s">
        <v>187</v>
      </c>
      <c r="D4060" t="s">
        <v>80</v>
      </c>
      <c r="E4060" t="s">
        <v>33</v>
      </c>
      <c r="F4060" t="s">
        <v>43</v>
      </c>
      <c r="G4060" t="s">
        <v>102</v>
      </c>
      <c r="H4060" t="s">
        <v>60</v>
      </c>
      <c r="I4060" t="s">
        <v>37</v>
      </c>
      <c r="J4060" t="s">
        <v>38</v>
      </c>
      <c r="K4060">
        <v>20957</v>
      </c>
      <c r="L4060">
        <v>117</v>
      </c>
      <c r="M4060">
        <v>57.61</v>
      </c>
      <c r="N4060">
        <v>1</v>
      </c>
      <c r="O4060">
        <v>21.48</v>
      </c>
      <c r="P4060">
        <f t="shared" si="252"/>
        <v>5.5828601421959246E-3</v>
      </c>
      <c r="Q4060">
        <f t="shared" si="252"/>
        <v>0.49239316239316239</v>
      </c>
      <c r="R4060">
        <f t="shared" si="253"/>
        <v>57.61</v>
      </c>
      <c r="S4060">
        <f t="shared" si="254"/>
        <v>0.37285193542787709</v>
      </c>
      <c r="T4060">
        <f t="shared" si="255"/>
        <v>8.5470085470085479E-3</v>
      </c>
      <c r="U4060" t="str">
        <f>YEAR('Campaign Data'!$A4060)&amp;"-"&amp;TEXT(MONTH('Campaign Data'!$A4060),"00")</f>
        <v>2026-08</v>
      </c>
    </row>
    <row r="4061" spans="1:21" x14ac:dyDescent="0.25">
      <c r="A4061">
        <v>46244</v>
      </c>
      <c r="B4061" t="s">
        <v>39</v>
      </c>
      <c r="C4061" t="s">
        <v>40</v>
      </c>
      <c r="D4061" t="s">
        <v>41</v>
      </c>
      <c r="E4061" t="s">
        <v>42</v>
      </c>
      <c r="F4061" t="s">
        <v>43</v>
      </c>
      <c r="G4061" t="s">
        <v>44</v>
      </c>
      <c r="H4061" t="s">
        <v>71</v>
      </c>
      <c r="I4061" t="s">
        <v>37</v>
      </c>
      <c r="J4061" t="s">
        <v>87</v>
      </c>
      <c r="K4061">
        <v>9019</v>
      </c>
      <c r="L4061">
        <v>56</v>
      </c>
      <c r="M4061">
        <v>406.01</v>
      </c>
      <c r="N4061">
        <v>0</v>
      </c>
      <c r="O4061">
        <v>0</v>
      </c>
      <c r="P4061">
        <f t="shared" si="252"/>
        <v>6.2091140924714489E-3</v>
      </c>
      <c r="Q4061">
        <f t="shared" si="252"/>
        <v>7.2501785714285711</v>
      </c>
      <c r="R4061">
        <f t="shared" si="253"/>
        <v>0</v>
      </c>
      <c r="S4061">
        <f t="shared" si="254"/>
        <v>0</v>
      </c>
      <c r="T4061">
        <f t="shared" si="255"/>
        <v>0</v>
      </c>
      <c r="U4061" t="str">
        <f>YEAR('Campaign Data'!$A4061)&amp;"-"&amp;TEXT(MONTH('Campaign Data'!$A4061),"00")</f>
        <v>2026-08</v>
      </c>
    </row>
    <row r="4062" spans="1:21" x14ac:dyDescent="0.25">
      <c r="A4062">
        <v>46244</v>
      </c>
      <c r="B4062" t="s">
        <v>103</v>
      </c>
      <c r="C4062" t="s">
        <v>104</v>
      </c>
      <c r="D4062" t="s">
        <v>65</v>
      </c>
      <c r="E4062" t="s">
        <v>33</v>
      </c>
      <c r="F4062" t="s">
        <v>43</v>
      </c>
      <c r="G4062" t="s">
        <v>102</v>
      </c>
      <c r="H4062" t="s">
        <v>71</v>
      </c>
      <c r="I4062" t="s">
        <v>37</v>
      </c>
      <c r="J4062" t="s">
        <v>29</v>
      </c>
      <c r="K4062">
        <v>3591</v>
      </c>
      <c r="L4062">
        <v>23</v>
      </c>
      <c r="M4062">
        <v>10.7</v>
      </c>
      <c r="N4062">
        <v>2</v>
      </c>
      <c r="O4062">
        <v>45.26</v>
      </c>
      <c r="P4062">
        <f t="shared" si="252"/>
        <v>6.4049011417432467E-3</v>
      </c>
      <c r="Q4062">
        <f t="shared" si="252"/>
        <v>0.4652173913043478</v>
      </c>
      <c r="R4062">
        <f t="shared" si="253"/>
        <v>5.35</v>
      </c>
      <c r="S4062">
        <f t="shared" si="254"/>
        <v>4.2299065420560753</v>
      </c>
      <c r="T4062">
        <f t="shared" si="255"/>
        <v>8.6956521739130432E-2</v>
      </c>
      <c r="U4062" t="str">
        <f>YEAR('Campaign Data'!$A4062)&amp;"-"&amp;TEXT(MONTH('Campaign Data'!$A4062),"00")</f>
        <v>2026-08</v>
      </c>
    </row>
    <row r="4063" spans="1:21" x14ac:dyDescent="0.25">
      <c r="A4063">
        <v>46244</v>
      </c>
      <c r="B4063" t="s">
        <v>132</v>
      </c>
      <c r="C4063" t="s">
        <v>133</v>
      </c>
      <c r="D4063" t="s">
        <v>23</v>
      </c>
      <c r="E4063" t="s">
        <v>42</v>
      </c>
      <c r="F4063" t="s">
        <v>75</v>
      </c>
      <c r="G4063" t="s">
        <v>84</v>
      </c>
      <c r="H4063" t="s">
        <v>51</v>
      </c>
      <c r="I4063" t="s">
        <v>61</v>
      </c>
      <c r="J4063" t="s">
        <v>29</v>
      </c>
      <c r="K4063">
        <v>4022</v>
      </c>
      <c r="L4063">
        <v>25</v>
      </c>
      <c r="M4063">
        <v>149.63999999999999</v>
      </c>
      <c r="N4063">
        <v>0</v>
      </c>
      <c r="O4063">
        <v>0</v>
      </c>
      <c r="P4063">
        <f t="shared" si="252"/>
        <v>6.2158130283441072E-3</v>
      </c>
      <c r="Q4063">
        <f t="shared" si="252"/>
        <v>5.9855999999999998</v>
      </c>
      <c r="R4063">
        <f t="shared" si="253"/>
        <v>0</v>
      </c>
      <c r="S4063">
        <f t="shared" si="254"/>
        <v>0</v>
      </c>
      <c r="T4063">
        <f t="shared" si="255"/>
        <v>0</v>
      </c>
      <c r="U4063" t="str">
        <f>YEAR('Campaign Data'!$A4063)&amp;"-"&amp;TEXT(MONTH('Campaign Data'!$A4063),"00")</f>
        <v>2026-08</v>
      </c>
    </row>
    <row r="4064" spans="1:21" x14ac:dyDescent="0.25">
      <c r="A4064">
        <v>46244</v>
      </c>
      <c r="B4064" t="s">
        <v>140</v>
      </c>
      <c r="C4064" t="s">
        <v>40</v>
      </c>
      <c r="D4064" t="s">
        <v>41</v>
      </c>
      <c r="E4064" t="s">
        <v>42</v>
      </c>
      <c r="F4064" t="s">
        <v>43</v>
      </c>
      <c r="G4064" t="s">
        <v>44</v>
      </c>
      <c r="H4064" t="s">
        <v>60</v>
      </c>
      <c r="I4064" t="s">
        <v>28</v>
      </c>
      <c r="J4064" t="s">
        <v>38</v>
      </c>
      <c r="K4064">
        <v>6368</v>
      </c>
      <c r="L4064">
        <v>37</v>
      </c>
      <c r="M4064">
        <v>248.29</v>
      </c>
      <c r="N4064">
        <v>0</v>
      </c>
      <c r="O4064">
        <v>0</v>
      </c>
      <c r="P4064">
        <f t="shared" si="252"/>
        <v>5.8103015075376884E-3</v>
      </c>
      <c r="Q4064">
        <f t="shared" si="252"/>
        <v>6.7105405405405403</v>
      </c>
      <c r="R4064">
        <f t="shared" si="253"/>
        <v>0</v>
      </c>
      <c r="S4064">
        <f t="shared" si="254"/>
        <v>0</v>
      </c>
      <c r="T4064">
        <f t="shared" si="255"/>
        <v>0</v>
      </c>
      <c r="U4064" t="str">
        <f>YEAR('Campaign Data'!$A4064)&amp;"-"&amp;TEXT(MONTH('Campaign Data'!$A4064),"00")</f>
        <v>2026-08</v>
      </c>
    </row>
    <row r="4065" spans="1:21" x14ac:dyDescent="0.25">
      <c r="A4065">
        <v>46244</v>
      </c>
      <c r="B4065" t="s">
        <v>140</v>
      </c>
      <c r="C4065" t="s">
        <v>40</v>
      </c>
      <c r="D4065" t="s">
        <v>41</v>
      </c>
      <c r="E4065" t="s">
        <v>42</v>
      </c>
      <c r="F4065" t="s">
        <v>43</v>
      </c>
      <c r="G4065" t="s">
        <v>44</v>
      </c>
      <c r="H4065" t="s">
        <v>55</v>
      </c>
      <c r="I4065" t="s">
        <v>37</v>
      </c>
      <c r="J4065" t="s">
        <v>38</v>
      </c>
      <c r="K4065">
        <v>21514</v>
      </c>
      <c r="L4065">
        <v>149</v>
      </c>
      <c r="M4065">
        <v>757.52</v>
      </c>
      <c r="N4065">
        <v>2</v>
      </c>
      <c r="O4065">
        <v>49.72</v>
      </c>
      <c r="P4065">
        <f t="shared" si="252"/>
        <v>6.9257227851631494E-3</v>
      </c>
      <c r="Q4065">
        <f t="shared" si="252"/>
        <v>5.0840268456375837</v>
      </c>
      <c r="R4065">
        <f t="shared" si="253"/>
        <v>378.76</v>
      </c>
      <c r="S4065">
        <f t="shared" si="254"/>
        <v>6.5635230752983414E-2</v>
      </c>
      <c r="T4065">
        <f t="shared" si="255"/>
        <v>1.3422818791946308E-2</v>
      </c>
      <c r="U4065" t="str">
        <f>YEAR('Campaign Data'!$A4065)&amp;"-"&amp;TEXT(MONTH('Campaign Data'!$A4065),"00")</f>
        <v>2026-08</v>
      </c>
    </row>
    <row r="4066" spans="1:21" x14ac:dyDescent="0.25">
      <c r="A4066">
        <v>46244</v>
      </c>
      <c r="B4066" t="s">
        <v>114</v>
      </c>
      <c r="C4066" t="s">
        <v>115</v>
      </c>
      <c r="D4066" t="s">
        <v>69</v>
      </c>
      <c r="E4066" t="s">
        <v>49</v>
      </c>
      <c r="F4066" t="s">
        <v>25</v>
      </c>
      <c r="G4066" t="s">
        <v>107</v>
      </c>
      <c r="H4066" t="s">
        <v>27</v>
      </c>
      <c r="I4066" t="s">
        <v>37</v>
      </c>
      <c r="J4066" t="s">
        <v>29</v>
      </c>
      <c r="K4066">
        <v>4519</v>
      </c>
      <c r="L4066">
        <v>235</v>
      </c>
      <c r="M4066">
        <v>639.32000000000005</v>
      </c>
      <c r="N4066">
        <v>10</v>
      </c>
      <c r="O4066">
        <v>2580.52</v>
      </c>
      <c r="P4066">
        <f t="shared" si="252"/>
        <v>5.2002655454746624E-2</v>
      </c>
      <c r="Q4066">
        <f t="shared" si="252"/>
        <v>2.7205106382978728</v>
      </c>
      <c r="R4066">
        <f t="shared" si="253"/>
        <v>63.932000000000002</v>
      </c>
      <c r="S4066">
        <f t="shared" si="254"/>
        <v>4.0363511230682594</v>
      </c>
      <c r="T4066">
        <f t="shared" si="255"/>
        <v>4.2553191489361701E-2</v>
      </c>
      <c r="U4066" t="str">
        <f>YEAR('Campaign Data'!$A4066)&amp;"-"&amp;TEXT(MONTH('Campaign Data'!$A4066),"00")</f>
        <v>2026-08</v>
      </c>
    </row>
    <row r="4067" spans="1:21" x14ac:dyDescent="0.25">
      <c r="A4067">
        <v>46244</v>
      </c>
      <c r="B4067" t="s">
        <v>141</v>
      </c>
      <c r="C4067" t="s">
        <v>142</v>
      </c>
      <c r="D4067" t="s">
        <v>80</v>
      </c>
      <c r="E4067" t="s">
        <v>49</v>
      </c>
      <c r="F4067" t="s">
        <v>81</v>
      </c>
      <c r="G4067" t="s">
        <v>97</v>
      </c>
      <c r="H4067" t="s">
        <v>51</v>
      </c>
      <c r="I4067" t="s">
        <v>37</v>
      </c>
      <c r="J4067" t="s">
        <v>45</v>
      </c>
      <c r="K4067">
        <v>15113</v>
      </c>
      <c r="L4067">
        <v>958</v>
      </c>
      <c r="M4067">
        <v>2250.4899999999998</v>
      </c>
      <c r="N4067">
        <v>42</v>
      </c>
      <c r="O4067">
        <v>984.72</v>
      </c>
      <c r="P4067">
        <f t="shared" si="252"/>
        <v>6.3389135181631709E-2</v>
      </c>
      <c r="Q4067">
        <f t="shared" si="252"/>
        <v>2.3491544885177449</v>
      </c>
      <c r="R4067">
        <f t="shared" si="253"/>
        <v>53.583095238095233</v>
      </c>
      <c r="S4067">
        <f t="shared" si="254"/>
        <v>0.43755804291509853</v>
      </c>
      <c r="T4067">
        <f t="shared" si="255"/>
        <v>4.3841336116910233E-2</v>
      </c>
      <c r="U4067" t="str">
        <f>YEAR('Campaign Data'!$A4067)&amp;"-"&amp;TEXT(MONTH('Campaign Data'!$A4067),"00")</f>
        <v>2026-08</v>
      </c>
    </row>
    <row r="4068" spans="1:21" x14ac:dyDescent="0.25">
      <c r="A4068">
        <v>46244</v>
      </c>
      <c r="B4068" t="s">
        <v>143</v>
      </c>
      <c r="C4068" t="s">
        <v>144</v>
      </c>
      <c r="D4068" t="s">
        <v>48</v>
      </c>
      <c r="E4068" t="s">
        <v>42</v>
      </c>
      <c r="F4068" t="s">
        <v>25</v>
      </c>
      <c r="G4068" t="s">
        <v>84</v>
      </c>
      <c r="H4068" t="s">
        <v>27</v>
      </c>
      <c r="I4068" t="s">
        <v>28</v>
      </c>
      <c r="J4068" t="s">
        <v>38</v>
      </c>
      <c r="K4068">
        <v>2342</v>
      </c>
      <c r="L4068">
        <v>16</v>
      </c>
      <c r="M4068">
        <v>120.45</v>
      </c>
      <c r="N4068">
        <v>1</v>
      </c>
      <c r="O4068">
        <v>173.08</v>
      </c>
      <c r="P4068">
        <f t="shared" si="252"/>
        <v>6.8317677198975234E-3</v>
      </c>
      <c r="Q4068">
        <f t="shared" si="252"/>
        <v>7.5281250000000002</v>
      </c>
      <c r="R4068">
        <f t="shared" si="253"/>
        <v>120.45</v>
      </c>
      <c r="S4068">
        <f t="shared" si="254"/>
        <v>1.4369447903694479</v>
      </c>
      <c r="T4068">
        <f t="shared" si="255"/>
        <v>6.25E-2</v>
      </c>
      <c r="U4068" t="str">
        <f>YEAR('Campaign Data'!$A4068)&amp;"-"&amp;TEXT(MONTH('Campaign Data'!$A4068),"00")</f>
        <v>2026-08</v>
      </c>
    </row>
    <row r="4069" spans="1:21" x14ac:dyDescent="0.25">
      <c r="A4069">
        <v>46244</v>
      </c>
      <c r="B4069" t="s">
        <v>183</v>
      </c>
      <c r="C4069" t="s">
        <v>184</v>
      </c>
      <c r="D4069" t="s">
        <v>23</v>
      </c>
      <c r="E4069" t="s">
        <v>24</v>
      </c>
      <c r="F4069" t="s">
        <v>81</v>
      </c>
      <c r="G4069" t="s">
        <v>185</v>
      </c>
      <c r="H4069" t="s">
        <v>27</v>
      </c>
      <c r="I4069" t="s">
        <v>37</v>
      </c>
      <c r="J4069" t="s">
        <v>29</v>
      </c>
      <c r="K4069">
        <v>3033</v>
      </c>
      <c r="L4069">
        <v>55</v>
      </c>
      <c r="M4069">
        <v>45.9</v>
      </c>
      <c r="N4069">
        <v>2</v>
      </c>
      <c r="O4069">
        <v>55.98</v>
      </c>
      <c r="P4069">
        <f t="shared" si="252"/>
        <v>1.8133860863831189E-2</v>
      </c>
      <c r="Q4069">
        <f t="shared" si="252"/>
        <v>0.83454545454545448</v>
      </c>
      <c r="R4069">
        <f t="shared" si="253"/>
        <v>22.95</v>
      </c>
      <c r="S4069">
        <f t="shared" si="254"/>
        <v>1.2196078431372548</v>
      </c>
      <c r="T4069">
        <f t="shared" si="255"/>
        <v>3.6363636363636362E-2</v>
      </c>
      <c r="U4069" t="str">
        <f>YEAR('Campaign Data'!$A4069)&amp;"-"&amp;TEXT(MONTH('Campaign Data'!$A4069),"00")</f>
        <v>2026-08</v>
      </c>
    </row>
    <row r="4070" spans="1:21" x14ac:dyDescent="0.25">
      <c r="A4070">
        <v>46244</v>
      </c>
      <c r="B4070" t="s">
        <v>163</v>
      </c>
      <c r="C4070" t="s">
        <v>164</v>
      </c>
      <c r="D4070" t="s">
        <v>58</v>
      </c>
      <c r="E4070" t="s">
        <v>42</v>
      </c>
      <c r="F4070" t="s">
        <v>43</v>
      </c>
      <c r="G4070" t="s">
        <v>44</v>
      </c>
      <c r="H4070" t="s">
        <v>27</v>
      </c>
      <c r="I4070" t="s">
        <v>28</v>
      </c>
      <c r="J4070" t="s">
        <v>87</v>
      </c>
      <c r="K4070">
        <v>9451</v>
      </c>
      <c r="L4070">
        <v>44</v>
      </c>
      <c r="M4070">
        <v>394.36</v>
      </c>
      <c r="N4070">
        <v>0</v>
      </c>
      <c r="O4070">
        <v>0</v>
      </c>
      <c r="P4070">
        <f t="shared" si="252"/>
        <v>4.6555920008464714E-3</v>
      </c>
      <c r="Q4070">
        <f t="shared" si="252"/>
        <v>8.9627272727272729</v>
      </c>
      <c r="R4070">
        <f t="shared" si="253"/>
        <v>0</v>
      </c>
      <c r="S4070">
        <f t="shared" si="254"/>
        <v>0</v>
      </c>
      <c r="T4070">
        <f t="shared" si="255"/>
        <v>0</v>
      </c>
      <c r="U4070" t="str">
        <f>YEAR('Campaign Data'!$A4070)&amp;"-"&amp;TEXT(MONTH('Campaign Data'!$A4070),"00")</f>
        <v>2026-08</v>
      </c>
    </row>
    <row r="4071" spans="1:21" x14ac:dyDescent="0.25">
      <c r="A4071">
        <v>46245</v>
      </c>
      <c r="B4071" t="s">
        <v>175</v>
      </c>
      <c r="C4071" t="s">
        <v>176</v>
      </c>
      <c r="D4071" t="s">
        <v>65</v>
      </c>
      <c r="E4071" t="s">
        <v>49</v>
      </c>
      <c r="F4071" t="s">
        <v>75</v>
      </c>
      <c r="G4071" t="s">
        <v>70</v>
      </c>
      <c r="H4071" t="s">
        <v>27</v>
      </c>
      <c r="I4071" t="s">
        <v>28</v>
      </c>
      <c r="J4071" t="s">
        <v>62</v>
      </c>
      <c r="K4071">
        <v>8428</v>
      </c>
      <c r="L4071">
        <v>623</v>
      </c>
      <c r="M4071">
        <v>1446.92</v>
      </c>
      <c r="N4071">
        <v>61</v>
      </c>
      <c r="O4071">
        <v>1219.44</v>
      </c>
      <c r="P4071">
        <f t="shared" si="252"/>
        <v>7.3920265780730895E-2</v>
      </c>
      <c r="Q4071">
        <f t="shared" si="252"/>
        <v>2.3225040128410916</v>
      </c>
      <c r="R4071">
        <f t="shared" si="253"/>
        <v>23.720000000000002</v>
      </c>
      <c r="S4071">
        <f t="shared" si="254"/>
        <v>0.8427832914051917</v>
      </c>
      <c r="T4071">
        <f t="shared" si="255"/>
        <v>9.7913322632423749E-2</v>
      </c>
      <c r="U4071" t="str">
        <f>YEAR('Campaign Data'!$A4071)&amp;"-"&amp;TEXT(MONTH('Campaign Data'!$A4071),"00")</f>
        <v>2026-08</v>
      </c>
    </row>
    <row r="4072" spans="1:21" x14ac:dyDescent="0.25">
      <c r="A4072">
        <v>46245</v>
      </c>
      <c r="B4072" t="s">
        <v>167</v>
      </c>
      <c r="C4072" t="s">
        <v>168</v>
      </c>
      <c r="D4072" t="s">
        <v>58</v>
      </c>
      <c r="E4072" t="s">
        <v>33</v>
      </c>
      <c r="F4072" t="s">
        <v>75</v>
      </c>
      <c r="G4072" t="s">
        <v>35</v>
      </c>
      <c r="H4072" t="s">
        <v>51</v>
      </c>
      <c r="I4072" t="s">
        <v>37</v>
      </c>
      <c r="J4072" t="s">
        <v>62</v>
      </c>
      <c r="K4072">
        <v>1177</v>
      </c>
      <c r="L4072">
        <v>10</v>
      </c>
      <c r="M4072">
        <v>5.08</v>
      </c>
      <c r="N4072">
        <v>0</v>
      </c>
      <c r="O4072">
        <v>0</v>
      </c>
      <c r="P4072">
        <f t="shared" si="252"/>
        <v>8.4961767204757861E-3</v>
      </c>
      <c r="Q4072">
        <f t="shared" si="252"/>
        <v>0.50800000000000001</v>
      </c>
      <c r="R4072">
        <f t="shared" si="253"/>
        <v>0</v>
      </c>
      <c r="S4072">
        <f t="shared" si="254"/>
        <v>0</v>
      </c>
      <c r="T4072">
        <f t="shared" si="255"/>
        <v>0</v>
      </c>
      <c r="U4072" t="str">
        <f>YEAR('Campaign Data'!$A4072)&amp;"-"&amp;TEXT(MONTH('Campaign Data'!$A4072),"00")</f>
        <v>2026-08</v>
      </c>
    </row>
    <row r="4073" spans="1:21" x14ac:dyDescent="0.25">
      <c r="A4073">
        <v>46245</v>
      </c>
      <c r="B4073" t="s">
        <v>167</v>
      </c>
      <c r="C4073" t="s">
        <v>168</v>
      </c>
      <c r="D4073" t="s">
        <v>58</v>
      </c>
      <c r="E4073" t="s">
        <v>33</v>
      </c>
      <c r="F4073" t="s">
        <v>75</v>
      </c>
      <c r="G4073" t="s">
        <v>35</v>
      </c>
      <c r="H4073" t="s">
        <v>27</v>
      </c>
      <c r="I4073" t="s">
        <v>37</v>
      </c>
      <c r="J4073" t="s">
        <v>87</v>
      </c>
      <c r="K4073">
        <v>7412</v>
      </c>
      <c r="L4073">
        <v>65</v>
      </c>
      <c r="M4073">
        <v>44.4</v>
      </c>
      <c r="N4073">
        <v>4</v>
      </c>
      <c r="O4073">
        <v>200.54</v>
      </c>
      <c r="P4073">
        <f t="shared" si="252"/>
        <v>8.7695628710199678E-3</v>
      </c>
      <c r="Q4073">
        <f t="shared" si="252"/>
        <v>0.68307692307692303</v>
      </c>
      <c r="R4073">
        <f t="shared" si="253"/>
        <v>11.1</v>
      </c>
      <c r="S4073">
        <f t="shared" si="254"/>
        <v>4.5166666666666666</v>
      </c>
      <c r="T4073">
        <f t="shared" si="255"/>
        <v>6.1538461538461542E-2</v>
      </c>
      <c r="U4073" t="str">
        <f>YEAR('Campaign Data'!$A4073)&amp;"-"&amp;TEXT(MONTH('Campaign Data'!$A4073),"00")</f>
        <v>2026-08</v>
      </c>
    </row>
    <row r="4074" spans="1:21" x14ac:dyDescent="0.25">
      <c r="A4074">
        <v>46245</v>
      </c>
      <c r="B4074" t="s">
        <v>147</v>
      </c>
      <c r="C4074" t="s">
        <v>148</v>
      </c>
      <c r="D4074" t="s">
        <v>23</v>
      </c>
      <c r="E4074" t="s">
        <v>42</v>
      </c>
      <c r="F4074" t="s">
        <v>75</v>
      </c>
      <c r="G4074" t="s">
        <v>44</v>
      </c>
      <c r="H4074" t="s">
        <v>90</v>
      </c>
      <c r="I4074" t="s">
        <v>37</v>
      </c>
      <c r="J4074" t="s">
        <v>62</v>
      </c>
      <c r="K4074">
        <v>3251</v>
      </c>
      <c r="L4074">
        <v>19</v>
      </c>
      <c r="M4074">
        <v>29.03</v>
      </c>
      <c r="N4074">
        <v>0</v>
      </c>
      <c r="O4074">
        <v>0</v>
      </c>
      <c r="P4074">
        <f t="shared" si="252"/>
        <v>5.8443555828975704E-3</v>
      </c>
      <c r="Q4074">
        <f t="shared" si="252"/>
        <v>1.5278947368421054</v>
      </c>
      <c r="R4074">
        <f t="shared" si="253"/>
        <v>0</v>
      </c>
      <c r="S4074">
        <f t="shared" si="254"/>
        <v>0</v>
      </c>
      <c r="T4074">
        <f t="shared" si="255"/>
        <v>0</v>
      </c>
      <c r="U4074" t="str">
        <f>YEAR('Campaign Data'!$A4074)&amp;"-"&amp;TEXT(MONTH('Campaign Data'!$A4074),"00")</f>
        <v>2026-08</v>
      </c>
    </row>
    <row r="4075" spans="1:21" x14ac:dyDescent="0.25">
      <c r="A4075">
        <v>46245</v>
      </c>
      <c r="B4075" t="s">
        <v>95</v>
      </c>
      <c r="C4075" t="s">
        <v>96</v>
      </c>
      <c r="D4075" t="s">
        <v>23</v>
      </c>
      <c r="E4075" t="s">
        <v>49</v>
      </c>
      <c r="F4075" t="s">
        <v>43</v>
      </c>
      <c r="G4075" t="s">
        <v>97</v>
      </c>
      <c r="H4075" t="s">
        <v>90</v>
      </c>
      <c r="I4075" t="s">
        <v>37</v>
      </c>
      <c r="J4075" t="s">
        <v>62</v>
      </c>
      <c r="K4075">
        <v>4126</v>
      </c>
      <c r="L4075">
        <v>159</v>
      </c>
      <c r="M4075">
        <v>66.540000000000006</v>
      </c>
      <c r="N4075">
        <v>15</v>
      </c>
      <c r="O4075">
        <v>114.26</v>
      </c>
      <c r="P4075">
        <f t="shared" si="252"/>
        <v>3.8536112457586043E-2</v>
      </c>
      <c r="Q4075">
        <f t="shared" si="252"/>
        <v>0.41849056603773588</v>
      </c>
      <c r="R4075">
        <f t="shared" si="253"/>
        <v>4.4360000000000008</v>
      </c>
      <c r="S4075">
        <f t="shared" si="254"/>
        <v>1.7171626089570182</v>
      </c>
      <c r="T4075">
        <f t="shared" si="255"/>
        <v>9.4339622641509441E-2</v>
      </c>
      <c r="U4075" t="str">
        <f>YEAR('Campaign Data'!$A4075)&amp;"-"&amp;TEXT(MONTH('Campaign Data'!$A4075),"00")</f>
        <v>2026-08</v>
      </c>
    </row>
    <row r="4076" spans="1:21" x14ac:dyDescent="0.25">
      <c r="A4076">
        <v>46245</v>
      </c>
      <c r="B4076" t="s">
        <v>95</v>
      </c>
      <c r="C4076" t="s">
        <v>96</v>
      </c>
      <c r="D4076" t="s">
        <v>23</v>
      </c>
      <c r="E4076" t="s">
        <v>49</v>
      </c>
      <c r="F4076" t="s">
        <v>43</v>
      </c>
      <c r="G4076" t="s">
        <v>97</v>
      </c>
      <c r="H4076" t="s">
        <v>27</v>
      </c>
      <c r="I4076" t="s">
        <v>28</v>
      </c>
      <c r="J4076" t="s">
        <v>38</v>
      </c>
      <c r="K4076">
        <v>5110</v>
      </c>
      <c r="L4076">
        <v>111</v>
      </c>
      <c r="M4076">
        <v>255.63</v>
      </c>
      <c r="N4076">
        <v>5</v>
      </c>
      <c r="O4076">
        <v>239.89</v>
      </c>
      <c r="P4076">
        <f t="shared" si="252"/>
        <v>2.172211350293542E-2</v>
      </c>
      <c r="Q4076">
        <f t="shared" si="252"/>
        <v>2.3029729729729729</v>
      </c>
      <c r="R4076">
        <f t="shared" si="253"/>
        <v>51.125999999999998</v>
      </c>
      <c r="S4076">
        <f t="shared" si="254"/>
        <v>0.93842663224191214</v>
      </c>
      <c r="T4076">
        <f t="shared" si="255"/>
        <v>4.5045045045045043E-2</v>
      </c>
      <c r="U4076" t="str">
        <f>YEAR('Campaign Data'!$A4076)&amp;"-"&amp;TEXT(MONTH('Campaign Data'!$A4076),"00")</f>
        <v>2026-08</v>
      </c>
    </row>
    <row r="4077" spans="1:21" x14ac:dyDescent="0.25">
      <c r="A4077">
        <v>46245</v>
      </c>
      <c r="B4077" t="s">
        <v>46</v>
      </c>
      <c r="C4077" t="s">
        <v>47</v>
      </c>
      <c r="D4077" t="s">
        <v>48</v>
      </c>
      <c r="E4077" t="s">
        <v>49</v>
      </c>
      <c r="F4077" t="s">
        <v>43</v>
      </c>
      <c r="G4077" t="s">
        <v>50</v>
      </c>
      <c r="H4077" t="s">
        <v>60</v>
      </c>
      <c r="I4077" t="s">
        <v>37</v>
      </c>
      <c r="J4077" t="s">
        <v>38</v>
      </c>
      <c r="K4077">
        <v>5887</v>
      </c>
      <c r="L4077">
        <v>393</v>
      </c>
      <c r="M4077">
        <v>671.57</v>
      </c>
      <c r="N4077">
        <v>31</v>
      </c>
      <c r="O4077">
        <v>1036.22</v>
      </c>
      <c r="P4077">
        <f t="shared" si="252"/>
        <v>6.6757261763207065E-2</v>
      </c>
      <c r="Q4077">
        <f t="shared" si="252"/>
        <v>1.7088295165394403</v>
      </c>
      <c r="R4077">
        <f t="shared" si="253"/>
        <v>21.663548387096775</v>
      </c>
      <c r="S4077">
        <f t="shared" si="254"/>
        <v>1.5429813720088748</v>
      </c>
      <c r="T4077">
        <f t="shared" si="255"/>
        <v>7.8880407124681931E-2</v>
      </c>
      <c r="U4077" t="str">
        <f>YEAR('Campaign Data'!$A4077)&amp;"-"&amp;TEXT(MONTH('Campaign Data'!$A4077),"00")</f>
        <v>2026-08</v>
      </c>
    </row>
    <row r="4078" spans="1:21" x14ac:dyDescent="0.25">
      <c r="A4078">
        <v>46245</v>
      </c>
      <c r="B4078" t="s">
        <v>46</v>
      </c>
      <c r="C4078" t="s">
        <v>47</v>
      </c>
      <c r="D4078" t="s">
        <v>48</v>
      </c>
      <c r="E4078" t="s">
        <v>49</v>
      </c>
      <c r="F4078" t="s">
        <v>43</v>
      </c>
      <c r="G4078" t="s">
        <v>50</v>
      </c>
      <c r="H4078" t="s">
        <v>90</v>
      </c>
      <c r="I4078" t="s">
        <v>28</v>
      </c>
      <c r="J4078" t="s">
        <v>38</v>
      </c>
      <c r="K4078">
        <v>2448</v>
      </c>
      <c r="L4078">
        <v>91</v>
      </c>
      <c r="M4078">
        <v>44.57</v>
      </c>
      <c r="N4078">
        <v>5</v>
      </c>
      <c r="O4078">
        <v>25.24</v>
      </c>
      <c r="P4078">
        <f t="shared" si="252"/>
        <v>3.7173202614379085E-2</v>
      </c>
      <c r="Q4078">
        <f t="shared" si="252"/>
        <v>0.48978021978021979</v>
      </c>
      <c r="R4078">
        <f t="shared" si="253"/>
        <v>8.9139999999999997</v>
      </c>
      <c r="S4078">
        <f t="shared" si="254"/>
        <v>0.566300201929549</v>
      </c>
      <c r="T4078">
        <f t="shared" si="255"/>
        <v>5.4945054945054944E-2</v>
      </c>
      <c r="U4078" t="str">
        <f>YEAR('Campaign Data'!$A4078)&amp;"-"&amp;TEXT(MONTH('Campaign Data'!$A4078),"00")</f>
        <v>2026-08</v>
      </c>
    </row>
    <row r="4079" spans="1:21" x14ac:dyDescent="0.25">
      <c r="A4079">
        <v>46245</v>
      </c>
      <c r="B4079" t="s">
        <v>52</v>
      </c>
      <c r="C4079" t="s">
        <v>53</v>
      </c>
      <c r="D4079" t="s">
        <v>32</v>
      </c>
      <c r="E4079" t="s">
        <v>42</v>
      </c>
      <c r="F4079" t="s">
        <v>25</v>
      </c>
      <c r="G4079" t="s">
        <v>54</v>
      </c>
      <c r="H4079" t="s">
        <v>90</v>
      </c>
      <c r="I4079" t="s">
        <v>28</v>
      </c>
      <c r="J4079" t="s">
        <v>38</v>
      </c>
      <c r="K4079">
        <v>4138</v>
      </c>
      <c r="L4079">
        <v>25</v>
      </c>
      <c r="M4079">
        <v>40</v>
      </c>
      <c r="N4079">
        <v>0</v>
      </c>
      <c r="O4079">
        <v>0</v>
      </c>
      <c r="P4079">
        <f t="shared" si="252"/>
        <v>6.0415659739004347E-3</v>
      </c>
      <c r="Q4079">
        <f t="shared" si="252"/>
        <v>1.6</v>
      </c>
      <c r="R4079">
        <f t="shared" si="253"/>
        <v>0</v>
      </c>
      <c r="S4079">
        <f t="shared" si="254"/>
        <v>0</v>
      </c>
      <c r="T4079">
        <f t="shared" si="255"/>
        <v>0</v>
      </c>
      <c r="U4079" t="str">
        <f>YEAR('Campaign Data'!$A4079)&amp;"-"&amp;TEXT(MONTH('Campaign Data'!$A4079),"00")</f>
        <v>2026-08</v>
      </c>
    </row>
    <row r="4080" spans="1:21" x14ac:dyDescent="0.25">
      <c r="A4080">
        <v>46245</v>
      </c>
      <c r="B4080" t="s">
        <v>103</v>
      </c>
      <c r="C4080" t="s">
        <v>104</v>
      </c>
      <c r="D4080" t="s">
        <v>65</v>
      </c>
      <c r="E4080" t="s">
        <v>33</v>
      </c>
      <c r="F4080" t="s">
        <v>43</v>
      </c>
      <c r="G4080" t="s">
        <v>102</v>
      </c>
      <c r="H4080" t="s">
        <v>27</v>
      </c>
      <c r="I4080" t="s">
        <v>37</v>
      </c>
      <c r="J4080" t="s">
        <v>38</v>
      </c>
      <c r="K4080">
        <v>10557</v>
      </c>
      <c r="L4080">
        <v>133</v>
      </c>
      <c r="M4080">
        <v>108.15</v>
      </c>
      <c r="N4080">
        <v>1</v>
      </c>
      <c r="O4080">
        <v>35.590000000000003</v>
      </c>
      <c r="P4080">
        <f t="shared" si="252"/>
        <v>1.2598276025385999E-2</v>
      </c>
      <c r="Q4080">
        <f t="shared" si="252"/>
        <v>0.81315789473684219</v>
      </c>
      <c r="R4080">
        <f t="shared" si="253"/>
        <v>108.15</v>
      </c>
      <c r="S4080">
        <f t="shared" si="254"/>
        <v>0.329079981507166</v>
      </c>
      <c r="T4080">
        <f t="shared" si="255"/>
        <v>7.5187969924812026E-3</v>
      </c>
      <c r="U4080" t="str">
        <f>YEAR('Campaign Data'!$A4080)&amp;"-"&amp;TEXT(MONTH('Campaign Data'!$A4080),"00")</f>
        <v>2026-08</v>
      </c>
    </row>
    <row r="4081" spans="1:21" x14ac:dyDescent="0.25">
      <c r="A4081">
        <v>46245</v>
      </c>
      <c r="B4081" t="s">
        <v>105</v>
      </c>
      <c r="C4081" t="s">
        <v>106</v>
      </c>
      <c r="D4081" t="s">
        <v>58</v>
      </c>
      <c r="E4081" t="s">
        <v>49</v>
      </c>
      <c r="F4081" t="s">
        <v>81</v>
      </c>
      <c r="G4081" t="s">
        <v>107</v>
      </c>
      <c r="H4081" t="s">
        <v>90</v>
      </c>
      <c r="I4081" t="s">
        <v>28</v>
      </c>
      <c r="J4081" t="s">
        <v>62</v>
      </c>
      <c r="K4081">
        <v>13164</v>
      </c>
      <c r="L4081">
        <v>546</v>
      </c>
      <c r="M4081">
        <v>259.77999999999997</v>
      </c>
      <c r="N4081">
        <v>44</v>
      </c>
      <c r="O4081">
        <v>220</v>
      </c>
      <c r="P4081">
        <f t="shared" si="252"/>
        <v>4.1476754785779398E-2</v>
      </c>
      <c r="Q4081">
        <f t="shared" si="252"/>
        <v>0.47578754578754573</v>
      </c>
      <c r="R4081">
        <f t="shared" si="253"/>
        <v>5.9040909090909084</v>
      </c>
      <c r="S4081">
        <f t="shared" si="254"/>
        <v>0.84687042882439001</v>
      </c>
      <c r="T4081">
        <f t="shared" si="255"/>
        <v>8.0586080586080591E-2</v>
      </c>
      <c r="U4081" t="str">
        <f>YEAR('Campaign Data'!$A4081)&amp;"-"&amp;TEXT(MONTH('Campaign Data'!$A4081),"00")</f>
        <v>2026-08</v>
      </c>
    </row>
    <row r="4082" spans="1:21" x14ac:dyDescent="0.25">
      <c r="A4082">
        <v>46245</v>
      </c>
      <c r="B4082" t="s">
        <v>153</v>
      </c>
      <c r="C4082" t="s">
        <v>154</v>
      </c>
      <c r="D4082" t="s">
        <v>48</v>
      </c>
      <c r="E4082" t="s">
        <v>33</v>
      </c>
      <c r="F4082" t="s">
        <v>43</v>
      </c>
      <c r="G4082" t="s">
        <v>59</v>
      </c>
      <c r="H4082" t="s">
        <v>27</v>
      </c>
      <c r="I4082" t="s">
        <v>37</v>
      </c>
      <c r="J4082" t="s">
        <v>62</v>
      </c>
      <c r="K4082">
        <v>11627</v>
      </c>
      <c r="L4082">
        <v>31</v>
      </c>
      <c r="M4082">
        <v>28.28</v>
      </c>
      <c r="N4082">
        <v>0</v>
      </c>
      <c r="O4082">
        <v>0</v>
      </c>
      <c r="P4082">
        <f t="shared" si="252"/>
        <v>2.6662079642212093E-3</v>
      </c>
      <c r="Q4082">
        <f t="shared" si="252"/>
        <v>0.91225806451612912</v>
      </c>
      <c r="R4082">
        <f t="shared" si="253"/>
        <v>0</v>
      </c>
      <c r="S4082">
        <f t="shared" si="254"/>
        <v>0</v>
      </c>
      <c r="T4082">
        <f t="shared" si="255"/>
        <v>0</v>
      </c>
      <c r="U4082" t="str">
        <f>YEAR('Campaign Data'!$A4082)&amp;"-"&amp;TEXT(MONTH('Campaign Data'!$A4082),"00")</f>
        <v>2026-08</v>
      </c>
    </row>
    <row r="4083" spans="1:21" x14ac:dyDescent="0.25">
      <c r="A4083">
        <v>46245</v>
      </c>
      <c r="B4083" t="s">
        <v>153</v>
      </c>
      <c r="C4083" t="s">
        <v>154</v>
      </c>
      <c r="D4083" t="s">
        <v>48</v>
      </c>
      <c r="E4083" t="s">
        <v>33</v>
      </c>
      <c r="F4083" t="s">
        <v>43</v>
      </c>
      <c r="G4083" t="s">
        <v>59</v>
      </c>
      <c r="H4083" t="s">
        <v>90</v>
      </c>
      <c r="I4083" t="s">
        <v>37</v>
      </c>
      <c r="J4083" t="s">
        <v>45</v>
      </c>
      <c r="K4083">
        <v>11662</v>
      </c>
      <c r="L4083">
        <v>124</v>
      </c>
      <c r="M4083">
        <v>19.940000000000001</v>
      </c>
      <c r="N4083">
        <v>3</v>
      </c>
      <c r="O4083">
        <v>18.420000000000002</v>
      </c>
      <c r="P4083">
        <f t="shared" si="252"/>
        <v>1.0632824558394786E-2</v>
      </c>
      <c r="Q4083">
        <f t="shared" si="252"/>
        <v>0.16080645161290325</v>
      </c>
      <c r="R4083">
        <f t="shared" si="253"/>
        <v>6.6466666666666674</v>
      </c>
      <c r="S4083">
        <f t="shared" si="254"/>
        <v>0.92377131394182554</v>
      </c>
      <c r="T4083">
        <f t="shared" si="255"/>
        <v>2.4193548387096774E-2</v>
      </c>
      <c r="U4083" t="str">
        <f>YEAR('Campaign Data'!$A4083)&amp;"-"&amp;TEXT(MONTH('Campaign Data'!$A4083),"00")</f>
        <v>2026-08</v>
      </c>
    </row>
    <row r="4084" spans="1:21" x14ac:dyDescent="0.25">
      <c r="A4084">
        <v>46245</v>
      </c>
      <c r="B4084" t="s">
        <v>171</v>
      </c>
      <c r="C4084" t="s">
        <v>172</v>
      </c>
      <c r="D4084" t="s">
        <v>23</v>
      </c>
      <c r="E4084" t="s">
        <v>33</v>
      </c>
      <c r="F4084" t="s">
        <v>75</v>
      </c>
      <c r="G4084" t="s">
        <v>59</v>
      </c>
      <c r="H4084" t="s">
        <v>71</v>
      </c>
      <c r="I4084" t="s">
        <v>28</v>
      </c>
      <c r="J4084" t="s">
        <v>87</v>
      </c>
      <c r="K4084">
        <v>6169</v>
      </c>
      <c r="L4084">
        <v>46</v>
      </c>
      <c r="M4084">
        <v>25.47</v>
      </c>
      <c r="N4084">
        <v>0</v>
      </c>
      <c r="O4084">
        <v>0</v>
      </c>
      <c r="P4084">
        <f t="shared" si="252"/>
        <v>7.4566380288539468E-3</v>
      </c>
      <c r="Q4084">
        <f t="shared" si="252"/>
        <v>0.55369565217391303</v>
      </c>
      <c r="R4084">
        <f t="shared" si="253"/>
        <v>0</v>
      </c>
      <c r="S4084">
        <f t="shared" si="254"/>
        <v>0</v>
      </c>
      <c r="T4084">
        <f t="shared" si="255"/>
        <v>0</v>
      </c>
      <c r="U4084" t="str">
        <f>YEAR('Campaign Data'!$A4084)&amp;"-"&amp;TEXT(MONTH('Campaign Data'!$A4084),"00")</f>
        <v>2026-08</v>
      </c>
    </row>
    <row r="4085" spans="1:21" x14ac:dyDescent="0.25">
      <c r="A4085">
        <v>46245</v>
      </c>
      <c r="B4085" t="s">
        <v>171</v>
      </c>
      <c r="C4085" t="s">
        <v>172</v>
      </c>
      <c r="D4085" t="s">
        <v>23</v>
      </c>
      <c r="E4085" t="s">
        <v>33</v>
      </c>
      <c r="F4085" t="s">
        <v>75</v>
      </c>
      <c r="G4085" t="s">
        <v>59</v>
      </c>
      <c r="H4085" t="s">
        <v>55</v>
      </c>
      <c r="I4085" t="s">
        <v>37</v>
      </c>
      <c r="J4085" t="s">
        <v>62</v>
      </c>
      <c r="K4085">
        <v>4071</v>
      </c>
      <c r="L4085">
        <v>41</v>
      </c>
      <c r="M4085">
        <v>22.95</v>
      </c>
      <c r="N4085">
        <v>0</v>
      </c>
      <c r="O4085">
        <v>0</v>
      </c>
      <c r="P4085">
        <f t="shared" si="252"/>
        <v>1.0071235568656349E-2</v>
      </c>
      <c r="Q4085">
        <f t="shared" si="252"/>
        <v>0.55975609756097555</v>
      </c>
      <c r="R4085">
        <f t="shared" si="253"/>
        <v>0</v>
      </c>
      <c r="S4085">
        <f t="shared" si="254"/>
        <v>0</v>
      </c>
      <c r="T4085">
        <f t="shared" si="255"/>
        <v>0</v>
      </c>
      <c r="U4085" t="str">
        <f>YEAR('Campaign Data'!$A4085)&amp;"-"&amp;TEXT(MONTH('Campaign Data'!$A4085),"00")</f>
        <v>2026-08</v>
      </c>
    </row>
    <row r="4086" spans="1:21" x14ac:dyDescent="0.25">
      <c r="A4086">
        <v>46245</v>
      </c>
      <c r="B4086" t="s">
        <v>157</v>
      </c>
      <c r="C4086" t="s">
        <v>158</v>
      </c>
      <c r="D4086" t="s">
        <v>58</v>
      </c>
      <c r="E4086" t="s">
        <v>49</v>
      </c>
      <c r="F4086" t="s">
        <v>81</v>
      </c>
      <c r="G4086" t="s">
        <v>50</v>
      </c>
      <c r="H4086" t="s">
        <v>36</v>
      </c>
      <c r="I4086" t="s">
        <v>28</v>
      </c>
      <c r="J4086" t="s">
        <v>45</v>
      </c>
      <c r="K4086">
        <v>11868</v>
      </c>
      <c r="L4086">
        <v>552</v>
      </c>
      <c r="M4086">
        <v>417.52</v>
      </c>
      <c r="N4086">
        <v>38</v>
      </c>
      <c r="O4086">
        <v>1246.0899999999999</v>
      </c>
      <c r="P4086">
        <f t="shared" si="252"/>
        <v>4.6511627906976744E-2</v>
      </c>
      <c r="Q4086">
        <f t="shared" si="252"/>
        <v>0.75637681159420289</v>
      </c>
      <c r="R4086">
        <f t="shared" si="253"/>
        <v>10.987368421052631</v>
      </c>
      <c r="S4086">
        <f t="shared" si="254"/>
        <v>2.9845037363479592</v>
      </c>
      <c r="T4086">
        <f t="shared" si="255"/>
        <v>6.8840579710144928E-2</v>
      </c>
      <c r="U4086" t="str">
        <f>YEAR('Campaign Data'!$A4086)&amp;"-"&amp;TEXT(MONTH('Campaign Data'!$A4086),"00")</f>
        <v>2026-08</v>
      </c>
    </row>
    <row r="4087" spans="1:21" x14ac:dyDescent="0.25">
      <c r="A4087">
        <v>46245</v>
      </c>
      <c r="B4087" t="s">
        <v>112</v>
      </c>
      <c r="C4087" t="s">
        <v>113</v>
      </c>
      <c r="D4087" t="s">
        <v>32</v>
      </c>
      <c r="E4087" t="s">
        <v>24</v>
      </c>
      <c r="F4087" t="s">
        <v>75</v>
      </c>
      <c r="G4087" t="s">
        <v>66</v>
      </c>
      <c r="H4087" t="s">
        <v>71</v>
      </c>
      <c r="I4087" t="s">
        <v>28</v>
      </c>
      <c r="J4087" t="s">
        <v>45</v>
      </c>
      <c r="K4087">
        <v>7258</v>
      </c>
      <c r="L4087">
        <v>118</v>
      </c>
      <c r="M4087">
        <v>142.44999999999999</v>
      </c>
      <c r="N4087">
        <v>9</v>
      </c>
      <c r="O4087">
        <v>308.02999999999997</v>
      </c>
      <c r="P4087">
        <f t="shared" si="252"/>
        <v>1.6257922292642602E-2</v>
      </c>
      <c r="Q4087">
        <f t="shared" si="252"/>
        <v>1.2072033898305083</v>
      </c>
      <c r="R4087">
        <f t="shared" si="253"/>
        <v>15.827777777777776</v>
      </c>
      <c r="S4087">
        <f t="shared" si="254"/>
        <v>2.1623727623727622</v>
      </c>
      <c r="T4087">
        <f t="shared" si="255"/>
        <v>7.6271186440677971E-2</v>
      </c>
      <c r="U4087" t="str">
        <f>YEAR('Campaign Data'!$A4087)&amp;"-"&amp;TEXT(MONTH('Campaign Data'!$A4087),"00")</f>
        <v>2026-08</v>
      </c>
    </row>
    <row r="4088" spans="1:21" x14ac:dyDescent="0.25">
      <c r="A4088">
        <v>46245</v>
      </c>
      <c r="B4088" t="s">
        <v>159</v>
      </c>
      <c r="C4088" t="s">
        <v>160</v>
      </c>
      <c r="D4088" t="s">
        <v>65</v>
      </c>
      <c r="E4088" t="s">
        <v>42</v>
      </c>
      <c r="F4088" t="s">
        <v>75</v>
      </c>
      <c r="G4088" t="s">
        <v>54</v>
      </c>
      <c r="H4088" t="s">
        <v>90</v>
      </c>
      <c r="I4088" t="s">
        <v>28</v>
      </c>
      <c r="J4088" t="s">
        <v>45</v>
      </c>
      <c r="K4088">
        <v>14898</v>
      </c>
      <c r="L4088">
        <v>89</v>
      </c>
      <c r="M4088">
        <v>111.42</v>
      </c>
      <c r="N4088">
        <v>5</v>
      </c>
      <c r="O4088">
        <v>59.7</v>
      </c>
      <c r="P4088">
        <f t="shared" si="252"/>
        <v>5.9739562357363401E-3</v>
      </c>
      <c r="Q4088">
        <f t="shared" si="252"/>
        <v>1.2519101123595506</v>
      </c>
      <c r="R4088">
        <f t="shared" si="253"/>
        <v>22.283999999999999</v>
      </c>
      <c r="S4088">
        <f t="shared" si="254"/>
        <v>0.53581044695745828</v>
      </c>
      <c r="T4088">
        <f t="shared" si="255"/>
        <v>5.6179775280898875E-2</v>
      </c>
      <c r="U4088" t="str">
        <f>YEAR('Campaign Data'!$A4088)&amp;"-"&amp;TEXT(MONTH('Campaign Data'!$A4088),"00")</f>
        <v>2026-08</v>
      </c>
    </row>
    <row r="4089" spans="1:21" x14ac:dyDescent="0.25">
      <c r="A4089">
        <v>46245</v>
      </c>
      <c r="B4089" t="s">
        <v>159</v>
      </c>
      <c r="C4089" t="s">
        <v>160</v>
      </c>
      <c r="D4089" t="s">
        <v>65</v>
      </c>
      <c r="E4089" t="s">
        <v>42</v>
      </c>
      <c r="F4089" t="s">
        <v>75</v>
      </c>
      <c r="G4089" t="s">
        <v>54</v>
      </c>
      <c r="H4089" t="s">
        <v>90</v>
      </c>
      <c r="I4089" t="s">
        <v>28</v>
      </c>
      <c r="J4089" t="s">
        <v>29</v>
      </c>
      <c r="K4089">
        <v>1646</v>
      </c>
      <c r="L4089">
        <v>13</v>
      </c>
      <c r="M4089">
        <v>14.23</v>
      </c>
      <c r="N4089">
        <v>0</v>
      </c>
      <c r="O4089">
        <v>0</v>
      </c>
      <c r="P4089">
        <f t="shared" si="252"/>
        <v>7.8979343863912511E-3</v>
      </c>
      <c r="Q4089">
        <f t="shared" si="252"/>
        <v>1.0946153846153845</v>
      </c>
      <c r="R4089">
        <f t="shared" si="253"/>
        <v>0</v>
      </c>
      <c r="S4089">
        <f t="shared" si="254"/>
        <v>0</v>
      </c>
      <c r="T4089">
        <f t="shared" si="255"/>
        <v>0</v>
      </c>
      <c r="U4089" t="str">
        <f>YEAR('Campaign Data'!$A4089)&amp;"-"&amp;TEXT(MONTH('Campaign Data'!$A4089),"00")</f>
        <v>2026-08</v>
      </c>
    </row>
    <row r="4090" spans="1:21" x14ac:dyDescent="0.25">
      <c r="A4090">
        <v>46245</v>
      </c>
      <c r="B4090" t="s">
        <v>143</v>
      </c>
      <c r="C4090" t="s">
        <v>144</v>
      </c>
      <c r="D4090" t="s">
        <v>48</v>
      </c>
      <c r="E4090" t="s">
        <v>42</v>
      </c>
      <c r="F4090" t="s">
        <v>25</v>
      </c>
      <c r="G4090" t="s">
        <v>84</v>
      </c>
      <c r="H4090" t="s">
        <v>90</v>
      </c>
      <c r="I4090" t="s">
        <v>37</v>
      </c>
      <c r="J4090" t="s">
        <v>38</v>
      </c>
      <c r="K4090">
        <v>4950</v>
      </c>
      <c r="L4090">
        <v>32</v>
      </c>
      <c r="M4090">
        <v>49.85</v>
      </c>
      <c r="N4090">
        <v>3</v>
      </c>
      <c r="O4090">
        <v>146.61000000000001</v>
      </c>
      <c r="P4090">
        <f t="shared" si="252"/>
        <v>6.4646464646464646E-3</v>
      </c>
      <c r="Q4090">
        <f t="shared" si="252"/>
        <v>1.5578125</v>
      </c>
      <c r="R4090">
        <f t="shared" si="253"/>
        <v>16.616666666666667</v>
      </c>
      <c r="S4090">
        <f t="shared" si="254"/>
        <v>2.9410230692076231</v>
      </c>
      <c r="T4090">
        <f t="shared" si="255"/>
        <v>9.375E-2</v>
      </c>
      <c r="U4090" t="str">
        <f>YEAR('Campaign Data'!$A4090)&amp;"-"&amp;TEXT(MONTH('Campaign Data'!$A4090),"00")</f>
        <v>2026-08</v>
      </c>
    </row>
    <row r="4091" spans="1:21" x14ac:dyDescent="0.25">
      <c r="A4091">
        <v>46246</v>
      </c>
      <c r="B4091" t="s">
        <v>175</v>
      </c>
      <c r="C4091" t="s">
        <v>176</v>
      </c>
      <c r="D4091" t="s">
        <v>65</v>
      </c>
      <c r="E4091" t="s">
        <v>49</v>
      </c>
      <c r="F4091" t="s">
        <v>75</v>
      </c>
      <c r="G4091" t="s">
        <v>70</v>
      </c>
      <c r="H4091" t="s">
        <v>36</v>
      </c>
      <c r="I4091" t="s">
        <v>37</v>
      </c>
      <c r="J4091" t="s">
        <v>87</v>
      </c>
      <c r="K4091">
        <v>4553</v>
      </c>
      <c r="L4091">
        <v>268</v>
      </c>
      <c r="M4091">
        <v>373.02</v>
      </c>
      <c r="N4091">
        <v>9</v>
      </c>
      <c r="O4091">
        <v>442.22</v>
      </c>
      <c r="P4091">
        <f t="shared" si="252"/>
        <v>5.886228860092247E-2</v>
      </c>
      <c r="Q4091">
        <f t="shared" si="252"/>
        <v>1.391865671641791</v>
      </c>
      <c r="R4091">
        <f t="shared" si="253"/>
        <v>41.446666666666665</v>
      </c>
      <c r="S4091">
        <f t="shared" si="254"/>
        <v>1.1855128411345237</v>
      </c>
      <c r="T4091">
        <f t="shared" si="255"/>
        <v>3.3582089552238806E-2</v>
      </c>
      <c r="U4091" t="str">
        <f>YEAR('Campaign Data'!$A4091)&amp;"-"&amp;TEXT(MONTH('Campaign Data'!$A4091),"00")</f>
        <v>2026-08</v>
      </c>
    </row>
    <row r="4092" spans="1:21" x14ac:dyDescent="0.25">
      <c r="A4092">
        <v>46246</v>
      </c>
      <c r="B4092" t="s">
        <v>175</v>
      </c>
      <c r="C4092" t="s">
        <v>176</v>
      </c>
      <c r="D4092" t="s">
        <v>65</v>
      </c>
      <c r="E4092" t="s">
        <v>49</v>
      </c>
      <c r="F4092" t="s">
        <v>75</v>
      </c>
      <c r="G4092" t="s">
        <v>70</v>
      </c>
      <c r="H4092" t="s">
        <v>36</v>
      </c>
      <c r="I4092" t="s">
        <v>37</v>
      </c>
      <c r="J4092" t="s">
        <v>87</v>
      </c>
      <c r="K4092">
        <v>1587</v>
      </c>
      <c r="L4092">
        <v>71</v>
      </c>
      <c r="M4092">
        <v>148.52000000000001</v>
      </c>
      <c r="N4092">
        <v>4</v>
      </c>
      <c r="O4092">
        <v>172.16</v>
      </c>
      <c r="P4092">
        <f t="shared" si="252"/>
        <v>4.4738500315059861E-2</v>
      </c>
      <c r="Q4092">
        <f t="shared" si="252"/>
        <v>2.0918309859154931</v>
      </c>
      <c r="R4092">
        <f t="shared" si="253"/>
        <v>37.130000000000003</v>
      </c>
      <c r="S4092">
        <f t="shared" si="254"/>
        <v>1.1591704820899542</v>
      </c>
      <c r="T4092">
        <f t="shared" si="255"/>
        <v>5.6338028169014086E-2</v>
      </c>
      <c r="U4092" t="str">
        <f>YEAR('Campaign Data'!$A4092)&amp;"-"&amp;TEXT(MONTH('Campaign Data'!$A4092),"00")</f>
        <v>2026-08</v>
      </c>
    </row>
    <row r="4093" spans="1:21" x14ac:dyDescent="0.25">
      <c r="A4093">
        <v>46246</v>
      </c>
      <c r="B4093" t="s">
        <v>85</v>
      </c>
      <c r="C4093" t="s">
        <v>86</v>
      </c>
      <c r="D4093" t="s">
        <v>80</v>
      </c>
      <c r="E4093" t="s">
        <v>33</v>
      </c>
      <c r="F4093" t="s">
        <v>43</v>
      </c>
      <c r="G4093" t="s">
        <v>35</v>
      </c>
      <c r="H4093" t="s">
        <v>71</v>
      </c>
      <c r="I4093" t="s">
        <v>61</v>
      </c>
      <c r="J4093" t="s">
        <v>29</v>
      </c>
      <c r="K4093">
        <v>14887</v>
      </c>
      <c r="L4093">
        <v>118</v>
      </c>
      <c r="M4093">
        <v>79.47</v>
      </c>
      <c r="N4093">
        <v>2</v>
      </c>
      <c r="O4093">
        <v>47.97</v>
      </c>
      <c r="P4093">
        <f t="shared" si="252"/>
        <v>7.9263787196883189E-3</v>
      </c>
      <c r="Q4093">
        <f t="shared" si="252"/>
        <v>0.67347457627118645</v>
      </c>
      <c r="R4093">
        <f t="shared" si="253"/>
        <v>39.734999999999999</v>
      </c>
      <c r="S4093">
        <f t="shared" si="254"/>
        <v>0.60362400906002267</v>
      </c>
      <c r="T4093">
        <f t="shared" si="255"/>
        <v>1.6949152542372881E-2</v>
      </c>
      <c r="U4093" t="str">
        <f>YEAR('Campaign Data'!$A4093)&amp;"-"&amp;TEXT(MONTH('Campaign Data'!$A4093),"00")</f>
        <v>2026-08</v>
      </c>
    </row>
    <row r="4094" spans="1:21" x14ac:dyDescent="0.25">
      <c r="A4094">
        <v>46246</v>
      </c>
      <c r="B4094" t="s">
        <v>85</v>
      </c>
      <c r="C4094" t="s">
        <v>86</v>
      </c>
      <c r="D4094" t="s">
        <v>80</v>
      </c>
      <c r="E4094" t="s">
        <v>33</v>
      </c>
      <c r="F4094" t="s">
        <v>43</v>
      </c>
      <c r="G4094" t="s">
        <v>35</v>
      </c>
      <c r="H4094" t="s">
        <v>36</v>
      </c>
      <c r="I4094" t="s">
        <v>28</v>
      </c>
      <c r="J4094" t="s">
        <v>29</v>
      </c>
      <c r="K4094">
        <v>5719</v>
      </c>
      <c r="L4094">
        <v>43</v>
      </c>
      <c r="M4094">
        <v>23.57</v>
      </c>
      <c r="N4094">
        <v>1</v>
      </c>
      <c r="O4094">
        <v>22.39</v>
      </c>
      <c r="P4094">
        <f t="shared" si="252"/>
        <v>7.5187969924812026E-3</v>
      </c>
      <c r="Q4094">
        <f t="shared" si="252"/>
        <v>0.54813953488372091</v>
      </c>
      <c r="R4094">
        <f t="shared" si="253"/>
        <v>23.57</v>
      </c>
      <c r="S4094">
        <f t="shared" si="254"/>
        <v>0.94993635977938062</v>
      </c>
      <c r="T4094">
        <f t="shared" si="255"/>
        <v>2.3255813953488372E-2</v>
      </c>
      <c r="U4094" t="str">
        <f>YEAR('Campaign Data'!$A4094)&amp;"-"&amp;TEXT(MONTH('Campaign Data'!$A4094),"00")</f>
        <v>2026-08</v>
      </c>
    </row>
    <row r="4095" spans="1:21" x14ac:dyDescent="0.25">
      <c r="A4095">
        <v>46246</v>
      </c>
      <c r="B4095" t="s">
        <v>147</v>
      </c>
      <c r="C4095" t="s">
        <v>148</v>
      </c>
      <c r="D4095" t="s">
        <v>23</v>
      </c>
      <c r="E4095" t="s">
        <v>42</v>
      </c>
      <c r="F4095" t="s">
        <v>75</v>
      </c>
      <c r="G4095" t="s">
        <v>44</v>
      </c>
      <c r="H4095" t="s">
        <v>51</v>
      </c>
      <c r="I4095" t="s">
        <v>28</v>
      </c>
      <c r="J4095" t="s">
        <v>38</v>
      </c>
      <c r="K4095">
        <v>6249</v>
      </c>
      <c r="L4095">
        <v>31</v>
      </c>
      <c r="M4095">
        <v>185.05</v>
      </c>
      <c r="N4095">
        <v>1</v>
      </c>
      <c r="O4095">
        <v>38.89</v>
      </c>
      <c r="P4095">
        <f t="shared" si="252"/>
        <v>4.9607937269963197E-3</v>
      </c>
      <c r="Q4095">
        <f t="shared" si="252"/>
        <v>5.9693548387096778</v>
      </c>
      <c r="R4095">
        <f t="shared" si="253"/>
        <v>185.05</v>
      </c>
      <c r="S4095">
        <f t="shared" si="254"/>
        <v>0.21015941637395297</v>
      </c>
      <c r="T4095">
        <f t="shared" si="255"/>
        <v>3.2258064516129031E-2</v>
      </c>
      <c r="U4095" t="str">
        <f>YEAR('Campaign Data'!$A4095)&amp;"-"&amp;TEXT(MONTH('Campaign Data'!$A4095),"00")</f>
        <v>2026-08</v>
      </c>
    </row>
    <row r="4096" spans="1:21" x14ac:dyDescent="0.25">
      <c r="A4096">
        <v>46246</v>
      </c>
      <c r="B4096" t="s">
        <v>91</v>
      </c>
      <c r="C4096" t="s">
        <v>92</v>
      </c>
      <c r="D4096" t="s">
        <v>41</v>
      </c>
      <c r="E4096" t="s">
        <v>74</v>
      </c>
      <c r="F4096" t="s">
        <v>75</v>
      </c>
      <c r="G4096" t="s">
        <v>9</v>
      </c>
      <c r="H4096" t="s">
        <v>27</v>
      </c>
      <c r="I4096" t="s">
        <v>28</v>
      </c>
      <c r="J4096" t="s">
        <v>87</v>
      </c>
      <c r="K4096">
        <v>2048</v>
      </c>
      <c r="L4096">
        <v>65</v>
      </c>
      <c r="M4096">
        <v>94.36</v>
      </c>
      <c r="N4096">
        <v>2</v>
      </c>
      <c r="O4096">
        <v>73.38</v>
      </c>
      <c r="P4096">
        <f t="shared" si="252"/>
        <v>3.173828125E-2</v>
      </c>
      <c r="Q4096">
        <f t="shared" si="252"/>
        <v>1.4516923076923076</v>
      </c>
      <c r="R4096">
        <f t="shared" si="253"/>
        <v>47.18</v>
      </c>
      <c r="S4096">
        <f t="shared" si="254"/>
        <v>0.77766002543450607</v>
      </c>
      <c r="T4096">
        <f t="shared" si="255"/>
        <v>3.0769230769230771E-2</v>
      </c>
      <c r="U4096" t="str">
        <f>YEAR('Campaign Data'!$A4096)&amp;"-"&amp;TEXT(MONTH('Campaign Data'!$A4096),"00")</f>
        <v>2026-08</v>
      </c>
    </row>
    <row r="4097" spans="1:21" x14ac:dyDescent="0.25">
      <c r="A4097">
        <v>46246</v>
      </c>
      <c r="B4097" t="s">
        <v>93</v>
      </c>
      <c r="C4097" t="s">
        <v>94</v>
      </c>
      <c r="D4097" t="s">
        <v>69</v>
      </c>
      <c r="E4097" t="s">
        <v>42</v>
      </c>
      <c r="F4097" t="s">
        <v>75</v>
      </c>
      <c r="G4097" t="s">
        <v>44</v>
      </c>
      <c r="H4097" t="s">
        <v>27</v>
      </c>
      <c r="I4097" t="s">
        <v>37</v>
      </c>
      <c r="J4097" t="s">
        <v>87</v>
      </c>
      <c r="K4097">
        <v>3936</v>
      </c>
      <c r="L4097">
        <v>8</v>
      </c>
      <c r="M4097">
        <v>61.2</v>
      </c>
      <c r="N4097">
        <v>0</v>
      </c>
      <c r="O4097">
        <v>0</v>
      </c>
      <c r="P4097">
        <f t="shared" si="252"/>
        <v>2.0325203252032522E-3</v>
      </c>
      <c r="Q4097">
        <f t="shared" si="252"/>
        <v>7.65</v>
      </c>
      <c r="R4097">
        <f t="shared" si="253"/>
        <v>0</v>
      </c>
      <c r="S4097">
        <f t="shared" si="254"/>
        <v>0</v>
      </c>
      <c r="T4097">
        <f t="shared" si="255"/>
        <v>0</v>
      </c>
      <c r="U4097" t="str">
        <f>YEAR('Campaign Data'!$A4097)&amp;"-"&amp;TEXT(MONTH('Campaign Data'!$A4097),"00")</f>
        <v>2026-08</v>
      </c>
    </row>
    <row r="4098" spans="1:21" x14ac:dyDescent="0.25">
      <c r="A4098">
        <v>46246</v>
      </c>
      <c r="B4098" t="s">
        <v>46</v>
      </c>
      <c r="C4098" t="s">
        <v>47</v>
      </c>
      <c r="D4098" t="s">
        <v>48</v>
      </c>
      <c r="E4098" t="s">
        <v>49</v>
      </c>
      <c r="F4098" t="s">
        <v>43</v>
      </c>
      <c r="G4098" t="s">
        <v>50</v>
      </c>
      <c r="H4098" t="s">
        <v>60</v>
      </c>
      <c r="I4098" t="s">
        <v>28</v>
      </c>
      <c r="J4098" t="s">
        <v>38</v>
      </c>
      <c r="K4098">
        <v>5997</v>
      </c>
      <c r="L4098">
        <v>218</v>
      </c>
      <c r="M4098">
        <v>345.71</v>
      </c>
      <c r="N4098">
        <v>11</v>
      </c>
      <c r="O4098">
        <v>200.31</v>
      </c>
      <c r="P4098">
        <f t="shared" ref="P4098:Q4161" si="256">IF(K4098=0,0,L4098/K4098)</f>
        <v>3.6351509087877272E-2</v>
      </c>
      <c r="Q4098">
        <f t="shared" si="256"/>
        <v>1.5858256880733943</v>
      </c>
      <c r="R4098">
        <f t="shared" ref="R4098:R4161" si="257">IF(N4098=0,0,M4098/N4098)</f>
        <v>31.428181818181816</v>
      </c>
      <c r="S4098">
        <f t="shared" ref="S4098:S4161" si="258">IF(M4098=0,0,O4098/M4098)</f>
        <v>0.57941627375545979</v>
      </c>
      <c r="T4098">
        <f t="shared" ref="T4098:T4161" si="259">IF(L4098=0,0,N4098/L4098)</f>
        <v>5.0458715596330278E-2</v>
      </c>
      <c r="U4098" t="str">
        <f>YEAR('Campaign Data'!$A4098)&amp;"-"&amp;TEXT(MONTH('Campaign Data'!$A4098),"00")</f>
        <v>2026-08</v>
      </c>
    </row>
    <row r="4099" spans="1:21" x14ac:dyDescent="0.25">
      <c r="A4099">
        <v>46246</v>
      </c>
      <c r="B4099" t="s">
        <v>52</v>
      </c>
      <c r="C4099" t="s">
        <v>53</v>
      </c>
      <c r="D4099" t="s">
        <v>32</v>
      </c>
      <c r="E4099" t="s">
        <v>42</v>
      </c>
      <c r="F4099" t="s">
        <v>25</v>
      </c>
      <c r="G4099" t="s">
        <v>54</v>
      </c>
      <c r="H4099" t="s">
        <v>55</v>
      </c>
      <c r="I4099" t="s">
        <v>28</v>
      </c>
      <c r="J4099" t="s">
        <v>29</v>
      </c>
      <c r="K4099">
        <v>2838</v>
      </c>
      <c r="L4099">
        <v>33</v>
      </c>
      <c r="M4099">
        <v>234.14</v>
      </c>
      <c r="N4099">
        <v>2</v>
      </c>
      <c r="O4099">
        <v>300.68</v>
      </c>
      <c r="P4099">
        <f t="shared" si="256"/>
        <v>1.1627906976744186E-2</v>
      </c>
      <c r="Q4099">
        <f t="shared" si="256"/>
        <v>7.0951515151515148</v>
      </c>
      <c r="R4099">
        <f t="shared" si="257"/>
        <v>117.07</v>
      </c>
      <c r="S4099">
        <f t="shared" si="258"/>
        <v>1.2841889467839755</v>
      </c>
      <c r="T4099">
        <f t="shared" si="259"/>
        <v>6.0606060606060608E-2</v>
      </c>
      <c r="U4099" t="str">
        <f>YEAR('Campaign Data'!$A4099)&amp;"-"&amp;TEXT(MONTH('Campaign Data'!$A4099),"00")</f>
        <v>2026-08</v>
      </c>
    </row>
    <row r="4100" spans="1:21" x14ac:dyDescent="0.25">
      <c r="A4100">
        <v>46246</v>
      </c>
      <c r="B4100" t="s">
        <v>169</v>
      </c>
      <c r="C4100" t="s">
        <v>170</v>
      </c>
      <c r="D4100" t="s">
        <v>58</v>
      </c>
      <c r="E4100" t="s">
        <v>74</v>
      </c>
      <c r="F4100" t="s">
        <v>75</v>
      </c>
      <c r="G4100" t="s">
        <v>9</v>
      </c>
      <c r="H4100" t="s">
        <v>60</v>
      </c>
      <c r="I4100" t="s">
        <v>61</v>
      </c>
      <c r="J4100" t="s">
        <v>45</v>
      </c>
      <c r="K4100">
        <v>6468</v>
      </c>
      <c r="L4100">
        <v>126</v>
      </c>
      <c r="M4100">
        <v>203.98</v>
      </c>
      <c r="N4100">
        <v>3</v>
      </c>
      <c r="O4100">
        <v>76.34</v>
      </c>
      <c r="P4100">
        <f t="shared" si="256"/>
        <v>1.948051948051948E-2</v>
      </c>
      <c r="Q4100">
        <f t="shared" si="256"/>
        <v>1.6188888888888888</v>
      </c>
      <c r="R4100">
        <f t="shared" si="257"/>
        <v>67.993333333333325</v>
      </c>
      <c r="S4100">
        <f t="shared" si="258"/>
        <v>0.3742523776840867</v>
      </c>
      <c r="T4100">
        <f t="shared" si="259"/>
        <v>2.3809523809523808E-2</v>
      </c>
      <c r="U4100" t="str">
        <f>YEAR('Campaign Data'!$A4100)&amp;"-"&amp;TEXT(MONTH('Campaign Data'!$A4100),"00")</f>
        <v>2026-08</v>
      </c>
    </row>
    <row r="4101" spans="1:21" x14ac:dyDescent="0.25">
      <c r="A4101">
        <v>46246</v>
      </c>
      <c r="B4101" t="s">
        <v>169</v>
      </c>
      <c r="C4101" t="s">
        <v>170</v>
      </c>
      <c r="D4101" t="s">
        <v>58</v>
      </c>
      <c r="E4101" t="s">
        <v>74</v>
      </c>
      <c r="F4101" t="s">
        <v>75</v>
      </c>
      <c r="G4101" t="s">
        <v>9</v>
      </c>
      <c r="H4101" t="s">
        <v>71</v>
      </c>
      <c r="I4101" t="s">
        <v>28</v>
      </c>
      <c r="J4101" t="s">
        <v>29</v>
      </c>
      <c r="K4101">
        <v>8651</v>
      </c>
      <c r="L4101">
        <v>246</v>
      </c>
      <c r="M4101">
        <v>341.3</v>
      </c>
      <c r="N4101">
        <v>16</v>
      </c>
      <c r="O4101">
        <v>495.48</v>
      </c>
      <c r="P4101">
        <f t="shared" si="256"/>
        <v>2.843601895734597E-2</v>
      </c>
      <c r="Q4101">
        <f t="shared" si="256"/>
        <v>1.3873983739837399</v>
      </c>
      <c r="R4101">
        <f t="shared" si="257"/>
        <v>21.331250000000001</v>
      </c>
      <c r="S4101">
        <f t="shared" si="258"/>
        <v>1.4517433343099913</v>
      </c>
      <c r="T4101">
        <f t="shared" si="259"/>
        <v>6.5040650406504072E-2</v>
      </c>
      <c r="U4101" t="str">
        <f>YEAR('Campaign Data'!$A4101)&amp;"-"&amp;TEXT(MONTH('Campaign Data'!$A4101),"00")</f>
        <v>2026-08</v>
      </c>
    </row>
    <row r="4102" spans="1:21" x14ac:dyDescent="0.25">
      <c r="A4102">
        <v>46246</v>
      </c>
      <c r="B4102" t="s">
        <v>153</v>
      </c>
      <c r="C4102" t="s">
        <v>154</v>
      </c>
      <c r="D4102" t="s">
        <v>48</v>
      </c>
      <c r="E4102" t="s">
        <v>33</v>
      </c>
      <c r="F4102" t="s">
        <v>43</v>
      </c>
      <c r="G4102" t="s">
        <v>59</v>
      </c>
      <c r="H4102" t="s">
        <v>71</v>
      </c>
      <c r="I4102" t="s">
        <v>37</v>
      </c>
      <c r="J4102" t="s">
        <v>62</v>
      </c>
      <c r="K4102">
        <v>11832</v>
      </c>
      <c r="L4102">
        <v>159</v>
      </c>
      <c r="M4102">
        <v>68.72</v>
      </c>
      <c r="N4102">
        <v>0</v>
      </c>
      <c r="O4102">
        <v>0</v>
      </c>
      <c r="P4102">
        <f t="shared" si="256"/>
        <v>1.3438133874239351E-2</v>
      </c>
      <c r="Q4102">
        <f t="shared" si="256"/>
        <v>0.43220125786163521</v>
      </c>
      <c r="R4102">
        <f t="shared" si="257"/>
        <v>0</v>
      </c>
      <c r="S4102">
        <f t="shared" si="258"/>
        <v>0</v>
      </c>
      <c r="T4102">
        <f t="shared" si="259"/>
        <v>0</v>
      </c>
      <c r="U4102" t="str">
        <f>YEAR('Campaign Data'!$A4102)&amp;"-"&amp;TEXT(MONTH('Campaign Data'!$A4102),"00")</f>
        <v>2026-08</v>
      </c>
    </row>
    <row r="4103" spans="1:21" x14ac:dyDescent="0.25">
      <c r="A4103">
        <v>46246</v>
      </c>
      <c r="B4103" t="s">
        <v>140</v>
      </c>
      <c r="C4103" t="s">
        <v>40</v>
      </c>
      <c r="D4103" t="s">
        <v>41</v>
      </c>
      <c r="E4103" t="s">
        <v>42</v>
      </c>
      <c r="F4103" t="s">
        <v>43</v>
      </c>
      <c r="G4103" t="s">
        <v>44</v>
      </c>
      <c r="H4103" t="s">
        <v>27</v>
      </c>
      <c r="I4103" t="s">
        <v>37</v>
      </c>
      <c r="J4103" t="s">
        <v>38</v>
      </c>
      <c r="K4103">
        <v>7599</v>
      </c>
      <c r="L4103">
        <v>39</v>
      </c>
      <c r="M4103">
        <v>341.89</v>
      </c>
      <c r="N4103">
        <v>1</v>
      </c>
      <c r="O4103">
        <v>30.23</v>
      </c>
      <c r="P4103">
        <f t="shared" si="256"/>
        <v>5.1322542439794713E-3</v>
      </c>
      <c r="Q4103">
        <f t="shared" si="256"/>
        <v>8.7664102564102553</v>
      </c>
      <c r="R4103">
        <f t="shared" si="257"/>
        <v>341.89</v>
      </c>
      <c r="S4103">
        <f t="shared" si="258"/>
        <v>8.8420252127877394E-2</v>
      </c>
      <c r="T4103">
        <f t="shared" si="259"/>
        <v>2.564102564102564E-2</v>
      </c>
      <c r="U4103" t="str">
        <f>YEAR('Campaign Data'!$A4103)&amp;"-"&amp;TEXT(MONTH('Campaign Data'!$A4103),"00")</f>
        <v>2026-08</v>
      </c>
    </row>
    <row r="4104" spans="1:21" x14ac:dyDescent="0.25">
      <c r="A4104">
        <v>46246</v>
      </c>
      <c r="B4104" t="s">
        <v>112</v>
      </c>
      <c r="C4104" t="s">
        <v>113</v>
      </c>
      <c r="D4104" t="s">
        <v>32</v>
      </c>
      <c r="E4104" t="s">
        <v>24</v>
      </c>
      <c r="F4104" t="s">
        <v>75</v>
      </c>
      <c r="G4104" t="s">
        <v>66</v>
      </c>
      <c r="H4104" t="s">
        <v>51</v>
      </c>
      <c r="I4104" t="s">
        <v>37</v>
      </c>
      <c r="J4104" t="s">
        <v>62</v>
      </c>
      <c r="K4104">
        <v>10766</v>
      </c>
      <c r="L4104">
        <v>167</v>
      </c>
      <c r="M4104">
        <v>127.25</v>
      </c>
      <c r="N4104">
        <v>3</v>
      </c>
      <c r="O4104">
        <v>109.31</v>
      </c>
      <c r="P4104">
        <f t="shared" si="256"/>
        <v>1.5511796396061676E-2</v>
      </c>
      <c r="Q4104">
        <f t="shared" si="256"/>
        <v>0.7619760479041916</v>
      </c>
      <c r="R4104">
        <f t="shared" si="257"/>
        <v>42.416666666666664</v>
      </c>
      <c r="S4104">
        <f t="shared" si="258"/>
        <v>0.85901768172888016</v>
      </c>
      <c r="T4104">
        <f t="shared" si="259"/>
        <v>1.7964071856287425E-2</v>
      </c>
      <c r="U4104" t="str">
        <f>YEAR('Campaign Data'!$A4104)&amp;"-"&amp;TEXT(MONTH('Campaign Data'!$A4104),"00")</f>
        <v>2026-08</v>
      </c>
    </row>
    <row r="4105" spans="1:21" x14ac:dyDescent="0.25">
      <c r="A4105">
        <v>46246</v>
      </c>
      <c r="B4105" t="s">
        <v>161</v>
      </c>
      <c r="C4105" t="s">
        <v>162</v>
      </c>
      <c r="D4105" t="s">
        <v>48</v>
      </c>
      <c r="E4105" t="s">
        <v>74</v>
      </c>
      <c r="F4105" t="s">
        <v>34</v>
      </c>
      <c r="G4105" t="s">
        <v>107</v>
      </c>
      <c r="H4105" t="s">
        <v>71</v>
      </c>
      <c r="I4105" t="s">
        <v>37</v>
      </c>
      <c r="J4105" t="s">
        <v>38</v>
      </c>
      <c r="K4105">
        <v>6624</v>
      </c>
      <c r="L4105">
        <v>190</v>
      </c>
      <c r="M4105">
        <v>212.31</v>
      </c>
      <c r="N4105">
        <v>13</v>
      </c>
      <c r="O4105">
        <v>552.80999999999995</v>
      </c>
      <c r="P4105">
        <f t="shared" si="256"/>
        <v>2.8683574879227052E-2</v>
      </c>
      <c r="Q4105">
        <f t="shared" si="256"/>
        <v>1.1174210526315789</v>
      </c>
      <c r="R4105">
        <f t="shared" si="257"/>
        <v>16.331538461538461</v>
      </c>
      <c r="S4105">
        <f t="shared" si="258"/>
        <v>2.6037869153596152</v>
      </c>
      <c r="T4105">
        <f t="shared" si="259"/>
        <v>6.8421052631578952E-2</v>
      </c>
      <c r="U4105" t="str">
        <f>YEAR('Campaign Data'!$A4105)&amp;"-"&amp;TEXT(MONTH('Campaign Data'!$A4105),"00")</f>
        <v>2026-08</v>
      </c>
    </row>
    <row r="4106" spans="1:21" x14ac:dyDescent="0.25">
      <c r="A4106">
        <v>46246</v>
      </c>
      <c r="B4106" t="s">
        <v>141</v>
      </c>
      <c r="C4106" t="s">
        <v>142</v>
      </c>
      <c r="D4106" t="s">
        <v>80</v>
      </c>
      <c r="E4106" t="s">
        <v>49</v>
      </c>
      <c r="F4106" t="s">
        <v>81</v>
      </c>
      <c r="G4106" t="s">
        <v>97</v>
      </c>
      <c r="H4106" t="s">
        <v>27</v>
      </c>
      <c r="I4106" t="s">
        <v>28</v>
      </c>
      <c r="J4106" t="s">
        <v>62</v>
      </c>
      <c r="K4106">
        <v>4762</v>
      </c>
      <c r="L4106">
        <v>312</v>
      </c>
      <c r="M4106">
        <v>690.76</v>
      </c>
      <c r="N4106">
        <v>27</v>
      </c>
      <c r="O4106">
        <v>678.94</v>
      </c>
      <c r="P4106">
        <f t="shared" si="256"/>
        <v>6.551868962620748E-2</v>
      </c>
      <c r="Q4106">
        <f t="shared" si="256"/>
        <v>2.213974358974359</v>
      </c>
      <c r="R4106">
        <f t="shared" si="257"/>
        <v>25.583703703703705</v>
      </c>
      <c r="S4106">
        <f t="shared" si="258"/>
        <v>0.98288841276275418</v>
      </c>
      <c r="T4106">
        <f t="shared" si="259"/>
        <v>8.6538461538461536E-2</v>
      </c>
      <c r="U4106" t="str">
        <f>YEAR('Campaign Data'!$A4106)&amp;"-"&amp;TEXT(MONTH('Campaign Data'!$A4106),"00")</f>
        <v>2026-08</v>
      </c>
    </row>
    <row r="4107" spans="1:21" x14ac:dyDescent="0.25">
      <c r="A4107">
        <v>46246</v>
      </c>
      <c r="B4107" t="s">
        <v>120</v>
      </c>
      <c r="C4107" t="s">
        <v>121</v>
      </c>
      <c r="D4107" t="s">
        <v>23</v>
      </c>
      <c r="E4107" t="s">
        <v>49</v>
      </c>
      <c r="F4107" t="s">
        <v>75</v>
      </c>
      <c r="G4107" t="s">
        <v>70</v>
      </c>
      <c r="H4107" t="s">
        <v>27</v>
      </c>
      <c r="I4107" t="s">
        <v>61</v>
      </c>
      <c r="J4107" t="s">
        <v>87</v>
      </c>
      <c r="K4107">
        <v>7040</v>
      </c>
      <c r="L4107">
        <v>243</v>
      </c>
      <c r="M4107">
        <v>600.79999999999995</v>
      </c>
      <c r="N4107">
        <v>10</v>
      </c>
      <c r="O4107">
        <v>507.52</v>
      </c>
      <c r="P4107">
        <f t="shared" si="256"/>
        <v>3.4517045454545453E-2</v>
      </c>
      <c r="Q4107">
        <f t="shared" si="256"/>
        <v>2.4724279835390943</v>
      </c>
      <c r="R4107">
        <f t="shared" si="257"/>
        <v>60.08</v>
      </c>
      <c r="S4107">
        <f t="shared" si="258"/>
        <v>0.84474034620506</v>
      </c>
      <c r="T4107">
        <f t="shared" si="259"/>
        <v>4.1152263374485597E-2</v>
      </c>
      <c r="U4107" t="str">
        <f>YEAR('Campaign Data'!$A4107)&amp;"-"&amp;TEXT(MONTH('Campaign Data'!$A4107),"00")</f>
        <v>2026-08</v>
      </c>
    </row>
    <row r="4108" spans="1:21" x14ac:dyDescent="0.25">
      <c r="A4108">
        <v>46246</v>
      </c>
      <c r="B4108" t="s">
        <v>82</v>
      </c>
      <c r="C4108" t="s">
        <v>83</v>
      </c>
      <c r="D4108" t="s">
        <v>80</v>
      </c>
      <c r="E4108" t="s">
        <v>42</v>
      </c>
      <c r="F4108" t="s">
        <v>34</v>
      </c>
      <c r="G4108" t="s">
        <v>84</v>
      </c>
      <c r="H4108" t="s">
        <v>27</v>
      </c>
      <c r="I4108" t="s">
        <v>28</v>
      </c>
      <c r="J4108" t="s">
        <v>62</v>
      </c>
      <c r="K4108">
        <v>3466</v>
      </c>
      <c r="L4108">
        <v>22</v>
      </c>
      <c r="M4108">
        <v>177.26</v>
      </c>
      <c r="N4108">
        <v>0</v>
      </c>
      <c r="O4108">
        <v>0</v>
      </c>
      <c r="P4108">
        <f t="shared" si="256"/>
        <v>6.3473744950952107E-3</v>
      </c>
      <c r="Q4108">
        <f t="shared" si="256"/>
        <v>8.0572727272727267</v>
      </c>
      <c r="R4108">
        <f t="shared" si="257"/>
        <v>0</v>
      </c>
      <c r="S4108">
        <f t="shared" si="258"/>
        <v>0</v>
      </c>
      <c r="T4108">
        <f t="shared" si="259"/>
        <v>0</v>
      </c>
      <c r="U4108" t="str">
        <f>YEAR('Campaign Data'!$A4108)&amp;"-"&amp;TEXT(MONTH('Campaign Data'!$A4108),"00")</f>
        <v>2026-08</v>
      </c>
    </row>
    <row r="4109" spans="1:21" x14ac:dyDescent="0.25">
      <c r="A4109">
        <v>46247</v>
      </c>
      <c r="B4109" t="s">
        <v>175</v>
      </c>
      <c r="C4109" t="s">
        <v>176</v>
      </c>
      <c r="D4109" t="s">
        <v>65</v>
      </c>
      <c r="E4109" t="s">
        <v>49</v>
      </c>
      <c r="F4109" t="s">
        <v>75</v>
      </c>
      <c r="G4109" t="s">
        <v>70</v>
      </c>
      <c r="H4109" t="s">
        <v>27</v>
      </c>
      <c r="I4109" t="s">
        <v>28</v>
      </c>
      <c r="J4109" t="s">
        <v>62</v>
      </c>
      <c r="K4109">
        <v>917</v>
      </c>
      <c r="L4109">
        <v>56</v>
      </c>
      <c r="M4109">
        <v>166.73</v>
      </c>
      <c r="N4109">
        <v>4</v>
      </c>
      <c r="O4109">
        <v>191.49</v>
      </c>
      <c r="P4109">
        <f t="shared" si="256"/>
        <v>6.1068702290076333E-2</v>
      </c>
      <c r="Q4109">
        <f t="shared" si="256"/>
        <v>2.9773214285714285</v>
      </c>
      <c r="R4109">
        <f t="shared" si="257"/>
        <v>41.682499999999997</v>
      </c>
      <c r="S4109">
        <f t="shared" si="258"/>
        <v>1.1485035686439153</v>
      </c>
      <c r="T4109">
        <f t="shared" si="259"/>
        <v>7.1428571428571425E-2</v>
      </c>
      <c r="U4109" t="str">
        <f>YEAR('Campaign Data'!$A4109)&amp;"-"&amp;TEXT(MONTH('Campaign Data'!$A4109),"00")</f>
        <v>2026-08</v>
      </c>
    </row>
    <row r="4110" spans="1:21" x14ac:dyDescent="0.25">
      <c r="A4110">
        <v>46247</v>
      </c>
      <c r="B4110" t="s">
        <v>125</v>
      </c>
      <c r="C4110" t="s">
        <v>126</v>
      </c>
      <c r="D4110" t="s">
        <v>41</v>
      </c>
      <c r="E4110" t="s">
        <v>42</v>
      </c>
      <c r="F4110" t="s">
        <v>81</v>
      </c>
      <c r="G4110" t="s">
        <v>44</v>
      </c>
      <c r="H4110" t="s">
        <v>71</v>
      </c>
      <c r="I4110" t="s">
        <v>28</v>
      </c>
      <c r="J4110" t="s">
        <v>62</v>
      </c>
      <c r="K4110">
        <v>4163</v>
      </c>
      <c r="L4110">
        <v>36</v>
      </c>
      <c r="M4110">
        <v>164.89</v>
      </c>
      <c r="N4110">
        <v>2</v>
      </c>
      <c r="O4110">
        <v>35.24</v>
      </c>
      <c r="P4110">
        <f t="shared" si="256"/>
        <v>8.6476098967091033E-3</v>
      </c>
      <c r="Q4110">
        <f t="shared" si="256"/>
        <v>4.580277777777777</v>
      </c>
      <c r="R4110">
        <f t="shared" si="257"/>
        <v>82.444999999999993</v>
      </c>
      <c r="S4110">
        <f t="shared" si="258"/>
        <v>0.2137182364000243</v>
      </c>
      <c r="T4110">
        <f t="shared" si="259"/>
        <v>5.5555555555555552E-2</v>
      </c>
      <c r="U4110" t="str">
        <f>YEAR('Campaign Data'!$A4110)&amp;"-"&amp;TEXT(MONTH('Campaign Data'!$A4110),"00")</f>
        <v>2026-08</v>
      </c>
    </row>
    <row r="4111" spans="1:21" x14ac:dyDescent="0.25">
      <c r="A4111">
        <v>46247</v>
      </c>
      <c r="B4111" t="s">
        <v>138</v>
      </c>
      <c r="C4111" t="s">
        <v>139</v>
      </c>
      <c r="D4111" t="s">
        <v>58</v>
      </c>
      <c r="E4111" t="s">
        <v>74</v>
      </c>
      <c r="F4111" t="s">
        <v>34</v>
      </c>
      <c r="G4111" t="s">
        <v>9</v>
      </c>
      <c r="H4111" t="s">
        <v>27</v>
      </c>
      <c r="I4111" t="s">
        <v>37</v>
      </c>
      <c r="J4111" t="s">
        <v>62</v>
      </c>
      <c r="K4111">
        <v>8087</v>
      </c>
      <c r="L4111">
        <v>363</v>
      </c>
      <c r="M4111">
        <v>607.34</v>
      </c>
      <c r="N4111">
        <v>3</v>
      </c>
      <c r="O4111">
        <v>190.43</v>
      </c>
      <c r="P4111">
        <f t="shared" si="256"/>
        <v>4.4886855447013728E-2</v>
      </c>
      <c r="Q4111">
        <f t="shared" si="256"/>
        <v>1.6731129476584023</v>
      </c>
      <c r="R4111">
        <f t="shared" si="257"/>
        <v>202.44666666666669</v>
      </c>
      <c r="S4111">
        <f t="shared" si="258"/>
        <v>0.31354760101425888</v>
      </c>
      <c r="T4111">
        <f t="shared" si="259"/>
        <v>8.2644628099173556E-3</v>
      </c>
      <c r="U4111" t="str">
        <f>YEAR('Campaign Data'!$A4111)&amp;"-"&amp;TEXT(MONTH('Campaign Data'!$A4111),"00")</f>
        <v>2026-08</v>
      </c>
    </row>
    <row r="4112" spans="1:21" x14ac:dyDescent="0.25">
      <c r="A4112">
        <v>46247</v>
      </c>
      <c r="B4112" t="s">
        <v>138</v>
      </c>
      <c r="C4112" t="s">
        <v>139</v>
      </c>
      <c r="D4112" t="s">
        <v>58</v>
      </c>
      <c r="E4112" t="s">
        <v>74</v>
      </c>
      <c r="F4112" t="s">
        <v>34</v>
      </c>
      <c r="G4112" t="s">
        <v>9</v>
      </c>
      <c r="H4112" t="s">
        <v>55</v>
      </c>
      <c r="I4112" t="s">
        <v>28</v>
      </c>
      <c r="J4112" t="s">
        <v>38</v>
      </c>
      <c r="K4112">
        <v>2483</v>
      </c>
      <c r="L4112">
        <v>90</v>
      </c>
      <c r="M4112">
        <v>122.38</v>
      </c>
      <c r="N4112">
        <v>2</v>
      </c>
      <c r="O4112">
        <v>230.63</v>
      </c>
      <c r="P4112">
        <f t="shared" si="256"/>
        <v>3.6246476037051951E-2</v>
      </c>
      <c r="Q4112">
        <f t="shared" si="256"/>
        <v>1.3597777777777778</v>
      </c>
      <c r="R4112">
        <f t="shared" si="257"/>
        <v>61.19</v>
      </c>
      <c r="S4112">
        <f t="shared" si="258"/>
        <v>1.8845399575093971</v>
      </c>
      <c r="T4112">
        <f t="shared" si="259"/>
        <v>2.2222222222222223E-2</v>
      </c>
      <c r="U4112" t="str">
        <f>YEAR('Campaign Data'!$A4112)&amp;"-"&amp;TEXT(MONTH('Campaign Data'!$A4112),"00")</f>
        <v>2026-08</v>
      </c>
    </row>
    <row r="4113" spans="1:21" x14ac:dyDescent="0.25">
      <c r="A4113">
        <v>46247</v>
      </c>
      <c r="B4113" t="s">
        <v>186</v>
      </c>
      <c r="C4113" t="s">
        <v>187</v>
      </c>
      <c r="D4113" t="s">
        <v>80</v>
      </c>
      <c r="E4113" t="s">
        <v>33</v>
      </c>
      <c r="F4113" t="s">
        <v>43</v>
      </c>
      <c r="G4113" t="s">
        <v>102</v>
      </c>
      <c r="H4113" t="s">
        <v>55</v>
      </c>
      <c r="I4113" t="s">
        <v>37</v>
      </c>
      <c r="J4113" t="s">
        <v>38</v>
      </c>
      <c r="K4113">
        <v>31158</v>
      </c>
      <c r="L4113">
        <v>268</v>
      </c>
      <c r="M4113">
        <v>180.69</v>
      </c>
      <c r="N4113">
        <v>3</v>
      </c>
      <c r="O4113">
        <v>47.84</v>
      </c>
      <c r="P4113">
        <f t="shared" si="256"/>
        <v>8.6013222928300916E-3</v>
      </c>
      <c r="Q4113">
        <f t="shared" si="256"/>
        <v>0.67421641791044773</v>
      </c>
      <c r="R4113">
        <f t="shared" si="257"/>
        <v>60.23</v>
      </c>
      <c r="S4113">
        <f t="shared" si="258"/>
        <v>0.26476285350600476</v>
      </c>
      <c r="T4113">
        <f t="shared" si="259"/>
        <v>1.1194029850746268E-2</v>
      </c>
      <c r="U4113" t="str">
        <f>YEAR('Campaign Data'!$A4113)&amp;"-"&amp;TEXT(MONTH('Campaign Data'!$A4113),"00")</f>
        <v>2026-08</v>
      </c>
    </row>
    <row r="4114" spans="1:21" x14ac:dyDescent="0.25">
      <c r="A4114">
        <v>46247</v>
      </c>
      <c r="B4114" t="s">
        <v>93</v>
      </c>
      <c r="C4114" t="s">
        <v>94</v>
      </c>
      <c r="D4114" t="s">
        <v>69</v>
      </c>
      <c r="E4114" t="s">
        <v>42</v>
      </c>
      <c r="F4114" t="s">
        <v>75</v>
      </c>
      <c r="G4114" t="s">
        <v>44</v>
      </c>
      <c r="H4114" t="s">
        <v>90</v>
      </c>
      <c r="I4114" t="s">
        <v>37</v>
      </c>
      <c r="J4114" t="s">
        <v>38</v>
      </c>
      <c r="K4114">
        <v>2312</v>
      </c>
      <c r="L4114">
        <v>14</v>
      </c>
      <c r="M4114">
        <v>16.989999999999998</v>
      </c>
      <c r="N4114">
        <v>0</v>
      </c>
      <c r="O4114">
        <v>0</v>
      </c>
      <c r="P4114">
        <f t="shared" si="256"/>
        <v>6.0553633217993079E-3</v>
      </c>
      <c r="Q4114">
        <f t="shared" si="256"/>
        <v>1.2135714285714285</v>
      </c>
      <c r="R4114">
        <f t="shared" si="257"/>
        <v>0</v>
      </c>
      <c r="S4114">
        <f t="shared" si="258"/>
        <v>0</v>
      </c>
      <c r="T4114">
        <f t="shared" si="259"/>
        <v>0</v>
      </c>
      <c r="U4114" t="str">
        <f>YEAR('Campaign Data'!$A4114)&amp;"-"&amp;TEXT(MONTH('Campaign Data'!$A4114),"00")</f>
        <v>2026-08</v>
      </c>
    </row>
    <row r="4115" spans="1:21" x14ac:dyDescent="0.25">
      <c r="A4115">
        <v>46247</v>
      </c>
      <c r="B4115" t="s">
        <v>98</v>
      </c>
      <c r="C4115" t="s">
        <v>99</v>
      </c>
      <c r="D4115" t="s">
        <v>69</v>
      </c>
      <c r="E4115" t="s">
        <v>24</v>
      </c>
      <c r="F4115" t="s">
        <v>75</v>
      </c>
      <c r="G4115" t="s">
        <v>66</v>
      </c>
      <c r="H4115" t="s">
        <v>51</v>
      </c>
      <c r="I4115" t="s">
        <v>28</v>
      </c>
      <c r="J4115" t="s">
        <v>29</v>
      </c>
      <c r="K4115">
        <v>3557</v>
      </c>
      <c r="L4115">
        <v>23</v>
      </c>
      <c r="M4115">
        <v>25.36</v>
      </c>
      <c r="N4115">
        <v>1</v>
      </c>
      <c r="O4115">
        <v>55.41</v>
      </c>
      <c r="P4115">
        <f t="shared" si="256"/>
        <v>6.4661231374754007E-3</v>
      </c>
      <c r="Q4115">
        <f t="shared" si="256"/>
        <v>1.1026086956521739</v>
      </c>
      <c r="R4115">
        <f t="shared" si="257"/>
        <v>25.36</v>
      </c>
      <c r="S4115">
        <f t="shared" si="258"/>
        <v>2.1849369085173502</v>
      </c>
      <c r="T4115">
        <f t="shared" si="259"/>
        <v>4.3478260869565216E-2</v>
      </c>
      <c r="U4115" t="str">
        <f>YEAR('Campaign Data'!$A4115)&amp;"-"&amp;TEXT(MONTH('Campaign Data'!$A4115),"00")</f>
        <v>2026-08</v>
      </c>
    </row>
    <row r="4116" spans="1:21" x14ac:dyDescent="0.25">
      <c r="A4116">
        <v>46247</v>
      </c>
      <c r="B4116" t="s">
        <v>98</v>
      </c>
      <c r="C4116" t="s">
        <v>99</v>
      </c>
      <c r="D4116" t="s">
        <v>69</v>
      </c>
      <c r="E4116" t="s">
        <v>24</v>
      </c>
      <c r="F4116" t="s">
        <v>75</v>
      </c>
      <c r="G4116" t="s">
        <v>66</v>
      </c>
      <c r="H4116" t="s">
        <v>36</v>
      </c>
      <c r="I4116" t="s">
        <v>28</v>
      </c>
      <c r="J4116" t="s">
        <v>87</v>
      </c>
      <c r="K4116">
        <v>4627</v>
      </c>
      <c r="L4116">
        <v>49</v>
      </c>
      <c r="M4116">
        <v>42.43</v>
      </c>
      <c r="N4116">
        <v>0</v>
      </c>
      <c r="O4116">
        <v>0</v>
      </c>
      <c r="P4116">
        <f t="shared" si="256"/>
        <v>1.059001512859304E-2</v>
      </c>
      <c r="Q4116">
        <f t="shared" si="256"/>
        <v>0.86591836734693872</v>
      </c>
      <c r="R4116">
        <f t="shared" si="257"/>
        <v>0</v>
      </c>
      <c r="S4116">
        <f t="shared" si="258"/>
        <v>0</v>
      </c>
      <c r="T4116">
        <f t="shared" si="259"/>
        <v>0</v>
      </c>
      <c r="U4116" t="str">
        <f>YEAR('Campaign Data'!$A4116)&amp;"-"&amp;TEXT(MONTH('Campaign Data'!$A4116),"00")</f>
        <v>2026-08</v>
      </c>
    </row>
    <row r="4117" spans="1:21" x14ac:dyDescent="0.25">
      <c r="A4117">
        <v>46247</v>
      </c>
      <c r="B4117" t="s">
        <v>103</v>
      </c>
      <c r="C4117" t="s">
        <v>104</v>
      </c>
      <c r="D4117" t="s">
        <v>65</v>
      </c>
      <c r="E4117" t="s">
        <v>33</v>
      </c>
      <c r="F4117" t="s">
        <v>43</v>
      </c>
      <c r="G4117" t="s">
        <v>102</v>
      </c>
      <c r="H4117" t="s">
        <v>36</v>
      </c>
      <c r="I4117" t="s">
        <v>28</v>
      </c>
      <c r="J4117" t="s">
        <v>45</v>
      </c>
      <c r="K4117">
        <v>1562</v>
      </c>
      <c r="L4117">
        <v>10</v>
      </c>
      <c r="M4117">
        <v>8.34</v>
      </c>
      <c r="N4117">
        <v>0</v>
      </c>
      <c r="O4117">
        <v>0</v>
      </c>
      <c r="P4117">
        <f t="shared" si="256"/>
        <v>6.4020486555697821E-3</v>
      </c>
      <c r="Q4117">
        <f t="shared" si="256"/>
        <v>0.83399999999999996</v>
      </c>
      <c r="R4117">
        <f t="shared" si="257"/>
        <v>0</v>
      </c>
      <c r="S4117">
        <f t="shared" si="258"/>
        <v>0</v>
      </c>
      <c r="T4117">
        <f t="shared" si="259"/>
        <v>0</v>
      </c>
      <c r="U4117" t="str">
        <f>YEAR('Campaign Data'!$A4117)&amp;"-"&amp;TEXT(MONTH('Campaign Data'!$A4117),"00")</f>
        <v>2026-08</v>
      </c>
    </row>
    <row r="4118" spans="1:21" x14ac:dyDescent="0.25">
      <c r="A4118">
        <v>46247</v>
      </c>
      <c r="B4118" t="s">
        <v>103</v>
      </c>
      <c r="C4118" t="s">
        <v>104</v>
      </c>
      <c r="D4118" t="s">
        <v>65</v>
      </c>
      <c r="E4118" t="s">
        <v>33</v>
      </c>
      <c r="F4118" t="s">
        <v>43</v>
      </c>
      <c r="G4118" t="s">
        <v>102</v>
      </c>
      <c r="H4118" t="s">
        <v>71</v>
      </c>
      <c r="I4118" t="s">
        <v>61</v>
      </c>
      <c r="J4118" t="s">
        <v>29</v>
      </c>
      <c r="K4118">
        <v>10110</v>
      </c>
      <c r="L4118">
        <v>49</v>
      </c>
      <c r="M4118">
        <v>23.19</v>
      </c>
      <c r="N4118">
        <v>0</v>
      </c>
      <c r="O4118">
        <v>0</v>
      </c>
      <c r="P4118">
        <f t="shared" si="256"/>
        <v>4.846686449060336E-3</v>
      </c>
      <c r="Q4118">
        <f t="shared" si="256"/>
        <v>0.47326530612244899</v>
      </c>
      <c r="R4118">
        <f t="shared" si="257"/>
        <v>0</v>
      </c>
      <c r="S4118">
        <f t="shared" si="258"/>
        <v>0</v>
      </c>
      <c r="T4118">
        <f t="shared" si="259"/>
        <v>0</v>
      </c>
      <c r="U4118" t="str">
        <f>YEAR('Campaign Data'!$A4118)&amp;"-"&amp;TEXT(MONTH('Campaign Data'!$A4118),"00")</f>
        <v>2026-08</v>
      </c>
    </row>
    <row r="4119" spans="1:21" x14ac:dyDescent="0.25">
      <c r="A4119">
        <v>46247</v>
      </c>
      <c r="B4119" t="s">
        <v>132</v>
      </c>
      <c r="C4119" t="s">
        <v>133</v>
      </c>
      <c r="D4119" t="s">
        <v>23</v>
      </c>
      <c r="E4119" t="s">
        <v>42</v>
      </c>
      <c r="F4119" t="s">
        <v>75</v>
      </c>
      <c r="G4119" t="s">
        <v>84</v>
      </c>
      <c r="H4119" t="s">
        <v>36</v>
      </c>
      <c r="I4119" t="s">
        <v>37</v>
      </c>
      <c r="J4119" t="s">
        <v>38</v>
      </c>
      <c r="K4119">
        <v>19869</v>
      </c>
      <c r="L4119">
        <v>157</v>
      </c>
      <c r="M4119">
        <v>881.55</v>
      </c>
      <c r="N4119">
        <v>4</v>
      </c>
      <c r="O4119">
        <v>144.94999999999999</v>
      </c>
      <c r="P4119">
        <f t="shared" si="256"/>
        <v>7.9017565051084596E-3</v>
      </c>
      <c r="Q4119">
        <f t="shared" si="256"/>
        <v>5.6149681528662416</v>
      </c>
      <c r="R4119">
        <f t="shared" si="257"/>
        <v>220.38749999999999</v>
      </c>
      <c r="S4119">
        <f t="shared" si="258"/>
        <v>0.16442629459474789</v>
      </c>
      <c r="T4119">
        <f t="shared" si="259"/>
        <v>2.5477707006369428E-2</v>
      </c>
      <c r="U4119" t="str">
        <f>YEAR('Campaign Data'!$A4119)&amp;"-"&amp;TEXT(MONTH('Campaign Data'!$A4119),"00")</f>
        <v>2026-08</v>
      </c>
    </row>
    <row r="4120" spans="1:21" x14ac:dyDescent="0.25">
      <c r="A4120">
        <v>46247</v>
      </c>
      <c r="B4120" t="s">
        <v>177</v>
      </c>
      <c r="C4120" t="s">
        <v>178</v>
      </c>
      <c r="D4120" t="s">
        <v>41</v>
      </c>
      <c r="E4120" t="s">
        <v>49</v>
      </c>
      <c r="F4120" t="s">
        <v>34</v>
      </c>
      <c r="G4120" t="s">
        <v>107</v>
      </c>
      <c r="H4120" t="s">
        <v>71</v>
      </c>
      <c r="I4120" t="s">
        <v>37</v>
      </c>
      <c r="J4120" t="s">
        <v>38</v>
      </c>
      <c r="K4120">
        <v>8450</v>
      </c>
      <c r="L4120">
        <v>362</v>
      </c>
      <c r="M4120">
        <v>533.76</v>
      </c>
      <c r="N4120">
        <v>19</v>
      </c>
      <c r="O4120">
        <v>2365.63</v>
      </c>
      <c r="P4120">
        <f t="shared" si="256"/>
        <v>4.2840236686390532E-2</v>
      </c>
      <c r="Q4120">
        <f t="shared" si="256"/>
        <v>1.4744751381215468</v>
      </c>
      <c r="R4120">
        <f t="shared" si="257"/>
        <v>28.092631578947369</v>
      </c>
      <c r="S4120">
        <f t="shared" si="258"/>
        <v>4.4320106414868112</v>
      </c>
      <c r="T4120">
        <f t="shared" si="259"/>
        <v>5.2486187845303865E-2</v>
      </c>
      <c r="U4120" t="str">
        <f>YEAR('Campaign Data'!$A4120)&amp;"-"&amp;TEXT(MONTH('Campaign Data'!$A4120),"00")</f>
        <v>2026-08</v>
      </c>
    </row>
    <row r="4121" spans="1:21" x14ac:dyDescent="0.25">
      <c r="A4121">
        <v>46247</v>
      </c>
      <c r="B4121" t="s">
        <v>179</v>
      </c>
      <c r="C4121" t="s">
        <v>180</v>
      </c>
      <c r="D4121" t="s">
        <v>58</v>
      </c>
      <c r="E4121" t="s">
        <v>42</v>
      </c>
      <c r="F4121" t="s">
        <v>25</v>
      </c>
      <c r="G4121" t="s">
        <v>54</v>
      </c>
      <c r="H4121" t="s">
        <v>27</v>
      </c>
      <c r="I4121" t="s">
        <v>37</v>
      </c>
      <c r="J4121" t="s">
        <v>45</v>
      </c>
      <c r="K4121">
        <v>6076</v>
      </c>
      <c r="L4121">
        <v>35</v>
      </c>
      <c r="M4121">
        <v>214.8</v>
      </c>
      <c r="N4121">
        <v>1</v>
      </c>
      <c r="O4121">
        <v>258.41000000000003</v>
      </c>
      <c r="P4121">
        <f t="shared" si="256"/>
        <v>5.7603686635944703E-3</v>
      </c>
      <c r="Q4121">
        <f t="shared" si="256"/>
        <v>6.1371428571428579</v>
      </c>
      <c r="R4121">
        <f t="shared" si="257"/>
        <v>214.8</v>
      </c>
      <c r="S4121">
        <f t="shared" si="258"/>
        <v>1.203026070763501</v>
      </c>
      <c r="T4121">
        <f t="shared" si="259"/>
        <v>2.8571428571428571E-2</v>
      </c>
      <c r="U4121" t="str">
        <f>YEAR('Campaign Data'!$A4121)&amp;"-"&amp;TEXT(MONTH('Campaign Data'!$A4121),"00")</f>
        <v>2026-08</v>
      </c>
    </row>
    <row r="4122" spans="1:21" x14ac:dyDescent="0.25">
      <c r="A4122">
        <v>46247</v>
      </c>
      <c r="B4122" t="s">
        <v>179</v>
      </c>
      <c r="C4122" t="s">
        <v>180</v>
      </c>
      <c r="D4122" t="s">
        <v>58</v>
      </c>
      <c r="E4122" t="s">
        <v>42</v>
      </c>
      <c r="F4122" t="s">
        <v>25</v>
      </c>
      <c r="G4122" t="s">
        <v>54</v>
      </c>
      <c r="H4122" t="s">
        <v>71</v>
      </c>
      <c r="I4122" t="s">
        <v>37</v>
      </c>
      <c r="J4122" t="s">
        <v>87</v>
      </c>
      <c r="K4122">
        <v>1840</v>
      </c>
      <c r="L4122">
        <v>12</v>
      </c>
      <c r="M4122">
        <v>60.82</v>
      </c>
      <c r="N4122">
        <v>0</v>
      </c>
      <c r="O4122">
        <v>0</v>
      </c>
      <c r="P4122">
        <f t="shared" si="256"/>
        <v>6.5217391304347823E-3</v>
      </c>
      <c r="Q4122">
        <f t="shared" si="256"/>
        <v>5.0683333333333334</v>
      </c>
      <c r="R4122">
        <f t="shared" si="257"/>
        <v>0</v>
      </c>
      <c r="S4122">
        <f t="shared" si="258"/>
        <v>0</v>
      </c>
      <c r="T4122">
        <f t="shared" si="259"/>
        <v>0</v>
      </c>
      <c r="U4122" t="str">
        <f>YEAR('Campaign Data'!$A4122)&amp;"-"&amp;TEXT(MONTH('Campaign Data'!$A4122),"00")</f>
        <v>2026-08</v>
      </c>
    </row>
    <row r="4123" spans="1:21" x14ac:dyDescent="0.25">
      <c r="A4123">
        <v>46247</v>
      </c>
      <c r="B4123" t="s">
        <v>110</v>
      </c>
      <c r="C4123" t="s">
        <v>111</v>
      </c>
      <c r="D4123" t="s">
        <v>23</v>
      </c>
      <c r="E4123" t="s">
        <v>49</v>
      </c>
      <c r="F4123" t="s">
        <v>34</v>
      </c>
      <c r="G4123" t="s">
        <v>50</v>
      </c>
      <c r="H4123" t="s">
        <v>90</v>
      </c>
      <c r="I4123" t="s">
        <v>28</v>
      </c>
      <c r="J4123" t="s">
        <v>29</v>
      </c>
      <c r="K4123">
        <v>4838</v>
      </c>
      <c r="L4123">
        <v>247</v>
      </c>
      <c r="M4123">
        <v>135.58000000000001</v>
      </c>
      <c r="N4123">
        <v>11</v>
      </c>
      <c r="O4123">
        <v>378.95</v>
      </c>
      <c r="P4123">
        <f t="shared" si="256"/>
        <v>5.1054154609342706E-2</v>
      </c>
      <c r="Q4123">
        <f t="shared" si="256"/>
        <v>0.54890688259109321</v>
      </c>
      <c r="R4123">
        <f t="shared" si="257"/>
        <v>12.325454545454546</v>
      </c>
      <c r="S4123">
        <f t="shared" si="258"/>
        <v>2.7950287653046169</v>
      </c>
      <c r="T4123">
        <f t="shared" si="259"/>
        <v>4.4534412955465584E-2</v>
      </c>
      <c r="U4123" t="str">
        <f>YEAR('Campaign Data'!$A4123)&amp;"-"&amp;TEXT(MONTH('Campaign Data'!$A4123),"00")</f>
        <v>2026-08</v>
      </c>
    </row>
    <row r="4124" spans="1:21" x14ac:dyDescent="0.25">
      <c r="A4124">
        <v>46247</v>
      </c>
      <c r="B4124" t="s">
        <v>110</v>
      </c>
      <c r="C4124" t="s">
        <v>111</v>
      </c>
      <c r="D4124" t="s">
        <v>23</v>
      </c>
      <c r="E4124" t="s">
        <v>49</v>
      </c>
      <c r="F4124" t="s">
        <v>34</v>
      </c>
      <c r="G4124" t="s">
        <v>50</v>
      </c>
      <c r="H4124" t="s">
        <v>90</v>
      </c>
      <c r="I4124" t="s">
        <v>37</v>
      </c>
      <c r="J4124" t="s">
        <v>45</v>
      </c>
      <c r="K4124">
        <v>1861</v>
      </c>
      <c r="L4124">
        <v>81</v>
      </c>
      <c r="M4124">
        <v>46.6</v>
      </c>
      <c r="N4124">
        <v>5</v>
      </c>
      <c r="O4124">
        <v>118.77</v>
      </c>
      <c r="P4124">
        <f t="shared" si="256"/>
        <v>4.3524986566362174E-2</v>
      </c>
      <c r="Q4124">
        <f t="shared" si="256"/>
        <v>0.57530864197530862</v>
      </c>
      <c r="R4124">
        <f t="shared" si="257"/>
        <v>9.32</v>
      </c>
      <c r="S4124">
        <f t="shared" si="258"/>
        <v>2.5487124463519311</v>
      </c>
      <c r="T4124">
        <f t="shared" si="259"/>
        <v>6.1728395061728392E-2</v>
      </c>
      <c r="U4124" t="str">
        <f>YEAR('Campaign Data'!$A4124)&amp;"-"&amp;TEXT(MONTH('Campaign Data'!$A4124),"00")</f>
        <v>2026-08</v>
      </c>
    </row>
    <row r="4125" spans="1:21" x14ac:dyDescent="0.25">
      <c r="A4125">
        <v>46247</v>
      </c>
      <c r="B4125" t="s">
        <v>112</v>
      </c>
      <c r="C4125" t="s">
        <v>113</v>
      </c>
      <c r="D4125" t="s">
        <v>32</v>
      </c>
      <c r="E4125" t="s">
        <v>24</v>
      </c>
      <c r="F4125" t="s">
        <v>75</v>
      </c>
      <c r="G4125" t="s">
        <v>66</v>
      </c>
      <c r="H4125" t="s">
        <v>60</v>
      </c>
      <c r="I4125" t="s">
        <v>28</v>
      </c>
      <c r="J4125" t="s">
        <v>38</v>
      </c>
      <c r="K4125">
        <v>10085</v>
      </c>
      <c r="L4125">
        <v>112</v>
      </c>
      <c r="M4125">
        <v>87.1</v>
      </c>
      <c r="N4125">
        <v>2</v>
      </c>
      <c r="O4125">
        <v>52.05</v>
      </c>
      <c r="P4125">
        <f t="shared" si="256"/>
        <v>1.1105602379771939E-2</v>
      </c>
      <c r="Q4125">
        <f t="shared" si="256"/>
        <v>0.77767857142857133</v>
      </c>
      <c r="R4125">
        <f t="shared" si="257"/>
        <v>43.55</v>
      </c>
      <c r="S4125">
        <f t="shared" si="258"/>
        <v>0.5975889781859931</v>
      </c>
      <c r="T4125">
        <f t="shared" si="259"/>
        <v>1.7857142857142856E-2</v>
      </c>
      <c r="U4125" t="str">
        <f>YEAR('Campaign Data'!$A4125)&amp;"-"&amp;TEXT(MONTH('Campaign Data'!$A4125),"00")</f>
        <v>2026-08</v>
      </c>
    </row>
    <row r="4126" spans="1:21" x14ac:dyDescent="0.25">
      <c r="A4126">
        <v>46247</v>
      </c>
      <c r="B4126" t="s">
        <v>159</v>
      </c>
      <c r="C4126" t="s">
        <v>160</v>
      </c>
      <c r="D4126" t="s">
        <v>65</v>
      </c>
      <c r="E4126" t="s">
        <v>42</v>
      </c>
      <c r="F4126" t="s">
        <v>75</v>
      </c>
      <c r="G4126" t="s">
        <v>54</v>
      </c>
      <c r="H4126" t="s">
        <v>90</v>
      </c>
      <c r="I4126" t="s">
        <v>37</v>
      </c>
      <c r="J4126" t="s">
        <v>38</v>
      </c>
      <c r="K4126">
        <v>5130</v>
      </c>
      <c r="L4126">
        <v>24</v>
      </c>
      <c r="M4126">
        <v>41.74</v>
      </c>
      <c r="N4126">
        <v>0</v>
      </c>
      <c r="O4126">
        <v>0</v>
      </c>
      <c r="P4126">
        <f t="shared" si="256"/>
        <v>4.6783625730994153E-3</v>
      </c>
      <c r="Q4126">
        <f t="shared" si="256"/>
        <v>1.7391666666666667</v>
      </c>
      <c r="R4126">
        <f t="shared" si="257"/>
        <v>0</v>
      </c>
      <c r="S4126">
        <f t="shared" si="258"/>
        <v>0</v>
      </c>
      <c r="T4126">
        <f t="shared" si="259"/>
        <v>0</v>
      </c>
      <c r="U4126" t="str">
        <f>YEAR('Campaign Data'!$A4126)&amp;"-"&amp;TEXT(MONTH('Campaign Data'!$A4126),"00")</f>
        <v>2026-08</v>
      </c>
    </row>
    <row r="4127" spans="1:21" x14ac:dyDescent="0.25">
      <c r="A4127">
        <v>46247</v>
      </c>
      <c r="B4127" t="s">
        <v>141</v>
      </c>
      <c r="C4127" t="s">
        <v>142</v>
      </c>
      <c r="D4127" t="s">
        <v>80</v>
      </c>
      <c r="E4127" t="s">
        <v>49</v>
      </c>
      <c r="F4127" t="s">
        <v>81</v>
      </c>
      <c r="G4127" t="s">
        <v>97</v>
      </c>
      <c r="H4127" t="s">
        <v>90</v>
      </c>
      <c r="I4127" t="s">
        <v>37</v>
      </c>
      <c r="J4127" t="s">
        <v>29</v>
      </c>
      <c r="K4127">
        <v>5075</v>
      </c>
      <c r="L4127">
        <v>198</v>
      </c>
      <c r="M4127">
        <v>89.59</v>
      </c>
      <c r="N4127">
        <v>13</v>
      </c>
      <c r="O4127">
        <v>70.290000000000006</v>
      </c>
      <c r="P4127">
        <f t="shared" si="256"/>
        <v>3.9014778325123151E-2</v>
      </c>
      <c r="Q4127">
        <f t="shared" si="256"/>
        <v>0.45247474747474747</v>
      </c>
      <c r="R4127">
        <f t="shared" si="257"/>
        <v>6.8915384615384614</v>
      </c>
      <c r="S4127">
        <f t="shared" si="258"/>
        <v>0.78457417122446704</v>
      </c>
      <c r="T4127">
        <f t="shared" si="259"/>
        <v>6.5656565656565663E-2</v>
      </c>
      <c r="U4127" t="str">
        <f>YEAR('Campaign Data'!$A4127)&amp;"-"&amp;TEXT(MONTH('Campaign Data'!$A4127),"00")</f>
        <v>2026-08</v>
      </c>
    </row>
    <row r="4128" spans="1:21" x14ac:dyDescent="0.25">
      <c r="A4128">
        <v>46247</v>
      </c>
      <c r="B4128" t="s">
        <v>72</v>
      </c>
      <c r="C4128" t="s">
        <v>73</v>
      </c>
      <c r="D4128" t="s">
        <v>69</v>
      </c>
      <c r="E4128" t="s">
        <v>74</v>
      </c>
      <c r="F4128" t="s">
        <v>75</v>
      </c>
      <c r="G4128" t="s">
        <v>9</v>
      </c>
      <c r="H4128" t="s">
        <v>27</v>
      </c>
      <c r="I4128" t="s">
        <v>37</v>
      </c>
      <c r="J4128" t="s">
        <v>38</v>
      </c>
      <c r="K4128">
        <v>3281</v>
      </c>
      <c r="L4128">
        <v>151</v>
      </c>
      <c r="M4128">
        <v>288.94</v>
      </c>
      <c r="N4128">
        <v>7</v>
      </c>
      <c r="O4128">
        <v>504.61</v>
      </c>
      <c r="P4128">
        <f t="shared" si="256"/>
        <v>4.6022554099359951E-2</v>
      </c>
      <c r="Q4128">
        <f t="shared" si="256"/>
        <v>1.9135099337748345</v>
      </c>
      <c r="R4128">
        <f t="shared" si="257"/>
        <v>41.277142857142856</v>
      </c>
      <c r="S4128">
        <f t="shared" si="258"/>
        <v>1.7464179414411296</v>
      </c>
      <c r="T4128">
        <f t="shared" si="259"/>
        <v>4.6357615894039736E-2</v>
      </c>
      <c r="U4128" t="str">
        <f>YEAR('Campaign Data'!$A4128)&amp;"-"&amp;TEXT(MONTH('Campaign Data'!$A4128),"00")</f>
        <v>2026-08</v>
      </c>
    </row>
    <row r="4129" spans="1:21" x14ac:dyDescent="0.25">
      <c r="A4129">
        <v>46247</v>
      </c>
      <c r="B4129" t="s">
        <v>163</v>
      </c>
      <c r="C4129" t="s">
        <v>164</v>
      </c>
      <c r="D4129" t="s">
        <v>58</v>
      </c>
      <c r="E4129" t="s">
        <v>42</v>
      </c>
      <c r="F4129" t="s">
        <v>43</v>
      </c>
      <c r="G4129" t="s">
        <v>44</v>
      </c>
      <c r="H4129" t="s">
        <v>51</v>
      </c>
      <c r="I4129" t="s">
        <v>37</v>
      </c>
      <c r="J4129" t="s">
        <v>87</v>
      </c>
      <c r="K4129">
        <v>1742</v>
      </c>
      <c r="L4129">
        <v>16</v>
      </c>
      <c r="M4129">
        <v>86.33</v>
      </c>
      <c r="N4129">
        <v>0</v>
      </c>
      <c r="O4129">
        <v>0</v>
      </c>
      <c r="P4129">
        <f t="shared" si="256"/>
        <v>9.1848450057405284E-3</v>
      </c>
      <c r="Q4129">
        <f t="shared" si="256"/>
        <v>5.3956249999999999</v>
      </c>
      <c r="R4129">
        <f t="shared" si="257"/>
        <v>0</v>
      </c>
      <c r="S4129">
        <f t="shared" si="258"/>
        <v>0</v>
      </c>
      <c r="T4129">
        <f t="shared" si="259"/>
        <v>0</v>
      </c>
      <c r="U4129" t="str">
        <f>YEAR('Campaign Data'!$A4129)&amp;"-"&amp;TEXT(MONTH('Campaign Data'!$A4129),"00")</f>
        <v>2026-08</v>
      </c>
    </row>
    <row r="4130" spans="1:21" x14ac:dyDescent="0.25">
      <c r="A4130">
        <v>46247</v>
      </c>
      <c r="B4130" t="s">
        <v>78</v>
      </c>
      <c r="C4130" t="s">
        <v>79</v>
      </c>
      <c r="D4130" t="s">
        <v>80</v>
      </c>
      <c r="E4130" t="s">
        <v>24</v>
      </c>
      <c r="F4130" t="s">
        <v>81</v>
      </c>
      <c r="G4130" t="s">
        <v>66</v>
      </c>
      <c r="H4130" t="s">
        <v>90</v>
      </c>
      <c r="I4130" t="s">
        <v>28</v>
      </c>
      <c r="J4130" t="s">
        <v>45</v>
      </c>
      <c r="K4130">
        <v>2632</v>
      </c>
      <c r="L4130">
        <v>57</v>
      </c>
      <c r="M4130">
        <v>13.12</v>
      </c>
      <c r="N4130">
        <v>0</v>
      </c>
      <c r="O4130">
        <v>0</v>
      </c>
      <c r="P4130">
        <f t="shared" si="256"/>
        <v>2.1656534954407294E-2</v>
      </c>
      <c r="Q4130">
        <f t="shared" si="256"/>
        <v>0.23017543859649123</v>
      </c>
      <c r="R4130">
        <f t="shared" si="257"/>
        <v>0</v>
      </c>
      <c r="S4130">
        <f t="shared" si="258"/>
        <v>0</v>
      </c>
      <c r="T4130">
        <f t="shared" si="259"/>
        <v>0</v>
      </c>
      <c r="U4130" t="str">
        <f>YEAR('Campaign Data'!$A4130)&amp;"-"&amp;TEXT(MONTH('Campaign Data'!$A4130),"00")</f>
        <v>2026-08</v>
      </c>
    </row>
    <row r="4131" spans="1:21" x14ac:dyDescent="0.25">
      <c r="A4131">
        <v>46248</v>
      </c>
      <c r="B4131" t="s">
        <v>165</v>
      </c>
      <c r="C4131" t="s">
        <v>166</v>
      </c>
      <c r="D4131" t="s">
        <v>41</v>
      </c>
      <c r="E4131" t="s">
        <v>33</v>
      </c>
      <c r="F4131" t="s">
        <v>43</v>
      </c>
      <c r="G4131" t="s">
        <v>59</v>
      </c>
      <c r="H4131" t="s">
        <v>51</v>
      </c>
      <c r="I4131" t="s">
        <v>37</v>
      </c>
      <c r="J4131" t="s">
        <v>87</v>
      </c>
      <c r="K4131">
        <v>1225</v>
      </c>
      <c r="L4131">
        <v>13</v>
      </c>
      <c r="M4131">
        <v>9.1199999999999992</v>
      </c>
      <c r="N4131">
        <v>0</v>
      </c>
      <c r="O4131">
        <v>0</v>
      </c>
      <c r="P4131">
        <f t="shared" si="256"/>
        <v>1.0612244897959184E-2</v>
      </c>
      <c r="Q4131">
        <f t="shared" si="256"/>
        <v>0.70153846153846144</v>
      </c>
      <c r="R4131">
        <f t="shared" si="257"/>
        <v>0</v>
      </c>
      <c r="S4131">
        <f t="shared" si="258"/>
        <v>0</v>
      </c>
      <c r="T4131">
        <f t="shared" si="259"/>
        <v>0</v>
      </c>
      <c r="U4131" t="str">
        <f>YEAR('Campaign Data'!$A4131)&amp;"-"&amp;TEXT(MONTH('Campaign Data'!$A4131),"00")</f>
        <v>2026-08</v>
      </c>
    </row>
    <row r="4132" spans="1:21" x14ac:dyDescent="0.25">
      <c r="A4132">
        <v>46248</v>
      </c>
      <c r="B4132" t="s">
        <v>147</v>
      </c>
      <c r="C4132" t="s">
        <v>148</v>
      </c>
      <c r="D4132" t="s">
        <v>23</v>
      </c>
      <c r="E4132" t="s">
        <v>42</v>
      </c>
      <c r="F4132" t="s">
        <v>75</v>
      </c>
      <c r="G4132" t="s">
        <v>44</v>
      </c>
      <c r="H4132" t="s">
        <v>51</v>
      </c>
      <c r="I4132" t="s">
        <v>37</v>
      </c>
      <c r="J4132" t="s">
        <v>38</v>
      </c>
      <c r="K4132">
        <v>18229</v>
      </c>
      <c r="L4132">
        <v>112</v>
      </c>
      <c r="M4132">
        <v>559.85</v>
      </c>
      <c r="N4132">
        <v>5</v>
      </c>
      <c r="O4132">
        <v>318.67</v>
      </c>
      <c r="P4132">
        <f t="shared" si="256"/>
        <v>6.1440561742278788E-3</v>
      </c>
      <c r="Q4132">
        <f t="shared" si="256"/>
        <v>4.9986607142857142</v>
      </c>
      <c r="R4132">
        <f t="shared" si="257"/>
        <v>111.97</v>
      </c>
      <c r="S4132">
        <f t="shared" si="258"/>
        <v>0.56920603733142805</v>
      </c>
      <c r="T4132">
        <f t="shared" si="259"/>
        <v>4.4642857142857144E-2</v>
      </c>
      <c r="U4132" t="str">
        <f>YEAR('Campaign Data'!$A4132)&amp;"-"&amp;TEXT(MONTH('Campaign Data'!$A4132),"00")</f>
        <v>2026-08</v>
      </c>
    </row>
    <row r="4133" spans="1:21" x14ac:dyDescent="0.25">
      <c r="A4133">
        <v>46248</v>
      </c>
      <c r="B4133" t="s">
        <v>93</v>
      </c>
      <c r="C4133" t="s">
        <v>94</v>
      </c>
      <c r="D4133" t="s">
        <v>69</v>
      </c>
      <c r="E4133" t="s">
        <v>42</v>
      </c>
      <c r="F4133" t="s">
        <v>75</v>
      </c>
      <c r="G4133" t="s">
        <v>44</v>
      </c>
      <c r="H4133" t="s">
        <v>60</v>
      </c>
      <c r="I4133" t="s">
        <v>37</v>
      </c>
      <c r="J4133" t="s">
        <v>38</v>
      </c>
      <c r="K4133">
        <v>2290</v>
      </c>
      <c r="L4133">
        <v>18</v>
      </c>
      <c r="M4133">
        <v>98.11</v>
      </c>
      <c r="N4133">
        <v>1</v>
      </c>
      <c r="O4133">
        <v>23.97</v>
      </c>
      <c r="P4133">
        <f t="shared" si="256"/>
        <v>7.8602620087336247E-3</v>
      </c>
      <c r="Q4133">
        <f t="shared" si="256"/>
        <v>5.4505555555555558</v>
      </c>
      <c r="R4133">
        <f t="shared" si="257"/>
        <v>98.11</v>
      </c>
      <c r="S4133">
        <f t="shared" si="258"/>
        <v>0.2443176026908572</v>
      </c>
      <c r="T4133">
        <f t="shared" si="259"/>
        <v>5.5555555555555552E-2</v>
      </c>
      <c r="U4133" t="str">
        <f>YEAR('Campaign Data'!$A4133)&amp;"-"&amp;TEXT(MONTH('Campaign Data'!$A4133),"00")</f>
        <v>2026-08</v>
      </c>
    </row>
    <row r="4134" spans="1:21" x14ac:dyDescent="0.25">
      <c r="A4134">
        <v>46248</v>
      </c>
      <c r="B4134" t="s">
        <v>46</v>
      </c>
      <c r="C4134" t="s">
        <v>47</v>
      </c>
      <c r="D4134" t="s">
        <v>48</v>
      </c>
      <c r="E4134" t="s">
        <v>49</v>
      </c>
      <c r="F4134" t="s">
        <v>43</v>
      </c>
      <c r="G4134" t="s">
        <v>50</v>
      </c>
      <c r="H4134" t="s">
        <v>51</v>
      </c>
      <c r="I4134" t="s">
        <v>37</v>
      </c>
      <c r="J4134" t="s">
        <v>87</v>
      </c>
      <c r="K4134">
        <v>2397</v>
      </c>
      <c r="L4134">
        <v>109</v>
      </c>
      <c r="M4134">
        <v>139.79</v>
      </c>
      <c r="N4134">
        <v>6</v>
      </c>
      <c r="O4134">
        <v>140.9</v>
      </c>
      <c r="P4134">
        <f t="shared" si="256"/>
        <v>4.5473508552357114E-2</v>
      </c>
      <c r="Q4134">
        <f t="shared" si="256"/>
        <v>1.2824770642201835</v>
      </c>
      <c r="R4134">
        <f t="shared" si="257"/>
        <v>23.298333333333332</v>
      </c>
      <c r="S4134">
        <f t="shared" si="258"/>
        <v>1.0079404821517992</v>
      </c>
      <c r="T4134">
        <f t="shared" si="259"/>
        <v>5.5045871559633031E-2</v>
      </c>
      <c r="U4134" t="str">
        <f>YEAR('Campaign Data'!$A4134)&amp;"-"&amp;TEXT(MONTH('Campaign Data'!$A4134),"00")</f>
        <v>2026-08</v>
      </c>
    </row>
    <row r="4135" spans="1:21" x14ac:dyDescent="0.25">
      <c r="A4135">
        <v>46248</v>
      </c>
      <c r="B4135" t="s">
        <v>169</v>
      </c>
      <c r="C4135" t="s">
        <v>170</v>
      </c>
      <c r="D4135" t="s">
        <v>58</v>
      </c>
      <c r="E4135" t="s">
        <v>74</v>
      </c>
      <c r="F4135" t="s">
        <v>75</v>
      </c>
      <c r="G4135" t="s">
        <v>9</v>
      </c>
      <c r="H4135" t="s">
        <v>55</v>
      </c>
      <c r="I4135" t="s">
        <v>28</v>
      </c>
      <c r="J4135" t="s">
        <v>29</v>
      </c>
      <c r="K4135">
        <v>7401</v>
      </c>
      <c r="L4135">
        <v>242</v>
      </c>
      <c r="M4135">
        <v>321.83</v>
      </c>
      <c r="N4135">
        <v>10</v>
      </c>
      <c r="O4135">
        <v>235.27</v>
      </c>
      <c r="P4135">
        <f t="shared" si="256"/>
        <v>3.2698284015673561E-2</v>
      </c>
      <c r="Q4135">
        <f t="shared" si="256"/>
        <v>1.3298760330578512</v>
      </c>
      <c r="R4135">
        <f t="shared" si="257"/>
        <v>32.183</v>
      </c>
      <c r="S4135">
        <f t="shared" si="258"/>
        <v>0.73103812571854709</v>
      </c>
      <c r="T4135">
        <f t="shared" si="259"/>
        <v>4.1322314049586778E-2</v>
      </c>
      <c r="U4135" t="str">
        <f>YEAR('Campaign Data'!$A4135)&amp;"-"&amp;TEXT(MONTH('Campaign Data'!$A4135),"00")</f>
        <v>2026-08</v>
      </c>
    </row>
    <row r="4136" spans="1:21" x14ac:dyDescent="0.25">
      <c r="A4136">
        <v>46248</v>
      </c>
      <c r="B4136" t="s">
        <v>108</v>
      </c>
      <c r="C4136" t="s">
        <v>109</v>
      </c>
      <c r="D4136" t="s">
        <v>58</v>
      </c>
      <c r="E4136" t="s">
        <v>33</v>
      </c>
      <c r="F4136" t="s">
        <v>43</v>
      </c>
      <c r="G4136" t="s">
        <v>59</v>
      </c>
      <c r="H4136" t="s">
        <v>27</v>
      </c>
      <c r="I4136" t="s">
        <v>37</v>
      </c>
      <c r="J4136" t="s">
        <v>38</v>
      </c>
      <c r="K4136">
        <v>7979</v>
      </c>
      <c r="L4136">
        <v>55</v>
      </c>
      <c r="M4136">
        <v>31.37</v>
      </c>
      <c r="N4136">
        <v>0</v>
      </c>
      <c r="O4136">
        <v>0</v>
      </c>
      <c r="P4136">
        <f t="shared" si="256"/>
        <v>6.8930943727284122E-3</v>
      </c>
      <c r="Q4136">
        <f t="shared" si="256"/>
        <v>0.57036363636363641</v>
      </c>
      <c r="R4136">
        <f t="shared" si="257"/>
        <v>0</v>
      </c>
      <c r="S4136">
        <f t="shared" si="258"/>
        <v>0</v>
      </c>
      <c r="T4136">
        <f t="shared" si="259"/>
        <v>0</v>
      </c>
      <c r="U4136" t="str">
        <f>YEAR('Campaign Data'!$A4136)&amp;"-"&amp;TEXT(MONTH('Campaign Data'!$A4136),"00")</f>
        <v>2026-08</v>
      </c>
    </row>
    <row r="4137" spans="1:21" x14ac:dyDescent="0.25">
      <c r="A4137">
        <v>46248</v>
      </c>
      <c r="B4137" t="s">
        <v>130</v>
      </c>
      <c r="C4137" t="s">
        <v>131</v>
      </c>
      <c r="D4137" t="s">
        <v>48</v>
      </c>
      <c r="E4137" t="s">
        <v>33</v>
      </c>
      <c r="F4137" t="s">
        <v>34</v>
      </c>
      <c r="G4137" t="s">
        <v>35</v>
      </c>
      <c r="H4137" t="s">
        <v>27</v>
      </c>
      <c r="I4137" t="s">
        <v>37</v>
      </c>
      <c r="J4137" t="s">
        <v>62</v>
      </c>
      <c r="K4137">
        <v>10294</v>
      </c>
      <c r="L4137">
        <v>168</v>
      </c>
      <c r="M4137">
        <v>116.44</v>
      </c>
      <c r="N4137">
        <v>3</v>
      </c>
      <c r="O4137">
        <v>452.76</v>
      </c>
      <c r="P4137">
        <f t="shared" si="256"/>
        <v>1.6320186516417329E-2</v>
      </c>
      <c r="Q4137">
        <f t="shared" si="256"/>
        <v>0.6930952380952381</v>
      </c>
      <c r="R4137">
        <f t="shared" si="257"/>
        <v>38.813333333333333</v>
      </c>
      <c r="S4137">
        <f t="shared" si="258"/>
        <v>3.8883545173479903</v>
      </c>
      <c r="T4137">
        <f t="shared" si="259"/>
        <v>1.7857142857142856E-2</v>
      </c>
      <c r="U4137" t="str">
        <f>YEAR('Campaign Data'!$A4137)&amp;"-"&amp;TEXT(MONTH('Campaign Data'!$A4137),"00")</f>
        <v>2026-08</v>
      </c>
    </row>
    <row r="4138" spans="1:21" x14ac:dyDescent="0.25">
      <c r="A4138">
        <v>46248</v>
      </c>
      <c r="B4138" t="s">
        <v>132</v>
      </c>
      <c r="C4138" t="s">
        <v>133</v>
      </c>
      <c r="D4138" t="s">
        <v>23</v>
      </c>
      <c r="E4138" t="s">
        <v>42</v>
      </c>
      <c r="F4138" t="s">
        <v>75</v>
      </c>
      <c r="G4138" t="s">
        <v>84</v>
      </c>
      <c r="H4138" t="s">
        <v>27</v>
      </c>
      <c r="I4138" t="s">
        <v>37</v>
      </c>
      <c r="J4138" t="s">
        <v>38</v>
      </c>
      <c r="K4138">
        <v>7814</v>
      </c>
      <c r="L4138">
        <v>52</v>
      </c>
      <c r="M4138">
        <v>238.77</v>
      </c>
      <c r="N4138">
        <v>0</v>
      </c>
      <c r="O4138">
        <v>0</v>
      </c>
      <c r="P4138">
        <f t="shared" si="256"/>
        <v>6.6547222933196828E-3</v>
      </c>
      <c r="Q4138">
        <f t="shared" si="256"/>
        <v>4.5917307692307698</v>
      </c>
      <c r="R4138">
        <f t="shared" si="257"/>
        <v>0</v>
      </c>
      <c r="S4138">
        <f t="shared" si="258"/>
        <v>0</v>
      </c>
      <c r="T4138">
        <f t="shared" si="259"/>
        <v>0</v>
      </c>
      <c r="U4138" t="str">
        <f>YEAR('Campaign Data'!$A4138)&amp;"-"&amp;TEXT(MONTH('Campaign Data'!$A4138),"00")</f>
        <v>2026-08</v>
      </c>
    </row>
    <row r="4139" spans="1:21" x14ac:dyDescent="0.25">
      <c r="A4139">
        <v>46248</v>
      </c>
      <c r="B4139" t="s">
        <v>153</v>
      </c>
      <c r="C4139" t="s">
        <v>154</v>
      </c>
      <c r="D4139" t="s">
        <v>48</v>
      </c>
      <c r="E4139" t="s">
        <v>33</v>
      </c>
      <c r="F4139" t="s">
        <v>43</v>
      </c>
      <c r="G4139" t="s">
        <v>59</v>
      </c>
      <c r="H4139" t="s">
        <v>55</v>
      </c>
      <c r="I4139" t="s">
        <v>37</v>
      </c>
      <c r="J4139" t="s">
        <v>87</v>
      </c>
      <c r="K4139">
        <v>6247</v>
      </c>
      <c r="L4139">
        <v>40</v>
      </c>
      <c r="M4139">
        <v>17.63</v>
      </c>
      <c r="N4139">
        <v>1</v>
      </c>
      <c r="O4139">
        <v>28.17</v>
      </c>
      <c r="P4139">
        <f t="shared" si="256"/>
        <v>6.4030734752681291E-3</v>
      </c>
      <c r="Q4139">
        <f t="shared" si="256"/>
        <v>0.44074999999999998</v>
      </c>
      <c r="R4139">
        <f t="shared" si="257"/>
        <v>17.63</v>
      </c>
      <c r="S4139">
        <f t="shared" si="258"/>
        <v>1.5978445830969938</v>
      </c>
      <c r="T4139">
        <f t="shared" si="259"/>
        <v>2.5000000000000001E-2</v>
      </c>
      <c r="U4139" t="str">
        <f>YEAR('Campaign Data'!$A4139)&amp;"-"&amp;TEXT(MONTH('Campaign Data'!$A4139),"00")</f>
        <v>2026-08</v>
      </c>
    </row>
    <row r="4140" spans="1:21" x14ac:dyDescent="0.25">
      <c r="A4140">
        <v>46248</v>
      </c>
      <c r="B4140" t="s">
        <v>110</v>
      </c>
      <c r="C4140" t="s">
        <v>111</v>
      </c>
      <c r="D4140" t="s">
        <v>23</v>
      </c>
      <c r="E4140" t="s">
        <v>49</v>
      </c>
      <c r="F4140" t="s">
        <v>34</v>
      </c>
      <c r="G4140" t="s">
        <v>50</v>
      </c>
      <c r="H4140" t="s">
        <v>71</v>
      </c>
      <c r="I4140" t="s">
        <v>37</v>
      </c>
      <c r="J4140" t="s">
        <v>87</v>
      </c>
      <c r="K4140">
        <v>3257</v>
      </c>
      <c r="L4140">
        <v>133</v>
      </c>
      <c r="M4140">
        <v>321.7</v>
      </c>
      <c r="N4140">
        <v>10</v>
      </c>
      <c r="O4140">
        <v>1298.04</v>
      </c>
      <c r="P4140">
        <f t="shared" si="256"/>
        <v>4.0835124347559107E-2</v>
      </c>
      <c r="Q4140">
        <f t="shared" si="256"/>
        <v>2.4187969924812029</v>
      </c>
      <c r="R4140">
        <f t="shared" si="257"/>
        <v>32.17</v>
      </c>
      <c r="S4140">
        <f t="shared" si="258"/>
        <v>4.0349393845197392</v>
      </c>
      <c r="T4140">
        <f t="shared" si="259"/>
        <v>7.5187969924812026E-2</v>
      </c>
      <c r="U4140" t="str">
        <f>YEAR('Campaign Data'!$A4140)&amp;"-"&amp;TEXT(MONTH('Campaign Data'!$A4140),"00")</f>
        <v>2026-08</v>
      </c>
    </row>
    <row r="4141" spans="1:21" x14ac:dyDescent="0.25">
      <c r="A4141">
        <v>46248</v>
      </c>
      <c r="B4141" t="s">
        <v>112</v>
      </c>
      <c r="C4141" t="s">
        <v>113</v>
      </c>
      <c r="D4141" t="s">
        <v>32</v>
      </c>
      <c r="E4141" t="s">
        <v>24</v>
      </c>
      <c r="F4141" t="s">
        <v>75</v>
      </c>
      <c r="G4141" t="s">
        <v>66</v>
      </c>
      <c r="H4141" t="s">
        <v>51</v>
      </c>
      <c r="I4141" t="s">
        <v>37</v>
      </c>
      <c r="J4141" t="s">
        <v>87</v>
      </c>
      <c r="K4141">
        <v>4060</v>
      </c>
      <c r="L4141">
        <v>57</v>
      </c>
      <c r="M4141">
        <v>71.959999999999994</v>
      </c>
      <c r="N4141">
        <v>1</v>
      </c>
      <c r="O4141">
        <v>67.75</v>
      </c>
      <c r="P4141">
        <f t="shared" si="256"/>
        <v>1.4039408866995074E-2</v>
      </c>
      <c r="Q4141">
        <f t="shared" si="256"/>
        <v>1.2624561403508772</v>
      </c>
      <c r="R4141">
        <f t="shared" si="257"/>
        <v>71.959999999999994</v>
      </c>
      <c r="S4141">
        <f t="shared" si="258"/>
        <v>0.9414952751528628</v>
      </c>
      <c r="T4141">
        <f t="shared" si="259"/>
        <v>1.7543859649122806E-2</v>
      </c>
      <c r="U4141" t="str">
        <f>YEAR('Campaign Data'!$A4141)&amp;"-"&amp;TEXT(MONTH('Campaign Data'!$A4141),"00")</f>
        <v>2026-08</v>
      </c>
    </row>
    <row r="4142" spans="1:21" x14ac:dyDescent="0.25">
      <c r="A4142">
        <v>46248</v>
      </c>
      <c r="B4142" t="s">
        <v>136</v>
      </c>
      <c r="C4142" t="s">
        <v>137</v>
      </c>
      <c r="D4142" t="s">
        <v>32</v>
      </c>
      <c r="E4142" t="s">
        <v>49</v>
      </c>
      <c r="F4142" t="s">
        <v>75</v>
      </c>
      <c r="G4142" t="s">
        <v>97</v>
      </c>
      <c r="H4142" t="s">
        <v>71</v>
      </c>
      <c r="I4142" t="s">
        <v>37</v>
      </c>
      <c r="J4142" t="s">
        <v>45</v>
      </c>
      <c r="K4142">
        <v>6030</v>
      </c>
      <c r="L4142">
        <v>239</v>
      </c>
      <c r="M4142">
        <v>409.47</v>
      </c>
      <c r="N4142">
        <v>12</v>
      </c>
      <c r="O4142">
        <v>417.96</v>
      </c>
      <c r="P4142">
        <f t="shared" si="256"/>
        <v>3.9635157545605308E-2</v>
      </c>
      <c r="Q4142">
        <f t="shared" si="256"/>
        <v>1.71326359832636</v>
      </c>
      <c r="R4142">
        <f t="shared" si="257"/>
        <v>34.122500000000002</v>
      </c>
      <c r="S4142">
        <f t="shared" si="258"/>
        <v>1.02073411971573</v>
      </c>
      <c r="T4142">
        <f t="shared" si="259"/>
        <v>5.0209205020920501E-2</v>
      </c>
      <c r="U4142" t="str">
        <f>YEAR('Campaign Data'!$A4142)&amp;"-"&amp;TEXT(MONTH('Campaign Data'!$A4142),"00")</f>
        <v>2026-08</v>
      </c>
    </row>
    <row r="4143" spans="1:21" x14ac:dyDescent="0.25">
      <c r="A4143">
        <v>46248</v>
      </c>
      <c r="B4143" t="s">
        <v>118</v>
      </c>
      <c r="C4143" t="s">
        <v>119</v>
      </c>
      <c r="D4143" t="s">
        <v>69</v>
      </c>
      <c r="E4143" t="s">
        <v>33</v>
      </c>
      <c r="F4143" t="s">
        <v>34</v>
      </c>
      <c r="G4143" t="s">
        <v>35</v>
      </c>
      <c r="H4143" t="s">
        <v>55</v>
      </c>
      <c r="I4143" t="s">
        <v>28</v>
      </c>
      <c r="J4143" t="s">
        <v>29</v>
      </c>
      <c r="K4143">
        <v>3501</v>
      </c>
      <c r="L4143">
        <v>35</v>
      </c>
      <c r="M4143">
        <v>21.04</v>
      </c>
      <c r="N4143">
        <v>1</v>
      </c>
      <c r="O4143">
        <v>124.4</v>
      </c>
      <c r="P4143">
        <f t="shared" si="256"/>
        <v>9.9971436732362185E-3</v>
      </c>
      <c r="Q4143">
        <f t="shared" si="256"/>
        <v>0.60114285714285709</v>
      </c>
      <c r="R4143">
        <f t="shared" si="257"/>
        <v>21.04</v>
      </c>
      <c r="S4143">
        <f t="shared" si="258"/>
        <v>5.912547528517111</v>
      </c>
      <c r="T4143">
        <f t="shared" si="259"/>
        <v>2.8571428571428571E-2</v>
      </c>
      <c r="U4143" t="str">
        <f>YEAR('Campaign Data'!$A4143)&amp;"-"&amp;TEXT(MONTH('Campaign Data'!$A4143),"00")</f>
        <v>2026-08</v>
      </c>
    </row>
    <row r="4144" spans="1:21" x14ac:dyDescent="0.25">
      <c r="A4144">
        <v>46248</v>
      </c>
      <c r="B4144" t="s">
        <v>76</v>
      </c>
      <c r="C4144" t="s">
        <v>77</v>
      </c>
      <c r="D4144" t="s">
        <v>65</v>
      </c>
      <c r="E4144" t="s">
        <v>42</v>
      </c>
      <c r="F4144" t="s">
        <v>43</v>
      </c>
      <c r="G4144" t="s">
        <v>44</v>
      </c>
      <c r="H4144" t="s">
        <v>36</v>
      </c>
      <c r="I4144" t="s">
        <v>28</v>
      </c>
      <c r="J4144" t="s">
        <v>38</v>
      </c>
      <c r="K4144">
        <v>4603</v>
      </c>
      <c r="L4144">
        <v>25</v>
      </c>
      <c r="M4144">
        <v>145.31</v>
      </c>
      <c r="N4144">
        <v>0</v>
      </c>
      <c r="O4144">
        <v>0</v>
      </c>
      <c r="P4144">
        <f t="shared" si="256"/>
        <v>5.4312404953291331E-3</v>
      </c>
      <c r="Q4144">
        <f t="shared" si="256"/>
        <v>5.8124000000000002</v>
      </c>
      <c r="R4144">
        <f t="shared" si="257"/>
        <v>0</v>
      </c>
      <c r="S4144">
        <f t="shared" si="258"/>
        <v>0</v>
      </c>
      <c r="T4144">
        <f t="shared" si="259"/>
        <v>0</v>
      </c>
      <c r="U4144" t="str">
        <f>YEAR('Campaign Data'!$A4144)&amp;"-"&amp;TEXT(MONTH('Campaign Data'!$A4144),"00")</f>
        <v>2026-08</v>
      </c>
    </row>
    <row r="4145" spans="1:21" x14ac:dyDescent="0.25">
      <c r="A4145">
        <v>46248</v>
      </c>
      <c r="B4145" t="s">
        <v>78</v>
      </c>
      <c r="C4145" t="s">
        <v>79</v>
      </c>
      <c r="D4145" t="s">
        <v>80</v>
      </c>
      <c r="E4145" t="s">
        <v>24</v>
      </c>
      <c r="F4145" t="s">
        <v>81</v>
      </c>
      <c r="G4145" t="s">
        <v>66</v>
      </c>
      <c r="H4145" t="s">
        <v>71</v>
      </c>
      <c r="I4145" t="s">
        <v>28</v>
      </c>
      <c r="J4145" t="s">
        <v>29</v>
      </c>
      <c r="K4145">
        <v>8836</v>
      </c>
      <c r="L4145">
        <v>127</v>
      </c>
      <c r="M4145">
        <v>114.2</v>
      </c>
      <c r="N4145">
        <v>7</v>
      </c>
      <c r="O4145">
        <v>102.71</v>
      </c>
      <c r="P4145">
        <f t="shared" si="256"/>
        <v>1.4373019465821639E-2</v>
      </c>
      <c r="Q4145">
        <f t="shared" si="256"/>
        <v>0.89921259842519685</v>
      </c>
      <c r="R4145">
        <f t="shared" si="257"/>
        <v>16.314285714285713</v>
      </c>
      <c r="S4145">
        <f t="shared" si="258"/>
        <v>0.8993870402802101</v>
      </c>
      <c r="T4145">
        <f t="shared" si="259"/>
        <v>5.5118110236220472E-2</v>
      </c>
      <c r="U4145" t="str">
        <f>YEAR('Campaign Data'!$A4145)&amp;"-"&amp;TEXT(MONTH('Campaign Data'!$A4145),"00")</f>
        <v>2026-08</v>
      </c>
    </row>
    <row r="4146" spans="1:21" x14ac:dyDescent="0.25">
      <c r="A4146">
        <v>46249</v>
      </c>
      <c r="B4146" t="s">
        <v>165</v>
      </c>
      <c r="C4146" t="s">
        <v>166</v>
      </c>
      <c r="D4146" t="s">
        <v>41</v>
      </c>
      <c r="E4146" t="s">
        <v>33</v>
      </c>
      <c r="F4146" t="s">
        <v>43</v>
      </c>
      <c r="G4146" t="s">
        <v>59</v>
      </c>
      <c r="H4146" t="s">
        <v>51</v>
      </c>
      <c r="I4146" t="s">
        <v>28</v>
      </c>
      <c r="J4146" t="s">
        <v>87</v>
      </c>
      <c r="K4146">
        <v>7999</v>
      </c>
      <c r="L4146">
        <v>83</v>
      </c>
      <c r="M4146">
        <v>39.79</v>
      </c>
      <c r="N4146">
        <v>1</v>
      </c>
      <c r="O4146">
        <v>32.159999999999997</v>
      </c>
      <c r="P4146">
        <f t="shared" si="256"/>
        <v>1.0376297037129641E-2</v>
      </c>
      <c r="Q4146">
        <f t="shared" si="256"/>
        <v>0.47939759036144575</v>
      </c>
      <c r="R4146">
        <f t="shared" si="257"/>
        <v>39.79</v>
      </c>
      <c r="S4146">
        <f t="shared" si="258"/>
        <v>0.80824327720532785</v>
      </c>
      <c r="T4146">
        <f t="shared" si="259"/>
        <v>1.2048192771084338E-2</v>
      </c>
      <c r="U4146" t="str">
        <f>YEAR('Campaign Data'!$A4146)&amp;"-"&amp;TEXT(MONTH('Campaign Data'!$A4146),"00")</f>
        <v>2026-08</v>
      </c>
    </row>
    <row r="4147" spans="1:21" x14ac:dyDescent="0.25">
      <c r="A4147">
        <v>46249</v>
      </c>
      <c r="B4147" t="s">
        <v>165</v>
      </c>
      <c r="C4147" t="s">
        <v>166</v>
      </c>
      <c r="D4147" t="s">
        <v>41</v>
      </c>
      <c r="E4147" t="s">
        <v>33</v>
      </c>
      <c r="F4147" t="s">
        <v>43</v>
      </c>
      <c r="G4147" t="s">
        <v>59</v>
      </c>
      <c r="H4147" t="s">
        <v>27</v>
      </c>
      <c r="I4147" t="s">
        <v>28</v>
      </c>
      <c r="J4147" t="s">
        <v>29</v>
      </c>
      <c r="K4147">
        <v>3510</v>
      </c>
      <c r="L4147">
        <v>30</v>
      </c>
      <c r="M4147">
        <v>32.08</v>
      </c>
      <c r="N4147">
        <v>4</v>
      </c>
      <c r="O4147">
        <v>130.38</v>
      </c>
      <c r="P4147">
        <f t="shared" si="256"/>
        <v>8.5470085470085479E-3</v>
      </c>
      <c r="Q4147">
        <f t="shared" si="256"/>
        <v>1.0693333333333332</v>
      </c>
      <c r="R4147">
        <f t="shared" si="257"/>
        <v>8.02</v>
      </c>
      <c r="S4147">
        <f t="shared" si="258"/>
        <v>4.0642144638403987</v>
      </c>
      <c r="T4147">
        <f t="shared" si="259"/>
        <v>0.13333333333333333</v>
      </c>
      <c r="U4147" t="str">
        <f>YEAR('Campaign Data'!$A4147)&amp;"-"&amp;TEXT(MONTH('Campaign Data'!$A4147),"00")</f>
        <v>2026-08</v>
      </c>
    </row>
    <row r="4148" spans="1:21" x14ac:dyDescent="0.25">
      <c r="A4148">
        <v>46249</v>
      </c>
      <c r="B4148" t="s">
        <v>88</v>
      </c>
      <c r="C4148" t="s">
        <v>89</v>
      </c>
      <c r="D4148" t="s">
        <v>23</v>
      </c>
      <c r="E4148" t="s">
        <v>49</v>
      </c>
      <c r="F4148" t="s">
        <v>81</v>
      </c>
      <c r="G4148" t="s">
        <v>50</v>
      </c>
      <c r="H4148" t="s">
        <v>36</v>
      </c>
      <c r="I4148" t="s">
        <v>37</v>
      </c>
      <c r="J4148" t="s">
        <v>45</v>
      </c>
      <c r="K4148">
        <v>5195</v>
      </c>
      <c r="L4148">
        <v>144</v>
      </c>
      <c r="M4148">
        <v>187.87</v>
      </c>
      <c r="N4148">
        <v>10</v>
      </c>
      <c r="O4148">
        <v>155.16</v>
      </c>
      <c r="P4148">
        <f t="shared" si="256"/>
        <v>2.7718960538979789E-2</v>
      </c>
      <c r="Q4148">
        <f t="shared" si="256"/>
        <v>1.3046527777777779</v>
      </c>
      <c r="R4148">
        <f t="shared" si="257"/>
        <v>18.786999999999999</v>
      </c>
      <c r="S4148">
        <f t="shared" si="258"/>
        <v>0.82589024325331339</v>
      </c>
      <c r="T4148">
        <f t="shared" si="259"/>
        <v>6.9444444444444448E-2</v>
      </c>
      <c r="U4148" t="str">
        <f>YEAR('Campaign Data'!$A4148)&amp;"-"&amp;TEXT(MONTH('Campaign Data'!$A4148),"00")</f>
        <v>2026-08</v>
      </c>
    </row>
    <row r="4149" spans="1:21" x14ac:dyDescent="0.25">
      <c r="A4149">
        <v>46249</v>
      </c>
      <c r="B4149" t="s">
        <v>21</v>
      </c>
      <c r="C4149" t="s">
        <v>124</v>
      </c>
      <c r="D4149" t="s">
        <v>23</v>
      </c>
      <c r="E4149" t="s">
        <v>24</v>
      </c>
      <c r="F4149" t="s">
        <v>25</v>
      </c>
      <c r="G4149" t="s">
        <v>26</v>
      </c>
      <c r="H4149" t="s">
        <v>27</v>
      </c>
      <c r="I4149" t="s">
        <v>37</v>
      </c>
      <c r="J4149" t="s">
        <v>87</v>
      </c>
      <c r="K4149">
        <v>4218</v>
      </c>
      <c r="L4149">
        <v>37</v>
      </c>
      <c r="M4149">
        <v>46.63</v>
      </c>
      <c r="N4149">
        <v>1</v>
      </c>
      <c r="O4149">
        <v>157.22</v>
      </c>
      <c r="P4149">
        <f t="shared" si="256"/>
        <v>8.771929824561403E-3</v>
      </c>
      <c r="Q4149">
        <f t="shared" si="256"/>
        <v>1.2602702702702704</v>
      </c>
      <c r="R4149">
        <f t="shared" si="257"/>
        <v>46.63</v>
      </c>
      <c r="S4149">
        <f t="shared" si="258"/>
        <v>3.3716491529058543</v>
      </c>
      <c r="T4149">
        <f t="shared" si="259"/>
        <v>2.7027027027027029E-2</v>
      </c>
      <c r="U4149" t="str">
        <f>YEAR('Campaign Data'!$A4149)&amp;"-"&amp;TEXT(MONTH('Campaign Data'!$A4149),"00")</f>
        <v>2026-08</v>
      </c>
    </row>
    <row r="4150" spans="1:21" x14ac:dyDescent="0.25">
      <c r="A4150">
        <v>46249</v>
      </c>
      <c r="B4150" t="s">
        <v>125</v>
      </c>
      <c r="C4150" t="s">
        <v>126</v>
      </c>
      <c r="D4150" t="s">
        <v>41</v>
      </c>
      <c r="E4150" t="s">
        <v>42</v>
      </c>
      <c r="F4150" t="s">
        <v>81</v>
      </c>
      <c r="G4150" t="s">
        <v>44</v>
      </c>
      <c r="H4150" t="s">
        <v>55</v>
      </c>
      <c r="I4150" t="s">
        <v>28</v>
      </c>
      <c r="J4150" t="s">
        <v>29</v>
      </c>
      <c r="K4150">
        <v>5717</v>
      </c>
      <c r="L4150">
        <v>22</v>
      </c>
      <c r="M4150">
        <v>101.9</v>
      </c>
      <c r="N4150">
        <v>1</v>
      </c>
      <c r="O4150">
        <v>11.55</v>
      </c>
      <c r="P4150">
        <f t="shared" si="256"/>
        <v>3.8481721182438344E-3</v>
      </c>
      <c r="Q4150">
        <f t="shared" si="256"/>
        <v>4.6318181818181818</v>
      </c>
      <c r="R4150">
        <f t="shared" si="257"/>
        <v>101.9</v>
      </c>
      <c r="S4150">
        <f t="shared" si="258"/>
        <v>0.11334641805691854</v>
      </c>
      <c r="T4150">
        <f t="shared" si="259"/>
        <v>4.5454545454545456E-2</v>
      </c>
      <c r="U4150" t="str">
        <f>YEAR('Campaign Data'!$A4150)&amp;"-"&amp;TEXT(MONTH('Campaign Data'!$A4150),"00")</f>
        <v>2026-08</v>
      </c>
    </row>
    <row r="4151" spans="1:21" x14ac:dyDescent="0.25">
      <c r="A4151">
        <v>46249</v>
      </c>
      <c r="B4151" t="s">
        <v>125</v>
      </c>
      <c r="C4151" t="s">
        <v>126</v>
      </c>
      <c r="D4151" t="s">
        <v>41</v>
      </c>
      <c r="E4151" t="s">
        <v>42</v>
      </c>
      <c r="F4151" t="s">
        <v>81</v>
      </c>
      <c r="G4151" t="s">
        <v>44</v>
      </c>
      <c r="H4151" t="s">
        <v>27</v>
      </c>
      <c r="I4151" t="s">
        <v>37</v>
      </c>
      <c r="J4151" t="s">
        <v>45</v>
      </c>
      <c r="K4151">
        <v>1994</v>
      </c>
      <c r="L4151">
        <v>16</v>
      </c>
      <c r="M4151">
        <v>114.08</v>
      </c>
      <c r="N4151">
        <v>0</v>
      </c>
      <c r="O4151">
        <v>0</v>
      </c>
      <c r="P4151">
        <f t="shared" si="256"/>
        <v>8.0240722166499499E-3</v>
      </c>
      <c r="Q4151">
        <f t="shared" si="256"/>
        <v>7.13</v>
      </c>
      <c r="R4151">
        <f t="shared" si="257"/>
        <v>0</v>
      </c>
      <c r="S4151">
        <f t="shared" si="258"/>
        <v>0</v>
      </c>
      <c r="T4151">
        <f t="shared" si="259"/>
        <v>0</v>
      </c>
      <c r="U4151" t="str">
        <f>YEAR('Campaign Data'!$A4151)&amp;"-"&amp;TEXT(MONTH('Campaign Data'!$A4151),"00")</f>
        <v>2026-08</v>
      </c>
    </row>
    <row r="4152" spans="1:21" x14ac:dyDescent="0.25">
      <c r="A4152">
        <v>46249</v>
      </c>
      <c r="B4152" t="s">
        <v>149</v>
      </c>
      <c r="C4152" t="s">
        <v>150</v>
      </c>
      <c r="D4152" t="s">
        <v>65</v>
      </c>
      <c r="E4152" t="s">
        <v>33</v>
      </c>
      <c r="F4152" t="s">
        <v>43</v>
      </c>
      <c r="G4152" t="s">
        <v>59</v>
      </c>
      <c r="H4152" t="s">
        <v>90</v>
      </c>
      <c r="I4152" t="s">
        <v>37</v>
      </c>
      <c r="J4152" t="s">
        <v>29</v>
      </c>
      <c r="K4152">
        <v>5847</v>
      </c>
      <c r="L4152">
        <v>67</v>
      </c>
      <c r="M4152">
        <v>11.27</v>
      </c>
      <c r="N4152">
        <v>1</v>
      </c>
      <c r="O4152">
        <v>13.4</v>
      </c>
      <c r="P4152">
        <f t="shared" si="256"/>
        <v>1.1458867795450658E-2</v>
      </c>
      <c r="Q4152">
        <f t="shared" si="256"/>
        <v>0.1682089552238806</v>
      </c>
      <c r="R4152">
        <f t="shared" si="257"/>
        <v>11.27</v>
      </c>
      <c r="S4152">
        <f t="shared" si="258"/>
        <v>1.1889973380656611</v>
      </c>
      <c r="T4152">
        <f t="shared" si="259"/>
        <v>1.4925373134328358E-2</v>
      </c>
      <c r="U4152" t="str">
        <f>YEAR('Campaign Data'!$A4152)&amp;"-"&amp;TEXT(MONTH('Campaign Data'!$A4152),"00")</f>
        <v>2026-08</v>
      </c>
    </row>
    <row r="4153" spans="1:21" x14ac:dyDescent="0.25">
      <c r="A4153">
        <v>46249</v>
      </c>
      <c r="B4153" t="s">
        <v>91</v>
      </c>
      <c r="C4153" t="s">
        <v>92</v>
      </c>
      <c r="D4153" t="s">
        <v>41</v>
      </c>
      <c r="E4153" t="s">
        <v>74</v>
      </c>
      <c r="F4153" t="s">
        <v>75</v>
      </c>
      <c r="G4153" t="s">
        <v>9</v>
      </c>
      <c r="H4153" t="s">
        <v>27</v>
      </c>
      <c r="I4153" t="s">
        <v>37</v>
      </c>
      <c r="J4153" t="s">
        <v>45</v>
      </c>
      <c r="K4153">
        <v>6476</v>
      </c>
      <c r="L4153">
        <v>214</v>
      </c>
      <c r="M4153">
        <v>373.86</v>
      </c>
      <c r="N4153">
        <v>8</v>
      </c>
      <c r="O4153">
        <v>403.14</v>
      </c>
      <c r="P4153">
        <f t="shared" si="256"/>
        <v>3.3045089561457693E-2</v>
      </c>
      <c r="Q4153">
        <f t="shared" si="256"/>
        <v>1.7470093457943925</v>
      </c>
      <c r="R4153">
        <f t="shared" si="257"/>
        <v>46.732500000000002</v>
      </c>
      <c r="S4153">
        <f t="shared" si="258"/>
        <v>1.0783180869844327</v>
      </c>
      <c r="T4153">
        <f t="shared" si="259"/>
        <v>3.7383177570093455E-2</v>
      </c>
      <c r="U4153" t="str">
        <f>YEAR('Campaign Data'!$A4153)&amp;"-"&amp;TEXT(MONTH('Campaign Data'!$A4153),"00")</f>
        <v>2026-08</v>
      </c>
    </row>
    <row r="4154" spans="1:21" x14ac:dyDescent="0.25">
      <c r="A4154">
        <v>46249</v>
      </c>
      <c r="B4154" t="s">
        <v>46</v>
      </c>
      <c r="C4154" t="s">
        <v>47</v>
      </c>
      <c r="D4154" t="s">
        <v>48</v>
      </c>
      <c r="E4154" t="s">
        <v>49</v>
      </c>
      <c r="F4154" t="s">
        <v>43</v>
      </c>
      <c r="G4154" t="s">
        <v>50</v>
      </c>
      <c r="H4154" t="s">
        <v>71</v>
      </c>
      <c r="I4154" t="s">
        <v>37</v>
      </c>
      <c r="J4154" t="s">
        <v>29</v>
      </c>
      <c r="K4154">
        <v>1152</v>
      </c>
      <c r="L4154">
        <v>39</v>
      </c>
      <c r="M4154">
        <v>91.55</v>
      </c>
      <c r="N4154">
        <v>0</v>
      </c>
      <c r="O4154">
        <v>0</v>
      </c>
      <c r="P4154">
        <f t="shared" si="256"/>
        <v>3.3854166666666664E-2</v>
      </c>
      <c r="Q4154">
        <f t="shared" si="256"/>
        <v>2.3474358974358975</v>
      </c>
      <c r="R4154">
        <f t="shared" si="257"/>
        <v>0</v>
      </c>
      <c r="S4154">
        <f t="shared" si="258"/>
        <v>0</v>
      </c>
      <c r="T4154">
        <f t="shared" si="259"/>
        <v>0</v>
      </c>
      <c r="U4154" t="str">
        <f>YEAR('Campaign Data'!$A4154)&amp;"-"&amp;TEXT(MONTH('Campaign Data'!$A4154),"00")</f>
        <v>2026-08</v>
      </c>
    </row>
    <row r="4155" spans="1:21" x14ac:dyDescent="0.25">
      <c r="A4155">
        <v>46249</v>
      </c>
      <c r="B4155" t="s">
        <v>169</v>
      </c>
      <c r="C4155" t="s">
        <v>170</v>
      </c>
      <c r="D4155" t="s">
        <v>58</v>
      </c>
      <c r="E4155" t="s">
        <v>74</v>
      </c>
      <c r="F4155" t="s">
        <v>75</v>
      </c>
      <c r="G4155" t="s">
        <v>9</v>
      </c>
      <c r="H4155" t="s">
        <v>90</v>
      </c>
      <c r="I4155" t="s">
        <v>37</v>
      </c>
      <c r="J4155" t="s">
        <v>38</v>
      </c>
      <c r="K4155">
        <v>17164</v>
      </c>
      <c r="L4155">
        <v>591</v>
      </c>
      <c r="M4155">
        <v>166.33</v>
      </c>
      <c r="N4155">
        <v>17</v>
      </c>
      <c r="O4155">
        <v>214.27</v>
      </c>
      <c r="P4155">
        <f t="shared" si="256"/>
        <v>3.4432533209042181E-2</v>
      </c>
      <c r="Q4155">
        <f t="shared" si="256"/>
        <v>0.28143824027072761</v>
      </c>
      <c r="R4155">
        <f t="shared" si="257"/>
        <v>9.7841176470588245</v>
      </c>
      <c r="S4155">
        <f t="shared" si="258"/>
        <v>1.2882222088619011</v>
      </c>
      <c r="T4155">
        <f t="shared" si="259"/>
        <v>2.8764805414551606E-2</v>
      </c>
      <c r="U4155" t="str">
        <f>YEAR('Campaign Data'!$A4155)&amp;"-"&amp;TEXT(MONTH('Campaign Data'!$A4155),"00")</f>
        <v>2026-08</v>
      </c>
    </row>
    <row r="4156" spans="1:21" x14ac:dyDescent="0.25">
      <c r="A4156">
        <v>46249</v>
      </c>
      <c r="B4156" t="s">
        <v>103</v>
      </c>
      <c r="C4156" t="s">
        <v>104</v>
      </c>
      <c r="D4156" t="s">
        <v>65</v>
      </c>
      <c r="E4156" t="s">
        <v>33</v>
      </c>
      <c r="F4156" t="s">
        <v>43</v>
      </c>
      <c r="G4156" t="s">
        <v>102</v>
      </c>
      <c r="H4156" t="s">
        <v>51</v>
      </c>
      <c r="I4156" t="s">
        <v>37</v>
      </c>
      <c r="J4156" t="s">
        <v>38</v>
      </c>
      <c r="K4156">
        <v>3397</v>
      </c>
      <c r="L4156">
        <v>36</v>
      </c>
      <c r="M4156">
        <v>24.94</v>
      </c>
      <c r="N4156">
        <v>1</v>
      </c>
      <c r="O4156">
        <v>29.73</v>
      </c>
      <c r="P4156">
        <f t="shared" si="256"/>
        <v>1.0597586105387106E-2</v>
      </c>
      <c r="Q4156">
        <f t="shared" si="256"/>
        <v>0.69277777777777783</v>
      </c>
      <c r="R4156">
        <f t="shared" si="257"/>
        <v>24.94</v>
      </c>
      <c r="S4156">
        <f t="shared" si="258"/>
        <v>1.1920609462710505</v>
      </c>
      <c r="T4156">
        <f t="shared" si="259"/>
        <v>2.7777777777777776E-2</v>
      </c>
      <c r="U4156" t="str">
        <f>YEAR('Campaign Data'!$A4156)&amp;"-"&amp;TEXT(MONTH('Campaign Data'!$A4156),"00")</f>
        <v>2026-08</v>
      </c>
    </row>
    <row r="4157" spans="1:21" x14ac:dyDescent="0.25">
      <c r="A4157">
        <v>46249</v>
      </c>
      <c r="B4157" t="s">
        <v>103</v>
      </c>
      <c r="C4157" t="s">
        <v>104</v>
      </c>
      <c r="D4157" t="s">
        <v>65</v>
      </c>
      <c r="E4157" t="s">
        <v>33</v>
      </c>
      <c r="F4157" t="s">
        <v>43</v>
      </c>
      <c r="G4157" t="s">
        <v>102</v>
      </c>
      <c r="H4157" t="s">
        <v>90</v>
      </c>
      <c r="I4157" t="s">
        <v>37</v>
      </c>
      <c r="J4157" t="s">
        <v>87</v>
      </c>
      <c r="K4157">
        <v>4881</v>
      </c>
      <c r="L4157">
        <v>48</v>
      </c>
      <c r="M4157">
        <v>9.42</v>
      </c>
      <c r="N4157">
        <v>0</v>
      </c>
      <c r="O4157">
        <v>0</v>
      </c>
      <c r="P4157">
        <f t="shared" si="256"/>
        <v>9.8340503995082967E-3</v>
      </c>
      <c r="Q4157">
        <f t="shared" si="256"/>
        <v>0.19625000000000001</v>
      </c>
      <c r="R4157">
        <f t="shared" si="257"/>
        <v>0</v>
      </c>
      <c r="S4157">
        <f t="shared" si="258"/>
        <v>0</v>
      </c>
      <c r="T4157">
        <f t="shared" si="259"/>
        <v>0</v>
      </c>
      <c r="U4157" t="str">
        <f>YEAR('Campaign Data'!$A4157)&amp;"-"&amp;TEXT(MONTH('Campaign Data'!$A4157),"00")</f>
        <v>2026-08</v>
      </c>
    </row>
    <row r="4158" spans="1:21" x14ac:dyDescent="0.25">
      <c r="A4158">
        <v>46249</v>
      </c>
      <c r="B4158" t="s">
        <v>153</v>
      </c>
      <c r="C4158" t="s">
        <v>154</v>
      </c>
      <c r="D4158" t="s">
        <v>48</v>
      </c>
      <c r="E4158" t="s">
        <v>33</v>
      </c>
      <c r="F4158" t="s">
        <v>43</v>
      </c>
      <c r="G4158" t="s">
        <v>59</v>
      </c>
      <c r="H4158" t="s">
        <v>90</v>
      </c>
      <c r="I4158" t="s">
        <v>61</v>
      </c>
      <c r="J4158" t="s">
        <v>45</v>
      </c>
      <c r="K4158">
        <v>3874</v>
      </c>
      <c r="L4158">
        <v>33</v>
      </c>
      <c r="M4158">
        <v>3.34</v>
      </c>
      <c r="N4158">
        <v>1</v>
      </c>
      <c r="O4158">
        <v>5</v>
      </c>
      <c r="P4158">
        <f t="shared" si="256"/>
        <v>8.5183273102736184E-3</v>
      </c>
      <c r="Q4158">
        <f t="shared" si="256"/>
        <v>0.10121212121212121</v>
      </c>
      <c r="R4158">
        <f t="shared" si="257"/>
        <v>3.34</v>
      </c>
      <c r="S4158">
        <f t="shared" si="258"/>
        <v>1.4970059880239521</v>
      </c>
      <c r="T4158">
        <f t="shared" si="259"/>
        <v>3.0303030303030304E-2</v>
      </c>
      <c r="U4158" t="str">
        <f>YEAR('Campaign Data'!$A4158)&amp;"-"&amp;TEXT(MONTH('Campaign Data'!$A4158),"00")</f>
        <v>2026-08</v>
      </c>
    </row>
    <row r="4159" spans="1:21" x14ac:dyDescent="0.25">
      <c r="A4159">
        <v>46249</v>
      </c>
      <c r="B4159" t="s">
        <v>179</v>
      </c>
      <c r="C4159" t="s">
        <v>180</v>
      </c>
      <c r="D4159" t="s">
        <v>58</v>
      </c>
      <c r="E4159" t="s">
        <v>42</v>
      </c>
      <c r="F4159" t="s">
        <v>25</v>
      </c>
      <c r="G4159" t="s">
        <v>54</v>
      </c>
      <c r="H4159" t="s">
        <v>51</v>
      </c>
      <c r="I4159" t="s">
        <v>37</v>
      </c>
      <c r="J4159" t="s">
        <v>62</v>
      </c>
      <c r="K4159">
        <v>3093</v>
      </c>
      <c r="L4159">
        <v>16</v>
      </c>
      <c r="M4159">
        <v>78.88</v>
      </c>
      <c r="N4159">
        <v>0</v>
      </c>
      <c r="O4159">
        <v>0</v>
      </c>
      <c r="P4159">
        <f t="shared" si="256"/>
        <v>5.1729712253475594E-3</v>
      </c>
      <c r="Q4159">
        <f t="shared" si="256"/>
        <v>4.93</v>
      </c>
      <c r="R4159">
        <f t="shared" si="257"/>
        <v>0</v>
      </c>
      <c r="S4159">
        <f t="shared" si="258"/>
        <v>0</v>
      </c>
      <c r="T4159">
        <f t="shared" si="259"/>
        <v>0</v>
      </c>
      <c r="U4159" t="str">
        <f>YEAR('Campaign Data'!$A4159)&amp;"-"&amp;TEXT(MONTH('Campaign Data'!$A4159),"00")</f>
        <v>2026-08</v>
      </c>
    </row>
    <row r="4160" spans="1:21" x14ac:dyDescent="0.25">
      <c r="A4160">
        <v>46249</v>
      </c>
      <c r="B4160" t="s">
        <v>171</v>
      </c>
      <c r="C4160" t="s">
        <v>172</v>
      </c>
      <c r="D4160" t="s">
        <v>23</v>
      </c>
      <c r="E4160" t="s">
        <v>33</v>
      </c>
      <c r="F4160" t="s">
        <v>75</v>
      </c>
      <c r="G4160" t="s">
        <v>59</v>
      </c>
      <c r="H4160" t="s">
        <v>51</v>
      </c>
      <c r="I4160" t="s">
        <v>37</v>
      </c>
      <c r="J4160" t="s">
        <v>38</v>
      </c>
      <c r="K4160">
        <v>826</v>
      </c>
      <c r="L4160">
        <v>13</v>
      </c>
      <c r="M4160">
        <v>9.24</v>
      </c>
      <c r="N4160">
        <v>0</v>
      </c>
      <c r="O4160">
        <v>0</v>
      </c>
      <c r="P4160">
        <f t="shared" si="256"/>
        <v>1.5738498789346248E-2</v>
      </c>
      <c r="Q4160">
        <f t="shared" si="256"/>
        <v>0.71076923076923082</v>
      </c>
      <c r="R4160">
        <f t="shared" si="257"/>
        <v>0</v>
      </c>
      <c r="S4160">
        <f t="shared" si="258"/>
        <v>0</v>
      </c>
      <c r="T4160">
        <f t="shared" si="259"/>
        <v>0</v>
      </c>
      <c r="U4160" t="str">
        <f>YEAR('Campaign Data'!$A4160)&amp;"-"&amp;TEXT(MONTH('Campaign Data'!$A4160),"00")</f>
        <v>2026-08</v>
      </c>
    </row>
    <row r="4161" spans="1:21" x14ac:dyDescent="0.25">
      <c r="A4161">
        <v>46249</v>
      </c>
      <c r="B4161" t="s">
        <v>112</v>
      </c>
      <c r="C4161" t="s">
        <v>113</v>
      </c>
      <c r="D4161" t="s">
        <v>32</v>
      </c>
      <c r="E4161" t="s">
        <v>24</v>
      </c>
      <c r="F4161" t="s">
        <v>75</v>
      </c>
      <c r="G4161" t="s">
        <v>66</v>
      </c>
      <c r="H4161" t="s">
        <v>51</v>
      </c>
      <c r="I4161" t="s">
        <v>37</v>
      </c>
      <c r="J4161" t="s">
        <v>87</v>
      </c>
      <c r="K4161">
        <v>4365</v>
      </c>
      <c r="L4161">
        <v>43</v>
      </c>
      <c r="M4161">
        <v>40.67</v>
      </c>
      <c r="N4161">
        <v>0</v>
      </c>
      <c r="O4161">
        <v>0</v>
      </c>
      <c r="P4161">
        <f t="shared" si="256"/>
        <v>9.8510882016036652E-3</v>
      </c>
      <c r="Q4161">
        <f t="shared" si="256"/>
        <v>0.94581395348837216</v>
      </c>
      <c r="R4161">
        <f t="shared" si="257"/>
        <v>0</v>
      </c>
      <c r="S4161">
        <f t="shared" si="258"/>
        <v>0</v>
      </c>
      <c r="T4161">
        <f t="shared" si="259"/>
        <v>0</v>
      </c>
      <c r="U4161" t="str">
        <f>YEAR('Campaign Data'!$A4161)&amp;"-"&amp;TEXT(MONTH('Campaign Data'!$A4161),"00")</f>
        <v>2026-08</v>
      </c>
    </row>
    <row r="4162" spans="1:21" x14ac:dyDescent="0.25">
      <c r="A4162">
        <v>46249</v>
      </c>
      <c r="B4162" t="s">
        <v>159</v>
      </c>
      <c r="C4162" t="s">
        <v>160</v>
      </c>
      <c r="D4162" t="s">
        <v>65</v>
      </c>
      <c r="E4162" t="s">
        <v>42</v>
      </c>
      <c r="F4162" t="s">
        <v>75</v>
      </c>
      <c r="G4162" t="s">
        <v>54</v>
      </c>
      <c r="H4162" t="s">
        <v>71</v>
      </c>
      <c r="I4162" t="s">
        <v>28</v>
      </c>
      <c r="J4162" t="s">
        <v>62</v>
      </c>
      <c r="K4162">
        <v>5768</v>
      </c>
      <c r="L4162">
        <v>43</v>
      </c>
      <c r="M4162">
        <v>295.33999999999997</v>
      </c>
      <c r="N4162">
        <v>0</v>
      </c>
      <c r="O4162">
        <v>0</v>
      </c>
      <c r="P4162">
        <f t="shared" ref="P4162:Q4225" si="260">IF(K4162=0,0,L4162/K4162)</f>
        <v>7.4549237170596395E-3</v>
      </c>
      <c r="Q4162">
        <f t="shared" si="260"/>
        <v>6.8683720930232548</v>
      </c>
      <c r="R4162">
        <f t="shared" ref="R4162:R4225" si="261">IF(N4162=0,0,M4162/N4162)</f>
        <v>0</v>
      </c>
      <c r="S4162">
        <f t="shared" ref="S4162:S4225" si="262">IF(M4162=0,0,O4162/M4162)</f>
        <v>0</v>
      </c>
      <c r="T4162">
        <f t="shared" ref="T4162:T4225" si="263">IF(L4162=0,0,N4162/L4162)</f>
        <v>0</v>
      </c>
      <c r="U4162" t="str">
        <f>YEAR('Campaign Data'!$A4162)&amp;"-"&amp;TEXT(MONTH('Campaign Data'!$A4162),"00")</f>
        <v>2026-08</v>
      </c>
    </row>
    <row r="4163" spans="1:21" x14ac:dyDescent="0.25">
      <c r="A4163">
        <v>46249</v>
      </c>
      <c r="B4163" t="s">
        <v>56</v>
      </c>
      <c r="C4163" t="s">
        <v>57</v>
      </c>
      <c r="D4163" t="s">
        <v>58</v>
      </c>
      <c r="E4163" t="s">
        <v>33</v>
      </c>
      <c r="F4163" t="s">
        <v>43</v>
      </c>
      <c r="G4163" t="s">
        <v>59</v>
      </c>
      <c r="H4163" t="s">
        <v>90</v>
      </c>
      <c r="I4163" t="s">
        <v>37</v>
      </c>
      <c r="J4163" t="s">
        <v>45</v>
      </c>
      <c r="K4163">
        <v>2736</v>
      </c>
      <c r="L4163">
        <v>21</v>
      </c>
      <c r="M4163">
        <v>4.53</v>
      </c>
      <c r="N4163">
        <v>0</v>
      </c>
      <c r="O4163">
        <v>0</v>
      </c>
      <c r="P4163">
        <f t="shared" si="260"/>
        <v>7.6754385964912276E-3</v>
      </c>
      <c r="Q4163">
        <f t="shared" si="260"/>
        <v>0.21571428571428572</v>
      </c>
      <c r="R4163">
        <f t="shared" si="261"/>
        <v>0</v>
      </c>
      <c r="S4163">
        <f t="shared" si="262"/>
        <v>0</v>
      </c>
      <c r="T4163">
        <f t="shared" si="263"/>
        <v>0</v>
      </c>
      <c r="U4163" t="str">
        <f>YEAR('Campaign Data'!$A4163)&amp;"-"&amp;TEXT(MONTH('Campaign Data'!$A4163),"00")</f>
        <v>2026-08</v>
      </c>
    </row>
    <row r="4164" spans="1:21" x14ac:dyDescent="0.25">
      <c r="A4164">
        <v>46249</v>
      </c>
      <c r="B4164" t="s">
        <v>163</v>
      </c>
      <c r="C4164" t="s">
        <v>164</v>
      </c>
      <c r="D4164" t="s">
        <v>58</v>
      </c>
      <c r="E4164" t="s">
        <v>42</v>
      </c>
      <c r="F4164" t="s">
        <v>43</v>
      </c>
      <c r="G4164" t="s">
        <v>44</v>
      </c>
      <c r="H4164" t="s">
        <v>51</v>
      </c>
      <c r="I4164" t="s">
        <v>37</v>
      </c>
      <c r="J4164" t="s">
        <v>45</v>
      </c>
      <c r="K4164">
        <v>3720</v>
      </c>
      <c r="L4164">
        <v>24</v>
      </c>
      <c r="M4164">
        <v>163.46</v>
      </c>
      <c r="N4164">
        <v>1</v>
      </c>
      <c r="O4164">
        <v>29.7</v>
      </c>
      <c r="P4164">
        <f t="shared" si="260"/>
        <v>6.4516129032258064E-3</v>
      </c>
      <c r="Q4164">
        <f t="shared" si="260"/>
        <v>6.810833333333334</v>
      </c>
      <c r="R4164">
        <f t="shared" si="261"/>
        <v>163.46</v>
      </c>
      <c r="S4164">
        <f t="shared" si="262"/>
        <v>0.18169582772543741</v>
      </c>
      <c r="T4164">
        <f t="shared" si="263"/>
        <v>4.1666666666666664E-2</v>
      </c>
      <c r="U4164" t="str">
        <f>YEAR('Campaign Data'!$A4164)&amp;"-"&amp;TEXT(MONTH('Campaign Data'!$A4164),"00")</f>
        <v>2026-08</v>
      </c>
    </row>
    <row r="4165" spans="1:21" x14ac:dyDescent="0.25">
      <c r="A4165">
        <v>46249</v>
      </c>
      <c r="B4165" t="s">
        <v>122</v>
      </c>
      <c r="C4165" t="s">
        <v>123</v>
      </c>
      <c r="D4165" t="s">
        <v>41</v>
      </c>
      <c r="E4165" t="s">
        <v>33</v>
      </c>
      <c r="F4165" t="s">
        <v>75</v>
      </c>
      <c r="G4165" t="s">
        <v>35</v>
      </c>
      <c r="H4165" t="s">
        <v>27</v>
      </c>
      <c r="I4165" t="s">
        <v>37</v>
      </c>
      <c r="J4165" t="s">
        <v>29</v>
      </c>
      <c r="K4165">
        <v>3638</v>
      </c>
      <c r="L4165">
        <v>10</v>
      </c>
      <c r="M4165">
        <v>9.94</v>
      </c>
      <c r="N4165">
        <v>0</v>
      </c>
      <c r="O4165">
        <v>0</v>
      </c>
      <c r="P4165">
        <f t="shared" si="260"/>
        <v>2.7487630566245189E-3</v>
      </c>
      <c r="Q4165">
        <f t="shared" si="260"/>
        <v>0.99399999999999999</v>
      </c>
      <c r="R4165">
        <f t="shared" si="261"/>
        <v>0</v>
      </c>
      <c r="S4165">
        <f t="shared" si="262"/>
        <v>0</v>
      </c>
      <c r="T4165">
        <f t="shared" si="263"/>
        <v>0</v>
      </c>
      <c r="U4165" t="str">
        <f>YEAR('Campaign Data'!$A4165)&amp;"-"&amp;TEXT(MONTH('Campaign Data'!$A4165),"00")</f>
        <v>2026-08</v>
      </c>
    </row>
    <row r="4166" spans="1:21" x14ac:dyDescent="0.25">
      <c r="A4166">
        <v>46250</v>
      </c>
      <c r="B4166" t="s">
        <v>85</v>
      </c>
      <c r="C4166" t="s">
        <v>86</v>
      </c>
      <c r="D4166" t="s">
        <v>80</v>
      </c>
      <c r="E4166" t="s">
        <v>33</v>
      </c>
      <c r="F4166" t="s">
        <v>43</v>
      </c>
      <c r="G4166" t="s">
        <v>35</v>
      </c>
      <c r="H4166" t="s">
        <v>27</v>
      </c>
      <c r="I4166" t="s">
        <v>28</v>
      </c>
      <c r="J4166" t="s">
        <v>29</v>
      </c>
      <c r="K4166">
        <v>993</v>
      </c>
      <c r="L4166">
        <v>10</v>
      </c>
      <c r="M4166">
        <v>10.4</v>
      </c>
      <c r="N4166">
        <v>0</v>
      </c>
      <c r="O4166">
        <v>0</v>
      </c>
      <c r="P4166">
        <f t="shared" si="260"/>
        <v>1.0070493454179255E-2</v>
      </c>
      <c r="Q4166">
        <f t="shared" si="260"/>
        <v>1.04</v>
      </c>
      <c r="R4166">
        <f t="shared" si="261"/>
        <v>0</v>
      </c>
      <c r="S4166">
        <f t="shared" si="262"/>
        <v>0</v>
      </c>
      <c r="T4166">
        <f t="shared" si="263"/>
        <v>0</v>
      </c>
      <c r="U4166" t="str">
        <f>YEAR('Campaign Data'!$A4166)&amp;"-"&amp;TEXT(MONTH('Campaign Data'!$A4166),"00")</f>
        <v>2026-08</v>
      </c>
    </row>
    <row r="4167" spans="1:21" x14ac:dyDescent="0.25">
      <c r="A4167">
        <v>46250</v>
      </c>
      <c r="B4167" t="s">
        <v>88</v>
      </c>
      <c r="C4167" t="s">
        <v>89</v>
      </c>
      <c r="D4167" t="s">
        <v>23</v>
      </c>
      <c r="E4167" t="s">
        <v>49</v>
      </c>
      <c r="F4167" t="s">
        <v>81</v>
      </c>
      <c r="G4167" t="s">
        <v>50</v>
      </c>
      <c r="H4167" t="s">
        <v>55</v>
      </c>
      <c r="I4167" t="s">
        <v>28</v>
      </c>
      <c r="J4167" t="s">
        <v>62</v>
      </c>
      <c r="K4167">
        <v>6493</v>
      </c>
      <c r="L4167">
        <v>211</v>
      </c>
      <c r="M4167">
        <v>271.44</v>
      </c>
      <c r="N4167">
        <v>11</v>
      </c>
      <c r="O4167">
        <v>229.85</v>
      </c>
      <c r="P4167">
        <f t="shared" si="260"/>
        <v>3.2496534729708919E-2</v>
      </c>
      <c r="Q4167">
        <f t="shared" si="260"/>
        <v>1.2864454976303317</v>
      </c>
      <c r="R4167">
        <f t="shared" si="261"/>
        <v>24.676363636363636</v>
      </c>
      <c r="S4167">
        <f t="shared" si="262"/>
        <v>0.84678013557323906</v>
      </c>
      <c r="T4167">
        <f t="shared" si="263"/>
        <v>5.2132701421800945E-2</v>
      </c>
      <c r="U4167" t="str">
        <f>YEAR('Campaign Data'!$A4167)&amp;"-"&amp;TEXT(MONTH('Campaign Data'!$A4167),"00")</f>
        <v>2026-08</v>
      </c>
    </row>
    <row r="4168" spans="1:21" x14ac:dyDescent="0.25">
      <c r="A4168">
        <v>46250</v>
      </c>
      <c r="B4168" t="s">
        <v>21</v>
      </c>
      <c r="C4168" t="s">
        <v>124</v>
      </c>
      <c r="D4168" t="s">
        <v>23</v>
      </c>
      <c r="E4168" t="s">
        <v>24</v>
      </c>
      <c r="F4168" t="s">
        <v>25</v>
      </c>
      <c r="G4168" t="s">
        <v>26</v>
      </c>
      <c r="H4168" t="s">
        <v>27</v>
      </c>
      <c r="I4168" t="s">
        <v>28</v>
      </c>
      <c r="J4168" t="s">
        <v>87</v>
      </c>
      <c r="K4168">
        <v>8099</v>
      </c>
      <c r="L4168">
        <v>93</v>
      </c>
      <c r="M4168">
        <v>151.72999999999999</v>
      </c>
      <c r="N4168">
        <v>1</v>
      </c>
      <c r="O4168">
        <v>184.57</v>
      </c>
      <c r="P4168">
        <f t="shared" si="260"/>
        <v>1.1482899123348562E-2</v>
      </c>
      <c r="Q4168">
        <f t="shared" si="260"/>
        <v>1.6315053763440859</v>
      </c>
      <c r="R4168">
        <f t="shared" si="261"/>
        <v>151.72999999999999</v>
      </c>
      <c r="S4168">
        <f t="shared" si="262"/>
        <v>1.2164370922032559</v>
      </c>
      <c r="T4168">
        <f t="shared" si="263"/>
        <v>1.0752688172043012E-2</v>
      </c>
      <c r="U4168" t="str">
        <f>YEAR('Campaign Data'!$A4168)&amp;"-"&amp;TEXT(MONTH('Campaign Data'!$A4168),"00")</f>
        <v>2026-08</v>
      </c>
    </row>
    <row r="4169" spans="1:21" x14ac:dyDescent="0.25">
      <c r="A4169">
        <v>46250</v>
      </c>
      <c r="B4169" t="s">
        <v>93</v>
      </c>
      <c r="C4169" t="s">
        <v>94</v>
      </c>
      <c r="D4169" t="s">
        <v>69</v>
      </c>
      <c r="E4169" t="s">
        <v>42</v>
      </c>
      <c r="F4169" t="s">
        <v>75</v>
      </c>
      <c r="G4169" t="s">
        <v>44</v>
      </c>
      <c r="H4169" t="s">
        <v>71</v>
      </c>
      <c r="I4169" t="s">
        <v>37</v>
      </c>
      <c r="J4169" t="s">
        <v>87</v>
      </c>
      <c r="K4169">
        <v>2220</v>
      </c>
      <c r="L4169">
        <v>7</v>
      </c>
      <c r="M4169">
        <v>46.39</v>
      </c>
      <c r="N4169">
        <v>0</v>
      </c>
      <c r="O4169">
        <v>0</v>
      </c>
      <c r="P4169">
        <f t="shared" si="260"/>
        <v>3.153153153153153E-3</v>
      </c>
      <c r="Q4169">
        <f t="shared" si="260"/>
        <v>6.6271428571428572</v>
      </c>
      <c r="R4169">
        <f t="shared" si="261"/>
        <v>0</v>
      </c>
      <c r="S4169">
        <f t="shared" si="262"/>
        <v>0</v>
      </c>
      <c r="T4169">
        <f t="shared" si="263"/>
        <v>0</v>
      </c>
      <c r="U4169" t="str">
        <f>YEAR('Campaign Data'!$A4169)&amp;"-"&amp;TEXT(MONTH('Campaign Data'!$A4169),"00")</f>
        <v>2026-08</v>
      </c>
    </row>
    <row r="4170" spans="1:21" x14ac:dyDescent="0.25">
      <c r="A4170">
        <v>46250</v>
      </c>
      <c r="B4170" t="s">
        <v>30</v>
      </c>
      <c r="C4170" t="s">
        <v>31</v>
      </c>
      <c r="D4170" t="s">
        <v>32</v>
      </c>
      <c r="E4170" t="s">
        <v>33</v>
      </c>
      <c r="F4170" t="s">
        <v>34</v>
      </c>
      <c r="G4170" t="s">
        <v>35</v>
      </c>
      <c r="H4170" t="s">
        <v>90</v>
      </c>
      <c r="I4170" t="s">
        <v>37</v>
      </c>
      <c r="J4170" t="s">
        <v>29</v>
      </c>
      <c r="K4170">
        <v>2379</v>
      </c>
      <c r="L4170">
        <v>30</v>
      </c>
      <c r="M4170">
        <v>4.74</v>
      </c>
      <c r="N4170">
        <v>0</v>
      </c>
      <c r="O4170">
        <v>0</v>
      </c>
      <c r="P4170">
        <f t="shared" si="260"/>
        <v>1.2610340479192938E-2</v>
      </c>
      <c r="Q4170">
        <f t="shared" si="260"/>
        <v>0.158</v>
      </c>
      <c r="R4170">
        <f t="shared" si="261"/>
        <v>0</v>
      </c>
      <c r="S4170">
        <f t="shared" si="262"/>
        <v>0</v>
      </c>
      <c r="T4170">
        <f t="shared" si="263"/>
        <v>0</v>
      </c>
      <c r="U4170" t="str">
        <f>YEAR('Campaign Data'!$A4170)&amp;"-"&amp;TEXT(MONTH('Campaign Data'!$A4170),"00")</f>
        <v>2026-08</v>
      </c>
    </row>
    <row r="4171" spans="1:21" x14ac:dyDescent="0.25">
      <c r="A4171">
        <v>46250</v>
      </c>
      <c r="B4171" t="s">
        <v>151</v>
      </c>
      <c r="C4171" t="s">
        <v>152</v>
      </c>
      <c r="D4171" t="s">
        <v>48</v>
      </c>
      <c r="E4171" t="s">
        <v>24</v>
      </c>
      <c r="F4171" t="s">
        <v>81</v>
      </c>
      <c r="G4171" t="s">
        <v>129</v>
      </c>
      <c r="H4171" t="s">
        <v>27</v>
      </c>
      <c r="I4171" t="s">
        <v>37</v>
      </c>
      <c r="J4171" t="s">
        <v>62</v>
      </c>
      <c r="K4171">
        <v>7692</v>
      </c>
      <c r="L4171">
        <v>61</v>
      </c>
      <c r="M4171">
        <v>80.22</v>
      </c>
      <c r="N4171">
        <v>3</v>
      </c>
      <c r="O4171">
        <v>85.08</v>
      </c>
      <c r="P4171">
        <f t="shared" si="260"/>
        <v>7.9303172126885084E-3</v>
      </c>
      <c r="Q4171">
        <f t="shared" si="260"/>
        <v>1.3150819672131147</v>
      </c>
      <c r="R4171">
        <f t="shared" si="261"/>
        <v>26.74</v>
      </c>
      <c r="S4171">
        <f t="shared" si="262"/>
        <v>1.0605833956619297</v>
      </c>
      <c r="T4171">
        <f t="shared" si="263"/>
        <v>4.9180327868852458E-2</v>
      </c>
      <c r="U4171" t="str">
        <f>YEAR('Campaign Data'!$A4171)&amp;"-"&amp;TEXT(MONTH('Campaign Data'!$A4171),"00")</f>
        <v>2026-08</v>
      </c>
    </row>
    <row r="4172" spans="1:21" x14ac:dyDescent="0.25">
      <c r="A4172">
        <v>46250</v>
      </c>
      <c r="B4172" t="s">
        <v>39</v>
      </c>
      <c r="C4172" t="s">
        <v>40</v>
      </c>
      <c r="D4172" t="s">
        <v>41</v>
      </c>
      <c r="E4172" t="s">
        <v>42</v>
      </c>
      <c r="F4172" t="s">
        <v>43</v>
      </c>
      <c r="G4172" t="s">
        <v>44</v>
      </c>
      <c r="H4172" t="s">
        <v>90</v>
      </c>
      <c r="I4172" t="s">
        <v>37</v>
      </c>
      <c r="J4172" t="s">
        <v>45</v>
      </c>
      <c r="K4172">
        <v>4087</v>
      </c>
      <c r="L4172">
        <v>25</v>
      </c>
      <c r="M4172">
        <v>34.58</v>
      </c>
      <c r="N4172">
        <v>1</v>
      </c>
      <c r="O4172">
        <v>5</v>
      </c>
      <c r="P4172">
        <f t="shared" si="260"/>
        <v>6.1169562025935893E-3</v>
      </c>
      <c r="Q4172">
        <f t="shared" si="260"/>
        <v>1.3832</v>
      </c>
      <c r="R4172">
        <f t="shared" si="261"/>
        <v>34.58</v>
      </c>
      <c r="S4172">
        <f t="shared" si="262"/>
        <v>0.14459224985540775</v>
      </c>
      <c r="T4172">
        <f t="shared" si="263"/>
        <v>0.04</v>
      </c>
      <c r="U4172" t="str">
        <f>YEAR('Campaign Data'!$A4172)&amp;"-"&amp;TEXT(MONTH('Campaign Data'!$A4172),"00")</f>
        <v>2026-08</v>
      </c>
    </row>
    <row r="4173" spans="1:21" x14ac:dyDescent="0.25">
      <c r="A4173">
        <v>46250</v>
      </c>
      <c r="B4173" t="s">
        <v>98</v>
      </c>
      <c r="C4173" t="s">
        <v>99</v>
      </c>
      <c r="D4173" t="s">
        <v>69</v>
      </c>
      <c r="E4173" t="s">
        <v>24</v>
      </c>
      <c r="F4173" t="s">
        <v>75</v>
      </c>
      <c r="G4173" t="s">
        <v>66</v>
      </c>
      <c r="H4173" t="s">
        <v>27</v>
      </c>
      <c r="I4173" t="s">
        <v>28</v>
      </c>
      <c r="J4173" t="s">
        <v>87</v>
      </c>
      <c r="K4173">
        <v>4261</v>
      </c>
      <c r="L4173">
        <v>53</v>
      </c>
      <c r="M4173">
        <v>59.43</v>
      </c>
      <c r="N4173">
        <v>1</v>
      </c>
      <c r="O4173">
        <v>54.41</v>
      </c>
      <c r="P4173">
        <f t="shared" si="260"/>
        <v>1.2438394743018071E-2</v>
      </c>
      <c r="Q4173">
        <f t="shared" si="260"/>
        <v>1.1213207547169812</v>
      </c>
      <c r="R4173">
        <f t="shared" si="261"/>
        <v>59.43</v>
      </c>
      <c r="S4173">
        <f t="shared" si="262"/>
        <v>0.9155308766616187</v>
      </c>
      <c r="T4173">
        <f t="shared" si="263"/>
        <v>1.8867924528301886E-2</v>
      </c>
      <c r="U4173" t="str">
        <f>YEAR('Campaign Data'!$A4173)&amp;"-"&amp;TEXT(MONTH('Campaign Data'!$A4173),"00")</f>
        <v>2026-08</v>
      </c>
    </row>
    <row r="4174" spans="1:21" x14ac:dyDescent="0.25">
      <c r="A4174">
        <v>46250</v>
      </c>
      <c r="B4174" t="s">
        <v>105</v>
      </c>
      <c r="C4174" t="s">
        <v>106</v>
      </c>
      <c r="D4174" t="s">
        <v>58</v>
      </c>
      <c r="E4174" t="s">
        <v>49</v>
      </c>
      <c r="F4174" t="s">
        <v>81</v>
      </c>
      <c r="G4174" t="s">
        <v>107</v>
      </c>
      <c r="H4174" t="s">
        <v>36</v>
      </c>
      <c r="I4174" t="s">
        <v>37</v>
      </c>
      <c r="J4174" t="s">
        <v>87</v>
      </c>
      <c r="K4174">
        <v>1169</v>
      </c>
      <c r="L4174">
        <v>52</v>
      </c>
      <c r="M4174">
        <v>98.34</v>
      </c>
      <c r="N4174">
        <v>2</v>
      </c>
      <c r="O4174">
        <v>34.36</v>
      </c>
      <c r="P4174">
        <f t="shared" si="260"/>
        <v>4.448246364414029E-2</v>
      </c>
      <c r="Q4174">
        <f t="shared" si="260"/>
        <v>1.8911538461538462</v>
      </c>
      <c r="R4174">
        <f t="shared" si="261"/>
        <v>49.17</v>
      </c>
      <c r="S4174">
        <f t="shared" si="262"/>
        <v>0.34940004067520847</v>
      </c>
      <c r="T4174">
        <f t="shared" si="263"/>
        <v>3.8461538461538464E-2</v>
      </c>
      <c r="U4174" t="str">
        <f>YEAR('Campaign Data'!$A4174)&amp;"-"&amp;TEXT(MONTH('Campaign Data'!$A4174),"00")</f>
        <v>2026-08</v>
      </c>
    </row>
    <row r="4175" spans="1:21" x14ac:dyDescent="0.25">
      <c r="A4175">
        <v>46250</v>
      </c>
      <c r="B4175" t="s">
        <v>179</v>
      </c>
      <c r="C4175" t="s">
        <v>180</v>
      </c>
      <c r="D4175" t="s">
        <v>58</v>
      </c>
      <c r="E4175" t="s">
        <v>42</v>
      </c>
      <c r="F4175" t="s">
        <v>25</v>
      </c>
      <c r="G4175" t="s">
        <v>54</v>
      </c>
      <c r="H4175" t="s">
        <v>27</v>
      </c>
      <c r="I4175" t="s">
        <v>37</v>
      </c>
      <c r="J4175" t="s">
        <v>62</v>
      </c>
      <c r="K4175">
        <v>1259</v>
      </c>
      <c r="L4175">
        <v>14</v>
      </c>
      <c r="M4175">
        <v>97.87</v>
      </c>
      <c r="N4175">
        <v>1</v>
      </c>
      <c r="O4175">
        <v>162.6</v>
      </c>
      <c r="P4175">
        <f t="shared" si="260"/>
        <v>1.1119936457505957E-2</v>
      </c>
      <c r="Q4175">
        <f t="shared" si="260"/>
        <v>6.9907142857142857</v>
      </c>
      <c r="R4175">
        <f t="shared" si="261"/>
        <v>97.87</v>
      </c>
      <c r="S4175">
        <f t="shared" si="262"/>
        <v>1.6613875549197914</v>
      </c>
      <c r="T4175">
        <f t="shared" si="263"/>
        <v>7.1428571428571425E-2</v>
      </c>
      <c r="U4175" t="str">
        <f>YEAR('Campaign Data'!$A4175)&amp;"-"&amp;TEXT(MONTH('Campaign Data'!$A4175),"00")</f>
        <v>2026-08</v>
      </c>
    </row>
    <row r="4176" spans="1:21" x14ac:dyDescent="0.25">
      <c r="A4176">
        <v>46250</v>
      </c>
      <c r="B4176" t="s">
        <v>134</v>
      </c>
      <c r="C4176" t="s">
        <v>135</v>
      </c>
      <c r="D4176" t="s">
        <v>32</v>
      </c>
      <c r="E4176" t="s">
        <v>74</v>
      </c>
      <c r="F4176" t="s">
        <v>25</v>
      </c>
      <c r="G4176" t="s">
        <v>107</v>
      </c>
      <c r="H4176" t="s">
        <v>36</v>
      </c>
      <c r="I4176" t="s">
        <v>28</v>
      </c>
      <c r="J4176" t="s">
        <v>62</v>
      </c>
      <c r="K4176">
        <v>5480</v>
      </c>
      <c r="L4176">
        <v>129</v>
      </c>
      <c r="M4176">
        <v>163.91</v>
      </c>
      <c r="N4176">
        <v>10</v>
      </c>
      <c r="O4176">
        <v>1614.2</v>
      </c>
      <c r="P4176">
        <f t="shared" si="260"/>
        <v>2.354014598540146E-2</v>
      </c>
      <c r="Q4176">
        <f t="shared" si="260"/>
        <v>1.2706201550387597</v>
      </c>
      <c r="R4176">
        <f t="shared" si="261"/>
        <v>16.390999999999998</v>
      </c>
      <c r="S4176">
        <f t="shared" si="262"/>
        <v>9.8480873650173884</v>
      </c>
      <c r="T4176">
        <f t="shared" si="263"/>
        <v>7.7519379844961239E-2</v>
      </c>
      <c r="U4176" t="str">
        <f>YEAR('Campaign Data'!$A4176)&amp;"-"&amp;TEXT(MONTH('Campaign Data'!$A4176),"00")</f>
        <v>2026-08</v>
      </c>
    </row>
    <row r="4177" spans="1:21" x14ac:dyDescent="0.25">
      <c r="A4177">
        <v>46250</v>
      </c>
      <c r="B4177" t="s">
        <v>157</v>
      </c>
      <c r="C4177" t="s">
        <v>158</v>
      </c>
      <c r="D4177" t="s">
        <v>58</v>
      </c>
      <c r="E4177" t="s">
        <v>49</v>
      </c>
      <c r="F4177" t="s">
        <v>81</v>
      </c>
      <c r="G4177" t="s">
        <v>50</v>
      </c>
      <c r="H4177" t="s">
        <v>60</v>
      </c>
      <c r="I4177" t="s">
        <v>37</v>
      </c>
      <c r="J4177" t="s">
        <v>38</v>
      </c>
      <c r="K4177">
        <v>963</v>
      </c>
      <c r="L4177">
        <v>72</v>
      </c>
      <c r="M4177">
        <v>55.71</v>
      </c>
      <c r="N4177">
        <v>6</v>
      </c>
      <c r="O4177">
        <v>61.6</v>
      </c>
      <c r="P4177">
        <f t="shared" si="260"/>
        <v>7.476635514018691E-2</v>
      </c>
      <c r="Q4177">
        <f t="shared" si="260"/>
        <v>0.77375000000000005</v>
      </c>
      <c r="R4177">
        <f t="shared" si="261"/>
        <v>9.2850000000000001</v>
      </c>
      <c r="S4177">
        <f t="shared" si="262"/>
        <v>1.1057260814934482</v>
      </c>
      <c r="T4177">
        <f t="shared" si="263"/>
        <v>8.3333333333333329E-2</v>
      </c>
      <c r="U4177" t="str">
        <f>YEAR('Campaign Data'!$A4177)&amp;"-"&amp;TEXT(MONTH('Campaign Data'!$A4177),"00")</f>
        <v>2026-08</v>
      </c>
    </row>
    <row r="4178" spans="1:21" x14ac:dyDescent="0.25">
      <c r="A4178">
        <v>46250</v>
      </c>
      <c r="B4178" t="s">
        <v>112</v>
      </c>
      <c r="C4178" t="s">
        <v>113</v>
      </c>
      <c r="D4178" t="s">
        <v>32</v>
      </c>
      <c r="E4178" t="s">
        <v>24</v>
      </c>
      <c r="F4178" t="s">
        <v>75</v>
      </c>
      <c r="G4178" t="s">
        <v>66</v>
      </c>
      <c r="H4178" t="s">
        <v>60</v>
      </c>
      <c r="I4178" t="s">
        <v>61</v>
      </c>
      <c r="J4178" t="s">
        <v>29</v>
      </c>
      <c r="K4178">
        <v>9221</v>
      </c>
      <c r="L4178">
        <v>145</v>
      </c>
      <c r="M4178">
        <v>145.71</v>
      </c>
      <c r="N4178">
        <v>7</v>
      </c>
      <c r="O4178">
        <v>195.46</v>
      </c>
      <c r="P4178">
        <f t="shared" si="260"/>
        <v>1.5724975599175794E-2</v>
      </c>
      <c r="Q4178">
        <f t="shared" si="260"/>
        <v>1.0048965517241379</v>
      </c>
      <c r="R4178">
        <f t="shared" si="261"/>
        <v>20.815714285714286</v>
      </c>
      <c r="S4178">
        <f t="shared" si="262"/>
        <v>1.341431610733649</v>
      </c>
      <c r="T4178">
        <f t="shared" si="263"/>
        <v>4.8275862068965517E-2</v>
      </c>
      <c r="U4178" t="str">
        <f>YEAR('Campaign Data'!$A4178)&amp;"-"&amp;TEXT(MONTH('Campaign Data'!$A4178),"00")</f>
        <v>2026-08</v>
      </c>
    </row>
    <row r="4179" spans="1:21" x14ac:dyDescent="0.25">
      <c r="A4179">
        <v>46250</v>
      </c>
      <c r="B4179" t="s">
        <v>114</v>
      </c>
      <c r="C4179" t="s">
        <v>115</v>
      </c>
      <c r="D4179" t="s">
        <v>69</v>
      </c>
      <c r="E4179" t="s">
        <v>49</v>
      </c>
      <c r="F4179" t="s">
        <v>25</v>
      </c>
      <c r="G4179" t="s">
        <v>107</v>
      </c>
      <c r="H4179" t="s">
        <v>90</v>
      </c>
      <c r="I4179" t="s">
        <v>37</v>
      </c>
      <c r="J4179" t="s">
        <v>29</v>
      </c>
      <c r="K4179">
        <v>3953</v>
      </c>
      <c r="L4179">
        <v>198</v>
      </c>
      <c r="M4179">
        <v>113.55</v>
      </c>
      <c r="N4179">
        <v>13</v>
      </c>
      <c r="O4179">
        <v>609.64</v>
      </c>
      <c r="P4179">
        <f t="shared" si="260"/>
        <v>5.008854034910195E-2</v>
      </c>
      <c r="Q4179">
        <f t="shared" si="260"/>
        <v>0.57348484848484849</v>
      </c>
      <c r="R4179">
        <f t="shared" si="261"/>
        <v>8.7346153846153847</v>
      </c>
      <c r="S4179">
        <f t="shared" si="262"/>
        <v>5.3689123734037869</v>
      </c>
      <c r="T4179">
        <f t="shared" si="263"/>
        <v>6.5656565656565663E-2</v>
      </c>
      <c r="U4179" t="str">
        <f>YEAR('Campaign Data'!$A4179)&amp;"-"&amp;TEXT(MONTH('Campaign Data'!$A4179),"00")</f>
        <v>2026-08</v>
      </c>
    </row>
    <row r="4180" spans="1:21" x14ac:dyDescent="0.25">
      <c r="A4180">
        <v>46250</v>
      </c>
      <c r="B4180" t="s">
        <v>183</v>
      </c>
      <c r="C4180" t="s">
        <v>184</v>
      </c>
      <c r="D4180" t="s">
        <v>23</v>
      </c>
      <c r="E4180" t="s">
        <v>24</v>
      </c>
      <c r="F4180" t="s">
        <v>81</v>
      </c>
      <c r="G4180" t="s">
        <v>185</v>
      </c>
      <c r="H4180" t="s">
        <v>27</v>
      </c>
      <c r="I4180" t="s">
        <v>28</v>
      </c>
      <c r="J4180" t="s">
        <v>87</v>
      </c>
      <c r="K4180">
        <v>2783</v>
      </c>
      <c r="L4180">
        <v>38</v>
      </c>
      <c r="M4180">
        <v>31.65</v>
      </c>
      <c r="N4180">
        <v>2</v>
      </c>
      <c r="O4180">
        <v>45.77</v>
      </c>
      <c r="P4180">
        <f t="shared" si="260"/>
        <v>1.3654329859863456E-2</v>
      </c>
      <c r="Q4180">
        <f t="shared" si="260"/>
        <v>0.83289473684210524</v>
      </c>
      <c r="R4180">
        <f t="shared" si="261"/>
        <v>15.824999999999999</v>
      </c>
      <c r="S4180">
        <f t="shared" si="262"/>
        <v>1.4461295418641391</v>
      </c>
      <c r="T4180">
        <f t="shared" si="263"/>
        <v>5.2631578947368418E-2</v>
      </c>
      <c r="U4180" t="str">
        <f>YEAR('Campaign Data'!$A4180)&amp;"-"&amp;TEXT(MONTH('Campaign Data'!$A4180),"00")</f>
        <v>2026-08</v>
      </c>
    </row>
    <row r="4181" spans="1:21" x14ac:dyDescent="0.25">
      <c r="A4181">
        <v>46250</v>
      </c>
      <c r="B4181" t="s">
        <v>145</v>
      </c>
      <c r="C4181" t="s">
        <v>146</v>
      </c>
      <c r="D4181" t="s">
        <v>41</v>
      </c>
      <c r="E4181" t="s">
        <v>49</v>
      </c>
      <c r="F4181" t="s">
        <v>75</v>
      </c>
      <c r="G4181" t="s">
        <v>70</v>
      </c>
      <c r="H4181" t="s">
        <v>60</v>
      </c>
      <c r="I4181" t="s">
        <v>28</v>
      </c>
      <c r="J4181" t="s">
        <v>29</v>
      </c>
      <c r="K4181">
        <v>7484</v>
      </c>
      <c r="L4181">
        <v>515</v>
      </c>
      <c r="M4181">
        <v>1242.3900000000001</v>
      </c>
      <c r="N4181">
        <v>37</v>
      </c>
      <c r="O4181">
        <v>1399.9</v>
      </c>
      <c r="P4181">
        <f t="shared" si="260"/>
        <v>6.8813468733297703E-2</v>
      </c>
      <c r="Q4181">
        <f t="shared" si="260"/>
        <v>2.4124077669902912</v>
      </c>
      <c r="R4181">
        <f t="shared" si="261"/>
        <v>33.578108108108111</v>
      </c>
      <c r="S4181">
        <f t="shared" si="262"/>
        <v>1.1267798356393726</v>
      </c>
      <c r="T4181">
        <f t="shared" si="263"/>
        <v>7.184466019417475E-2</v>
      </c>
      <c r="U4181" t="str">
        <f>YEAR('Campaign Data'!$A4181)&amp;"-"&amp;TEXT(MONTH('Campaign Data'!$A4181),"00")</f>
        <v>2026-08</v>
      </c>
    </row>
    <row r="4182" spans="1:21" x14ac:dyDescent="0.25">
      <c r="A4182">
        <v>46250</v>
      </c>
      <c r="B4182" t="s">
        <v>76</v>
      </c>
      <c r="C4182" t="s">
        <v>77</v>
      </c>
      <c r="D4182" t="s">
        <v>65</v>
      </c>
      <c r="E4182" t="s">
        <v>42</v>
      </c>
      <c r="F4182" t="s">
        <v>43</v>
      </c>
      <c r="G4182" t="s">
        <v>44</v>
      </c>
      <c r="H4182" t="s">
        <v>60</v>
      </c>
      <c r="I4182" t="s">
        <v>37</v>
      </c>
      <c r="J4182" t="s">
        <v>38</v>
      </c>
      <c r="K4182">
        <v>4888</v>
      </c>
      <c r="L4182">
        <v>22</v>
      </c>
      <c r="M4182">
        <v>107.03</v>
      </c>
      <c r="N4182">
        <v>1</v>
      </c>
      <c r="O4182">
        <v>33.229999999999997</v>
      </c>
      <c r="P4182">
        <f t="shared" si="260"/>
        <v>4.5008183306055648E-3</v>
      </c>
      <c r="Q4182">
        <f t="shared" si="260"/>
        <v>4.8650000000000002</v>
      </c>
      <c r="R4182">
        <f t="shared" si="261"/>
        <v>107.03</v>
      </c>
      <c r="S4182">
        <f t="shared" si="262"/>
        <v>0.31047369896290755</v>
      </c>
      <c r="T4182">
        <f t="shared" si="263"/>
        <v>4.5454545454545456E-2</v>
      </c>
      <c r="U4182" t="str">
        <f>YEAR('Campaign Data'!$A4182)&amp;"-"&amp;TEXT(MONTH('Campaign Data'!$A4182),"00")</f>
        <v>2026-08</v>
      </c>
    </row>
    <row r="4183" spans="1:21" x14ac:dyDescent="0.25">
      <c r="A4183">
        <v>46251</v>
      </c>
      <c r="B4183" t="s">
        <v>173</v>
      </c>
      <c r="C4183" t="s">
        <v>174</v>
      </c>
      <c r="D4183" t="s">
        <v>48</v>
      </c>
      <c r="E4183" t="s">
        <v>74</v>
      </c>
      <c r="F4183" t="s">
        <v>25</v>
      </c>
      <c r="G4183" t="s">
        <v>9</v>
      </c>
      <c r="H4183" t="s">
        <v>27</v>
      </c>
      <c r="I4183" t="s">
        <v>28</v>
      </c>
      <c r="J4183" t="s">
        <v>62</v>
      </c>
      <c r="K4183">
        <v>5170</v>
      </c>
      <c r="L4183">
        <v>156</v>
      </c>
      <c r="M4183">
        <v>260.87</v>
      </c>
      <c r="N4183">
        <v>10</v>
      </c>
      <c r="O4183">
        <v>1541.44</v>
      </c>
      <c r="P4183">
        <f t="shared" si="260"/>
        <v>3.0174081237911026E-2</v>
      </c>
      <c r="Q4183">
        <f t="shared" si="260"/>
        <v>1.6722435897435897</v>
      </c>
      <c r="R4183">
        <f t="shared" si="261"/>
        <v>26.087</v>
      </c>
      <c r="S4183">
        <f t="shared" si="262"/>
        <v>5.9088434852608582</v>
      </c>
      <c r="T4183">
        <f t="shared" si="263"/>
        <v>6.4102564102564097E-2</v>
      </c>
      <c r="U4183" t="str">
        <f>YEAR('Campaign Data'!$A4183)&amp;"-"&amp;TEXT(MONTH('Campaign Data'!$A4183),"00")</f>
        <v>2026-08</v>
      </c>
    </row>
    <row r="4184" spans="1:21" x14ac:dyDescent="0.25">
      <c r="A4184">
        <v>46251</v>
      </c>
      <c r="B4184" t="s">
        <v>167</v>
      </c>
      <c r="C4184" t="s">
        <v>168</v>
      </c>
      <c r="D4184" t="s">
        <v>58</v>
      </c>
      <c r="E4184" t="s">
        <v>33</v>
      </c>
      <c r="F4184" t="s">
        <v>75</v>
      </c>
      <c r="G4184" t="s">
        <v>35</v>
      </c>
      <c r="H4184" t="s">
        <v>90</v>
      </c>
      <c r="I4184" t="s">
        <v>28</v>
      </c>
      <c r="J4184" t="s">
        <v>38</v>
      </c>
      <c r="K4184">
        <v>5651</v>
      </c>
      <c r="L4184">
        <v>44</v>
      </c>
      <c r="M4184">
        <v>6.62</v>
      </c>
      <c r="N4184">
        <v>1</v>
      </c>
      <c r="O4184">
        <v>14.37</v>
      </c>
      <c r="P4184">
        <f t="shared" si="260"/>
        <v>7.786232525216776E-3</v>
      </c>
      <c r="Q4184">
        <f t="shared" si="260"/>
        <v>0.15045454545454545</v>
      </c>
      <c r="R4184">
        <f t="shared" si="261"/>
        <v>6.62</v>
      </c>
      <c r="S4184">
        <f t="shared" si="262"/>
        <v>2.1706948640483383</v>
      </c>
      <c r="T4184">
        <f t="shared" si="263"/>
        <v>2.2727272727272728E-2</v>
      </c>
      <c r="U4184" t="str">
        <f>YEAR('Campaign Data'!$A4184)&amp;"-"&amp;TEXT(MONTH('Campaign Data'!$A4184),"00")</f>
        <v>2026-08</v>
      </c>
    </row>
    <row r="4185" spans="1:21" x14ac:dyDescent="0.25">
      <c r="A4185">
        <v>46251</v>
      </c>
      <c r="B4185" t="s">
        <v>125</v>
      </c>
      <c r="C4185" t="s">
        <v>126</v>
      </c>
      <c r="D4185" t="s">
        <v>41</v>
      </c>
      <c r="E4185" t="s">
        <v>42</v>
      </c>
      <c r="F4185" t="s">
        <v>81</v>
      </c>
      <c r="G4185" t="s">
        <v>44</v>
      </c>
      <c r="H4185" t="s">
        <v>90</v>
      </c>
      <c r="I4185" t="s">
        <v>28</v>
      </c>
      <c r="J4185" t="s">
        <v>45</v>
      </c>
      <c r="K4185">
        <v>5346</v>
      </c>
      <c r="L4185">
        <v>18</v>
      </c>
      <c r="M4185">
        <v>25.37</v>
      </c>
      <c r="N4185">
        <v>0</v>
      </c>
      <c r="O4185">
        <v>0</v>
      </c>
      <c r="P4185">
        <f t="shared" si="260"/>
        <v>3.3670033670033669E-3</v>
      </c>
      <c r="Q4185">
        <f t="shared" si="260"/>
        <v>1.4094444444444445</v>
      </c>
      <c r="R4185">
        <f t="shared" si="261"/>
        <v>0</v>
      </c>
      <c r="S4185">
        <f t="shared" si="262"/>
        <v>0</v>
      </c>
      <c r="T4185">
        <f t="shared" si="263"/>
        <v>0</v>
      </c>
      <c r="U4185" t="str">
        <f>YEAR('Campaign Data'!$A4185)&amp;"-"&amp;TEXT(MONTH('Campaign Data'!$A4185),"00")</f>
        <v>2026-08</v>
      </c>
    </row>
    <row r="4186" spans="1:21" x14ac:dyDescent="0.25">
      <c r="A4186">
        <v>46251</v>
      </c>
      <c r="B4186" t="s">
        <v>138</v>
      </c>
      <c r="C4186" t="s">
        <v>139</v>
      </c>
      <c r="D4186" t="s">
        <v>58</v>
      </c>
      <c r="E4186" t="s">
        <v>74</v>
      </c>
      <c r="F4186" t="s">
        <v>34</v>
      </c>
      <c r="G4186" t="s">
        <v>9</v>
      </c>
      <c r="H4186" t="s">
        <v>60</v>
      </c>
      <c r="I4186" t="s">
        <v>28</v>
      </c>
      <c r="J4186" t="s">
        <v>38</v>
      </c>
      <c r="K4186">
        <v>4483</v>
      </c>
      <c r="L4186">
        <v>153</v>
      </c>
      <c r="M4186">
        <v>219.06</v>
      </c>
      <c r="N4186">
        <v>10</v>
      </c>
      <c r="O4186">
        <v>1423.81</v>
      </c>
      <c r="P4186">
        <f t="shared" si="260"/>
        <v>3.412893151907205E-2</v>
      </c>
      <c r="Q4186">
        <f t="shared" si="260"/>
        <v>1.4317647058823531</v>
      </c>
      <c r="R4186">
        <f t="shared" si="261"/>
        <v>21.905999999999999</v>
      </c>
      <c r="S4186">
        <f t="shared" si="262"/>
        <v>6.4996348032502507</v>
      </c>
      <c r="T4186">
        <f t="shared" si="263"/>
        <v>6.535947712418301E-2</v>
      </c>
      <c r="U4186" t="str">
        <f>YEAR('Campaign Data'!$A4186)&amp;"-"&amp;TEXT(MONTH('Campaign Data'!$A4186),"00")</f>
        <v>2026-08</v>
      </c>
    </row>
    <row r="4187" spans="1:21" x14ac:dyDescent="0.25">
      <c r="A4187">
        <v>46251</v>
      </c>
      <c r="B4187" t="s">
        <v>91</v>
      </c>
      <c r="C4187" t="s">
        <v>92</v>
      </c>
      <c r="D4187" t="s">
        <v>41</v>
      </c>
      <c r="E4187" t="s">
        <v>74</v>
      </c>
      <c r="F4187" t="s">
        <v>75</v>
      </c>
      <c r="G4187" t="s">
        <v>9</v>
      </c>
      <c r="H4187" t="s">
        <v>60</v>
      </c>
      <c r="I4187" t="s">
        <v>28</v>
      </c>
      <c r="J4187" t="s">
        <v>87</v>
      </c>
      <c r="K4187">
        <v>14741</v>
      </c>
      <c r="L4187">
        <v>543</v>
      </c>
      <c r="M4187">
        <v>930.09</v>
      </c>
      <c r="N4187">
        <v>29</v>
      </c>
      <c r="O4187">
        <v>1305.53</v>
      </c>
      <c r="P4187">
        <f t="shared" si="260"/>
        <v>3.683603554711349E-2</v>
      </c>
      <c r="Q4187">
        <f t="shared" si="260"/>
        <v>1.7128729281767956</v>
      </c>
      <c r="R4187">
        <f t="shared" si="261"/>
        <v>32.072068965517239</v>
      </c>
      <c r="S4187">
        <f t="shared" si="262"/>
        <v>1.4036598608736788</v>
      </c>
      <c r="T4187">
        <f t="shared" si="263"/>
        <v>5.3406998158379376E-2</v>
      </c>
      <c r="U4187" t="str">
        <f>YEAR('Campaign Data'!$A4187)&amp;"-"&amp;TEXT(MONTH('Campaign Data'!$A4187),"00")</f>
        <v>2026-08</v>
      </c>
    </row>
    <row r="4188" spans="1:21" x14ac:dyDescent="0.25">
      <c r="A4188">
        <v>46251</v>
      </c>
      <c r="B4188" t="s">
        <v>151</v>
      </c>
      <c r="C4188" t="s">
        <v>152</v>
      </c>
      <c r="D4188" t="s">
        <v>48</v>
      </c>
      <c r="E4188" t="s">
        <v>24</v>
      </c>
      <c r="F4188" t="s">
        <v>81</v>
      </c>
      <c r="G4188" t="s">
        <v>129</v>
      </c>
      <c r="H4188" t="s">
        <v>27</v>
      </c>
      <c r="I4188" t="s">
        <v>28</v>
      </c>
      <c r="J4188" t="s">
        <v>29</v>
      </c>
      <c r="K4188">
        <v>3783</v>
      </c>
      <c r="L4188">
        <v>58</v>
      </c>
      <c r="M4188">
        <v>104.58</v>
      </c>
      <c r="N4188">
        <v>1</v>
      </c>
      <c r="O4188">
        <v>24.83</v>
      </c>
      <c r="P4188">
        <f t="shared" si="260"/>
        <v>1.5331747290510176E-2</v>
      </c>
      <c r="Q4188">
        <f t="shared" si="260"/>
        <v>1.8031034482758621</v>
      </c>
      <c r="R4188">
        <f t="shared" si="261"/>
        <v>104.58</v>
      </c>
      <c r="S4188">
        <f t="shared" si="262"/>
        <v>0.23742589405240005</v>
      </c>
      <c r="T4188">
        <f t="shared" si="263"/>
        <v>1.7241379310344827E-2</v>
      </c>
      <c r="U4188" t="str">
        <f>YEAR('Campaign Data'!$A4188)&amp;"-"&amp;TEXT(MONTH('Campaign Data'!$A4188),"00")</f>
        <v>2026-08</v>
      </c>
    </row>
    <row r="4189" spans="1:21" x14ac:dyDescent="0.25">
      <c r="A4189">
        <v>46251</v>
      </c>
      <c r="B4189" t="s">
        <v>52</v>
      </c>
      <c r="C4189" t="s">
        <v>53</v>
      </c>
      <c r="D4189" t="s">
        <v>32</v>
      </c>
      <c r="E4189" t="s">
        <v>42</v>
      </c>
      <c r="F4189" t="s">
        <v>25</v>
      </c>
      <c r="G4189" t="s">
        <v>54</v>
      </c>
      <c r="H4189" t="s">
        <v>55</v>
      </c>
      <c r="I4189" t="s">
        <v>61</v>
      </c>
      <c r="J4189" t="s">
        <v>45</v>
      </c>
      <c r="K4189">
        <v>8021</v>
      </c>
      <c r="L4189">
        <v>75</v>
      </c>
      <c r="M4189">
        <v>444.79</v>
      </c>
      <c r="N4189">
        <v>0</v>
      </c>
      <c r="O4189">
        <v>0</v>
      </c>
      <c r="P4189">
        <f t="shared" si="260"/>
        <v>9.3504550554793665E-3</v>
      </c>
      <c r="Q4189">
        <f t="shared" si="260"/>
        <v>5.9305333333333339</v>
      </c>
      <c r="R4189">
        <f t="shared" si="261"/>
        <v>0</v>
      </c>
      <c r="S4189">
        <f t="shared" si="262"/>
        <v>0</v>
      </c>
      <c r="T4189">
        <f t="shared" si="263"/>
        <v>0</v>
      </c>
      <c r="U4189" t="str">
        <f>YEAR('Campaign Data'!$A4189)&amp;"-"&amp;TEXT(MONTH('Campaign Data'!$A4189),"00")</f>
        <v>2026-08</v>
      </c>
    </row>
    <row r="4190" spans="1:21" x14ac:dyDescent="0.25">
      <c r="A4190">
        <v>46251</v>
      </c>
      <c r="B4190" t="s">
        <v>179</v>
      </c>
      <c r="C4190" t="s">
        <v>180</v>
      </c>
      <c r="D4190" t="s">
        <v>58</v>
      </c>
      <c r="E4190" t="s">
        <v>42</v>
      </c>
      <c r="F4190" t="s">
        <v>25</v>
      </c>
      <c r="G4190" t="s">
        <v>54</v>
      </c>
      <c r="H4190" t="s">
        <v>36</v>
      </c>
      <c r="I4190" t="s">
        <v>37</v>
      </c>
      <c r="J4190" t="s">
        <v>29</v>
      </c>
      <c r="K4190">
        <v>5210</v>
      </c>
      <c r="L4190">
        <v>31</v>
      </c>
      <c r="M4190">
        <v>188.87</v>
      </c>
      <c r="N4190">
        <v>0</v>
      </c>
      <c r="O4190">
        <v>0</v>
      </c>
      <c r="P4190">
        <f t="shared" si="260"/>
        <v>5.9500959692898271E-3</v>
      </c>
      <c r="Q4190">
        <f t="shared" si="260"/>
        <v>6.0925806451612905</v>
      </c>
      <c r="R4190">
        <f t="shared" si="261"/>
        <v>0</v>
      </c>
      <c r="S4190">
        <f t="shared" si="262"/>
        <v>0</v>
      </c>
      <c r="T4190">
        <f t="shared" si="263"/>
        <v>0</v>
      </c>
      <c r="U4190" t="str">
        <f>YEAR('Campaign Data'!$A4190)&amp;"-"&amp;TEXT(MONTH('Campaign Data'!$A4190),"00")</f>
        <v>2026-08</v>
      </c>
    </row>
    <row r="4191" spans="1:21" x14ac:dyDescent="0.25">
      <c r="A4191">
        <v>46251</v>
      </c>
      <c r="B4191" t="s">
        <v>155</v>
      </c>
      <c r="C4191" t="s">
        <v>156</v>
      </c>
      <c r="D4191" t="s">
        <v>32</v>
      </c>
      <c r="E4191" t="s">
        <v>24</v>
      </c>
      <c r="F4191" t="s">
        <v>34</v>
      </c>
      <c r="G4191" t="s">
        <v>129</v>
      </c>
      <c r="H4191" t="s">
        <v>90</v>
      </c>
      <c r="I4191" t="s">
        <v>28</v>
      </c>
      <c r="J4191" t="s">
        <v>38</v>
      </c>
      <c r="K4191">
        <v>4022</v>
      </c>
      <c r="L4191">
        <v>58</v>
      </c>
      <c r="M4191">
        <v>14.45</v>
      </c>
      <c r="N4191">
        <v>1</v>
      </c>
      <c r="O4191">
        <v>16.13</v>
      </c>
      <c r="P4191">
        <f t="shared" si="260"/>
        <v>1.4420686225758329E-2</v>
      </c>
      <c r="Q4191">
        <f t="shared" si="260"/>
        <v>0.24913793103448276</v>
      </c>
      <c r="R4191">
        <f t="shared" si="261"/>
        <v>14.45</v>
      </c>
      <c r="S4191">
        <f t="shared" si="262"/>
        <v>1.1162629757785467</v>
      </c>
      <c r="T4191">
        <f t="shared" si="263"/>
        <v>1.7241379310344827E-2</v>
      </c>
      <c r="U4191" t="str">
        <f>YEAR('Campaign Data'!$A4191)&amp;"-"&amp;TEXT(MONTH('Campaign Data'!$A4191),"00")</f>
        <v>2026-08</v>
      </c>
    </row>
    <row r="4192" spans="1:21" x14ac:dyDescent="0.25">
      <c r="A4192">
        <v>46251</v>
      </c>
      <c r="B4192" t="s">
        <v>181</v>
      </c>
      <c r="C4192" t="s">
        <v>182</v>
      </c>
      <c r="D4192" t="s">
        <v>32</v>
      </c>
      <c r="E4192" t="s">
        <v>33</v>
      </c>
      <c r="F4192" t="s">
        <v>75</v>
      </c>
      <c r="G4192" t="s">
        <v>59</v>
      </c>
      <c r="H4192" t="s">
        <v>90</v>
      </c>
      <c r="I4192" t="s">
        <v>37</v>
      </c>
      <c r="J4192" t="s">
        <v>45</v>
      </c>
      <c r="K4192">
        <v>9836</v>
      </c>
      <c r="L4192">
        <v>78</v>
      </c>
      <c r="M4192">
        <v>12.93</v>
      </c>
      <c r="N4192">
        <v>3</v>
      </c>
      <c r="O4192">
        <v>28.34</v>
      </c>
      <c r="P4192">
        <f t="shared" si="260"/>
        <v>7.9300528670191127E-3</v>
      </c>
      <c r="Q4192">
        <f t="shared" si="260"/>
        <v>0.16576923076923075</v>
      </c>
      <c r="R4192">
        <f t="shared" si="261"/>
        <v>4.3099999999999996</v>
      </c>
      <c r="S4192">
        <f t="shared" si="262"/>
        <v>2.1918020108275331</v>
      </c>
      <c r="T4192">
        <f t="shared" si="263"/>
        <v>3.8461538461538464E-2</v>
      </c>
      <c r="U4192" t="str">
        <f>YEAR('Campaign Data'!$A4192)&amp;"-"&amp;TEXT(MONTH('Campaign Data'!$A4192),"00")</f>
        <v>2026-08</v>
      </c>
    </row>
    <row r="4193" spans="1:21" x14ac:dyDescent="0.25">
      <c r="A4193">
        <v>46251</v>
      </c>
      <c r="B4193" t="s">
        <v>114</v>
      </c>
      <c r="C4193" t="s">
        <v>115</v>
      </c>
      <c r="D4193" t="s">
        <v>69</v>
      </c>
      <c r="E4193" t="s">
        <v>49</v>
      </c>
      <c r="F4193" t="s">
        <v>25</v>
      </c>
      <c r="G4193" t="s">
        <v>107</v>
      </c>
      <c r="H4193" t="s">
        <v>60</v>
      </c>
      <c r="I4193" t="s">
        <v>28</v>
      </c>
      <c r="J4193" t="s">
        <v>62</v>
      </c>
      <c r="K4193">
        <v>4496</v>
      </c>
      <c r="L4193">
        <v>195</v>
      </c>
      <c r="M4193">
        <v>303.61</v>
      </c>
      <c r="N4193">
        <v>24</v>
      </c>
      <c r="O4193">
        <v>3481.49</v>
      </c>
      <c r="P4193">
        <f t="shared" si="260"/>
        <v>4.337188612099644E-2</v>
      </c>
      <c r="Q4193">
        <f t="shared" si="260"/>
        <v>1.556974358974359</v>
      </c>
      <c r="R4193">
        <f t="shared" si="261"/>
        <v>12.650416666666667</v>
      </c>
      <c r="S4193">
        <f t="shared" si="262"/>
        <v>11.466980665985968</v>
      </c>
      <c r="T4193">
        <f t="shared" si="263"/>
        <v>0.12307692307692308</v>
      </c>
      <c r="U4193" t="str">
        <f>YEAR('Campaign Data'!$A4193)&amp;"-"&amp;TEXT(MONTH('Campaign Data'!$A4193),"00")</f>
        <v>2026-08</v>
      </c>
    </row>
    <row r="4194" spans="1:21" x14ac:dyDescent="0.25">
      <c r="A4194">
        <v>46251</v>
      </c>
      <c r="B4194" t="s">
        <v>118</v>
      </c>
      <c r="C4194" t="s">
        <v>119</v>
      </c>
      <c r="D4194" t="s">
        <v>69</v>
      </c>
      <c r="E4194" t="s">
        <v>33</v>
      </c>
      <c r="F4194" t="s">
        <v>34</v>
      </c>
      <c r="G4194" t="s">
        <v>35</v>
      </c>
      <c r="H4194" t="s">
        <v>90</v>
      </c>
      <c r="I4194" t="s">
        <v>28</v>
      </c>
      <c r="J4194" t="s">
        <v>87</v>
      </c>
      <c r="K4194">
        <v>3237</v>
      </c>
      <c r="L4194">
        <v>13</v>
      </c>
      <c r="M4194">
        <v>1.95</v>
      </c>
      <c r="N4194">
        <v>2</v>
      </c>
      <c r="O4194">
        <v>54.56</v>
      </c>
      <c r="P4194">
        <f t="shared" si="260"/>
        <v>4.0160642570281121E-3</v>
      </c>
      <c r="Q4194">
        <f t="shared" si="260"/>
        <v>0.15</v>
      </c>
      <c r="R4194">
        <f t="shared" si="261"/>
        <v>0.97499999999999998</v>
      </c>
      <c r="S4194">
        <f t="shared" si="262"/>
        <v>27.97948717948718</v>
      </c>
      <c r="T4194">
        <f t="shared" si="263"/>
        <v>0.15384615384615385</v>
      </c>
      <c r="U4194" t="str">
        <f>YEAR('Campaign Data'!$A4194)&amp;"-"&amp;TEXT(MONTH('Campaign Data'!$A4194),"00")</f>
        <v>2026-08</v>
      </c>
    </row>
    <row r="4195" spans="1:21" x14ac:dyDescent="0.25">
      <c r="A4195">
        <v>46251</v>
      </c>
      <c r="B4195" t="s">
        <v>78</v>
      </c>
      <c r="C4195" t="s">
        <v>79</v>
      </c>
      <c r="D4195" t="s">
        <v>80</v>
      </c>
      <c r="E4195" t="s">
        <v>24</v>
      </c>
      <c r="F4195" t="s">
        <v>81</v>
      </c>
      <c r="G4195" t="s">
        <v>66</v>
      </c>
      <c r="H4195" t="s">
        <v>27</v>
      </c>
      <c r="I4195" t="s">
        <v>37</v>
      </c>
      <c r="J4195" t="s">
        <v>38</v>
      </c>
      <c r="K4195">
        <v>6257</v>
      </c>
      <c r="L4195">
        <v>40</v>
      </c>
      <c r="M4195">
        <v>48.23</v>
      </c>
      <c r="N4195">
        <v>1</v>
      </c>
      <c r="O4195">
        <v>23.33</v>
      </c>
      <c r="P4195">
        <f t="shared" si="260"/>
        <v>6.3928400191785202E-3</v>
      </c>
      <c r="Q4195">
        <f t="shared" si="260"/>
        <v>1.2057499999999999</v>
      </c>
      <c r="R4195">
        <f t="shared" si="261"/>
        <v>48.23</v>
      </c>
      <c r="S4195">
        <f t="shared" si="262"/>
        <v>0.48372382334646485</v>
      </c>
      <c r="T4195">
        <f t="shared" si="263"/>
        <v>2.5000000000000001E-2</v>
      </c>
      <c r="U4195" t="str">
        <f>YEAR('Campaign Data'!$A4195)&amp;"-"&amp;TEXT(MONTH('Campaign Data'!$A4195),"00")</f>
        <v>2026-08</v>
      </c>
    </row>
    <row r="4196" spans="1:21" x14ac:dyDescent="0.25">
      <c r="A4196">
        <v>46251</v>
      </c>
      <c r="B4196" t="s">
        <v>122</v>
      </c>
      <c r="C4196" t="s">
        <v>123</v>
      </c>
      <c r="D4196" t="s">
        <v>41</v>
      </c>
      <c r="E4196" t="s">
        <v>33</v>
      </c>
      <c r="F4196" t="s">
        <v>75</v>
      </c>
      <c r="G4196" t="s">
        <v>35</v>
      </c>
      <c r="H4196" t="s">
        <v>27</v>
      </c>
      <c r="I4196" t="s">
        <v>28</v>
      </c>
      <c r="J4196" t="s">
        <v>62</v>
      </c>
      <c r="K4196">
        <v>11306</v>
      </c>
      <c r="L4196">
        <v>110</v>
      </c>
      <c r="M4196">
        <v>102.98</v>
      </c>
      <c r="N4196">
        <v>3</v>
      </c>
      <c r="O4196">
        <v>166.94</v>
      </c>
      <c r="P4196">
        <f t="shared" si="260"/>
        <v>9.7293472492481874E-3</v>
      </c>
      <c r="Q4196">
        <f t="shared" si="260"/>
        <v>0.93618181818181823</v>
      </c>
      <c r="R4196">
        <f t="shared" si="261"/>
        <v>34.326666666666668</v>
      </c>
      <c r="S4196">
        <f t="shared" si="262"/>
        <v>1.6210914740726354</v>
      </c>
      <c r="T4196">
        <f t="shared" si="263"/>
        <v>2.7272727272727271E-2</v>
      </c>
      <c r="U4196" t="str">
        <f>YEAR('Campaign Data'!$A4196)&amp;"-"&amp;TEXT(MONTH('Campaign Data'!$A4196),"00")</f>
        <v>2026-08</v>
      </c>
    </row>
    <row r="4197" spans="1:21" x14ac:dyDescent="0.25">
      <c r="A4197">
        <v>46252</v>
      </c>
      <c r="B4197" t="s">
        <v>165</v>
      </c>
      <c r="C4197" t="s">
        <v>166</v>
      </c>
      <c r="D4197" t="s">
        <v>41</v>
      </c>
      <c r="E4197" t="s">
        <v>33</v>
      </c>
      <c r="F4197" t="s">
        <v>43</v>
      </c>
      <c r="G4197" t="s">
        <v>59</v>
      </c>
      <c r="H4197" t="s">
        <v>90</v>
      </c>
      <c r="I4197" t="s">
        <v>37</v>
      </c>
      <c r="J4197" t="s">
        <v>45</v>
      </c>
      <c r="K4197">
        <v>7116</v>
      </c>
      <c r="L4197">
        <v>74</v>
      </c>
      <c r="M4197">
        <v>10.6</v>
      </c>
      <c r="N4197">
        <v>0</v>
      </c>
      <c r="O4197">
        <v>0</v>
      </c>
      <c r="P4197">
        <f t="shared" si="260"/>
        <v>1.0399100618324901E-2</v>
      </c>
      <c r="Q4197">
        <f t="shared" si="260"/>
        <v>0.14324324324324325</v>
      </c>
      <c r="R4197">
        <f t="shared" si="261"/>
        <v>0</v>
      </c>
      <c r="S4197">
        <f t="shared" si="262"/>
        <v>0</v>
      </c>
      <c r="T4197">
        <f t="shared" si="263"/>
        <v>0</v>
      </c>
      <c r="U4197" t="str">
        <f>YEAR('Campaign Data'!$A4197)&amp;"-"&amp;TEXT(MONTH('Campaign Data'!$A4197),"00")</f>
        <v>2026-08</v>
      </c>
    </row>
    <row r="4198" spans="1:21" x14ac:dyDescent="0.25">
      <c r="A4198">
        <v>46252</v>
      </c>
      <c r="B4198" t="s">
        <v>175</v>
      </c>
      <c r="C4198" t="s">
        <v>176</v>
      </c>
      <c r="D4198" t="s">
        <v>65</v>
      </c>
      <c r="E4198" t="s">
        <v>49</v>
      </c>
      <c r="F4198" t="s">
        <v>75</v>
      </c>
      <c r="G4198" t="s">
        <v>70</v>
      </c>
      <c r="H4198" t="s">
        <v>71</v>
      </c>
      <c r="I4198" t="s">
        <v>28</v>
      </c>
      <c r="J4198" t="s">
        <v>87</v>
      </c>
      <c r="K4198">
        <v>4628</v>
      </c>
      <c r="L4198">
        <v>193</v>
      </c>
      <c r="M4198">
        <v>352.46</v>
      </c>
      <c r="N4198">
        <v>15</v>
      </c>
      <c r="O4198">
        <v>577.65</v>
      </c>
      <c r="P4198">
        <f t="shared" si="260"/>
        <v>4.1702679343128782E-2</v>
      </c>
      <c r="Q4198">
        <f t="shared" si="260"/>
        <v>1.8262176165803108</v>
      </c>
      <c r="R4198">
        <f t="shared" si="261"/>
        <v>23.497333333333334</v>
      </c>
      <c r="S4198">
        <f t="shared" si="262"/>
        <v>1.6389093797877774</v>
      </c>
      <c r="T4198">
        <f t="shared" si="263"/>
        <v>7.7720207253886009E-2</v>
      </c>
      <c r="U4198" t="str">
        <f>YEAR('Campaign Data'!$A4198)&amp;"-"&amp;TEXT(MONTH('Campaign Data'!$A4198),"00")</f>
        <v>2026-08</v>
      </c>
    </row>
    <row r="4199" spans="1:21" x14ac:dyDescent="0.25">
      <c r="A4199">
        <v>46252</v>
      </c>
      <c r="B4199" t="s">
        <v>175</v>
      </c>
      <c r="C4199" t="s">
        <v>176</v>
      </c>
      <c r="D4199" t="s">
        <v>65</v>
      </c>
      <c r="E4199" t="s">
        <v>49</v>
      </c>
      <c r="F4199" t="s">
        <v>75</v>
      </c>
      <c r="G4199" t="s">
        <v>70</v>
      </c>
      <c r="H4199" t="s">
        <v>36</v>
      </c>
      <c r="I4199" t="s">
        <v>37</v>
      </c>
      <c r="J4199" t="s">
        <v>45</v>
      </c>
      <c r="K4199">
        <v>11818</v>
      </c>
      <c r="L4199">
        <v>507</v>
      </c>
      <c r="M4199">
        <v>890.2</v>
      </c>
      <c r="N4199">
        <v>24</v>
      </c>
      <c r="O4199">
        <v>980.14</v>
      </c>
      <c r="P4199">
        <f t="shared" si="260"/>
        <v>4.2900660010154003E-2</v>
      </c>
      <c r="Q4199">
        <f t="shared" si="260"/>
        <v>1.755818540433925</v>
      </c>
      <c r="R4199">
        <f t="shared" si="261"/>
        <v>37.091666666666669</v>
      </c>
      <c r="S4199">
        <f t="shared" si="262"/>
        <v>1.1010334756234554</v>
      </c>
      <c r="T4199">
        <f t="shared" si="263"/>
        <v>4.7337278106508875E-2</v>
      </c>
      <c r="U4199" t="str">
        <f>YEAR('Campaign Data'!$A4199)&amp;"-"&amp;TEXT(MONTH('Campaign Data'!$A4199),"00")</f>
        <v>2026-08</v>
      </c>
    </row>
    <row r="4200" spans="1:21" x14ac:dyDescent="0.25">
      <c r="A4200">
        <v>46252</v>
      </c>
      <c r="B4200" t="s">
        <v>175</v>
      </c>
      <c r="C4200" t="s">
        <v>176</v>
      </c>
      <c r="D4200" t="s">
        <v>65</v>
      </c>
      <c r="E4200" t="s">
        <v>49</v>
      </c>
      <c r="F4200" t="s">
        <v>75</v>
      </c>
      <c r="G4200" t="s">
        <v>70</v>
      </c>
      <c r="H4200" t="s">
        <v>60</v>
      </c>
      <c r="I4200" t="s">
        <v>37</v>
      </c>
      <c r="J4200" t="s">
        <v>45</v>
      </c>
      <c r="K4200">
        <v>1953</v>
      </c>
      <c r="L4200">
        <v>94</v>
      </c>
      <c r="M4200">
        <v>148.82</v>
      </c>
      <c r="N4200">
        <v>6</v>
      </c>
      <c r="O4200">
        <v>220</v>
      </c>
      <c r="P4200">
        <f t="shared" si="260"/>
        <v>4.8131080389144903E-2</v>
      </c>
      <c r="Q4200">
        <f t="shared" si="260"/>
        <v>1.5831914893617021</v>
      </c>
      <c r="R4200">
        <f t="shared" si="261"/>
        <v>24.803333333333331</v>
      </c>
      <c r="S4200">
        <f t="shared" si="262"/>
        <v>1.4782959279666712</v>
      </c>
      <c r="T4200">
        <f t="shared" si="263"/>
        <v>6.3829787234042548E-2</v>
      </c>
      <c r="U4200" t="str">
        <f>YEAR('Campaign Data'!$A4200)&amp;"-"&amp;TEXT(MONTH('Campaign Data'!$A4200),"00")</f>
        <v>2026-08</v>
      </c>
    </row>
    <row r="4201" spans="1:21" x14ac:dyDescent="0.25">
      <c r="A4201">
        <v>46252</v>
      </c>
      <c r="B4201" t="s">
        <v>167</v>
      </c>
      <c r="C4201" t="s">
        <v>168</v>
      </c>
      <c r="D4201" t="s">
        <v>58</v>
      </c>
      <c r="E4201" t="s">
        <v>33</v>
      </c>
      <c r="F4201" t="s">
        <v>75</v>
      </c>
      <c r="G4201" t="s">
        <v>35</v>
      </c>
      <c r="H4201" t="s">
        <v>27</v>
      </c>
      <c r="I4201" t="s">
        <v>28</v>
      </c>
      <c r="J4201" t="s">
        <v>29</v>
      </c>
      <c r="K4201">
        <v>3694</v>
      </c>
      <c r="L4201">
        <v>36</v>
      </c>
      <c r="M4201">
        <v>26.73</v>
      </c>
      <c r="N4201">
        <v>1</v>
      </c>
      <c r="O4201">
        <v>48.81</v>
      </c>
      <c r="P4201">
        <f t="shared" si="260"/>
        <v>9.7455332972387655E-3</v>
      </c>
      <c r="Q4201">
        <f t="shared" si="260"/>
        <v>0.74250000000000005</v>
      </c>
      <c r="R4201">
        <f t="shared" si="261"/>
        <v>26.73</v>
      </c>
      <c r="S4201">
        <f t="shared" si="262"/>
        <v>1.8260381593714927</v>
      </c>
      <c r="T4201">
        <f t="shared" si="263"/>
        <v>2.7777777777777776E-2</v>
      </c>
      <c r="U4201" t="str">
        <f>YEAR('Campaign Data'!$A4201)&amp;"-"&amp;TEXT(MONTH('Campaign Data'!$A4201),"00")</f>
        <v>2026-08</v>
      </c>
    </row>
    <row r="4202" spans="1:21" x14ac:dyDescent="0.25">
      <c r="A4202">
        <v>46252</v>
      </c>
      <c r="B4202" t="s">
        <v>138</v>
      </c>
      <c r="C4202" t="s">
        <v>139</v>
      </c>
      <c r="D4202" t="s">
        <v>58</v>
      </c>
      <c r="E4202" t="s">
        <v>74</v>
      </c>
      <c r="F4202" t="s">
        <v>34</v>
      </c>
      <c r="G4202" t="s">
        <v>9</v>
      </c>
      <c r="H4202" t="s">
        <v>90</v>
      </c>
      <c r="I4202" t="s">
        <v>37</v>
      </c>
      <c r="J4202" t="s">
        <v>87</v>
      </c>
      <c r="K4202">
        <v>18249</v>
      </c>
      <c r="L4202">
        <v>548</v>
      </c>
      <c r="M4202">
        <v>229.52</v>
      </c>
      <c r="N4202">
        <v>30</v>
      </c>
      <c r="O4202">
        <v>1257.1300000000001</v>
      </c>
      <c r="P4202">
        <f t="shared" si="260"/>
        <v>3.0029042687270534E-2</v>
      </c>
      <c r="Q4202">
        <f t="shared" si="260"/>
        <v>0.41883211678832116</v>
      </c>
      <c r="R4202">
        <f t="shared" si="261"/>
        <v>7.6506666666666669</v>
      </c>
      <c r="S4202">
        <f t="shared" si="262"/>
        <v>5.4772133147438131</v>
      </c>
      <c r="T4202">
        <f t="shared" si="263"/>
        <v>5.4744525547445258E-2</v>
      </c>
      <c r="U4202" t="str">
        <f>YEAR('Campaign Data'!$A4202)&amp;"-"&amp;TEXT(MONTH('Campaign Data'!$A4202),"00")</f>
        <v>2026-08</v>
      </c>
    </row>
    <row r="4203" spans="1:21" x14ac:dyDescent="0.25">
      <c r="A4203">
        <v>46252</v>
      </c>
      <c r="B4203" t="s">
        <v>186</v>
      </c>
      <c r="C4203" t="s">
        <v>187</v>
      </c>
      <c r="D4203" t="s">
        <v>80</v>
      </c>
      <c r="E4203" t="s">
        <v>33</v>
      </c>
      <c r="F4203" t="s">
        <v>43</v>
      </c>
      <c r="G4203" t="s">
        <v>102</v>
      </c>
      <c r="H4203" t="s">
        <v>36</v>
      </c>
      <c r="I4203" t="s">
        <v>37</v>
      </c>
      <c r="J4203" t="s">
        <v>87</v>
      </c>
      <c r="K4203">
        <v>11322</v>
      </c>
      <c r="L4203">
        <v>89</v>
      </c>
      <c r="M4203">
        <v>49.11</v>
      </c>
      <c r="N4203">
        <v>4</v>
      </c>
      <c r="O4203">
        <v>162.51</v>
      </c>
      <c r="P4203">
        <f t="shared" si="260"/>
        <v>7.8608019784490377E-3</v>
      </c>
      <c r="Q4203">
        <f t="shared" si="260"/>
        <v>0.5517977528089888</v>
      </c>
      <c r="R4203">
        <f t="shared" si="261"/>
        <v>12.2775</v>
      </c>
      <c r="S4203">
        <f t="shared" si="262"/>
        <v>3.3091020158827122</v>
      </c>
      <c r="T4203">
        <f t="shared" si="263"/>
        <v>4.49438202247191E-2</v>
      </c>
      <c r="U4203" t="str">
        <f>YEAR('Campaign Data'!$A4203)&amp;"-"&amp;TEXT(MONTH('Campaign Data'!$A4203),"00")</f>
        <v>2026-08</v>
      </c>
    </row>
    <row r="4204" spans="1:21" x14ac:dyDescent="0.25">
      <c r="A4204">
        <v>46252</v>
      </c>
      <c r="B4204" t="s">
        <v>30</v>
      </c>
      <c r="C4204" t="s">
        <v>31</v>
      </c>
      <c r="D4204" t="s">
        <v>32</v>
      </c>
      <c r="E4204" t="s">
        <v>33</v>
      </c>
      <c r="F4204" t="s">
        <v>34</v>
      </c>
      <c r="G4204" t="s">
        <v>35</v>
      </c>
      <c r="H4204" t="s">
        <v>90</v>
      </c>
      <c r="I4204" t="s">
        <v>37</v>
      </c>
      <c r="J4204" t="s">
        <v>87</v>
      </c>
      <c r="K4204">
        <v>1926</v>
      </c>
      <c r="L4204">
        <v>27</v>
      </c>
      <c r="M4204">
        <v>4.1500000000000004</v>
      </c>
      <c r="N4204">
        <v>1</v>
      </c>
      <c r="O4204">
        <v>36.450000000000003</v>
      </c>
      <c r="P4204">
        <f t="shared" si="260"/>
        <v>1.4018691588785047E-2</v>
      </c>
      <c r="Q4204">
        <f t="shared" si="260"/>
        <v>0.1537037037037037</v>
      </c>
      <c r="R4204">
        <f t="shared" si="261"/>
        <v>4.1500000000000004</v>
      </c>
      <c r="S4204">
        <f t="shared" si="262"/>
        <v>8.783132530120481</v>
      </c>
      <c r="T4204">
        <f t="shared" si="263"/>
        <v>3.7037037037037035E-2</v>
      </c>
      <c r="U4204" t="str">
        <f>YEAR('Campaign Data'!$A4204)&amp;"-"&amp;TEXT(MONTH('Campaign Data'!$A4204),"00")</f>
        <v>2026-08</v>
      </c>
    </row>
    <row r="4205" spans="1:21" x14ac:dyDescent="0.25">
      <c r="A4205">
        <v>46252</v>
      </c>
      <c r="B4205" t="s">
        <v>151</v>
      </c>
      <c r="C4205" t="s">
        <v>152</v>
      </c>
      <c r="D4205" t="s">
        <v>48</v>
      </c>
      <c r="E4205" t="s">
        <v>24</v>
      </c>
      <c r="F4205" t="s">
        <v>81</v>
      </c>
      <c r="G4205" t="s">
        <v>129</v>
      </c>
      <c r="H4205" t="s">
        <v>90</v>
      </c>
      <c r="I4205" t="s">
        <v>37</v>
      </c>
      <c r="J4205" t="s">
        <v>29</v>
      </c>
      <c r="K4205">
        <v>10550</v>
      </c>
      <c r="L4205">
        <v>177</v>
      </c>
      <c r="M4205">
        <v>59.77</v>
      </c>
      <c r="N4205">
        <v>3</v>
      </c>
      <c r="O4205">
        <v>15</v>
      </c>
      <c r="P4205">
        <f t="shared" si="260"/>
        <v>1.6777251184834124E-2</v>
      </c>
      <c r="Q4205">
        <f t="shared" si="260"/>
        <v>0.33768361581920908</v>
      </c>
      <c r="R4205">
        <f t="shared" si="261"/>
        <v>19.923333333333336</v>
      </c>
      <c r="S4205">
        <f t="shared" si="262"/>
        <v>0.25096202108080978</v>
      </c>
      <c r="T4205">
        <f t="shared" si="263"/>
        <v>1.6949152542372881E-2</v>
      </c>
      <c r="U4205" t="str">
        <f>YEAR('Campaign Data'!$A4205)&amp;"-"&amp;TEXT(MONTH('Campaign Data'!$A4205),"00")</f>
        <v>2026-08</v>
      </c>
    </row>
    <row r="4206" spans="1:21" x14ac:dyDescent="0.25">
      <c r="A4206">
        <v>46252</v>
      </c>
      <c r="B4206" t="s">
        <v>100</v>
      </c>
      <c r="C4206" t="s">
        <v>101</v>
      </c>
      <c r="D4206" t="s">
        <v>80</v>
      </c>
      <c r="E4206" t="s">
        <v>33</v>
      </c>
      <c r="F4206" t="s">
        <v>25</v>
      </c>
      <c r="G4206" t="s">
        <v>102</v>
      </c>
      <c r="H4206" t="s">
        <v>90</v>
      </c>
      <c r="I4206" t="s">
        <v>37</v>
      </c>
      <c r="J4206" t="s">
        <v>62</v>
      </c>
      <c r="K4206">
        <v>12442</v>
      </c>
      <c r="L4206">
        <v>181</v>
      </c>
      <c r="M4206">
        <v>34.42</v>
      </c>
      <c r="N4206">
        <v>1</v>
      </c>
      <c r="O4206">
        <v>37.69</v>
      </c>
      <c r="P4206">
        <f t="shared" si="260"/>
        <v>1.4547500401864652E-2</v>
      </c>
      <c r="Q4206">
        <f t="shared" si="260"/>
        <v>0.1901657458563536</v>
      </c>
      <c r="R4206">
        <f t="shared" si="261"/>
        <v>34.42</v>
      </c>
      <c r="S4206">
        <f t="shared" si="262"/>
        <v>1.0950029052876233</v>
      </c>
      <c r="T4206">
        <f t="shared" si="263"/>
        <v>5.5248618784530384E-3</v>
      </c>
      <c r="U4206" t="str">
        <f>YEAR('Campaign Data'!$A4206)&amp;"-"&amp;TEXT(MONTH('Campaign Data'!$A4206),"00")</f>
        <v>2026-08</v>
      </c>
    </row>
    <row r="4207" spans="1:21" x14ac:dyDescent="0.25">
      <c r="A4207">
        <v>46252</v>
      </c>
      <c r="B4207" t="s">
        <v>169</v>
      </c>
      <c r="C4207" t="s">
        <v>170</v>
      </c>
      <c r="D4207" t="s">
        <v>58</v>
      </c>
      <c r="E4207" t="s">
        <v>74</v>
      </c>
      <c r="F4207" t="s">
        <v>75</v>
      </c>
      <c r="G4207" t="s">
        <v>9</v>
      </c>
      <c r="H4207" t="s">
        <v>90</v>
      </c>
      <c r="I4207" t="s">
        <v>37</v>
      </c>
      <c r="J4207" t="s">
        <v>87</v>
      </c>
      <c r="K4207">
        <v>1722</v>
      </c>
      <c r="L4207">
        <v>32</v>
      </c>
      <c r="M4207">
        <v>14.03</v>
      </c>
      <c r="N4207">
        <v>1</v>
      </c>
      <c r="O4207">
        <v>12.74</v>
      </c>
      <c r="P4207">
        <f t="shared" si="260"/>
        <v>1.8583042973286876E-2</v>
      </c>
      <c r="Q4207">
        <f t="shared" si="260"/>
        <v>0.43843749999999998</v>
      </c>
      <c r="R4207">
        <f t="shared" si="261"/>
        <v>14.03</v>
      </c>
      <c r="S4207">
        <f t="shared" si="262"/>
        <v>0.90805416963649332</v>
      </c>
      <c r="T4207">
        <f t="shared" si="263"/>
        <v>3.125E-2</v>
      </c>
      <c r="U4207" t="str">
        <f>YEAR('Campaign Data'!$A4207)&amp;"-"&amp;TEXT(MONTH('Campaign Data'!$A4207),"00")</f>
        <v>2026-08</v>
      </c>
    </row>
    <row r="4208" spans="1:21" x14ac:dyDescent="0.25">
      <c r="A4208">
        <v>46252</v>
      </c>
      <c r="B4208" t="s">
        <v>103</v>
      </c>
      <c r="C4208" t="s">
        <v>104</v>
      </c>
      <c r="D4208" t="s">
        <v>65</v>
      </c>
      <c r="E4208" t="s">
        <v>33</v>
      </c>
      <c r="F4208" t="s">
        <v>43</v>
      </c>
      <c r="G4208" t="s">
        <v>102</v>
      </c>
      <c r="H4208" t="s">
        <v>36</v>
      </c>
      <c r="I4208" t="s">
        <v>37</v>
      </c>
      <c r="J4208" t="s">
        <v>38</v>
      </c>
      <c r="K4208">
        <v>4387</v>
      </c>
      <c r="L4208">
        <v>20</v>
      </c>
      <c r="M4208">
        <v>14.58</v>
      </c>
      <c r="N4208">
        <v>0</v>
      </c>
      <c r="O4208">
        <v>0</v>
      </c>
      <c r="P4208">
        <f t="shared" si="260"/>
        <v>4.5589240939138366E-3</v>
      </c>
      <c r="Q4208">
        <f t="shared" si="260"/>
        <v>0.72899999999999998</v>
      </c>
      <c r="R4208">
        <f t="shared" si="261"/>
        <v>0</v>
      </c>
      <c r="S4208">
        <f t="shared" si="262"/>
        <v>0</v>
      </c>
      <c r="T4208">
        <f t="shared" si="263"/>
        <v>0</v>
      </c>
      <c r="U4208" t="str">
        <f>YEAR('Campaign Data'!$A4208)&amp;"-"&amp;TEXT(MONTH('Campaign Data'!$A4208),"00")</f>
        <v>2026-08</v>
      </c>
    </row>
    <row r="4209" spans="1:21" x14ac:dyDescent="0.25">
      <c r="A4209">
        <v>46252</v>
      </c>
      <c r="B4209" t="s">
        <v>153</v>
      </c>
      <c r="C4209" t="s">
        <v>154</v>
      </c>
      <c r="D4209" t="s">
        <v>48</v>
      </c>
      <c r="E4209" t="s">
        <v>33</v>
      </c>
      <c r="F4209" t="s">
        <v>43</v>
      </c>
      <c r="G4209" t="s">
        <v>59</v>
      </c>
      <c r="H4209" t="s">
        <v>90</v>
      </c>
      <c r="I4209" t="s">
        <v>37</v>
      </c>
      <c r="J4209" t="s">
        <v>38</v>
      </c>
      <c r="K4209">
        <v>16291</v>
      </c>
      <c r="L4209">
        <v>142</v>
      </c>
      <c r="M4209">
        <v>18.45</v>
      </c>
      <c r="N4209">
        <v>2</v>
      </c>
      <c r="O4209">
        <v>14.82</v>
      </c>
      <c r="P4209">
        <f t="shared" si="260"/>
        <v>8.7164692161316067E-3</v>
      </c>
      <c r="Q4209">
        <f t="shared" si="260"/>
        <v>0.12992957746478873</v>
      </c>
      <c r="R4209">
        <f t="shared" si="261"/>
        <v>9.2249999999999996</v>
      </c>
      <c r="S4209">
        <f t="shared" si="262"/>
        <v>0.80325203252032529</v>
      </c>
      <c r="T4209">
        <f t="shared" si="263"/>
        <v>1.4084507042253521E-2</v>
      </c>
      <c r="U4209" t="str">
        <f>YEAR('Campaign Data'!$A4209)&amp;"-"&amp;TEXT(MONTH('Campaign Data'!$A4209),"00")</f>
        <v>2026-08</v>
      </c>
    </row>
    <row r="4210" spans="1:21" x14ac:dyDescent="0.25">
      <c r="A4210">
        <v>46252</v>
      </c>
      <c r="B4210" t="s">
        <v>112</v>
      </c>
      <c r="C4210" t="s">
        <v>113</v>
      </c>
      <c r="D4210" t="s">
        <v>32</v>
      </c>
      <c r="E4210" t="s">
        <v>24</v>
      </c>
      <c r="F4210" t="s">
        <v>75</v>
      </c>
      <c r="G4210" t="s">
        <v>66</v>
      </c>
      <c r="H4210" t="s">
        <v>71</v>
      </c>
      <c r="I4210" t="s">
        <v>28</v>
      </c>
      <c r="J4210" t="s">
        <v>62</v>
      </c>
      <c r="K4210">
        <v>1215</v>
      </c>
      <c r="L4210">
        <v>20</v>
      </c>
      <c r="M4210">
        <v>11.07</v>
      </c>
      <c r="N4210">
        <v>0</v>
      </c>
      <c r="O4210">
        <v>0</v>
      </c>
      <c r="P4210">
        <f t="shared" si="260"/>
        <v>1.646090534979424E-2</v>
      </c>
      <c r="Q4210">
        <f t="shared" si="260"/>
        <v>0.55349999999999999</v>
      </c>
      <c r="R4210">
        <f t="shared" si="261"/>
        <v>0</v>
      </c>
      <c r="S4210">
        <f t="shared" si="262"/>
        <v>0</v>
      </c>
      <c r="T4210">
        <f t="shared" si="263"/>
        <v>0</v>
      </c>
      <c r="U4210" t="str">
        <f>YEAR('Campaign Data'!$A4210)&amp;"-"&amp;TEXT(MONTH('Campaign Data'!$A4210),"00")</f>
        <v>2026-08</v>
      </c>
    </row>
    <row r="4211" spans="1:21" x14ac:dyDescent="0.25">
      <c r="A4211">
        <v>46252</v>
      </c>
      <c r="B4211" t="s">
        <v>181</v>
      </c>
      <c r="C4211" t="s">
        <v>182</v>
      </c>
      <c r="D4211" t="s">
        <v>32</v>
      </c>
      <c r="E4211" t="s">
        <v>33</v>
      </c>
      <c r="F4211" t="s">
        <v>75</v>
      </c>
      <c r="G4211" t="s">
        <v>59</v>
      </c>
      <c r="H4211" t="s">
        <v>36</v>
      </c>
      <c r="I4211" t="s">
        <v>37</v>
      </c>
      <c r="J4211" t="s">
        <v>38</v>
      </c>
      <c r="K4211">
        <v>3399</v>
      </c>
      <c r="L4211">
        <v>35</v>
      </c>
      <c r="M4211">
        <v>26.4</v>
      </c>
      <c r="N4211">
        <v>0</v>
      </c>
      <c r="O4211">
        <v>0</v>
      </c>
      <c r="P4211">
        <f t="shared" si="260"/>
        <v>1.0297146219476317E-2</v>
      </c>
      <c r="Q4211">
        <f t="shared" si="260"/>
        <v>0.75428571428571423</v>
      </c>
      <c r="R4211">
        <f t="shared" si="261"/>
        <v>0</v>
      </c>
      <c r="S4211">
        <f t="shared" si="262"/>
        <v>0</v>
      </c>
      <c r="T4211">
        <f t="shared" si="263"/>
        <v>0</v>
      </c>
      <c r="U4211" t="str">
        <f>YEAR('Campaign Data'!$A4211)&amp;"-"&amp;TEXT(MONTH('Campaign Data'!$A4211),"00")</f>
        <v>2026-08</v>
      </c>
    </row>
    <row r="4212" spans="1:21" x14ac:dyDescent="0.25">
      <c r="A4212">
        <v>46252</v>
      </c>
      <c r="B4212" t="s">
        <v>63</v>
      </c>
      <c r="C4212" t="s">
        <v>64</v>
      </c>
      <c r="D4212" t="s">
        <v>65</v>
      </c>
      <c r="E4212" t="s">
        <v>24</v>
      </c>
      <c r="F4212" t="s">
        <v>43</v>
      </c>
      <c r="G4212" t="s">
        <v>66</v>
      </c>
      <c r="H4212" t="s">
        <v>27</v>
      </c>
      <c r="I4212" t="s">
        <v>28</v>
      </c>
      <c r="J4212" t="s">
        <v>45</v>
      </c>
      <c r="K4212">
        <v>15800</v>
      </c>
      <c r="L4212">
        <v>195</v>
      </c>
      <c r="M4212">
        <v>269.75</v>
      </c>
      <c r="N4212">
        <v>5</v>
      </c>
      <c r="O4212">
        <v>154.75</v>
      </c>
      <c r="P4212">
        <f t="shared" si="260"/>
        <v>1.2341772151898734E-2</v>
      </c>
      <c r="Q4212">
        <f t="shared" si="260"/>
        <v>1.3833333333333333</v>
      </c>
      <c r="R4212">
        <f t="shared" si="261"/>
        <v>53.95</v>
      </c>
      <c r="S4212">
        <f t="shared" si="262"/>
        <v>0.57367933271547733</v>
      </c>
      <c r="T4212">
        <f t="shared" si="263"/>
        <v>2.564102564102564E-2</v>
      </c>
      <c r="U4212" t="str">
        <f>YEAR('Campaign Data'!$A4212)&amp;"-"&amp;TEXT(MONTH('Campaign Data'!$A4212),"00")</f>
        <v>2026-08</v>
      </c>
    </row>
    <row r="4213" spans="1:21" x14ac:dyDescent="0.25">
      <c r="A4213">
        <v>46252</v>
      </c>
      <c r="B4213" t="s">
        <v>183</v>
      </c>
      <c r="C4213" t="s">
        <v>184</v>
      </c>
      <c r="D4213" t="s">
        <v>23</v>
      </c>
      <c r="E4213" t="s">
        <v>24</v>
      </c>
      <c r="F4213" t="s">
        <v>81</v>
      </c>
      <c r="G4213" t="s">
        <v>185</v>
      </c>
      <c r="H4213" t="s">
        <v>90</v>
      </c>
      <c r="I4213" t="s">
        <v>28</v>
      </c>
      <c r="J4213" t="s">
        <v>87</v>
      </c>
      <c r="K4213">
        <v>2559</v>
      </c>
      <c r="L4213">
        <v>30</v>
      </c>
      <c r="M4213">
        <v>7.62</v>
      </c>
      <c r="N4213">
        <v>2</v>
      </c>
      <c r="O4213">
        <v>10.91</v>
      </c>
      <c r="P4213">
        <f t="shared" si="260"/>
        <v>1.1723329425556858E-2</v>
      </c>
      <c r="Q4213">
        <f t="shared" si="260"/>
        <v>0.254</v>
      </c>
      <c r="R4213">
        <f t="shared" si="261"/>
        <v>3.81</v>
      </c>
      <c r="S4213">
        <f t="shared" si="262"/>
        <v>1.431758530183727</v>
      </c>
      <c r="T4213">
        <f t="shared" si="263"/>
        <v>6.6666666666666666E-2</v>
      </c>
      <c r="U4213" t="str">
        <f>YEAR('Campaign Data'!$A4213)&amp;"-"&amp;TEXT(MONTH('Campaign Data'!$A4213),"00")</f>
        <v>2026-08</v>
      </c>
    </row>
    <row r="4214" spans="1:21" x14ac:dyDescent="0.25">
      <c r="A4214">
        <v>46252</v>
      </c>
      <c r="B4214" t="s">
        <v>183</v>
      </c>
      <c r="C4214" t="s">
        <v>184</v>
      </c>
      <c r="D4214" t="s">
        <v>23</v>
      </c>
      <c r="E4214" t="s">
        <v>24</v>
      </c>
      <c r="F4214" t="s">
        <v>81</v>
      </c>
      <c r="G4214" t="s">
        <v>185</v>
      </c>
      <c r="H4214" t="s">
        <v>27</v>
      </c>
      <c r="I4214" t="s">
        <v>37</v>
      </c>
      <c r="J4214" t="s">
        <v>38</v>
      </c>
      <c r="K4214">
        <v>19471</v>
      </c>
      <c r="L4214">
        <v>175</v>
      </c>
      <c r="M4214">
        <v>245.38</v>
      </c>
      <c r="N4214">
        <v>4</v>
      </c>
      <c r="O4214">
        <v>103.9</v>
      </c>
      <c r="P4214">
        <f t="shared" si="260"/>
        <v>8.9877253351137582E-3</v>
      </c>
      <c r="Q4214">
        <f t="shared" si="260"/>
        <v>1.4021714285714286</v>
      </c>
      <c r="R4214">
        <f t="shared" si="261"/>
        <v>61.344999999999999</v>
      </c>
      <c r="S4214">
        <f t="shared" si="262"/>
        <v>0.42342489200423833</v>
      </c>
      <c r="T4214">
        <f t="shared" si="263"/>
        <v>2.2857142857142857E-2</v>
      </c>
      <c r="U4214" t="str">
        <f>YEAR('Campaign Data'!$A4214)&amp;"-"&amp;TEXT(MONTH('Campaign Data'!$A4214),"00")</f>
        <v>2026-08</v>
      </c>
    </row>
    <row r="4215" spans="1:21" x14ac:dyDescent="0.25">
      <c r="A4215">
        <v>46252</v>
      </c>
      <c r="B4215" t="s">
        <v>163</v>
      </c>
      <c r="C4215" t="s">
        <v>164</v>
      </c>
      <c r="D4215" t="s">
        <v>58</v>
      </c>
      <c r="E4215" t="s">
        <v>42</v>
      </c>
      <c r="F4215" t="s">
        <v>43</v>
      </c>
      <c r="G4215" t="s">
        <v>44</v>
      </c>
      <c r="H4215" t="s">
        <v>27</v>
      </c>
      <c r="I4215" t="s">
        <v>28</v>
      </c>
      <c r="J4215" t="s">
        <v>38</v>
      </c>
      <c r="K4215">
        <v>11487</v>
      </c>
      <c r="L4215">
        <v>71</v>
      </c>
      <c r="M4215">
        <v>516.24</v>
      </c>
      <c r="N4215">
        <v>3</v>
      </c>
      <c r="O4215">
        <v>74.319999999999993</v>
      </c>
      <c r="P4215">
        <f t="shared" si="260"/>
        <v>6.1809001479933836E-3</v>
      </c>
      <c r="Q4215">
        <f t="shared" si="260"/>
        <v>7.2709859154929575</v>
      </c>
      <c r="R4215">
        <f t="shared" si="261"/>
        <v>172.08</v>
      </c>
      <c r="S4215">
        <f t="shared" si="262"/>
        <v>0.14396404772973809</v>
      </c>
      <c r="T4215">
        <f t="shared" si="263"/>
        <v>4.2253521126760563E-2</v>
      </c>
      <c r="U4215" t="str">
        <f>YEAR('Campaign Data'!$A4215)&amp;"-"&amp;TEXT(MONTH('Campaign Data'!$A4215),"00")</f>
        <v>2026-08</v>
      </c>
    </row>
    <row r="4216" spans="1:21" x14ac:dyDescent="0.25">
      <c r="A4216">
        <v>46252</v>
      </c>
      <c r="B4216" t="s">
        <v>78</v>
      </c>
      <c r="C4216" t="s">
        <v>79</v>
      </c>
      <c r="D4216" t="s">
        <v>80</v>
      </c>
      <c r="E4216" t="s">
        <v>24</v>
      </c>
      <c r="F4216" t="s">
        <v>81</v>
      </c>
      <c r="G4216" t="s">
        <v>66</v>
      </c>
      <c r="H4216" t="s">
        <v>27</v>
      </c>
      <c r="I4216" t="s">
        <v>37</v>
      </c>
      <c r="J4216" t="s">
        <v>87</v>
      </c>
      <c r="K4216">
        <v>6792</v>
      </c>
      <c r="L4216">
        <v>76</v>
      </c>
      <c r="M4216">
        <v>92.49</v>
      </c>
      <c r="N4216">
        <v>0</v>
      </c>
      <c r="O4216">
        <v>0</v>
      </c>
      <c r="P4216">
        <f t="shared" si="260"/>
        <v>1.1189634864546525E-2</v>
      </c>
      <c r="Q4216">
        <f t="shared" si="260"/>
        <v>1.2169736842105263</v>
      </c>
      <c r="R4216">
        <f t="shared" si="261"/>
        <v>0</v>
      </c>
      <c r="S4216">
        <f t="shared" si="262"/>
        <v>0</v>
      </c>
      <c r="T4216">
        <f t="shared" si="263"/>
        <v>0</v>
      </c>
      <c r="U4216" t="str">
        <f>YEAR('Campaign Data'!$A4216)&amp;"-"&amp;TEXT(MONTH('Campaign Data'!$A4216),"00")</f>
        <v>2026-08</v>
      </c>
    </row>
    <row r="4217" spans="1:21" x14ac:dyDescent="0.25">
      <c r="A4217">
        <v>46252</v>
      </c>
      <c r="B4217" t="s">
        <v>120</v>
      </c>
      <c r="C4217" t="s">
        <v>121</v>
      </c>
      <c r="D4217" t="s">
        <v>23</v>
      </c>
      <c r="E4217" t="s">
        <v>49</v>
      </c>
      <c r="F4217" t="s">
        <v>75</v>
      </c>
      <c r="G4217" t="s">
        <v>70</v>
      </c>
      <c r="H4217" t="s">
        <v>55</v>
      </c>
      <c r="I4217" t="s">
        <v>37</v>
      </c>
      <c r="J4217" t="s">
        <v>62</v>
      </c>
      <c r="K4217">
        <v>15207</v>
      </c>
      <c r="L4217">
        <v>938</v>
      </c>
      <c r="M4217">
        <v>1148.6500000000001</v>
      </c>
      <c r="N4217">
        <v>102</v>
      </c>
      <c r="O4217">
        <v>3719.43</v>
      </c>
      <c r="P4217">
        <f t="shared" si="260"/>
        <v>6.1682120076280662E-2</v>
      </c>
      <c r="Q4217">
        <f t="shared" si="260"/>
        <v>1.2245735607675907</v>
      </c>
      <c r="R4217">
        <f t="shared" si="261"/>
        <v>11.261274509803922</v>
      </c>
      <c r="S4217">
        <f t="shared" si="262"/>
        <v>3.2380881904844814</v>
      </c>
      <c r="T4217">
        <f t="shared" si="263"/>
        <v>0.10874200426439233</v>
      </c>
      <c r="U4217" t="str">
        <f>YEAR('Campaign Data'!$A4217)&amp;"-"&amp;TEXT(MONTH('Campaign Data'!$A4217),"00")</f>
        <v>2026-08</v>
      </c>
    </row>
    <row r="4218" spans="1:21" x14ac:dyDescent="0.25">
      <c r="A4218">
        <v>46252</v>
      </c>
      <c r="B4218" t="s">
        <v>82</v>
      </c>
      <c r="C4218" t="s">
        <v>83</v>
      </c>
      <c r="D4218" t="s">
        <v>80</v>
      </c>
      <c r="E4218" t="s">
        <v>42</v>
      </c>
      <c r="F4218" t="s">
        <v>34</v>
      </c>
      <c r="G4218" t="s">
        <v>84</v>
      </c>
      <c r="H4218" t="s">
        <v>90</v>
      </c>
      <c r="I4218" t="s">
        <v>37</v>
      </c>
      <c r="J4218" t="s">
        <v>62</v>
      </c>
      <c r="K4218">
        <v>11609</v>
      </c>
      <c r="L4218">
        <v>75</v>
      </c>
      <c r="M4218">
        <v>80.489999999999995</v>
      </c>
      <c r="N4218">
        <v>1</v>
      </c>
      <c r="O4218">
        <v>40.54</v>
      </c>
      <c r="P4218">
        <f t="shared" si="260"/>
        <v>6.4605047807735376E-3</v>
      </c>
      <c r="Q4218">
        <f t="shared" si="260"/>
        <v>1.0731999999999999</v>
      </c>
      <c r="R4218">
        <f t="shared" si="261"/>
        <v>80.489999999999995</v>
      </c>
      <c r="S4218">
        <f t="shared" si="262"/>
        <v>0.50366505155919994</v>
      </c>
      <c r="T4218">
        <f t="shared" si="263"/>
        <v>1.3333333333333334E-2</v>
      </c>
      <c r="U4218" t="str">
        <f>YEAR('Campaign Data'!$A4218)&amp;"-"&amp;TEXT(MONTH('Campaign Data'!$A4218),"00")</f>
        <v>2026-08</v>
      </c>
    </row>
    <row r="4219" spans="1:21" x14ac:dyDescent="0.25">
      <c r="A4219">
        <v>46253</v>
      </c>
      <c r="B4219" t="s">
        <v>88</v>
      </c>
      <c r="C4219" t="s">
        <v>89</v>
      </c>
      <c r="D4219" t="s">
        <v>23</v>
      </c>
      <c r="E4219" t="s">
        <v>49</v>
      </c>
      <c r="F4219" t="s">
        <v>81</v>
      </c>
      <c r="G4219" t="s">
        <v>50</v>
      </c>
      <c r="H4219" t="s">
        <v>27</v>
      </c>
      <c r="I4219" t="s">
        <v>37</v>
      </c>
      <c r="J4219" t="s">
        <v>29</v>
      </c>
      <c r="K4219">
        <v>5171</v>
      </c>
      <c r="L4219">
        <v>265</v>
      </c>
      <c r="M4219">
        <v>582.82000000000005</v>
      </c>
      <c r="N4219">
        <v>14</v>
      </c>
      <c r="O4219">
        <v>375.93</v>
      </c>
      <c r="P4219">
        <f t="shared" si="260"/>
        <v>5.1247340939856896E-2</v>
      </c>
      <c r="Q4219">
        <f t="shared" si="260"/>
        <v>2.1993207547169815</v>
      </c>
      <c r="R4219">
        <f t="shared" si="261"/>
        <v>41.63</v>
      </c>
      <c r="S4219">
        <f t="shared" si="262"/>
        <v>0.64501904533132004</v>
      </c>
      <c r="T4219">
        <f t="shared" si="263"/>
        <v>5.2830188679245285E-2</v>
      </c>
      <c r="U4219" t="str">
        <f>YEAR('Campaign Data'!$A4219)&amp;"-"&amp;TEXT(MONTH('Campaign Data'!$A4219),"00")</f>
        <v>2026-08</v>
      </c>
    </row>
    <row r="4220" spans="1:21" x14ac:dyDescent="0.25">
      <c r="A4220">
        <v>46253</v>
      </c>
      <c r="B4220" t="s">
        <v>138</v>
      </c>
      <c r="C4220" t="s">
        <v>139</v>
      </c>
      <c r="D4220" t="s">
        <v>58</v>
      </c>
      <c r="E4220" t="s">
        <v>74</v>
      </c>
      <c r="F4220" t="s">
        <v>34</v>
      </c>
      <c r="G4220" t="s">
        <v>9</v>
      </c>
      <c r="H4220" t="s">
        <v>90</v>
      </c>
      <c r="I4220" t="s">
        <v>37</v>
      </c>
      <c r="J4220" t="s">
        <v>62</v>
      </c>
      <c r="K4220">
        <v>4299</v>
      </c>
      <c r="L4220">
        <v>187</v>
      </c>
      <c r="M4220">
        <v>52.81</v>
      </c>
      <c r="N4220">
        <v>9</v>
      </c>
      <c r="O4220">
        <v>191.57</v>
      </c>
      <c r="P4220">
        <f t="shared" si="260"/>
        <v>4.3498488020469878E-2</v>
      </c>
      <c r="Q4220">
        <f t="shared" si="260"/>
        <v>0.28240641711229947</v>
      </c>
      <c r="R4220">
        <f t="shared" si="261"/>
        <v>5.8677777777777784</v>
      </c>
      <c r="S4220">
        <f t="shared" si="262"/>
        <v>3.6275326642681307</v>
      </c>
      <c r="T4220">
        <f t="shared" si="263"/>
        <v>4.8128342245989303E-2</v>
      </c>
      <c r="U4220" t="str">
        <f>YEAR('Campaign Data'!$A4220)&amp;"-"&amp;TEXT(MONTH('Campaign Data'!$A4220),"00")</f>
        <v>2026-08</v>
      </c>
    </row>
    <row r="4221" spans="1:21" x14ac:dyDescent="0.25">
      <c r="A4221">
        <v>46253</v>
      </c>
      <c r="B4221" t="s">
        <v>149</v>
      </c>
      <c r="C4221" t="s">
        <v>150</v>
      </c>
      <c r="D4221" t="s">
        <v>65</v>
      </c>
      <c r="E4221" t="s">
        <v>33</v>
      </c>
      <c r="F4221" t="s">
        <v>43</v>
      </c>
      <c r="G4221" t="s">
        <v>59</v>
      </c>
      <c r="H4221" t="s">
        <v>27</v>
      </c>
      <c r="I4221" t="s">
        <v>37</v>
      </c>
      <c r="J4221" t="s">
        <v>29</v>
      </c>
      <c r="K4221">
        <v>11221</v>
      </c>
      <c r="L4221">
        <v>77</v>
      </c>
      <c r="M4221">
        <v>82.16</v>
      </c>
      <c r="N4221">
        <v>1</v>
      </c>
      <c r="O4221">
        <v>34.68</v>
      </c>
      <c r="P4221">
        <f t="shared" si="260"/>
        <v>6.8621334996880846E-3</v>
      </c>
      <c r="Q4221">
        <f t="shared" si="260"/>
        <v>1.067012987012987</v>
      </c>
      <c r="R4221">
        <f t="shared" si="261"/>
        <v>82.16</v>
      </c>
      <c r="S4221">
        <f t="shared" si="262"/>
        <v>0.42210321324245376</v>
      </c>
      <c r="T4221">
        <f t="shared" si="263"/>
        <v>1.2987012987012988E-2</v>
      </c>
      <c r="U4221" t="str">
        <f>YEAR('Campaign Data'!$A4221)&amp;"-"&amp;TEXT(MONTH('Campaign Data'!$A4221),"00")</f>
        <v>2026-08</v>
      </c>
    </row>
    <row r="4222" spans="1:21" x14ac:dyDescent="0.25">
      <c r="A4222">
        <v>46253</v>
      </c>
      <c r="B4222" t="s">
        <v>186</v>
      </c>
      <c r="C4222" t="s">
        <v>187</v>
      </c>
      <c r="D4222" t="s">
        <v>80</v>
      </c>
      <c r="E4222" t="s">
        <v>33</v>
      </c>
      <c r="F4222" t="s">
        <v>43</v>
      </c>
      <c r="G4222" t="s">
        <v>102</v>
      </c>
      <c r="H4222" t="s">
        <v>60</v>
      </c>
      <c r="I4222" t="s">
        <v>37</v>
      </c>
      <c r="J4222" t="s">
        <v>45</v>
      </c>
      <c r="K4222">
        <v>6589</v>
      </c>
      <c r="L4222">
        <v>81</v>
      </c>
      <c r="M4222">
        <v>38.29</v>
      </c>
      <c r="N4222">
        <v>1</v>
      </c>
      <c r="O4222">
        <v>14.74</v>
      </c>
      <c r="P4222">
        <f t="shared" si="260"/>
        <v>1.2293215966003947E-2</v>
      </c>
      <c r="Q4222">
        <f t="shared" si="260"/>
        <v>0.47271604938271605</v>
      </c>
      <c r="R4222">
        <f t="shared" si="261"/>
        <v>38.29</v>
      </c>
      <c r="S4222">
        <f t="shared" si="262"/>
        <v>0.38495690780882741</v>
      </c>
      <c r="T4222">
        <f t="shared" si="263"/>
        <v>1.2345679012345678E-2</v>
      </c>
      <c r="U4222" t="str">
        <f>YEAR('Campaign Data'!$A4222)&amp;"-"&amp;TEXT(MONTH('Campaign Data'!$A4222),"00")</f>
        <v>2026-08</v>
      </c>
    </row>
    <row r="4223" spans="1:21" x14ac:dyDescent="0.25">
      <c r="A4223">
        <v>46253</v>
      </c>
      <c r="B4223" t="s">
        <v>95</v>
      </c>
      <c r="C4223" t="s">
        <v>96</v>
      </c>
      <c r="D4223" t="s">
        <v>23</v>
      </c>
      <c r="E4223" t="s">
        <v>49</v>
      </c>
      <c r="F4223" t="s">
        <v>43</v>
      </c>
      <c r="G4223" t="s">
        <v>97</v>
      </c>
      <c r="H4223" t="s">
        <v>71</v>
      </c>
      <c r="I4223" t="s">
        <v>28</v>
      </c>
      <c r="J4223" t="s">
        <v>38</v>
      </c>
      <c r="K4223">
        <v>5785</v>
      </c>
      <c r="L4223">
        <v>341</v>
      </c>
      <c r="M4223">
        <v>740.56</v>
      </c>
      <c r="N4223">
        <v>19</v>
      </c>
      <c r="O4223">
        <v>293.2</v>
      </c>
      <c r="P4223">
        <f t="shared" si="260"/>
        <v>5.8945548833189282E-2</v>
      </c>
      <c r="Q4223">
        <f t="shared" si="260"/>
        <v>2.1717302052785921</v>
      </c>
      <c r="R4223">
        <f t="shared" si="261"/>
        <v>38.976842105263152</v>
      </c>
      <c r="S4223">
        <f t="shared" si="262"/>
        <v>0.39591660365129094</v>
      </c>
      <c r="T4223">
        <f t="shared" si="263"/>
        <v>5.5718475073313782E-2</v>
      </c>
      <c r="U4223" t="str">
        <f>YEAR('Campaign Data'!$A4223)&amp;"-"&amp;TEXT(MONTH('Campaign Data'!$A4223),"00")</f>
        <v>2026-08</v>
      </c>
    </row>
    <row r="4224" spans="1:21" x14ac:dyDescent="0.25">
      <c r="A4224">
        <v>46253</v>
      </c>
      <c r="B4224" t="s">
        <v>30</v>
      </c>
      <c r="C4224" t="s">
        <v>31</v>
      </c>
      <c r="D4224" t="s">
        <v>32</v>
      </c>
      <c r="E4224" t="s">
        <v>33</v>
      </c>
      <c r="F4224" t="s">
        <v>34</v>
      </c>
      <c r="G4224" t="s">
        <v>35</v>
      </c>
      <c r="H4224" t="s">
        <v>90</v>
      </c>
      <c r="I4224" t="s">
        <v>37</v>
      </c>
      <c r="J4224" t="s">
        <v>45</v>
      </c>
      <c r="K4224">
        <v>4128</v>
      </c>
      <c r="L4224">
        <v>25</v>
      </c>
      <c r="M4224">
        <v>3.46</v>
      </c>
      <c r="N4224">
        <v>0</v>
      </c>
      <c r="O4224">
        <v>0</v>
      </c>
      <c r="P4224">
        <f t="shared" si="260"/>
        <v>6.0562015503875972E-3</v>
      </c>
      <c r="Q4224">
        <f t="shared" si="260"/>
        <v>0.1384</v>
      </c>
      <c r="R4224">
        <f t="shared" si="261"/>
        <v>0</v>
      </c>
      <c r="S4224">
        <f t="shared" si="262"/>
        <v>0</v>
      </c>
      <c r="T4224">
        <f t="shared" si="263"/>
        <v>0</v>
      </c>
      <c r="U4224" t="str">
        <f>YEAR('Campaign Data'!$A4224)&amp;"-"&amp;TEXT(MONTH('Campaign Data'!$A4224),"00")</f>
        <v>2026-08</v>
      </c>
    </row>
    <row r="4225" spans="1:21" x14ac:dyDescent="0.25">
      <c r="A4225">
        <v>46253</v>
      </c>
      <c r="B4225" t="s">
        <v>39</v>
      </c>
      <c r="C4225" t="s">
        <v>40</v>
      </c>
      <c r="D4225" t="s">
        <v>41</v>
      </c>
      <c r="E4225" t="s">
        <v>42</v>
      </c>
      <c r="F4225" t="s">
        <v>43</v>
      </c>
      <c r="G4225" t="s">
        <v>44</v>
      </c>
      <c r="H4225" t="s">
        <v>90</v>
      </c>
      <c r="I4225" t="s">
        <v>37</v>
      </c>
      <c r="J4225" t="s">
        <v>62</v>
      </c>
      <c r="K4225">
        <v>4057</v>
      </c>
      <c r="L4225">
        <v>12</v>
      </c>
      <c r="M4225">
        <v>18.010000000000002</v>
      </c>
      <c r="N4225">
        <v>1</v>
      </c>
      <c r="O4225">
        <v>8.7100000000000009</v>
      </c>
      <c r="P4225">
        <f t="shared" si="260"/>
        <v>2.9578506285432584E-3</v>
      </c>
      <c r="Q4225">
        <f t="shared" si="260"/>
        <v>1.5008333333333335</v>
      </c>
      <c r="R4225">
        <f t="shared" si="261"/>
        <v>18.010000000000002</v>
      </c>
      <c r="S4225">
        <f t="shared" si="262"/>
        <v>0.4836202109938923</v>
      </c>
      <c r="T4225">
        <f t="shared" si="263"/>
        <v>8.3333333333333329E-2</v>
      </c>
      <c r="U4225" t="str">
        <f>YEAR('Campaign Data'!$A4225)&amp;"-"&amp;TEXT(MONTH('Campaign Data'!$A4225),"00")</f>
        <v>2026-08</v>
      </c>
    </row>
    <row r="4226" spans="1:21" x14ac:dyDescent="0.25">
      <c r="A4226">
        <v>46253</v>
      </c>
      <c r="B4226" t="s">
        <v>98</v>
      </c>
      <c r="C4226" t="s">
        <v>99</v>
      </c>
      <c r="D4226" t="s">
        <v>69</v>
      </c>
      <c r="E4226" t="s">
        <v>24</v>
      </c>
      <c r="F4226" t="s">
        <v>75</v>
      </c>
      <c r="G4226" t="s">
        <v>66</v>
      </c>
      <c r="H4226" t="s">
        <v>71</v>
      </c>
      <c r="I4226" t="s">
        <v>28</v>
      </c>
      <c r="J4226" t="s">
        <v>29</v>
      </c>
      <c r="K4226">
        <v>5693</v>
      </c>
      <c r="L4226">
        <v>83</v>
      </c>
      <c r="M4226">
        <v>52.74</v>
      </c>
      <c r="N4226">
        <v>0</v>
      </c>
      <c r="O4226">
        <v>0</v>
      </c>
      <c r="P4226">
        <f t="shared" ref="P4226:Q4289" si="264">IF(K4226=0,0,L4226/K4226)</f>
        <v>1.4579307922009486E-2</v>
      </c>
      <c r="Q4226">
        <f t="shared" si="264"/>
        <v>0.63542168674698796</v>
      </c>
      <c r="R4226">
        <f t="shared" ref="R4226:R4289" si="265">IF(N4226=0,0,M4226/N4226)</f>
        <v>0</v>
      </c>
      <c r="S4226">
        <f t="shared" ref="S4226:S4289" si="266">IF(M4226=0,0,O4226/M4226)</f>
        <v>0</v>
      </c>
      <c r="T4226">
        <f t="shared" ref="T4226:T4289" si="267">IF(L4226=0,0,N4226/L4226)</f>
        <v>0</v>
      </c>
      <c r="U4226" t="str">
        <f>YEAR('Campaign Data'!$A4226)&amp;"-"&amp;TEXT(MONTH('Campaign Data'!$A4226),"00")</f>
        <v>2026-08</v>
      </c>
    </row>
    <row r="4227" spans="1:21" x14ac:dyDescent="0.25">
      <c r="A4227">
        <v>46253</v>
      </c>
      <c r="B4227" t="s">
        <v>100</v>
      </c>
      <c r="C4227" t="s">
        <v>101</v>
      </c>
      <c r="D4227" t="s">
        <v>80</v>
      </c>
      <c r="E4227" t="s">
        <v>33</v>
      </c>
      <c r="F4227" t="s">
        <v>25</v>
      </c>
      <c r="G4227" t="s">
        <v>102</v>
      </c>
      <c r="H4227" t="s">
        <v>51</v>
      </c>
      <c r="I4227" t="s">
        <v>37</v>
      </c>
      <c r="J4227" t="s">
        <v>87</v>
      </c>
      <c r="K4227">
        <v>6377</v>
      </c>
      <c r="L4227">
        <v>84</v>
      </c>
      <c r="M4227">
        <v>49.37</v>
      </c>
      <c r="N4227">
        <v>3</v>
      </c>
      <c r="O4227">
        <v>432.68</v>
      </c>
      <c r="P4227">
        <f t="shared" si="264"/>
        <v>1.3172338090010977E-2</v>
      </c>
      <c r="Q4227">
        <f t="shared" si="264"/>
        <v>0.58773809523809517</v>
      </c>
      <c r="R4227">
        <f t="shared" si="265"/>
        <v>16.456666666666667</v>
      </c>
      <c r="S4227">
        <f t="shared" si="266"/>
        <v>8.7640267368847482</v>
      </c>
      <c r="T4227">
        <f t="shared" si="267"/>
        <v>3.5714285714285712E-2</v>
      </c>
      <c r="U4227" t="str">
        <f>YEAR('Campaign Data'!$A4227)&amp;"-"&amp;TEXT(MONTH('Campaign Data'!$A4227),"00")</f>
        <v>2026-08</v>
      </c>
    </row>
    <row r="4228" spans="1:21" x14ac:dyDescent="0.25">
      <c r="A4228">
        <v>46253</v>
      </c>
      <c r="B4228" t="s">
        <v>127</v>
      </c>
      <c r="C4228" t="s">
        <v>128</v>
      </c>
      <c r="D4228" t="s">
        <v>58</v>
      </c>
      <c r="E4228" t="s">
        <v>24</v>
      </c>
      <c r="F4228" t="s">
        <v>81</v>
      </c>
      <c r="G4228" t="s">
        <v>129</v>
      </c>
      <c r="H4228" t="s">
        <v>71</v>
      </c>
      <c r="I4228" t="s">
        <v>37</v>
      </c>
      <c r="J4228" t="s">
        <v>45</v>
      </c>
      <c r="K4228">
        <v>5342</v>
      </c>
      <c r="L4228">
        <v>81</v>
      </c>
      <c r="M4228">
        <v>85.28</v>
      </c>
      <c r="N4228">
        <v>0</v>
      </c>
      <c r="O4228">
        <v>0</v>
      </c>
      <c r="P4228">
        <f t="shared" si="264"/>
        <v>1.5162860351928117E-2</v>
      </c>
      <c r="Q4228">
        <f t="shared" si="264"/>
        <v>1.0528395061728395</v>
      </c>
      <c r="R4228">
        <f t="shared" si="265"/>
        <v>0</v>
      </c>
      <c r="S4228">
        <f t="shared" si="266"/>
        <v>0</v>
      </c>
      <c r="T4228">
        <f t="shared" si="267"/>
        <v>0</v>
      </c>
      <c r="U4228" t="str">
        <f>YEAR('Campaign Data'!$A4228)&amp;"-"&amp;TEXT(MONTH('Campaign Data'!$A4228),"00")</f>
        <v>2026-08</v>
      </c>
    </row>
    <row r="4229" spans="1:21" x14ac:dyDescent="0.25">
      <c r="A4229">
        <v>46253</v>
      </c>
      <c r="B4229" t="s">
        <v>105</v>
      </c>
      <c r="C4229" t="s">
        <v>106</v>
      </c>
      <c r="D4229" t="s">
        <v>58</v>
      </c>
      <c r="E4229" t="s">
        <v>49</v>
      </c>
      <c r="F4229" t="s">
        <v>81</v>
      </c>
      <c r="G4229" t="s">
        <v>107</v>
      </c>
      <c r="H4229" t="s">
        <v>51</v>
      </c>
      <c r="I4229" t="s">
        <v>28</v>
      </c>
      <c r="J4229" t="s">
        <v>29</v>
      </c>
      <c r="K4229">
        <v>14150</v>
      </c>
      <c r="L4229">
        <v>502</v>
      </c>
      <c r="M4229">
        <v>925.83</v>
      </c>
      <c r="N4229">
        <v>31</v>
      </c>
      <c r="O4229">
        <v>836.65</v>
      </c>
      <c r="P4229">
        <f t="shared" si="264"/>
        <v>3.547703180212014E-2</v>
      </c>
      <c r="Q4229">
        <f t="shared" si="264"/>
        <v>1.8442828685258965</v>
      </c>
      <c r="R4229">
        <f t="shared" si="265"/>
        <v>29.865483870967743</v>
      </c>
      <c r="S4229">
        <f t="shared" si="266"/>
        <v>0.90367562079431418</v>
      </c>
      <c r="T4229">
        <f t="shared" si="267"/>
        <v>6.1752988047808766E-2</v>
      </c>
      <c r="U4229" t="str">
        <f>YEAR('Campaign Data'!$A4229)&amp;"-"&amp;TEXT(MONTH('Campaign Data'!$A4229),"00")</f>
        <v>2026-08</v>
      </c>
    </row>
    <row r="4230" spans="1:21" x14ac:dyDescent="0.25">
      <c r="A4230">
        <v>46253</v>
      </c>
      <c r="B4230" t="s">
        <v>108</v>
      </c>
      <c r="C4230" t="s">
        <v>109</v>
      </c>
      <c r="D4230" t="s">
        <v>58</v>
      </c>
      <c r="E4230" t="s">
        <v>33</v>
      </c>
      <c r="F4230" t="s">
        <v>43</v>
      </c>
      <c r="G4230" t="s">
        <v>59</v>
      </c>
      <c r="H4230" t="s">
        <v>90</v>
      </c>
      <c r="I4230" t="s">
        <v>28</v>
      </c>
      <c r="J4230" t="s">
        <v>45</v>
      </c>
      <c r="K4230">
        <v>3042</v>
      </c>
      <c r="L4230">
        <v>34</v>
      </c>
      <c r="M4230">
        <v>6.8</v>
      </c>
      <c r="N4230">
        <v>1</v>
      </c>
      <c r="O4230">
        <v>5</v>
      </c>
      <c r="P4230">
        <f t="shared" si="264"/>
        <v>1.1176857330703484E-2</v>
      </c>
      <c r="Q4230">
        <f t="shared" si="264"/>
        <v>0.19999999999999998</v>
      </c>
      <c r="R4230">
        <f t="shared" si="265"/>
        <v>6.8</v>
      </c>
      <c r="S4230">
        <f t="shared" si="266"/>
        <v>0.73529411764705888</v>
      </c>
      <c r="T4230">
        <f t="shared" si="267"/>
        <v>2.9411764705882353E-2</v>
      </c>
      <c r="U4230" t="str">
        <f>YEAR('Campaign Data'!$A4230)&amp;"-"&amp;TEXT(MONTH('Campaign Data'!$A4230),"00")</f>
        <v>2026-08</v>
      </c>
    </row>
    <row r="4231" spans="1:21" x14ac:dyDescent="0.25">
      <c r="A4231">
        <v>46253</v>
      </c>
      <c r="B4231" t="s">
        <v>108</v>
      </c>
      <c r="C4231" t="s">
        <v>109</v>
      </c>
      <c r="D4231" t="s">
        <v>58</v>
      </c>
      <c r="E4231" t="s">
        <v>33</v>
      </c>
      <c r="F4231" t="s">
        <v>43</v>
      </c>
      <c r="G4231" t="s">
        <v>59</v>
      </c>
      <c r="H4231" t="s">
        <v>27</v>
      </c>
      <c r="I4231" t="s">
        <v>28</v>
      </c>
      <c r="J4231" t="s">
        <v>29</v>
      </c>
      <c r="K4231">
        <v>6261</v>
      </c>
      <c r="L4231">
        <v>31</v>
      </c>
      <c r="M4231">
        <v>25.05</v>
      </c>
      <c r="N4231">
        <v>0</v>
      </c>
      <c r="O4231">
        <v>0</v>
      </c>
      <c r="P4231">
        <f t="shared" si="264"/>
        <v>4.9512857371026989E-3</v>
      </c>
      <c r="Q4231">
        <f t="shared" si="264"/>
        <v>0.8080645161290323</v>
      </c>
      <c r="R4231">
        <f t="shared" si="265"/>
        <v>0</v>
      </c>
      <c r="S4231">
        <f t="shared" si="266"/>
        <v>0</v>
      </c>
      <c r="T4231">
        <f t="shared" si="267"/>
        <v>0</v>
      </c>
      <c r="U4231" t="str">
        <f>YEAR('Campaign Data'!$A4231)&amp;"-"&amp;TEXT(MONTH('Campaign Data'!$A4231),"00")</f>
        <v>2026-08</v>
      </c>
    </row>
    <row r="4232" spans="1:21" x14ac:dyDescent="0.25">
      <c r="A4232">
        <v>46253</v>
      </c>
      <c r="B4232" t="s">
        <v>130</v>
      </c>
      <c r="C4232" t="s">
        <v>131</v>
      </c>
      <c r="D4232" t="s">
        <v>48</v>
      </c>
      <c r="E4232" t="s">
        <v>33</v>
      </c>
      <c r="F4232" t="s">
        <v>34</v>
      </c>
      <c r="G4232" t="s">
        <v>35</v>
      </c>
      <c r="H4232" t="s">
        <v>27</v>
      </c>
      <c r="I4232" t="s">
        <v>37</v>
      </c>
      <c r="J4232" t="s">
        <v>38</v>
      </c>
      <c r="K4232">
        <v>4506</v>
      </c>
      <c r="L4232">
        <v>47</v>
      </c>
      <c r="M4232">
        <v>46.15</v>
      </c>
      <c r="N4232">
        <v>0</v>
      </c>
      <c r="O4232">
        <v>0</v>
      </c>
      <c r="P4232">
        <f t="shared" si="264"/>
        <v>1.0430537061695517E-2</v>
      </c>
      <c r="Q4232">
        <f t="shared" si="264"/>
        <v>0.98191489361702122</v>
      </c>
      <c r="R4232">
        <f t="shared" si="265"/>
        <v>0</v>
      </c>
      <c r="S4232">
        <f t="shared" si="266"/>
        <v>0</v>
      </c>
      <c r="T4232">
        <f t="shared" si="267"/>
        <v>0</v>
      </c>
      <c r="U4232" t="str">
        <f>YEAR('Campaign Data'!$A4232)&amp;"-"&amp;TEXT(MONTH('Campaign Data'!$A4232),"00")</f>
        <v>2026-08</v>
      </c>
    </row>
    <row r="4233" spans="1:21" x14ac:dyDescent="0.25">
      <c r="A4233">
        <v>46253</v>
      </c>
      <c r="B4233" t="s">
        <v>132</v>
      </c>
      <c r="C4233" t="s">
        <v>133</v>
      </c>
      <c r="D4233" t="s">
        <v>23</v>
      </c>
      <c r="E4233" t="s">
        <v>42</v>
      </c>
      <c r="F4233" t="s">
        <v>75</v>
      </c>
      <c r="G4233" t="s">
        <v>84</v>
      </c>
      <c r="H4233" t="s">
        <v>51</v>
      </c>
      <c r="I4233" t="s">
        <v>37</v>
      </c>
      <c r="J4233" t="s">
        <v>45</v>
      </c>
      <c r="K4233">
        <v>1755</v>
      </c>
      <c r="L4233">
        <v>10</v>
      </c>
      <c r="M4233">
        <v>62.94</v>
      </c>
      <c r="N4233">
        <v>0</v>
      </c>
      <c r="O4233">
        <v>0</v>
      </c>
      <c r="P4233">
        <f t="shared" si="264"/>
        <v>5.6980056980056983E-3</v>
      </c>
      <c r="Q4233">
        <f t="shared" si="264"/>
        <v>6.2939999999999996</v>
      </c>
      <c r="R4233">
        <f t="shared" si="265"/>
        <v>0</v>
      </c>
      <c r="S4233">
        <f t="shared" si="266"/>
        <v>0</v>
      </c>
      <c r="T4233">
        <f t="shared" si="267"/>
        <v>0</v>
      </c>
      <c r="U4233" t="str">
        <f>YEAR('Campaign Data'!$A4233)&amp;"-"&amp;TEXT(MONTH('Campaign Data'!$A4233),"00")</f>
        <v>2026-08</v>
      </c>
    </row>
    <row r="4234" spans="1:21" x14ac:dyDescent="0.25">
      <c r="A4234">
        <v>46253</v>
      </c>
      <c r="B4234" t="s">
        <v>171</v>
      </c>
      <c r="C4234" t="s">
        <v>172</v>
      </c>
      <c r="D4234" t="s">
        <v>23</v>
      </c>
      <c r="E4234" t="s">
        <v>33</v>
      </c>
      <c r="F4234" t="s">
        <v>75</v>
      </c>
      <c r="G4234" t="s">
        <v>59</v>
      </c>
      <c r="H4234" t="s">
        <v>27</v>
      </c>
      <c r="I4234" t="s">
        <v>37</v>
      </c>
      <c r="J4234" t="s">
        <v>62</v>
      </c>
      <c r="K4234">
        <v>3910</v>
      </c>
      <c r="L4234">
        <v>22</v>
      </c>
      <c r="M4234">
        <v>13.64</v>
      </c>
      <c r="N4234">
        <v>0</v>
      </c>
      <c r="O4234">
        <v>0</v>
      </c>
      <c r="P4234">
        <f t="shared" si="264"/>
        <v>5.6265984654731462E-3</v>
      </c>
      <c r="Q4234">
        <f t="shared" si="264"/>
        <v>0.62</v>
      </c>
      <c r="R4234">
        <f t="shared" si="265"/>
        <v>0</v>
      </c>
      <c r="S4234">
        <f t="shared" si="266"/>
        <v>0</v>
      </c>
      <c r="T4234">
        <f t="shared" si="267"/>
        <v>0</v>
      </c>
      <c r="U4234" t="str">
        <f>YEAR('Campaign Data'!$A4234)&amp;"-"&amp;TEXT(MONTH('Campaign Data'!$A4234),"00")</f>
        <v>2026-08</v>
      </c>
    </row>
    <row r="4235" spans="1:21" x14ac:dyDescent="0.25">
      <c r="A4235">
        <v>46253</v>
      </c>
      <c r="B4235" t="s">
        <v>110</v>
      </c>
      <c r="C4235" t="s">
        <v>111</v>
      </c>
      <c r="D4235" t="s">
        <v>23</v>
      </c>
      <c r="E4235" t="s">
        <v>49</v>
      </c>
      <c r="F4235" t="s">
        <v>34</v>
      </c>
      <c r="G4235" t="s">
        <v>50</v>
      </c>
      <c r="H4235" t="s">
        <v>36</v>
      </c>
      <c r="I4235" t="s">
        <v>28</v>
      </c>
      <c r="J4235" t="s">
        <v>87</v>
      </c>
      <c r="K4235">
        <v>4415</v>
      </c>
      <c r="L4235">
        <v>206</v>
      </c>
      <c r="M4235">
        <v>337.38</v>
      </c>
      <c r="N4235">
        <v>6</v>
      </c>
      <c r="O4235">
        <v>869.89</v>
      </c>
      <c r="P4235">
        <f t="shared" si="264"/>
        <v>4.6659116647791619E-2</v>
      </c>
      <c r="Q4235">
        <f t="shared" si="264"/>
        <v>1.6377669902912622</v>
      </c>
      <c r="R4235">
        <f t="shared" si="265"/>
        <v>56.23</v>
      </c>
      <c r="S4235">
        <f t="shared" si="266"/>
        <v>2.5783686051336772</v>
      </c>
      <c r="T4235">
        <f t="shared" si="267"/>
        <v>2.9126213592233011E-2</v>
      </c>
      <c r="U4235" t="str">
        <f>YEAR('Campaign Data'!$A4235)&amp;"-"&amp;TEXT(MONTH('Campaign Data'!$A4235),"00")</f>
        <v>2026-08</v>
      </c>
    </row>
    <row r="4236" spans="1:21" x14ac:dyDescent="0.25">
      <c r="A4236">
        <v>46253</v>
      </c>
      <c r="B4236" t="s">
        <v>112</v>
      </c>
      <c r="C4236" t="s">
        <v>113</v>
      </c>
      <c r="D4236" t="s">
        <v>32</v>
      </c>
      <c r="E4236" t="s">
        <v>24</v>
      </c>
      <c r="F4236" t="s">
        <v>75</v>
      </c>
      <c r="G4236" t="s">
        <v>66</v>
      </c>
      <c r="H4236" t="s">
        <v>60</v>
      </c>
      <c r="I4236" t="s">
        <v>37</v>
      </c>
      <c r="J4236" t="s">
        <v>62</v>
      </c>
      <c r="K4236">
        <v>2712</v>
      </c>
      <c r="L4236">
        <v>15</v>
      </c>
      <c r="M4236">
        <v>12.3</v>
      </c>
      <c r="N4236">
        <v>1</v>
      </c>
      <c r="O4236">
        <v>36.17</v>
      </c>
      <c r="P4236">
        <f t="shared" si="264"/>
        <v>5.5309734513274336E-3</v>
      </c>
      <c r="Q4236">
        <f t="shared" si="264"/>
        <v>0.82000000000000006</v>
      </c>
      <c r="R4236">
        <f t="shared" si="265"/>
        <v>12.3</v>
      </c>
      <c r="S4236">
        <f t="shared" si="266"/>
        <v>2.9406504065040648</v>
      </c>
      <c r="T4236">
        <f t="shared" si="267"/>
        <v>6.6666666666666666E-2</v>
      </c>
      <c r="U4236" t="str">
        <f>YEAR('Campaign Data'!$A4236)&amp;"-"&amp;TEXT(MONTH('Campaign Data'!$A4236),"00")</f>
        <v>2026-08</v>
      </c>
    </row>
    <row r="4237" spans="1:21" x14ac:dyDescent="0.25">
      <c r="A4237">
        <v>46253</v>
      </c>
      <c r="B4237" t="s">
        <v>159</v>
      </c>
      <c r="C4237" t="s">
        <v>160</v>
      </c>
      <c r="D4237" t="s">
        <v>65</v>
      </c>
      <c r="E4237" t="s">
        <v>42</v>
      </c>
      <c r="F4237" t="s">
        <v>75</v>
      </c>
      <c r="G4237" t="s">
        <v>54</v>
      </c>
      <c r="H4237" t="s">
        <v>27</v>
      </c>
      <c r="I4237" t="s">
        <v>28</v>
      </c>
      <c r="J4237" t="s">
        <v>38</v>
      </c>
      <c r="K4237">
        <v>15006</v>
      </c>
      <c r="L4237">
        <v>93</v>
      </c>
      <c r="M4237">
        <v>498.7</v>
      </c>
      <c r="N4237">
        <v>3</v>
      </c>
      <c r="O4237">
        <v>202.63</v>
      </c>
      <c r="P4237">
        <f t="shared" si="264"/>
        <v>6.1975209916033591E-3</v>
      </c>
      <c r="Q4237">
        <f t="shared" si="264"/>
        <v>5.3623655913978494</v>
      </c>
      <c r="R4237">
        <f t="shared" si="265"/>
        <v>166.23333333333332</v>
      </c>
      <c r="S4237">
        <f t="shared" si="266"/>
        <v>0.40631642269901747</v>
      </c>
      <c r="T4237">
        <f t="shared" si="267"/>
        <v>3.2258064516129031E-2</v>
      </c>
      <c r="U4237" t="str">
        <f>YEAR('Campaign Data'!$A4237)&amp;"-"&amp;TEXT(MONTH('Campaign Data'!$A4237),"00")</f>
        <v>2026-08</v>
      </c>
    </row>
    <row r="4238" spans="1:21" x14ac:dyDescent="0.25">
      <c r="A4238">
        <v>46253</v>
      </c>
      <c r="B4238" t="s">
        <v>141</v>
      </c>
      <c r="C4238" t="s">
        <v>142</v>
      </c>
      <c r="D4238" t="s">
        <v>80</v>
      </c>
      <c r="E4238" t="s">
        <v>49</v>
      </c>
      <c r="F4238" t="s">
        <v>81</v>
      </c>
      <c r="G4238" t="s">
        <v>97</v>
      </c>
      <c r="H4238" t="s">
        <v>27</v>
      </c>
      <c r="I4238" t="s">
        <v>37</v>
      </c>
      <c r="J4238" t="s">
        <v>62</v>
      </c>
      <c r="K4238">
        <v>2252</v>
      </c>
      <c r="L4238">
        <v>124</v>
      </c>
      <c r="M4238">
        <v>318.57</v>
      </c>
      <c r="N4238">
        <v>8</v>
      </c>
      <c r="O4238">
        <v>205.25</v>
      </c>
      <c r="P4238">
        <f t="shared" si="264"/>
        <v>5.5062166962699825E-2</v>
      </c>
      <c r="Q4238">
        <f t="shared" si="264"/>
        <v>2.5691129032258062</v>
      </c>
      <c r="R4238">
        <f t="shared" si="265"/>
        <v>39.821249999999999</v>
      </c>
      <c r="S4238">
        <f t="shared" si="266"/>
        <v>0.64428540038296134</v>
      </c>
      <c r="T4238">
        <f t="shared" si="267"/>
        <v>6.4516129032258063E-2</v>
      </c>
      <c r="U4238" t="str">
        <f>YEAR('Campaign Data'!$A4238)&amp;"-"&amp;TEXT(MONTH('Campaign Data'!$A4238),"00")</f>
        <v>2026-08</v>
      </c>
    </row>
    <row r="4239" spans="1:21" x14ac:dyDescent="0.25">
      <c r="A4239">
        <v>46253</v>
      </c>
      <c r="B4239" t="s">
        <v>143</v>
      </c>
      <c r="C4239" t="s">
        <v>144</v>
      </c>
      <c r="D4239" t="s">
        <v>48</v>
      </c>
      <c r="E4239" t="s">
        <v>42</v>
      </c>
      <c r="F4239" t="s">
        <v>25</v>
      </c>
      <c r="G4239" t="s">
        <v>84</v>
      </c>
      <c r="H4239" t="s">
        <v>90</v>
      </c>
      <c r="I4239" t="s">
        <v>28</v>
      </c>
      <c r="J4239" t="s">
        <v>45</v>
      </c>
      <c r="K4239">
        <v>3368</v>
      </c>
      <c r="L4239">
        <v>11</v>
      </c>
      <c r="M4239">
        <v>21.69</v>
      </c>
      <c r="N4239">
        <v>0</v>
      </c>
      <c r="O4239">
        <v>0</v>
      </c>
      <c r="P4239">
        <f t="shared" si="264"/>
        <v>3.2660332541567696E-3</v>
      </c>
      <c r="Q4239">
        <f t="shared" si="264"/>
        <v>1.9718181818181819</v>
      </c>
      <c r="R4239">
        <f t="shared" si="265"/>
        <v>0</v>
      </c>
      <c r="S4239">
        <f t="shared" si="266"/>
        <v>0</v>
      </c>
      <c r="T4239">
        <f t="shared" si="267"/>
        <v>0</v>
      </c>
      <c r="U4239" t="str">
        <f>YEAR('Campaign Data'!$A4239)&amp;"-"&amp;TEXT(MONTH('Campaign Data'!$A4239),"00")</f>
        <v>2026-08</v>
      </c>
    </row>
    <row r="4240" spans="1:21" x14ac:dyDescent="0.25">
      <c r="A4240">
        <v>46253</v>
      </c>
      <c r="B4240" t="s">
        <v>72</v>
      </c>
      <c r="C4240" t="s">
        <v>73</v>
      </c>
      <c r="D4240" t="s">
        <v>69</v>
      </c>
      <c r="E4240" t="s">
        <v>74</v>
      </c>
      <c r="F4240" t="s">
        <v>75</v>
      </c>
      <c r="G4240" t="s">
        <v>9</v>
      </c>
      <c r="H4240" t="s">
        <v>51</v>
      </c>
      <c r="I4240" t="s">
        <v>37</v>
      </c>
      <c r="J4240" t="s">
        <v>45</v>
      </c>
      <c r="K4240">
        <v>2938</v>
      </c>
      <c r="L4240">
        <v>134</v>
      </c>
      <c r="M4240">
        <v>211.2</v>
      </c>
      <c r="N4240">
        <v>5</v>
      </c>
      <c r="O4240">
        <v>107.22</v>
      </c>
      <c r="P4240">
        <f t="shared" si="264"/>
        <v>4.5609257998638526E-2</v>
      </c>
      <c r="Q4240">
        <f t="shared" si="264"/>
        <v>1.5761194029850745</v>
      </c>
      <c r="R4240">
        <f t="shared" si="265"/>
        <v>42.239999999999995</v>
      </c>
      <c r="S4240">
        <f t="shared" si="266"/>
        <v>0.50767045454545456</v>
      </c>
      <c r="T4240">
        <f t="shared" si="267"/>
        <v>3.7313432835820892E-2</v>
      </c>
      <c r="U4240" t="str">
        <f>YEAR('Campaign Data'!$A4240)&amp;"-"&amp;TEXT(MONTH('Campaign Data'!$A4240),"00")</f>
        <v>2026-08</v>
      </c>
    </row>
    <row r="4241" spans="1:21" x14ac:dyDescent="0.25">
      <c r="A4241">
        <v>46253</v>
      </c>
      <c r="B4241" t="s">
        <v>72</v>
      </c>
      <c r="C4241" t="s">
        <v>73</v>
      </c>
      <c r="D4241" t="s">
        <v>69</v>
      </c>
      <c r="E4241" t="s">
        <v>74</v>
      </c>
      <c r="F4241" t="s">
        <v>75</v>
      </c>
      <c r="G4241" t="s">
        <v>9</v>
      </c>
      <c r="H4241" t="s">
        <v>55</v>
      </c>
      <c r="I4241" t="s">
        <v>28</v>
      </c>
      <c r="J4241" t="s">
        <v>62</v>
      </c>
      <c r="K4241">
        <v>5095</v>
      </c>
      <c r="L4241">
        <v>170</v>
      </c>
      <c r="M4241">
        <v>159.94999999999999</v>
      </c>
      <c r="N4241">
        <v>5</v>
      </c>
      <c r="O4241">
        <v>185.02</v>
      </c>
      <c r="P4241">
        <f t="shared" si="264"/>
        <v>3.3366045142296366E-2</v>
      </c>
      <c r="Q4241">
        <f t="shared" si="264"/>
        <v>0.94088235294117639</v>
      </c>
      <c r="R4241">
        <f t="shared" si="265"/>
        <v>31.99</v>
      </c>
      <c r="S4241">
        <f t="shared" si="266"/>
        <v>1.156736480150047</v>
      </c>
      <c r="T4241">
        <f t="shared" si="267"/>
        <v>2.9411764705882353E-2</v>
      </c>
      <c r="U4241" t="str">
        <f>YEAR('Campaign Data'!$A4241)&amp;"-"&amp;TEXT(MONTH('Campaign Data'!$A4241),"00")</f>
        <v>2026-08</v>
      </c>
    </row>
    <row r="4242" spans="1:21" x14ac:dyDescent="0.25">
      <c r="A4242">
        <v>46253</v>
      </c>
      <c r="B4242" t="s">
        <v>163</v>
      </c>
      <c r="C4242" t="s">
        <v>164</v>
      </c>
      <c r="D4242" t="s">
        <v>58</v>
      </c>
      <c r="E4242" t="s">
        <v>42</v>
      </c>
      <c r="F4242" t="s">
        <v>43</v>
      </c>
      <c r="G4242" t="s">
        <v>44</v>
      </c>
      <c r="H4242" t="s">
        <v>27</v>
      </c>
      <c r="I4242" t="s">
        <v>37</v>
      </c>
      <c r="J4242" t="s">
        <v>45</v>
      </c>
      <c r="K4242">
        <v>3758</v>
      </c>
      <c r="L4242">
        <v>20</v>
      </c>
      <c r="M4242">
        <v>198.04</v>
      </c>
      <c r="N4242">
        <v>0</v>
      </c>
      <c r="O4242">
        <v>0</v>
      </c>
      <c r="P4242">
        <f t="shared" si="264"/>
        <v>5.3219797764768491E-3</v>
      </c>
      <c r="Q4242">
        <f t="shared" si="264"/>
        <v>9.9019999999999992</v>
      </c>
      <c r="R4242">
        <f t="shared" si="265"/>
        <v>0</v>
      </c>
      <c r="S4242">
        <f t="shared" si="266"/>
        <v>0</v>
      </c>
      <c r="T4242">
        <f t="shared" si="267"/>
        <v>0</v>
      </c>
      <c r="U4242" t="str">
        <f>YEAR('Campaign Data'!$A4242)&amp;"-"&amp;TEXT(MONTH('Campaign Data'!$A4242),"00")</f>
        <v>2026-08</v>
      </c>
    </row>
    <row r="4243" spans="1:21" x14ac:dyDescent="0.25">
      <c r="A4243">
        <v>46253</v>
      </c>
      <c r="B4243" t="s">
        <v>76</v>
      </c>
      <c r="C4243" t="s">
        <v>77</v>
      </c>
      <c r="D4243" t="s">
        <v>65</v>
      </c>
      <c r="E4243" t="s">
        <v>42</v>
      </c>
      <c r="F4243" t="s">
        <v>43</v>
      </c>
      <c r="G4243" t="s">
        <v>44</v>
      </c>
      <c r="H4243" t="s">
        <v>90</v>
      </c>
      <c r="I4243" t="s">
        <v>37</v>
      </c>
      <c r="J4243" t="s">
        <v>87</v>
      </c>
      <c r="K4243">
        <v>6911</v>
      </c>
      <c r="L4243">
        <v>34</v>
      </c>
      <c r="M4243">
        <v>50.72</v>
      </c>
      <c r="N4243">
        <v>1</v>
      </c>
      <c r="O4243">
        <v>7.2</v>
      </c>
      <c r="P4243">
        <f t="shared" si="264"/>
        <v>4.9196932426566345E-3</v>
      </c>
      <c r="Q4243">
        <f t="shared" si="264"/>
        <v>1.4917647058823529</v>
      </c>
      <c r="R4243">
        <f t="shared" si="265"/>
        <v>50.72</v>
      </c>
      <c r="S4243">
        <f t="shared" si="266"/>
        <v>0.14195583596214512</v>
      </c>
      <c r="T4243">
        <f t="shared" si="267"/>
        <v>2.9411764705882353E-2</v>
      </c>
      <c r="U4243" t="str">
        <f>YEAR('Campaign Data'!$A4243)&amp;"-"&amp;TEXT(MONTH('Campaign Data'!$A4243),"00")</f>
        <v>2026-08</v>
      </c>
    </row>
    <row r="4244" spans="1:21" x14ac:dyDescent="0.25">
      <c r="A4244">
        <v>46253</v>
      </c>
      <c r="B4244" t="s">
        <v>76</v>
      </c>
      <c r="C4244" t="s">
        <v>77</v>
      </c>
      <c r="D4244" t="s">
        <v>65</v>
      </c>
      <c r="E4244" t="s">
        <v>42</v>
      </c>
      <c r="F4244" t="s">
        <v>43</v>
      </c>
      <c r="G4244" t="s">
        <v>44</v>
      </c>
      <c r="H4244" t="s">
        <v>71</v>
      </c>
      <c r="I4244" t="s">
        <v>37</v>
      </c>
      <c r="J4244" t="s">
        <v>38</v>
      </c>
      <c r="K4244">
        <v>3211</v>
      </c>
      <c r="L4244">
        <v>16</v>
      </c>
      <c r="M4244">
        <v>67.16</v>
      </c>
      <c r="N4244">
        <v>0</v>
      </c>
      <c r="O4244">
        <v>0</v>
      </c>
      <c r="P4244">
        <f t="shared" si="264"/>
        <v>4.9828713796325136E-3</v>
      </c>
      <c r="Q4244">
        <f t="shared" si="264"/>
        <v>4.1974999999999998</v>
      </c>
      <c r="R4244">
        <f t="shared" si="265"/>
        <v>0</v>
      </c>
      <c r="S4244">
        <f t="shared" si="266"/>
        <v>0</v>
      </c>
      <c r="T4244">
        <f t="shared" si="267"/>
        <v>0</v>
      </c>
      <c r="U4244" t="str">
        <f>YEAR('Campaign Data'!$A4244)&amp;"-"&amp;TEXT(MONTH('Campaign Data'!$A4244),"00")</f>
        <v>2026-08</v>
      </c>
    </row>
    <row r="4245" spans="1:21" x14ac:dyDescent="0.25">
      <c r="A4245">
        <v>46254</v>
      </c>
      <c r="B4245" t="s">
        <v>165</v>
      </c>
      <c r="C4245" t="s">
        <v>166</v>
      </c>
      <c r="D4245" t="s">
        <v>41</v>
      </c>
      <c r="E4245" t="s">
        <v>33</v>
      </c>
      <c r="F4245" t="s">
        <v>43</v>
      </c>
      <c r="G4245" t="s">
        <v>59</v>
      </c>
      <c r="H4245" t="s">
        <v>27</v>
      </c>
      <c r="I4245" t="s">
        <v>28</v>
      </c>
      <c r="J4245" t="s">
        <v>87</v>
      </c>
      <c r="K4245">
        <v>8969</v>
      </c>
      <c r="L4245">
        <v>87</v>
      </c>
      <c r="M4245">
        <v>64.31</v>
      </c>
      <c r="N4245">
        <v>3</v>
      </c>
      <c r="O4245">
        <v>48.98</v>
      </c>
      <c r="P4245">
        <f t="shared" si="264"/>
        <v>9.7000780466049725E-3</v>
      </c>
      <c r="Q4245">
        <f t="shared" si="264"/>
        <v>0.73919540229885061</v>
      </c>
      <c r="R4245">
        <f t="shared" si="265"/>
        <v>21.436666666666667</v>
      </c>
      <c r="S4245">
        <f t="shared" si="266"/>
        <v>0.76162338672057217</v>
      </c>
      <c r="T4245">
        <f t="shared" si="267"/>
        <v>3.4482758620689655E-2</v>
      </c>
      <c r="U4245" t="str">
        <f>YEAR('Campaign Data'!$A4245)&amp;"-"&amp;TEXT(MONTH('Campaign Data'!$A4245),"00")</f>
        <v>2026-08</v>
      </c>
    </row>
    <row r="4246" spans="1:21" x14ac:dyDescent="0.25">
      <c r="A4246">
        <v>46254</v>
      </c>
      <c r="B4246" t="s">
        <v>147</v>
      </c>
      <c r="C4246" t="s">
        <v>148</v>
      </c>
      <c r="D4246" t="s">
        <v>23</v>
      </c>
      <c r="E4246" t="s">
        <v>42</v>
      </c>
      <c r="F4246" t="s">
        <v>75</v>
      </c>
      <c r="G4246" t="s">
        <v>44</v>
      </c>
      <c r="H4246" t="s">
        <v>90</v>
      </c>
      <c r="I4246" t="s">
        <v>28</v>
      </c>
      <c r="J4246" t="s">
        <v>38</v>
      </c>
      <c r="K4246">
        <v>2460</v>
      </c>
      <c r="L4246">
        <v>10</v>
      </c>
      <c r="M4246">
        <v>19.059999999999999</v>
      </c>
      <c r="N4246">
        <v>0</v>
      </c>
      <c r="O4246">
        <v>0</v>
      </c>
      <c r="P4246">
        <f t="shared" si="264"/>
        <v>4.0650406504065045E-3</v>
      </c>
      <c r="Q4246">
        <f t="shared" si="264"/>
        <v>1.9059999999999999</v>
      </c>
      <c r="R4246">
        <f t="shared" si="265"/>
        <v>0</v>
      </c>
      <c r="S4246">
        <f t="shared" si="266"/>
        <v>0</v>
      </c>
      <c r="T4246">
        <f t="shared" si="267"/>
        <v>0</v>
      </c>
      <c r="U4246" t="str">
        <f>YEAR('Campaign Data'!$A4246)&amp;"-"&amp;TEXT(MONTH('Campaign Data'!$A4246),"00")</f>
        <v>2026-08</v>
      </c>
    </row>
    <row r="4247" spans="1:21" x14ac:dyDescent="0.25">
      <c r="A4247">
        <v>46254</v>
      </c>
      <c r="B4247" t="s">
        <v>125</v>
      </c>
      <c r="C4247" t="s">
        <v>126</v>
      </c>
      <c r="D4247" t="s">
        <v>41</v>
      </c>
      <c r="E4247" t="s">
        <v>42</v>
      </c>
      <c r="F4247" t="s">
        <v>81</v>
      </c>
      <c r="G4247" t="s">
        <v>44</v>
      </c>
      <c r="H4247" t="s">
        <v>27</v>
      </c>
      <c r="I4247" t="s">
        <v>28</v>
      </c>
      <c r="J4247" t="s">
        <v>38</v>
      </c>
      <c r="K4247">
        <v>13941</v>
      </c>
      <c r="L4247">
        <v>86</v>
      </c>
      <c r="M4247">
        <v>396.41</v>
      </c>
      <c r="N4247">
        <v>0</v>
      </c>
      <c r="O4247">
        <v>0</v>
      </c>
      <c r="P4247">
        <f t="shared" si="264"/>
        <v>6.168854458073309E-3</v>
      </c>
      <c r="Q4247">
        <f t="shared" si="264"/>
        <v>4.6094186046511627</v>
      </c>
      <c r="R4247">
        <f t="shared" si="265"/>
        <v>0</v>
      </c>
      <c r="S4247">
        <f t="shared" si="266"/>
        <v>0</v>
      </c>
      <c r="T4247">
        <f t="shared" si="267"/>
        <v>0</v>
      </c>
      <c r="U4247" t="str">
        <f>YEAR('Campaign Data'!$A4247)&amp;"-"&amp;TEXT(MONTH('Campaign Data'!$A4247),"00")</f>
        <v>2026-08</v>
      </c>
    </row>
    <row r="4248" spans="1:21" x14ac:dyDescent="0.25">
      <c r="A4248">
        <v>46254</v>
      </c>
      <c r="B4248" t="s">
        <v>125</v>
      </c>
      <c r="C4248" t="s">
        <v>126</v>
      </c>
      <c r="D4248" t="s">
        <v>41</v>
      </c>
      <c r="E4248" t="s">
        <v>42</v>
      </c>
      <c r="F4248" t="s">
        <v>81</v>
      </c>
      <c r="G4248" t="s">
        <v>44</v>
      </c>
      <c r="H4248" t="s">
        <v>51</v>
      </c>
      <c r="I4248" t="s">
        <v>37</v>
      </c>
      <c r="J4248" t="s">
        <v>62</v>
      </c>
      <c r="K4248">
        <v>2671</v>
      </c>
      <c r="L4248">
        <v>20</v>
      </c>
      <c r="M4248">
        <v>101.35</v>
      </c>
      <c r="N4248">
        <v>1</v>
      </c>
      <c r="O4248">
        <v>19.16</v>
      </c>
      <c r="P4248">
        <f t="shared" si="264"/>
        <v>7.4878322725570948E-3</v>
      </c>
      <c r="Q4248">
        <f t="shared" si="264"/>
        <v>5.0674999999999999</v>
      </c>
      <c r="R4248">
        <f t="shared" si="265"/>
        <v>101.35</v>
      </c>
      <c r="S4248">
        <f t="shared" si="266"/>
        <v>0.18904785397138629</v>
      </c>
      <c r="T4248">
        <f t="shared" si="267"/>
        <v>0.05</v>
      </c>
      <c r="U4248" t="str">
        <f>YEAR('Campaign Data'!$A4248)&amp;"-"&amp;TEXT(MONTH('Campaign Data'!$A4248),"00")</f>
        <v>2026-08</v>
      </c>
    </row>
    <row r="4249" spans="1:21" x14ac:dyDescent="0.25">
      <c r="A4249">
        <v>46254</v>
      </c>
      <c r="B4249" t="s">
        <v>125</v>
      </c>
      <c r="C4249" t="s">
        <v>126</v>
      </c>
      <c r="D4249" t="s">
        <v>41</v>
      </c>
      <c r="E4249" t="s">
        <v>42</v>
      </c>
      <c r="F4249" t="s">
        <v>81</v>
      </c>
      <c r="G4249" t="s">
        <v>44</v>
      </c>
      <c r="H4249" t="s">
        <v>27</v>
      </c>
      <c r="I4249" t="s">
        <v>28</v>
      </c>
      <c r="J4249" t="s">
        <v>45</v>
      </c>
      <c r="K4249">
        <v>4746</v>
      </c>
      <c r="L4249">
        <v>46</v>
      </c>
      <c r="M4249">
        <v>366.54</v>
      </c>
      <c r="N4249">
        <v>3</v>
      </c>
      <c r="O4249">
        <v>85.21</v>
      </c>
      <c r="P4249">
        <f t="shared" si="264"/>
        <v>9.6923725242309307E-3</v>
      </c>
      <c r="Q4249">
        <f t="shared" si="264"/>
        <v>7.968260869565218</v>
      </c>
      <c r="R4249">
        <f t="shared" si="265"/>
        <v>122.18</v>
      </c>
      <c r="S4249">
        <f t="shared" si="266"/>
        <v>0.23247121732962292</v>
      </c>
      <c r="T4249">
        <f t="shared" si="267"/>
        <v>6.5217391304347824E-2</v>
      </c>
      <c r="U4249" t="str">
        <f>YEAR('Campaign Data'!$A4249)&amp;"-"&amp;TEXT(MONTH('Campaign Data'!$A4249),"00")</f>
        <v>2026-08</v>
      </c>
    </row>
    <row r="4250" spans="1:21" x14ac:dyDescent="0.25">
      <c r="A4250">
        <v>46254</v>
      </c>
      <c r="B4250" t="s">
        <v>30</v>
      </c>
      <c r="C4250" t="s">
        <v>31</v>
      </c>
      <c r="D4250" t="s">
        <v>32</v>
      </c>
      <c r="E4250" t="s">
        <v>33</v>
      </c>
      <c r="F4250" t="s">
        <v>34</v>
      </c>
      <c r="G4250" t="s">
        <v>35</v>
      </c>
      <c r="H4250" t="s">
        <v>27</v>
      </c>
      <c r="I4250" t="s">
        <v>37</v>
      </c>
      <c r="J4250" t="s">
        <v>38</v>
      </c>
      <c r="K4250">
        <v>10323</v>
      </c>
      <c r="L4250">
        <v>134</v>
      </c>
      <c r="M4250">
        <v>115.74</v>
      </c>
      <c r="N4250">
        <v>3</v>
      </c>
      <c r="O4250">
        <v>494.34</v>
      </c>
      <c r="P4250">
        <f t="shared" si="264"/>
        <v>1.2980722658142013E-2</v>
      </c>
      <c r="Q4250">
        <f t="shared" si="264"/>
        <v>0.86373134328358203</v>
      </c>
      <c r="R4250">
        <f t="shared" si="265"/>
        <v>38.58</v>
      </c>
      <c r="S4250">
        <f t="shared" si="266"/>
        <v>4.2711249351995857</v>
      </c>
      <c r="T4250">
        <f t="shared" si="267"/>
        <v>2.2388059701492536E-2</v>
      </c>
      <c r="U4250" t="str">
        <f>YEAR('Campaign Data'!$A4250)&amp;"-"&amp;TEXT(MONTH('Campaign Data'!$A4250),"00")</f>
        <v>2026-08</v>
      </c>
    </row>
    <row r="4251" spans="1:21" x14ac:dyDescent="0.25">
      <c r="A4251">
        <v>46254</v>
      </c>
      <c r="B4251" t="s">
        <v>30</v>
      </c>
      <c r="C4251" t="s">
        <v>31</v>
      </c>
      <c r="D4251" t="s">
        <v>32</v>
      </c>
      <c r="E4251" t="s">
        <v>33</v>
      </c>
      <c r="F4251" t="s">
        <v>34</v>
      </c>
      <c r="G4251" t="s">
        <v>35</v>
      </c>
      <c r="H4251" t="s">
        <v>90</v>
      </c>
      <c r="I4251" t="s">
        <v>28</v>
      </c>
      <c r="J4251" t="s">
        <v>29</v>
      </c>
      <c r="K4251">
        <v>5928</v>
      </c>
      <c r="L4251">
        <v>43</v>
      </c>
      <c r="M4251">
        <v>7.78</v>
      </c>
      <c r="N4251">
        <v>0</v>
      </c>
      <c r="O4251">
        <v>0</v>
      </c>
      <c r="P4251">
        <f t="shared" si="264"/>
        <v>7.2537112010796221E-3</v>
      </c>
      <c r="Q4251">
        <f t="shared" si="264"/>
        <v>0.18093023255813953</v>
      </c>
      <c r="R4251">
        <f t="shared" si="265"/>
        <v>0</v>
      </c>
      <c r="S4251">
        <f t="shared" si="266"/>
        <v>0</v>
      </c>
      <c r="T4251">
        <f t="shared" si="267"/>
        <v>0</v>
      </c>
      <c r="U4251" t="str">
        <f>YEAR('Campaign Data'!$A4251)&amp;"-"&amp;TEXT(MONTH('Campaign Data'!$A4251),"00")</f>
        <v>2026-08</v>
      </c>
    </row>
    <row r="4252" spans="1:21" x14ac:dyDescent="0.25">
      <c r="A4252">
        <v>46254</v>
      </c>
      <c r="B4252" t="s">
        <v>52</v>
      </c>
      <c r="C4252" t="s">
        <v>53</v>
      </c>
      <c r="D4252" t="s">
        <v>32</v>
      </c>
      <c r="E4252" t="s">
        <v>42</v>
      </c>
      <c r="F4252" t="s">
        <v>25</v>
      </c>
      <c r="G4252" t="s">
        <v>54</v>
      </c>
      <c r="H4252" t="s">
        <v>71</v>
      </c>
      <c r="I4252" t="s">
        <v>61</v>
      </c>
      <c r="J4252" t="s">
        <v>62</v>
      </c>
      <c r="K4252">
        <v>4007</v>
      </c>
      <c r="L4252">
        <v>28</v>
      </c>
      <c r="M4252">
        <v>148.04</v>
      </c>
      <c r="N4252">
        <v>0</v>
      </c>
      <c r="O4252">
        <v>0</v>
      </c>
      <c r="P4252">
        <f t="shared" si="264"/>
        <v>6.9877714000499127E-3</v>
      </c>
      <c r="Q4252">
        <f t="shared" si="264"/>
        <v>5.2871428571428565</v>
      </c>
      <c r="R4252">
        <f t="shared" si="265"/>
        <v>0</v>
      </c>
      <c r="S4252">
        <f t="shared" si="266"/>
        <v>0</v>
      </c>
      <c r="T4252">
        <f t="shared" si="267"/>
        <v>0</v>
      </c>
      <c r="U4252" t="str">
        <f>YEAR('Campaign Data'!$A4252)&amp;"-"&amp;TEXT(MONTH('Campaign Data'!$A4252),"00")</f>
        <v>2026-08</v>
      </c>
    </row>
    <row r="4253" spans="1:21" x14ac:dyDescent="0.25">
      <c r="A4253">
        <v>46254</v>
      </c>
      <c r="B4253" t="s">
        <v>100</v>
      </c>
      <c r="C4253" t="s">
        <v>101</v>
      </c>
      <c r="D4253" t="s">
        <v>80</v>
      </c>
      <c r="E4253" t="s">
        <v>33</v>
      </c>
      <c r="F4253" t="s">
        <v>25</v>
      </c>
      <c r="G4253" t="s">
        <v>102</v>
      </c>
      <c r="H4253" t="s">
        <v>36</v>
      </c>
      <c r="I4253" t="s">
        <v>37</v>
      </c>
      <c r="J4253" t="s">
        <v>87</v>
      </c>
      <c r="K4253">
        <v>9977</v>
      </c>
      <c r="L4253">
        <v>80</v>
      </c>
      <c r="M4253">
        <v>62.51</v>
      </c>
      <c r="N4253">
        <v>1</v>
      </c>
      <c r="O4253">
        <v>125.24</v>
      </c>
      <c r="P4253">
        <f t="shared" si="264"/>
        <v>8.0184424175603897E-3</v>
      </c>
      <c r="Q4253">
        <f t="shared" si="264"/>
        <v>0.78137499999999993</v>
      </c>
      <c r="R4253">
        <f t="shared" si="265"/>
        <v>62.51</v>
      </c>
      <c r="S4253">
        <f t="shared" si="266"/>
        <v>2.0035194368900977</v>
      </c>
      <c r="T4253">
        <f t="shared" si="267"/>
        <v>1.2500000000000001E-2</v>
      </c>
      <c r="U4253" t="str">
        <f>YEAR('Campaign Data'!$A4253)&amp;"-"&amp;TEXT(MONTH('Campaign Data'!$A4253),"00")</f>
        <v>2026-08</v>
      </c>
    </row>
    <row r="4254" spans="1:21" x14ac:dyDescent="0.25">
      <c r="A4254">
        <v>46254</v>
      </c>
      <c r="B4254" t="s">
        <v>103</v>
      </c>
      <c r="C4254" t="s">
        <v>104</v>
      </c>
      <c r="D4254" t="s">
        <v>65</v>
      </c>
      <c r="E4254" t="s">
        <v>33</v>
      </c>
      <c r="F4254" t="s">
        <v>43</v>
      </c>
      <c r="G4254" t="s">
        <v>102</v>
      </c>
      <c r="H4254" t="s">
        <v>55</v>
      </c>
      <c r="I4254" t="s">
        <v>61</v>
      </c>
      <c r="J4254" t="s">
        <v>45</v>
      </c>
      <c r="K4254">
        <v>9449</v>
      </c>
      <c r="L4254">
        <v>124</v>
      </c>
      <c r="M4254">
        <v>55.59</v>
      </c>
      <c r="N4254">
        <v>0</v>
      </c>
      <c r="O4254">
        <v>0</v>
      </c>
      <c r="P4254">
        <f t="shared" si="264"/>
        <v>1.3123081807598688E-2</v>
      </c>
      <c r="Q4254">
        <f t="shared" si="264"/>
        <v>0.44830645161290328</v>
      </c>
      <c r="R4254">
        <f t="shared" si="265"/>
        <v>0</v>
      </c>
      <c r="S4254">
        <f t="shared" si="266"/>
        <v>0</v>
      </c>
      <c r="T4254">
        <f t="shared" si="267"/>
        <v>0</v>
      </c>
      <c r="U4254" t="str">
        <f>YEAR('Campaign Data'!$A4254)&amp;"-"&amp;TEXT(MONTH('Campaign Data'!$A4254),"00")</f>
        <v>2026-08</v>
      </c>
    </row>
    <row r="4255" spans="1:21" x14ac:dyDescent="0.25">
      <c r="A4255">
        <v>46254</v>
      </c>
      <c r="B4255" t="s">
        <v>105</v>
      </c>
      <c r="C4255" t="s">
        <v>106</v>
      </c>
      <c r="D4255" t="s">
        <v>58</v>
      </c>
      <c r="E4255" t="s">
        <v>49</v>
      </c>
      <c r="F4255" t="s">
        <v>81</v>
      </c>
      <c r="G4255" t="s">
        <v>107</v>
      </c>
      <c r="H4255" t="s">
        <v>36</v>
      </c>
      <c r="I4255" t="s">
        <v>37</v>
      </c>
      <c r="J4255" t="s">
        <v>87</v>
      </c>
      <c r="K4255">
        <v>6271</v>
      </c>
      <c r="L4255">
        <v>246</v>
      </c>
      <c r="M4255">
        <v>498.98</v>
      </c>
      <c r="N4255">
        <v>10</v>
      </c>
      <c r="O4255">
        <v>204.15</v>
      </c>
      <c r="P4255">
        <f t="shared" si="264"/>
        <v>3.9228193270610751E-2</v>
      </c>
      <c r="Q4255">
        <f t="shared" si="264"/>
        <v>2.0283739837398373</v>
      </c>
      <c r="R4255">
        <f t="shared" si="265"/>
        <v>49.898000000000003</v>
      </c>
      <c r="S4255">
        <f t="shared" si="266"/>
        <v>0.40913463465469557</v>
      </c>
      <c r="T4255">
        <f t="shared" si="267"/>
        <v>4.065040650406504E-2</v>
      </c>
      <c r="U4255" t="str">
        <f>YEAR('Campaign Data'!$A4255)&amp;"-"&amp;TEXT(MONTH('Campaign Data'!$A4255),"00")</f>
        <v>2026-08</v>
      </c>
    </row>
    <row r="4256" spans="1:21" x14ac:dyDescent="0.25">
      <c r="A4256">
        <v>46254</v>
      </c>
      <c r="B4256" t="s">
        <v>130</v>
      </c>
      <c r="C4256" t="s">
        <v>131</v>
      </c>
      <c r="D4256" t="s">
        <v>48</v>
      </c>
      <c r="E4256" t="s">
        <v>33</v>
      </c>
      <c r="F4256" t="s">
        <v>34</v>
      </c>
      <c r="G4256" t="s">
        <v>35</v>
      </c>
      <c r="H4256" t="s">
        <v>36</v>
      </c>
      <c r="I4256" t="s">
        <v>37</v>
      </c>
      <c r="J4256" t="s">
        <v>45</v>
      </c>
      <c r="K4256">
        <v>2206</v>
      </c>
      <c r="L4256">
        <v>33</v>
      </c>
      <c r="M4256">
        <v>21.96</v>
      </c>
      <c r="N4256">
        <v>0</v>
      </c>
      <c r="O4256">
        <v>0</v>
      </c>
      <c r="P4256">
        <f t="shared" si="264"/>
        <v>1.4959202175883953E-2</v>
      </c>
      <c r="Q4256">
        <f t="shared" si="264"/>
        <v>0.66545454545454552</v>
      </c>
      <c r="R4256">
        <f t="shared" si="265"/>
        <v>0</v>
      </c>
      <c r="S4256">
        <f t="shared" si="266"/>
        <v>0</v>
      </c>
      <c r="T4256">
        <f t="shared" si="267"/>
        <v>0</v>
      </c>
      <c r="U4256" t="str">
        <f>YEAR('Campaign Data'!$A4256)&amp;"-"&amp;TEXT(MONTH('Campaign Data'!$A4256),"00")</f>
        <v>2026-08</v>
      </c>
    </row>
    <row r="4257" spans="1:21" x14ac:dyDescent="0.25">
      <c r="A4257">
        <v>46254</v>
      </c>
      <c r="B4257" t="s">
        <v>179</v>
      </c>
      <c r="C4257" t="s">
        <v>180</v>
      </c>
      <c r="D4257" t="s">
        <v>58</v>
      </c>
      <c r="E4257" t="s">
        <v>42</v>
      </c>
      <c r="F4257" t="s">
        <v>25</v>
      </c>
      <c r="G4257" t="s">
        <v>54</v>
      </c>
      <c r="H4257" t="s">
        <v>60</v>
      </c>
      <c r="I4257" t="s">
        <v>61</v>
      </c>
      <c r="J4257" t="s">
        <v>29</v>
      </c>
      <c r="K4257">
        <v>11946</v>
      </c>
      <c r="L4257">
        <v>76</v>
      </c>
      <c r="M4257">
        <v>423.14</v>
      </c>
      <c r="N4257">
        <v>1</v>
      </c>
      <c r="O4257">
        <v>207.7</v>
      </c>
      <c r="P4257">
        <f t="shared" si="264"/>
        <v>6.3619621630671358E-3</v>
      </c>
      <c r="Q4257">
        <f t="shared" si="264"/>
        <v>5.5676315789473678</v>
      </c>
      <c r="R4257">
        <f t="shared" si="265"/>
        <v>423.14</v>
      </c>
      <c r="S4257">
        <f t="shared" si="266"/>
        <v>0.49085409084463771</v>
      </c>
      <c r="T4257">
        <f t="shared" si="267"/>
        <v>1.3157894736842105E-2</v>
      </c>
      <c r="U4257" t="str">
        <f>YEAR('Campaign Data'!$A4257)&amp;"-"&amp;TEXT(MONTH('Campaign Data'!$A4257),"00")</f>
        <v>2026-08</v>
      </c>
    </row>
    <row r="4258" spans="1:21" x14ac:dyDescent="0.25">
      <c r="A4258">
        <v>46254</v>
      </c>
      <c r="B4258" t="s">
        <v>179</v>
      </c>
      <c r="C4258" t="s">
        <v>180</v>
      </c>
      <c r="D4258" t="s">
        <v>58</v>
      </c>
      <c r="E4258" t="s">
        <v>42</v>
      </c>
      <c r="F4258" t="s">
        <v>25</v>
      </c>
      <c r="G4258" t="s">
        <v>54</v>
      </c>
      <c r="H4258" t="s">
        <v>90</v>
      </c>
      <c r="I4258" t="s">
        <v>28</v>
      </c>
      <c r="J4258" t="s">
        <v>87</v>
      </c>
      <c r="K4258">
        <v>4563</v>
      </c>
      <c r="L4258">
        <v>29</v>
      </c>
      <c r="M4258">
        <v>51.15</v>
      </c>
      <c r="N4258">
        <v>2</v>
      </c>
      <c r="O4258">
        <v>63.1</v>
      </c>
      <c r="P4258">
        <f t="shared" si="264"/>
        <v>6.3554678939294323E-3</v>
      </c>
      <c r="Q4258">
        <f t="shared" si="264"/>
        <v>1.7637931034482759</v>
      </c>
      <c r="R4258">
        <f t="shared" si="265"/>
        <v>25.574999999999999</v>
      </c>
      <c r="S4258">
        <f t="shared" si="266"/>
        <v>1.2336265884652982</v>
      </c>
      <c r="T4258">
        <f t="shared" si="267"/>
        <v>6.8965517241379309E-2</v>
      </c>
      <c r="U4258" t="str">
        <f>YEAR('Campaign Data'!$A4258)&amp;"-"&amp;TEXT(MONTH('Campaign Data'!$A4258),"00")</f>
        <v>2026-08</v>
      </c>
    </row>
    <row r="4259" spans="1:21" x14ac:dyDescent="0.25">
      <c r="A4259">
        <v>46254</v>
      </c>
      <c r="B4259" t="s">
        <v>112</v>
      </c>
      <c r="C4259" t="s">
        <v>113</v>
      </c>
      <c r="D4259" t="s">
        <v>32</v>
      </c>
      <c r="E4259" t="s">
        <v>24</v>
      </c>
      <c r="F4259" t="s">
        <v>75</v>
      </c>
      <c r="G4259" t="s">
        <v>66</v>
      </c>
      <c r="H4259" t="s">
        <v>71</v>
      </c>
      <c r="I4259" t="s">
        <v>37</v>
      </c>
      <c r="J4259" t="s">
        <v>87</v>
      </c>
      <c r="K4259">
        <v>4105</v>
      </c>
      <c r="L4259">
        <v>29</v>
      </c>
      <c r="M4259">
        <v>32.409999999999997</v>
      </c>
      <c r="N4259">
        <v>2</v>
      </c>
      <c r="O4259">
        <v>61.86</v>
      </c>
      <c r="P4259">
        <f t="shared" si="264"/>
        <v>7.064555420219245E-3</v>
      </c>
      <c r="Q4259">
        <f t="shared" si="264"/>
        <v>1.1175862068965516</v>
      </c>
      <c r="R4259">
        <f t="shared" si="265"/>
        <v>16.204999999999998</v>
      </c>
      <c r="S4259">
        <f t="shared" si="266"/>
        <v>1.9086701635297749</v>
      </c>
      <c r="T4259">
        <f t="shared" si="267"/>
        <v>6.8965517241379309E-2</v>
      </c>
      <c r="U4259" t="str">
        <f>YEAR('Campaign Data'!$A4259)&amp;"-"&amp;TEXT(MONTH('Campaign Data'!$A4259),"00")</f>
        <v>2026-08</v>
      </c>
    </row>
    <row r="4260" spans="1:21" x14ac:dyDescent="0.25">
      <c r="A4260">
        <v>46254</v>
      </c>
      <c r="B4260" t="s">
        <v>161</v>
      </c>
      <c r="C4260" t="s">
        <v>162</v>
      </c>
      <c r="D4260" t="s">
        <v>48</v>
      </c>
      <c r="E4260" t="s">
        <v>74</v>
      </c>
      <c r="F4260" t="s">
        <v>34</v>
      </c>
      <c r="G4260" t="s">
        <v>107</v>
      </c>
      <c r="H4260" t="s">
        <v>90</v>
      </c>
      <c r="I4260" t="s">
        <v>37</v>
      </c>
      <c r="J4260" t="s">
        <v>87</v>
      </c>
      <c r="K4260">
        <v>17333</v>
      </c>
      <c r="L4260">
        <v>491</v>
      </c>
      <c r="M4260">
        <v>118.97</v>
      </c>
      <c r="N4260">
        <v>19</v>
      </c>
      <c r="O4260">
        <v>752.92</v>
      </c>
      <c r="P4260">
        <f t="shared" si="264"/>
        <v>2.8327467835919922E-2</v>
      </c>
      <c r="Q4260">
        <f t="shared" si="264"/>
        <v>0.24230142566191445</v>
      </c>
      <c r="R4260">
        <f t="shared" si="265"/>
        <v>6.2615789473684211</v>
      </c>
      <c r="S4260">
        <f t="shared" si="266"/>
        <v>6.3286542825922503</v>
      </c>
      <c r="T4260">
        <f t="shared" si="267"/>
        <v>3.8696537678207736E-2</v>
      </c>
      <c r="U4260" t="str">
        <f>YEAR('Campaign Data'!$A4260)&amp;"-"&amp;TEXT(MONTH('Campaign Data'!$A4260),"00")</f>
        <v>2026-08</v>
      </c>
    </row>
    <row r="4261" spans="1:21" x14ac:dyDescent="0.25">
      <c r="A4261">
        <v>46254</v>
      </c>
      <c r="B4261" t="s">
        <v>136</v>
      </c>
      <c r="C4261" t="s">
        <v>137</v>
      </c>
      <c r="D4261" t="s">
        <v>32</v>
      </c>
      <c r="E4261" t="s">
        <v>49</v>
      </c>
      <c r="F4261" t="s">
        <v>75</v>
      </c>
      <c r="G4261" t="s">
        <v>97</v>
      </c>
      <c r="H4261" t="s">
        <v>90</v>
      </c>
      <c r="I4261" t="s">
        <v>37</v>
      </c>
      <c r="J4261" t="s">
        <v>45</v>
      </c>
      <c r="K4261">
        <v>4638</v>
      </c>
      <c r="L4261">
        <v>293</v>
      </c>
      <c r="M4261">
        <v>135.52000000000001</v>
      </c>
      <c r="N4261">
        <v>10</v>
      </c>
      <c r="O4261">
        <v>111.85</v>
      </c>
      <c r="P4261">
        <f t="shared" si="264"/>
        <v>6.3173781802501078E-2</v>
      </c>
      <c r="Q4261">
        <f t="shared" si="264"/>
        <v>0.46252559726962461</v>
      </c>
      <c r="R4261">
        <f t="shared" si="265"/>
        <v>13.552000000000001</v>
      </c>
      <c r="S4261">
        <f t="shared" si="266"/>
        <v>0.82533943329397863</v>
      </c>
      <c r="T4261">
        <f t="shared" si="267"/>
        <v>3.4129692832764506E-2</v>
      </c>
      <c r="U4261" t="str">
        <f>YEAR('Campaign Data'!$A4261)&amp;"-"&amp;TEXT(MONTH('Campaign Data'!$A4261),"00")</f>
        <v>2026-08</v>
      </c>
    </row>
    <row r="4262" spans="1:21" x14ac:dyDescent="0.25">
      <c r="A4262">
        <v>46254</v>
      </c>
      <c r="B4262" t="s">
        <v>67</v>
      </c>
      <c r="C4262" t="s">
        <v>68</v>
      </c>
      <c r="D4262" t="s">
        <v>69</v>
      </c>
      <c r="E4262" t="s">
        <v>49</v>
      </c>
      <c r="F4262" t="s">
        <v>34</v>
      </c>
      <c r="G4262" t="s">
        <v>70</v>
      </c>
      <c r="H4262" t="s">
        <v>90</v>
      </c>
      <c r="I4262" t="s">
        <v>37</v>
      </c>
      <c r="J4262" t="s">
        <v>62</v>
      </c>
      <c r="K4262">
        <v>12423</v>
      </c>
      <c r="L4262">
        <v>853</v>
      </c>
      <c r="M4262">
        <v>354.82</v>
      </c>
      <c r="N4262">
        <v>17</v>
      </c>
      <c r="O4262">
        <v>526.6</v>
      </c>
      <c r="P4262">
        <f t="shared" si="264"/>
        <v>6.8662963857361342E-2</v>
      </c>
      <c r="Q4262">
        <f t="shared" si="264"/>
        <v>0.41596717467760841</v>
      </c>
      <c r="R4262">
        <f t="shared" si="265"/>
        <v>20.871764705882352</v>
      </c>
      <c r="S4262">
        <f t="shared" si="266"/>
        <v>1.4841327997294405</v>
      </c>
      <c r="T4262">
        <f t="shared" si="267"/>
        <v>1.992966002344666E-2</v>
      </c>
      <c r="U4262" t="str">
        <f>YEAR('Campaign Data'!$A4262)&amp;"-"&amp;TEXT(MONTH('Campaign Data'!$A4262),"00")</f>
        <v>2026-08</v>
      </c>
    </row>
    <row r="4263" spans="1:21" x14ac:dyDescent="0.25">
      <c r="A4263">
        <v>46254</v>
      </c>
      <c r="B4263" t="s">
        <v>163</v>
      </c>
      <c r="C4263" t="s">
        <v>164</v>
      </c>
      <c r="D4263" t="s">
        <v>58</v>
      </c>
      <c r="E4263" t="s">
        <v>42</v>
      </c>
      <c r="F4263" t="s">
        <v>43</v>
      </c>
      <c r="G4263" t="s">
        <v>44</v>
      </c>
      <c r="H4263" t="s">
        <v>71</v>
      </c>
      <c r="I4263" t="s">
        <v>37</v>
      </c>
      <c r="J4263" t="s">
        <v>62</v>
      </c>
      <c r="K4263">
        <v>18259</v>
      </c>
      <c r="L4263">
        <v>96</v>
      </c>
      <c r="M4263">
        <v>519.36</v>
      </c>
      <c r="N4263">
        <v>2</v>
      </c>
      <c r="O4263">
        <v>41.29</v>
      </c>
      <c r="P4263">
        <f t="shared" si="264"/>
        <v>5.2576811435456486E-3</v>
      </c>
      <c r="Q4263">
        <f t="shared" si="264"/>
        <v>5.41</v>
      </c>
      <c r="R4263">
        <f t="shared" si="265"/>
        <v>259.68</v>
      </c>
      <c r="S4263">
        <f t="shared" si="266"/>
        <v>7.950169439309919E-2</v>
      </c>
      <c r="T4263">
        <f t="shared" si="267"/>
        <v>2.0833333333333332E-2</v>
      </c>
      <c r="U4263" t="str">
        <f>YEAR('Campaign Data'!$A4263)&amp;"-"&amp;TEXT(MONTH('Campaign Data'!$A4263),"00")</f>
        <v>2026-08</v>
      </c>
    </row>
    <row r="4264" spans="1:21" x14ac:dyDescent="0.25">
      <c r="A4264">
        <v>46254</v>
      </c>
      <c r="B4264" t="s">
        <v>76</v>
      </c>
      <c r="C4264" t="s">
        <v>77</v>
      </c>
      <c r="D4264" t="s">
        <v>65</v>
      </c>
      <c r="E4264" t="s">
        <v>42</v>
      </c>
      <c r="F4264" t="s">
        <v>43</v>
      </c>
      <c r="G4264" t="s">
        <v>44</v>
      </c>
      <c r="H4264" t="s">
        <v>27</v>
      </c>
      <c r="I4264" t="s">
        <v>28</v>
      </c>
      <c r="J4264" t="s">
        <v>45</v>
      </c>
      <c r="K4264">
        <v>5251</v>
      </c>
      <c r="L4264">
        <v>50</v>
      </c>
      <c r="M4264">
        <v>312.99</v>
      </c>
      <c r="N4264">
        <v>1</v>
      </c>
      <c r="O4264">
        <v>39.520000000000003</v>
      </c>
      <c r="P4264">
        <f t="shared" si="264"/>
        <v>9.5219958103218427E-3</v>
      </c>
      <c r="Q4264">
        <f t="shared" si="264"/>
        <v>6.2598000000000003</v>
      </c>
      <c r="R4264">
        <f t="shared" si="265"/>
        <v>312.99</v>
      </c>
      <c r="S4264">
        <f t="shared" si="266"/>
        <v>0.1262660148886546</v>
      </c>
      <c r="T4264">
        <f t="shared" si="267"/>
        <v>0.02</v>
      </c>
      <c r="U4264" t="str">
        <f>YEAR('Campaign Data'!$A4264)&amp;"-"&amp;TEXT(MONTH('Campaign Data'!$A4264),"00")</f>
        <v>2026-08</v>
      </c>
    </row>
    <row r="4265" spans="1:21" x14ac:dyDescent="0.25">
      <c r="A4265">
        <v>46254</v>
      </c>
      <c r="B4265" t="s">
        <v>120</v>
      </c>
      <c r="C4265" t="s">
        <v>121</v>
      </c>
      <c r="D4265" t="s">
        <v>23</v>
      </c>
      <c r="E4265" t="s">
        <v>49</v>
      </c>
      <c r="F4265" t="s">
        <v>75</v>
      </c>
      <c r="G4265" t="s">
        <v>70</v>
      </c>
      <c r="H4265" t="s">
        <v>90</v>
      </c>
      <c r="I4265" t="s">
        <v>37</v>
      </c>
      <c r="J4265" t="s">
        <v>87</v>
      </c>
      <c r="K4265">
        <v>11593</v>
      </c>
      <c r="L4265">
        <v>259</v>
      </c>
      <c r="M4265">
        <v>135.41999999999999</v>
      </c>
      <c r="N4265">
        <v>9</v>
      </c>
      <c r="O4265">
        <v>109.38</v>
      </c>
      <c r="P4265">
        <f t="shared" si="264"/>
        <v>2.234106788579315E-2</v>
      </c>
      <c r="Q4265">
        <f t="shared" si="264"/>
        <v>0.5228571428571428</v>
      </c>
      <c r="R4265">
        <f t="shared" si="265"/>
        <v>15.046666666666665</v>
      </c>
      <c r="S4265">
        <f t="shared" si="266"/>
        <v>0.8077093486929553</v>
      </c>
      <c r="T4265">
        <f t="shared" si="267"/>
        <v>3.4749034749034749E-2</v>
      </c>
      <c r="U4265" t="str">
        <f>YEAR('Campaign Data'!$A4265)&amp;"-"&amp;TEXT(MONTH('Campaign Data'!$A4265),"00")</f>
        <v>2026-08</v>
      </c>
    </row>
    <row r="4266" spans="1:21" x14ac:dyDescent="0.25">
      <c r="A4266">
        <v>46254</v>
      </c>
      <c r="B4266" t="s">
        <v>82</v>
      </c>
      <c r="C4266" t="s">
        <v>83</v>
      </c>
      <c r="D4266" t="s">
        <v>80</v>
      </c>
      <c r="E4266" t="s">
        <v>42</v>
      </c>
      <c r="F4266" t="s">
        <v>34</v>
      </c>
      <c r="G4266" t="s">
        <v>84</v>
      </c>
      <c r="H4266" t="s">
        <v>90</v>
      </c>
      <c r="I4266" t="s">
        <v>28</v>
      </c>
      <c r="J4266" t="s">
        <v>38</v>
      </c>
      <c r="K4266">
        <v>4732</v>
      </c>
      <c r="L4266">
        <v>27</v>
      </c>
      <c r="M4266">
        <v>44.48</v>
      </c>
      <c r="N4266">
        <v>2</v>
      </c>
      <c r="O4266">
        <v>80.11</v>
      </c>
      <c r="P4266">
        <f t="shared" si="264"/>
        <v>5.7058326289095521E-3</v>
      </c>
      <c r="Q4266">
        <f t="shared" si="264"/>
        <v>1.6474074074074072</v>
      </c>
      <c r="R4266">
        <f t="shared" si="265"/>
        <v>22.24</v>
      </c>
      <c r="S4266">
        <f t="shared" si="266"/>
        <v>1.8010341726618706</v>
      </c>
      <c r="T4266">
        <f t="shared" si="267"/>
        <v>7.407407407407407E-2</v>
      </c>
      <c r="U4266" t="str">
        <f>YEAR('Campaign Data'!$A4266)&amp;"-"&amp;TEXT(MONTH('Campaign Data'!$A4266),"00")</f>
        <v>2026-08</v>
      </c>
    </row>
    <row r="4267" spans="1:21" x14ac:dyDescent="0.25">
      <c r="A4267">
        <v>46255</v>
      </c>
      <c r="B4267" t="s">
        <v>125</v>
      </c>
      <c r="C4267" t="s">
        <v>126</v>
      </c>
      <c r="D4267" t="s">
        <v>41</v>
      </c>
      <c r="E4267" t="s">
        <v>42</v>
      </c>
      <c r="F4267" t="s">
        <v>81</v>
      </c>
      <c r="G4267" t="s">
        <v>44</v>
      </c>
      <c r="H4267" t="s">
        <v>55</v>
      </c>
      <c r="I4267" t="s">
        <v>28</v>
      </c>
      <c r="J4267" t="s">
        <v>87</v>
      </c>
      <c r="K4267">
        <v>5499</v>
      </c>
      <c r="L4267">
        <v>34</v>
      </c>
      <c r="M4267">
        <v>141.52000000000001</v>
      </c>
      <c r="N4267">
        <v>1</v>
      </c>
      <c r="O4267">
        <v>9.3800000000000008</v>
      </c>
      <c r="P4267">
        <f t="shared" si="264"/>
        <v>6.1829423531551192E-3</v>
      </c>
      <c r="Q4267">
        <f t="shared" si="264"/>
        <v>4.1623529411764713</v>
      </c>
      <c r="R4267">
        <f t="shared" si="265"/>
        <v>141.52000000000001</v>
      </c>
      <c r="S4267">
        <f t="shared" si="266"/>
        <v>6.628038439796495E-2</v>
      </c>
      <c r="T4267">
        <f t="shared" si="267"/>
        <v>2.9411764705882353E-2</v>
      </c>
      <c r="U4267" t="str">
        <f>YEAR('Campaign Data'!$A4267)&amp;"-"&amp;TEXT(MONTH('Campaign Data'!$A4267),"00")</f>
        <v>2026-08</v>
      </c>
    </row>
    <row r="4268" spans="1:21" x14ac:dyDescent="0.25">
      <c r="A4268">
        <v>46255</v>
      </c>
      <c r="B4268" t="s">
        <v>186</v>
      </c>
      <c r="C4268" t="s">
        <v>187</v>
      </c>
      <c r="D4268" t="s">
        <v>80</v>
      </c>
      <c r="E4268" t="s">
        <v>33</v>
      </c>
      <c r="F4268" t="s">
        <v>43</v>
      </c>
      <c r="G4268" t="s">
        <v>102</v>
      </c>
      <c r="H4268" t="s">
        <v>55</v>
      </c>
      <c r="I4268" t="s">
        <v>28</v>
      </c>
      <c r="J4268" t="s">
        <v>38</v>
      </c>
      <c r="K4268">
        <v>3685</v>
      </c>
      <c r="L4268">
        <v>24</v>
      </c>
      <c r="M4268">
        <v>14.81</v>
      </c>
      <c r="N4268">
        <v>0</v>
      </c>
      <c r="O4268">
        <v>0</v>
      </c>
      <c r="P4268">
        <f t="shared" si="264"/>
        <v>6.5128900949796469E-3</v>
      </c>
      <c r="Q4268">
        <f t="shared" si="264"/>
        <v>0.61708333333333332</v>
      </c>
      <c r="R4268">
        <f t="shared" si="265"/>
        <v>0</v>
      </c>
      <c r="S4268">
        <f t="shared" si="266"/>
        <v>0</v>
      </c>
      <c r="T4268">
        <f t="shared" si="267"/>
        <v>0</v>
      </c>
      <c r="U4268" t="str">
        <f>YEAR('Campaign Data'!$A4268)&amp;"-"&amp;TEXT(MONTH('Campaign Data'!$A4268),"00")</f>
        <v>2026-08</v>
      </c>
    </row>
    <row r="4269" spans="1:21" x14ac:dyDescent="0.25">
      <c r="A4269">
        <v>46255</v>
      </c>
      <c r="B4269" t="s">
        <v>151</v>
      </c>
      <c r="C4269" t="s">
        <v>152</v>
      </c>
      <c r="D4269" t="s">
        <v>48</v>
      </c>
      <c r="E4269" t="s">
        <v>24</v>
      </c>
      <c r="F4269" t="s">
        <v>81</v>
      </c>
      <c r="G4269" t="s">
        <v>129</v>
      </c>
      <c r="H4269" t="s">
        <v>60</v>
      </c>
      <c r="I4269" t="s">
        <v>37</v>
      </c>
      <c r="J4269" t="s">
        <v>62</v>
      </c>
      <c r="K4269">
        <v>9392</v>
      </c>
      <c r="L4269">
        <v>175</v>
      </c>
      <c r="M4269">
        <v>181.03</v>
      </c>
      <c r="N4269">
        <v>1</v>
      </c>
      <c r="O4269">
        <v>22.76</v>
      </c>
      <c r="P4269">
        <f t="shared" si="264"/>
        <v>1.8632879045996593E-2</v>
      </c>
      <c r="Q4269">
        <f t="shared" si="264"/>
        <v>1.034457142857143</v>
      </c>
      <c r="R4269">
        <f t="shared" si="265"/>
        <v>181.03</v>
      </c>
      <c r="S4269">
        <f t="shared" si="266"/>
        <v>0.12572501795282551</v>
      </c>
      <c r="T4269">
        <f t="shared" si="267"/>
        <v>5.7142857142857143E-3</v>
      </c>
      <c r="U4269" t="str">
        <f>YEAR('Campaign Data'!$A4269)&amp;"-"&amp;TEXT(MONTH('Campaign Data'!$A4269),"00")</f>
        <v>2026-08</v>
      </c>
    </row>
    <row r="4270" spans="1:21" x14ac:dyDescent="0.25">
      <c r="A4270">
        <v>46255</v>
      </c>
      <c r="B4270" t="s">
        <v>100</v>
      </c>
      <c r="C4270" t="s">
        <v>101</v>
      </c>
      <c r="D4270" t="s">
        <v>80</v>
      </c>
      <c r="E4270" t="s">
        <v>33</v>
      </c>
      <c r="F4270" t="s">
        <v>25</v>
      </c>
      <c r="G4270" t="s">
        <v>102</v>
      </c>
      <c r="H4270" t="s">
        <v>90</v>
      </c>
      <c r="I4270" t="s">
        <v>28</v>
      </c>
      <c r="J4270" t="s">
        <v>45</v>
      </c>
      <c r="K4270">
        <v>3392</v>
      </c>
      <c r="L4270">
        <v>29</v>
      </c>
      <c r="M4270">
        <v>6.14</v>
      </c>
      <c r="N4270">
        <v>0</v>
      </c>
      <c r="O4270">
        <v>0</v>
      </c>
      <c r="P4270">
        <f t="shared" si="264"/>
        <v>8.5495283018867923E-3</v>
      </c>
      <c r="Q4270">
        <f t="shared" si="264"/>
        <v>0.21172413793103448</v>
      </c>
      <c r="R4270">
        <f t="shared" si="265"/>
        <v>0</v>
      </c>
      <c r="S4270">
        <f t="shared" si="266"/>
        <v>0</v>
      </c>
      <c r="T4270">
        <f t="shared" si="267"/>
        <v>0</v>
      </c>
      <c r="U4270" t="str">
        <f>YEAR('Campaign Data'!$A4270)&amp;"-"&amp;TEXT(MONTH('Campaign Data'!$A4270),"00")</f>
        <v>2026-08</v>
      </c>
    </row>
    <row r="4271" spans="1:21" x14ac:dyDescent="0.25">
      <c r="A4271">
        <v>46255</v>
      </c>
      <c r="B4271" t="s">
        <v>108</v>
      </c>
      <c r="C4271" t="s">
        <v>109</v>
      </c>
      <c r="D4271" t="s">
        <v>58</v>
      </c>
      <c r="E4271" t="s">
        <v>33</v>
      </c>
      <c r="F4271" t="s">
        <v>43</v>
      </c>
      <c r="G4271" t="s">
        <v>59</v>
      </c>
      <c r="H4271" t="s">
        <v>90</v>
      </c>
      <c r="I4271" t="s">
        <v>28</v>
      </c>
      <c r="J4271" t="s">
        <v>62</v>
      </c>
      <c r="K4271">
        <v>9600</v>
      </c>
      <c r="L4271">
        <v>116</v>
      </c>
      <c r="M4271">
        <v>23.56</v>
      </c>
      <c r="N4271">
        <v>1</v>
      </c>
      <c r="O4271">
        <v>5.76</v>
      </c>
      <c r="P4271">
        <f t="shared" si="264"/>
        <v>1.2083333333333333E-2</v>
      </c>
      <c r="Q4271">
        <f t="shared" si="264"/>
        <v>0.20310344827586205</v>
      </c>
      <c r="R4271">
        <f t="shared" si="265"/>
        <v>23.56</v>
      </c>
      <c r="S4271">
        <f t="shared" si="266"/>
        <v>0.24448217317487267</v>
      </c>
      <c r="T4271">
        <f t="shared" si="267"/>
        <v>8.6206896551724137E-3</v>
      </c>
      <c r="U4271" t="str">
        <f>YEAR('Campaign Data'!$A4271)&amp;"-"&amp;TEXT(MONTH('Campaign Data'!$A4271),"00")</f>
        <v>2026-08</v>
      </c>
    </row>
    <row r="4272" spans="1:21" x14ac:dyDescent="0.25">
      <c r="A4272">
        <v>46255</v>
      </c>
      <c r="B4272" t="s">
        <v>132</v>
      </c>
      <c r="C4272" t="s">
        <v>133</v>
      </c>
      <c r="D4272" t="s">
        <v>23</v>
      </c>
      <c r="E4272" t="s">
        <v>42</v>
      </c>
      <c r="F4272" t="s">
        <v>75</v>
      </c>
      <c r="G4272" t="s">
        <v>84</v>
      </c>
      <c r="H4272" t="s">
        <v>36</v>
      </c>
      <c r="I4272" t="s">
        <v>37</v>
      </c>
      <c r="J4272" t="s">
        <v>29</v>
      </c>
      <c r="K4272">
        <v>4221</v>
      </c>
      <c r="L4272">
        <v>27</v>
      </c>
      <c r="M4272">
        <v>192.07</v>
      </c>
      <c r="N4272">
        <v>0</v>
      </c>
      <c r="O4272">
        <v>0</v>
      </c>
      <c r="P4272">
        <f t="shared" si="264"/>
        <v>6.3965884861407248E-3</v>
      </c>
      <c r="Q4272">
        <f t="shared" si="264"/>
        <v>7.1137037037037034</v>
      </c>
      <c r="R4272">
        <f t="shared" si="265"/>
        <v>0</v>
      </c>
      <c r="S4272">
        <f t="shared" si="266"/>
        <v>0</v>
      </c>
      <c r="T4272">
        <f t="shared" si="267"/>
        <v>0</v>
      </c>
      <c r="U4272" t="str">
        <f>YEAR('Campaign Data'!$A4272)&amp;"-"&amp;TEXT(MONTH('Campaign Data'!$A4272),"00")</f>
        <v>2026-08</v>
      </c>
    </row>
    <row r="4273" spans="1:21" x14ac:dyDescent="0.25">
      <c r="A4273">
        <v>46256</v>
      </c>
      <c r="B4273" t="s">
        <v>165</v>
      </c>
      <c r="C4273" t="s">
        <v>166</v>
      </c>
      <c r="D4273" t="s">
        <v>41</v>
      </c>
      <c r="E4273" t="s">
        <v>33</v>
      </c>
      <c r="F4273" t="s">
        <v>43</v>
      </c>
      <c r="G4273" t="s">
        <v>59</v>
      </c>
      <c r="H4273" t="s">
        <v>27</v>
      </c>
      <c r="I4273" t="s">
        <v>37</v>
      </c>
      <c r="J4273" t="s">
        <v>38</v>
      </c>
      <c r="K4273">
        <v>5214</v>
      </c>
      <c r="L4273">
        <v>25</v>
      </c>
      <c r="M4273">
        <v>22.3</v>
      </c>
      <c r="N4273">
        <v>0</v>
      </c>
      <c r="O4273">
        <v>0</v>
      </c>
      <c r="P4273">
        <f t="shared" si="264"/>
        <v>4.7947832757959342E-3</v>
      </c>
      <c r="Q4273">
        <f t="shared" si="264"/>
        <v>0.89200000000000002</v>
      </c>
      <c r="R4273">
        <f t="shared" si="265"/>
        <v>0</v>
      </c>
      <c r="S4273">
        <f t="shared" si="266"/>
        <v>0</v>
      </c>
      <c r="T4273">
        <f t="shared" si="267"/>
        <v>0</v>
      </c>
      <c r="U4273" t="str">
        <f>YEAR('Campaign Data'!$A4273)&amp;"-"&amp;TEXT(MONTH('Campaign Data'!$A4273),"00")</f>
        <v>2026-08</v>
      </c>
    </row>
    <row r="4274" spans="1:21" x14ac:dyDescent="0.25">
      <c r="A4274">
        <v>46256</v>
      </c>
      <c r="B4274" t="s">
        <v>85</v>
      </c>
      <c r="C4274" t="s">
        <v>86</v>
      </c>
      <c r="D4274" t="s">
        <v>80</v>
      </c>
      <c r="E4274" t="s">
        <v>33</v>
      </c>
      <c r="F4274" t="s">
        <v>43</v>
      </c>
      <c r="G4274" t="s">
        <v>35</v>
      </c>
      <c r="H4274" t="s">
        <v>55</v>
      </c>
      <c r="I4274" t="s">
        <v>37</v>
      </c>
      <c r="J4274" t="s">
        <v>87</v>
      </c>
      <c r="K4274">
        <v>6523</v>
      </c>
      <c r="L4274">
        <v>85</v>
      </c>
      <c r="M4274">
        <v>59.42</v>
      </c>
      <c r="N4274">
        <v>1</v>
      </c>
      <c r="O4274">
        <v>23.56</v>
      </c>
      <c r="P4274">
        <f t="shared" si="264"/>
        <v>1.3030814042618428E-2</v>
      </c>
      <c r="Q4274">
        <f t="shared" si="264"/>
        <v>0.69905882352941173</v>
      </c>
      <c r="R4274">
        <f t="shared" si="265"/>
        <v>59.42</v>
      </c>
      <c r="S4274">
        <f t="shared" si="266"/>
        <v>0.39649949511948834</v>
      </c>
      <c r="T4274">
        <f t="shared" si="267"/>
        <v>1.1764705882352941E-2</v>
      </c>
      <c r="U4274" t="str">
        <f>YEAR('Campaign Data'!$A4274)&amp;"-"&amp;TEXT(MONTH('Campaign Data'!$A4274),"00")</f>
        <v>2026-08</v>
      </c>
    </row>
    <row r="4275" spans="1:21" x14ac:dyDescent="0.25">
      <c r="A4275">
        <v>46256</v>
      </c>
      <c r="B4275" t="s">
        <v>21</v>
      </c>
      <c r="C4275" t="s">
        <v>124</v>
      </c>
      <c r="D4275" t="s">
        <v>23</v>
      </c>
      <c r="E4275" t="s">
        <v>24</v>
      </c>
      <c r="F4275" t="s">
        <v>25</v>
      </c>
      <c r="G4275" t="s">
        <v>26</v>
      </c>
      <c r="H4275" t="s">
        <v>60</v>
      </c>
      <c r="I4275" t="s">
        <v>37</v>
      </c>
      <c r="J4275" t="s">
        <v>38</v>
      </c>
      <c r="K4275">
        <v>5191</v>
      </c>
      <c r="L4275">
        <v>110</v>
      </c>
      <c r="M4275">
        <v>105.78</v>
      </c>
      <c r="N4275">
        <v>2</v>
      </c>
      <c r="O4275">
        <v>262.89</v>
      </c>
      <c r="P4275">
        <f t="shared" si="264"/>
        <v>2.1190522057407051E-2</v>
      </c>
      <c r="Q4275">
        <f t="shared" si="264"/>
        <v>0.96163636363636362</v>
      </c>
      <c r="R4275">
        <f t="shared" si="265"/>
        <v>52.89</v>
      </c>
      <c r="S4275">
        <f t="shared" si="266"/>
        <v>2.4852524106636413</v>
      </c>
      <c r="T4275">
        <f t="shared" si="267"/>
        <v>1.8181818181818181E-2</v>
      </c>
      <c r="U4275" t="str">
        <f>YEAR('Campaign Data'!$A4275)&amp;"-"&amp;TEXT(MONTH('Campaign Data'!$A4275),"00")</f>
        <v>2026-08</v>
      </c>
    </row>
    <row r="4276" spans="1:21" x14ac:dyDescent="0.25">
      <c r="A4276">
        <v>46256</v>
      </c>
      <c r="B4276" t="s">
        <v>125</v>
      </c>
      <c r="C4276" t="s">
        <v>126</v>
      </c>
      <c r="D4276" t="s">
        <v>41</v>
      </c>
      <c r="E4276" t="s">
        <v>42</v>
      </c>
      <c r="F4276" t="s">
        <v>81</v>
      </c>
      <c r="G4276" t="s">
        <v>44</v>
      </c>
      <c r="H4276" t="s">
        <v>27</v>
      </c>
      <c r="I4276" t="s">
        <v>37</v>
      </c>
      <c r="J4276" t="s">
        <v>62</v>
      </c>
      <c r="K4276">
        <v>3279</v>
      </c>
      <c r="L4276">
        <v>13</v>
      </c>
      <c r="M4276">
        <v>114.09</v>
      </c>
      <c r="N4276">
        <v>0</v>
      </c>
      <c r="O4276">
        <v>0</v>
      </c>
      <c r="P4276">
        <f t="shared" si="264"/>
        <v>3.9646233607807261E-3</v>
      </c>
      <c r="Q4276">
        <f t="shared" si="264"/>
        <v>8.7761538461538464</v>
      </c>
      <c r="R4276">
        <f t="shared" si="265"/>
        <v>0</v>
      </c>
      <c r="S4276">
        <f t="shared" si="266"/>
        <v>0</v>
      </c>
      <c r="T4276">
        <f t="shared" si="267"/>
        <v>0</v>
      </c>
      <c r="U4276" t="str">
        <f>YEAR('Campaign Data'!$A4276)&amp;"-"&amp;TEXT(MONTH('Campaign Data'!$A4276),"00")</f>
        <v>2026-08</v>
      </c>
    </row>
    <row r="4277" spans="1:21" x14ac:dyDescent="0.25">
      <c r="A4277">
        <v>46256</v>
      </c>
      <c r="B4277" t="s">
        <v>91</v>
      </c>
      <c r="C4277" t="s">
        <v>92</v>
      </c>
      <c r="D4277" t="s">
        <v>41</v>
      </c>
      <c r="E4277" t="s">
        <v>74</v>
      </c>
      <c r="F4277" t="s">
        <v>75</v>
      </c>
      <c r="G4277" t="s">
        <v>9</v>
      </c>
      <c r="H4277" t="s">
        <v>90</v>
      </c>
      <c r="I4277" t="s">
        <v>37</v>
      </c>
      <c r="J4277" t="s">
        <v>62</v>
      </c>
      <c r="K4277">
        <v>7961</v>
      </c>
      <c r="L4277">
        <v>382</v>
      </c>
      <c r="M4277">
        <v>185.2</v>
      </c>
      <c r="N4277">
        <v>20</v>
      </c>
      <c r="O4277">
        <v>151.53</v>
      </c>
      <c r="P4277">
        <f t="shared" si="264"/>
        <v>4.7983921617887199E-2</v>
      </c>
      <c r="Q4277">
        <f t="shared" si="264"/>
        <v>0.48481675392670154</v>
      </c>
      <c r="R4277">
        <f t="shared" si="265"/>
        <v>9.26</v>
      </c>
      <c r="S4277">
        <f t="shared" si="266"/>
        <v>0.81819654427645794</v>
      </c>
      <c r="T4277">
        <f t="shared" si="267"/>
        <v>5.2356020942408377E-2</v>
      </c>
      <c r="U4277" t="str">
        <f>YEAR('Campaign Data'!$A4277)&amp;"-"&amp;TEXT(MONTH('Campaign Data'!$A4277),"00")</f>
        <v>2026-08</v>
      </c>
    </row>
    <row r="4278" spans="1:21" x14ac:dyDescent="0.25">
      <c r="A4278">
        <v>46256</v>
      </c>
      <c r="B4278" t="s">
        <v>186</v>
      </c>
      <c r="C4278" t="s">
        <v>187</v>
      </c>
      <c r="D4278" t="s">
        <v>80</v>
      </c>
      <c r="E4278" t="s">
        <v>33</v>
      </c>
      <c r="F4278" t="s">
        <v>43</v>
      </c>
      <c r="G4278" t="s">
        <v>102</v>
      </c>
      <c r="H4278" t="s">
        <v>71</v>
      </c>
      <c r="I4278" t="s">
        <v>37</v>
      </c>
      <c r="J4278" t="s">
        <v>38</v>
      </c>
      <c r="K4278">
        <v>4249</v>
      </c>
      <c r="L4278">
        <v>32</v>
      </c>
      <c r="M4278">
        <v>20.12</v>
      </c>
      <c r="N4278">
        <v>3</v>
      </c>
      <c r="O4278">
        <v>42.87</v>
      </c>
      <c r="P4278">
        <f t="shared" si="264"/>
        <v>7.5311838079548128E-3</v>
      </c>
      <c r="Q4278">
        <f t="shared" si="264"/>
        <v>0.62875000000000003</v>
      </c>
      <c r="R4278">
        <f t="shared" si="265"/>
        <v>6.706666666666667</v>
      </c>
      <c r="S4278">
        <f t="shared" si="266"/>
        <v>2.1307157057654074</v>
      </c>
      <c r="T4278">
        <f t="shared" si="267"/>
        <v>9.375E-2</v>
      </c>
      <c r="U4278" t="str">
        <f>YEAR('Campaign Data'!$A4278)&amp;"-"&amp;TEXT(MONTH('Campaign Data'!$A4278),"00")</f>
        <v>2026-08</v>
      </c>
    </row>
    <row r="4279" spans="1:21" x14ac:dyDescent="0.25">
      <c r="A4279">
        <v>46256</v>
      </c>
      <c r="B4279" t="s">
        <v>95</v>
      </c>
      <c r="C4279" t="s">
        <v>96</v>
      </c>
      <c r="D4279" t="s">
        <v>23</v>
      </c>
      <c r="E4279" t="s">
        <v>49</v>
      </c>
      <c r="F4279" t="s">
        <v>43</v>
      </c>
      <c r="G4279" t="s">
        <v>97</v>
      </c>
      <c r="H4279" t="s">
        <v>27</v>
      </c>
      <c r="I4279" t="s">
        <v>28</v>
      </c>
      <c r="J4279" t="s">
        <v>29</v>
      </c>
      <c r="K4279">
        <v>797</v>
      </c>
      <c r="L4279">
        <v>30</v>
      </c>
      <c r="M4279">
        <v>68.25</v>
      </c>
      <c r="N4279">
        <v>0</v>
      </c>
      <c r="O4279">
        <v>0</v>
      </c>
      <c r="P4279">
        <f t="shared" si="264"/>
        <v>3.7641154328732745E-2</v>
      </c>
      <c r="Q4279">
        <f t="shared" si="264"/>
        <v>2.2749999999999999</v>
      </c>
      <c r="R4279">
        <f t="shared" si="265"/>
        <v>0</v>
      </c>
      <c r="S4279">
        <f t="shared" si="266"/>
        <v>0</v>
      </c>
      <c r="T4279">
        <f t="shared" si="267"/>
        <v>0</v>
      </c>
      <c r="U4279" t="str">
        <f>YEAR('Campaign Data'!$A4279)&amp;"-"&amp;TEXT(MONTH('Campaign Data'!$A4279),"00")</f>
        <v>2026-08</v>
      </c>
    </row>
    <row r="4280" spans="1:21" x14ac:dyDescent="0.25">
      <c r="A4280">
        <v>46256</v>
      </c>
      <c r="B4280" t="s">
        <v>30</v>
      </c>
      <c r="C4280" t="s">
        <v>31</v>
      </c>
      <c r="D4280" t="s">
        <v>32</v>
      </c>
      <c r="E4280" t="s">
        <v>33</v>
      </c>
      <c r="F4280" t="s">
        <v>34</v>
      </c>
      <c r="G4280" t="s">
        <v>35</v>
      </c>
      <c r="H4280" t="s">
        <v>90</v>
      </c>
      <c r="I4280" t="s">
        <v>28</v>
      </c>
      <c r="J4280" t="s">
        <v>45</v>
      </c>
      <c r="K4280">
        <v>3675</v>
      </c>
      <c r="L4280">
        <v>34</v>
      </c>
      <c r="M4280">
        <v>3.96</v>
      </c>
      <c r="N4280">
        <v>1</v>
      </c>
      <c r="O4280">
        <v>69.62</v>
      </c>
      <c r="P4280">
        <f t="shared" si="264"/>
        <v>9.2517006802721093E-3</v>
      </c>
      <c r="Q4280">
        <f t="shared" si="264"/>
        <v>0.11647058823529412</v>
      </c>
      <c r="R4280">
        <f t="shared" si="265"/>
        <v>3.96</v>
      </c>
      <c r="S4280">
        <f t="shared" si="266"/>
        <v>17.580808080808083</v>
      </c>
      <c r="T4280">
        <f t="shared" si="267"/>
        <v>2.9411764705882353E-2</v>
      </c>
      <c r="U4280" t="str">
        <f>YEAR('Campaign Data'!$A4280)&amp;"-"&amp;TEXT(MONTH('Campaign Data'!$A4280),"00")</f>
        <v>2026-08</v>
      </c>
    </row>
    <row r="4281" spans="1:21" x14ac:dyDescent="0.25">
      <c r="A4281">
        <v>46256</v>
      </c>
      <c r="B4281" t="s">
        <v>30</v>
      </c>
      <c r="C4281" t="s">
        <v>31</v>
      </c>
      <c r="D4281" t="s">
        <v>32</v>
      </c>
      <c r="E4281" t="s">
        <v>33</v>
      </c>
      <c r="F4281" t="s">
        <v>34</v>
      </c>
      <c r="G4281" t="s">
        <v>35</v>
      </c>
      <c r="H4281" t="s">
        <v>51</v>
      </c>
      <c r="I4281" t="s">
        <v>37</v>
      </c>
      <c r="J4281" t="s">
        <v>62</v>
      </c>
      <c r="K4281">
        <v>8577</v>
      </c>
      <c r="L4281">
        <v>135</v>
      </c>
      <c r="M4281">
        <v>66.510000000000005</v>
      </c>
      <c r="N4281">
        <v>5</v>
      </c>
      <c r="O4281">
        <v>760.9</v>
      </c>
      <c r="P4281">
        <f t="shared" si="264"/>
        <v>1.5739769150052464E-2</v>
      </c>
      <c r="Q4281">
        <f t="shared" si="264"/>
        <v>0.4926666666666667</v>
      </c>
      <c r="R4281">
        <f t="shared" si="265"/>
        <v>13.302000000000001</v>
      </c>
      <c r="S4281">
        <f t="shared" si="266"/>
        <v>11.440384904525635</v>
      </c>
      <c r="T4281">
        <f t="shared" si="267"/>
        <v>3.7037037037037035E-2</v>
      </c>
      <c r="U4281" t="str">
        <f>YEAR('Campaign Data'!$A4281)&amp;"-"&amp;TEXT(MONTH('Campaign Data'!$A4281),"00")</f>
        <v>2026-08</v>
      </c>
    </row>
    <row r="4282" spans="1:21" x14ac:dyDescent="0.25">
      <c r="A4282">
        <v>46256</v>
      </c>
      <c r="B4282" t="s">
        <v>39</v>
      </c>
      <c r="C4282" t="s">
        <v>40</v>
      </c>
      <c r="D4282" t="s">
        <v>41</v>
      </c>
      <c r="E4282" t="s">
        <v>42</v>
      </c>
      <c r="F4282" t="s">
        <v>43</v>
      </c>
      <c r="G4282" t="s">
        <v>44</v>
      </c>
      <c r="H4282" t="s">
        <v>90</v>
      </c>
      <c r="I4282" t="s">
        <v>37</v>
      </c>
      <c r="J4282" t="s">
        <v>45</v>
      </c>
      <c r="K4282">
        <v>8010</v>
      </c>
      <c r="L4282">
        <v>41</v>
      </c>
      <c r="M4282">
        <v>90.95</v>
      </c>
      <c r="N4282">
        <v>4</v>
      </c>
      <c r="O4282">
        <v>31.68</v>
      </c>
      <c r="P4282">
        <f t="shared" si="264"/>
        <v>5.1186017478152311E-3</v>
      </c>
      <c r="Q4282">
        <f t="shared" si="264"/>
        <v>2.2182926829268292</v>
      </c>
      <c r="R4282">
        <f t="shared" si="265"/>
        <v>22.737500000000001</v>
      </c>
      <c r="S4282">
        <f t="shared" si="266"/>
        <v>0.34832325453545904</v>
      </c>
      <c r="T4282">
        <f t="shared" si="267"/>
        <v>9.7560975609756101E-2</v>
      </c>
      <c r="U4282" t="str">
        <f>YEAR('Campaign Data'!$A4282)&amp;"-"&amp;TEXT(MONTH('Campaign Data'!$A4282),"00")</f>
        <v>2026-08</v>
      </c>
    </row>
    <row r="4283" spans="1:21" x14ac:dyDescent="0.25">
      <c r="A4283">
        <v>46256</v>
      </c>
      <c r="B4283" t="s">
        <v>100</v>
      </c>
      <c r="C4283" t="s">
        <v>101</v>
      </c>
      <c r="D4283" t="s">
        <v>80</v>
      </c>
      <c r="E4283" t="s">
        <v>33</v>
      </c>
      <c r="F4283" t="s">
        <v>25</v>
      </c>
      <c r="G4283" t="s">
        <v>102</v>
      </c>
      <c r="H4283" t="s">
        <v>90</v>
      </c>
      <c r="I4283" t="s">
        <v>37</v>
      </c>
      <c r="J4283" t="s">
        <v>62</v>
      </c>
      <c r="K4283">
        <v>8979</v>
      </c>
      <c r="L4283">
        <v>120</v>
      </c>
      <c r="M4283">
        <v>13.99</v>
      </c>
      <c r="N4283">
        <v>1</v>
      </c>
      <c r="O4283">
        <v>50.78</v>
      </c>
      <c r="P4283">
        <f t="shared" si="264"/>
        <v>1.3364517206815904E-2</v>
      </c>
      <c r="Q4283">
        <f t="shared" si="264"/>
        <v>0.11658333333333333</v>
      </c>
      <c r="R4283">
        <f t="shared" si="265"/>
        <v>13.99</v>
      </c>
      <c r="S4283">
        <f t="shared" si="266"/>
        <v>3.6297355253752679</v>
      </c>
      <c r="T4283">
        <f t="shared" si="267"/>
        <v>8.3333333333333332E-3</v>
      </c>
      <c r="U4283" t="str">
        <f>YEAR('Campaign Data'!$A4283)&amp;"-"&amp;TEXT(MONTH('Campaign Data'!$A4283),"00")</f>
        <v>2026-08</v>
      </c>
    </row>
    <row r="4284" spans="1:21" x14ac:dyDescent="0.25">
      <c r="A4284">
        <v>46256</v>
      </c>
      <c r="B4284" t="s">
        <v>177</v>
      </c>
      <c r="C4284" t="s">
        <v>178</v>
      </c>
      <c r="D4284" t="s">
        <v>41</v>
      </c>
      <c r="E4284" t="s">
        <v>49</v>
      </c>
      <c r="F4284" t="s">
        <v>34</v>
      </c>
      <c r="G4284" t="s">
        <v>107</v>
      </c>
      <c r="H4284" t="s">
        <v>27</v>
      </c>
      <c r="I4284" t="s">
        <v>37</v>
      </c>
      <c r="J4284" t="s">
        <v>45</v>
      </c>
      <c r="K4284">
        <v>4564</v>
      </c>
      <c r="L4284">
        <v>159</v>
      </c>
      <c r="M4284">
        <v>336.46</v>
      </c>
      <c r="N4284">
        <v>10</v>
      </c>
      <c r="O4284">
        <v>965.96</v>
      </c>
      <c r="P4284">
        <f t="shared" si="264"/>
        <v>3.4837861524978087E-2</v>
      </c>
      <c r="Q4284">
        <f t="shared" si="264"/>
        <v>2.1161006289308175</v>
      </c>
      <c r="R4284">
        <f t="shared" si="265"/>
        <v>33.646000000000001</v>
      </c>
      <c r="S4284">
        <f t="shared" si="266"/>
        <v>2.8709504844558049</v>
      </c>
      <c r="T4284">
        <f t="shared" si="267"/>
        <v>6.2893081761006289E-2</v>
      </c>
      <c r="U4284" t="str">
        <f>YEAR('Campaign Data'!$A4284)&amp;"-"&amp;TEXT(MONTH('Campaign Data'!$A4284),"00")</f>
        <v>2026-08</v>
      </c>
    </row>
    <row r="4285" spans="1:21" x14ac:dyDescent="0.25">
      <c r="A4285">
        <v>46256</v>
      </c>
      <c r="B4285" t="s">
        <v>153</v>
      </c>
      <c r="C4285" t="s">
        <v>154</v>
      </c>
      <c r="D4285" t="s">
        <v>48</v>
      </c>
      <c r="E4285" t="s">
        <v>33</v>
      </c>
      <c r="F4285" t="s">
        <v>43</v>
      </c>
      <c r="G4285" t="s">
        <v>59</v>
      </c>
      <c r="H4285" t="s">
        <v>71</v>
      </c>
      <c r="I4285" t="s">
        <v>28</v>
      </c>
      <c r="J4285" t="s">
        <v>87</v>
      </c>
      <c r="K4285">
        <v>2855</v>
      </c>
      <c r="L4285">
        <v>27</v>
      </c>
      <c r="M4285">
        <v>14.04</v>
      </c>
      <c r="N4285">
        <v>0</v>
      </c>
      <c r="O4285">
        <v>0</v>
      </c>
      <c r="P4285">
        <f t="shared" si="264"/>
        <v>9.4570928196147114E-3</v>
      </c>
      <c r="Q4285">
        <f t="shared" si="264"/>
        <v>0.52</v>
      </c>
      <c r="R4285">
        <f t="shared" si="265"/>
        <v>0</v>
      </c>
      <c r="S4285">
        <f t="shared" si="266"/>
        <v>0</v>
      </c>
      <c r="T4285">
        <f t="shared" si="267"/>
        <v>0</v>
      </c>
      <c r="U4285" t="str">
        <f>YEAR('Campaign Data'!$A4285)&amp;"-"&amp;TEXT(MONTH('Campaign Data'!$A4285),"00")</f>
        <v>2026-08</v>
      </c>
    </row>
    <row r="4286" spans="1:21" x14ac:dyDescent="0.25">
      <c r="A4286">
        <v>46256</v>
      </c>
      <c r="B4286" t="s">
        <v>179</v>
      </c>
      <c r="C4286" t="s">
        <v>180</v>
      </c>
      <c r="D4286" t="s">
        <v>58</v>
      </c>
      <c r="E4286" t="s">
        <v>42</v>
      </c>
      <c r="F4286" t="s">
        <v>25</v>
      </c>
      <c r="G4286" t="s">
        <v>54</v>
      </c>
      <c r="H4286" t="s">
        <v>90</v>
      </c>
      <c r="I4286" t="s">
        <v>37</v>
      </c>
      <c r="J4286" t="s">
        <v>29</v>
      </c>
      <c r="K4286">
        <v>8718</v>
      </c>
      <c r="L4286">
        <v>25</v>
      </c>
      <c r="M4286">
        <v>40.93</v>
      </c>
      <c r="N4286">
        <v>1</v>
      </c>
      <c r="O4286">
        <v>36.67</v>
      </c>
      <c r="P4286">
        <f t="shared" si="264"/>
        <v>2.8676301904106446E-3</v>
      </c>
      <c r="Q4286">
        <f t="shared" si="264"/>
        <v>1.6372</v>
      </c>
      <c r="R4286">
        <f t="shared" si="265"/>
        <v>40.93</v>
      </c>
      <c r="S4286">
        <f t="shared" si="266"/>
        <v>0.89591986318104089</v>
      </c>
      <c r="T4286">
        <f t="shared" si="267"/>
        <v>0.04</v>
      </c>
      <c r="U4286" t="str">
        <f>YEAR('Campaign Data'!$A4286)&amp;"-"&amp;TEXT(MONTH('Campaign Data'!$A4286),"00")</f>
        <v>2026-08</v>
      </c>
    </row>
    <row r="4287" spans="1:21" x14ac:dyDescent="0.25">
      <c r="A4287">
        <v>46256</v>
      </c>
      <c r="B4287" t="s">
        <v>171</v>
      </c>
      <c r="C4287" t="s">
        <v>172</v>
      </c>
      <c r="D4287" t="s">
        <v>23</v>
      </c>
      <c r="E4287" t="s">
        <v>33</v>
      </c>
      <c r="F4287" t="s">
        <v>75</v>
      </c>
      <c r="G4287" t="s">
        <v>59</v>
      </c>
      <c r="H4287" t="s">
        <v>60</v>
      </c>
      <c r="I4287" t="s">
        <v>37</v>
      </c>
      <c r="J4287" t="s">
        <v>38</v>
      </c>
      <c r="K4287">
        <v>5247</v>
      </c>
      <c r="L4287">
        <v>26</v>
      </c>
      <c r="M4287">
        <v>19.95</v>
      </c>
      <c r="N4287">
        <v>0</v>
      </c>
      <c r="O4287">
        <v>0</v>
      </c>
      <c r="P4287">
        <f t="shared" si="264"/>
        <v>4.9552125023823133E-3</v>
      </c>
      <c r="Q4287">
        <f t="shared" si="264"/>
        <v>0.76730769230769225</v>
      </c>
      <c r="R4287">
        <f t="shared" si="265"/>
        <v>0</v>
      </c>
      <c r="S4287">
        <f t="shared" si="266"/>
        <v>0</v>
      </c>
      <c r="T4287">
        <f t="shared" si="267"/>
        <v>0</v>
      </c>
      <c r="U4287" t="str">
        <f>YEAR('Campaign Data'!$A4287)&amp;"-"&amp;TEXT(MONTH('Campaign Data'!$A4287),"00")</f>
        <v>2026-08</v>
      </c>
    </row>
    <row r="4288" spans="1:21" x14ac:dyDescent="0.25">
      <c r="A4288">
        <v>46256</v>
      </c>
      <c r="B4288" t="s">
        <v>171</v>
      </c>
      <c r="C4288" t="s">
        <v>172</v>
      </c>
      <c r="D4288" t="s">
        <v>23</v>
      </c>
      <c r="E4288" t="s">
        <v>33</v>
      </c>
      <c r="F4288" t="s">
        <v>75</v>
      </c>
      <c r="G4288" t="s">
        <v>59</v>
      </c>
      <c r="H4288" t="s">
        <v>27</v>
      </c>
      <c r="I4288" t="s">
        <v>37</v>
      </c>
      <c r="J4288" t="s">
        <v>29</v>
      </c>
      <c r="K4288">
        <v>3407</v>
      </c>
      <c r="L4288">
        <v>30</v>
      </c>
      <c r="M4288">
        <v>20.73</v>
      </c>
      <c r="N4288">
        <v>0</v>
      </c>
      <c r="O4288">
        <v>0</v>
      </c>
      <c r="P4288">
        <f t="shared" si="264"/>
        <v>8.8054006457293811E-3</v>
      </c>
      <c r="Q4288">
        <f t="shared" si="264"/>
        <v>0.69100000000000006</v>
      </c>
      <c r="R4288">
        <f t="shared" si="265"/>
        <v>0</v>
      </c>
      <c r="S4288">
        <f t="shared" si="266"/>
        <v>0</v>
      </c>
      <c r="T4288">
        <f t="shared" si="267"/>
        <v>0</v>
      </c>
      <c r="U4288" t="str">
        <f>YEAR('Campaign Data'!$A4288)&amp;"-"&amp;TEXT(MONTH('Campaign Data'!$A4288),"00")</f>
        <v>2026-08</v>
      </c>
    </row>
    <row r="4289" spans="1:21" x14ac:dyDescent="0.25">
      <c r="A4289">
        <v>46256</v>
      </c>
      <c r="B4289" t="s">
        <v>110</v>
      </c>
      <c r="C4289" t="s">
        <v>111</v>
      </c>
      <c r="D4289" t="s">
        <v>23</v>
      </c>
      <c r="E4289" t="s">
        <v>49</v>
      </c>
      <c r="F4289" t="s">
        <v>34</v>
      </c>
      <c r="G4289" t="s">
        <v>50</v>
      </c>
      <c r="H4289" t="s">
        <v>90</v>
      </c>
      <c r="I4289" t="s">
        <v>37</v>
      </c>
      <c r="J4289" t="s">
        <v>45</v>
      </c>
      <c r="K4289">
        <v>8712</v>
      </c>
      <c r="L4289">
        <v>304</v>
      </c>
      <c r="M4289">
        <v>122.59</v>
      </c>
      <c r="N4289">
        <v>23</v>
      </c>
      <c r="O4289">
        <v>451.42</v>
      </c>
      <c r="P4289">
        <f t="shared" si="264"/>
        <v>3.489439853076217E-2</v>
      </c>
      <c r="Q4289">
        <f t="shared" si="264"/>
        <v>0.40325657894736844</v>
      </c>
      <c r="R4289">
        <f t="shared" si="265"/>
        <v>5.33</v>
      </c>
      <c r="S4289">
        <f t="shared" si="266"/>
        <v>3.6823558202137208</v>
      </c>
      <c r="T4289">
        <f t="shared" si="267"/>
        <v>7.5657894736842105E-2</v>
      </c>
      <c r="U4289" t="str">
        <f>YEAR('Campaign Data'!$A4289)&amp;"-"&amp;TEXT(MONTH('Campaign Data'!$A4289),"00")</f>
        <v>2026-08</v>
      </c>
    </row>
    <row r="4290" spans="1:21" x14ac:dyDescent="0.25">
      <c r="A4290">
        <v>46256</v>
      </c>
      <c r="B4290" t="s">
        <v>155</v>
      </c>
      <c r="C4290" t="s">
        <v>156</v>
      </c>
      <c r="D4290" t="s">
        <v>32</v>
      </c>
      <c r="E4290" t="s">
        <v>24</v>
      </c>
      <c r="F4290" t="s">
        <v>34</v>
      </c>
      <c r="G4290" t="s">
        <v>129</v>
      </c>
      <c r="H4290" t="s">
        <v>90</v>
      </c>
      <c r="I4290" t="s">
        <v>37</v>
      </c>
      <c r="J4290" t="s">
        <v>87</v>
      </c>
      <c r="K4290">
        <v>2267</v>
      </c>
      <c r="L4290">
        <v>23</v>
      </c>
      <c r="M4290">
        <v>7.26</v>
      </c>
      <c r="N4290">
        <v>0</v>
      </c>
      <c r="O4290">
        <v>0</v>
      </c>
      <c r="P4290">
        <f t="shared" ref="P4290:Q4353" si="268">IF(K4290=0,0,L4290/K4290)</f>
        <v>1.0145566828407587E-2</v>
      </c>
      <c r="Q4290">
        <f t="shared" si="268"/>
        <v>0.31565217391304345</v>
      </c>
      <c r="R4290">
        <f t="shared" ref="R4290:R4353" si="269">IF(N4290=0,0,M4290/N4290)</f>
        <v>0</v>
      </c>
      <c r="S4290">
        <f t="shared" ref="S4290:S4353" si="270">IF(M4290=0,0,O4290/M4290)</f>
        <v>0</v>
      </c>
      <c r="T4290">
        <f t="shared" ref="T4290:T4353" si="271">IF(L4290=0,0,N4290/L4290)</f>
        <v>0</v>
      </c>
      <c r="U4290" t="str">
        <f>YEAR('Campaign Data'!$A4290)&amp;"-"&amp;TEXT(MONTH('Campaign Data'!$A4290),"00")</f>
        <v>2026-08</v>
      </c>
    </row>
    <row r="4291" spans="1:21" x14ac:dyDescent="0.25">
      <c r="A4291">
        <v>46256</v>
      </c>
      <c r="B4291" t="s">
        <v>134</v>
      </c>
      <c r="C4291" t="s">
        <v>135</v>
      </c>
      <c r="D4291" t="s">
        <v>32</v>
      </c>
      <c r="E4291" t="s">
        <v>74</v>
      </c>
      <c r="F4291" t="s">
        <v>25</v>
      </c>
      <c r="G4291" t="s">
        <v>107</v>
      </c>
      <c r="H4291" t="s">
        <v>90</v>
      </c>
      <c r="I4291" t="s">
        <v>28</v>
      </c>
      <c r="J4291" t="s">
        <v>87</v>
      </c>
      <c r="K4291">
        <v>2261</v>
      </c>
      <c r="L4291">
        <v>24</v>
      </c>
      <c r="M4291">
        <v>11.1</v>
      </c>
      <c r="N4291">
        <v>1</v>
      </c>
      <c r="O4291">
        <v>59.11</v>
      </c>
      <c r="P4291">
        <f t="shared" si="268"/>
        <v>1.0614772224679346E-2</v>
      </c>
      <c r="Q4291">
        <f t="shared" si="268"/>
        <v>0.46249999999999997</v>
      </c>
      <c r="R4291">
        <f t="shared" si="269"/>
        <v>11.1</v>
      </c>
      <c r="S4291">
        <f t="shared" si="270"/>
        <v>5.3252252252252257</v>
      </c>
      <c r="T4291">
        <f t="shared" si="271"/>
        <v>4.1666666666666664E-2</v>
      </c>
      <c r="U4291" t="str">
        <f>YEAR('Campaign Data'!$A4291)&amp;"-"&amp;TEXT(MONTH('Campaign Data'!$A4291),"00")</f>
        <v>2026-08</v>
      </c>
    </row>
    <row r="4292" spans="1:21" x14ac:dyDescent="0.25">
      <c r="A4292">
        <v>46256</v>
      </c>
      <c r="B4292" t="s">
        <v>181</v>
      </c>
      <c r="C4292" t="s">
        <v>182</v>
      </c>
      <c r="D4292" t="s">
        <v>32</v>
      </c>
      <c r="E4292" t="s">
        <v>33</v>
      </c>
      <c r="F4292" t="s">
        <v>75</v>
      </c>
      <c r="G4292" t="s">
        <v>59</v>
      </c>
      <c r="H4292" t="s">
        <v>36</v>
      </c>
      <c r="I4292" t="s">
        <v>37</v>
      </c>
      <c r="J4292" t="s">
        <v>87</v>
      </c>
      <c r="K4292">
        <v>4757</v>
      </c>
      <c r="L4292">
        <v>46</v>
      </c>
      <c r="M4292">
        <v>24.53</v>
      </c>
      <c r="N4292">
        <v>0</v>
      </c>
      <c r="O4292">
        <v>0</v>
      </c>
      <c r="P4292">
        <f t="shared" si="268"/>
        <v>9.6699600588606265E-3</v>
      </c>
      <c r="Q4292">
        <f t="shared" si="268"/>
        <v>0.53326086956521745</v>
      </c>
      <c r="R4292">
        <f t="shared" si="269"/>
        <v>0</v>
      </c>
      <c r="S4292">
        <f t="shared" si="270"/>
        <v>0</v>
      </c>
      <c r="T4292">
        <f t="shared" si="271"/>
        <v>0</v>
      </c>
      <c r="U4292" t="str">
        <f>YEAR('Campaign Data'!$A4292)&amp;"-"&amp;TEXT(MONTH('Campaign Data'!$A4292),"00")</f>
        <v>2026-08</v>
      </c>
    </row>
    <row r="4293" spans="1:21" x14ac:dyDescent="0.25">
      <c r="A4293">
        <v>46256</v>
      </c>
      <c r="B4293" t="s">
        <v>161</v>
      </c>
      <c r="C4293" t="s">
        <v>162</v>
      </c>
      <c r="D4293" t="s">
        <v>48</v>
      </c>
      <c r="E4293" t="s">
        <v>74</v>
      </c>
      <c r="F4293" t="s">
        <v>34</v>
      </c>
      <c r="G4293" t="s">
        <v>107</v>
      </c>
      <c r="H4293" t="s">
        <v>90</v>
      </c>
      <c r="I4293" t="s">
        <v>37</v>
      </c>
      <c r="J4293" t="s">
        <v>29</v>
      </c>
      <c r="K4293">
        <v>3141</v>
      </c>
      <c r="L4293">
        <v>100</v>
      </c>
      <c r="M4293">
        <v>48.46</v>
      </c>
      <c r="N4293">
        <v>8</v>
      </c>
      <c r="O4293">
        <v>390.92</v>
      </c>
      <c r="P4293">
        <f t="shared" si="268"/>
        <v>3.1836994587710922E-2</v>
      </c>
      <c r="Q4293">
        <f t="shared" si="268"/>
        <v>0.48460000000000003</v>
      </c>
      <c r="R4293">
        <f t="shared" si="269"/>
        <v>6.0575000000000001</v>
      </c>
      <c r="S4293">
        <f t="shared" si="270"/>
        <v>8.0668592653735036</v>
      </c>
      <c r="T4293">
        <f t="shared" si="271"/>
        <v>0.08</v>
      </c>
      <c r="U4293" t="str">
        <f>YEAR('Campaign Data'!$A4293)&amp;"-"&amp;TEXT(MONTH('Campaign Data'!$A4293),"00")</f>
        <v>2026-08</v>
      </c>
    </row>
    <row r="4294" spans="1:21" x14ac:dyDescent="0.25">
      <c r="A4294">
        <v>46256</v>
      </c>
      <c r="B4294" t="s">
        <v>136</v>
      </c>
      <c r="C4294" t="s">
        <v>137</v>
      </c>
      <c r="D4294" t="s">
        <v>32</v>
      </c>
      <c r="E4294" t="s">
        <v>49</v>
      </c>
      <c r="F4294" t="s">
        <v>75</v>
      </c>
      <c r="G4294" t="s">
        <v>97</v>
      </c>
      <c r="H4294" t="s">
        <v>71</v>
      </c>
      <c r="I4294" t="s">
        <v>37</v>
      </c>
      <c r="J4294" t="s">
        <v>29</v>
      </c>
      <c r="K4294">
        <v>2721</v>
      </c>
      <c r="L4294">
        <v>146</v>
      </c>
      <c r="M4294">
        <v>242.54</v>
      </c>
      <c r="N4294">
        <v>3</v>
      </c>
      <c r="O4294">
        <v>77.790000000000006</v>
      </c>
      <c r="P4294">
        <f t="shared" si="268"/>
        <v>5.3656743844174938E-2</v>
      </c>
      <c r="Q4294">
        <f t="shared" si="268"/>
        <v>1.6612328767123288</v>
      </c>
      <c r="R4294">
        <f t="shared" si="269"/>
        <v>80.846666666666664</v>
      </c>
      <c r="S4294">
        <f t="shared" si="270"/>
        <v>0.32073060113795665</v>
      </c>
      <c r="T4294">
        <f t="shared" si="271"/>
        <v>2.0547945205479451E-2</v>
      </c>
      <c r="U4294" t="str">
        <f>YEAR('Campaign Data'!$A4294)&amp;"-"&amp;TEXT(MONTH('Campaign Data'!$A4294),"00")</f>
        <v>2026-08</v>
      </c>
    </row>
    <row r="4295" spans="1:21" x14ac:dyDescent="0.25">
      <c r="A4295">
        <v>46256</v>
      </c>
      <c r="B4295" t="s">
        <v>143</v>
      </c>
      <c r="C4295" t="s">
        <v>144</v>
      </c>
      <c r="D4295" t="s">
        <v>48</v>
      </c>
      <c r="E4295" t="s">
        <v>42</v>
      </c>
      <c r="F4295" t="s">
        <v>25</v>
      </c>
      <c r="G4295" t="s">
        <v>84</v>
      </c>
      <c r="H4295" t="s">
        <v>27</v>
      </c>
      <c r="I4295" t="s">
        <v>61</v>
      </c>
      <c r="J4295" t="s">
        <v>38</v>
      </c>
      <c r="K4295">
        <v>3980</v>
      </c>
      <c r="L4295">
        <v>16</v>
      </c>
      <c r="M4295">
        <v>102.82</v>
      </c>
      <c r="N4295">
        <v>0</v>
      </c>
      <c r="O4295">
        <v>0</v>
      </c>
      <c r="P4295">
        <f t="shared" si="268"/>
        <v>4.0201005025125632E-3</v>
      </c>
      <c r="Q4295">
        <f t="shared" si="268"/>
        <v>6.4262499999999996</v>
      </c>
      <c r="R4295">
        <f t="shared" si="269"/>
        <v>0</v>
      </c>
      <c r="S4295">
        <f t="shared" si="270"/>
        <v>0</v>
      </c>
      <c r="T4295">
        <f t="shared" si="271"/>
        <v>0</v>
      </c>
      <c r="U4295" t="str">
        <f>YEAR('Campaign Data'!$A4295)&amp;"-"&amp;TEXT(MONTH('Campaign Data'!$A4295),"00")</f>
        <v>2026-08</v>
      </c>
    </row>
    <row r="4296" spans="1:21" x14ac:dyDescent="0.25">
      <c r="A4296">
        <v>46256</v>
      </c>
      <c r="B4296" t="s">
        <v>116</v>
      </c>
      <c r="C4296" t="s">
        <v>117</v>
      </c>
      <c r="D4296" t="s">
        <v>48</v>
      </c>
      <c r="E4296" t="s">
        <v>24</v>
      </c>
      <c r="F4296" t="s">
        <v>43</v>
      </c>
      <c r="G4296" t="s">
        <v>26</v>
      </c>
      <c r="H4296" t="s">
        <v>55</v>
      </c>
      <c r="I4296" t="s">
        <v>28</v>
      </c>
      <c r="J4296" t="s">
        <v>62</v>
      </c>
      <c r="K4296">
        <v>4918</v>
      </c>
      <c r="L4296">
        <v>87</v>
      </c>
      <c r="M4296">
        <v>87.88</v>
      </c>
      <c r="N4296">
        <v>2</v>
      </c>
      <c r="O4296">
        <v>46.95</v>
      </c>
      <c r="P4296">
        <f t="shared" si="268"/>
        <v>1.7690117934119561E-2</v>
      </c>
      <c r="Q4296">
        <f t="shared" si="268"/>
        <v>1.0101149425287357</v>
      </c>
      <c r="R4296">
        <f t="shared" si="269"/>
        <v>43.94</v>
      </c>
      <c r="S4296">
        <f t="shared" si="270"/>
        <v>0.53425125170687304</v>
      </c>
      <c r="T4296">
        <f t="shared" si="271"/>
        <v>2.2988505747126436E-2</v>
      </c>
      <c r="U4296" t="str">
        <f>YEAR('Campaign Data'!$A4296)&amp;"-"&amp;TEXT(MONTH('Campaign Data'!$A4296),"00")</f>
        <v>2026-08</v>
      </c>
    </row>
    <row r="4297" spans="1:21" x14ac:dyDescent="0.25">
      <c r="A4297">
        <v>46257</v>
      </c>
      <c r="B4297" t="s">
        <v>151</v>
      </c>
      <c r="C4297" t="s">
        <v>152</v>
      </c>
      <c r="D4297" t="s">
        <v>48</v>
      </c>
      <c r="E4297" t="s">
        <v>24</v>
      </c>
      <c r="F4297" t="s">
        <v>81</v>
      </c>
      <c r="G4297" t="s">
        <v>129</v>
      </c>
      <c r="H4297" t="s">
        <v>27</v>
      </c>
      <c r="I4297" t="s">
        <v>37</v>
      </c>
      <c r="J4297" t="s">
        <v>38</v>
      </c>
      <c r="K4297">
        <v>2475</v>
      </c>
      <c r="L4297">
        <v>17</v>
      </c>
      <c r="M4297">
        <v>14.43</v>
      </c>
      <c r="N4297">
        <v>0</v>
      </c>
      <c r="O4297">
        <v>0</v>
      </c>
      <c r="P4297">
        <f t="shared" si="268"/>
        <v>6.8686868686868687E-3</v>
      </c>
      <c r="Q4297">
        <f t="shared" si="268"/>
        <v>0.84882352941176464</v>
      </c>
      <c r="R4297">
        <f t="shared" si="269"/>
        <v>0</v>
      </c>
      <c r="S4297">
        <f t="shared" si="270"/>
        <v>0</v>
      </c>
      <c r="T4297">
        <f t="shared" si="271"/>
        <v>0</v>
      </c>
      <c r="U4297" t="str">
        <f>YEAR('Campaign Data'!$A4297)&amp;"-"&amp;TEXT(MONTH('Campaign Data'!$A4297),"00")</f>
        <v>2026-08</v>
      </c>
    </row>
    <row r="4298" spans="1:21" x14ac:dyDescent="0.25">
      <c r="A4298">
        <v>46257</v>
      </c>
      <c r="B4298" t="s">
        <v>46</v>
      </c>
      <c r="C4298" t="s">
        <v>47</v>
      </c>
      <c r="D4298" t="s">
        <v>48</v>
      </c>
      <c r="E4298" t="s">
        <v>49</v>
      </c>
      <c r="F4298" t="s">
        <v>43</v>
      </c>
      <c r="G4298" t="s">
        <v>50</v>
      </c>
      <c r="H4298" t="s">
        <v>90</v>
      </c>
      <c r="I4298" t="s">
        <v>37</v>
      </c>
      <c r="J4298" t="s">
        <v>45</v>
      </c>
      <c r="K4298">
        <v>8902</v>
      </c>
      <c r="L4298">
        <v>506</v>
      </c>
      <c r="M4298">
        <v>247.67</v>
      </c>
      <c r="N4298">
        <v>14</v>
      </c>
      <c r="O4298">
        <v>75.569999999999993</v>
      </c>
      <c r="P4298">
        <f t="shared" si="268"/>
        <v>5.6841159290047183E-2</v>
      </c>
      <c r="Q4298">
        <f t="shared" si="268"/>
        <v>0.48946640316205531</v>
      </c>
      <c r="R4298">
        <f t="shared" si="269"/>
        <v>17.690714285714286</v>
      </c>
      <c r="S4298">
        <f t="shared" si="270"/>
        <v>0.30512375338151571</v>
      </c>
      <c r="T4298">
        <f t="shared" si="271"/>
        <v>2.766798418972332E-2</v>
      </c>
      <c r="U4298" t="str">
        <f>YEAR('Campaign Data'!$A4298)&amp;"-"&amp;TEXT(MONTH('Campaign Data'!$A4298),"00")</f>
        <v>2026-08</v>
      </c>
    </row>
    <row r="4299" spans="1:21" x14ac:dyDescent="0.25">
      <c r="A4299">
        <v>46257</v>
      </c>
      <c r="B4299" t="s">
        <v>169</v>
      </c>
      <c r="C4299" t="s">
        <v>170</v>
      </c>
      <c r="D4299" t="s">
        <v>58</v>
      </c>
      <c r="E4299" t="s">
        <v>74</v>
      </c>
      <c r="F4299" t="s">
        <v>75</v>
      </c>
      <c r="G4299" t="s">
        <v>9</v>
      </c>
      <c r="H4299" t="s">
        <v>90</v>
      </c>
      <c r="I4299" t="s">
        <v>37</v>
      </c>
      <c r="J4299" t="s">
        <v>29</v>
      </c>
      <c r="K4299">
        <v>7386</v>
      </c>
      <c r="L4299">
        <v>259</v>
      </c>
      <c r="M4299">
        <v>79.23</v>
      </c>
      <c r="N4299">
        <v>11</v>
      </c>
      <c r="O4299">
        <v>55</v>
      </c>
      <c r="P4299">
        <f t="shared" si="268"/>
        <v>3.5066341727592744E-2</v>
      </c>
      <c r="Q4299">
        <f t="shared" si="268"/>
        <v>0.30590733590733593</v>
      </c>
      <c r="R4299">
        <f t="shared" si="269"/>
        <v>7.2027272727272731</v>
      </c>
      <c r="S4299">
        <f t="shared" si="270"/>
        <v>0.69418149690773689</v>
      </c>
      <c r="T4299">
        <f t="shared" si="271"/>
        <v>4.2471042471042469E-2</v>
      </c>
      <c r="U4299" t="str">
        <f>YEAR('Campaign Data'!$A4299)&amp;"-"&amp;TEXT(MONTH('Campaign Data'!$A4299),"00")</f>
        <v>2026-08</v>
      </c>
    </row>
    <row r="4300" spans="1:21" x14ac:dyDescent="0.25">
      <c r="A4300">
        <v>46257</v>
      </c>
      <c r="B4300" t="s">
        <v>127</v>
      </c>
      <c r="C4300" t="s">
        <v>128</v>
      </c>
      <c r="D4300" t="s">
        <v>58</v>
      </c>
      <c r="E4300" t="s">
        <v>24</v>
      </c>
      <c r="F4300" t="s">
        <v>81</v>
      </c>
      <c r="G4300" t="s">
        <v>129</v>
      </c>
      <c r="H4300" t="s">
        <v>27</v>
      </c>
      <c r="I4300" t="s">
        <v>37</v>
      </c>
      <c r="J4300" t="s">
        <v>87</v>
      </c>
      <c r="K4300">
        <v>4232</v>
      </c>
      <c r="L4300">
        <v>55</v>
      </c>
      <c r="M4300">
        <v>69.41</v>
      </c>
      <c r="N4300">
        <v>2</v>
      </c>
      <c r="O4300">
        <v>56.72</v>
      </c>
      <c r="P4300">
        <f t="shared" si="268"/>
        <v>1.2996219281663515E-2</v>
      </c>
      <c r="Q4300">
        <f t="shared" si="268"/>
        <v>1.262</v>
      </c>
      <c r="R4300">
        <f t="shared" si="269"/>
        <v>34.704999999999998</v>
      </c>
      <c r="S4300">
        <f t="shared" si="270"/>
        <v>0.81717331796571102</v>
      </c>
      <c r="T4300">
        <f t="shared" si="271"/>
        <v>3.6363636363636362E-2</v>
      </c>
      <c r="U4300" t="str">
        <f>YEAR('Campaign Data'!$A4300)&amp;"-"&amp;TEXT(MONTH('Campaign Data'!$A4300),"00")</f>
        <v>2026-08</v>
      </c>
    </row>
    <row r="4301" spans="1:21" x14ac:dyDescent="0.25">
      <c r="A4301">
        <v>46257</v>
      </c>
      <c r="B4301" t="s">
        <v>171</v>
      </c>
      <c r="C4301" t="s">
        <v>172</v>
      </c>
      <c r="D4301" t="s">
        <v>23</v>
      </c>
      <c r="E4301" t="s">
        <v>33</v>
      </c>
      <c r="F4301" t="s">
        <v>75</v>
      </c>
      <c r="G4301" t="s">
        <v>59</v>
      </c>
      <c r="H4301" t="s">
        <v>36</v>
      </c>
      <c r="I4301" t="s">
        <v>37</v>
      </c>
      <c r="J4301" t="s">
        <v>45</v>
      </c>
      <c r="K4301">
        <v>4626</v>
      </c>
      <c r="L4301">
        <v>52</v>
      </c>
      <c r="M4301">
        <v>41.82</v>
      </c>
      <c r="N4301">
        <v>0</v>
      </c>
      <c r="O4301">
        <v>0</v>
      </c>
      <c r="P4301">
        <f t="shared" si="268"/>
        <v>1.1240812797233031E-2</v>
      </c>
      <c r="Q4301">
        <f t="shared" si="268"/>
        <v>0.80423076923076919</v>
      </c>
      <c r="R4301">
        <f t="shared" si="269"/>
        <v>0</v>
      </c>
      <c r="S4301">
        <f t="shared" si="270"/>
        <v>0</v>
      </c>
      <c r="T4301">
        <f t="shared" si="271"/>
        <v>0</v>
      </c>
      <c r="U4301" t="str">
        <f>YEAR('Campaign Data'!$A4301)&amp;"-"&amp;TEXT(MONTH('Campaign Data'!$A4301),"00")</f>
        <v>2026-08</v>
      </c>
    </row>
    <row r="4302" spans="1:21" x14ac:dyDescent="0.25">
      <c r="A4302">
        <v>46257</v>
      </c>
      <c r="B4302" t="s">
        <v>157</v>
      </c>
      <c r="C4302" t="s">
        <v>158</v>
      </c>
      <c r="D4302" t="s">
        <v>58</v>
      </c>
      <c r="E4302" t="s">
        <v>49</v>
      </c>
      <c r="F4302" t="s">
        <v>81</v>
      </c>
      <c r="G4302" t="s">
        <v>50</v>
      </c>
      <c r="H4302" t="s">
        <v>90</v>
      </c>
      <c r="I4302" t="s">
        <v>28</v>
      </c>
      <c r="J4302" t="s">
        <v>87</v>
      </c>
      <c r="K4302">
        <v>1631</v>
      </c>
      <c r="L4302">
        <v>83</v>
      </c>
      <c r="M4302">
        <v>32.81</v>
      </c>
      <c r="N4302">
        <v>9</v>
      </c>
      <c r="O4302">
        <v>47.53</v>
      </c>
      <c r="P4302">
        <f t="shared" si="268"/>
        <v>5.0889025137952175E-2</v>
      </c>
      <c r="Q4302">
        <f t="shared" si="268"/>
        <v>0.39530120481927716</v>
      </c>
      <c r="R4302">
        <f t="shared" si="269"/>
        <v>3.6455555555555557</v>
      </c>
      <c r="S4302">
        <f t="shared" si="270"/>
        <v>1.448643706187138</v>
      </c>
      <c r="T4302">
        <f t="shared" si="271"/>
        <v>0.10843373493975904</v>
      </c>
      <c r="U4302" t="str">
        <f>YEAR('Campaign Data'!$A4302)&amp;"-"&amp;TEXT(MONTH('Campaign Data'!$A4302),"00")</f>
        <v>2026-08</v>
      </c>
    </row>
    <row r="4303" spans="1:21" x14ac:dyDescent="0.25">
      <c r="A4303">
        <v>46257</v>
      </c>
      <c r="B4303" t="s">
        <v>112</v>
      </c>
      <c r="C4303" t="s">
        <v>113</v>
      </c>
      <c r="D4303" t="s">
        <v>32</v>
      </c>
      <c r="E4303" t="s">
        <v>24</v>
      </c>
      <c r="F4303" t="s">
        <v>75</v>
      </c>
      <c r="G4303" t="s">
        <v>66</v>
      </c>
      <c r="H4303" t="s">
        <v>27</v>
      </c>
      <c r="I4303" t="s">
        <v>37</v>
      </c>
      <c r="J4303" t="s">
        <v>38</v>
      </c>
      <c r="K4303">
        <v>2703</v>
      </c>
      <c r="L4303">
        <v>51</v>
      </c>
      <c r="M4303">
        <v>59.85</v>
      </c>
      <c r="N4303">
        <v>1</v>
      </c>
      <c r="O4303">
        <v>33.83</v>
      </c>
      <c r="P4303">
        <f t="shared" si="268"/>
        <v>1.8867924528301886E-2</v>
      </c>
      <c r="Q4303">
        <f t="shared" si="268"/>
        <v>1.1735294117647059</v>
      </c>
      <c r="R4303">
        <f t="shared" si="269"/>
        <v>59.85</v>
      </c>
      <c r="S4303">
        <f t="shared" si="270"/>
        <v>0.56524644945697577</v>
      </c>
      <c r="T4303">
        <f t="shared" si="271"/>
        <v>1.9607843137254902E-2</v>
      </c>
      <c r="U4303" t="str">
        <f>YEAR('Campaign Data'!$A4303)&amp;"-"&amp;TEXT(MONTH('Campaign Data'!$A4303),"00")</f>
        <v>2026-08</v>
      </c>
    </row>
    <row r="4304" spans="1:21" x14ac:dyDescent="0.25">
      <c r="A4304">
        <v>46257</v>
      </c>
      <c r="B4304" t="s">
        <v>181</v>
      </c>
      <c r="C4304" t="s">
        <v>182</v>
      </c>
      <c r="D4304" t="s">
        <v>32</v>
      </c>
      <c r="E4304" t="s">
        <v>33</v>
      </c>
      <c r="F4304" t="s">
        <v>75</v>
      </c>
      <c r="G4304" t="s">
        <v>59</v>
      </c>
      <c r="H4304" t="s">
        <v>90</v>
      </c>
      <c r="I4304" t="s">
        <v>28</v>
      </c>
      <c r="J4304" t="s">
        <v>87</v>
      </c>
      <c r="K4304">
        <v>11028</v>
      </c>
      <c r="L4304">
        <v>41</v>
      </c>
      <c r="M4304">
        <v>5.9</v>
      </c>
      <c r="N4304">
        <v>0</v>
      </c>
      <c r="O4304">
        <v>0</v>
      </c>
      <c r="P4304">
        <f t="shared" si="268"/>
        <v>3.7178092129125863E-3</v>
      </c>
      <c r="Q4304">
        <f t="shared" si="268"/>
        <v>0.14390243902439026</v>
      </c>
      <c r="R4304">
        <f t="shared" si="269"/>
        <v>0</v>
      </c>
      <c r="S4304">
        <f t="shared" si="270"/>
        <v>0</v>
      </c>
      <c r="T4304">
        <f t="shared" si="271"/>
        <v>0</v>
      </c>
      <c r="U4304" t="str">
        <f>YEAR('Campaign Data'!$A4304)&amp;"-"&amp;TEXT(MONTH('Campaign Data'!$A4304),"00")</f>
        <v>2026-08</v>
      </c>
    </row>
    <row r="4305" spans="1:21" x14ac:dyDescent="0.25">
      <c r="A4305">
        <v>46257</v>
      </c>
      <c r="B4305" t="s">
        <v>161</v>
      </c>
      <c r="C4305" t="s">
        <v>162</v>
      </c>
      <c r="D4305" t="s">
        <v>48</v>
      </c>
      <c r="E4305" t="s">
        <v>74</v>
      </c>
      <c r="F4305" t="s">
        <v>34</v>
      </c>
      <c r="G4305" t="s">
        <v>107</v>
      </c>
      <c r="H4305" t="s">
        <v>71</v>
      </c>
      <c r="I4305" t="s">
        <v>61</v>
      </c>
      <c r="J4305" t="s">
        <v>62</v>
      </c>
      <c r="K4305">
        <v>3397</v>
      </c>
      <c r="L4305">
        <v>141</v>
      </c>
      <c r="M4305">
        <v>181.09</v>
      </c>
      <c r="N4305">
        <v>10</v>
      </c>
      <c r="O4305">
        <v>1062.73</v>
      </c>
      <c r="P4305">
        <f t="shared" si="268"/>
        <v>4.1507212246099497E-2</v>
      </c>
      <c r="Q4305">
        <f t="shared" si="268"/>
        <v>1.2843262411347518</v>
      </c>
      <c r="R4305">
        <f t="shared" si="269"/>
        <v>18.109000000000002</v>
      </c>
      <c r="S4305">
        <f t="shared" si="270"/>
        <v>5.8685184162571096</v>
      </c>
      <c r="T4305">
        <f t="shared" si="271"/>
        <v>7.0921985815602842E-2</v>
      </c>
      <c r="U4305" t="str">
        <f>YEAR('Campaign Data'!$A4305)&amp;"-"&amp;TEXT(MONTH('Campaign Data'!$A4305),"00")</f>
        <v>2026-08</v>
      </c>
    </row>
    <row r="4306" spans="1:21" x14ac:dyDescent="0.25">
      <c r="A4306">
        <v>46257</v>
      </c>
      <c r="B4306" t="s">
        <v>114</v>
      </c>
      <c r="C4306" t="s">
        <v>115</v>
      </c>
      <c r="D4306" t="s">
        <v>69</v>
      </c>
      <c r="E4306" t="s">
        <v>49</v>
      </c>
      <c r="F4306" t="s">
        <v>25</v>
      </c>
      <c r="G4306" t="s">
        <v>107</v>
      </c>
      <c r="H4306" t="s">
        <v>27</v>
      </c>
      <c r="I4306" t="s">
        <v>37</v>
      </c>
      <c r="J4306" t="s">
        <v>62</v>
      </c>
      <c r="K4306">
        <v>3371</v>
      </c>
      <c r="L4306">
        <v>196</v>
      </c>
      <c r="M4306">
        <v>397.93</v>
      </c>
      <c r="N4306">
        <v>16</v>
      </c>
      <c r="O4306">
        <v>3152.92</v>
      </c>
      <c r="P4306">
        <f t="shared" si="268"/>
        <v>5.8142984277662416E-2</v>
      </c>
      <c r="Q4306">
        <f t="shared" si="268"/>
        <v>2.0302551020408162</v>
      </c>
      <c r="R4306">
        <f t="shared" si="269"/>
        <v>24.870625</v>
      </c>
      <c r="S4306">
        <f t="shared" si="270"/>
        <v>7.9233030935089088</v>
      </c>
      <c r="T4306">
        <f t="shared" si="271"/>
        <v>8.1632653061224483E-2</v>
      </c>
      <c r="U4306" t="str">
        <f>YEAR('Campaign Data'!$A4306)&amp;"-"&amp;TEXT(MONTH('Campaign Data'!$A4306),"00")</f>
        <v>2026-08</v>
      </c>
    </row>
    <row r="4307" spans="1:21" x14ac:dyDescent="0.25">
      <c r="A4307">
        <v>46257</v>
      </c>
      <c r="B4307" t="s">
        <v>136</v>
      </c>
      <c r="C4307" t="s">
        <v>137</v>
      </c>
      <c r="D4307" t="s">
        <v>32</v>
      </c>
      <c r="E4307" t="s">
        <v>49</v>
      </c>
      <c r="F4307" t="s">
        <v>75</v>
      </c>
      <c r="G4307" t="s">
        <v>97</v>
      </c>
      <c r="H4307" t="s">
        <v>90</v>
      </c>
      <c r="I4307" t="s">
        <v>37</v>
      </c>
      <c r="J4307" t="s">
        <v>45</v>
      </c>
      <c r="K4307">
        <v>4683</v>
      </c>
      <c r="L4307">
        <v>164</v>
      </c>
      <c r="M4307">
        <v>84.03</v>
      </c>
      <c r="N4307">
        <v>8</v>
      </c>
      <c r="O4307">
        <v>65.64</v>
      </c>
      <c r="P4307">
        <f t="shared" si="268"/>
        <v>3.5020286141362378E-2</v>
      </c>
      <c r="Q4307">
        <f t="shared" si="268"/>
        <v>0.51237804878048776</v>
      </c>
      <c r="R4307">
        <f t="shared" si="269"/>
        <v>10.50375</v>
      </c>
      <c r="S4307">
        <f t="shared" si="270"/>
        <v>0.78114958943234558</v>
      </c>
      <c r="T4307">
        <f t="shared" si="271"/>
        <v>4.878048780487805E-2</v>
      </c>
      <c r="U4307" t="str">
        <f>YEAR('Campaign Data'!$A4307)&amp;"-"&amp;TEXT(MONTH('Campaign Data'!$A4307),"00")</f>
        <v>2026-08</v>
      </c>
    </row>
    <row r="4308" spans="1:21" x14ac:dyDescent="0.25">
      <c r="A4308">
        <v>46257</v>
      </c>
      <c r="B4308" t="s">
        <v>63</v>
      </c>
      <c r="C4308" t="s">
        <v>64</v>
      </c>
      <c r="D4308" t="s">
        <v>65</v>
      </c>
      <c r="E4308" t="s">
        <v>24</v>
      </c>
      <c r="F4308" t="s">
        <v>43</v>
      </c>
      <c r="G4308" t="s">
        <v>66</v>
      </c>
      <c r="H4308" t="s">
        <v>90</v>
      </c>
      <c r="I4308" t="s">
        <v>28</v>
      </c>
      <c r="J4308" t="s">
        <v>45</v>
      </c>
      <c r="K4308">
        <v>3596</v>
      </c>
      <c r="L4308">
        <v>48</v>
      </c>
      <c r="M4308">
        <v>12.91</v>
      </c>
      <c r="N4308">
        <v>3</v>
      </c>
      <c r="O4308">
        <v>26.31</v>
      </c>
      <c r="P4308">
        <f t="shared" si="268"/>
        <v>1.3348164627363738E-2</v>
      </c>
      <c r="Q4308">
        <f t="shared" si="268"/>
        <v>0.26895833333333335</v>
      </c>
      <c r="R4308">
        <f t="shared" si="269"/>
        <v>4.3033333333333337</v>
      </c>
      <c r="S4308">
        <f t="shared" si="270"/>
        <v>2.037955073586367</v>
      </c>
      <c r="T4308">
        <f t="shared" si="271"/>
        <v>6.25E-2</v>
      </c>
      <c r="U4308" t="str">
        <f>YEAR('Campaign Data'!$A4308)&amp;"-"&amp;TEXT(MONTH('Campaign Data'!$A4308),"00")</f>
        <v>2026-08</v>
      </c>
    </row>
    <row r="4309" spans="1:21" x14ac:dyDescent="0.25">
      <c r="A4309">
        <v>46257</v>
      </c>
      <c r="B4309" t="s">
        <v>183</v>
      </c>
      <c r="C4309" t="s">
        <v>184</v>
      </c>
      <c r="D4309" t="s">
        <v>23</v>
      </c>
      <c r="E4309" t="s">
        <v>24</v>
      </c>
      <c r="F4309" t="s">
        <v>81</v>
      </c>
      <c r="G4309" t="s">
        <v>185</v>
      </c>
      <c r="H4309" t="s">
        <v>27</v>
      </c>
      <c r="I4309" t="s">
        <v>37</v>
      </c>
      <c r="J4309" t="s">
        <v>87</v>
      </c>
      <c r="K4309">
        <v>8356</v>
      </c>
      <c r="L4309">
        <v>144</v>
      </c>
      <c r="M4309">
        <v>222.05</v>
      </c>
      <c r="N4309">
        <v>3</v>
      </c>
      <c r="O4309">
        <v>59.04</v>
      </c>
      <c r="P4309">
        <f t="shared" si="268"/>
        <v>1.723312589755864E-2</v>
      </c>
      <c r="Q4309">
        <f t="shared" si="268"/>
        <v>1.542013888888889</v>
      </c>
      <c r="R4309">
        <f t="shared" si="269"/>
        <v>74.016666666666666</v>
      </c>
      <c r="S4309">
        <f t="shared" si="270"/>
        <v>0.26588606169781581</v>
      </c>
      <c r="T4309">
        <f t="shared" si="271"/>
        <v>2.0833333333333332E-2</v>
      </c>
      <c r="U4309" t="str">
        <f>YEAR('Campaign Data'!$A4309)&amp;"-"&amp;TEXT(MONTH('Campaign Data'!$A4309),"00")</f>
        <v>2026-08</v>
      </c>
    </row>
    <row r="4310" spans="1:21" x14ac:dyDescent="0.25">
      <c r="A4310">
        <v>46257</v>
      </c>
      <c r="B4310" t="s">
        <v>72</v>
      </c>
      <c r="C4310" t="s">
        <v>73</v>
      </c>
      <c r="D4310" t="s">
        <v>69</v>
      </c>
      <c r="E4310" t="s">
        <v>74</v>
      </c>
      <c r="F4310" t="s">
        <v>75</v>
      </c>
      <c r="G4310" t="s">
        <v>9</v>
      </c>
      <c r="H4310" t="s">
        <v>27</v>
      </c>
      <c r="I4310" t="s">
        <v>37</v>
      </c>
      <c r="J4310" t="s">
        <v>62</v>
      </c>
      <c r="K4310">
        <v>2795</v>
      </c>
      <c r="L4310">
        <v>107</v>
      </c>
      <c r="M4310">
        <v>148.26</v>
      </c>
      <c r="N4310">
        <v>6</v>
      </c>
      <c r="O4310">
        <v>276.74</v>
      </c>
      <c r="P4310">
        <f t="shared" si="268"/>
        <v>3.8282647584973163E-2</v>
      </c>
      <c r="Q4310">
        <f t="shared" si="268"/>
        <v>1.385607476635514</v>
      </c>
      <c r="R4310">
        <f t="shared" si="269"/>
        <v>24.709999999999997</v>
      </c>
      <c r="S4310">
        <f t="shared" si="270"/>
        <v>1.8665857277755296</v>
      </c>
      <c r="T4310">
        <f t="shared" si="271"/>
        <v>5.6074766355140186E-2</v>
      </c>
      <c r="U4310" t="str">
        <f>YEAR('Campaign Data'!$A4310)&amp;"-"&amp;TEXT(MONTH('Campaign Data'!$A4310),"00")</f>
        <v>2026-08</v>
      </c>
    </row>
    <row r="4311" spans="1:21" x14ac:dyDescent="0.25">
      <c r="A4311">
        <v>46257</v>
      </c>
      <c r="B4311" t="s">
        <v>163</v>
      </c>
      <c r="C4311" t="s">
        <v>164</v>
      </c>
      <c r="D4311" t="s">
        <v>58</v>
      </c>
      <c r="E4311" t="s">
        <v>42</v>
      </c>
      <c r="F4311" t="s">
        <v>43</v>
      </c>
      <c r="G4311" t="s">
        <v>44</v>
      </c>
      <c r="H4311" t="s">
        <v>27</v>
      </c>
      <c r="I4311" t="s">
        <v>61</v>
      </c>
      <c r="J4311" t="s">
        <v>45</v>
      </c>
      <c r="K4311">
        <v>5200</v>
      </c>
      <c r="L4311">
        <v>33</v>
      </c>
      <c r="M4311">
        <v>263.08</v>
      </c>
      <c r="N4311">
        <v>1</v>
      </c>
      <c r="O4311">
        <v>21.29</v>
      </c>
      <c r="P4311">
        <f t="shared" si="268"/>
        <v>6.346153846153846E-3</v>
      </c>
      <c r="Q4311">
        <f t="shared" si="268"/>
        <v>7.9721212121212117</v>
      </c>
      <c r="R4311">
        <f t="shared" si="269"/>
        <v>263.08</v>
      </c>
      <c r="S4311">
        <f t="shared" si="270"/>
        <v>8.0925954082408394E-2</v>
      </c>
      <c r="T4311">
        <f t="shared" si="271"/>
        <v>3.0303030303030304E-2</v>
      </c>
      <c r="U4311" t="str">
        <f>YEAR('Campaign Data'!$A4311)&amp;"-"&amp;TEXT(MONTH('Campaign Data'!$A4311),"00")</f>
        <v>2026-08</v>
      </c>
    </row>
    <row r="4312" spans="1:21" x14ac:dyDescent="0.25">
      <c r="A4312">
        <v>46258</v>
      </c>
      <c r="B4312" t="s">
        <v>85</v>
      </c>
      <c r="C4312" t="s">
        <v>86</v>
      </c>
      <c r="D4312" t="s">
        <v>80</v>
      </c>
      <c r="E4312" t="s">
        <v>33</v>
      </c>
      <c r="F4312" t="s">
        <v>43</v>
      </c>
      <c r="G4312" t="s">
        <v>35</v>
      </c>
      <c r="H4312" t="s">
        <v>27</v>
      </c>
      <c r="I4312" t="s">
        <v>61</v>
      </c>
      <c r="J4312" t="s">
        <v>38</v>
      </c>
      <c r="K4312">
        <v>6771</v>
      </c>
      <c r="L4312">
        <v>39</v>
      </c>
      <c r="M4312">
        <v>28.66</v>
      </c>
      <c r="N4312">
        <v>1</v>
      </c>
      <c r="O4312">
        <v>21.25</v>
      </c>
      <c r="P4312">
        <f t="shared" si="268"/>
        <v>5.7598582188746125E-3</v>
      </c>
      <c r="Q4312">
        <f t="shared" si="268"/>
        <v>0.73487179487179488</v>
      </c>
      <c r="R4312">
        <f t="shared" si="269"/>
        <v>28.66</v>
      </c>
      <c r="S4312">
        <f t="shared" si="270"/>
        <v>0.74145150034891838</v>
      </c>
      <c r="T4312">
        <f t="shared" si="271"/>
        <v>2.564102564102564E-2</v>
      </c>
      <c r="U4312" t="str">
        <f>YEAR('Campaign Data'!$A4312)&amp;"-"&amp;TEXT(MONTH('Campaign Data'!$A4312),"00")</f>
        <v>2026-08</v>
      </c>
    </row>
    <row r="4313" spans="1:21" x14ac:dyDescent="0.25">
      <c r="A4313">
        <v>46258</v>
      </c>
      <c r="B4313" t="s">
        <v>88</v>
      </c>
      <c r="C4313" t="s">
        <v>89</v>
      </c>
      <c r="D4313" t="s">
        <v>23</v>
      </c>
      <c r="E4313" t="s">
        <v>49</v>
      </c>
      <c r="F4313" t="s">
        <v>81</v>
      </c>
      <c r="G4313" t="s">
        <v>50</v>
      </c>
      <c r="H4313" t="s">
        <v>27</v>
      </c>
      <c r="I4313" t="s">
        <v>28</v>
      </c>
      <c r="J4313" t="s">
        <v>29</v>
      </c>
      <c r="K4313">
        <v>7976</v>
      </c>
      <c r="L4313">
        <v>231</v>
      </c>
      <c r="M4313">
        <v>734.5</v>
      </c>
      <c r="N4313">
        <v>8</v>
      </c>
      <c r="O4313">
        <v>104.82</v>
      </c>
      <c r="P4313">
        <f t="shared" si="268"/>
        <v>2.8961885656970911E-2</v>
      </c>
      <c r="Q4313">
        <f t="shared" si="268"/>
        <v>3.1796536796536796</v>
      </c>
      <c r="R4313">
        <f t="shared" si="269"/>
        <v>91.8125</v>
      </c>
      <c r="S4313">
        <f t="shared" si="270"/>
        <v>0.14270932607215792</v>
      </c>
      <c r="T4313">
        <f t="shared" si="271"/>
        <v>3.4632034632034632E-2</v>
      </c>
      <c r="U4313" t="str">
        <f>YEAR('Campaign Data'!$A4313)&amp;"-"&amp;TEXT(MONTH('Campaign Data'!$A4313),"00")</f>
        <v>2026-08</v>
      </c>
    </row>
    <row r="4314" spans="1:21" x14ac:dyDescent="0.25">
      <c r="A4314">
        <v>46258</v>
      </c>
      <c r="B4314" t="s">
        <v>167</v>
      </c>
      <c r="C4314" t="s">
        <v>168</v>
      </c>
      <c r="D4314" t="s">
        <v>58</v>
      </c>
      <c r="E4314" t="s">
        <v>33</v>
      </c>
      <c r="F4314" t="s">
        <v>75</v>
      </c>
      <c r="G4314" t="s">
        <v>35</v>
      </c>
      <c r="H4314" t="s">
        <v>90</v>
      </c>
      <c r="I4314" t="s">
        <v>28</v>
      </c>
      <c r="J4314" t="s">
        <v>38</v>
      </c>
      <c r="K4314">
        <v>22944</v>
      </c>
      <c r="L4314">
        <v>223</v>
      </c>
      <c r="M4314">
        <v>36.39</v>
      </c>
      <c r="N4314">
        <v>4</v>
      </c>
      <c r="O4314">
        <v>42.1</v>
      </c>
      <c r="P4314">
        <f t="shared" si="268"/>
        <v>9.719316596931659E-3</v>
      </c>
      <c r="Q4314">
        <f t="shared" si="268"/>
        <v>0.16318385650224215</v>
      </c>
      <c r="R4314">
        <f t="shared" si="269"/>
        <v>9.0975000000000001</v>
      </c>
      <c r="S4314">
        <f t="shared" si="270"/>
        <v>1.1569112393514702</v>
      </c>
      <c r="T4314">
        <f t="shared" si="271"/>
        <v>1.7937219730941704E-2</v>
      </c>
      <c r="U4314" t="str">
        <f>YEAR('Campaign Data'!$A4314)&amp;"-"&amp;TEXT(MONTH('Campaign Data'!$A4314),"00")</f>
        <v>2026-08</v>
      </c>
    </row>
    <row r="4315" spans="1:21" x14ac:dyDescent="0.25">
      <c r="A4315">
        <v>46258</v>
      </c>
      <c r="B4315" t="s">
        <v>147</v>
      </c>
      <c r="C4315" t="s">
        <v>148</v>
      </c>
      <c r="D4315" t="s">
        <v>23</v>
      </c>
      <c r="E4315" t="s">
        <v>42</v>
      </c>
      <c r="F4315" t="s">
        <v>75</v>
      </c>
      <c r="G4315" t="s">
        <v>44</v>
      </c>
      <c r="H4315" t="s">
        <v>90</v>
      </c>
      <c r="I4315" t="s">
        <v>37</v>
      </c>
      <c r="J4315" t="s">
        <v>45</v>
      </c>
      <c r="K4315">
        <v>3454</v>
      </c>
      <c r="L4315">
        <v>25</v>
      </c>
      <c r="M4315">
        <v>52.29</v>
      </c>
      <c r="N4315">
        <v>0</v>
      </c>
      <c r="O4315">
        <v>0</v>
      </c>
      <c r="P4315">
        <f t="shared" si="268"/>
        <v>7.2379849449913146E-3</v>
      </c>
      <c r="Q4315">
        <f t="shared" si="268"/>
        <v>2.0916000000000001</v>
      </c>
      <c r="R4315">
        <f t="shared" si="269"/>
        <v>0</v>
      </c>
      <c r="S4315">
        <f t="shared" si="270"/>
        <v>0</v>
      </c>
      <c r="T4315">
        <f t="shared" si="271"/>
        <v>0</v>
      </c>
      <c r="U4315" t="str">
        <f>YEAR('Campaign Data'!$A4315)&amp;"-"&amp;TEXT(MONTH('Campaign Data'!$A4315),"00")</f>
        <v>2026-08</v>
      </c>
    </row>
    <row r="4316" spans="1:21" x14ac:dyDescent="0.25">
      <c r="A4316">
        <v>46258</v>
      </c>
      <c r="B4316" t="s">
        <v>39</v>
      </c>
      <c r="C4316" t="s">
        <v>40</v>
      </c>
      <c r="D4316" t="s">
        <v>41</v>
      </c>
      <c r="E4316" t="s">
        <v>42</v>
      </c>
      <c r="F4316" t="s">
        <v>43</v>
      </c>
      <c r="G4316" t="s">
        <v>44</v>
      </c>
      <c r="H4316" t="s">
        <v>51</v>
      </c>
      <c r="I4316" t="s">
        <v>37</v>
      </c>
      <c r="J4316" t="s">
        <v>45</v>
      </c>
      <c r="K4316">
        <v>5517</v>
      </c>
      <c r="L4316">
        <v>22</v>
      </c>
      <c r="M4316">
        <v>118.04</v>
      </c>
      <c r="N4316">
        <v>1</v>
      </c>
      <c r="O4316">
        <v>17.62</v>
      </c>
      <c r="P4316">
        <f t="shared" si="268"/>
        <v>3.9876744607576578E-3</v>
      </c>
      <c r="Q4316">
        <f t="shared" si="268"/>
        <v>5.3654545454545461</v>
      </c>
      <c r="R4316">
        <f t="shared" si="269"/>
        <v>118.04</v>
      </c>
      <c r="S4316">
        <f t="shared" si="270"/>
        <v>0.14927143341240257</v>
      </c>
      <c r="T4316">
        <f t="shared" si="271"/>
        <v>4.5454545454545456E-2</v>
      </c>
      <c r="U4316" t="str">
        <f>YEAR('Campaign Data'!$A4316)&amp;"-"&amp;TEXT(MONTH('Campaign Data'!$A4316),"00")</f>
        <v>2026-08</v>
      </c>
    </row>
    <row r="4317" spans="1:21" x14ac:dyDescent="0.25">
      <c r="A4317">
        <v>46258</v>
      </c>
      <c r="B4317" t="s">
        <v>46</v>
      </c>
      <c r="C4317" t="s">
        <v>47</v>
      </c>
      <c r="D4317" t="s">
        <v>48</v>
      </c>
      <c r="E4317" t="s">
        <v>49</v>
      </c>
      <c r="F4317" t="s">
        <v>43</v>
      </c>
      <c r="G4317" t="s">
        <v>50</v>
      </c>
      <c r="H4317" t="s">
        <v>90</v>
      </c>
      <c r="I4317" t="s">
        <v>37</v>
      </c>
      <c r="J4317" t="s">
        <v>87</v>
      </c>
      <c r="K4317">
        <v>7446</v>
      </c>
      <c r="L4317">
        <v>330</v>
      </c>
      <c r="M4317">
        <v>219.8</v>
      </c>
      <c r="N4317">
        <v>16</v>
      </c>
      <c r="O4317">
        <v>115.98</v>
      </c>
      <c r="P4317">
        <f t="shared" si="268"/>
        <v>4.4319097502014501E-2</v>
      </c>
      <c r="Q4317">
        <f t="shared" si="268"/>
        <v>0.66606060606060613</v>
      </c>
      <c r="R4317">
        <f t="shared" si="269"/>
        <v>13.737500000000001</v>
      </c>
      <c r="S4317">
        <f t="shared" si="270"/>
        <v>0.52766151046405818</v>
      </c>
      <c r="T4317">
        <f t="shared" si="271"/>
        <v>4.8484848484848485E-2</v>
      </c>
      <c r="U4317" t="str">
        <f>YEAR('Campaign Data'!$A4317)&amp;"-"&amp;TEXT(MONTH('Campaign Data'!$A4317),"00")</f>
        <v>2026-08</v>
      </c>
    </row>
    <row r="4318" spans="1:21" x14ac:dyDescent="0.25">
      <c r="A4318">
        <v>46258</v>
      </c>
      <c r="B4318" t="s">
        <v>46</v>
      </c>
      <c r="C4318" t="s">
        <v>47</v>
      </c>
      <c r="D4318" t="s">
        <v>48</v>
      </c>
      <c r="E4318" t="s">
        <v>49</v>
      </c>
      <c r="F4318" t="s">
        <v>43</v>
      </c>
      <c r="G4318" t="s">
        <v>50</v>
      </c>
      <c r="H4318" t="s">
        <v>90</v>
      </c>
      <c r="I4318" t="s">
        <v>28</v>
      </c>
      <c r="J4318" t="s">
        <v>87</v>
      </c>
      <c r="K4318">
        <v>4396</v>
      </c>
      <c r="L4318">
        <v>171</v>
      </c>
      <c r="M4318">
        <v>79.5</v>
      </c>
      <c r="N4318">
        <v>5</v>
      </c>
      <c r="O4318">
        <v>39.58</v>
      </c>
      <c r="P4318">
        <f t="shared" si="268"/>
        <v>3.889899909008189E-2</v>
      </c>
      <c r="Q4318">
        <f t="shared" si="268"/>
        <v>0.46491228070175439</v>
      </c>
      <c r="R4318">
        <f t="shared" si="269"/>
        <v>15.9</v>
      </c>
      <c r="S4318">
        <f t="shared" si="270"/>
        <v>0.49786163522012578</v>
      </c>
      <c r="T4318">
        <f t="shared" si="271"/>
        <v>2.9239766081871343E-2</v>
      </c>
      <c r="U4318" t="str">
        <f>YEAR('Campaign Data'!$A4318)&amp;"-"&amp;TEXT(MONTH('Campaign Data'!$A4318),"00")</f>
        <v>2026-08</v>
      </c>
    </row>
    <row r="4319" spans="1:21" x14ac:dyDescent="0.25">
      <c r="A4319">
        <v>46258</v>
      </c>
      <c r="B4319" t="s">
        <v>169</v>
      </c>
      <c r="C4319" t="s">
        <v>170</v>
      </c>
      <c r="D4319" t="s">
        <v>58</v>
      </c>
      <c r="E4319" t="s">
        <v>74</v>
      </c>
      <c r="F4319" t="s">
        <v>75</v>
      </c>
      <c r="G4319" t="s">
        <v>9</v>
      </c>
      <c r="H4319" t="s">
        <v>60</v>
      </c>
      <c r="I4319" t="s">
        <v>37</v>
      </c>
      <c r="J4319" t="s">
        <v>45</v>
      </c>
      <c r="K4319">
        <v>2665</v>
      </c>
      <c r="L4319">
        <v>90</v>
      </c>
      <c r="M4319">
        <v>111.7</v>
      </c>
      <c r="N4319">
        <v>4</v>
      </c>
      <c r="O4319">
        <v>105.52</v>
      </c>
      <c r="P4319">
        <f t="shared" si="268"/>
        <v>3.3771106941838651E-2</v>
      </c>
      <c r="Q4319">
        <f t="shared" si="268"/>
        <v>1.2411111111111111</v>
      </c>
      <c r="R4319">
        <f t="shared" si="269"/>
        <v>27.925000000000001</v>
      </c>
      <c r="S4319">
        <f t="shared" si="270"/>
        <v>0.94467323187108321</v>
      </c>
      <c r="T4319">
        <f t="shared" si="271"/>
        <v>4.4444444444444446E-2</v>
      </c>
      <c r="U4319" t="str">
        <f>YEAR('Campaign Data'!$A4319)&amp;"-"&amp;TEXT(MONTH('Campaign Data'!$A4319),"00")</f>
        <v>2026-08</v>
      </c>
    </row>
    <row r="4320" spans="1:21" x14ac:dyDescent="0.25">
      <c r="A4320">
        <v>46258</v>
      </c>
      <c r="B4320" t="s">
        <v>127</v>
      </c>
      <c r="C4320" t="s">
        <v>128</v>
      </c>
      <c r="D4320" t="s">
        <v>58</v>
      </c>
      <c r="E4320" t="s">
        <v>24</v>
      </c>
      <c r="F4320" t="s">
        <v>81</v>
      </c>
      <c r="G4320" t="s">
        <v>129</v>
      </c>
      <c r="H4320" t="s">
        <v>27</v>
      </c>
      <c r="I4320" t="s">
        <v>37</v>
      </c>
      <c r="J4320" t="s">
        <v>38</v>
      </c>
      <c r="K4320">
        <v>7427</v>
      </c>
      <c r="L4320">
        <v>94</v>
      </c>
      <c r="M4320">
        <v>123.27</v>
      </c>
      <c r="N4320">
        <v>3</v>
      </c>
      <c r="O4320">
        <v>55.79</v>
      </c>
      <c r="P4320">
        <f t="shared" si="268"/>
        <v>1.2656523495354786E-2</v>
      </c>
      <c r="Q4320">
        <f t="shared" si="268"/>
        <v>1.3113829787234041</v>
      </c>
      <c r="R4320">
        <f t="shared" si="269"/>
        <v>41.089999999999996</v>
      </c>
      <c r="S4320">
        <f t="shared" si="270"/>
        <v>0.45258375922771155</v>
      </c>
      <c r="T4320">
        <f t="shared" si="271"/>
        <v>3.1914893617021274E-2</v>
      </c>
      <c r="U4320" t="str">
        <f>YEAR('Campaign Data'!$A4320)&amp;"-"&amp;TEXT(MONTH('Campaign Data'!$A4320),"00")</f>
        <v>2026-08</v>
      </c>
    </row>
    <row r="4321" spans="1:21" x14ac:dyDescent="0.25">
      <c r="A4321">
        <v>46258</v>
      </c>
      <c r="B4321" t="s">
        <v>105</v>
      </c>
      <c r="C4321" t="s">
        <v>106</v>
      </c>
      <c r="D4321" t="s">
        <v>58</v>
      </c>
      <c r="E4321" t="s">
        <v>49</v>
      </c>
      <c r="F4321" t="s">
        <v>81</v>
      </c>
      <c r="G4321" t="s">
        <v>107</v>
      </c>
      <c r="H4321" t="s">
        <v>27</v>
      </c>
      <c r="I4321" t="s">
        <v>37</v>
      </c>
      <c r="J4321" t="s">
        <v>38</v>
      </c>
      <c r="K4321">
        <v>3552</v>
      </c>
      <c r="L4321">
        <v>155</v>
      </c>
      <c r="M4321">
        <v>368.16</v>
      </c>
      <c r="N4321">
        <v>13</v>
      </c>
      <c r="O4321">
        <v>328.2</v>
      </c>
      <c r="P4321">
        <f t="shared" si="268"/>
        <v>4.3637387387387386E-2</v>
      </c>
      <c r="Q4321">
        <f t="shared" si="268"/>
        <v>2.375225806451613</v>
      </c>
      <c r="R4321">
        <f t="shared" si="269"/>
        <v>28.32</v>
      </c>
      <c r="S4321">
        <f t="shared" si="270"/>
        <v>0.89146023468057356</v>
      </c>
      <c r="T4321">
        <f t="shared" si="271"/>
        <v>8.387096774193549E-2</v>
      </c>
      <c r="U4321" t="str">
        <f>YEAR('Campaign Data'!$A4321)&amp;"-"&amp;TEXT(MONTH('Campaign Data'!$A4321),"00")</f>
        <v>2026-08</v>
      </c>
    </row>
    <row r="4322" spans="1:21" x14ac:dyDescent="0.25">
      <c r="A4322">
        <v>46258</v>
      </c>
      <c r="B4322" t="s">
        <v>153</v>
      </c>
      <c r="C4322" t="s">
        <v>154</v>
      </c>
      <c r="D4322" t="s">
        <v>48</v>
      </c>
      <c r="E4322" t="s">
        <v>33</v>
      </c>
      <c r="F4322" t="s">
        <v>43</v>
      </c>
      <c r="G4322" t="s">
        <v>59</v>
      </c>
      <c r="H4322" t="s">
        <v>36</v>
      </c>
      <c r="I4322" t="s">
        <v>28</v>
      </c>
      <c r="J4322" t="s">
        <v>87</v>
      </c>
      <c r="K4322">
        <v>3279</v>
      </c>
      <c r="L4322">
        <v>24</v>
      </c>
      <c r="M4322">
        <v>13.19</v>
      </c>
      <c r="N4322">
        <v>0</v>
      </c>
      <c r="O4322">
        <v>0</v>
      </c>
      <c r="P4322">
        <f t="shared" si="268"/>
        <v>7.319304666056725E-3</v>
      </c>
      <c r="Q4322">
        <f t="shared" si="268"/>
        <v>0.54958333333333331</v>
      </c>
      <c r="R4322">
        <f t="shared" si="269"/>
        <v>0</v>
      </c>
      <c r="S4322">
        <f t="shared" si="270"/>
        <v>0</v>
      </c>
      <c r="T4322">
        <f t="shared" si="271"/>
        <v>0</v>
      </c>
      <c r="U4322" t="str">
        <f>YEAR('Campaign Data'!$A4322)&amp;"-"&amp;TEXT(MONTH('Campaign Data'!$A4322),"00")</f>
        <v>2026-08</v>
      </c>
    </row>
    <row r="4323" spans="1:21" x14ac:dyDescent="0.25">
      <c r="A4323">
        <v>46258</v>
      </c>
      <c r="B4323" t="s">
        <v>171</v>
      </c>
      <c r="C4323" t="s">
        <v>172</v>
      </c>
      <c r="D4323" t="s">
        <v>23</v>
      </c>
      <c r="E4323" t="s">
        <v>33</v>
      </c>
      <c r="F4323" t="s">
        <v>75</v>
      </c>
      <c r="G4323" t="s">
        <v>59</v>
      </c>
      <c r="H4323" t="s">
        <v>36</v>
      </c>
      <c r="I4323" t="s">
        <v>37</v>
      </c>
      <c r="J4323" t="s">
        <v>38</v>
      </c>
      <c r="K4323">
        <v>4867</v>
      </c>
      <c r="L4323">
        <v>46</v>
      </c>
      <c r="M4323">
        <v>28.74</v>
      </c>
      <c r="N4323">
        <v>0</v>
      </c>
      <c r="O4323">
        <v>0</v>
      </c>
      <c r="P4323">
        <f t="shared" si="268"/>
        <v>9.4514074378467226E-3</v>
      </c>
      <c r="Q4323">
        <f t="shared" si="268"/>
        <v>0.62478260869565216</v>
      </c>
      <c r="R4323">
        <f t="shared" si="269"/>
        <v>0</v>
      </c>
      <c r="S4323">
        <f t="shared" si="270"/>
        <v>0</v>
      </c>
      <c r="T4323">
        <f t="shared" si="271"/>
        <v>0</v>
      </c>
      <c r="U4323" t="str">
        <f>YEAR('Campaign Data'!$A4323)&amp;"-"&amp;TEXT(MONTH('Campaign Data'!$A4323),"00")</f>
        <v>2026-08</v>
      </c>
    </row>
    <row r="4324" spans="1:21" x14ac:dyDescent="0.25">
      <c r="A4324">
        <v>46258</v>
      </c>
      <c r="B4324" t="s">
        <v>171</v>
      </c>
      <c r="C4324" t="s">
        <v>172</v>
      </c>
      <c r="D4324" t="s">
        <v>23</v>
      </c>
      <c r="E4324" t="s">
        <v>33</v>
      </c>
      <c r="F4324" t="s">
        <v>75</v>
      </c>
      <c r="G4324" t="s">
        <v>59</v>
      </c>
      <c r="H4324" t="s">
        <v>36</v>
      </c>
      <c r="I4324" t="s">
        <v>28</v>
      </c>
      <c r="J4324" t="s">
        <v>38</v>
      </c>
      <c r="K4324">
        <v>3571</v>
      </c>
      <c r="L4324">
        <v>27</v>
      </c>
      <c r="M4324">
        <v>20.9</v>
      </c>
      <c r="N4324">
        <v>0</v>
      </c>
      <c r="O4324">
        <v>0</v>
      </c>
      <c r="P4324">
        <f t="shared" si="268"/>
        <v>7.5609073088770649E-3</v>
      </c>
      <c r="Q4324">
        <f t="shared" si="268"/>
        <v>0.77407407407407403</v>
      </c>
      <c r="R4324">
        <f t="shared" si="269"/>
        <v>0</v>
      </c>
      <c r="S4324">
        <f t="shared" si="270"/>
        <v>0</v>
      </c>
      <c r="T4324">
        <f t="shared" si="271"/>
        <v>0</v>
      </c>
      <c r="U4324" t="str">
        <f>YEAR('Campaign Data'!$A4324)&amp;"-"&amp;TEXT(MONTH('Campaign Data'!$A4324),"00")</f>
        <v>2026-08</v>
      </c>
    </row>
    <row r="4325" spans="1:21" x14ac:dyDescent="0.25">
      <c r="A4325">
        <v>46258</v>
      </c>
      <c r="B4325" t="s">
        <v>171</v>
      </c>
      <c r="C4325" t="s">
        <v>172</v>
      </c>
      <c r="D4325" t="s">
        <v>23</v>
      </c>
      <c r="E4325" t="s">
        <v>33</v>
      </c>
      <c r="F4325" t="s">
        <v>75</v>
      </c>
      <c r="G4325" t="s">
        <v>59</v>
      </c>
      <c r="H4325" t="s">
        <v>51</v>
      </c>
      <c r="I4325" t="s">
        <v>28</v>
      </c>
      <c r="J4325" t="s">
        <v>38</v>
      </c>
      <c r="K4325">
        <v>5246</v>
      </c>
      <c r="L4325">
        <v>54</v>
      </c>
      <c r="M4325">
        <v>25.67</v>
      </c>
      <c r="N4325">
        <v>0</v>
      </c>
      <c r="O4325">
        <v>0</v>
      </c>
      <c r="P4325">
        <f t="shared" si="268"/>
        <v>1.0293556995806329E-2</v>
      </c>
      <c r="Q4325">
        <f t="shared" si="268"/>
        <v>0.47537037037037039</v>
      </c>
      <c r="R4325">
        <f t="shared" si="269"/>
        <v>0</v>
      </c>
      <c r="S4325">
        <f t="shared" si="270"/>
        <v>0</v>
      </c>
      <c r="T4325">
        <f t="shared" si="271"/>
        <v>0</v>
      </c>
      <c r="U4325" t="str">
        <f>YEAR('Campaign Data'!$A4325)&amp;"-"&amp;TEXT(MONTH('Campaign Data'!$A4325),"00")</f>
        <v>2026-08</v>
      </c>
    </row>
    <row r="4326" spans="1:21" x14ac:dyDescent="0.25">
      <c r="A4326">
        <v>46258</v>
      </c>
      <c r="B4326" t="s">
        <v>171</v>
      </c>
      <c r="C4326" t="s">
        <v>172</v>
      </c>
      <c r="D4326" t="s">
        <v>23</v>
      </c>
      <c r="E4326" t="s">
        <v>33</v>
      </c>
      <c r="F4326" t="s">
        <v>75</v>
      </c>
      <c r="G4326" t="s">
        <v>59</v>
      </c>
      <c r="H4326" t="s">
        <v>90</v>
      </c>
      <c r="I4326" t="s">
        <v>37</v>
      </c>
      <c r="J4326" t="s">
        <v>87</v>
      </c>
      <c r="K4326">
        <v>8406</v>
      </c>
      <c r="L4326">
        <v>85</v>
      </c>
      <c r="M4326">
        <v>17.309999999999999</v>
      </c>
      <c r="N4326">
        <v>2</v>
      </c>
      <c r="O4326">
        <v>12.96</v>
      </c>
      <c r="P4326">
        <f t="shared" si="268"/>
        <v>1.0111824886985487E-2</v>
      </c>
      <c r="Q4326">
        <f t="shared" si="268"/>
        <v>0.2036470588235294</v>
      </c>
      <c r="R4326">
        <f t="shared" si="269"/>
        <v>8.6549999999999994</v>
      </c>
      <c r="S4326">
        <f t="shared" si="270"/>
        <v>0.74870017331022543</v>
      </c>
      <c r="T4326">
        <f t="shared" si="271"/>
        <v>2.3529411764705882E-2</v>
      </c>
      <c r="U4326" t="str">
        <f>YEAR('Campaign Data'!$A4326)&amp;"-"&amp;TEXT(MONTH('Campaign Data'!$A4326),"00")</f>
        <v>2026-08</v>
      </c>
    </row>
    <row r="4327" spans="1:21" x14ac:dyDescent="0.25">
      <c r="A4327">
        <v>46258</v>
      </c>
      <c r="B4327" t="s">
        <v>140</v>
      </c>
      <c r="C4327" t="s">
        <v>40</v>
      </c>
      <c r="D4327" t="s">
        <v>41</v>
      </c>
      <c r="E4327" t="s">
        <v>42</v>
      </c>
      <c r="F4327" t="s">
        <v>43</v>
      </c>
      <c r="G4327" t="s">
        <v>44</v>
      </c>
      <c r="H4327" t="s">
        <v>60</v>
      </c>
      <c r="I4327" t="s">
        <v>37</v>
      </c>
      <c r="J4327" t="s">
        <v>87</v>
      </c>
      <c r="K4327">
        <v>7354</v>
      </c>
      <c r="L4327">
        <v>55</v>
      </c>
      <c r="M4327">
        <v>355.46</v>
      </c>
      <c r="N4327">
        <v>3</v>
      </c>
      <c r="O4327">
        <v>21.82</v>
      </c>
      <c r="P4327">
        <f t="shared" si="268"/>
        <v>7.478923035082948E-3</v>
      </c>
      <c r="Q4327">
        <f t="shared" si="268"/>
        <v>6.4629090909090907</v>
      </c>
      <c r="R4327">
        <f t="shared" si="269"/>
        <v>118.48666666666666</v>
      </c>
      <c r="S4327">
        <f t="shared" si="270"/>
        <v>6.1385247285207903E-2</v>
      </c>
      <c r="T4327">
        <f t="shared" si="271"/>
        <v>5.4545454545454543E-2</v>
      </c>
      <c r="U4327" t="str">
        <f>YEAR('Campaign Data'!$A4327)&amp;"-"&amp;TEXT(MONTH('Campaign Data'!$A4327),"00")</f>
        <v>2026-08</v>
      </c>
    </row>
    <row r="4328" spans="1:21" x14ac:dyDescent="0.25">
      <c r="A4328">
        <v>46258</v>
      </c>
      <c r="B4328" t="s">
        <v>134</v>
      </c>
      <c r="C4328" t="s">
        <v>135</v>
      </c>
      <c r="D4328" t="s">
        <v>32</v>
      </c>
      <c r="E4328" t="s">
        <v>74</v>
      </c>
      <c r="F4328" t="s">
        <v>25</v>
      </c>
      <c r="G4328" t="s">
        <v>107</v>
      </c>
      <c r="H4328" t="s">
        <v>60</v>
      </c>
      <c r="I4328" t="s">
        <v>37</v>
      </c>
      <c r="J4328" t="s">
        <v>29</v>
      </c>
      <c r="K4328">
        <v>9931</v>
      </c>
      <c r="L4328">
        <v>326</v>
      </c>
      <c r="M4328">
        <v>521.64</v>
      </c>
      <c r="N4328">
        <v>9</v>
      </c>
      <c r="O4328">
        <v>1187.1300000000001</v>
      </c>
      <c r="P4328">
        <f t="shared" si="268"/>
        <v>3.2826502869801634E-2</v>
      </c>
      <c r="Q4328">
        <f t="shared" si="268"/>
        <v>1.600122699386503</v>
      </c>
      <c r="R4328">
        <f t="shared" si="269"/>
        <v>57.96</v>
      </c>
      <c r="S4328">
        <f t="shared" si="270"/>
        <v>2.2757648953301128</v>
      </c>
      <c r="T4328">
        <f t="shared" si="271"/>
        <v>2.7607361963190184E-2</v>
      </c>
      <c r="U4328" t="str">
        <f>YEAR('Campaign Data'!$A4328)&amp;"-"&amp;TEXT(MONTH('Campaign Data'!$A4328),"00")</f>
        <v>2026-08</v>
      </c>
    </row>
    <row r="4329" spans="1:21" x14ac:dyDescent="0.25">
      <c r="A4329">
        <v>46258</v>
      </c>
      <c r="B4329" t="s">
        <v>157</v>
      </c>
      <c r="C4329" t="s">
        <v>158</v>
      </c>
      <c r="D4329" t="s">
        <v>58</v>
      </c>
      <c r="E4329" t="s">
        <v>49</v>
      </c>
      <c r="F4329" t="s">
        <v>81</v>
      </c>
      <c r="G4329" t="s">
        <v>50</v>
      </c>
      <c r="H4329" t="s">
        <v>27</v>
      </c>
      <c r="I4329" t="s">
        <v>37</v>
      </c>
      <c r="J4329" t="s">
        <v>45</v>
      </c>
      <c r="K4329">
        <v>6852</v>
      </c>
      <c r="L4329">
        <v>264</v>
      </c>
      <c r="M4329">
        <v>309.81</v>
      </c>
      <c r="N4329">
        <v>13</v>
      </c>
      <c r="O4329">
        <v>375.71</v>
      </c>
      <c r="P4329">
        <f t="shared" si="268"/>
        <v>3.8528896672504379E-2</v>
      </c>
      <c r="Q4329">
        <f t="shared" si="268"/>
        <v>1.1735227272727273</v>
      </c>
      <c r="R4329">
        <f t="shared" si="269"/>
        <v>23.831538461538461</v>
      </c>
      <c r="S4329">
        <f t="shared" si="270"/>
        <v>1.2127110164294244</v>
      </c>
      <c r="T4329">
        <f t="shared" si="271"/>
        <v>4.924242424242424E-2</v>
      </c>
      <c r="U4329" t="str">
        <f>YEAR('Campaign Data'!$A4329)&amp;"-"&amp;TEXT(MONTH('Campaign Data'!$A4329),"00")</f>
        <v>2026-08</v>
      </c>
    </row>
    <row r="4330" spans="1:21" x14ac:dyDescent="0.25">
      <c r="A4330">
        <v>46258</v>
      </c>
      <c r="B4330" t="s">
        <v>114</v>
      </c>
      <c r="C4330" t="s">
        <v>115</v>
      </c>
      <c r="D4330" t="s">
        <v>69</v>
      </c>
      <c r="E4330" t="s">
        <v>49</v>
      </c>
      <c r="F4330" t="s">
        <v>25</v>
      </c>
      <c r="G4330" t="s">
        <v>107</v>
      </c>
      <c r="H4330" t="s">
        <v>90</v>
      </c>
      <c r="I4330" t="s">
        <v>37</v>
      </c>
      <c r="J4330" t="s">
        <v>38</v>
      </c>
      <c r="K4330">
        <v>10370</v>
      </c>
      <c r="L4330">
        <v>484</v>
      </c>
      <c r="M4330">
        <v>207.6</v>
      </c>
      <c r="N4330">
        <v>11</v>
      </c>
      <c r="O4330">
        <v>516.54</v>
      </c>
      <c r="P4330">
        <f t="shared" si="268"/>
        <v>4.6673095467695276E-2</v>
      </c>
      <c r="Q4330">
        <f t="shared" si="268"/>
        <v>0.42892561983471073</v>
      </c>
      <c r="R4330">
        <f t="shared" si="269"/>
        <v>18.872727272727271</v>
      </c>
      <c r="S4330">
        <f t="shared" si="270"/>
        <v>2.4881502890173408</v>
      </c>
      <c r="T4330">
        <f t="shared" si="271"/>
        <v>2.2727272727272728E-2</v>
      </c>
      <c r="U4330" t="str">
        <f>YEAR('Campaign Data'!$A4330)&amp;"-"&amp;TEXT(MONTH('Campaign Data'!$A4330),"00")</f>
        <v>2026-08</v>
      </c>
    </row>
    <row r="4331" spans="1:21" x14ac:dyDescent="0.25">
      <c r="A4331">
        <v>46258</v>
      </c>
      <c r="B4331" t="s">
        <v>136</v>
      </c>
      <c r="C4331" t="s">
        <v>137</v>
      </c>
      <c r="D4331" t="s">
        <v>32</v>
      </c>
      <c r="E4331" t="s">
        <v>49</v>
      </c>
      <c r="F4331" t="s">
        <v>75</v>
      </c>
      <c r="G4331" t="s">
        <v>97</v>
      </c>
      <c r="H4331" t="s">
        <v>51</v>
      </c>
      <c r="I4331" t="s">
        <v>37</v>
      </c>
      <c r="J4331" t="s">
        <v>29</v>
      </c>
      <c r="K4331">
        <v>15256</v>
      </c>
      <c r="L4331">
        <v>674</v>
      </c>
      <c r="M4331">
        <v>1078.8399999999999</v>
      </c>
      <c r="N4331">
        <v>30</v>
      </c>
      <c r="O4331">
        <v>1057.19</v>
      </c>
      <c r="P4331">
        <f t="shared" si="268"/>
        <v>4.4179339276350288E-2</v>
      </c>
      <c r="Q4331">
        <f t="shared" si="268"/>
        <v>1.6006528189910978</v>
      </c>
      <c r="R4331">
        <f t="shared" si="269"/>
        <v>35.961333333333329</v>
      </c>
      <c r="S4331">
        <f t="shared" si="270"/>
        <v>0.97993214934559358</v>
      </c>
      <c r="T4331">
        <f t="shared" si="271"/>
        <v>4.4510385756676561E-2</v>
      </c>
      <c r="U4331" t="str">
        <f>YEAR('Campaign Data'!$A4331)&amp;"-"&amp;TEXT(MONTH('Campaign Data'!$A4331),"00")</f>
        <v>2026-08</v>
      </c>
    </row>
    <row r="4332" spans="1:21" x14ac:dyDescent="0.25">
      <c r="A4332">
        <v>46258</v>
      </c>
      <c r="B4332" t="s">
        <v>72</v>
      </c>
      <c r="C4332" t="s">
        <v>73</v>
      </c>
      <c r="D4332" t="s">
        <v>69</v>
      </c>
      <c r="E4332" t="s">
        <v>74</v>
      </c>
      <c r="F4332" t="s">
        <v>75</v>
      </c>
      <c r="G4332" t="s">
        <v>9</v>
      </c>
      <c r="H4332" t="s">
        <v>60</v>
      </c>
      <c r="I4332" t="s">
        <v>37</v>
      </c>
      <c r="J4332" t="s">
        <v>62</v>
      </c>
      <c r="K4332">
        <v>4007</v>
      </c>
      <c r="L4332">
        <v>159</v>
      </c>
      <c r="M4332">
        <v>185.67</v>
      </c>
      <c r="N4332">
        <v>7</v>
      </c>
      <c r="O4332">
        <v>138.06</v>
      </c>
      <c r="P4332">
        <f t="shared" si="268"/>
        <v>3.9680559021712004E-2</v>
      </c>
      <c r="Q4332">
        <f t="shared" si="268"/>
        <v>1.1677358490566037</v>
      </c>
      <c r="R4332">
        <f t="shared" si="269"/>
        <v>26.524285714285714</v>
      </c>
      <c r="S4332">
        <f t="shared" si="270"/>
        <v>0.74357731459040244</v>
      </c>
      <c r="T4332">
        <f t="shared" si="271"/>
        <v>4.40251572327044E-2</v>
      </c>
      <c r="U4332" t="str">
        <f>YEAR('Campaign Data'!$A4332)&amp;"-"&amp;TEXT(MONTH('Campaign Data'!$A4332),"00")</f>
        <v>2026-08</v>
      </c>
    </row>
    <row r="4333" spans="1:21" x14ac:dyDescent="0.25">
      <c r="A4333">
        <v>46258</v>
      </c>
      <c r="B4333" t="s">
        <v>72</v>
      </c>
      <c r="C4333" t="s">
        <v>73</v>
      </c>
      <c r="D4333" t="s">
        <v>69</v>
      </c>
      <c r="E4333" t="s">
        <v>74</v>
      </c>
      <c r="F4333" t="s">
        <v>75</v>
      </c>
      <c r="G4333" t="s">
        <v>9</v>
      </c>
      <c r="H4333" t="s">
        <v>36</v>
      </c>
      <c r="I4333" t="s">
        <v>61</v>
      </c>
      <c r="J4333" t="s">
        <v>29</v>
      </c>
      <c r="K4333">
        <v>2744</v>
      </c>
      <c r="L4333">
        <v>93</v>
      </c>
      <c r="M4333">
        <v>164.96</v>
      </c>
      <c r="N4333">
        <v>3</v>
      </c>
      <c r="O4333">
        <v>113.08</v>
      </c>
      <c r="P4333">
        <f t="shared" si="268"/>
        <v>3.3892128279883381E-2</v>
      </c>
      <c r="Q4333">
        <f t="shared" si="268"/>
        <v>1.7737634408602152</v>
      </c>
      <c r="R4333">
        <f t="shared" si="269"/>
        <v>54.986666666666672</v>
      </c>
      <c r="S4333">
        <f t="shared" si="270"/>
        <v>0.68549951503394757</v>
      </c>
      <c r="T4333">
        <f t="shared" si="271"/>
        <v>3.2258064516129031E-2</v>
      </c>
      <c r="U4333" t="str">
        <f>YEAR('Campaign Data'!$A4333)&amp;"-"&amp;TEXT(MONTH('Campaign Data'!$A4333),"00")</f>
        <v>2026-08</v>
      </c>
    </row>
    <row r="4334" spans="1:21" x14ac:dyDescent="0.25">
      <c r="A4334">
        <v>46258</v>
      </c>
      <c r="B4334" t="s">
        <v>116</v>
      </c>
      <c r="C4334" t="s">
        <v>117</v>
      </c>
      <c r="D4334" t="s">
        <v>48</v>
      </c>
      <c r="E4334" t="s">
        <v>24</v>
      </c>
      <c r="F4334" t="s">
        <v>43</v>
      </c>
      <c r="G4334" t="s">
        <v>26</v>
      </c>
      <c r="H4334" t="s">
        <v>51</v>
      </c>
      <c r="I4334" t="s">
        <v>37</v>
      </c>
      <c r="J4334" t="s">
        <v>29</v>
      </c>
      <c r="K4334">
        <v>5834</v>
      </c>
      <c r="L4334">
        <v>85</v>
      </c>
      <c r="M4334">
        <v>80.61</v>
      </c>
      <c r="N4334">
        <v>2</v>
      </c>
      <c r="O4334">
        <v>67.33</v>
      </c>
      <c r="P4334">
        <f t="shared" si="268"/>
        <v>1.4569763455605074E-2</v>
      </c>
      <c r="Q4334">
        <f t="shared" si="268"/>
        <v>0.94835294117647062</v>
      </c>
      <c r="R4334">
        <f t="shared" si="269"/>
        <v>40.305</v>
      </c>
      <c r="S4334">
        <f t="shared" si="270"/>
        <v>0.8352561716908572</v>
      </c>
      <c r="T4334">
        <f t="shared" si="271"/>
        <v>2.3529411764705882E-2</v>
      </c>
      <c r="U4334" t="str">
        <f>YEAR('Campaign Data'!$A4334)&amp;"-"&amp;TEXT(MONTH('Campaign Data'!$A4334),"00")</f>
        <v>2026-08</v>
      </c>
    </row>
    <row r="4335" spans="1:21" x14ac:dyDescent="0.25">
      <c r="A4335">
        <v>46258</v>
      </c>
      <c r="B4335" t="s">
        <v>163</v>
      </c>
      <c r="C4335" t="s">
        <v>164</v>
      </c>
      <c r="D4335" t="s">
        <v>58</v>
      </c>
      <c r="E4335" t="s">
        <v>42</v>
      </c>
      <c r="F4335" t="s">
        <v>43</v>
      </c>
      <c r="G4335" t="s">
        <v>44</v>
      </c>
      <c r="H4335" t="s">
        <v>90</v>
      </c>
      <c r="I4335" t="s">
        <v>37</v>
      </c>
      <c r="J4335" t="s">
        <v>45</v>
      </c>
      <c r="K4335">
        <v>7095</v>
      </c>
      <c r="L4335">
        <v>35</v>
      </c>
      <c r="M4335">
        <v>46.09</v>
      </c>
      <c r="N4335">
        <v>0</v>
      </c>
      <c r="O4335">
        <v>0</v>
      </c>
      <c r="P4335">
        <f t="shared" si="268"/>
        <v>4.9330514446793514E-3</v>
      </c>
      <c r="Q4335">
        <f t="shared" si="268"/>
        <v>1.3168571428571429</v>
      </c>
      <c r="R4335">
        <f t="shared" si="269"/>
        <v>0</v>
      </c>
      <c r="S4335">
        <f t="shared" si="270"/>
        <v>0</v>
      </c>
      <c r="T4335">
        <f t="shared" si="271"/>
        <v>0</v>
      </c>
      <c r="U4335" t="str">
        <f>YEAR('Campaign Data'!$A4335)&amp;"-"&amp;TEXT(MONTH('Campaign Data'!$A4335),"00")</f>
        <v>2026-08</v>
      </c>
    </row>
    <row r="4336" spans="1:21" x14ac:dyDescent="0.25">
      <c r="A4336">
        <v>46259</v>
      </c>
      <c r="B4336" t="s">
        <v>85</v>
      </c>
      <c r="C4336" t="s">
        <v>86</v>
      </c>
      <c r="D4336" t="s">
        <v>80</v>
      </c>
      <c r="E4336" t="s">
        <v>33</v>
      </c>
      <c r="F4336" t="s">
        <v>43</v>
      </c>
      <c r="G4336" t="s">
        <v>35</v>
      </c>
      <c r="H4336" t="s">
        <v>90</v>
      </c>
      <c r="I4336" t="s">
        <v>37</v>
      </c>
      <c r="J4336" t="s">
        <v>62</v>
      </c>
      <c r="K4336">
        <v>4710</v>
      </c>
      <c r="L4336">
        <v>49</v>
      </c>
      <c r="M4336">
        <v>9.57</v>
      </c>
      <c r="N4336">
        <v>0</v>
      </c>
      <c r="O4336">
        <v>0</v>
      </c>
      <c r="P4336">
        <f t="shared" si="268"/>
        <v>1.0403397027600849E-2</v>
      </c>
      <c r="Q4336">
        <f t="shared" si="268"/>
        <v>0.1953061224489796</v>
      </c>
      <c r="R4336">
        <f t="shared" si="269"/>
        <v>0</v>
      </c>
      <c r="S4336">
        <f t="shared" si="270"/>
        <v>0</v>
      </c>
      <c r="T4336">
        <f t="shared" si="271"/>
        <v>0</v>
      </c>
      <c r="U4336" t="str">
        <f>YEAR('Campaign Data'!$A4336)&amp;"-"&amp;TEXT(MONTH('Campaign Data'!$A4336),"00")</f>
        <v>2026-08</v>
      </c>
    </row>
    <row r="4337" spans="1:21" x14ac:dyDescent="0.25">
      <c r="A4337">
        <v>46259</v>
      </c>
      <c r="B4337" t="s">
        <v>91</v>
      </c>
      <c r="C4337" t="s">
        <v>92</v>
      </c>
      <c r="D4337" t="s">
        <v>41</v>
      </c>
      <c r="E4337" t="s">
        <v>74</v>
      </c>
      <c r="F4337" t="s">
        <v>75</v>
      </c>
      <c r="G4337" t="s">
        <v>9</v>
      </c>
      <c r="H4337" t="s">
        <v>27</v>
      </c>
      <c r="I4337" t="s">
        <v>28</v>
      </c>
      <c r="J4337" t="s">
        <v>62</v>
      </c>
      <c r="K4337">
        <v>5440</v>
      </c>
      <c r="L4337">
        <v>201</v>
      </c>
      <c r="M4337">
        <v>276.68</v>
      </c>
      <c r="N4337">
        <v>20</v>
      </c>
      <c r="O4337">
        <v>1068.72</v>
      </c>
      <c r="P4337">
        <f t="shared" si="268"/>
        <v>3.6948529411764706E-2</v>
      </c>
      <c r="Q4337">
        <f t="shared" si="268"/>
        <v>1.3765174129353235</v>
      </c>
      <c r="R4337">
        <f t="shared" si="269"/>
        <v>13.834</v>
      </c>
      <c r="S4337">
        <f t="shared" si="270"/>
        <v>3.8626572213387305</v>
      </c>
      <c r="T4337">
        <f t="shared" si="271"/>
        <v>9.950248756218906E-2</v>
      </c>
      <c r="U4337" t="str">
        <f>YEAR('Campaign Data'!$A4337)&amp;"-"&amp;TEXT(MONTH('Campaign Data'!$A4337),"00")</f>
        <v>2026-08</v>
      </c>
    </row>
    <row r="4338" spans="1:21" x14ac:dyDescent="0.25">
      <c r="A4338">
        <v>46259</v>
      </c>
      <c r="B4338" t="s">
        <v>151</v>
      </c>
      <c r="C4338" t="s">
        <v>152</v>
      </c>
      <c r="D4338" t="s">
        <v>48</v>
      </c>
      <c r="E4338" t="s">
        <v>24</v>
      </c>
      <c r="F4338" t="s">
        <v>81</v>
      </c>
      <c r="G4338" t="s">
        <v>129</v>
      </c>
      <c r="H4338" t="s">
        <v>36</v>
      </c>
      <c r="I4338" t="s">
        <v>28</v>
      </c>
      <c r="J4338" t="s">
        <v>38</v>
      </c>
      <c r="K4338">
        <v>3216</v>
      </c>
      <c r="L4338">
        <v>53</v>
      </c>
      <c r="M4338">
        <v>44.28</v>
      </c>
      <c r="N4338">
        <v>0</v>
      </c>
      <c r="O4338">
        <v>0</v>
      </c>
      <c r="P4338">
        <f t="shared" si="268"/>
        <v>1.6480099502487564E-2</v>
      </c>
      <c r="Q4338">
        <f t="shared" si="268"/>
        <v>0.83547169811320754</v>
      </c>
      <c r="R4338">
        <f t="shared" si="269"/>
        <v>0</v>
      </c>
      <c r="S4338">
        <f t="shared" si="270"/>
        <v>0</v>
      </c>
      <c r="T4338">
        <f t="shared" si="271"/>
        <v>0</v>
      </c>
      <c r="U4338" t="str">
        <f>YEAR('Campaign Data'!$A4338)&amp;"-"&amp;TEXT(MONTH('Campaign Data'!$A4338),"00")</f>
        <v>2026-08</v>
      </c>
    </row>
    <row r="4339" spans="1:21" x14ac:dyDescent="0.25">
      <c r="A4339">
        <v>46259</v>
      </c>
      <c r="B4339" t="s">
        <v>39</v>
      </c>
      <c r="C4339" t="s">
        <v>40</v>
      </c>
      <c r="D4339" t="s">
        <v>41</v>
      </c>
      <c r="E4339" t="s">
        <v>42</v>
      </c>
      <c r="F4339" t="s">
        <v>43</v>
      </c>
      <c r="G4339" t="s">
        <v>44</v>
      </c>
      <c r="H4339" t="s">
        <v>27</v>
      </c>
      <c r="I4339" t="s">
        <v>61</v>
      </c>
      <c r="J4339" t="s">
        <v>29</v>
      </c>
      <c r="K4339">
        <v>1703</v>
      </c>
      <c r="L4339">
        <v>13</v>
      </c>
      <c r="M4339">
        <v>89.92</v>
      </c>
      <c r="N4339">
        <v>0</v>
      </c>
      <c r="O4339">
        <v>0</v>
      </c>
      <c r="P4339">
        <f t="shared" si="268"/>
        <v>7.6335877862595417E-3</v>
      </c>
      <c r="Q4339">
        <f t="shared" si="268"/>
        <v>6.9169230769230774</v>
      </c>
      <c r="R4339">
        <f t="shared" si="269"/>
        <v>0</v>
      </c>
      <c r="S4339">
        <f t="shared" si="270"/>
        <v>0</v>
      </c>
      <c r="T4339">
        <f t="shared" si="271"/>
        <v>0</v>
      </c>
      <c r="U4339" t="str">
        <f>YEAR('Campaign Data'!$A4339)&amp;"-"&amp;TEXT(MONTH('Campaign Data'!$A4339),"00")</f>
        <v>2026-08</v>
      </c>
    </row>
    <row r="4340" spans="1:21" x14ac:dyDescent="0.25">
      <c r="A4340">
        <v>46259</v>
      </c>
      <c r="B4340" t="s">
        <v>169</v>
      </c>
      <c r="C4340" t="s">
        <v>170</v>
      </c>
      <c r="D4340" t="s">
        <v>58</v>
      </c>
      <c r="E4340" t="s">
        <v>74</v>
      </c>
      <c r="F4340" t="s">
        <v>75</v>
      </c>
      <c r="G4340" t="s">
        <v>9</v>
      </c>
      <c r="H4340" t="s">
        <v>90</v>
      </c>
      <c r="I4340" t="s">
        <v>37</v>
      </c>
      <c r="J4340" t="s">
        <v>38</v>
      </c>
      <c r="K4340">
        <v>10135</v>
      </c>
      <c r="L4340">
        <v>341</v>
      </c>
      <c r="M4340">
        <v>126.18</v>
      </c>
      <c r="N4340">
        <v>24</v>
      </c>
      <c r="O4340">
        <v>243.46</v>
      </c>
      <c r="P4340">
        <f t="shared" si="268"/>
        <v>3.3645781943759251E-2</v>
      </c>
      <c r="Q4340">
        <f t="shared" si="268"/>
        <v>0.37002932551319651</v>
      </c>
      <c r="R4340">
        <f t="shared" si="269"/>
        <v>5.2575000000000003</v>
      </c>
      <c r="S4340">
        <f t="shared" si="270"/>
        <v>1.9294658424472975</v>
      </c>
      <c r="T4340">
        <f t="shared" si="271"/>
        <v>7.0381231671554259E-2</v>
      </c>
      <c r="U4340" t="str">
        <f>YEAR('Campaign Data'!$A4340)&amp;"-"&amp;TEXT(MONTH('Campaign Data'!$A4340),"00")</f>
        <v>2026-08</v>
      </c>
    </row>
    <row r="4341" spans="1:21" x14ac:dyDescent="0.25">
      <c r="A4341">
        <v>46259</v>
      </c>
      <c r="B4341" t="s">
        <v>127</v>
      </c>
      <c r="C4341" t="s">
        <v>128</v>
      </c>
      <c r="D4341" t="s">
        <v>58</v>
      </c>
      <c r="E4341" t="s">
        <v>24</v>
      </c>
      <c r="F4341" t="s">
        <v>81</v>
      </c>
      <c r="G4341" t="s">
        <v>129</v>
      </c>
      <c r="H4341" t="s">
        <v>55</v>
      </c>
      <c r="I4341" t="s">
        <v>37</v>
      </c>
      <c r="J4341" t="s">
        <v>45</v>
      </c>
      <c r="K4341">
        <v>1833</v>
      </c>
      <c r="L4341">
        <v>8</v>
      </c>
      <c r="M4341">
        <v>6.75</v>
      </c>
      <c r="N4341">
        <v>0</v>
      </c>
      <c r="O4341">
        <v>0</v>
      </c>
      <c r="P4341">
        <f t="shared" si="268"/>
        <v>4.3644298963447896E-3</v>
      </c>
      <c r="Q4341">
        <f t="shared" si="268"/>
        <v>0.84375</v>
      </c>
      <c r="R4341">
        <f t="shared" si="269"/>
        <v>0</v>
      </c>
      <c r="S4341">
        <f t="shared" si="270"/>
        <v>0</v>
      </c>
      <c r="T4341">
        <f t="shared" si="271"/>
        <v>0</v>
      </c>
      <c r="U4341" t="str">
        <f>YEAR('Campaign Data'!$A4341)&amp;"-"&amp;TEXT(MONTH('Campaign Data'!$A4341),"00")</f>
        <v>2026-08</v>
      </c>
    </row>
    <row r="4342" spans="1:21" x14ac:dyDescent="0.25">
      <c r="A4342">
        <v>46259</v>
      </c>
      <c r="B4342" t="s">
        <v>177</v>
      </c>
      <c r="C4342" t="s">
        <v>178</v>
      </c>
      <c r="D4342" t="s">
        <v>41</v>
      </c>
      <c r="E4342" t="s">
        <v>49</v>
      </c>
      <c r="F4342" t="s">
        <v>34</v>
      </c>
      <c r="G4342" t="s">
        <v>107</v>
      </c>
      <c r="H4342" t="s">
        <v>27</v>
      </c>
      <c r="I4342" t="s">
        <v>37</v>
      </c>
      <c r="J4342" t="s">
        <v>38</v>
      </c>
      <c r="K4342">
        <v>16247</v>
      </c>
      <c r="L4342">
        <v>829</v>
      </c>
      <c r="M4342">
        <v>2861.47</v>
      </c>
      <c r="N4342">
        <v>71</v>
      </c>
      <c r="O4342">
        <v>18471.990000000002</v>
      </c>
      <c r="P4342">
        <f t="shared" si="268"/>
        <v>5.102480457930695E-2</v>
      </c>
      <c r="Q4342">
        <f t="shared" si="268"/>
        <v>3.4517129071170083</v>
      </c>
      <c r="R4342">
        <f t="shared" si="269"/>
        <v>40.302394366197177</v>
      </c>
      <c r="S4342">
        <f t="shared" si="270"/>
        <v>6.4554197667632378</v>
      </c>
      <c r="T4342">
        <f t="shared" si="271"/>
        <v>8.5645355850422197E-2</v>
      </c>
      <c r="U4342" t="str">
        <f>YEAR('Campaign Data'!$A4342)&amp;"-"&amp;TEXT(MONTH('Campaign Data'!$A4342),"00")</f>
        <v>2026-08</v>
      </c>
    </row>
    <row r="4343" spans="1:21" x14ac:dyDescent="0.25">
      <c r="A4343">
        <v>46259</v>
      </c>
      <c r="B4343" t="s">
        <v>171</v>
      </c>
      <c r="C4343" t="s">
        <v>172</v>
      </c>
      <c r="D4343" t="s">
        <v>23</v>
      </c>
      <c r="E4343" t="s">
        <v>33</v>
      </c>
      <c r="F4343" t="s">
        <v>75</v>
      </c>
      <c r="G4343" t="s">
        <v>59</v>
      </c>
      <c r="H4343" t="s">
        <v>27</v>
      </c>
      <c r="I4343" t="s">
        <v>37</v>
      </c>
      <c r="J4343" t="s">
        <v>62</v>
      </c>
      <c r="K4343">
        <v>3252</v>
      </c>
      <c r="L4343">
        <v>37</v>
      </c>
      <c r="M4343">
        <v>28.1</v>
      </c>
      <c r="N4343">
        <v>3</v>
      </c>
      <c r="O4343">
        <v>191.58</v>
      </c>
      <c r="P4343">
        <f t="shared" si="268"/>
        <v>1.1377613776137762E-2</v>
      </c>
      <c r="Q4343">
        <f t="shared" si="268"/>
        <v>0.75945945945945947</v>
      </c>
      <c r="R4343">
        <f t="shared" si="269"/>
        <v>9.3666666666666671</v>
      </c>
      <c r="S4343">
        <f t="shared" si="270"/>
        <v>6.8177935943060497</v>
      </c>
      <c r="T4343">
        <f t="shared" si="271"/>
        <v>8.1081081081081086E-2</v>
      </c>
      <c r="U4343" t="str">
        <f>YEAR('Campaign Data'!$A4343)&amp;"-"&amp;TEXT(MONTH('Campaign Data'!$A4343),"00")</f>
        <v>2026-08</v>
      </c>
    </row>
    <row r="4344" spans="1:21" x14ac:dyDescent="0.25">
      <c r="A4344">
        <v>46259</v>
      </c>
      <c r="B4344" t="s">
        <v>114</v>
      </c>
      <c r="C4344" t="s">
        <v>115</v>
      </c>
      <c r="D4344" t="s">
        <v>69</v>
      </c>
      <c r="E4344" t="s">
        <v>49</v>
      </c>
      <c r="F4344" t="s">
        <v>25</v>
      </c>
      <c r="G4344" t="s">
        <v>107</v>
      </c>
      <c r="H4344" t="s">
        <v>60</v>
      </c>
      <c r="I4344" t="s">
        <v>61</v>
      </c>
      <c r="J4344" t="s">
        <v>29</v>
      </c>
      <c r="K4344">
        <v>2835</v>
      </c>
      <c r="L4344">
        <v>138</v>
      </c>
      <c r="M4344">
        <v>236.7</v>
      </c>
      <c r="N4344">
        <v>9</v>
      </c>
      <c r="O4344">
        <v>1203.46</v>
      </c>
      <c r="P4344">
        <f t="shared" si="268"/>
        <v>4.867724867724868E-2</v>
      </c>
      <c r="Q4344">
        <f t="shared" si="268"/>
        <v>1.7152173913043478</v>
      </c>
      <c r="R4344">
        <f t="shared" si="269"/>
        <v>26.299999999999997</v>
      </c>
      <c r="S4344">
        <f t="shared" si="270"/>
        <v>5.0843261512463034</v>
      </c>
      <c r="T4344">
        <f t="shared" si="271"/>
        <v>6.5217391304347824E-2</v>
      </c>
      <c r="U4344" t="str">
        <f>YEAR('Campaign Data'!$A4344)&amp;"-"&amp;TEXT(MONTH('Campaign Data'!$A4344),"00")</f>
        <v>2026-08</v>
      </c>
    </row>
    <row r="4345" spans="1:21" x14ac:dyDescent="0.25">
      <c r="A4345">
        <v>46259</v>
      </c>
      <c r="B4345" t="s">
        <v>143</v>
      </c>
      <c r="C4345" t="s">
        <v>144</v>
      </c>
      <c r="D4345" t="s">
        <v>48</v>
      </c>
      <c r="E4345" t="s">
        <v>42</v>
      </c>
      <c r="F4345" t="s">
        <v>25</v>
      </c>
      <c r="G4345" t="s">
        <v>84</v>
      </c>
      <c r="H4345" t="s">
        <v>60</v>
      </c>
      <c r="I4345" t="s">
        <v>28</v>
      </c>
      <c r="J4345" t="s">
        <v>62</v>
      </c>
      <c r="K4345">
        <v>15666</v>
      </c>
      <c r="L4345">
        <v>178</v>
      </c>
      <c r="M4345">
        <v>905.68</v>
      </c>
      <c r="N4345">
        <v>15</v>
      </c>
      <c r="O4345">
        <v>1910.28</v>
      </c>
      <c r="P4345">
        <f t="shared" si="268"/>
        <v>1.136218562492021E-2</v>
      </c>
      <c r="Q4345">
        <f t="shared" si="268"/>
        <v>5.0880898876404492</v>
      </c>
      <c r="R4345">
        <f t="shared" si="269"/>
        <v>60.37866666666666</v>
      </c>
      <c r="S4345">
        <f t="shared" si="270"/>
        <v>2.1092218001943293</v>
      </c>
      <c r="T4345">
        <f t="shared" si="271"/>
        <v>8.4269662921348312E-2</v>
      </c>
      <c r="U4345" t="str">
        <f>YEAR('Campaign Data'!$A4345)&amp;"-"&amp;TEXT(MONTH('Campaign Data'!$A4345),"00")</f>
        <v>2026-08</v>
      </c>
    </row>
    <row r="4346" spans="1:21" x14ac:dyDescent="0.25">
      <c r="A4346">
        <v>46259</v>
      </c>
      <c r="B4346" t="s">
        <v>67</v>
      </c>
      <c r="C4346" t="s">
        <v>68</v>
      </c>
      <c r="D4346" t="s">
        <v>69</v>
      </c>
      <c r="E4346" t="s">
        <v>49</v>
      </c>
      <c r="F4346" t="s">
        <v>34</v>
      </c>
      <c r="G4346" t="s">
        <v>70</v>
      </c>
      <c r="H4346" t="s">
        <v>36</v>
      </c>
      <c r="I4346" t="s">
        <v>37</v>
      </c>
      <c r="J4346" t="s">
        <v>62</v>
      </c>
      <c r="K4346">
        <v>5917</v>
      </c>
      <c r="L4346">
        <v>513</v>
      </c>
      <c r="M4346">
        <v>941.61</v>
      </c>
      <c r="N4346">
        <v>18</v>
      </c>
      <c r="O4346">
        <v>2618.1799999999998</v>
      </c>
      <c r="P4346">
        <f t="shared" si="268"/>
        <v>8.6699340882203824E-2</v>
      </c>
      <c r="Q4346">
        <f t="shared" si="268"/>
        <v>1.8354970760233917</v>
      </c>
      <c r="R4346">
        <f t="shared" si="269"/>
        <v>52.311666666666667</v>
      </c>
      <c r="S4346">
        <f t="shared" si="270"/>
        <v>2.7805354658510422</v>
      </c>
      <c r="T4346">
        <f t="shared" si="271"/>
        <v>3.5087719298245612E-2</v>
      </c>
      <c r="U4346" t="str">
        <f>YEAR('Campaign Data'!$A4346)&amp;"-"&amp;TEXT(MONTH('Campaign Data'!$A4346),"00")</f>
        <v>2026-08</v>
      </c>
    </row>
    <row r="4347" spans="1:21" x14ac:dyDescent="0.25">
      <c r="A4347">
        <v>46259</v>
      </c>
      <c r="B4347" t="s">
        <v>163</v>
      </c>
      <c r="C4347" t="s">
        <v>164</v>
      </c>
      <c r="D4347" t="s">
        <v>58</v>
      </c>
      <c r="E4347" t="s">
        <v>42</v>
      </c>
      <c r="F4347" t="s">
        <v>43</v>
      </c>
      <c r="G4347" t="s">
        <v>44</v>
      </c>
      <c r="H4347" t="s">
        <v>36</v>
      </c>
      <c r="I4347" t="s">
        <v>37</v>
      </c>
      <c r="J4347" t="s">
        <v>38</v>
      </c>
      <c r="K4347">
        <v>16812</v>
      </c>
      <c r="L4347">
        <v>69</v>
      </c>
      <c r="M4347">
        <v>364.27</v>
      </c>
      <c r="N4347">
        <v>1</v>
      </c>
      <c r="O4347">
        <v>26.06</v>
      </c>
      <c r="P4347">
        <f t="shared" si="268"/>
        <v>4.1042112776588152E-3</v>
      </c>
      <c r="Q4347">
        <f t="shared" si="268"/>
        <v>5.27927536231884</v>
      </c>
      <c r="R4347">
        <f t="shared" si="269"/>
        <v>364.27</v>
      </c>
      <c r="S4347">
        <f t="shared" si="270"/>
        <v>7.1540340955884366E-2</v>
      </c>
      <c r="T4347">
        <f t="shared" si="271"/>
        <v>1.4492753623188406E-2</v>
      </c>
      <c r="U4347" t="str">
        <f>YEAR('Campaign Data'!$A4347)&amp;"-"&amp;TEXT(MONTH('Campaign Data'!$A4347),"00")</f>
        <v>2026-08</v>
      </c>
    </row>
    <row r="4348" spans="1:21" x14ac:dyDescent="0.25">
      <c r="A4348">
        <v>46259</v>
      </c>
      <c r="B4348" t="s">
        <v>76</v>
      </c>
      <c r="C4348" t="s">
        <v>77</v>
      </c>
      <c r="D4348" t="s">
        <v>65</v>
      </c>
      <c r="E4348" t="s">
        <v>42</v>
      </c>
      <c r="F4348" t="s">
        <v>43</v>
      </c>
      <c r="G4348" t="s">
        <v>44</v>
      </c>
      <c r="H4348" t="s">
        <v>27</v>
      </c>
      <c r="I4348" t="s">
        <v>37</v>
      </c>
      <c r="J4348" t="s">
        <v>87</v>
      </c>
      <c r="K4348">
        <v>5329</v>
      </c>
      <c r="L4348">
        <v>20</v>
      </c>
      <c r="M4348">
        <v>124.81</v>
      </c>
      <c r="N4348">
        <v>0</v>
      </c>
      <c r="O4348">
        <v>0</v>
      </c>
      <c r="P4348">
        <f t="shared" si="268"/>
        <v>3.7530493525989865E-3</v>
      </c>
      <c r="Q4348">
        <f t="shared" si="268"/>
        <v>6.2404999999999999</v>
      </c>
      <c r="R4348">
        <f t="shared" si="269"/>
        <v>0</v>
      </c>
      <c r="S4348">
        <f t="shared" si="270"/>
        <v>0</v>
      </c>
      <c r="T4348">
        <f t="shared" si="271"/>
        <v>0</v>
      </c>
      <c r="U4348" t="str">
        <f>YEAR('Campaign Data'!$A4348)&amp;"-"&amp;TEXT(MONTH('Campaign Data'!$A4348),"00")</f>
        <v>2026-08</v>
      </c>
    </row>
    <row r="4349" spans="1:21" x14ac:dyDescent="0.25">
      <c r="A4349">
        <v>46259</v>
      </c>
      <c r="B4349" t="s">
        <v>122</v>
      </c>
      <c r="C4349" t="s">
        <v>123</v>
      </c>
      <c r="D4349" t="s">
        <v>41</v>
      </c>
      <c r="E4349" t="s">
        <v>33</v>
      </c>
      <c r="F4349" t="s">
        <v>75</v>
      </c>
      <c r="G4349" t="s">
        <v>35</v>
      </c>
      <c r="H4349" t="s">
        <v>71</v>
      </c>
      <c r="I4349" t="s">
        <v>37</v>
      </c>
      <c r="J4349" t="s">
        <v>29</v>
      </c>
      <c r="K4349">
        <v>14823</v>
      </c>
      <c r="L4349">
        <v>115</v>
      </c>
      <c r="M4349">
        <v>72.92</v>
      </c>
      <c r="N4349">
        <v>3</v>
      </c>
      <c r="O4349">
        <v>128.41</v>
      </c>
      <c r="P4349">
        <f t="shared" si="268"/>
        <v>7.7582135869931866E-3</v>
      </c>
      <c r="Q4349">
        <f t="shared" si="268"/>
        <v>0.63408695652173919</v>
      </c>
      <c r="R4349">
        <f t="shared" si="269"/>
        <v>24.306666666666668</v>
      </c>
      <c r="S4349">
        <f t="shared" si="270"/>
        <v>1.7609709270433351</v>
      </c>
      <c r="T4349">
        <f t="shared" si="271"/>
        <v>2.6086956521739129E-2</v>
      </c>
      <c r="U4349" t="str">
        <f>YEAR('Campaign Data'!$A4349)&amp;"-"&amp;TEXT(MONTH('Campaign Data'!$A4349),"00")</f>
        <v>2026-08</v>
      </c>
    </row>
    <row r="4350" spans="1:21" x14ac:dyDescent="0.25">
      <c r="A4350">
        <v>46260</v>
      </c>
      <c r="B4350" t="s">
        <v>173</v>
      </c>
      <c r="C4350" t="s">
        <v>174</v>
      </c>
      <c r="D4350" t="s">
        <v>48</v>
      </c>
      <c r="E4350" t="s">
        <v>74</v>
      </c>
      <c r="F4350" t="s">
        <v>25</v>
      </c>
      <c r="G4350" t="s">
        <v>9</v>
      </c>
      <c r="H4350" t="s">
        <v>27</v>
      </c>
      <c r="I4350" t="s">
        <v>37</v>
      </c>
      <c r="J4350" t="s">
        <v>29</v>
      </c>
      <c r="K4350">
        <v>3392</v>
      </c>
      <c r="L4350">
        <v>88</v>
      </c>
      <c r="M4350">
        <v>208.98</v>
      </c>
      <c r="N4350">
        <v>2</v>
      </c>
      <c r="O4350">
        <v>612.34</v>
      </c>
      <c r="P4350">
        <f t="shared" si="268"/>
        <v>2.5943396226415096E-2</v>
      </c>
      <c r="Q4350">
        <f t="shared" si="268"/>
        <v>2.374772727272727</v>
      </c>
      <c r="R4350">
        <f t="shared" si="269"/>
        <v>104.49</v>
      </c>
      <c r="S4350">
        <f t="shared" si="270"/>
        <v>2.9301368552014551</v>
      </c>
      <c r="T4350">
        <f t="shared" si="271"/>
        <v>2.2727272727272728E-2</v>
      </c>
      <c r="U4350" t="str">
        <f>YEAR('Campaign Data'!$A4350)&amp;"-"&amp;TEXT(MONTH('Campaign Data'!$A4350),"00")</f>
        <v>2026-08</v>
      </c>
    </row>
    <row r="4351" spans="1:21" x14ac:dyDescent="0.25">
      <c r="A4351">
        <v>46260</v>
      </c>
      <c r="B4351" t="s">
        <v>85</v>
      </c>
      <c r="C4351" t="s">
        <v>86</v>
      </c>
      <c r="D4351" t="s">
        <v>80</v>
      </c>
      <c r="E4351" t="s">
        <v>33</v>
      </c>
      <c r="F4351" t="s">
        <v>43</v>
      </c>
      <c r="G4351" t="s">
        <v>35</v>
      </c>
      <c r="H4351" t="s">
        <v>51</v>
      </c>
      <c r="I4351" t="s">
        <v>37</v>
      </c>
      <c r="J4351" t="s">
        <v>45</v>
      </c>
      <c r="K4351">
        <v>1728</v>
      </c>
      <c r="L4351">
        <v>10</v>
      </c>
      <c r="M4351">
        <v>5.98</v>
      </c>
      <c r="N4351">
        <v>0</v>
      </c>
      <c r="O4351">
        <v>0</v>
      </c>
      <c r="P4351">
        <f t="shared" si="268"/>
        <v>5.7870370370370367E-3</v>
      </c>
      <c r="Q4351">
        <f t="shared" si="268"/>
        <v>0.59800000000000009</v>
      </c>
      <c r="R4351">
        <f t="shared" si="269"/>
        <v>0</v>
      </c>
      <c r="S4351">
        <f t="shared" si="270"/>
        <v>0</v>
      </c>
      <c r="T4351">
        <f t="shared" si="271"/>
        <v>0</v>
      </c>
      <c r="U4351" t="str">
        <f>YEAR('Campaign Data'!$A4351)&amp;"-"&amp;TEXT(MONTH('Campaign Data'!$A4351),"00")</f>
        <v>2026-08</v>
      </c>
    </row>
    <row r="4352" spans="1:21" x14ac:dyDescent="0.25">
      <c r="A4352">
        <v>46260</v>
      </c>
      <c r="B4352" t="s">
        <v>21</v>
      </c>
      <c r="C4352" t="s">
        <v>124</v>
      </c>
      <c r="D4352" t="s">
        <v>23</v>
      </c>
      <c r="E4352" t="s">
        <v>24</v>
      </c>
      <c r="F4352" t="s">
        <v>25</v>
      </c>
      <c r="G4352" t="s">
        <v>26</v>
      </c>
      <c r="H4352" t="s">
        <v>27</v>
      </c>
      <c r="I4352" t="s">
        <v>37</v>
      </c>
      <c r="J4352" t="s">
        <v>45</v>
      </c>
      <c r="K4352">
        <v>4790</v>
      </c>
      <c r="L4352">
        <v>98</v>
      </c>
      <c r="M4352">
        <v>181.72</v>
      </c>
      <c r="N4352">
        <v>3</v>
      </c>
      <c r="O4352">
        <v>499.69</v>
      </c>
      <c r="P4352">
        <f t="shared" si="268"/>
        <v>2.045929018789144E-2</v>
      </c>
      <c r="Q4352">
        <f t="shared" si="268"/>
        <v>1.8542857142857143</v>
      </c>
      <c r="R4352">
        <f t="shared" si="269"/>
        <v>60.573333333333331</v>
      </c>
      <c r="S4352">
        <f t="shared" si="270"/>
        <v>2.7497798811358134</v>
      </c>
      <c r="T4352">
        <f t="shared" si="271"/>
        <v>3.0612244897959183E-2</v>
      </c>
      <c r="U4352" t="str">
        <f>YEAR('Campaign Data'!$A4352)&amp;"-"&amp;TEXT(MONTH('Campaign Data'!$A4352),"00")</f>
        <v>2026-08</v>
      </c>
    </row>
    <row r="4353" spans="1:21" x14ac:dyDescent="0.25">
      <c r="A4353">
        <v>46260</v>
      </c>
      <c r="B4353" t="s">
        <v>138</v>
      </c>
      <c r="C4353" t="s">
        <v>139</v>
      </c>
      <c r="D4353" t="s">
        <v>58</v>
      </c>
      <c r="E4353" t="s">
        <v>74</v>
      </c>
      <c r="F4353" t="s">
        <v>34</v>
      </c>
      <c r="G4353" t="s">
        <v>9</v>
      </c>
      <c r="H4353" t="s">
        <v>90</v>
      </c>
      <c r="I4353" t="s">
        <v>37</v>
      </c>
      <c r="J4353" t="s">
        <v>62</v>
      </c>
      <c r="K4353">
        <v>7196</v>
      </c>
      <c r="L4353">
        <v>365</v>
      </c>
      <c r="M4353">
        <v>149.9</v>
      </c>
      <c r="N4353">
        <v>11</v>
      </c>
      <c r="O4353">
        <v>178.72</v>
      </c>
      <c r="P4353">
        <f t="shared" si="268"/>
        <v>5.0722623679822124E-2</v>
      </c>
      <c r="Q4353">
        <f t="shared" si="268"/>
        <v>0.41068493150684932</v>
      </c>
      <c r="R4353">
        <f t="shared" si="269"/>
        <v>13.627272727272727</v>
      </c>
      <c r="S4353">
        <f t="shared" si="270"/>
        <v>1.1922615076717811</v>
      </c>
      <c r="T4353">
        <f t="shared" si="271"/>
        <v>3.0136986301369864E-2</v>
      </c>
      <c r="U4353" t="str">
        <f>YEAR('Campaign Data'!$A4353)&amp;"-"&amp;TEXT(MONTH('Campaign Data'!$A4353),"00")</f>
        <v>2026-08</v>
      </c>
    </row>
    <row r="4354" spans="1:21" x14ac:dyDescent="0.25">
      <c r="A4354">
        <v>46260</v>
      </c>
      <c r="B4354" t="s">
        <v>39</v>
      </c>
      <c r="C4354" t="s">
        <v>40</v>
      </c>
      <c r="D4354" t="s">
        <v>41</v>
      </c>
      <c r="E4354" t="s">
        <v>42</v>
      </c>
      <c r="F4354" t="s">
        <v>43</v>
      </c>
      <c r="G4354" t="s">
        <v>44</v>
      </c>
      <c r="H4354" t="s">
        <v>27</v>
      </c>
      <c r="I4354" t="s">
        <v>37</v>
      </c>
      <c r="J4354" t="s">
        <v>87</v>
      </c>
      <c r="K4354">
        <v>3697</v>
      </c>
      <c r="L4354">
        <v>19</v>
      </c>
      <c r="M4354">
        <v>175.93</v>
      </c>
      <c r="N4354">
        <v>1</v>
      </c>
      <c r="O4354">
        <v>28.45</v>
      </c>
      <c r="P4354">
        <f t="shared" ref="P4354:Q4417" si="272">IF(K4354=0,0,L4354/K4354)</f>
        <v>5.1393021368677308E-3</v>
      </c>
      <c r="Q4354">
        <f t="shared" si="272"/>
        <v>9.2594736842105263</v>
      </c>
      <c r="R4354">
        <f t="shared" ref="R4354:R4417" si="273">IF(N4354=0,0,M4354/N4354)</f>
        <v>175.93</v>
      </c>
      <c r="S4354">
        <f t="shared" ref="S4354:S4417" si="274">IF(M4354=0,0,O4354/M4354)</f>
        <v>0.16171204456317853</v>
      </c>
      <c r="T4354">
        <f t="shared" ref="T4354:T4417" si="275">IF(L4354=0,0,N4354/L4354)</f>
        <v>5.2631578947368418E-2</v>
      </c>
      <c r="U4354" t="str">
        <f>YEAR('Campaign Data'!$A4354)&amp;"-"&amp;TEXT(MONTH('Campaign Data'!$A4354),"00")</f>
        <v>2026-08</v>
      </c>
    </row>
    <row r="4355" spans="1:21" x14ac:dyDescent="0.25">
      <c r="A4355">
        <v>46260</v>
      </c>
      <c r="B4355" t="s">
        <v>46</v>
      </c>
      <c r="C4355" t="s">
        <v>47</v>
      </c>
      <c r="D4355" t="s">
        <v>48</v>
      </c>
      <c r="E4355" t="s">
        <v>49</v>
      </c>
      <c r="F4355" t="s">
        <v>43</v>
      </c>
      <c r="G4355" t="s">
        <v>50</v>
      </c>
      <c r="H4355" t="s">
        <v>90</v>
      </c>
      <c r="I4355" t="s">
        <v>37</v>
      </c>
      <c r="J4355" t="s">
        <v>87</v>
      </c>
      <c r="K4355">
        <v>10832</v>
      </c>
      <c r="L4355">
        <v>562</v>
      </c>
      <c r="M4355">
        <v>257.16000000000003</v>
      </c>
      <c r="N4355">
        <v>25</v>
      </c>
      <c r="O4355">
        <v>125</v>
      </c>
      <c r="P4355">
        <f t="shared" si="272"/>
        <v>5.1883308714918759E-2</v>
      </c>
      <c r="Q4355">
        <f t="shared" si="272"/>
        <v>0.45758007117437727</v>
      </c>
      <c r="R4355">
        <f t="shared" si="273"/>
        <v>10.2864</v>
      </c>
      <c r="S4355">
        <f t="shared" si="274"/>
        <v>0.48607870586405344</v>
      </c>
      <c r="T4355">
        <f t="shared" si="275"/>
        <v>4.4483985765124558E-2</v>
      </c>
      <c r="U4355" t="str">
        <f>YEAR('Campaign Data'!$A4355)&amp;"-"&amp;TEXT(MONTH('Campaign Data'!$A4355),"00")</f>
        <v>2026-08</v>
      </c>
    </row>
    <row r="4356" spans="1:21" x14ac:dyDescent="0.25">
      <c r="A4356">
        <v>46260</v>
      </c>
      <c r="B4356" t="s">
        <v>98</v>
      </c>
      <c r="C4356" t="s">
        <v>99</v>
      </c>
      <c r="D4356" t="s">
        <v>69</v>
      </c>
      <c r="E4356" t="s">
        <v>24</v>
      </c>
      <c r="F4356" t="s">
        <v>75</v>
      </c>
      <c r="G4356" t="s">
        <v>66</v>
      </c>
      <c r="H4356" t="s">
        <v>36</v>
      </c>
      <c r="I4356" t="s">
        <v>28</v>
      </c>
      <c r="J4356" t="s">
        <v>62</v>
      </c>
      <c r="K4356">
        <v>3290</v>
      </c>
      <c r="L4356">
        <v>66</v>
      </c>
      <c r="M4356">
        <v>38.380000000000003</v>
      </c>
      <c r="N4356">
        <v>1</v>
      </c>
      <c r="O4356">
        <v>41.75</v>
      </c>
      <c r="P4356">
        <f t="shared" si="272"/>
        <v>2.0060790273556232E-2</v>
      </c>
      <c r="Q4356">
        <f t="shared" si="272"/>
        <v>0.58151515151515154</v>
      </c>
      <c r="R4356">
        <f t="shared" si="273"/>
        <v>38.380000000000003</v>
      </c>
      <c r="S4356">
        <f t="shared" si="274"/>
        <v>1.0878061490359561</v>
      </c>
      <c r="T4356">
        <f t="shared" si="275"/>
        <v>1.5151515151515152E-2</v>
      </c>
      <c r="U4356" t="str">
        <f>YEAR('Campaign Data'!$A4356)&amp;"-"&amp;TEXT(MONTH('Campaign Data'!$A4356),"00")</f>
        <v>2026-08</v>
      </c>
    </row>
    <row r="4357" spans="1:21" x14ac:dyDescent="0.25">
      <c r="A4357">
        <v>46260</v>
      </c>
      <c r="B4357" t="s">
        <v>169</v>
      </c>
      <c r="C4357" t="s">
        <v>170</v>
      </c>
      <c r="D4357" t="s">
        <v>58</v>
      </c>
      <c r="E4357" t="s">
        <v>74</v>
      </c>
      <c r="F4357" t="s">
        <v>75</v>
      </c>
      <c r="G4357" t="s">
        <v>9</v>
      </c>
      <c r="H4357" t="s">
        <v>51</v>
      </c>
      <c r="I4357" t="s">
        <v>28</v>
      </c>
      <c r="J4357" t="s">
        <v>29</v>
      </c>
      <c r="K4357">
        <v>4034</v>
      </c>
      <c r="L4357">
        <v>99</v>
      </c>
      <c r="M4357">
        <v>140.59</v>
      </c>
      <c r="N4357">
        <v>5</v>
      </c>
      <c r="O4357">
        <v>125.64</v>
      </c>
      <c r="P4357">
        <f t="shared" si="272"/>
        <v>2.4541398116013882E-2</v>
      </c>
      <c r="Q4357">
        <f t="shared" si="272"/>
        <v>1.4201010101010101</v>
      </c>
      <c r="R4357">
        <f t="shared" si="273"/>
        <v>28.118000000000002</v>
      </c>
      <c r="S4357">
        <f t="shared" si="274"/>
        <v>0.89366242264741447</v>
      </c>
      <c r="T4357">
        <f t="shared" si="275"/>
        <v>5.0505050505050504E-2</v>
      </c>
      <c r="U4357" t="str">
        <f>YEAR('Campaign Data'!$A4357)&amp;"-"&amp;TEXT(MONTH('Campaign Data'!$A4357),"00")</f>
        <v>2026-08</v>
      </c>
    </row>
    <row r="4358" spans="1:21" x14ac:dyDescent="0.25">
      <c r="A4358">
        <v>46260</v>
      </c>
      <c r="B4358" t="s">
        <v>179</v>
      </c>
      <c r="C4358" t="s">
        <v>180</v>
      </c>
      <c r="D4358" t="s">
        <v>58</v>
      </c>
      <c r="E4358" t="s">
        <v>42</v>
      </c>
      <c r="F4358" t="s">
        <v>25</v>
      </c>
      <c r="G4358" t="s">
        <v>54</v>
      </c>
      <c r="H4358" t="s">
        <v>90</v>
      </c>
      <c r="I4358" t="s">
        <v>37</v>
      </c>
      <c r="J4358" t="s">
        <v>45</v>
      </c>
      <c r="K4358">
        <v>24983</v>
      </c>
      <c r="L4358">
        <v>172</v>
      </c>
      <c r="M4358">
        <v>199.26</v>
      </c>
      <c r="N4358">
        <v>5</v>
      </c>
      <c r="O4358">
        <v>135.99</v>
      </c>
      <c r="P4358">
        <f t="shared" si="272"/>
        <v>6.8846815834767644E-3</v>
      </c>
      <c r="Q4358">
        <f t="shared" si="272"/>
        <v>1.1584883720930232</v>
      </c>
      <c r="R4358">
        <f t="shared" si="273"/>
        <v>39.851999999999997</v>
      </c>
      <c r="S4358">
        <f t="shared" si="274"/>
        <v>0.68247515808491421</v>
      </c>
      <c r="T4358">
        <f t="shared" si="275"/>
        <v>2.9069767441860465E-2</v>
      </c>
      <c r="U4358" t="str">
        <f>YEAR('Campaign Data'!$A4358)&amp;"-"&amp;TEXT(MONTH('Campaign Data'!$A4358),"00")</f>
        <v>2026-08</v>
      </c>
    </row>
    <row r="4359" spans="1:21" x14ac:dyDescent="0.25">
      <c r="A4359">
        <v>46260</v>
      </c>
      <c r="B4359" t="s">
        <v>155</v>
      </c>
      <c r="C4359" t="s">
        <v>156</v>
      </c>
      <c r="D4359" t="s">
        <v>32</v>
      </c>
      <c r="E4359" t="s">
        <v>24</v>
      </c>
      <c r="F4359" t="s">
        <v>34</v>
      </c>
      <c r="G4359" t="s">
        <v>129</v>
      </c>
      <c r="H4359" t="s">
        <v>60</v>
      </c>
      <c r="I4359" t="s">
        <v>28</v>
      </c>
      <c r="J4359" t="s">
        <v>38</v>
      </c>
      <c r="K4359">
        <v>3179</v>
      </c>
      <c r="L4359">
        <v>44</v>
      </c>
      <c r="M4359">
        <v>39.54</v>
      </c>
      <c r="N4359">
        <v>1</v>
      </c>
      <c r="O4359">
        <v>142.97999999999999</v>
      </c>
      <c r="P4359">
        <f t="shared" si="272"/>
        <v>1.384083044982699E-2</v>
      </c>
      <c r="Q4359">
        <f t="shared" si="272"/>
        <v>0.89863636363636357</v>
      </c>
      <c r="R4359">
        <f t="shared" si="273"/>
        <v>39.54</v>
      </c>
      <c r="S4359">
        <f t="shared" si="274"/>
        <v>3.6160849772382395</v>
      </c>
      <c r="T4359">
        <f t="shared" si="275"/>
        <v>2.2727272727272728E-2</v>
      </c>
      <c r="U4359" t="str">
        <f>YEAR('Campaign Data'!$A4359)&amp;"-"&amp;TEXT(MONTH('Campaign Data'!$A4359),"00")</f>
        <v>2026-08</v>
      </c>
    </row>
    <row r="4360" spans="1:21" x14ac:dyDescent="0.25">
      <c r="A4360">
        <v>46260</v>
      </c>
      <c r="B4360" t="s">
        <v>155</v>
      </c>
      <c r="C4360" t="s">
        <v>156</v>
      </c>
      <c r="D4360" t="s">
        <v>32</v>
      </c>
      <c r="E4360" t="s">
        <v>24</v>
      </c>
      <c r="F4360" t="s">
        <v>34</v>
      </c>
      <c r="G4360" t="s">
        <v>129</v>
      </c>
      <c r="H4360" t="s">
        <v>27</v>
      </c>
      <c r="I4360" t="s">
        <v>37</v>
      </c>
      <c r="J4360" t="s">
        <v>38</v>
      </c>
      <c r="K4360">
        <v>14075</v>
      </c>
      <c r="L4360">
        <v>185</v>
      </c>
      <c r="M4360">
        <v>246.39</v>
      </c>
      <c r="N4360">
        <v>2</v>
      </c>
      <c r="O4360">
        <v>377.08</v>
      </c>
      <c r="P4360">
        <f t="shared" si="272"/>
        <v>1.3143872113676732E-2</v>
      </c>
      <c r="Q4360">
        <f t="shared" si="272"/>
        <v>1.3318378378378377</v>
      </c>
      <c r="R4360">
        <f t="shared" si="273"/>
        <v>123.19499999999999</v>
      </c>
      <c r="S4360">
        <f t="shared" si="274"/>
        <v>1.5304192540281667</v>
      </c>
      <c r="T4360">
        <f t="shared" si="275"/>
        <v>1.0810810810810811E-2</v>
      </c>
      <c r="U4360" t="str">
        <f>YEAR('Campaign Data'!$A4360)&amp;"-"&amp;TEXT(MONTH('Campaign Data'!$A4360),"00")</f>
        <v>2026-08</v>
      </c>
    </row>
    <row r="4361" spans="1:21" x14ac:dyDescent="0.25">
      <c r="A4361">
        <v>46260</v>
      </c>
      <c r="B4361" t="s">
        <v>157</v>
      </c>
      <c r="C4361" t="s">
        <v>158</v>
      </c>
      <c r="D4361" t="s">
        <v>58</v>
      </c>
      <c r="E4361" t="s">
        <v>49</v>
      </c>
      <c r="F4361" t="s">
        <v>81</v>
      </c>
      <c r="G4361" t="s">
        <v>50</v>
      </c>
      <c r="H4361" t="s">
        <v>90</v>
      </c>
      <c r="I4361" t="s">
        <v>37</v>
      </c>
      <c r="J4361" t="s">
        <v>87</v>
      </c>
      <c r="K4361">
        <v>7432</v>
      </c>
      <c r="L4361">
        <v>299</v>
      </c>
      <c r="M4361">
        <v>133.88999999999999</v>
      </c>
      <c r="N4361">
        <v>9</v>
      </c>
      <c r="O4361">
        <v>66.959999999999994</v>
      </c>
      <c r="P4361">
        <f t="shared" si="272"/>
        <v>4.0231431646932186E-2</v>
      </c>
      <c r="Q4361">
        <f t="shared" si="272"/>
        <v>0.44779264214046816</v>
      </c>
      <c r="R4361">
        <f t="shared" si="273"/>
        <v>14.876666666666665</v>
      </c>
      <c r="S4361">
        <f t="shared" si="274"/>
        <v>0.50011203226529244</v>
      </c>
      <c r="T4361">
        <f t="shared" si="275"/>
        <v>3.0100334448160536E-2</v>
      </c>
      <c r="U4361" t="str">
        <f>YEAR('Campaign Data'!$A4361)&amp;"-"&amp;TEXT(MONTH('Campaign Data'!$A4361),"00")</f>
        <v>2026-08</v>
      </c>
    </row>
    <row r="4362" spans="1:21" x14ac:dyDescent="0.25">
      <c r="A4362">
        <v>46260</v>
      </c>
      <c r="B4362" t="s">
        <v>114</v>
      </c>
      <c r="C4362" t="s">
        <v>115</v>
      </c>
      <c r="D4362" t="s">
        <v>69</v>
      </c>
      <c r="E4362" t="s">
        <v>49</v>
      </c>
      <c r="F4362" t="s">
        <v>25</v>
      </c>
      <c r="G4362" t="s">
        <v>107</v>
      </c>
      <c r="H4362" t="s">
        <v>90</v>
      </c>
      <c r="I4362" t="s">
        <v>37</v>
      </c>
      <c r="J4362" t="s">
        <v>62</v>
      </c>
      <c r="K4362">
        <v>4062</v>
      </c>
      <c r="L4362">
        <v>216</v>
      </c>
      <c r="M4362">
        <v>128.43</v>
      </c>
      <c r="N4362">
        <v>6</v>
      </c>
      <c r="O4362">
        <v>191.29</v>
      </c>
      <c r="P4362">
        <f t="shared" si="272"/>
        <v>5.3175775480059084E-2</v>
      </c>
      <c r="Q4362">
        <f t="shared" si="272"/>
        <v>0.59458333333333335</v>
      </c>
      <c r="R4362">
        <f t="shared" si="273"/>
        <v>21.405000000000001</v>
      </c>
      <c r="S4362">
        <f t="shared" si="274"/>
        <v>1.489449505567235</v>
      </c>
      <c r="T4362">
        <f t="shared" si="275"/>
        <v>2.7777777777777776E-2</v>
      </c>
      <c r="U4362" t="str">
        <f>YEAR('Campaign Data'!$A4362)&amp;"-"&amp;TEXT(MONTH('Campaign Data'!$A4362),"00")</f>
        <v>2026-08</v>
      </c>
    </row>
    <row r="4363" spans="1:21" x14ac:dyDescent="0.25">
      <c r="A4363">
        <v>46260</v>
      </c>
      <c r="B4363" t="s">
        <v>56</v>
      </c>
      <c r="C4363" t="s">
        <v>57</v>
      </c>
      <c r="D4363" t="s">
        <v>58</v>
      </c>
      <c r="E4363" t="s">
        <v>33</v>
      </c>
      <c r="F4363" t="s">
        <v>43</v>
      </c>
      <c r="G4363" t="s">
        <v>59</v>
      </c>
      <c r="H4363" t="s">
        <v>55</v>
      </c>
      <c r="I4363" t="s">
        <v>28</v>
      </c>
      <c r="J4363" t="s">
        <v>87</v>
      </c>
      <c r="K4363">
        <v>3612</v>
      </c>
      <c r="L4363">
        <v>36</v>
      </c>
      <c r="M4363">
        <v>23.83</v>
      </c>
      <c r="N4363">
        <v>1</v>
      </c>
      <c r="O4363">
        <v>18.98</v>
      </c>
      <c r="P4363">
        <f t="shared" si="272"/>
        <v>9.9667774086378731E-3</v>
      </c>
      <c r="Q4363">
        <f t="shared" si="272"/>
        <v>0.66194444444444445</v>
      </c>
      <c r="R4363">
        <f t="shared" si="273"/>
        <v>23.83</v>
      </c>
      <c r="S4363">
        <f t="shared" si="274"/>
        <v>0.7964750314729333</v>
      </c>
      <c r="T4363">
        <f t="shared" si="275"/>
        <v>2.7777777777777776E-2</v>
      </c>
      <c r="U4363" t="str">
        <f>YEAR('Campaign Data'!$A4363)&amp;"-"&amp;TEXT(MONTH('Campaign Data'!$A4363),"00")</f>
        <v>2026-08</v>
      </c>
    </row>
    <row r="4364" spans="1:21" x14ac:dyDescent="0.25">
      <c r="A4364">
        <v>46260</v>
      </c>
      <c r="B4364" t="s">
        <v>67</v>
      </c>
      <c r="C4364" t="s">
        <v>68</v>
      </c>
      <c r="D4364" t="s">
        <v>69</v>
      </c>
      <c r="E4364" t="s">
        <v>49</v>
      </c>
      <c r="F4364" t="s">
        <v>34</v>
      </c>
      <c r="G4364" t="s">
        <v>70</v>
      </c>
      <c r="H4364" t="s">
        <v>36</v>
      </c>
      <c r="I4364" t="s">
        <v>37</v>
      </c>
      <c r="J4364" t="s">
        <v>87</v>
      </c>
      <c r="K4364">
        <v>27373</v>
      </c>
      <c r="L4364">
        <v>812</v>
      </c>
      <c r="M4364">
        <v>1126.3599999999999</v>
      </c>
      <c r="N4364">
        <v>58</v>
      </c>
      <c r="O4364">
        <v>8436.4699999999993</v>
      </c>
      <c r="P4364">
        <f t="shared" si="272"/>
        <v>2.966426770905637E-2</v>
      </c>
      <c r="Q4364">
        <f t="shared" si="272"/>
        <v>1.387142857142857</v>
      </c>
      <c r="R4364">
        <f t="shared" si="273"/>
        <v>19.419999999999998</v>
      </c>
      <c r="S4364">
        <f t="shared" si="274"/>
        <v>7.4900298306047803</v>
      </c>
      <c r="T4364">
        <f t="shared" si="275"/>
        <v>7.1428571428571425E-2</v>
      </c>
      <c r="U4364" t="str">
        <f>YEAR('Campaign Data'!$A4364)&amp;"-"&amp;TEXT(MONTH('Campaign Data'!$A4364),"00")</f>
        <v>2026-08</v>
      </c>
    </row>
    <row r="4365" spans="1:21" x14ac:dyDescent="0.25">
      <c r="A4365">
        <v>46260</v>
      </c>
      <c r="B4365" t="s">
        <v>118</v>
      </c>
      <c r="C4365" t="s">
        <v>119</v>
      </c>
      <c r="D4365" t="s">
        <v>69</v>
      </c>
      <c r="E4365" t="s">
        <v>33</v>
      </c>
      <c r="F4365" t="s">
        <v>34</v>
      </c>
      <c r="G4365" t="s">
        <v>35</v>
      </c>
      <c r="H4365" t="s">
        <v>71</v>
      </c>
      <c r="I4365" t="s">
        <v>37</v>
      </c>
      <c r="J4365" t="s">
        <v>38</v>
      </c>
      <c r="K4365">
        <v>8254</v>
      </c>
      <c r="L4365">
        <v>64</v>
      </c>
      <c r="M4365">
        <v>40.57</v>
      </c>
      <c r="N4365">
        <v>1</v>
      </c>
      <c r="O4365">
        <v>179.47</v>
      </c>
      <c r="P4365">
        <f t="shared" si="272"/>
        <v>7.7538163314756483E-3</v>
      </c>
      <c r="Q4365">
        <f t="shared" si="272"/>
        <v>0.63390625</v>
      </c>
      <c r="R4365">
        <f t="shared" si="273"/>
        <v>40.57</v>
      </c>
      <c r="S4365">
        <f t="shared" si="274"/>
        <v>4.423712102538822</v>
      </c>
      <c r="T4365">
        <f t="shared" si="275"/>
        <v>1.5625E-2</v>
      </c>
      <c r="U4365" t="str">
        <f>YEAR('Campaign Data'!$A4365)&amp;"-"&amp;TEXT(MONTH('Campaign Data'!$A4365),"00")</f>
        <v>2026-08</v>
      </c>
    </row>
    <row r="4366" spans="1:21" x14ac:dyDescent="0.25">
      <c r="A4366">
        <v>46260</v>
      </c>
      <c r="B4366" t="s">
        <v>145</v>
      </c>
      <c r="C4366" t="s">
        <v>146</v>
      </c>
      <c r="D4366" t="s">
        <v>41</v>
      </c>
      <c r="E4366" t="s">
        <v>49</v>
      </c>
      <c r="F4366" t="s">
        <v>75</v>
      </c>
      <c r="G4366" t="s">
        <v>70</v>
      </c>
      <c r="H4366" t="s">
        <v>71</v>
      </c>
      <c r="I4366" t="s">
        <v>28</v>
      </c>
      <c r="J4366" t="s">
        <v>45</v>
      </c>
      <c r="K4366">
        <v>7437</v>
      </c>
      <c r="L4366">
        <v>282</v>
      </c>
      <c r="M4366">
        <v>438.69</v>
      </c>
      <c r="N4366">
        <v>19</v>
      </c>
      <c r="O4366">
        <v>537.1</v>
      </c>
      <c r="P4366">
        <f t="shared" si="272"/>
        <v>3.7918515530455832E-2</v>
      </c>
      <c r="Q4366">
        <f t="shared" si="272"/>
        <v>1.5556382978723404</v>
      </c>
      <c r="R4366">
        <f t="shared" si="273"/>
        <v>23.088947368421053</v>
      </c>
      <c r="S4366">
        <f t="shared" si="274"/>
        <v>1.2243269734892521</v>
      </c>
      <c r="T4366">
        <f t="shared" si="275"/>
        <v>6.7375886524822695E-2</v>
      </c>
      <c r="U4366" t="str">
        <f>YEAR('Campaign Data'!$A4366)&amp;"-"&amp;TEXT(MONTH('Campaign Data'!$A4366),"00")</f>
        <v>2026-08</v>
      </c>
    </row>
    <row r="4367" spans="1:21" x14ac:dyDescent="0.25">
      <c r="A4367">
        <v>46260</v>
      </c>
      <c r="B4367" t="s">
        <v>78</v>
      </c>
      <c r="C4367" t="s">
        <v>79</v>
      </c>
      <c r="D4367" t="s">
        <v>80</v>
      </c>
      <c r="E4367" t="s">
        <v>24</v>
      </c>
      <c r="F4367" t="s">
        <v>81</v>
      </c>
      <c r="G4367" t="s">
        <v>66</v>
      </c>
      <c r="H4367" t="s">
        <v>27</v>
      </c>
      <c r="I4367" t="s">
        <v>37</v>
      </c>
      <c r="J4367" t="s">
        <v>62</v>
      </c>
      <c r="K4367">
        <v>3501</v>
      </c>
      <c r="L4367">
        <v>51</v>
      </c>
      <c r="M4367">
        <v>60.55</v>
      </c>
      <c r="N4367">
        <v>1</v>
      </c>
      <c r="O4367">
        <v>31.32</v>
      </c>
      <c r="P4367">
        <f t="shared" si="272"/>
        <v>1.456726649528706E-2</v>
      </c>
      <c r="Q4367">
        <f t="shared" si="272"/>
        <v>1.1872549019607843</v>
      </c>
      <c r="R4367">
        <f t="shared" si="273"/>
        <v>60.55</v>
      </c>
      <c r="S4367">
        <f t="shared" si="274"/>
        <v>0.51725846407927334</v>
      </c>
      <c r="T4367">
        <f t="shared" si="275"/>
        <v>1.9607843137254902E-2</v>
      </c>
      <c r="U4367" t="str">
        <f>YEAR('Campaign Data'!$A4367)&amp;"-"&amp;TEXT(MONTH('Campaign Data'!$A4367),"00")</f>
        <v>2026-08</v>
      </c>
    </row>
    <row r="4368" spans="1:21" x14ac:dyDescent="0.25">
      <c r="A4368">
        <v>46261</v>
      </c>
      <c r="B4368" t="s">
        <v>88</v>
      </c>
      <c r="C4368" t="s">
        <v>89</v>
      </c>
      <c r="D4368" t="s">
        <v>23</v>
      </c>
      <c r="E4368" t="s">
        <v>49</v>
      </c>
      <c r="F4368" t="s">
        <v>81</v>
      </c>
      <c r="G4368" t="s">
        <v>50</v>
      </c>
      <c r="H4368" t="s">
        <v>90</v>
      </c>
      <c r="I4368" t="s">
        <v>28</v>
      </c>
      <c r="J4368" t="s">
        <v>45</v>
      </c>
      <c r="K4368">
        <v>7998</v>
      </c>
      <c r="L4368">
        <v>307</v>
      </c>
      <c r="M4368">
        <v>128.75</v>
      </c>
      <c r="N4368">
        <v>7</v>
      </c>
      <c r="O4368">
        <v>42.42</v>
      </c>
      <c r="P4368">
        <f t="shared" si="272"/>
        <v>3.8384596149037262E-2</v>
      </c>
      <c r="Q4368">
        <f t="shared" si="272"/>
        <v>0.4193811074918567</v>
      </c>
      <c r="R4368">
        <f t="shared" si="273"/>
        <v>18.392857142857142</v>
      </c>
      <c r="S4368">
        <f t="shared" si="274"/>
        <v>0.32947572815533982</v>
      </c>
      <c r="T4368">
        <f t="shared" si="275"/>
        <v>2.2801302931596091E-2</v>
      </c>
      <c r="U4368" t="str">
        <f>YEAR('Campaign Data'!$A4368)&amp;"-"&amp;TEXT(MONTH('Campaign Data'!$A4368),"00")</f>
        <v>2026-08</v>
      </c>
    </row>
    <row r="4369" spans="1:21" x14ac:dyDescent="0.25">
      <c r="A4369">
        <v>46261</v>
      </c>
      <c r="B4369" t="s">
        <v>147</v>
      </c>
      <c r="C4369" t="s">
        <v>148</v>
      </c>
      <c r="D4369" t="s">
        <v>23</v>
      </c>
      <c r="E4369" t="s">
        <v>42</v>
      </c>
      <c r="F4369" t="s">
        <v>75</v>
      </c>
      <c r="G4369" t="s">
        <v>44</v>
      </c>
      <c r="H4369" t="s">
        <v>27</v>
      </c>
      <c r="I4369" t="s">
        <v>61</v>
      </c>
      <c r="J4369" t="s">
        <v>29</v>
      </c>
      <c r="K4369">
        <v>4082</v>
      </c>
      <c r="L4369">
        <v>22</v>
      </c>
      <c r="M4369">
        <v>159.82</v>
      </c>
      <c r="N4369">
        <v>1</v>
      </c>
      <c r="O4369">
        <v>38.049999999999997</v>
      </c>
      <c r="P4369">
        <f t="shared" si="272"/>
        <v>5.3895149436550714E-3</v>
      </c>
      <c r="Q4369">
        <f t="shared" si="272"/>
        <v>7.2645454545454546</v>
      </c>
      <c r="R4369">
        <f t="shared" si="273"/>
        <v>159.82</v>
      </c>
      <c r="S4369">
        <f t="shared" si="274"/>
        <v>0.2380803403829308</v>
      </c>
      <c r="T4369">
        <f t="shared" si="275"/>
        <v>4.5454545454545456E-2</v>
      </c>
      <c r="U4369" t="str">
        <f>YEAR('Campaign Data'!$A4369)&amp;"-"&amp;TEXT(MONTH('Campaign Data'!$A4369),"00")</f>
        <v>2026-08</v>
      </c>
    </row>
    <row r="4370" spans="1:21" x14ac:dyDescent="0.25">
      <c r="A4370">
        <v>46261</v>
      </c>
      <c r="B4370" t="s">
        <v>186</v>
      </c>
      <c r="C4370" t="s">
        <v>187</v>
      </c>
      <c r="D4370" t="s">
        <v>80</v>
      </c>
      <c r="E4370" t="s">
        <v>33</v>
      </c>
      <c r="F4370" t="s">
        <v>43</v>
      </c>
      <c r="G4370" t="s">
        <v>102</v>
      </c>
      <c r="H4370" t="s">
        <v>27</v>
      </c>
      <c r="I4370" t="s">
        <v>28</v>
      </c>
      <c r="J4370" t="s">
        <v>29</v>
      </c>
      <c r="K4370">
        <v>10031</v>
      </c>
      <c r="L4370">
        <v>99</v>
      </c>
      <c r="M4370">
        <v>76.09</v>
      </c>
      <c r="N4370">
        <v>1</v>
      </c>
      <c r="O4370">
        <v>40.06</v>
      </c>
      <c r="P4370">
        <f t="shared" si="272"/>
        <v>9.8694048449805595E-3</v>
      </c>
      <c r="Q4370">
        <f t="shared" si="272"/>
        <v>0.76858585858585859</v>
      </c>
      <c r="R4370">
        <f t="shared" si="273"/>
        <v>76.09</v>
      </c>
      <c r="S4370">
        <f t="shared" si="274"/>
        <v>0.52648179787094229</v>
      </c>
      <c r="T4370">
        <f t="shared" si="275"/>
        <v>1.0101010101010102E-2</v>
      </c>
      <c r="U4370" t="str">
        <f>YEAR('Campaign Data'!$A4370)&amp;"-"&amp;TEXT(MONTH('Campaign Data'!$A4370),"00")</f>
        <v>2026-08</v>
      </c>
    </row>
    <row r="4371" spans="1:21" x14ac:dyDescent="0.25">
      <c r="A4371">
        <v>46261</v>
      </c>
      <c r="B4371" t="s">
        <v>100</v>
      </c>
      <c r="C4371" t="s">
        <v>101</v>
      </c>
      <c r="D4371" t="s">
        <v>80</v>
      </c>
      <c r="E4371" t="s">
        <v>33</v>
      </c>
      <c r="F4371" t="s">
        <v>25</v>
      </c>
      <c r="G4371" t="s">
        <v>102</v>
      </c>
      <c r="H4371" t="s">
        <v>90</v>
      </c>
      <c r="I4371" t="s">
        <v>28</v>
      </c>
      <c r="J4371" t="s">
        <v>87</v>
      </c>
      <c r="K4371">
        <v>18349</v>
      </c>
      <c r="L4371">
        <v>107</v>
      </c>
      <c r="M4371">
        <v>18.420000000000002</v>
      </c>
      <c r="N4371">
        <v>0</v>
      </c>
      <c r="O4371">
        <v>0</v>
      </c>
      <c r="P4371">
        <f t="shared" si="272"/>
        <v>5.831380456700638E-3</v>
      </c>
      <c r="Q4371">
        <f t="shared" si="272"/>
        <v>0.17214953271028038</v>
      </c>
      <c r="R4371">
        <f t="shared" si="273"/>
        <v>0</v>
      </c>
      <c r="S4371">
        <f t="shared" si="274"/>
        <v>0</v>
      </c>
      <c r="T4371">
        <f t="shared" si="275"/>
        <v>0</v>
      </c>
      <c r="U4371" t="str">
        <f>YEAR('Campaign Data'!$A4371)&amp;"-"&amp;TEXT(MONTH('Campaign Data'!$A4371),"00")</f>
        <v>2026-08</v>
      </c>
    </row>
    <row r="4372" spans="1:21" x14ac:dyDescent="0.25">
      <c r="A4372">
        <v>46261</v>
      </c>
      <c r="B4372" t="s">
        <v>108</v>
      </c>
      <c r="C4372" t="s">
        <v>109</v>
      </c>
      <c r="D4372" t="s">
        <v>58</v>
      </c>
      <c r="E4372" t="s">
        <v>33</v>
      </c>
      <c r="F4372" t="s">
        <v>43</v>
      </c>
      <c r="G4372" t="s">
        <v>59</v>
      </c>
      <c r="H4372" t="s">
        <v>51</v>
      </c>
      <c r="I4372" t="s">
        <v>28</v>
      </c>
      <c r="J4372" t="s">
        <v>29</v>
      </c>
      <c r="K4372">
        <v>7822</v>
      </c>
      <c r="L4372">
        <v>63</v>
      </c>
      <c r="M4372">
        <v>33.5</v>
      </c>
      <c r="N4372">
        <v>2</v>
      </c>
      <c r="O4372">
        <v>18.18</v>
      </c>
      <c r="P4372">
        <f t="shared" si="272"/>
        <v>8.0542060854001535E-3</v>
      </c>
      <c r="Q4372">
        <f t="shared" si="272"/>
        <v>0.53174603174603174</v>
      </c>
      <c r="R4372">
        <f t="shared" si="273"/>
        <v>16.75</v>
      </c>
      <c r="S4372">
        <f t="shared" si="274"/>
        <v>0.54268656716417907</v>
      </c>
      <c r="T4372">
        <f t="shared" si="275"/>
        <v>3.1746031746031744E-2</v>
      </c>
      <c r="U4372" t="str">
        <f>YEAR('Campaign Data'!$A4372)&amp;"-"&amp;TEXT(MONTH('Campaign Data'!$A4372),"00")</f>
        <v>2026-08</v>
      </c>
    </row>
    <row r="4373" spans="1:21" x14ac:dyDescent="0.25">
      <c r="A4373">
        <v>46261</v>
      </c>
      <c r="B4373" t="s">
        <v>140</v>
      </c>
      <c r="C4373" t="s">
        <v>40</v>
      </c>
      <c r="D4373" t="s">
        <v>41</v>
      </c>
      <c r="E4373" t="s">
        <v>42</v>
      </c>
      <c r="F4373" t="s">
        <v>43</v>
      </c>
      <c r="G4373" t="s">
        <v>44</v>
      </c>
      <c r="H4373" t="s">
        <v>27</v>
      </c>
      <c r="I4373" t="s">
        <v>37</v>
      </c>
      <c r="J4373" t="s">
        <v>45</v>
      </c>
      <c r="K4373">
        <v>3326</v>
      </c>
      <c r="L4373">
        <v>24</v>
      </c>
      <c r="M4373">
        <v>193.66</v>
      </c>
      <c r="N4373">
        <v>0</v>
      </c>
      <c r="O4373">
        <v>0</v>
      </c>
      <c r="P4373">
        <f t="shared" si="272"/>
        <v>7.2158749248346366E-3</v>
      </c>
      <c r="Q4373">
        <f t="shared" si="272"/>
        <v>8.0691666666666659</v>
      </c>
      <c r="R4373">
        <f t="shared" si="273"/>
        <v>0</v>
      </c>
      <c r="S4373">
        <f t="shared" si="274"/>
        <v>0</v>
      </c>
      <c r="T4373">
        <f t="shared" si="275"/>
        <v>0</v>
      </c>
      <c r="U4373" t="str">
        <f>YEAR('Campaign Data'!$A4373)&amp;"-"&amp;TEXT(MONTH('Campaign Data'!$A4373),"00")</f>
        <v>2026-08</v>
      </c>
    </row>
    <row r="4374" spans="1:21" x14ac:dyDescent="0.25">
      <c r="A4374">
        <v>46261</v>
      </c>
      <c r="B4374" t="s">
        <v>134</v>
      </c>
      <c r="C4374" t="s">
        <v>135</v>
      </c>
      <c r="D4374" t="s">
        <v>32</v>
      </c>
      <c r="E4374" t="s">
        <v>74</v>
      </c>
      <c r="F4374" t="s">
        <v>25</v>
      </c>
      <c r="G4374" t="s">
        <v>107</v>
      </c>
      <c r="H4374" t="s">
        <v>27</v>
      </c>
      <c r="I4374" t="s">
        <v>37</v>
      </c>
      <c r="J4374" t="s">
        <v>29</v>
      </c>
      <c r="K4374">
        <v>2089</v>
      </c>
      <c r="L4374">
        <v>57</v>
      </c>
      <c r="M4374">
        <v>141.72999999999999</v>
      </c>
      <c r="N4374">
        <v>0</v>
      </c>
      <c r="O4374">
        <v>0</v>
      </c>
      <c r="P4374">
        <f t="shared" si="272"/>
        <v>2.7285782671134514E-2</v>
      </c>
      <c r="Q4374">
        <f t="shared" si="272"/>
        <v>2.4864912280701752</v>
      </c>
      <c r="R4374">
        <f t="shared" si="273"/>
        <v>0</v>
      </c>
      <c r="S4374">
        <f t="shared" si="274"/>
        <v>0</v>
      </c>
      <c r="T4374">
        <f t="shared" si="275"/>
        <v>0</v>
      </c>
      <c r="U4374" t="str">
        <f>YEAR('Campaign Data'!$A4374)&amp;"-"&amp;TEXT(MONTH('Campaign Data'!$A4374),"00")</f>
        <v>2026-08</v>
      </c>
    </row>
    <row r="4375" spans="1:21" x14ac:dyDescent="0.25">
      <c r="A4375">
        <v>46261</v>
      </c>
      <c r="B4375" t="s">
        <v>134</v>
      </c>
      <c r="C4375" t="s">
        <v>135</v>
      </c>
      <c r="D4375" t="s">
        <v>32</v>
      </c>
      <c r="E4375" t="s">
        <v>74</v>
      </c>
      <c r="F4375" t="s">
        <v>25</v>
      </c>
      <c r="G4375" t="s">
        <v>107</v>
      </c>
      <c r="H4375" t="s">
        <v>71</v>
      </c>
      <c r="I4375" t="s">
        <v>37</v>
      </c>
      <c r="J4375" t="s">
        <v>29</v>
      </c>
      <c r="K4375">
        <v>7911</v>
      </c>
      <c r="L4375">
        <v>325</v>
      </c>
      <c r="M4375">
        <v>403.05</v>
      </c>
      <c r="N4375">
        <v>7</v>
      </c>
      <c r="O4375">
        <v>1087.53</v>
      </c>
      <c r="P4375">
        <f t="shared" si="272"/>
        <v>4.1082037669068386E-2</v>
      </c>
      <c r="Q4375">
        <f t="shared" si="272"/>
        <v>1.2401538461538462</v>
      </c>
      <c r="R4375">
        <f t="shared" si="273"/>
        <v>57.578571428571429</v>
      </c>
      <c r="S4375">
        <f t="shared" si="274"/>
        <v>2.6982508373650909</v>
      </c>
      <c r="T4375">
        <f t="shared" si="275"/>
        <v>2.1538461538461538E-2</v>
      </c>
      <c r="U4375" t="str">
        <f>YEAR('Campaign Data'!$A4375)&amp;"-"&amp;TEXT(MONTH('Campaign Data'!$A4375),"00")</f>
        <v>2026-08</v>
      </c>
    </row>
    <row r="4376" spans="1:21" x14ac:dyDescent="0.25">
      <c r="A4376">
        <v>46261</v>
      </c>
      <c r="B4376" t="s">
        <v>141</v>
      </c>
      <c r="C4376" t="s">
        <v>142</v>
      </c>
      <c r="D4376" t="s">
        <v>80</v>
      </c>
      <c r="E4376" t="s">
        <v>49</v>
      </c>
      <c r="F4376" t="s">
        <v>81</v>
      </c>
      <c r="G4376" t="s">
        <v>97</v>
      </c>
      <c r="H4376" t="s">
        <v>71</v>
      </c>
      <c r="I4376" t="s">
        <v>37</v>
      </c>
      <c r="J4376" t="s">
        <v>45</v>
      </c>
      <c r="K4376">
        <v>5137</v>
      </c>
      <c r="L4376">
        <v>186</v>
      </c>
      <c r="M4376">
        <v>236.3</v>
      </c>
      <c r="N4376">
        <v>6</v>
      </c>
      <c r="O4376">
        <v>104.56</v>
      </c>
      <c r="P4376">
        <f t="shared" si="272"/>
        <v>3.6207903445590814E-2</v>
      </c>
      <c r="Q4376">
        <f t="shared" si="272"/>
        <v>1.2704301075268818</v>
      </c>
      <c r="R4376">
        <f t="shared" si="273"/>
        <v>39.383333333333333</v>
      </c>
      <c r="S4376">
        <f t="shared" si="274"/>
        <v>0.44248836225137533</v>
      </c>
      <c r="T4376">
        <f t="shared" si="275"/>
        <v>3.2258064516129031E-2</v>
      </c>
      <c r="U4376" t="str">
        <f>YEAR('Campaign Data'!$A4376)&amp;"-"&amp;TEXT(MONTH('Campaign Data'!$A4376),"00")</f>
        <v>2026-08</v>
      </c>
    </row>
    <row r="4377" spans="1:21" x14ac:dyDescent="0.25">
      <c r="A4377">
        <v>46261</v>
      </c>
      <c r="B4377" t="s">
        <v>72</v>
      </c>
      <c r="C4377" t="s">
        <v>73</v>
      </c>
      <c r="D4377" t="s">
        <v>69</v>
      </c>
      <c r="E4377" t="s">
        <v>74</v>
      </c>
      <c r="F4377" t="s">
        <v>75</v>
      </c>
      <c r="G4377" t="s">
        <v>9</v>
      </c>
      <c r="H4377" t="s">
        <v>90</v>
      </c>
      <c r="I4377" t="s">
        <v>28</v>
      </c>
      <c r="J4377" t="s">
        <v>38</v>
      </c>
      <c r="K4377">
        <v>2335</v>
      </c>
      <c r="L4377">
        <v>59</v>
      </c>
      <c r="M4377">
        <v>11.27</v>
      </c>
      <c r="N4377">
        <v>1</v>
      </c>
      <c r="O4377">
        <v>14.37</v>
      </c>
      <c r="P4377">
        <f t="shared" si="272"/>
        <v>2.5267665952890792E-2</v>
      </c>
      <c r="Q4377">
        <f t="shared" si="272"/>
        <v>0.19101694915254236</v>
      </c>
      <c r="R4377">
        <f t="shared" si="273"/>
        <v>11.27</v>
      </c>
      <c r="S4377">
        <f t="shared" si="274"/>
        <v>1.2750665483584738</v>
      </c>
      <c r="T4377">
        <f t="shared" si="275"/>
        <v>1.6949152542372881E-2</v>
      </c>
      <c r="U4377" t="str">
        <f>YEAR('Campaign Data'!$A4377)&amp;"-"&amp;TEXT(MONTH('Campaign Data'!$A4377),"00")</f>
        <v>2026-08</v>
      </c>
    </row>
    <row r="4378" spans="1:21" x14ac:dyDescent="0.25">
      <c r="A4378">
        <v>46262</v>
      </c>
      <c r="B4378" t="s">
        <v>165</v>
      </c>
      <c r="C4378" t="s">
        <v>166</v>
      </c>
      <c r="D4378" t="s">
        <v>41</v>
      </c>
      <c r="E4378" t="s">
        <v>33</v>
      </c>
      <c r="F4378" t="s">
        <v>43</v>
      </c>
      <c r="G4378" t="s">
        <v>59</v>
      </c>
      <c r="H4378" t="s">
        <v>90</v>
      </c>
      <c r="I4378" t="s">
        <v>37</v>
      </c>
      <c r="J4378" t="s">
        <v>62</v>
      </c>
      <c r="K4378">
        <v>1469</v>
      </c>
      <c r="L4378">
        <v>23</v>
      </c>
      <c r="M4378">
        <v>3.2</v>
      </c>
      <c r="N4378">
        <v>0</v>
      </c>
      <c r="O4378">
        <v>0</v>
      </c>
      <c r="P4378">
        <f t="shared" si="272"/>
        <v>1.5656909462219197E-2</v>
      </c>
      <c r="Q4378">
        <f t="shared" si="272"/>
        <v>0.1391304347826087</v>
      </c>
      <c r="R4378">
        <f t="shared" si="273"/>
        <v>0</v>
      </c>
      <c r="S4378">
        <f t="shared" si="274"/>
        <v>0</v>
      </c>
      <c r="T4378">
        <f t="shared" si="275"/>
        <v>0</v>
      </c>
      <c r="U4378" t="str">
        <f>YEAR('Campaign Data'!$A4378)&amp;"-"&amp;TEXT(MONTH('Campaign Data'!$A4378),"00")</f>
        <v>2026-08</v>
      </c>
    </row>
    <row r="4379" spans="1:21" x14ac:dyDescent="0.25">
      <c r="A4379">
        <v>46262</v>
      </c>
      <c r="B4379" t="s">
        <v>85</v>
      </c>
      <c r="C4379" t="s">
        <v>86</v>
      </c>
      <c r="D4379" t="s">
        <v>80</v>
      </c>
      <c r="E4379" t="s">
        <v>33</v>
      </c>
      <c r="F4379" t="s">
        <v>43</v>
      </c>
      <c r="G4379" t="s">
        <v>35</v>
      </c>
      <c r="H4379" t="s">
        <v>90</v>
      </c>
      <c r="I4379" t="s">
        <v>37</v>
      </c>
      <c r="J4379" t="s">
        <v>38</v>
      </c>
      <c r="K4379">
        <v>3352</v>
      </c>
      <c r="L4379">
        <v>13</v>
      </c>
      <c r="M4379">
        <v>2.4</v>
      </c>
      <c r="N4379">
        <v>0</v>
      </c>
      <c r="O4379">
        <v>0</v>
      </c>
      <c r="P4379">
        <f t="shared" si="272"/>
        <v>3.8782816229116944E-3</v>
      </c>
      <c r="Q4379">
        <f t="shared" si="272"/>
        <v>0.1846153846153846</v>
      </c>
      <c r="R4379">
        <f t="shared" si="273"/>
        <v>0</v>
      </c>
      <c r="S4379">
        <f t="shared" si="274"/>
        <v>0</v>
      </c>
      <c r="T4379">
        <f t="shared" si="275"/>
        <v>0</v>
      </c>
      <c r="U4379" t="str">
        <f>YEAR('Campaign Data'!$A4379)&amp;"-"&amp;TEXT(MONTH('Campaign Data'!$A4379),"00")</f>
        <v>2026-08</v>
      </c>
    </row>
    <row r="4380" spans="1:21" x14ac:dyDescent="0.25">
      <c r="A4380">
        <v>46262</v>
      </c>
      <c r="B4380" t="s">
        <v>88</v>
      </c>
      <c r="C4380" t="s">
        <v>89</v>
      </c>
      <c r="D4380" t="s">
        <v>23</v>
      </c>
      <c r="E4380" t="s">
        <v>49</v>
      </c>
      <c r="F4380" t="s">
        <v>81</v>
      </c>
      <c r="G4380" t="s">
        <v>50</v>
      </c>
      <c r="H4380" t="s">
        <v>90</v>
      </c>
      <c r="I4380" t="s">
        <v>37</v>
      </c>
      <c r="J4380" t="s">
        <v>62</v>
      </c>
      <c r="K4380">
        <v>4957</v>
      </c>
      <c r="L4380">
        <v>222</v>
      </c>
      <c r="M4380">
        <v>71.39</v>
      </c>
      <c r="N4380">
        <v>15</v>
      </c>
      <c r="O4380">
        <v>75</v>
      </c>
      <c r="P4380">
        <f t="shared" si="272"/>
        <v>4.4785152309864837E-2</v>
      </c>
      <c r="Q4380">
        <f t="shared" si="272"/>
        <v>0.32157657657657657</v>
      </c>
      <c r="R4380">
        <f t="shared" si="273"/>
        <v>4.7593333333333332</v>
      </c>
      <c r="S4380">
        <f t="shared" si="274"/>
        <v>1.0505673063454266</v>
      </c>
      <c r="T4380">
        <f t="shared" si="275"/>
        <v>6.7567567567567571E-2</v>
      </c>
      <c r="U4380" t="str">
        <f>YEAR('Campaign Data'!$A4380)&amp;"-"&amp;TEXT(MONTH('Campaign Data'!$A4380),"00")</f>
        <v>2026-08</v>
      </c>
    </row>
    <row r="4381" spans="1:21" x14ac:dyDescent="0.25">
      <c r="A4381">
        <v>46262</v>
      </c>
      <c r="B4381" t="s">
        <v>167</v>
      </c>
      <c r="C4381" t="s">
        <v>168</v>
      </c>
      <c r="D4381" t="s">
        <v>58</v>
      </c>
      <c r="E4381" t="s">
        <v>33</v>
      </c>
      <c r="F4381" t="s">
        <v>75</v>
      </c>
      <c r="G4381" t="s">
        <v>35</v>
      </c>
      <c r="H4381" t="s">
        <v>27</v>
      </c>
      <c r="I4381" t="s">
        <v>37</v>
      </c>
      <c r="J4381" t="s">
        <v>87</v>
      </c>
      <c r="K4381">
        <v>3138</v>
      </c>
      <c r="L4381">
        <v>19</v>
      </c>
      <c r="M4381">
        <v>15.06</v>
      </c>
      <c r="N4381">
        <v>0</v>
      </c>
      <c r="O4381">
        <v>0</v>
      </c>
      <c r="P4381">
        <f t="shared" si="272"/>
        <v>6.0548119821542384E-3</v>
      </c>
      <c r="Q4381">
        <f t="shared" si="272"/>
        <v>0.79263157894736846</v>
      </c>
      <c r="R4381">
        <f t="shared" si="273"/>
        <v>0</v>
      </c>
      <c r="S4381">
        <f t="shared" si="274"/>
        <v>0</v>
      </c>
      <c r="T4381">
        <f t="shared" si="275"/>
        <v>0</v>
      </c>
      <c r="U4381" t="str">
        <f>YEAR('Campaign Data'!$A4381)&amp;"-"&amp;TEXT(MONTH('Campaign Data'!$A4381),"00")</f>
        <v>2026-08</v>
      </c>
    </row>
    <row r="4382" spans="1:21" x14ac:dyDescent="0.25">
      <c r="A4382">
        <v>46262</v>
      </c>
      <c r="B4382" t="s">
        <v>167</v>
      </c>
      <c r="C4382" t="s">
        <v>168</v>
      </c>
      <c r="D4382" t="s">
        <v>58</v>
      </c>
      <c r="E4382" t="s">
        <v>33</v>
      </c>
      <c r="F4382" t="s">
        <v>75</v>
      </c>
      <c r="G4382" t="s">
        <v>35</v>
      </c>
      <c r="H4382" t="s">
        <v>27</v>
      </c>
      <c r="I4382" t="s">
        <v>37</v>
      </c>
      <c r="J4382" t="s">
        <v>38</v>
      </c>
      <c r="K4382">
        <v>2783</v>
      </c>
      <c r="L4382">
        <v>27</v>
      </c>
      <c r="M4382">
        <v>16.13</v>
      </c>
      <c r="N4382">
        <v>3</v>
      </c>
      <c r="O4382">
        <v>156.35</v>
      </c>
      <c r="P4382">
        <f t="shared" si="272"/>
        <v>9.7017606899029822E-3</v>
      </c>
      <c r="Q4382">
        <f t="shared" si="272"/>
        <v>0.59740740740740739</v>
      </c>
      <c r="R4382">
        <f t="shared" si="273"/>
        <v>5.376666666666666</v>
      </c>
      <c r="S4382">
        <f t="shared" si="274"/>
        <v>9.6931184128952257</v>
      </c>
      <c r="T4382">
        <f t="shared" si="275"/>
        <v>0.1111111111111111</v>
      </c>
      <c r="U4382" t="str">
        <f>YEAR('Campaign Data'!$A4382)&amp;"-"&amp;TEXT(MONTH('Campaign Data'!$A4382),"00")</f>
        <v>2026-08</v>
      </c>
    </row>
    <row r="4383" spans="1:21" x14ac:dyDescent="0.25">
      <c r="A4383">
        <v>46262</v>
      </c>
      <c r="B4383" t="s">
        <v>167</v>
      </c>
      <c r="C4383" t="s">
        <v>168</v>
      </c>
      <c r="D4383" t="s">
        <v>58</v>
      </c>
      <c r="E4383" t="s">
        <v>33</v>
      </c>
      <c r="F4383" t="s">
        <v>75</v>
      </c>
      <c r="G4383" t="s">
        <v>35</v>
      </c>
      <c r="H4383" t="s">
        <v>55</v>
      </c>
      <c r="I4383" t="s">
        <v>28</v>
      </c>
      <c r="J4383" t="s">
        <v>87</v>
      </c>
      <c r="K4383">
        <v>3140</v>
      </c>
      <c r="L4383">
        <v>17</v>
      </c>
      <c r="M4383">
        <v>10.06</v>
      </c>
      <c r="N4383">
        <v>0</v>
      </c>
      <c r="O4383">
        <v>0</v>
      </c>
      <c r="P4383">
        <f t="shared" si="272"/>
        <v>5.4140127388535028E-3</v>
      </c>
      <c r="Q4383">
        <f t="shared" si="272"/>
        <v>0.59176470588235297</v>
      </c>
      <c r="R4383">
        <f t="shared" si="273"/>
        <v>0</v>
      </c>
      <c r="S4383">
        <f t="shared" si="274"/>
        <v>0</v>
      </c>
      <c r="T4383">
        <f t="shared" si="275"/>
        <v>0</v>
      </c>
      <c r="U4383" t="str">
        <f>YEAR('Campaign Data'!$A4383)&amp;"-"&amp;TEXT(MONTH('Campaign Data'!$A4383),"00")</f>
        <v>2026-08</v>
      </c>
    </row>
    <row r="4384" spans="1:21" x14ac:dyDescent="0.25">
      <c r="A4384">
        <v>46262</v>
      </c>
      <c r="B4384" t="s">
        <v>125</v>
      </c>
      <c r="C4384" t="s">
        <v>126</v>
      </c>
      <c r="D4384" t="s">
        <v>41</v>
      </c>
      <c r="E4384" t="s">
        <v>42</v>
      </c>
      <c r="F4384" t="s">
        <v>81</v>
      </c>
      <c r="G4384" t="s">
        <v>44</v>
      </c>
      <c r="H4384" t="s">
        <v>55</v>
      </c>
      <c r="I4384" t="s">
        <v>28</v>
      </c>
      <c r="J4384" t="s">
        <v>87</v>
      </c>
      <c r="K4384">
        <v>3580</v>
      </c>
      <c r="L4384">
        <v>17</v>
      </c>
      <c r="M4384">
        <v>77.37</v>
      </c>
      <c r="N4384">
        <v>0</v>
      </c>
      <c r="O4384">
        <v>0</v>
      </c>
      <c r="P4384">
        <f t="shared" si="272"/>
        <v>4.7486033519553075E-3</v>
      </c>
      <c r="Q4384">
        <f t="shared" si="272"/>
        <v>4.5511764705882358</v>
      </c>
      <c r="R4384">
        <f t="shared" si="273"/>
        <v>0</v>
      </c>
      <c r="S4384">
        <f t="shared" si="274"/>
        <v>0</v>
      </c>
      <c r="T4384">
        <f t="shared" si="275"/>
        <v>0</v>
      </c>
      <c r="U4384" t="str">
        <f>YEAR('Campaign Data'!$A4384)&amp;"-"&amp;TEXT(MONTH('Campaign Data'!$A4384),"00")</f>
        <v>2026-08</v>
      </c>
    </row>
    <row r="4385" spans="1:21" x14ac:dyDescent="0.25">
      <c r="A4385">
        <v>46262</v>
      </c>
      <c r="B4385" t="s">
        <v>138</v>
      </c>
      <c r="C4385" t="s">
        <v>139</v>
      </c>
      <c r="D4385" t="s">
        <v>58</v>
      </c>
      <c r="E4385" t="s">
        <v>74</v>
      </c>
      <c r="F4385" t="s">
        <v>34</v>
      </c>
      <c r="G4385" t="s">
        <v>9</v>
      </c>
      <c r="H4385" t="s">
        <v>51</v>
      </c>
      <c r="I4385" t="s">
        <v>37</v>
      </c>
      <c r="J4385" t="s">
        <v>87</v>
      </c>
      <c r="K4385">
        <v>5085</v>
      </c>
      <c r="L4385">
        <v>153</v>
      </c>
      <c r="M4385">
        <v>165.86</v>
      </c>
      <c r="N4385">
        <v>2</v>
      </c>
      <c r="O4385">
        <v>307.66000000000003</v>
      </c>
      <c r="P4385">
        <f t="shared" si="272"/>
        <v>3.0088495575221239E-2</v>
      </c>
      <c r="Q4385">
        <f t="shared" si="272"/>
        <v>1.0840522875816994</v>
      </c>
      <c r="R4385">
        <f t="shared" si="273"/>
        <v>82.93</v>
      </c>
      <c r="S4385">
        <f t="shared" si="274"/>
        <v>1.854937899433257</v>
      </c>
      <c r="T4385">
        <f t="shared" si="275"/>
        <v>1.3071895424836602E-2</v>
      </c>
      <c r="U4385" t="str">
        <f>YEAR('Campaign Data'!$A4385)&amp;"-"&amp;TEXT(MONTH('Campaign Data'!$A4385),"00")</f>
        <v>2026-08</v>
      </c>
    </row>
    <row r="4386" spans="1:21" x14ac:dyDescent="0.25">
      <c r="A4386">
        <v>46262</v>
      </c>
      <c r="B4386" t="s">
        <v>138</v>
      </c>
      <c r="C4386" t="s">
        <v>139</v>
      </c>
      <c r="D4386" t="s">
        <v>58</v>
      </c>
      <c r="E4386" t="s">
        <v>74</v>
      </c>
      <c r="F4386" t="s">
        <v>34</v>
      </c>
      <c r="G4386" t="s">
        <v>9</v>
      </c>
      <c r="H4386" t="s">
        <v>27</v>
      </c>
      <c r="I4386" t="s">
        <v>37</v>
      </c>
      <c r="J4386" t="s">
        <v>45</v>
      </c>
      <c r="K4386">
        <v>4589</v>
      </c>
      <c r="L4386">
        <v>90</v>
      </c>
      <c r="M4386">
        <v>114.12</v>
      </c>
      <c r="N4386">
        <v>4</v>
      </c>
      <c r="O4386">
        <v>726.81</v>
      </c>
      <c r="P4386">
        <f t="shared" si="272"/>
        <v>1.9612115929396382E-2</v>
      </c>
      <c r="Q4386">
        <f t="shared" si="272"/>
        <v>1.268</v>
      </c>
      <c r="R4386">
        <f t="shared" si="273"/>
        <v>28.53</v>
      </c>
      <c r="S4386">
        <f t="shared" si="274"/>
        <v>6.3688222923238689</v>
      </c>
      <c r="T4386">
        <f t="shared" si="275"/>
        <v>4.4444444444444446E-2</v>
      </c>
      <c r="U4386" t="str">
        <f>YEAR('Campaign Data'!$A4386)&amp;"-"&amp;TEXT(MONTH('Campaign Data'!$A4386),"00")</f>
        <v>2026-08</v>
      </c>
    </row>
    <row r="4387" spans="1:21" x14ac:dyDescent="0.25">
      <c r="A4387">
        <v>46262</v>
      </c>
      <c r="B4387" t="s">
        <v>95</v>
      </c>
      <c r="C4387" t="s">
        <v>96</v>
      </c>
      <c r="D4387" t="s">
        <v>23</v>
      </c>
      <c r="E4387" t="s">
        <v>49</v>
      </c>
      <c r="F4387" t="s">
        <v>43</v>
      </c>
      <c r="G4387" t="s">
        <v>97</v>
      </c>
      <c r="H4387" t="s">
        <v>71</v>
      </c>
      <c r="I4387" t="s">
        <v>37</v>
      </c>
      <c r="J4387" t="s">
        <v>87</v>
      </c>
      <c r="K4387">
        <v>5100</v>
      </c>
      <c r="L4387">
        <v>203</v>
      </c>
      <c r="M4387">
        <v>287.20999999999998</v>
      </c>
      <c r="N4387">
        <v>20</v>
      </c>
      <c r="O4387">
        <v>471.69</v>
      </c>
      <c r="P4387">
        <f t="shared" si="272"/>
        <v>3.980392156862745E-2</v>
      </c>
      <c r="Q4387">
        <f t="shared" si="272"/>
        <v>1.4148275862068964</v>
      </c>
      <c r="R4387">
        <f t="shared" si="273"/>
        <v>14.360499999999998</v>
      </c>
      <c r="S4387">
        <f t="shared" si="274"/>
        <v>1.6423174680547337</v>
      </c>
      <c r="T4387">
        <f t="shared" si="275"/>
        <v>9.8522167487684734E-2</v>
      </c>
      <c r="U4387" t="str">
        <f>YEAR('Campaign Data'!$A4387)&amp;"-"&amp;TEXT(MONTH('Campaign Data'!$A4387),"00")</f>
        <v>2026-08</v>
      </c>
    </row>
    <row r="4388" spans="1:21" x14ac:dyDescent="0.25">
      <c r="A4388">
        <v>46262</v>
      </c>
      <c r="B4388" t="s">
        <v>98</v>
      </c>
      <c r="C4388" t="s">
        <v>99</v>
      </c>
      <c r="D4388" t="s">
        <v>69</v>
      </c>
      <c r="E4388" t="s">
        <v>24</v>
      </c>
      <c r="F4388" t="s">
        <v>75</v>
      </c>
      <c r="G4388" t="s">
        <v>66</v>
      </c>
      <c r="H4388" t="s">
        <v>51</v>
      </c>
      <c r="I4388" t="s">
        <v>28</v>
      </c>
      <c r="J4388" t="s">
        <v>62</v>
      </c>
      <c r="K4388">
        <v>2867</v>
      </c>
      <c r="L4388">
        <v>33</v>
      </c>
      <c r="M4388">
        <v>28.98</v>
      </c>
      <c r="N4388">
        <v>0</v>
      </c>
      <c r="O4388">
        <v>0</v>
      </c>
      <c r="P4388">
        <f t="shared" si="272"/>
        <v>1.1510289501220789E-2</v>
      </c>
      <c r="Q4388">
        <f t="shared" si="272"/>
        <v>0.87818181818181817</v>
      </c>
      <c r="R4388">
        <f t="shared" si="273"/>
        <v>0</v>
      </c>
      <c r="S4388">
        <f t="shared" si="274"/>
        <v>0</v>
      </c>
      <c r="T4388">
        <f t="shared" si="275"/>
        <v>0</v>
      </c>
      <c r="U4388" t="str">
        <f>YEAR('Campaign Data'!$A4388)&amp;"-"&amp;TEXT(MONTH('Campaign Data'!$A4388),"00")</f>
        <v>2026-08</v>
      </c>
    </row>
    <row r="4389" spans="1:21" x14ac:dyDescent="0.25">
      <c r="A4389">
        <v>46262</v>
      </c>
      <c r="B4389" t="s">
        <v>52</v>
      </c>
      <c r="C4389" t="s">
        <v>53</v>
      </c>
      <c r="D4389" t="s">
        <v>32</v>
      </c>
      <c r="E4389" t="s">
        <v>42</v>
      </c>
      <c r="F4389" t="s">
        <v>25</v>
      </c>
      <c r="G4389" t="s">
        <v>54</v>
      </c>
      <c r="H4389" t="s">
        <v>71</v>
      </c>
      <c r="I4389" t="s">
        <v>37</v>
      </c>
      <c r="J4389" t="s">
        <v>45</v>
      </c>
      <c r="K4389">
        <v>14013</v>
      </c>
      <c r="L4389">
        <v>85</v>
      </c>
      <c r="M4389">
        <v>463.28</v>
      </c>
      <c r="N4389">
        <v>3</v>
      </c>
      <c r="O4389">
        <v>284.38</v>
      </c>
      <c r="P4389">
        <f t="shared" si="272"/>
        <v>6.065796046528224E-3</v>
      </c>
      <c r="Q4389">
        <f t="shared" si="272"/>
        <v>5.4503529411764706</v>
      </c>
      <c r="R4389">
        <f t="shared" si="273"/>
        <v>154.42666666666665</v>
      </c>
      <c r="S4389">
        <f t="shared" si="274"/>
        <v>0.61384044206527377</v>
      </c>
      <c r="T4389">
        <f t="shared" si="275"/>
        <v>3.5294117647058823E-2</v>
      </c>
      <c r="U4389" t="str">
        <f>YEAR('Campaign Data'!$A4389)&amp;"-"&amp;TEXT(MONTH('Campaign Data'!$A4389),"00")</f>
        <v>2026-08</v>
      </c>
    </row>
    <row r="4390" spans="1:21" x14ac:dyDescent="0.25">
      <c r="A4390">
        <v>46262</v>
      </c>
      <c r="B4390" t="s">
        <v>177</v>
      </c>
      <c r="C4390" t="s">
        <v>178</v>
      </c>
      <c r="D4390" t="s">
        <v>41</v>
      </c>
      <c r="E4390" t="s">
        <v>49</v>
      </c>
      <c r="F4390" t="s">
        <v>34</v>
      </c>
      <c r="G4390" t="s">
        <v>107</v>
      </c>
      <c r="H4390" t="s">
        <v>71</v>
      </c>
      <c r="I4390" t="s">
        <v>28</v>
      </c>
      <c r="J4390" t="s">
        <v>38</v>
      </c>
      <c r="K4390">
        <v>23882</v>
      </c>
      <c r="L4390">
        <v>716</v>
      </c>
      <c r="M4390">
        <v>967.49</v>
      </c>
      <c r="N4390">
        <v>39</v>
      </c>
      <c r="O4390">
        <v>7313.47</v>
      </c>
      <c r="P4390">
        <f t="shared" si="272"/>
        <v>2.9980738631605393E-2</v>
      </c>
      <c r="Q4390">
        <f t="shared" si="272"/>
        <v>1.3512430167597766</v>
      </c>
      <c r="R4390">
        <f t="shared" si="273"/>
        <v>24.807435897435898</v>
      </c>
      <c r="S4390">
        <f t="shared" si="274"/>
        <v>7.5592202503385053</v>
      </c>
      <c r="T4390">
        <f t="shared" si="275"/>
        <v>5.4469273743016758E-2</v>
      </c>
      <c r="U4390" t="str">
        <f>YEAR('Campaign Data'!$A4390)&amp;"-"&amp;TEXT(MONTH('Campaign Data'!$A4390),"00")</f>
        <v>2026-08</v>
      </c>
    </row>
    <row r="4391" spans="1:21" x14ac:dyDescent="0.25">
      <c r="A4391">
        <v>46262</v>
      </c>
      <c r="B4391" t="s">
        <v>155</v>
      </c>
      <c r="C4391" t="s">
        <v>156</v>
      </c>
      <c r="D4391" t="s">
        <v>32</v>
      </c>
      <c r="E4391" t="s">
        <v>24</v>
      </c>
      <c r="F4391" t="s">
        <v>34</v>
      </c>
      <c r="G4391" t="s">
        <v>129</v>
      </c>
      <c r="H4391" t="s">
        <v>36</v>
      </c>
      <c r="I4391" t="s">
        <v>37</v>
      </c>
      <c r="J4391" t="s">
        <v>29</v>
      </c>
      <c r="K4391">
        <v>4439</v>
      </c>
      <c r="L4391">
        <v>76</v>
      </c>
      <c r="M4391">
        <v>54.47</v>
      </c>
      <c r="N4391">
        <v>2</v>
      </c>
      <c r="O4391">
        <v>229.11</v>
      </c>
      <c r="P4391">
        <f t="shared" si="272"/>
        <v>1.7120973192160396E-2</v>
      </c>
      <c r="Q4391">
        <f t="shared" si="272"/>
        <v>0.71671052631578946</v>
      </c>
      <c r="R4391">
        <f t="shared" si="273"/>
        <v>27.234999999999999</v>
      </c>
      <c r="S4391">
        <f t="shared" si="274"/>
        <v>4.2061685331375074</v>
      </c>
      <c r="T4391">
        <f t="shared" si="275"/>
        <v>2.6315789473684209E-2</v>
      </c>
      <c r="U4391" t="str">
        <f>YEAR('Campaign Data'!$A4391)&amp;"-"&amp;TEXT(MONTH('Campaign Data'!$A4391),"00")</f>
        <v>2026-08</v>
      </c>
    </row>
    <row r="4392" spans="1:21" x14ac:dyDescent="0.25">
      <c r="A4392">
        <v>46262</v>
      </c>
      <c r="B4392" t="s">
        <v>157</v>
      </c>
      <c r="C4392" t="s">
        <v>158</v>
      </c>
      <c r="D4392" t="s">
        <v>58</v>
      </c>
      <c r="E4392" t="s">
        <v>49</v>
      </c>
      <c r="F4392" t="s">
        <v>81</v>
      </c>
      <c r="G4392" t="s">
        <v>50</v>
      </c>
      <c r="H4392" t="s">
        <v>55</v>
      </c>
      <c r="I4392" t="s">
        <v>28</v>
      </c>
      <c r="J4392" t="s">
        <v>87</v>
      </c>
      <c r="K4392">
        <v>19396</v>
      </c>
      <c r="L4392">
        <v>975</v>
      </c>
      <c r="M4392">
        <v>1419.28</v>
      </c>
      <c r="N4392">
        <v>19</v>
      </c>
      <c r="O4392">
        <v>420.17</v>
      </c>
      <c r="P4392">
        <f t="shared" si="272"/>
        <v>5.0268096514745307E-2</v>
      </c>
      <c r="Q4392">
        <f t="shared" si="272"/>
        <v>1.4556717948717948</v>
      </c>
      <c r="R4392">
        <f t="shared" si="273"/>
        <v>74.698947368421045</v>
      </c>
      <c r="S4392">
        <f t="shared" si="274"/>
        <v>0.29604447325404432</v>
      </c>
      <c r="T4392">
        <f t="shared" si="275"/>
        <v>1.9487179487179488E-2</v>
      </c>
      <c r="U4392" t="str">
        <f>YEAR('Campaign Data'!$A4392)&amp;"-"&amp;TEXT(MONTH('Campaign Data'!$A4392),"00")</f>
        <v>2026-08</v>
      </c>
    </row>
    <row r="4393" spans="1:21" x14ac:dyDescent="0.25">
      <c r="A4393">
        <v>46262</v>
      </c>
      <c r="B4393" t="s">
        <v>112</v>
      </c>
      <c r="C4393" t="s">
        <v>113</v>
      </c>
      <c r="D4393" t="s">
        <v>32</v>
      </c>
      <c r="E4393" t="s">
        <v>24</v>
      </c>
      <c r="F4393" t="s">
        <v>75</v>
      </c>
      <c r="G4393" t="s">
        <v>66</v>
      </c>
      <c r="H4393" t="s">
        <v>90</v>
      </c>
      <c r="I4393" t="s">
        <v>28</v>
      </c>
      <c r="J4393" t="s">
        <v>62</v>
      </c>
      <c r="K4393">
        <v>9864</v>
      </c>
      <c r="L4393">
        <v>147</v>
      </c>
      <c r="M4393">
        <v>30.77</v>
      </c>
      <c r="N4393">
        <v>5</v>
      </c>
      <c r="O4393">
        <v>38.56</v>
      </c>
      <c r="P4393">
        <f t="shared" si="272"/>
        <v>1.4902676399026763E-2</v>
      </c>
      <c r="Q4393">
        <f t="shared" si="272"/>
        <v>0.20931972789115647</v>
      </c>
      <c r="R4393">
        <f t="shared" si="273"/>
        <v>6.1539999999999999</v>
      </c>
      <c r="S4393">
        <f t="shared" si="274"/>
        <v>1.2531686707832306</v>
      </c>
      <c r="T4393">
        <f t="shared" si="275"/>
        <v>3.4013605442176874E-2</v>
      </c>
      <c r="U4393" t="str">
        <f>YEAR('Campaign Data'!$A4393)&amp;"-"&amp;TEXT(MONTH('Campaign Data'!$A4393),"00")</f>
        <v>2026-08</v>
      </c>
    </row>
    <row r="4394" spans="1:21" x14ac:dyDescent="0.25">
      <c r="A4394">
        <v>46262</v>
      </c>
      <c r="B4394" t="s">
        <v>161</v>
      </c>
      <c r="C4394" t="s">
        <v>162</v>
      </c>
      <c r="D4394" t="s">
        <v>48</v>
      </c>
      <c r="E4394" t="s">
        <v>74</v>
      </c>
      <c r="F4394" t="s">
        <v>34</v>
      </c>
      <c r="G4394" t="s">
        <v>107</v>
      </c>
      <c r="H4394" t="s">
        <v>90</v>
      </c>
      <c r="I4394" t="s">
        <v>28</v>
      </c>
      <c r="J4394" t="s">
        <v>45</v>
      </c>
      <c r="K4394">
        <v>1964</v>
      </c>
      <c r="L4394">
        <v>57</v>
      </c>
      <c r="M4394">
        <v>25.56</v>
      </c>
      <c r="N4394">
        <v>4</v>
      </c>
      <c r="O4394">
        <v>205.42</v>
      </c>
      <c r="P4394">
        <f t="shared" si="272"/>
        <v>2.9022403258655804E-2</v>
      </c>
      <c r="Q4394">
        <f t="shared" si="272"/>
        <v>0.44842105263157894</v>
      </c>
      <c r="R4394">
        <f t="shared" si="273"/>
        <v>6.39</v>
      </c>
      <c r="S4394">
        <f t="shared" si="274"/>
        <v>8.0367762128325513</v>
      </c>
      <c r="T4394">
        <f t="shared" si="275"/>
        <v>7.0175438596491224E-2</v>
      </c>
      <c r="U4394" t="str">
        <f>YEAR('Campaign Data'!$A4394)&amp;"-"&amp;TEXT(MONTH('Campaign Data'!$A4394),"00")</f>
        <v>2026-08</v>
      </c>
    </row>
    <row r="4395" spans="1:21" x14ac:dyDescent="0.25">
      <c r="A4395">
        <v>46262</v>
      </c>
      <c r="B4395" t="s">
        <v>114</v>
      </c>
      <c r="C4395" t="s">
        <v>115</v>
      </c>
      <c r="D4395" t="s">
        <v>69</v>
      </c>
      <c r="E4395" t="s">
        <v>49</v>
      </c>
      <c r="F4395" t="s">
        <v>25</v>
      </c>
      <c r="G4395" t="s">
        <v>107</v>
      </c>
      <c r="H4395" t="s">
        <v>36</v>
      </c>
      <c r="I4395" t="s">
        <v>37</v>
      </c>
      <c r="J4395" t="s">
        <v>62</v>
      </c>
      <c r="K4395">
        <v>3742</v>
      </c>
      <c r="L4395">
        <v>280</v>
      </c>
      <c r="M4395">
        <v>524.01</v>
      </c>
      <c r="N4395">
        <v>34</v>
      </c>
      <c r="O4395">
        <v>6712.87</v>
      </c>
      <c r="P4395">
        <f t="shared" si="272"/>
        <v>7.4826296098343126E-2</v>
      </c>
      <c r="Q4395">
        <f t="shared" si="272"/>
        <v>1.8714642857142856</v>
      </c>
      <c r="R4395">
        <f t="shared" si="273"/>
        <v>15.412058823529412</v>
      </c>
      <c r="S4395">
        <f t="shared" si="274"/>
        <v>12.810576134043243</v>
      </c>
      <c r="T4395">
        <f t="shared" si="275"/>
        <v>0.12142857142857143</v>
      </c>
      <c r="U4395" t="str">
        <f>YEAR('Campaign Data'!$A4395)&amp;"-"&amp;TEXT(MONTH('Campaign Data'!$A4395),"00")</f>
        <v>2026-08</v>
      </c>
    </row>
    <row r="4396" spans="1:21" x14ac:dyDescent="0.25">
      <c r="A4396">
        <v>46262</v>
      </c>
      <c r="B4396" t="s">
        <v>56</v>
      </c>
      <c r="C4396" t="s">
        <v>57</v>
      </c>
      <c r="D4396" t="s">
        <v>58</v>
      </c>
      <c r="E4396" t="s">
        <v>33</v>
      </c>
      <c r="F4396" t="s">
        <v>43</v>
      </c>
      <c r="G4396" t="s">
        <v>59</v>
      </c>
      <c r="H4396" t="s">
        <v>51</v>
      </c>
      <c r="I4396" t="s">
        <v>28</v>
      </c>
      <c r="J4396" t="s">
        <v>62</v>
      </c>
      <c r="K4396">
        <v>6335</v>
      </c>
      <c r="L4396">
        <v>92</v>
      </c>
      <c r="M4396">
        <v>60.83</v>
      </c>
      <c r="N4396">
        <v>4</v>
      </c>
      <c r="O4396">
        <v>102.3</v>
      </c>
      <c r="P4396">
        <f t="shared" si="272"/>
        <v>1.4522494080505131E-2</v>
      </c>
      <c r="Q4396">
        <f t="shared" si="272"/>
        <v>0.66119565217391307</v>
      </c>
      <c r="R4396">
        <f t="shared" si="273"/>
        <v>15.2075</v>
      </c>
      <c r="S4396">
        <f t="shared" si="274"/>
        <v>1.6817359855334539</v>
      </c>
      <c r="T4396">
        <f t="shared" si="275"/>
        <v>4.3478260869565216E-2</v>
      </c>
      <c r="U4396" t="str">
        <f>YEAR('Campaign Data'!$A4396)&amp;"-"&amp;TEXT(MONTH('Campaign Data'!$A4396),"00")</f>
        <v>2026-08</v>
      </c>
    </row>
    <row r="4397" spans="1:21" x14ac:dyDescent="0.25">
      <c r="A4397">
        <v>46262</v>
      </c>
      <c r="B4397" t="s">
        <v>116</v>
      </c>
      <c r="C4397" t="s">
        <v>117</v>
      </c>
      <c r="D4397" t="s">
        <v>48</v>
      </c>
      <c r="E4397" t="s">
        <v>24</v>
      </c>
      <c r="F4397" t="s">
        <v>43</v>
      </c>
      <c r="G4397" t="s">
        <v>26</v>
      </c>
      <c r="H4397" t="s">
        <v>71</v>
      </c>
      <c r="I4397" t="s">
        <v>61</v>
      </c>
      <c r="J4397" t="s">
        <v>29</v>
      </c>
      <c r="K4397">
        <v>6033</v>
      </c>
      <c r="L4397">
        <v>79</v>
      </c>
      <c r="M4397">
        <v>65.150000000000006</v>
      </c>
      <c r="N4397">
        <v>2</v>
      </c>
      <c r="O4397">
        <v>60.83</v>
      </c>
      <c r="P4397">
        <f t="shared" si="272"/>
        <v>1.309464611304492E-2</v>
      </c>
      <c r="Q4397">
        <f t="shared" si="272"/>
        <v>0.82468354430379753</v>
      </c>
      <c r="R4397">
        <f t="shared" si="273"/>
        <v>32.575000000000003</v>
      </c>
      <c r="S4397">
        <f t="shared" si="274"/>
        <v>0.93369148119723699</v>
      </c>
      <c r="T4397">
        <f t="shared" si="275"/>
        <v>2.5316455696202531E-2</v>
      </c>
      <c r="U4397" t="str">
        <f>YEAR('Campaign Data'!$A4397)&amp;"-"&amp;TEXT(MONTH('Campaign Data'!$A4397),"00")</f>
        <v>2026-08</v>
      </c>
    </row>
    <row r="4398" spans="1:21" x14ac:dyDescent="0.25">
      <c r="A4398">
        <v>46262</v>
      </c>
      <c r="B4398" t="s">
        <v>163</v>
      </c>
      <c r="C4398" t="s">
        <v>164</v>
      </c>
      <c r="D4398" t="s">
        <v>58</v>
      </c>
      <c r="E4398" t="s">
        <v>42</v>
      </c>
      <c r="F4398" t="s">
        <v>43</v>
      </c>
      <c r="G4398" t="s">
        <v>44</v>
      </c>
      <c r="H4398" t="s">
        <v>90</v>
      </c>
      <c r="I4398" t="s">
        <v>28</v>
      </c>
      <c r="J4398" t="s">
        <v>87</v>
      </c>
      <c r="K4398">
        <v>5098</v>
      </c>
      <c r="L4398">
        <v>18</v>
      </c>
      <c r="M4398">
        <v>26.13</v>
      </c>
      <c r="N4398">
        <v>0</v>
      </c>
      <c r="O4398">
        <v>0</v>
      </c>
      <c r="P4398">
        <f t="shared" si="272"/>
        <v>3.5307963907414671E-3</v>
      </c>
      <c r="Q4398">
        <f t="shared" si="272"/>
        <v>1.4516666666666667</v>
      </c>
      <c r="R4398">
        <f t="shared" si="273"/>
        <v>0</v>
      </c>
      <c r="S4398">
        <f t="shared" si="274"/>
        <v>0</v>
      </c>
      <c r="T4398">
        <f t="shared" si="275"/>
        <v>0</v>
      </c>
      <c r="U4398" t="str">
        <f>YEAR('Campaign Data'!$A4398)&amp;"-"&amp;TEXT(MONTH('Campaign Data'!$A4398),"00")</f>
        <v>2026-08</v>
      </c>
    </row>
    <row r="4399" spans="1:21" x14ac:dyDescent="0.25">
      <c r="A4399">
        <v>46262</v>
      </c>
      <c r="B4399" t="s">
        <v>78</v>
      </c>
      <c r="C4399" t="s">
        <v>79</v>
      </c>
      <c r="D4399" t="s">
        <v>80</v>
      </c>
      <c r="E4399" t="s">
        <v>24</v>
      </c>
      <c r="F4399" t="s">
        <v>81</v>
      </c>
      <c r="G4399" t="s">
        <v>66</v>
      </c>
      <c r="H4399" t="s">
        <v>90</v>
      </c>
      <c r="I4399" t="s">
        <v>37</v>
      </c>
      <c r="J4399" t="s">
        <v>45</v>
      </c>
      <c r="K4399">
        <v>5238</v>
      </c>
      <c r="L4399">
        <v>87</v>
      </c>
      <c r="M4399">
        <v>26.92</v>
      </c>
      <c r="N4399">
        <v>3</v>
      </c>
      <c r="O4399">
        <v>15</v>
      </c>
      <c r="P4399">
        <f t="shared" si="272"/>
        <v>1.6609392898052692E-2</v>
      </c>
      <c r="Q4399">
        <f t="shared" si="272"/>
        <v>0.30942528735632185</v>
      </c>
      <c r="R4399">
        <f t="shared" si="273"/>
        <v>8.9733333333333345</v>
      </c>
      <c r="S4399">
        <f t="shared" si="274"/>
        <v>0.5572065378900446</v>
      </c>
      <c r="T4399">
        <f t="shared" si="275"/>
        <v>3.4482758620689655E-2</v>
      </c>
      <c r="U4399" t="str">
        <f>YEAR('Campaign Data'!$A4399)&amp;"-"&amp;TEXT(MONTH('Campaign Data'!$A4399),"00")</f>
        <v>2026-08</v>
      </c>
    </row>
    <row r="4400" spans="1:21" x14ac:dyDescent="0.25">
      <c r="A4400">
        <v>46262</v>
      </c>
      <c r="B4400" t="s">
        <v>122</v>
      </c>
      <c r="C4400" t="s">
        <v>123</v>
      </c>
      <c r="D4400" t="s">
        <v>41</v>
      </c>
      <c r="E4400" t="s">
        <v>33</v>
      </c>
      <c r="F4400" t="s">
        <v>75</v>
      </c>
      <c r="G4400" t="s">
        <v>35</v>
      </c>
      <c r="H4400" t="s">
        <v>27</v>
      </c>
      <c r="I4400" t="s">
        <v>37</v>
      </c>
      <c r="J4400" t="s">
        <v>45</v>
      </c>
      <c r="K4400">
        <v>7545</v>
      </c>
      <c r="L4400">
        <v>78</v>
      </c>
      <c r="M4400">
        <v>43.98</v>
      </c>
      <c r="N4400">
        <v>4</v>
      </c>
      <c r="O4400">
        <v>180.75</v>
      </c>
      <c r="P4400">
        <f t="shared" si="272"/>
        <v>1.0337972166998012E-2</v>
      </c>
      <c r="Q4400">
        <f t="shared" si="272"/>
        <v>0.56384615384615377</v>
      </c>
      <c r="R4400">
        <f t="shared" si="273"/>
        <v>10.994999999999999</v>
      </c>
      <c r="S4400">
        <f t="shared" si="274"/>
        <v>4.1098226466575722</v>
      </c>
      <c r="T4400">
        <f t="shared" si="275"/>
        <v>5.128205128205128E-2</v>
      </c>
      <c r="U4400" t="str">
        <f>YEAR('Campaign Data'!$A4400)&amp;"-"&amp;TEXT(MONTH('Campaign Data'!$A4400),"00")</f>
        <v>2026-08</v>
      </c>
    </row>
    <row r="4401" spans="1:21" x14ac:dyDescent="0.25">
      <c r="A4401">
        <v>46262</v>
      </c>
      <c r="B4401" t="s">
        <v>82</v>
      </c>
      <c r="C4401" t="s">
        <v>83</v>
      </c>
      <c r="D4401" t="s">
        <v>80</v>
      </c>
      <c r="E4401" t="s">
        <v>42</v>
      </c>
      <c r="F4401" t="s">
        <v>34</v>
      </c>
      <c r="G4401" t="s">
        <v>84</v>
      </c>
      <c r="H4401" t="s">
        <v>27</v>
      </c>
      <c r="I4401" t="s">
        <v>28</v>
      </c>
      <c r="J4401" t="s">
        <v>45</v>
      </c>
      <c r="K4401">
        <v>8288</v>
      </c>
      <c r="L4401">
        <v>69</v>
      </c>
      <c r="M4401">
        <v>575.83000000000004</v>
      </c>
      <c r="N4401">
        <v>2</v>
      </c>
      <c r="O4401">
        <v>498.71</v>
      </c>
      <c r="P4401">
        <f t="shared" si="272"/>
        <v>8.325289575289576E-3</v>
      </c>
      <c r="Q4401">
        <f t="shared" si="272"/>
        <v>8.3453623188405803</v>
      </c>
      <c r="R4401">
        <f t="shared" si="273"/>
        <v>287.91500000000002</v>
      </c>
      <c r="S4401">
        <f t="shared" si="274"/>
        <v>0.86607158362711212</v>
      </c>
      <c r="T4401">
        <f t="shared" si="275"/>
        <v>2.8985507246376812E-2</v>
      </c>
      <c r="U4401" t="str">
        <f>YEAR('Campaign Data'!$A4401)&amp;"-"&amp;TEXT(MONTH('Campaign Data'!$A4401),"00")</f>
        <v>2026-08</v>
      </c>
    </row>
    <row r="4402" spans="1:21" x14ac:dyDescent="0.25">
      <c r="A4402">
        <v>46262</v>
      </c>
      <c r="B4402" t="s">
        <v>82</v>
      </c>
      <c r="C4402" t="s">
        <v>83</v>
      </c>
      <c r="D4402" t="s">
        <v>80</v>
      </c>
      <c r="E4402" t="s">
        <v>42</v>
      </c>
      <c r="F4402" t="s">
        <v>34</v>
      </c>
      <c r="G4402" t="s">
        <v>84</v>
      </c>
      <c r="H4402" t="s">
        <v>71</v>
      </c>
      <c r="I4402" t="s">
        <v>28</v>
      </c>
      <c r="J4402" t="s">
        <v>38</v>
      </c>
      <c r="K4402">
        <v>5591</v>
      </c>
      <c r="L4402">
        <v>57</v>
      </c>
      <c r="M4402">
        <v>336.52</v>
      </c>
      <c r="N4402">
        <v>2</v>
      </c>
      <c r="O4402">
        <v>181.99</v>
      </c>
      <c r="P4402">
        <f t="shared" si="272"/>
        <v>1.0194956179574315E-2</v>
      </c>
      <c r="Q4402">
        <f t="shared" si="272"/>
        <v>5.9038596491228068</v>
      </c>
      <c r="R4402">
        <f t="shared" si="273"/>
        <v>168.26</v>
      </c>
      <c r="S4402">
        <f t="shared" si="274"/>
        <v>0.54079995245453472</v>
      </c>
      <c r="T4402">
        <f t="shared" si="275"/>
        <v>3.5087719298245612E-2</v>
      </c>
      <c r="U4402" t="str">
        <f>YEAR('Campaign Data'!$A4402)&amp;"-"&amp;TEXT(MONTH('Campaign Data'!$A4402),"00")</f>
        <v>2026-08</v>
      </c>
    </row>
    <row r="4403" spans="1:21" x14ac:dyDescent="0.25">
      <c r="A4403">
        <v>46263</v>
      </c>
      <c r="B4403" t="s">
        <v>173</v>
      </c>
      <c r="C4403" t="s">
        <v>174</v>
      </c>
      <c r="D4403" t="s">
        <v>48</v>
      </c>
      <c r="E4403" t="s">
        <v>74</v>
      </c>
      <c r="F4403" t="s">
        <v>25</v>
      </c>
      <c r="G4403" t="s">
        <v>9</v>
      </c>
      <c r="H4403" t="s">
        <v>60</v>
      </c>
      <c r="I4403" t="s">
        <v>37</v>
      </c>
      <c r="J4403" t="s">
        <v>45</v>
      </c>
      <c r="K4403">
        <v>1156</v>
      </c>
      <c r="L4403">
        <v>32</v>
      </c>
      <c r="M4403">
        <v>46.75</v>
      </c>
      <c r="N4403">
        <v>1</v>
      </c>
      <c r="O4403">
        <v>39.89</v>
      </c>
      <c r="P4403">
        <f t="shared" si="272"/>
        <v>2.768166089965398E-2</v>
      </c>
      <c r="Q4403">
        <f t="shared" si="272"/>
        <v>1.4609375</v>
      </c>
      <c r="R4403">
        <f t="shared" si="273"/>
        <v>46.75</v>
      </c>
      <c r="S4403">
        <f t="shared" si="274"/>
        <v>0.85326203208556151</v>
      </c>
      <c r="T4403">
        <f t="shared" si="275"/>
        <v>3.125E-2</v>
      </c>
      <c r="U4403" t="str">
        <f>YEAR('Campaign Data'!$A4403)&amp;"-"&amp;TEXT(MONTH('Campaign Data'!$A4403),"00")</f>
        <v>2026-08</v>
      </c>
    </row>
    <row r="4404" spans="1:21" x14ac:dyDescent="0.25">
      <c r="A4404">
        <v>46263</v>
      </c>
      <c r="B4404" t="s">
        <v>147</v>
      </c>
      <c r="C4404" t="s">
        <v>148</v>
      </c>
      <c r="D4404" t="s">
        <v>23</v>
      </c>
      <c r="E4404" t="s">
        <v>42</v>
      </c>
      <c r="F4404" t="s">
        <v>75</v>
      </c>
      <c r="G4404" t="s">
        <v>44</v>
      </c>
      <c r="H4404" t="s">
        <v>51</v>
      </c>
      <c r="I4404" t="s">
        <v>37</v>
      </c>
      <c r="J4404" t="s">
        <v>29</v>
      </c>
      <c r="K4404">
        <v>5556</v>
      </c>
      <c r="L4404">
        <v>11</v>
      </c>
      <c r="M4404">
        <v>56.9</v>
      </c>
      <c r="N4404">
        <v>0</v>
      </c>
      <c r="O4404">
        <v>0</v>
      </c>
      <c r="P4404">
        <f t="shared" si="272"/>
        <v>1.9798416126709864E-3</v>
      </c>
      <c r="Q4404">
        <f t="shared" si="272"/>
        <v>5.1727272727272728</v>
      </c>
      <c r="R4404">
        <f t="shared" si="273"/>
        <v>0</v>
      </c>
      <c r="S4404">
        <f t="shared" si="274"/>
        <v>0</v>
      </c>
      <c r="T4404">
        <f t="shared" si="275"/>
        <v>0</v>
      </c>
      <c r="U4404" t="str">
        <f>YEAR('Campaign Data'!$A4404)&amp;"-"&amp;TEXT(MONTH('Campaign Data'!$A4404),"00")</f>
        <v>2026-08</v>
      </c>
    </row>
    <row r="4405" spans="1:21" x14ac:dyDescent="0.25">
      <c r="A4405">
        <v>46263</v>
      </c>
      <c r="B4405" t="s">
        <v>125</v>
      </c>
      <c r="C4405" t="s">
        <v>126</v>
      </c>
      <c r="D4405" t="s">
        <v>41</v>
      </c>
      <c r="E4405" t="s">
        <v>42</v>
      </c>
      <c r="F4405" t="s">
        <v>81</v>
      </c>
      <c r="G4405" t="s">
        <v>44</v>
      </c>
      <c r="H4405" t="s">
        <v>60</v>
      </c>
      <c r="I4405" t="s">
        <v>37</v>
      </c>
      <c r="J4405" t="s">
        <v>38</v>
      </c>
      <c r="K4405">
        <v>9939</v>
      </c>
      <c r="L4405">
        <v>69</v>
      </c>
      <c r="M4405">
        <v>238.34</v>
      </c>
      <c r="N4405">
        <v>5</v>
      </c>
      <c r="O4405">
        <v>160.24</v>
      </c>
      <c r="P4405">
        <f t="shared" si="272"/>
        <v>6.9423483247811647E-3</v>
      </c>
      <c r="Q4405">
        <f t="shared" si="272"/>
        <v>3.4542028985507245</v>
      </c>
      <c r="R4405">
        <f t="shared" si="273"/>
        <v>47.667999999999999</v>
      </c>
      <c r="S4405">
        <f t="shared" si="274"/>
        <v>0.67231685826969878</v>
      </c>
      <c r="T4405">
        <f t="shared" si="275"/>
        <v>7.2463768115942032E-2</v>
      </c>
      <c r="U4405" t="str">
        <f>YEAR('Campaign Data'!$A4405)&amp;"-"&amp;TEXT(MONTH('Campaign Data'!$A4405),"00")</f>
        <v>2026-08</v>
      </c>
    </row>
    <row r="4406" spans="1:21" x14ac:dyDescent="0.25">
      <c r="A4406">
        <v>46263</v>
      </c>
      <c r="B4406" t="s">
        <v>186</v>
      </c>
      <c r="C4406" t="s">
        <v>187</v>
      </c>
      <c r="D4406" t="s">
        <v>80</v>
      </c>
      <c r="E4406" t="s">
        <v>33</v>
      </c>
      <c r="F4406" t="s">
        <v>43</v>
      </c>
      <c r="G4406" t="s">
        <v>102</v>
      </c>
      <c r="H4406" t="s">
        <v>27</v>
      </c>
      <c r="I4406" t="s">
        <v>37</v>
      </c>
      <c r="J4406" t="s">
        <v>45</v>
      </c>
      <c r="K4406">
        <v>7646</v>
      </c>
      <c r="L4406">
        <v>61</v>
      </c>
      <c r="M4406">
        <v>57.94</v>
      </c>
      <c r="N4406">
        <v>1</v>
      </c>
      <c r="O4406">
        <v>29.16</v>
      </c>
      <c r="P4406">
        <f t="shared" si="272"/>
        <v>7.9780277269160347E-3</v>
      </c>
      <c r="Q4406">
        <f t="shared" si="272"/>
        <v>0.94983606557377043</v>
      </c>
      <c r="R4406">
        <f t="shared" si="273"/>
        <v>57.94</v>
      </c>
      <c r="S4406">
        <f t="shared" si="274"/>
        <v>0.50327925440110466</v>
      </c>
      <c r="T4406">
        <f t="shared" si="275"/>
        <v>1.6393442622950821E-2</v>
      </c>
      <c r="U4406" t="str">
        <f>YEAR('Campaign Data'!$A4406)&amp;"-"&amp;TEXT(MONTH('Campaign Data'!$A4406),"00")</f>
        <v>2026-08</v>
      </c>
    </row>
    <row r="4407" spans="1:21" x14ac:dyDescent="0.25">
      <c r="A4407">
        <v>46263</v>
      </c>
      <c r="B4407" t="s">
        <v>93</v>
      </c>
      <c r="C4407" t="s">
        <v>94</v>
      </c>
      <c r="D4407" t="s">
        <v>69</v>
      </c>
      <c r="E4407" t="s">
        <v>42</v>
      </c>
      <c r="F4407" t="s">
        <v>75</v>
      </c>
      <c r="G4407" t="s">
        <v>44</v>
      </c>
      <c r="H4407" t="s">
        <v>90</v>
      </c>
      <c r="I4407" t="s">
        <v>28</v>
      </c>
      <c r="J4407" t="s">
        <v>87</v>
      </c>
      <c r="K4407">
        <v>15362</v>
      </c>
      <c r="L4407">
        <v>86</v>
      </c>
      <c r="M4407">
        <v>99.33</v>
      </c>
      <c r="N4407">
        <v>3</v>
      </c>
      <c r="O4407">
        <v>26.01</v>
      </c>
      <c r="P4407">
        <f t="shared" si="272"/>
        <v>5.5982293972139047E-3</v>
      </c>
      <c r="Q4407">
        <f t="shared" si="272"/>
        <v>1.155</v>
      </c>
      <c r="R4407">
        <f t="shared" si="273"/>
        <v>33.11</v>
      </c>
      <c r="S4407">
        <f t="shared" si="274"/>
        <v>0.26185442464512232</v>
      </c>
      <c r="T4407">
        <f t="shared" si="275"/>
        <v>3.4883720930232558E-2</v>
      </c>
      <c r="U4407" t="str">
        <f>YEAR('Campaign Data'!$A4407)&amp;"-"&amp;TEXT(MONTH('Campaign Data'!$A4407),"00")</f>
        <v>2026-08</v>
      </c>
    </row>
    <row r="4408" spans="1:21" x14ac:dyDescent="0.25">
      <c r="A4408">
        <v>46263</v>
      </c>
      <c r="B4408" t="s">
        <v>93</v>
      </c>
      <c r="C4408" t="s">
        <v>94</v>
      </c>
      <c r="D4408" t="s">
        <v>69</v>
      </c>
      <c r="E4408" t="s">
        <v>42</v>
      </c>
      <c r="F4408" t="s">
        <v>75</v>
      </c>
      <c r="G4408" t="s">
        <v>44</v>
      </c>
      <c r="H4408" t="s">
        <v>36</v>
      </c>
      <c r="I4408" t="s">
        <v>37</v>
      </c>
      <c r="J4408" t="s">
        <v>62</v>
      </c>
      <c r="K4408">
        <v>5127</v>
      </c>
      <c r="L4408">
        <v>25</v>
      </c>
      <c r="M4408">
        <v>197.01</v>
      </c>
      <c r="N4408">
        <v>2</v>
      </c>
      <c r="O4408">
        <v>72.040000000000006</v>
      </c>
      <c r="P4408">
        <f t="shared" si="272"/>
        <v>4.8761458942851573E-3</v>
      </c>
      <c r="Q4408">
        <f t="shared" si="272"/>
        <v>7.8803999999999998</v>
      </c>
      <c r="R4408">
        <f t="shared" si="273"/>
        <v>98.504999999999995</v>
      </c>
      <c r="S4408">
        <f t="shared" si="274"/>
        <v>0.36566671742551143</v>
      </c>
      <c r="T4408">
        <f t="shared" si="275"/>
        <v>0.08</v>
      </c>
      <c r="U4408" t="str">
        <f>YEAR('Campaign Data'!$A4408)&amp;"-"&amp;TEXT(MONTH('Campaign Data'!$A4408),"00")</f>
        <v>2026-08</v>
      </c>
    </row>
    <row r="4409" spans="1:21" x14ac:dyDescent="0.25">
      <c r="A4409">
        <v>46263</v>
      </c>
      <c r="B4409" t="s">
        <v>30</v>
      </c>
      <c r="C4409" t="s">
        <v>31</v>
      </c>
      <c r="D4409" t="s">
        <v>32</v>
      </c>
      <c r="E4409" t="s">
        <v>33</v>
      </c>
      <c r="F4409" t="s">
        <v>34</v>
      </c>
      <c r="G4409" t="s">
        <v>35</v>
      </c>
      <c r="H4409" t="s">
        <v>60</v>
      </c>
      <c r="I4409" t="s">
        <v>37</v>
      </c>
      <c r="J4409" t="s">
        <v>38</v>
      </c>
      <c r="K4409">
        <v>2655</v>
      </c>
      <c r="L4409">
        <v>39</v>
      </c>
      <c r="M4409">
        <v>27.94</v>
      </c>
      <c r="N4409">
        <v>2</v>
      </c>
      <c r="O4409">
        <v>242.43</v>
      </c>
      <c r="P4409">
        <f t="shared" si="272"/>
        <v>1.4689265536723164E-2</v>
      </c>
      <c r="Q4409">
        <f t="shared" si="272"/>
        <v>0.71641025641025646</v>
      </c>
      <c r="R4409">
        <f t="shared" si="273"/>
        <v>13.97</v>
      </c>
      <c r="S4409">
        <f t="shared" si="274"/>
        <v>8.6768074445239805</v>
      </c>
      <c r="T4409">
        <f t="shared" si="275"/>
        <v>5.128205128205128E-2</v>
      </c>
      <c r="U4409" t="str">
        <f>YEAR('Campaign Data'!$A4409)&amp;"-"&amp;TEXT(MONTH('Campaign Data'!$A4409),"00")</f>
        <v>2026-08</v>
      </c>
    </row>
    <row r="4410" spans="1:21" x14ac:dyDescent="0.25">
      <c r="A4410">
        <v>46263</v>
      </c>
      <c r="B4410" t="s">
        <v>98</v>
      </c>
      <c r="C4410" t="s">
        <v>99</v>
      </c>
      <c r="D4410" t="s">
        <v>69</v>
      </c>
      <c r="E4410" t="s">
        <v>24</v>
      </c>
      <c r="F4410" t="s">
        <v>75</v>
      </c>
      <c r="G4410" t="s">
        <v>66</v>
      </c>
      <c r="H4410" t="s">
        <v>55</v>
      </c>
      <c r="I4410" t="s">
        <v>37</v>
      </c>
      <c r="J4410" t="s">
        <v>38</v>
      </c>
      <c r="K4410">
        <v>7544</v>
      </c>
      <c r="L4410">
        <v>95</v>
      </c>
      <c r="M4410">
        <v>102.87</v>
      </c>
      <c r="N4410">
        <v>2</v>
      </c>
      <c r="O4410">
        <v>77.91</v>
      </c>
      <c r="P4410">
        <f t="shared" si="272"/>
        <v>1.2592788971367974E-2</v>
      </c>
      <c r="Q4410">
        <f t="shared" si="272"/>
        <v>1.0828421052631581</v>
      </c>
      <c r="R4410">
        <f t="shared" si="273"/>
        <v>51.435000000000002</v>
      </c>
      <c r="S4410">
        <f t="shared" si="274"/>
        <v>0.75736366287547385</v>
      </c>
      <c r="T4410">
        <f t="shared" si="275"/>
        <v>2.1052631578947368E-2</v>
      </c>
      <c r="U4410" t="str">
        <f>YEAR('Campaign Data'!$A4410)&amp;"-"&amp;TEXT(MONTH('Campaign Data'!$A4410),"00")</f>
        <v>2026-08</v>
      </c>
    </row>
    <row r="4411" spans="1:21" x14ac:dyDescent="0.25">
      <c r="A4411">
        <v>46263</v>
      </c>
      <c r="B4411" t="s">
        <v>52</v>
      </c>
      <c r="C4411" t="s">
        <v>53</v>
      </c>
      <c r="D4411" t="s">
        <v>32</v>
      </c>
      <c r="E4411" t="s">
        <v>42</v>
      </c>
      <c r="F4411" t="s">
        <v>25</v>
      </c>
      <c r="G4411" t="s">
        <v>54</v>
      </c>
      <c r="H4411" t="s">
        <v>90</v>
      </c>
      <c r="I4411" t="s">
        <v>61</v>
      </c>
      <c r="J4411" t="s">
        <v>29</v>
      </c>
      <c r="K4411">
        <v>3767</v>
      </c>
      <c r="L4411">
        <v>24</v>
      </c>
      <c r="M4411">
        <v>51.43</v>
      </c>
      <c r="N4411">
        <v>2</v>
      </c>
      <c r="O4411">
        <v>78.7</v>
      </c>
      <c r="P4411">
        <f t="shared" si="272"/>
        <v>6.3711176002123702E-3</v>
      </c>
      <c r="Q4411">
        <f t="shared" si="272"/>
        <v>2.1429166666666668</v>
      </c>
      <c r="R4411">
        <f t="shared" si="273"/>
        <v>25.715</v>
      </c>
      <c r="S4411">
        <f t="shared" si="274"/>
        <v>1.5302352712424656</v>
      </c>
      <c r="T4411">
        <f t="shared" si="275"/>
        <v>8.3333333333333329E-2</v>
      </c>
      <c r="U4411" t="str">
        <f>YEAR('Campaign Data'!$A4411)&amp;"-"&amp;TEXT(MONTH('Campaign Data'!$A4411),"00")</f>
        <v>2026-08</v>
      </c>
    </row>
    <row r="4412" spans="1:21" x14ac:dyDescent="0.25">
      <c r="A4412">
        <v>46263</v>
      </c>
      <c r="B4412" t="s">
        <v>127</v>
      </c>
      <c r="C4412" t="s">
        <v>128</v>
      </c>
      <c r="D4412" t="s">
        <v>58</v>
      </c>
      <c r="E4412" t="s">
        <v>24</v>
      </c>
      <c r="F4412" t="s">
        <v>81</v>
      </c>
      <c r="G4412" t="s">
        <v>129</v>
      </c>
      <c r="H4412" t="s">
        <v>60</v>
      </c>
      <c r="I4412" t="s">
        <v>37</v>
      </c>
      <c r="J4412" t="s">
        <v>87</v>
      </c>
      <c r="K4412">
        <v>3711</v>
      </c>
      <c r="L4412">
        <v>73</v>
      </c>
      <c r="M4412">
        <v>84.83</v>
      </c>
      <c r="N4412">
        <v>0</v>
      </c>
      <c r="O4412">
        <v>0</v>
      </c>
      <c r="P4412">
        <f t="shared" si="272"/>
        <v>1.9671247642144975E-2</v>
      </c>
      <c r="Q4412">
        <f t="shared" si="272"/>
        <v>1.1620547945205479</v>
      </c>
      <c r="R4412">
        <f t="shared" si="273"/>
        <v>0</v>
      </c>
      <c r="S4412">
        <f t="shared" si="274"/>
        <v>0</v>
      </c>
      <c r="T4412">
        <f t="shared" si="275"/>
        <v>0</v>
      </c>
      <c r="U4412" t="str">
        <f>YEAR('Campaign Data'!$A4412)&amp;"-"&amp;TEXT(MONTH('Campaign Data'!$A4412),"00")</f>
        <v>2026-08</v>
      </c>
    </row>
    <row r="4413" spans="1:21" x14ac:dyDescent="0.25">
      <c r="A4413">
        <v>46263</v>
      </c>
      <c r="B4413" t="s">
        <v>103</v>
      </c>
      <c r="C4413" t="s">
        <v>104</v>
      </c>
      <c r="D4413" t="s">
        <v>65</v>
      </c>
      <c r="E4413" t="s">
        <v>33</v>
      </c>
      <c r="F4413" t="s">
        <v>43</v>
      </c>
      <c r="G4413" t="s">
        <v>102</v>
      </c>
      <c r="H4413" t="s">
        <v>27</v>
      </c>
      <c r="I4413" t="s">
        <v>37</v>
      </c>
      <c r="J4413" t="s">
        <v>62</v>
      </c>
      <c r="K4413">
        <v>2574</v>
      </c>
      <c r="L4413">
        <v>33</v>
      </c>
      <c r="M4413">
        <v>29.37</v>
      </c>
      <c r="N4413">
        <v>1</v>
      </c>
      <c r="O4413">
        <v>16.559999999999999</v>
      </c>
      <c r="P4413">
        <f t="shared" si="272"/>
        <v>1.282051282051282E-2</v>
      </c>
      <c r="Q4413">
        <f t="shared" si="272"/>
        <v>0.89</v>
      </c>
      <c r="R4413">
        <f t="shared" si="273"/>
        <v>29.37</v>
      </c>
      <c r="S4413">
        <f t="shared" si="274"/>
        <v>0.56384065372829406</v>
      </c>
      <c r="T4413">
        <f t="shared" si="275"/>
        <v>3.0303030303030304E-2</v>
      </c>
      <c r="U4413" t="str">
        <f>YEAR('Campaign Data'!$A4413)&amp;"-"&amp;TEXT(MONTH('Campaign Data'!$A4413),"00")</f>
        <v>2026-08</v>
      </c>
    </row>
    <row r="4414" spans="1:21" x14ac:dyDescent="0.25">
      <c r="A4414">
        <v>46263</v>
      </c>
      <c r="B4414" t="s">
        <v>177</v>
      </c>
      <c r="C4414" t="s">
        <v>178</v>
      </c>
      <c r="D4414" t="s">
        <v>41</v>
      </c>
      <c r="E4414" t="s">
        <v>49</v>
      </c>
      <c r="F4414" t="s">
        <v>34</v>
      </c>
      <c r="G4414" t="s">
        <v>107</v>
      </c>
      <c r="H4414" t="s">
        <v>27</v>
      </c>
      <c r="I4414" t="s">
        <v>37</v>
      </c>
      <c r="J4414" t="s">
        <v>29</v>
      </c>
      <c r="K4414">
        <v>6487</v>
      </c>
      <c r="L4414">
        <v>277</v>
      </c>
      <c r="M4414">
        <v>831.22</v>
      </c>
      <c r="N4414">
        <v>25</v>
      </c>
      <c r="O4414">
        <v>4598.62</v>
      </c>
      <c r="P4414">
        <f t="shared" si="272"/>
        <v>4.2700786187760138E-2</v>
      </c>
      <c r="Q4414">
        <f t="shared" si="272"/>
        <v>3.0007942238267149</v>
      </c>
      <c r="R4414">
        <f t="shared" si="273"/>
        <v>33.248800000000003</v>
      </c>
      <c r="S4414">
        <f t="shared" si="274"/>
        <v>5.5323741007194238</v>
      </c>
      <c r="T4414">
        <f t="shared" si="275"/>
        <v>9.0252707581227443E-2</v>
      </c>
      <c r="U4414" t="str">
        <f>YEAR('Campaign Data'!$A4414)&amp;"-"&amp;TEXT(MONTH('Campaign Data'!$A4414),"00")</f>
        <v>2026-08</v>
      </c>
    </row>
    <row r="4415" spans="1:21" x14ac:dyDescent="0.25">
      <c r="A4415">
        <v>46263</v>
      </c>
      <c r="B4415" t="s">
        <v>179</v>
      </c>
      <c r="C4415" t="s">
        <v>180</v>
      </c>
      <c r="D4415" t="s">
        <v>58</v>
      </c>
      <c r="E4415" t="s">
        <v>42</v>
      </c>
      <c r="F4415" t="s">
        <v>25</v>
      </c>
      <c r="G4415" t="s">
        <v>54</v>
      </c>
      <c r="H4415" t="s">
        <v>90</v>
      </c>
      <c r="I4415" t="s">
        <v>37</v>
      </c>
      <c r="J4415" t="s">
        <v>45</v>
      </c>
      <c r="K4415">
        <v>12947</v>
      </c>
      <c r="L4415">
        <v>50</v>
      </c>
      <c r="M4415">
        <v>91.97</v>
      </c>
      <c r="N4415">
        <v>1</v>
      </c>
      <c r="O4415">
        <v>31.54</v>
      </c>
      <c r="P4415">
        <f t="shared" si="272"/>
        <v>3.8618985093071753E-3</v>
      </c>
      <c r="Q4415">
        <f t="shared" si="272"/>
        <v>1.8393999999999999</v>
      </c>
      <c r="R4415">
        <f t="shared" si="273"/>
        <v>91.97</v>
      </c>
      <c r="S4415">
        <f t="shared" si="274"/>
        <v>0.34293791453734912</v>
      </c>
      <c r="T4415">
        <f t="shared" si="275"/>
        <v>0.02</v>
      </c>
      <c r="U4415" t="str">
        <f>YEAR('Campaign Data'!$A4415)&amp;"-"&amp;TEXT(MONTH('Campaign Data'!$A4415),"00")</f>
        <v>2026-08</v>
      </c>
    </row>
    <row r="4416" spans="1:21" x14ac:dyDescent="0.25">
      <c r="A4416">
        <v>46263</v>
      </c>
      <c r="B4416" t="s">
        <v>140</v>
      </c>
      <c r="C4416" t="s">
        <v>40</v>
      </c>
      <c r="D4416" t="s">
        <v>41</v>
      </c>
      <c r="E4416" t="s">
        <v>42</v>
      </c>
      <c r="F4416" t="s">
        <v>43</v>
      </c>
      <c r="G4416" t="s">
        <v>44</v>
      </c>
      <c r="H4416" t="s">
        <v>71</v>
      </c>
      <c r="I4416" t="s">
        <v>28</v>
      </c>
      <c r="J4416" t="s">
        <v>62</v>
      </c>
      <c r="K4416">
        <v>2741</v>
      </c>
      <c r="L4416">
        <v>24</v>
      </c>
      <c r="M4416">
        <v>82.81</v>
      </c>
      <c r="N4416">
        <v>2</v>
      </c>
      <c r="O4416">
        <v>35.450000000000003</v>
      </c>
      <c r="P4416">
        <f t="shared" si="272"/>
        <v>8.7559284932506379E-3</v>
      </c>
      <c r="Q4416">
        <f t="shared" si="272"/>
        <v>3.4504166666666669</v>
      </c>
      <c r="R4416">
        <f t="shared" si="273"/>
        <v>41.405000000000001</v>
      </c>
      <c r="S4416">
        <f t="shared" si="274"/>
        <v>0.42808839512136215</v>
      </c>
      <c r="T4416">
        <f t="shared" si="275"/>
        <v>8.3333333333333329E-2</v>
      </c>
      <c r="U4416" t="str">
        <f>YEAR('Campaign Data'!$A4416)&amp;"-"&amp;TEXT(MONTH('Campaign Data'!$A4416),"00")</f>
        <v>2026-08</v>
      </c>
    </row>
    <row r="4417" spans="1:21" x14ac:dyDescent="0.25">
      <c r="A4417">
        <v>46263</v>
      </c>
      <c r="B4417" t="s">
        <v>112</v>
      </c>
      <c r="C4417" t="s">
        <v>113</v>
      </c>
      <c r="D4417" t="s">
        <v>32</v>
      </c>
      <c r="E4417" t="s">
        <v>24</v>
      </c>
      <c r="F4417" t="s">
        <v>75</v>
      </c>
      <c r="G4417" t="s">
        <v>66</v>
      </c>
      <c r="H4417" t="s">
        <v>51</v>
      </c>
      <c r="I4417" t="s">
        <v>28</v>
      </c>
      <c r="J4417" t="s">
        <v>29</v>
      </c>
      <c r="K4417">
        <v>4512</v>
      </c>
      <c r="L4417">
        <v>35</v>
      </c>
      <c r="M4417">
        <v>34.19</v>
      </c>
      <c r="N4417">
        <v>0</v>
      </c>
      <c r="O4417">
        <v>0</v>
      </c>
      <c r="P4417">
        <f t="shared" si="272"/>
        <v>7.7570921985815602E-3</v>
      </c>
      <c r="Q4417">
        <f t="shared" si="272"/>
        <v>0.97685714285714276</v>
      </c>
      <c r="R4417">
        <f t="shared" si="273"/>
        <v>0</v>
      </c>
      <c r="S4417">
        <f t="shared" si="274"/>
        <v>0</v>
      </c>
      <c r="T4417">
        <f t="shared" si="275"/>
        <v>0</v>
      </c>
      <c r="U4417" t="str">
        <f>YEAR('Campaign Data'!$A4417)&amp;"-"&amp;TEXT(MONTH('Campaign Data'!$A4417),"00")</f>
        <v>2026-08</v>
      </c>
    </row>
    <row r="4418" spans="1:21" x14ac:dyDescent="0.25">
      <c r="A4418">
        <v>46263</v>
      </c>
      <c r="B4418" t="s">
        <v>181</v>
      </c>
      <c r="C4418" t="s">
        <v>182</v>
      </c>
      <c r="D4418" t="s">
        <v>32</v>
      </c>
      <c r="E4418" t="s">
        <v>33</v>
      </c>
      <c r="F4418" t="s">
        <v>75</v>
      </c>
      <c r="G4418" t="s">
        <v>59</v>
      </c>
      <c r="H4418" t="s">
        <v>51</v>
      </c>
      <c r="I4418" t="s">
        <v>37</v>
      </c>
      <c r="J4418" t="s">
        <v>29</v>
      </c>
      <c r="K4418">
        <v>6470</v>
      </c>
      <c r="L4418">
        <v>59</v>
      </c>
      <c r="M4418">
        <v>44.13</v>
      </c>
      <c r="N4418">
        <v>1</v>
      </c>
      <c r="O4418">
        <v>51.43</v>
      </c>
      <c r="P4418">
        <f t="shared" ref="P4418:Q4481" si="276">IF(K4418=0,0,L4418/K4418)</f>
        <v>9.1190108191653782E-3</v>
      </c>
      <c r="Q4418">
        <f t="shared" si="276"/>
        <v>0.74796610169491529</v>
      </c>
      <c r="R4418">
        <f t="shared" ref="R4418:R4481" si="277">IF(N4418=0,0,M4418/N4418)</f>
        <v>44.13</v>
      </c>
      <c r="S4418">
        <f t="shared" ref="S4418:S4481" si="278">IF(M4418=0,0,O4418/M4418)</f>
        <v>1.1654203489689552</v>
      </c>
      <c r="T4418">
        <f t="shared" ref="T4418:T4481" si="279">IF(L4418=0,0,N4418/L4418)</f>
        <v>1.6949152542372881E-2</v>
      </c>
      <c r="U4418" t="str">
        <f>YEAR('Campaign Data'!$A4418)&amp;"-"&amp;TEXT(MONTH('Campaign Data'!$A4418),"00")</f>
        <v>2026-08</v>
      </c>
    </row>
    <row r="4419" spans="1:21" x14ac:dyDescent="0.25">
      <c r="A4419">
        <v>46263</v>
      </c>
      <c r="B4419" t="s">
        <v>141</v>
      </c>
      <c r="C4419" t="s">
        <v>142</v>
      </c>
      <c r="D4419" t="s">
        <v>80</v>
      </c>
      <c r="E4419" t="s">
        <v>49</v>
      </c>
      <c r="F4419" t="s">
        <v>81</v>
      </c>
      <c r="G4419" t="s">
        <v>97</v>
      </c>
      <c r="H4419" t="s">
        <v>51</v>
      </c>
      <c r="I4419" t="s">
        <v>61</v>
      </c>
      <c r="J4419" t="s">
        <v>29</v>
      </c>
      <c r="K4419">
        <v>4507</v>
      </c>
      <c r="L4419">
        <v>199</v>
      </c>
      <c r="M4419">
        <v>353.62</v>
      </c>
      <c r="N4419">
        <v>4</v>
      </c>
      <c r="O4419">
        <v>106.51</v>
      </c>
      <c r="P4419">
        <f t="shared" si="276"/>
        <v>4.4153538939427556E-2</v>
      </c>
      <c r="Q4419">
        <f t="shared" si="276"/>
        <v>1.7769849246231155</v>
      </c>
      <c r="R4419">
        <f t="shared" si="277"/>
        <v>88.405000000000001</v>
      </c>
      <c r="S4419">
        <f t="shared" si="278"/>
        <v>0.30119902720434366</v>
      </c>
      <c r="T4419">
        <f t="shared" si="279"/>
        <v>2.0100502512562814E-2</v>
      </c>
      <c r="U4419" t="str">
        <f>YEAR('Campaign Data'!$A4419)&amp;"-"&amp;TEXT(MONTH('Campaign Data'!$A4419),"00")</f>
        <v>2026-08</v>
      </c>
    </row>
    <row r="4420" spans="1:21" x14ac:dyDescent="0.25">
      <c r="A4420">
        <v>46263</v>
      </c>
      <c r="B4420" t="s">
        <v>143</v>
      </c>
      <c r="C4420" t="s">
        <v>144</v>
      </c>
      <c r="D4420" t="s">
        <v>48</v>
      </c>
      <c r="E4420" t="s">
        <v>42</v>
      </c>
      <c r="F4420" t="s">
        <v>25</v>
      </c>
      <c r="G4420" t="s">
        <v>84</v>
      </c>
      <c r="H4420" t="s">
        <v>90</v>
      </c>
      <c r="I4420" t="s">
        <v>61</v>
      </c>
      <c r="J4420" t="s">
        <v>38</v>
      </c>
      <c r="K4420">
        <v>775</v>
      </c>
      <c r="L4420">
        <v>0</v>
      </c>
      <c r="M4420">
        <v>0</v>
      </c>
      <c r="N4420">
        <v>0</v>
      </c>
      <c r="O4420">
        <v>0</v>
      </c>
      <c r="P4420">
        <f t="shared" si="276"/>
        <v>0</v>
      </c>
      <c r="Q4420">
        <f t="shared" si="276"/>
        <v>0</v>
      </c>
      <c r="R4420">
        <f t="shared" si="277"/>
        <v>0</v>
      </c>
      <c r="S4420">
        <f t="shared" si="278"/>
        <v>0</v>
      </c>
      <c r="T4420">
        <f t="shared" si="279"/>
        <v>0</v>
      </c>
      <c r="U4420" t="str">
        <f>YEAR('Campaign Data'!$A4420)&amp;"-"&amp;TEXT(MONTH('Campaign Data'!$A4420),"00")</f>
        <v>2026-08</v>
      </c>
    </row>
    <row r="4421" spans="1:21" x14ac:dyDescent="0.25">
      <c r="A4421">
        <v>46263</v>
      </c>
      <c r="B4421" t="s">
        <v>116</v>
      </c>
      <c r="C4421" t="s">
        <v>117</v>
      </c>
      <c r="D4421" t="s">
        <v>48</v>
      </c>
      <c r="E4421" t="s">
        <v>24</v>
      </c>
      <c r="F4421" t="s">
        <v>43</v>
      </c>
      <c r="G4421" t="s">
        <v>26</v>
      </c>
      <c r="H4421" t="s">
        <v>27</v>
      </c>
      <c r="I4421" t="s">
        <v>28</v>
      </c>
      <c r="J4421" t="s">
        <v>62</v>
      </c>
      <c r="K4421">
        <v>14357</v>
      </c>
      <c r="L4421">
        <v>209</v>
      </c>
      <c r="M4421">
        <v>198.44</v>
      </c>
      <c r="N4421">
        <v>5</v>
      </c>
      <c r="O4421">
        <v>214.27</v>
      </c>
      <c r="P4421">
        <f t="shared" si="276"/>
        <v>1.4557358779689351E-2</v>
      </c>
      <c r="Q4421">
        <f t="shared" si="276"/>
        <v>0.94947368421052636</v>
      </c>
      <c r="R4421">
        <f t="shared" si="277"/>
        <v>39.688000000000002</v>
      </c>
      <c r="S4421">
        <f t="shared" si="278"/>
        <v>1.0797722233420681</v>
      </c>
      <c r="T4421">
        <f t="shared" si="279"/>
        <v>2.3923444976076555E-2</v>
      </c>
      <c r="U4421" t="str">
        <f>YEAR('Campaign Data'!$A4421)&amp;"-"&amp;TEXT(MONTH('Campaign Data'!$A4421),"00")</f>
        <v>2026-08</v>
      </c>
    </row>
    <row r="4422" spans="1:21" x14ac:dyDescent="0.25">
      <c r="A4422">
        <v>46264</v>
      </c>
      <c r="B4422" t="s">
        <v>173</v>
      </c>
      <c r="C4422" t="s">
        <v>174</v>
      </c>
      <c r="D4422" t="s">
        <v>48</v>
      </c>
      <c r="E4422" t="s">
        <v>74</v>
      </c>
      <c r="F4422" t="s">
        <v>25</v>
      </c>
      <c r="G4422" t="s">
        <v>9</v>
      </c>
      <c r="H4422" t="s">
        <v>51</v>
      </c>
      <c r="I4422" t="s">
        <v>28</v>
      </c>
      <c r="J4422" t="s">
        <v>87</v>
      </c>
      <c r="K4422">
        <v>4105</v>
      </c>
      <c r="L4422">
        <v>178</v>
      </c>
      <c r="M4422">
        <v>328.7</v>
      </c>
      <c r="N4422">
        <v>9</v>
      </c>
      <c r="O4422">
        <v>1308.8900000000001</v>
      </c>
      <c r="P4422">
        <f t="shared" si="276"/>
        <v>4.3361753958587088E-2</v>
      </c>
      <c r="Q4422">
        <f t="shared" si="276"/>
        <v>1.8466292134831459</v>
      </c>
      <c r="R4422">
        <f t="shared" si="277"/>
        <v>36.522222222222219</v>
      </c>
      <c r="S4422">
        <f t="shared" si="278"/>
        <v>3.9820200790994833</v>
      </c>
      <c r="T4422">
        <f t="shared" si="279"/>
        <v>5.0561797752808987E-2</v>
      </c>
      <c r="U4422" t="str">
        <f>YEAR('Campaign Data'!$A4422)&amp;"-"&amp;TEXT(MONTH('Campaign Data'!$A4422),"00")</f>
        <v>2026-08</v>
      </c>
    </row>
    <row r="4423" spans="1:21" x14ac:dyDescent="0.25">
      <c r="A4423">
        <v>46264</v>
      </c>
      <c r="B4423" t="s">
        <v>167</v>
      </c>
      <c r="C4423" t="s">
        <v>168</v>
      </c>
      <c r="D4423" t="s">
        <v>58</v>
      </c>
      <c r="E4423" t="s">
        <v>33</v>
      </c>
      <c r="F4423" t="s">
        <v>75</v>
      </c>
      <c r="G4423" t="s">
        <v>35</v>
      </c>
      <c r="H4423" t="s">
        <v>27</v>
      </c>
      <c r="I4423" t="s">
        <v>28</v>
      </c>
      <c r="J4423" t="s">
        <v>29</v>
      </c>
      <c r="K4423">
        <v>1329</v>
      </c>
      <c r="L4423">
        <v>9</v>
      </c>
      <c r="M4423">
        <v>7.83</v>
      </c>
      <c r="N4423">
        <v>1</v>
      </c>
      <c r="O4423">
        <v>36.89</v>
      </c>
      <c r="P4423">
        <f t="shared" si="276"/>
        <v>6.7720090293453723E-3</v>
      </c>
      <c r="Q4423">
        <f t="shared" si="276"/>
        <v>0.87</v>
      </c>
      <c r="R4423">
        <f t="shared" si="277"/>
        <v>7.83</v>
      </c>
      <c r="S4423">
        <f t="shared" si="278"/>
        <v>4.7113665389527455</v>
      </c>
      <c r="T4423">
        <f t="shared" si="279"/>
        <v>0.1111111111111111</v>
      </c>
      <c r="U4423" t="str">
        <f>YEAR('Campaign Data'!$A4423)&amp;"-"&amp;TEXT(MONTH('Campaign Data'!$A4423),"00")</f>
        <v>2026-08</v>
      </c>
    </row>
    <row r="4424" spans="1:21" x14ac:dyDescent="0.25">
      <c r="A4424">
        <v>46264</v>
      </c>
      <c r="B4424" t="s">
        <v>186</v>
      </c>
      <c r="C4424" t="s">
        <v>187</v>
      </c>
      <c r="D4424" t="s">
        <v>80</v>
      </c>
      <c r="E4424" t="s">
        <v>33</v>
      </c>
      <c r="F4424" t="s">
        <v>43</v>
      </c>
      <c r="G4424" t="s">
        <v>102</v>
      </c>
      <c r="H4424" t="s">
        <v>55</v>
      </c>
      <c r="I4424" t="s">
        <v>37</v>
      </c>
      <c r="J4424" t="s">
        <v>29</v>
      </c>
      <c r="K4424">
        <v>8134</v>
      </c>
      <c r="L4424">
        <v>46</v>
      </c>
      <c r="M4424">
        <v>18.170000000000002</v>
      </c>
      <c r="N4424">
        <v>1</v>
      </c>
      <c r="O4424">
        <v>20.8</v>
      </c>
      <c r="P4424">
        <f t="shared" si="276"/>
        <v>5.6552741578559133E-3</v>
      </c>
      <c r="Q4424">
        <f t="shared" si="276"/>
        <v>0.39500000000000002</v>
      </c>
      <c r="R4424">
        <f t="shared" si="277"/>
        <v>18.170000000000002</v>
      </c>
      <c r="S4424">
        <f t="shared" si="278"/>
        <v>1.1447440836543752</v>
      </c>
      <c r="T4424">
        <f t="shared" si="279"/>
        <v>2.1739130434782608E-2</v>
      </c>
      <c r="U4424" t="str">
        <f>YEAR('Campaign Data'!$A4424)&amp;"-"&amp;TEXT(MONTH('Campaign Data'!$A4424),"00")</f>
        <v>2026-08</v>
      </c>
    </row>
    <row r="4425" spans="1:21" x14ac:dyDescent="0.25">
      <c r="A4425">
        <v>46264</v>
      </c>
      <c r="B4425" t="s">
        <v>93</v>
      </c>
      <c r="C4425" t="s">
        <v>94</v>
      </c>
      <c r="D4425" t="s">
        <v>69</v>
      </c>
      <c r="E4425" t="s">
        <v>42</v>
      </c>
      <c r="F4425" t="s">
        <v>75</v>
      </c>
      <c r="G4425" t="s">
        <v>44</v>
      </c>
      <c r="H4425" t="s">
        <v>27</v>
      </c>
      <c r="I4425" t="s">
        <v>28</v>
      </c>
      <c r="J4425" t="s">
        <v>45</v>
      </c>
      <c r="K4425">
        <v>7387</v>
      </c>
      <c r="L4425">
        <v>56</v>
      </c>
      <c r="M4425">
        <v>298.32</v>
      </c>
      <c r="N4425">
        <v>1</v>
      </c>
      <c r="O4425">
        <v>39.99</v>
      </c>
      <c r="P4425">
        <f t="shared" si="276"/>
        <v>7.5808853391092458E-3</v>
      </c>
      <c r="Q4425">
        <f t="shared" si="276"/>
        <v>5.3271428571428574</v>
      </c>
      <c r="R4425">
        <f t="shared" si="277"/>
        <v>298.32</v>
      </c>
      <c r="S4425">
        <f t="shared" si="278"/>
        <v>0.13405068382944491</v>
      </c>
      <c r="T4425">
        <f t="shared" si="279"/>
        <v>1.7857142857142856E-2</v>
      </c>
      <c r="U4425" t="str">
        <f>YEAR('Campaign Data'!$A4425)&amp;"-"&amp;TEXT(MONTH('Campaign Data'!$A4425),"00")</f>
        <v>2026-08</v>
      </c>
    </row>
    <row r="4426" spans="1:21" x14ac:dyDescent="0.25">
      <c r="A4426">
        <v>46264</v>
      </c>
      <c r="B4426" t="s">
        <v>39</v>
      </c>
      <c r="C4426" t="s">
        <v>40</v>
      </c>
      <c r="D4426" t="s">
        <v>41</v>
      </c>
      <c r="E4426" t="s">
        <v>42</v>
      </c>
      <c r="F4426" t="s">
        <v>43</v>
      </c>
      <c r="G4426" t="s">
        <v>44</v>
      </c>
      <c r="H4426" t="s">
        <v>55</v>
      </c>
      <c r="I4426" t="s">
        <v>61</v>
      </c>
      <c r="J4426" t="s">
        <v>45</v>
      </c>
      <c r="K4426">
        <v>2483</v>
      </c>
      <c r="L4426">
        <v>15</v>
      </c>
      <c r="M4426">
        <v>88.22</v>
      </c>
      <c r="N4426">
        <v>1</v>
      </c>
      <c r="O4426">
        <v>17.66</v>
      </c>
      <c r="P4426">
        <f t="shared" si="276"/>
        <v>6.0410793395086586E-3</v>
      </c>
      <c r="Q4426">
        <f t="shared" si="276"/>
        <v>5.8813333333333331</v>
      </c>
      <c r="R4426">
        <f t="shared" si="277"/>
        <v>88.22</v>
      </c>
      <c r="S4426">
        <f t="shared" si="278"/>
        <v>0.20018136476989346</v>
      </c>
      <c r="T4426">
        <f t="shared" si="279"/>
        <v>6.6666666666666666E-2</v>
      </c>
      <c r="U4426" t="str">
        <f>YEAR('Campaign Data'!$A4426)&amp;"-"&amp;TEXT(MONTH('Campaign Data'!$A4426),"00")</f>
        <v>2026-08</v>
      </c>
    </row>
    <row r="4427" spans="1:21" x14ac:dyDescent="0.25">
      <c r="A4427">
        <v>46264</v>
      </c>
      <c r="B4427" t="s">
        <v>100</v>
      </c>
      <c r="C4427" t="s">
        <v>101</v>
      </c>
      <c r="D4427" t="s">
        <v>80</v>
      </c>
      <c r="E4427" t="s">
        <v>33</v>
      </c>
      <c r="F4427" t="s">
        <v>25</v>
      </c>
      <c r="G4427" t="s">
        <v>102</v>
      </c>
      <c r="H4427" t="s">
        <v>51</v>
      </c>
      <c r="I4427" t="s">
        <v>37</v>
      </c>
      <c r="J4427" t="s">
        <v>38</v>
      </c>
      <c r="K4427">
        <v>2635</v>
      </c>
      <c r="L4427">
        <v>21</v>
      </c>
      <c r="M4427">
        <v>12.08</v>
      </c>
      <c r="N4427">
        <v>0</v>
      </c>
      <c r="O4427">
        <v>0</v>
      </c>
      <c r="P4427">
        <f t="shared" si="276"/>
        <v>7.9696394686907014E-3</v>
      </c>
      <c r="Q4427">
        <f t="shared" si="276"/>
        <v>0.57523809523809522</v>
      </c>
      <c r="R4427">
        <f t="shared" si="277"/>
        <v>0</v>
      </c>
      <c r="S4427">
        <f t="shared" si="278"/>
        <v>0</v>
      </c>
      <c r="T4427">
        <f t="shared" si="279"/>
        <v>0</v>
      </c>
      <c r="U4427" t="str">
        <f>YEAR('Campaign Data'!$A4427)&amp;"-"&amp;TEXT(MONTH('Campaign Data'!$A4427),"00")</f>
        <v>2026-08</v>
      </c>
    </row>
    <row r="4428" spans="1:21" x14ac:dyDescent="0.25">
      <c r="A4428">
        <v>46264</v>
      </c>
      <c r="B4428" t="s">
        <v>181</v>
      </c>
      <c r="C4428" t="s">
        <v>182</v>
      </c>
      <c r="D4428" t="s">
        <v>32</v>
      </c>
      <c r="E4428" t="s">
        <v>33</v>
      </c>
      <c r="F4428" t="s">
        <v>75</v>
      </c>
      <c r="G4428" t="s">
        <v>59</v>
      </c>
      <c r="H4428" t="s">
        <v>71</v>
      </c>
      <c r="I4428" t="s">
        <v>37</v>
      </c>
      <c r="J4428" t="s">
        <v>38</v>
      </c>
      <c r="K4428">
        <v>9075</v>
      </c>
      <c r="L4428">
        <v>48</v>
      </c>
      <c r="M4428">
        <v>29.55</v>
      </c>
      <c r="N4428">
        <v>1</v>
      </c>
      <c r="O4428">
        <v>44.4</v>
      </c>
      <c r="P4428">
        <f t="shared" si="276"/>
        <v>5.2892561983471078E-3</v>
      </c>
      <c r="Q4428">
        <f t="shared" si="276"/>
        <v>0.61562499999999998</v>
      </c>
      <c r="R4428">
        <f t="shared" si="277"/>
        <v>29.55</v>
      </c>
      <c r="S4428">
        <f t="shared" si="278"/>
        <v>1.5025380710659897</v>
      </c>
      <c r="T4428">
        <f t="shared" si="279"/>
        <v>2.0833333333333332E-2</v>
      </c>
      <c r="U4428" t="str">
        <f>YEAR('Campaign Data'!$A4428)&amp;"-"&amp;TEXT(MONTH('Campaign Data'!$A4428),"00")</f>
        <v>2026-08</v>
      </c>
    </row>
    <row r="4429" spans="1:21" x14ac:dyDescent="0.25">
      <c r="A4429">
        <v>46264</v>
      </c>
      <c r="B4429" t="s">
        <v>67</v>
      </c>
      <c r="C4429" t="s">
        <v>68</v>
      </c>
      <c r="D4429" t="s">
        <v>69</v>
      </c>
      <c r="E4429" t="s">
        <v>49</v>
      </c>
      <c r="F4429" t="s">
        <v>34</v>
      </c>
      <c r="G4429" t="s">
        <v>70</v>
      </c>
      <c r="H4429" t="s">
        <v>36</v>
      </c>
      <c r="I4429" t="s">
        <v>37</v>
      </c>
      <c r="J4429" t="s">
        <v>87</v>
      </c>
      <c r="K4429">
        <v>3790</v>
      </c>
      <c r="L4429">
        <v>155</v>
      </c>
      <c r="M4429">
        <v>358.27</v>
      </c>
      <c r="N4429">
        <v>8</v>
      </c>
      <c r="O4429">
        <v>1048.17</v>
      </c>
      <c r="P4429">
        <f t="shared" si="276"/>
        <v>4.0897097625329816E-2</v>
      </c>
      <c r="Q4429">
        <f t="shared" si="276"/>
        <v>2.3114193548387094</v>
      </c>
      <c r="R4429">
        <f t="shared" si="277"/>
        <v>44.783749999999998</v>
      </c>
      <c r="S4429">
        <f t="shared" si="278"/>
        <v>2.9256426717280268</v>
      </c>
      <c r="T4429">
        <f t="shared" si="279"/>
        <v>5.1612903225806452E-2</v>
      </c>
      <c r="U4429" t="str">
        <f>YEAR('Campaign Data'!$A4429)&amp;"-"&amp;TEXT(MONTH('Campaign Data'!$A4429),"00")</f>
        <v>2026-08</v>
      </c>
    </row>
    <row r="4430" spans="1:21" x14ac:dyDescent="0.25">
      <c r="A4430">
        <v>46264</v>
      </c>
      <c r="B4430" t="s">
        <v>72</v>
      </c>
      <c r="C4430" t="s">
        <v>73</v>
      </c>
      <c r="D4430" t="s">
        <v>69</v>
      </c>
      <c r="E4430" t="s">
        <v>74</v>
      </c>
      <c r="F4430" t="s">
        <v>75</v>
      </c>
      <c r="G4430" t="s">
        <v>9</v>
      </c>
      <c r="H4430" t="s">
        <v>36</v>
      </c>
      <c r="I4430" t="s">
        <v>37</v>
      </c>
      <c r="J4430" t="s">
        <v>62</v>
      </c>
      <c r="K4430">
        <v>10236</v>
      </c>
      <c r="L4430">
        <v>518</v>
      </c>
      <c r="M4430">
        <v>586.67999999999995</v>
      </c>
      <c r="N4430">
        <v>14</v>
      </c>
      <c r="O4430">
        <v>622.25</v>
      </c>
      <c r="P4430">
        <f t="shared" si="276"/>
        <v>5.0605705353653774E-2</v>
      </c>
      <c r="Q4430">
        <f t="shared" si="276"/>
        <v>1.1325868725868724</v>
      </c>
      <c r="R4430">
        <f t="shared" si="277"/>
        <v>41.905714285714282</v>
      </c>
      <c r="S4430">
        <f t="shared" si="278"/>
        <v>1.0606293038794574</v>
      </c>
      <c r="T4430">
        <f t="shared" si="279"/>
        <v>2.7027027027027029E-2</v>
      </c>
      <c r="U4430" t="str">
        <f>YEAR('Campaign Data'!$A4430)&amp;"-"&amp;TEXT(MONTH('Campaign Data'!$A4430),"00")</f>
        <v>2026-08</v>
      </c>
    </row>
    <row r="4431" spans="1:21" x14ac:dyDescent="0.25">
      <c r="A4431">
        <v>46264</v>
      </c>
      <c r="B4431" t="s">
        <v>118</v>
      </c>
      <c r="C4431" t="s">
        <v>119</v>
      </c>
      <c r="D4431" t="s">
        <v>69</v>
      </c>
      <c r="E4431" t="s">
        <v>33</v>
      </c>
      <c r="F4431" t="s">
        <v>34</v>
      </c>
      <c r="G4431" t="s">
        <v>35</v>
      </c>
      <c r="H4431" t="s">
        <v>27</v>
      </c>
      <c r="I4431" t="s">
        <v>37</v>
      </c>
      <c r="J4431" t="s">
        <v>45</v>
      </c>
      <c r="K4431">
        <v>2571</v>
      </c>
      <c r="L4431">
        <v>18</v>
      </c>
      <c r="M4431">
        <v>15.68</v>
      </c>
      <c r="N4431">
        <v>0</v>
      </c>
      <c r="O4431">
        <v>0</v>
      </c>
      <c r="P4431">
        <f t="shared" si="276"/>
        <v>7.0011668611435242E-3</v>
      </c>
      <c r="Q4431">
        <f t="shared" si="276"/>
        <v>0.87111111111111106</v>
      </c>
      <c r="R4431">
        <f t="shared" si="277"/>
        <v>0</v>
      </c>
      <c r="S4431">
        <f t="shared" si="278"/>
        <v>0</v>
      </c>
      <c r="T4431">
        <f t="shared" si="279"/>
        <v>0</v>
      </c>
      <c r="U4431" t="str">
        <f>YEAR('Campaign Data'!$A4431)&amp;"-"&amp;TEXT(MONTH('Campaign Data'!$A4431),"00")</f>
        <v>2026-08</v>
      </c>
    </row>
    <row r="4432" spans="1:21" x14ac:dyDescent="0.25">
      <c r="A4432">
        <v>46264</v>
      </c>
      <c r="B4432" t="s">
        <v>76</v>
      </c>
      <c r="C4432" t="s">
        <v>77</v>
      </c>
      <c r="D4432" t="s">
        <v>65</v>
      </c>
      <c r="E4432" t="s">
        <v>42</v>
      </c>
      <c r="F4432" t="s">
        <v>43</v>
      </c>
      <c r="G4432" t="s">
        <v>44</v>
      </c>
      <c r="H4432" t="s">
        <v>36</v>
      </c>
      <c r="I4432" t="s">
        <v>37</v>
      </c>
      <c r="J4432" t="s">
        <v>45</v>
      </c>
      <c r="K4432">
        <v>6616</v>
      </c>
      <c r="L4432">
        <v>57</v>
      </c>
      <c r="M4432">
        <v>376.18</v>
      </c>
      <c r="N4432">
        <v>1</v>
      </c>
      <c r="O4432">
        <v>21.27</v>
      </c>
      <c r="P4432">
        <f t="shared" si="276"/>
        <v>8.6154776299879089E-3</v>
      </c>
      <c r="Q4432">
        <f t="shared" si="276"/>
        <v>6.5996491228070173</v>
      </c>
      <c r="R4432">
        <f t="shared" si="277"/>
        <v>376.18</v>
      </c>
      <c r="S4432">
        <f t="shared" si="278"/>
        <v>5.6542080918709124E-2</v>
      </c>
      <c r="T4432">
        <f t="shared" si="279"/>
        <v>1.7543859649122806E-2</v>
      </c>
      <c r="U4432" t="str">
        <f>YEAR('Campaign Data'!$A4432)&amp;"-"&amp;TEXT(MONTH('Campaign Data'!$A4432),"00")</f>
        <v>2026-08</v>
      </c>
    </row>
    <row r="4433" spans="1:21" x14ac:dyDescent="0.25">
      <c r="A4433">
        <v>46265</v>
      </c>
      <c r="B4433" t="s">
        <v>175</v>
      </c>
      <c r="C4433" t="s">
        <v>176</v>
      </c>
      <c r="D4433" t="s">
        <v>65</v>
      </c>
      <c r="E4433" t="s">
        <v>49</v>
      </c>
      <c r="F4433" t="s">
        <v>75</v>
      </c>
      <c r="G4433" t="s">
        <v>70</v>
      </c>
      <c r="H4433" t="s">
        <v>90</v>
      </c>
      <c r="I4433" t="s">
        <v>28</v>
      </c>
      <c r="J4433" t="s">
        <v>29</v>
      </c>
      <c r="K4433">
        <v>2869</v>
      </c>
      <c r="L4433">
        <v>100</v>
      </c>
      <c r="M4433">
        <v>52</v>
      </c>
      <c r="N4433">
        <v>4</v>
      </c>
      <c r="O4433">
        <v>50.14</v>
      </c>
      <c r="P4433">
        <f t="shared" si="276"/>
        <v>3.4855350296270481E-2</v>
      </c>
      <c r="Q4433">
        <f t="shared" si="276"/>
        <v>0.52</v>
      </c>
      <c r="R4433">
        <f t="shared" si="277"/>
        <v>13</v>
      </c>
      <c r="S4433">
        <f t="shared" si="278"/>
        <v>0.96423076923076922</v>
      </c>
      <c r="T4433">
        <f t="shared" si="279"/>
        <v>0.04</v>
      </c>
      <c r="U4433" t="str">
        <f>YEAR('Campaign Data'!$A4433)&amp;"-"&amp;TEXT(MONTH('Campaign Data'!$A4433),"00")</f>
        <v>2026-08</v>
      </c>
    </row>
    <row r="4434" spans="1:21" x14ac:dyDescent="0.25">
      <c r="A4434">
        <v>46265</v>
      </c>
      <c r="B4434" t="s">
        <v>125</v>
      </c>
      <c r="C4434" t="s">
        <v>126</v>
      </c>
      <c r="D4434" t="s">
        <v>41</v>
      </c>
      <c r="E4434" t="s">
        <v>42</v>
      </c>
      <c r="F4434" t="s">
        <v>81</v>
      </c>
      <c r="G4434" t="s">
        <v>44</v>
      </c>
      <c r="H4434" t="s">
        <v>36</v>
      </c>
      <c r="I4434" t="s">
        <v>28</v>
      </c>
      <c r="J4434" t="s">
        <v>29</v>
      </c>
      <c r="K4434">
        <v>2881</v>
      </c>
      <c r="L4434">
        <v>24</v>
      </c>
      <c r="M4434">
        <v>166.53</v>
      </c>
      <c r="N4434">
        <v>1</v>
      </c>
      <c r="O4434">
        <v>22.89</v>
      </c>
      <c r="P4434">
        <f t="shared" si="276"/>
        <v>8.3304408191600138E-3</v>
      </c>
      <c r="Q4434">
        <f t="shared" si="276"/>
        <v>6.9387499999999998</v>
      </c>
      <c r="R4434">
        <f t="shared" si="277"/>
        <v>166.53</v>
      </c>
      <c r="S4434">
        <f t="shared" si="278"/>
        <v>0.13745271122320302</v>
      </c>
      <c r="T4434">
        <f t="shared" si="279"/>
        <v>4.1666666666666664E-2</v>
      </c>
      <c r="U4434" t="str">
        <f>YEAR('Campaign Data'!$A4434)&amp;"-"&amp;TEXT(MONTH('Campaign Data'!$A4434),"00")</f>
        <v>2026-08</v>
      </c>
    </row>
    <row r="4435" spans="1:21" x14ac:dyDescent="0.25">
      <c r="A4435">
        <v>46265</v>
      </c>
      <c r="B4435" t="s">
        <v>125</v>
      </c>
      <c r="C4435" t="s">
        <v>126</v>
      </c>
      <c r="D4435" t="s">
        <v>41</v>
      </c>
      <c r="E4435" t="s">
        <v>42</v>
      </c>
      <c r="F4435" t="s">
        <v>81</v>
      </c>
      <c r="G4435" t="s">
        <v>44</v>
      </c>
      <c r="H4435" t="s">
        <v>51</v>
      </c>
      <c r="I4435" t="s">
        <v>37</v>
      </c>
      <c r="J4435" t="s">
        <v>38</v>
      </c>
      <c r="K4435">
        <v>16213</v>
      </c>
      <c r="L4435">
        <v>99</v>
      </c>
      <c r="M4435">
        <v>577.08000000000004</v>
      </c>
      <c r="N4435">
        <v>7</v>
      </c>
      <c r="O4435">
        <v>96.12</v>
      </c>
      <c r="P4435">
        <f t="shared" si="276"/>
        <v>6.1062110651945965E-3</v>
      </c>
      <c r="Q4435">
        <f t="shared" si="276"/>
        <v>5.8290909090909091</v>
      </c>
      <c r="R4435">
        <f t="shared" si="277"/>
        <v>82.440000000000012</v>
      </c>
      <c r="S4435">
        <f t="shared" si="278"/>
        <v>0.16656269494697443</v>
      </c>
      <c r="T4435">
        <f t="shared" si="279"/>
        <v>7.0707070707070704E-2</v>
      </c>
      <c r="U4435" t="str">
        <f>YEAR('Campaign Data'!$A4435)&amp;"-"&amp;TEXT(MONTH('Campaign Data'!$A4435),"00")</f>
        <v>2026-08</v>
      </c>
    </row>
    <row r="4436" spans="1:21" x14ac:dyDescent="0.25">
      <c r="A4436">
        <v>46265</v>
      </c>
      <c r="B4436" t="s">
        <v>91</v>
      </c>
      <c r="C4436" t="s">
        <v>92</v>
      </c>
      <c r="D4436" t="s">
        <v>41</v>
      </c>
      <c r="E4436" t="s">
        <v>74</v>
      </c>
      <c r="F4436" t="s">
        <v>75</v>
      </c>
      <c r="G4436" t="s">
        <v>9</v>
      </c>
      <c r="H4436" t="s">
        <v>36</v>
      </c>
      <c r="I4436" t="s">
        <v>37</v>
      </c>
      <c r="J4436" t="s">
        <v>29</v>
      </c>
      <c r="K4436">
        <v>6801</v>
      </c>
      <c r="L4436">
        <v>212</v>
      </c>
      <c r="M4436">
        <v>381.99</v>
      </c>
      <c r="N4436">
        <v>6</v>
      </c>
      <c r="O4436">
        <v>174.4</v>
      </c>
      <c r="P4436">
        <f t="shared" si="276"/>
        <v>3.1171886487281281E-2</v>
      </c>
      <c r="Q4436">
        <f t="shared" si="276"/>
        <v>1.8018396226415094</v>
      </c>
      <c r="R4436">
        <f t="shared" si="277"/>
        <v>63.664999999999999</v>
      </c>
      <c r="S4436">
        <f t="shared" si="278"/>
        <v>0.45655645435744391</v>
      </c>
      <c r="T4436">
        <f t="shared" si="279"/>
        <v>2.8301886792452831E-2</v>
      </c>
      <c r="U4436" t="str">
        <f>YEAR('Campaign Data'!$A4436)&amp;"-"&amp;TEXT(MONTH('Campaign Data'!$A4436),"00")</f>
        <v>2026-08</v>
      </c>
    </row>
    <row r="4437" spans="1:21" x14ac:dyDescent="0.25">
      <c r="A4437">
        <v>46265</v>
      </c>
      <c r="B4437" t="s">
        <v>169</v>
      </c>
      <c r="C4437" t="s">
        <v>170</v>
      </c>
      <c r="D4437" t="s">
        <v>58</v>
      </c>
      <c r="E4437" t="s">
        <v>74</v>
      </c>
      <c r="F4437" t="s">
        <v>75</v>
      </c>
      <c r="G4437" t="s">
        <v>9</v>
      </c>
      <c r="H4437" t="s">
        <v>55</v>
      </c>
      <c r="I4437" t="s">
        <v>37</v>
      </c>
      <c r="J4437" t="s">
        <v>87</v>
      </c>
      <c r="K4437">
        <v>9358</v>
      </c>
      <c r="L4437">
        <v>211</v>
      </c>
      <c r="M4437">
        <v>280.51</v>
      </c>
      <c r="N4437">
        <v>13</v>
      </c>
      <c r="O4437">
        <v>388.08</v>
      </c>
      <c r="P4437">
        <f t="shared" si="276"/>
        <v>2.2547552895917932E-2</v>
      </c>
      <c r="Q4437">
        <f t="shared" si="276"/>
        <v>1.3294312796208529</v>
      </c>
      <c r="R4437">
        <f t="shared" si="277"/>
        <v>21.577692307692306</v>
      </c>
      <c r="S4437">
        <f t="shared" si="278"/>
        <v>1.3834800898363695</v>
      </c>
      <c r="T4437">
        <f t="shared" si="279"/>
        <v>6.1611374407582936E-2</v>
      </c>
      <c r="U4437" t="str">
        <f>YEAR('Campaign Data'!$A4437)&amp;"-"&amp;TEXT(MONTH('Campaign Data'!$A4437),"00")</f>
        <v>2026-08</v>
      </c>
    </row>
    <row r="4438" spans="1:21" x14ac:dyDescent="0.25">
      <c r="A4438">
        <v>46265</v>
      </c>
      <c r="B4438" t="s">
        <v>127</v>
      </c>
      <c r="C4438" t="s">
        <v>128</v>
      </c>
      <c r="D4438" t="s">
        <v>58</v>
      </c>
      <c r="E4438" t="s">
        <v>24</v>
      </c>
      <c r="F4438" t="s">
        <v>81</v>
      </c>
      <c r="G4438" t="s">
        <v>129</v>
      </c>
      <c r="H4438" t="s">
        <v>27</v>
      </c>
      <c r="I4438" t="s">
        <v>37</v>
      </c>
      <c r="J4438" t="s">
        <v>29</v>
      </c>
      <c r="K4438">
        <v>13942</v>
      </c>
      <c r="L4438">
        <v>104</v>
      </c>
      <c r="M4438">
        <v>92.4</v>
      </c>
      <c r="N4438">
        <v>2</v>
      </c>
      <c r="O4438">
        <v>37.770000000000003</v>
      </c>
      <c r="P4438">
        <f t="shared" si="276"/>
        <v>7.4594749677234255E-3</v>
      </c>
      <c r="Q4438">
        <f t="shared" si="276"/>
        <v>0.88846153846153852</v>
      </c>
      <c r="R4438">
        <f t="shared" si="277"/>
        <v>46.2</v>
      </c>
      <c r="S4438">
        <f t="shared" si="278"/>
        <v>0.40876623376623378</v>
      </c>
      <c r="T4438">
        <f t="shared" si="279"/>
        <v>1.9230769230769232E-2</v>
      </c>
      <c r="U4438" t="str">
        <f>YEAR('Campaign Data'!$A4438)&amp;"-"&amp;TEXT(MONTH('Campaign Data'!$A4438),"00")</f>
        <v>2026-08</v>
      </c>
    </row>
    <row r="4439" spans="1:21" x14ac:dyDescent="0.25">
      <c r="A4439">
        <v>46265</v>
      </c>
      <c r="B4439" t="s">
        <v>177</v>
      </c>
      <c r="C4439" t="s">
        <v>178</v>
      </c>
      <c r="D4439" t="s">
        <v>41</v>
      </c>
      <c r="E4439" t="s">
        <v>49</v>
      </c>
      <c r="F4439" t="s">
        <v>34</v>
      </c>
      <c r="G4439" t="s">
        <v>107</v>
      </c>
      <c r="H4439" t="s">
        <v>51</v>
      </c>
      <c r="I4439" t="s">
        <v>28</v>
      </c>
      <c r="J4439" t="s">
        <v>62</v>
      </c>
      <c r="K4439">
        <v>8159</v>
      </c>
      <c r="L4439">
        <v>477</v>
      </c>
      <c r="M4439">
        <v>849</v>
      </c>
      <c r="N4439">
        <v>28</v>
      </c>
      <c r="O4439">
        <v>4323.67</v>
      </c>
      <c r="P4439">
        <f t="shared" si="276"/>
        <v>5.8463046942027211E-2</v>
      </c>
      <c r="Q4439">
        <f t="shared" si="276"/>
        <v>1.779874213836478</v>
      </c>
      <c r="R4439">
        <f t="shared" si="277"/>
        <v>30.321428571428573</v>
      </c>
      <c r="S4439">
        <f t="shared" si="278"/>
        <v>5.0926619552414607</v>
      </c>
      <c r="T4439">
        <f t="shared" si="279"/>
        <v>5.8700209643605873E-2</v>
      </c>
      <c r="U4439" t="str">
        <f>YEAR('Campaign Data'!$A4439)&amp;"-"&amp;TEXT(MONTH('Campaign Data'!$A4439),"00")</f>
        <v>2026-08</v>
      </c>
    </row>
    <row r="4440" spans="1:21" x14ac:dyDescent="0.25">
      <c r="A4440">
        <v>46265</v>
      </c>
      <c r="B4440" t="s">
        <v>179</v>
      </c>
      <c r="C4440" t="s">
        <v>180</v>
      </c>
      <c r="D4440" t="s">
        <v>58</v>
      </c>
      <c r="E4440" t="s">
        <v>42</v>
      </c>
      <c r="F4440" t="s">
        <v>25</v>
      </c>
      <c r="G4440" t="s">
        <v>54</v>
      </c>
      <c r="H4440" t="s">
        <v>27</v>
      </c>
      <c r="I4440" t="s">
        <v>37</v>
      </c>
      <c r="J4440" t="s">
        <v>87</v>
      </c>
      <c r="K4440">
        <v>29622</v>
      </c>
      <c r="L4440">
        <v>88</v>
      </c>
      <c r="M4440">
        <v>770.4</v>
      </c>
      <c r="N4440">
        <v>3</v>
      </c>
      <c r="O4440">
        <v>594.26</v>
      </c>
      <c r="P4440">
        <f t="shared" si="276"/>
        <v>2.9707649719802848E-3</v>
      </c>
      <c r="Q4440">
        <f t="shared" si="276"/>
        <v>8.754545454545454</v>
      </c>
      <c r="R4440">
        <f t="shared" si="277"/>
        <v>256.8</v>
      </c>
      <c r="S4440">
        <f t="shared" si="278"/>
        <v>0.77136552440290762</v>
      </c>
      <c r="T4440">
        <f t="shared" si="279"/>
        <v>3.4090909090909088E-2</v>
      </c>
      <c r="U4440" t="str">
        <f>YEAR('Campaign Data'!$A4440)&amp;"-"&amp;TEXT(MONTH('Campaign Data'!$A4440),"00")</f>
        <v>2026-08</v>
      </c>
    </row>
    <row r="4441" spans="1:21" x14ac:dyDescent="0.25">
      <c r="A4441">
        <v>46265</v>
      </c>
      <c r="B4441" t="s">
        <v>179</v>
      </c>
      <c r="C4441" t="s">
        <v>180</v>
      </c>
      <c r="D4441" t="s">
        <v>58</v>
      </c>
      <c r="E4441" t="s">
        <v>42</v>
      </c>
      <c r="F4441" t="s">
        <v>25</v>
      </c>
      <c r="G4441" t="s">
        <v>54</v>
      </c>
      <c r="H4441" t="s">
        <v>71</v>
      </c>
      <c r="I4441" t="s">
        <v>28</v>
      </c>
      <c r="J4441" t="s">
        <v>29</v>
      </c>
      <c r="K4441">
        <v>8993</v>
      </c>
      <c r="L4441">
        <v>51</v>
      </c>
      <c r="M4441">
        <v>300.87</v>
      </c>
      <c r="N4441">
        <v>4</v>
      </c>
      <c r="O4441">
        <v>263.60000000000002</v>
      </c>
      <c r="P4441">
        <f t="shared" si="276"/>
        <v>5.6710775047258983E-3</v>
      </c>
      <c r="Q4441">
        <f t="shared" si="276"/>
        <v>5.8994117647058824</v>
      </c>
      <c r="R4441">
        <f t="shared" si="277"/>
        <v>75.217500000000001</v>
      </c>
      <c r="S4441">
        <f t="shared" si="278"/>
        <v>0.87612590155216541</v>
      </c>
      <c r="T4441">
        <f t="shared" si="279"/>
        <v>7.8431372549019607E-2</v>
      </c>
      <c r="U4441" t="str">
        <f>YEAR('Campaign Data'!$A4441)&amp;"-"&amp;TEXT(MONTH('Campaign Data'!$A4441),"00")</f>
        <v>2026-08</v>
      </c>
    </row>
    <row r="4442" spans="1:21" x14ac:dyDescent="0.25">
      <c r="A4442">
        <v>46265</v>
      </c>
      <c r="B4442" t="s">
        <v>134</v>
      </c>
      <c r="C4442" t="s">
        <v>135</v>
      </c>
      <c r="D4442" t="s">
        <v>32</v>
      </c>
      <c r="E4442" t="s">
        <v>74</v>
      </c>
      <c r="F4442" t="s">
        <v>25</v>
      </c>
      <c r="G4442" t="s">
        <v>107</v>
      </c>
      <c r="H4442" t="s">
        <v>55</v>
      </c>
      <c r="I4442" t="s">
        <v>37</v>
      </c>
      <c r="J4442" t="s">
        <v>62</v>
      </c>
      <c r="K4442">
        <v>3415</v>
      </c>
      <c r="L4442">
        <v>87</v>
      </c>
      <c r="M4442">
        <v>64.55</v>
      </c>
      <c r="N4442">
        <v>4</v>
      </c>
      <c r="O4442">
        <v>516.66</v>
      </c>
      <c r="P4442">
        <f t="shared" si="276"/>
        <v>2.5475841874084918E-2</v>
      </c>
      <c r="Q4442">
        <f t="shared" si="276"/>
        <v>0.74195402298850577</v>
      </c>
      <c r="R4442">
        <f t="shared" si="277"/>
        <v>16.137499999999999</v>
      </c>
      <c r="S4442">
        <f t="shared" si="278"/>
        <v>8.0040278853601858</v>
      </c>
      <c r="T4442">
        <f t="shared" si="279"/>
        <v>4.5977011494252873E-2</v>
      </c>
      <c r="U4442" t="str">
        <f>YEAR('Campaign Data'!$A4442)&amp;"-"&amp;TEXT(MONTH('Campaign Data'!$A4442),"00")</f>
        <v>2026-08</v>
      </c>
    </row>
    <row r="4443" spans="1:21" x14ac:dyDescent="0.25">
      <c r="A4443">
        <v>46265</v>
      </c>
      <c r="B4443" t="s">
        <v>181</v>
      </c>
      <c r="C4443" t="s">
        <v>182</v>
      </c>
      <c r="D4443" t="s">
        <v>32</v>
      </c>
      <c r="E4443" t="s">
        <v>33</v>
      </c>
      <c r="F4443" t="s">
        <v>75</v>
      </c>
      <c r="G4443" t="s">
        <v>59</v>
      </c>
      <c r="H4443" t="s">
        <v>60</v>
      </c>
      <c r="I4443" t="s">
        <v>37</v>
      </c>
      <c r="J4443" t="s">
        <v>62</v>
      </c>
      <c r="K4443">
        <v>3489</v>
      </c>
      <c r="L4443">
        <v>32</v>
      </c>
      <c r="M4443">
        <v>19.079999999999998</v>
      </c>
      <c r="N4443">
        <v>1</v>
      </c>
      <c r="O4443">
        <v>31.51</v>
      </c>
      <c r="P4443">
        <f t="shared" si="276"/>
        <v>9.1716824304958443E-3</v>
      </c>
      <c r="Q4443">
        <f t="shared" si="276"/>
        <v>0.59624999999999995</v>
      </c>
      <c r="R4443">
        <f t="shared" si="277"/>
        <v>19.079999999999998</v>
      </c>
      <c r="S4443">
        <f t="shared" si="278"/>
        <v>1.6514675052410903</v>
      </c>
      <c r="T4443">
        <f t="shared" si="279"/>
        <v>3.125E-2</v>
      </c>
      <c r="U4443" t="str">
        <f>YEAR('Campaign Data'!$A4443)&amp;"-"&amp;TEXT(MONTH('Campaign Data'!$A4443),"00")</f>
        <v>2026-08</v>
      </c>
    </row>
    <row r="4444" spans="1:21" x14ac:dyDescent="0.25">
      <c r="A4444">
        <v>46265</v>
      </c>
      <c r="B4444" t="s">
        <v>183</v>
      </c>
      <c r="C4444" t="s">
        <v>184</v>
      </c>
      <c r="D4444" t="s">
        <v>23</v>
      </c>
      <c r="E4444" t="s">
        <v>24</v>
      </c>
      <c r="F4444" t="s">
        <v>81</v>
      </c>
      <c r="G4444" t="s">
        <v>185</v>
      </c>
      <c r="H4444" t="s">
        <v>60</v>
      </c>
      <c r="I4444" t="s">
        <v>37</v>
      </c>
      <c r="J4444" t="s">
        <v>87</v>
      </c>
      <c r="K4444">
        <v>1311</v>
      </c>
      <c r="L4444">
        <v>20</v>
      </c>
      <c r="M4444">
        <v>18.559999999999999</v>
      </c>
      <c r="N4444">
        <v>0</v>
      </c>
      <c r="O4444">
        <v>0</v>
      </c>
      <c r="P4444">
        <f t="shared" si="276"/>
        <v>1.5255530129672006E-2</v>
      </c>
      <c r="Q4444">
        <f t="shared" si="276"/>
        <v>0.92799999999999994</v>
      </c>
      <c r="R4444">
        <f t="shared" si="277"/>
        <v>0</v>
      </c>
      <c r="S4444">
        <f t="shared" si="278"/>
        <v>0</v>
      </c>
      <c r="T4444">
        <f t="shared" si="279"/>
        <v>0</v>
      </c>
      <c r="U4444" t="str">
        <f>YEAR('Campaign Data'!$A4444)&amp;"-"&amp;TEXT(MONTH('Campaign Data'!$A4444),"00")</f>
        <v>2026-08</v>
      </c>
    </row>
    <row r="4445" spans="1:21" x14ac:dyDescent="0.25">
      <c r="A4445">
        <v>46265</v>
      </c>
      <c r="B4445" t="s">
        <v>67</v>
      </c>
      <c r="C4445" t="s">
        <v>68</v>
      </c>
      <c r="D4445" t="s">
        <v>69</v>
      </c>
      <c r="E4445" t="s">
        <v>49</v>
      </c>
      <c r="F4445" t="s">
        <v>34</v>
      </c>
      <c r="G4445" t="s">
        <v>70</v>
      </c>
      <c r="H4445" t="s">
        <v>36</v>
      </c>
      <c r="I4445" t="s">
        <v>37</v>
      </c>
      <c r="J4445" t="s">
        <v>45</v>
      </c>
      <c r="K4445">
        <v>3271</v>
      </c>
      <c r="L4445">
        <v>93</v>
      </c>
      <c r="M4445">
        <v>188.62</v>
      </c>
      <c r="N4445">
        <v>3</v>
      </c>
      <c r="O4445">
        <v>569.22</v>
      </c>
      <c r="P4445">
        <f t="shared" si="276"/>
        <v>2.8431672271476614E-2</v>
      </c>
      <c r="Q4445">
        <f t="shared" si="276"/>
        <v>2.0281720430107528</v>
      </c>
      <c r="R4445">
        <f t="shared" si="277"/>
        <v>62.873333333333335</v>
      </c>
      <c r="S4445">
        <f t="shared" si="278"/>
        <v>3.017813593468349</v>
      </c>
      <c r="T4445">
        <f t="shared" si="279"/>
        <v>3.2258064516129031E-2</v>
      </c>
      <c r="U4445" t="str">
        <f>YEAR('Campaign Data'!$A4445)&amp;"-"&amp;TEXT(MONTH('Campaign Data'!$A4445),"00")</f>
        <v>2026-08</v>
      </c>
    </row>
    <row r="4446" spans="1:21" x14ac:dyDescent="0.25">
      <c r="A4446">
        <v>46265</v>
      </c>
      <c r="B4446" t="s">
        <v>76</v>
      </c>
      <c r="C4446" t="s">
        <v>77</v>
      </c>
      <c r="D4446" t="s">
        <v>65</v>
      </c>
      <c r="E4446" t="s">
        <v>42</v>
      </c>
      <c r="F4446" t="s">
        <v>43</v>
      </c>
      <c r="G4446" t="s">
        <v>44</v>
      </c>
      <c r="H4446" t="s">
        <v>90</v>
      </c>
      <c r="I4446" t="s">
        <v>37</v>
      </c>
      <c r="J4446" t="s">
        <v>87</v>
      </c>
      <c r="K4446">
        <v>5123</v>
      </c>
      <c r="L4446">
        <v>43</v>
      </c>
      <c r="M4446">
        <v>68.84</v>
      </c>
      <c r="N4446">
        <v>0</v>
      </c>
      <c r="O4446">
        <v>0</v>
      </c>
      <c r="P4446">
        <f t="shared" si="276"/>
        <v>8.3935194222135474E-3</v>
      </c>
      <c r="Q4446">
        <f t="shared" si="276"/>
        <v>1.6009302325581396</v>
      </c>
      <c r="R4446">
        <f t="shared" si="277"/>
        <v>0</v>
      </c>
      <c r="S4446">
        <f t="shared" si="278"/>
        <v>0</v>
      </c>
      <c r="T4446">
        <f t="shared" si="279"/>
        <v>0</v>
      </c>
      <c r="U4446" t="str">
        <f>YEAR('Campaign Data'!$A4446)&amp;"-"&amp;TEXT(MONTH('Campaign Data'!$A4446),"00")</f>
        <v>2026-08</v>
      </c>
    </row>
    <row r="4447" spans="1:21" x14ac:dyDescent="0.25">
      <c r="A4447">
        <v>46265</v>
      </c>
      <c r="B4447" t="s">
        <v>120</v>
      </c>
      <c r="C4447" t="s">
        <v>121</v>
      </c>
      <c r="D4447" t="s">
        <v>23</v>
      </c>
      <c r="E4447" t="s">
        <v>49</v>
      </c>
      <c r="F4447" t="s">
        <v>75</v>
      </c>
      <c r="G4447" t="s">
        <v>70</v>
      </c>
      <c r="H4447" t="s">
        <v>90</v>
      </c>
      <c r="I4447" t="s">
        <v>37</v>
      </c>
      <c r="J4447" t="s">
        <v>87</v>
      </c>
      <c r="K4447">
        <v>9678</v>
      </c>
      <c r="L4447">
        <v>238</v>
      </c>
      <c r="M4447">
        <v>119.64</v>
      </c>
      <c r="N4447">
        <v>13</v>
      </c>
      <c r="O4447">
        <v>227.21</v>
      </c>
      <c r="P4447">
        <f t="shared" si="276"/>
        <v>2.4591857821864023E-2</v>
      </c>
      <c r="Q4447">
        <f t="shared" si="276"/>
        <v>0.50268907563025211</v>
      </c>
      <c r="R4447">
        <f t="shared" si="277"/>
        <v>9.2030769230769227</v>
      </c>
      <c r="S4447">
        <f t="shared" si="278"/>
        <v>1.8991140086927449</v>
      </c>
      <c r="T4447">
        <f t="shared" si="279"/>
        <v>5.4621848739495799E-2</v>
      </c>
      <c r="U4447" t="str">
        <f>YEAR('Campaign Data'!$A4447)&amp;"-"&amp;TEXT(MONTH('Campaign Data'!$A4447),"00")</f>
        <v>2026-08</v>
      </c>
    </row>
    <row r="4448" spans="1:21" x14ac:dyDescent="0.25">
      <c r="A4448">
        <v>46266</v>
      </c>
      <c r="B4448" t="s">
        <v>165</v>
      </c>
      <c r="C4448" t="s">
        <v>166</v>
      </c>
      <c r="D4448" t="s">
        <v>41</v>
      </c>
      <c r="E4448" t="s">
        <v>33</v>
      </c>
      <c r="F4448" t="s">
        <v>43</v>
      </c>
      <c r="G4448" t="s">
        <v>59</v>
      </c>
      <c r="H4448" t="s">
        <v>36</v>
      </c>
      <c r="I4448" t="s">
        <v>28</v>
      </c>
      <c r="J4448" t="s">
        <v>29</v>
      </c>
      <c r="K4448">
        <v>6824</v>
      </c>
      <c r="L4448">
        <v>76</v>
      </c>
      <c r="M4448">
        <v>42.9</v>
      </c>
      <c r="N4448">
        <v>3</v>
      </c>
      <c r="O4448">
        <v>76.459999999999994</v>
      </c>
      <c r="P4448">
        <f t="shared" si="276"/>
        <v>1.1137162954279016E-2</v>
      </c>
      <c r="Q4448">
        <f t="shared" si="276"/>
        <v>0.56447368421052635</v>
      </c>
      <c r="R4448">
        <f t="shared" si="277"/>
        <v>14.299999999999999</v>
      </c>
      <c r="S4448">
        <f t="shared" si="278"/>
        <v>1.7822843822843821</v>
      </c>
      <c r="T4448">
        <f t="shared" si="279"/>
        <v>3.9473684210526314E-2</v>
      </c>
      <c r="U4448" t="str">
        <f>YEAR('Campaign Data'!$A4448)&amp;"-"&amp;TEXT(MONTH('Campaign Data'!$A4448),"00")</f>
        <v>2026-09</v>
      </c>
    </row>
    <row r="4449" spans="1:21" x14ac:dyDescent="0.25">
      <c r="A4449">
        <v>46266</v>
      </c>
      <c r="B4449" t="s">
        <v>165</v>
      </c>
      <c r="C4449" t="s">
        <v>166</v>
      </c>
      <c r="D4449" t="s">
        <v>41</v>
      </c>
      <c r="E4449" t="s">
        <v>33</v>
      </c>
      <c r="F4449" t="s">
        <v>43</v>
      </c>
      <c r="G4449" t="s">
        <v>59</v>
      </c>
      <c r="H4449" t="s">
        <v>90</v>
      </c>
      <c r="I4449" t="s">
        <v>28</v>
      </c>
      <c r="J4449" t="s">
        <v>29</v>
      </c>
      <c r="K4449">
        <v>3341</v>
      </c>
      <c r="L4449">
        <v>27</v>
      </c>
      <c r="M4449">
        <v>3.6</v>
      </c>
      <c r="N4449">
        <v>1</v>
      </c>
      <c r="O4449">
        <v>7.79</v>
      </c>
      <c r="P4449">
        <f t="shared" si="276"/>
        <v>8.0814127506734518E-3</v>
      </c>
      <c r="Q4449">
        <f t="shared" si="276"/>
        <v>0.13333333333333333</v>
      </c>
      <c r="R4449">
        <f t="shared" si="277"/>
        <v>3.6</v>
      </c>
      <c r="S4449">
        <f t="shared" si="278"/>
        <v>2.1638888888888888</v>
      </c>
      <c r="T4449">
        <f t="shared" si="279"/>
        <v>3.7037037037037035E-2</v>
      </c>
      <c r="U4449" t="str">
        <f>YEAR('Campaign Data'!$A4449)&amp;"-"&amp;TEXT(MONTH('Campaign Data'!$A4449),"00")</f>
        <v>2026-09</v>
      </c>
    </row>
    <row r="4450" spans="1:21" x14ac:dyDescent="0.25">
      <c r="A4450">
        <v>46266</v>
      </c>
      <c r="B4450" t="s">
        <v>85</v>
      </c>
      <c r="C4450" t="s">
        <v>86</v>
      </c>
      <c r="D4450" t="s">
        <v>80</v>
      </c>
      <c r="E4450" t="s">
        <v>33</v>
      </c>
      <c r="F4450" t="s">
        <v>43</v>
      </c>
      <c r="G4450" t="s">
        <v>35</v>
      </c>
      <c r="H4450" t="s">
        <v>27</v>
      </c>
      <c r="I4450" t="s">
        <v>37</v>
      </c>
      <c r="J4450" t="s">
        <v>45</v>
      </c>
      <c r="K4450">
        <v>7735</v>
      </c>
      <c r="L4450">
        <v>66</v>
      </c>
      <c r="M4450">
        <v>64.5</v>
      </c>
      <c r="N4450">
        <v>0</v>
      </c>
      <c r="O4450">
        <v>0</v>
      </c>
      <c r="P4450">
        <f t="shared" si="276"/>
        <v>8.532643826761473E-3</v>
      </c>
      <c r="Q4450">
        <f t="shared" si="276"/>
        <v>0.97727272727272729</v>
      </c>
      <c r="R4450">
        <f t="shared" si="277"/>
        <v>0</v>
      </c>
      <c r="S4450">
        <f t="shared" si="278"/>
        <v>0</v>
      </c>
      <c r="T4450">
        <f t="shared" si="279"/>
        <v>0</v>
      </c>
      <c r="U4450" t="str">
        <f>YEAR('Campaign Data'!$A4450)&amp;"-"&amp;TEXT(MONTH('Campaign Data'!$A4450),"00")</f>
        <v>2026-09</v>
      </c>
    </row>
    <row r="4451" spans="1:21" x14ac:dyDescent="0.25">
      <c r="A4451">
        <v>46266</v>
      </c>
      <c r="B4451" t="s">
        <v>147</v>
      </c>
      <c r="C4451" t="s">
        <v>148</v>
      </c>
      <c r="D4451" t="s">
        <v>23</v>
      </c>
      <c r="E4451" t="s">
        <v>42</v>
      </c>
      <c r="F4451" t="s">
        <v>75</v>
      </c>
      <c r="G4451" t="s">
        <v>44</v>
      </c>
      <c r="H4451" t="s">
        <v>36</v>
      </c>
      <c r="I4451" t="s">
        <v>28</v>
      </c>
      <c r="J4451" t="s">
        <v>29</v>
      </c>
      <c r="K4451">
        <v>6662</v>
      </c>
      <c r="L4451">
        <v>45</v>
      </c>
      <c r="M4451">
        <v>240.51</v>
      </c>
      <c r="N4451">
        <v>2</v>
      </c>
      <c r="O4451">
        <v>80.94</v>
      </c>
      <c r="P4451">
        <f t="shared" si="276"/>
        <v>6.7547283098168716E-3</v>
      </c>
      <c r="Q4451">
        <f t="shared" si="276"/>
        <v>5.3446666666666669</v>
      </c>
      <c r="R4451">
        <f t="shared" si="277"/>
        <v>120.255</v>
      </c>
      <c r="S4451">
        <f t="shared" si="278"/>
        <v>0.33653486341524264</v>
      </c>
      <c r="T4451">
        <f t="shared" si="279"/>
        <v>4.4444444444444446E-2</v>
      </c>
      <c r="U4451" t="str">
        <f>YEAR('Campaign Data'!$A4451)&amp;"-"&amp;TEXT(MONTH('Campaign Data'!$A4451),"00")</f>
        <v>2026-09</v>
      </c>
    </row>
    <row r="4452" spans="1:21" x14ac:dyDescent="0.25">
      <c r="A4452">
        <v>46266</v>
      </c>
      <c r="B4452" t="s">
        <v>125</v>
      </c>
      <c r="C4452" t="s">
        <v>126</v>
      </c>
      <c r="D4452" t="s">
        <v>41</v>
      </c>
      <c r="E4452" t="s">
        <v>42</v>
      </c>
      <c r="F4452" t="s">
        <v>81</v>
      </c>
      <c r="G4452" t="s">
        <v>44</v>
      </c>
      <c r="H4452" t="s">
        <v>27</v>
      </c>
      <c r="I4452" t="s">
        <v>37</v>
      </c>
      <c r="J4452" t="s">
        <v>45</v>
      </c>
      <c r="K4452">
        <v>3344</v>
      </c>
      <c r="L4452">
        <v>17</v>
      </c>
      <c r="M4452">
        <v>137.97</v>
      </c>
      <c r="N4452">
        <v>0</v>
      </c>
      <c r="O4452">
        <v>0</v>
      </c>
      <c r="P4452">
        <f t="shared" si="276"/>
        <v>5.0837320574162676E-3</v>
      </c>
      <c r="Q4452">
        <f t="shared" si="276"/>
        <v>8.1158823529411759</v>
      </c>
      <c r="R4452">
        <f t="shared" si="277"/>
        <v>0</v>
      </c>
      <c r="S4452">
        <f t="shared" si="278"/>
        <v>0</v>
      </c>
      <c r="T4452">
        <f t="shared" si="279"/>
        <v>0</v>
      </c>
      <c r="U4452" t="str">
        <f>YEAR('Campaign Data'!$A4452)&amp;"-"&amp;TEXT(MONTH('Campaign Data'!$A4452),"00")</f>
        <v>2026-09</v>
      </c>
    </row>
    <row r="4453" spans="1:21" x14ac:dyDescent="0.25">
      <c r="A4453">
        <v>46266</v>
      </c>
      <c r="B4453" t="s">
        <v>186</v>
      </c>
      <c r="C4453" t="s">
        <v>187</v>
      </c>
      <c r="D4453" t="s">
        <v>80</v>
      </c>
      <c r="E4453" t="s">
        <v>33</v>
      </c>
      <c r="F4453" t="s">
        <v>43</v>
      </c>
      <c r="G4453" t="s">
        <v>102</v>
      </c>
      <c r="H4453" t="s">
        <v>90</v>
      </c>
      <c r="I4453" t="s">
        <v>28</v>
      </c>
      <c r="J4453" t="s">
        <v>29</v>
      </c>
      <c r="K4453">
        <v>1256</v>
      </c>
      <c r="L4453">
        <v>14</v>
      </c>
      <c r="M4453">
        <v>2.25</v>
      </c>
      <c r="N4453">
        <v>0</v>
      </c>
      <c r="O4453">
        <v>0</v>
      </c>
      <c r="P4453">
        <f t="shared" si="276"/>
        <v>1.1146496815286623E-2</v>
      </c>
      <c r="Q4453">
        <f t="shared" si="276"/>
        <v>0.16071428571428573</v>
      </c>
      <c r="R4453">
        <f t="shared" si="277"/>
        <v>0</v>
      </c>
      <c r="S4453">
        <f t="shared" si="278"/>
        <v>0</v>
      </c>
      <c r="T4453">
        <f t="shared" si="279"/>
        <v>0</v>
      </c>
      <c r="U4453" t="str">
        <f>YEAR('Campaign Data'!$A4453)&amp;"-"&amp;TEXT(MONTH('Campaign Data'!$A4453),"00")</f>
        <v>2026-09</v>
      </c>
    </row>
    <row r="4454" spans="1:21" x14ac:dyDescent="0.25">
      <c r="A4454">
        <v>46266</v>
      </c>
      <c r="B4454" t="s">
        <v>93</v>
      </c>
      <c r="C4454" t="s">
        <v>94</v>
      </c>
      <c r="D4454" t="s">
        <v>69</v>
      </c>
      <c r="E4454" t="s">
        <v>42</v>
      </c>
      <c r="F4454" t="s">
        <v>75</v>
      </c>
      <c r="G4454" t="s">
        <v>44</v>
      </c>
      <c r="H4454" t="s">
        <v>90</v>
      </c>
      <c r="I4454" t="s">
        <v>28</v>
      </c>
      <c r="J4454" t="s">
        <v>87</v>
      </c>
      <c r="K4454">
        <v>4142</v>
      </c>
      <c r="L4454">
        <v>20</v>
      </c>
      <c r="M4454">
        <v>34.01</v>
      </c>
      <c r="N4454">
        <v>0</v>
      </c>
      <c r="O4454">
        <v>0</v>
      </c>
      <c r="P4454">
        <f t="shared" si="276"/>
        <v>4.8285852245292128E-3</v>
      </c>
      <c r="Q4454">
        <f t="shared" si="276"/>
        <v>1.7004999999999999</v>
      </c>
      <c r="R4454">
        <f t="shared" si="277"/>
        <v>0</v>
      </c>
      <c r="S4454">
        <f t="shared" si="278"/>
        <v>0</v>
      </c>
      <c r="T4454">
        <f t="shared" si="279"/>
        <v>0</v>
      </c>
      <c r="U4454" t="str">
        <f>YEAR('Campaign Data'!$A4454)&amp;"-"&amp;TEXT(MONTH('Campaign Data'!$A4454),"00")</f>
        <v>2026-09</v>
      </c>
    </row>
    <row r="4455" spans="1:21" x14ac:dyDescent="0.25">
      <c r="A4455">
        <v>46266</v>
      </c>
      <c r="B4455" t="s">
        <v>93</v>
      </c>
      <c r="C4455" t="s">
        <v>94</v>
      </c>
      <c r="D4455" t="s">
        <v>69</v>
      </c>
      <c r="E4455" t="s">
        <v>42</v>
      </c>
      <c r="F4455" t="s">
        <v>75</v>
      </c>
      <c r="G4455" t="s">
        <v>44</v>
      </c>
      <c r="H4455" t="s">
        <v>90</v>
      </c>
      <c r="I4455" t="s">
        <v>28</v>
      </c>
      <c r="J4455" t="s">
        <v>29</v>
      </c>
      <c r="K4455">
        <v>1968</v>
      </c>
      <c r="L4455">
        <v>14</v>
      </c>
      <c r="M4455">
        <v>27.52</v>
      </c>
      <c r="N4455">
        <v>1</v>
      </c>
      <c r="O4455">
        <v>8.64</v>
      </c>
      <c r="P4455">
        <f t="shared" si="276"/>
        <v>7.1138211382113818E-3</v>
      </c>
      <c r="Q4455">
        <f t="shared" si="276"/>
        <v>1.9657142857142857</v>
      </c>
      <c r="R4455">
        <f t="shared" si="277"/>
        <v>27.52</v>
      </c>
      <c r="S4455">
        <f t="shared" si="278"/>
        <v>0.31395348837209303</v>
      </c>
      <c r="T4455">
        <f t="shared" si="279"/>
        <v>7.1428571428571425E-2</v>
      </c>
      <c r="U4455" t="str">
        <f>YEAR('Campaign Data'!$A4455)&amp;"-"&amp;TEXT(MONTH('Campaign Data'!$A4455),"00")</f>
        <v>2026-09</v>
      </c>
    </row>
    <row r="4456" spans="1:21" x14ac:dyDescent="0.25">
      <c r="A4456">
        <v>46266</v>
      </c>
      <c r="B4456" t="s">
        <v>39</v>
      </c>
      <c r="C4456" t="s">
        <v>40</v>
      </c>
      <c r="D4456" t="s">
        <v>41</v>
      </c>
      <c r="E4456" t="s">
        <v>42</v>
      </c>
      <c r="F4456" t="s">
        <v>43</v>
      </c>
      <c r="G4456" t="s">
        <v>44</v>
      </c>
      <c r="H4456" t="s">
        <v>27</v>
      </c>
      <c r="I4456" t="s">
        <v>28</v>
      </c>
      <c r="J4456" t="s">
        <v>62</v>
      </c>
      <c r="K4456">
        <v>2895</v>
      </c>
      <c r="L4456">
        <v>14</v>
      </c>
      <c r="M4456">
        <v>87.55</v>
      </c>
      <c r="N4456">
        <v>1</v>
      </c>
      <c r="O4456">
        <v>26.13</v>
      </c>
      <c r="P4456">
        <f t="shared" si="276"/>
        <v>4.8359240069084626E-3</v>
      </c>
      <c r="Q4456">
        <f t="shared" si="276"/>
        <v>6.2535714285714281</v>
      </c>
      <c r="R4456">
        <f t="shared" si="277"/>
        <v>87.55</v>
      </c>
      <c r="S4456">
        <f t="shared" si="278"/>
        <v>0.29845802398629356</v>
      </c>
      <c r="T4456">
        <f t="shared" si="279"/>
        <v>7.1428571428571425E-2</v>
      </c>
      <c r="U4456" t="str">
        <f>YEAR('Campaign Data'!$A4456)&amp;"-"&amp;TEXT(MONTH('Campaign Data'!$A4456),"00")</f>
        <v>2026-09</v>
      </c>
    </row>
    <row r="4457" spans="1:21" x14ac:dyDescent="0.25">
      <c r="A4457">
        <v>46266</v>
      </c>
      <c r="B4457" t="s">
        <v>52</v>
      </c>
      <c r="C4457" t="s">
        <v>53</v>
      </c>
      <c r="D4457" t="s">
        <v>32</v>
      </c>
      <c r="E4457" t="s">
        <v>42</v>
      </c>
      <c r="F4457" t="s">
        <v>25</v>
      </c>
      <c r="G4457" t="s">
        <v>54</v>
      </c>
      <c r="H4457" t="s">
        <v>90</v>
      </c>
      <c r="I4457" t="s">
        <v>37</v>
      </c>
      <c r="J4457" t="s">
        <v>62</v>
      </c>
      <c r="K4457">
        <v>6875</v>
      </c>
      <c r="L4457">
        <v>71</v>
      </c>
      <c r="M4457">
        <v>151.68</v>
      </c>
      <c r="N4457">
        <v>5</v>
      </c>
      <c r="O4457">
        <v>174.42</v>
      </c>
      <c r="P4457">
        <f t="shared" si="276"/>
        <v>1.0327272727272727E-2</v>
      </c>
      <c r="Q4457">
        <f t="shared" si="276"/>
        <v>2.1363380281690141</v>
      </c>
      <c r="R4457">
        <f t="shared" si="277"/>
        <v>30.336000000000002</v>
      </c>
      <c r="S4457">
        <f t="shared" si="278"/>
        <v>1.1499208860759493</v>
      </c>
      <c r="T4457">
        <f t="shared" si="279"/>
        <v>7.0422535211267609E-2</v>
      </c>
      <c r="U4457" t="str">
        <f>YEAR('Campaign Data'!$A4457)&amp;"-"&amp;TEXT(MONTH('Campaign Data'!$A4457),"00")</f>
        <v>2026-09</v>
      </c>
    </row>
    <row r="4458" spans="1:21" x14ac:dyDescent="0.25">
      <c r="A4458">
        <v>46266</v>
      </c>
      <c r="B4458" t="s">
        <v>127</v>
      </c>
      <c r="C4458" t="s">
        <v>128</v>
      </c>
      <c r="D4458" t="s">
        <v>58</v>
      </c>
      <c r="E4458" t="s">
        <v>24</v>
      </c>
      <c r="F4458" t="s">
        <v>81</v>
      </c>
      <c r="G4458" t="s">
        <v>129</v>
      </c>
      <c r="H4458" t="s">
        <v>51</v>
      </c>
      <c r="I4458" t="s">
        <v>37</v>
      </c>
      <c r="J4458" t="s">
        <v>38</v>
      </c>
      <c r="K4458">
        <v>7465</v>
      </c>
      <c r="L4458">
        <v>39</v>
      </c>
      <c r="M4458">
        <v>30.04</v>
      </c>
      <c r="N4458">
        <v>1</v>
      </c>
      <c r="O4458">
        <v>19.66</v>
      </c>
      <c r="P4458">
        <f t="shared" si="276"/>
        <v>5.2243804420629607E-3</v>
      </c>
      <c r="Q4458">
        <f t="shared" si="276"/>
        <v>0.77025641025641023</v>
      </c>
      <c r="R4458">
        <f t="shared" si="277"/>
        <v>30.04</v>
      </c>
      <c r="S4458">
        <f t="shared" si="278"/>
        <v>0.65446071904127834</v>
      </c>
      <c r="T4458">
        <f t="shared" si="279"/>
        <v>2.564102564102564E-2</v>
      </c>
      <c r="U4458" t="str">
        <f>YEAR('Campaign Data'!$A4458)&amp;"-"&amp;TEXT(MONTH('Campaign Data'!$A4458),"00")</f>
        <v>2026-09</v>
      </c>
    </row>
    <row r="4459" spans="1:21" x14ac:dyDescent="0.25">
      <c r="A4459">
        <v>46266</v>
      </c>
      <c r="B4459" t="s">
        <v>127</v>
      </c>
      <c r="C4459" t="s">
        <v>128</v>
      </c>
      <c r="D4459" t="s">
        <v>58</v>
      </c>
      <c r="E4459" t="s">
        <v>24</v>
      </c>
      <c r="F4459" t="s">
        <v>81</v>
      </c>
      <c r="G4459" t="s">
        <v>129</v>
      </c>
      <c r="H4459" t="s">
        <v>90</v>
      </c>
      <c r="I4459" t="s">
        <v>28</v>
      </c>
      <c r="J4459" t="s">
        <v>62</v>
      </c>
      <c r="K4459">
        <v>2497</v>
      </c>
      <c r="L4459">
        <v>48</v>
      </c>
      <c r="M4459">
        <v>12.51</v>
      </c>
      <c r="N4459">
        <v>1</v>
      </c>
      <c r="O4459">
        <v>5</v>
      </c>
      <c r="P4459">
        <f t="shared" si="276"/>
        <v>1.9223067681217461E-2</v>
      </c>
      <c r="Q4459">
        <f t="shared" si="276"/>
        <v>0.260625</v>
      </c>
      <c r="R4459">
        <f t="shared" si="277"/>
        <v>12.51</v>
      </c>
      <c r="S4459">
        <f t="shared" si="278"/>
        <v>0.3996802557953637</v>
      </c>
      <c r="T4459">
        <f t="shared" si="279"/>
        <v>2.0833333333333332E-2</v>
      </c>
      <c r="U4459" t="str">
        <f>YEAR('Campaign Data'!$A4459)&amp;"-"&amp;TEXT(MONTH('Campaign Data'!$A4459),"00")</f>
        <v>2026-09</v>
      </c>
    </row>
    <row r="4460" spans="1:21" x14ac:dyDescent="0.25">
      <c r="A4460">
        <v>46266</v>
      </c>
      <c r="B4460" t="s">
        <v>140</v>
      </c>
      <c r="C4460" t="s">
        <v>40</v>
      </c>
      <c r="D4460" t="s">
        <v>41</v>
      </c>
      <c r="E4460" t="s">
        <v>42</v>
      </c>
      <c r="F4460" t="s">
        <v>43</v>
      </c>
      <c r="G4460" t="s">
        <v>44</v>
      </c>
      <c r="H4460" t="s">
        <v>36</v>
      </c>
      <c r="I4460" t="s">
        <v>28</v>
      </c>
      <c r="J4460" t="s">
        <v>38</v>
      </c>
      <c r="K4460">
        <v>1544</v>
      </c>
      <c r="L4460">
        <v>12</v>
      </c>
      <c r="M4460">
        <v>77.010000000000005</v>
      </c>
      <c r="N4460">
        <v>2</v>
      </c>
      <c r="O4460">
        <v>35.119999999999997</v>
      </c>
      <c r="P4460">
        <f t="shared" si="276"/>
        <v>7.7720207253886009E-3</v>
      </c>
      <c r="Q4460">
        <f t="shared" si="276"/>
        <v>6.4175000000000004</v>
      </c>
      <c r="R4460">
        <f t="shared" si="277"/>
        <v>38.505000000000003</v>
      </c>
      <c r="S4460">
        <f t="shared" si="278"/>
        <v>0.45604466952343847</v>
      </c>
      <c r="T4460">
        <f t="shared" si="279"/>
        <v>0.16666666666666666</v>
      </c>
      <c r="U4460" t="str">
        <f>YEAR('Campaign Data'!$A4460)&amp;"-"&amp;TEXT(MONTH('Campaign Data'!$A4460),"00")</f>
        <v>2026-09</v>
      </c>
    </row>
    <row r="4461" spans="1:21" x14ac:dyDescent="0.25">
      <c r="A4461">
        <v>46266</v>
      </c>
      <c r="B4461" t="s">
        <v>155</v>
      </c>
      <c r="C4461" t="s">
        <v>156</v>
      </c>
      <c r="D4461" t="s">
        <v>32</v>
      </c>
      <c r="E4461" t="s">
        <v>24</v>
      </c>
      <c r="F4461" t="s">
        <v>34</v>
      </c>
      <c r="G4461" t="s">
        <v>129</v>
      </c>
      <c r="H4461" t="s">
        <v>27</v>
      </c>
      <c r="I4461" t="s">
        <v>37</v>
      </c>
      <c r="J4461" t="s">
        <v>62</v>
      </c>
      <c r="K4461">
        <v>15321</v>
      </c>
      <c r="L4461">
        <v>256</v>
      </c>
      <c r="M4461">
        <v>304.94</v>
      </c>
      <c r="N4461">
        <v>7</v>
      </c>
      <c r="O4461">
        <v>1675.31</v>
      </c>
      <c r="P4461">
        <f t="shared" si="276"/>
        <v>1.6709092095816201E-2</v>
      </c>
      <c r="Q4461">
        <f t="shared" si="276"/>
        <v>1.191171875</v>
      </c>
      <c r="R4461">
        <f t="shared" si="277"/>
        <v>43.562857142857141</v>
      </c>
      <c r="S4461">
        <f t="shared" si="278"/>
        <v>5.4939004394307078</v>
      </c>
      <c r="T4461">
        <f t="shared" si="279"/>
        <v>2.734375E-2</v>
      </c>
      <c r="U4461" t="str">
        <f>YEAR('Campaign Data'!$A4461)&amp;"-"&amp;TEXT(MONTH('Campaign Data'!$A4461),"00")</f>
        <v>2026-09</v>
      </c>
    </row>
    <row r="4462" spans="1:21" x14ac:dyDescent="0.25">
      <c r="A4462">
        <v>46266</v>
      </c>
      <c r="B4462" t="s">
        <v>56</v>
      </c>
      <c r="C4462" t="s">
        <v>57</v>
      </c>
      <c r="D4462" t="s">
        <v>58</v>
      </c>
      <c r="E4462" t="s">
        <v>33</v>
      </c>
      <c r="F4462" t="s">
        <v>43</v>
      </c>
      <c r="G4462" t="s">
        <v>59</v>
      </c>
      <c r="H4462" t="s">
        <v>90</v>
      </c>
      <c r="I4462" t="s">
        <v>37</v>
      </c>
      <c r="J4462" t="s">
        <v>38</v>
      </c>
      <c r="K4462">
        <v>2001</v>
      </c>
      <c r="L4462">
        <v>15</v>
      </c>
      <c r="M4462">
        <v>2.92</v>
      </c>
      <c r="N4462">
        <v>0</v>
      </c>
      <c r="O4462">
        <v>0</v>
      </c>
      <c r="P4462">
        <f t="shared" si="276"/>
        <v>7.4962518740629685E-3</v>
      </c>
      <c r="Q4462">
        <f t="shared" si="276"/>
        <v>0.19466666666666665</v>
      </c>
      <c r="R4462">
        <f t="shared" si="277"/>
        <v>0</v>
      </c>
      <c r="S4462">
        <f t="shared" si="278"/>
        <v>0</v>
      </c>
      <c r="T4462">
        <f t="shared" si="279"/>
        <v>0</v>
      </c>
      <c r="U4462" t="str">
        <f>YEAR('Campaign Data'!$A4462)&amp;"-"&amp;TEXT(MONTH('Campaign Data'!$A4462),"00")</f>
        <v>2026-09</v>
      </c>
    </row>
    <row r="4463" spans="1:21" x14ac:dyDescent="0.25">
      <c r="A4463">
        <v>46266</v>
      </c>
      <c r="B4463" t="s">
        <v>118</v>
      </c>
      <c r="C4463" t="s">
        <v>119</v>
      </c>
      <c r="D4463" t="s">
        <v>69</v>
      </c>
      <c r="E4463" t="s">
        <v>33</v>
      </c>
      <c r="F4463" t="s">
        <v>34</v>
      </c>
      <c r="G4463" t="s">
        <v>35</v>
      </c>
      <c r="H4463" t="s">
        <v>27</v>
      </c>
      <c r="I4463" t="s">
        <v>37</v>
      </c>
      <c r="J4463" t="s">
        <v>45</v>
      </c>
      <c r="K4463">
        <v>1074</v>
      </c>
      <c r="L4463">
        <v>5</v>
      </c>
      <c r="M4463">
        <v>3.6</v>
      </c>
      <c r="N4463">
        <v>0</v>
      </c>
      <c r="O4463">
        <v>0</v>
      </c>
      <c r="P4463">
        <f t="shared" si="276"/>
        <v>4.6554934823091251E-3</v>
      </c>
      <c r="Q4463">
        <f t="shared" si="276"/>
        <v>0.72</v>
      </c>
      <c r="R4463">
        <f t="shared" si="277"/>
        <v>0</v>
      </c>
      <c r="S4463">
        <f t="shared" si="278"/>
        <v>0</v>
      </c>
      <c r="T4463">
        <f t="shared" si="279"/>
        <v>0</v>
      </c>
      <c r="U4463" t="str">
        <f>YEAR('Campaign Data'!$A4463)&amp;"-"&amp;TEXT(MONTH('Campaign Data'!$A4463),"00")</f>
        <v>2026-09</v>
      </c>
    </row>
    <row r="4464" spans="1:21" x14ac:dyDescent="0.25">
      <c r="A4464">
        <v>46266</v>
      </c>
      <c r="B4464" t="s">
        <v>120</v>
      </c>
      <c r="C4464" t="s">
        <v>121</v>
      </c>
      <c r="D4464" t="s">
        <v>23</v>
      </c>
      <c r="E4464" t="s">
        <v>49</v>
      </c>
      <c r="F4464" t="s">
        <v>75</v>
      </c>
      <c r="G4464" t="s">
        <v>70</v>
      </c>
      <c r="H4464" t="s">
        <v>55</v>
      </c>
      <c r="I4464" t="s">
        <v>37</v>
      </c>
      <c r="J4464" t="s">
        <v>45</v>
      </c>
      <c r="K4464">
        <v>1150</v>
      </c>
      <c r="L4464">
        <v>26</v>
      </c>
      <c r="M4464">
        <v>43.18</v>
      </c>
      <c r="N4464">
        <v>3</v>
      </c>
      <c r="O4464">
        <v>51.72</v>
      </c>
      <c r="P4464">
        <f t="shared" si="276"/>
        <v>2.2608695652173914E-2</v>
      </c>
      <c r="Q4464">
        <f t="shared" si="276"/>
        <v>1.6607692307692308</v>
      </c>
      <c r="R4464">
        <f t="shared" si="277"/>
        <v>14.393333333333333</v>
      </c>
      <c r="S4464">
        <f t="shared" si="278"/>
        <v>1.1977767484946735</v>
      </c>
      <c r="T4464">
        <f t="shared" si="279"/>
        <v>0.11538461538461539</v>
      </c>
      <c r="U4464" t="str">
        <f>YEAR('Campaign Data'!$A4464)&amp;"-"&amp;TEXT(MONTH('Campaign Data'!$A4464),"00")</f>
        <v>2026-09</v>
      </c>
    </row>
    <row r="4465" spans="1:21" x14ac:dyDescent="0.25">
      <c r="A4465">
        <v>46267</v>
      </c>
      <c r="B4465" t="s">
        <v>165</v>
      </c>
      <c r="C4465" t="s">
        <v>166</v>
      </c>
      <c r="D4465" t="s">
        <v>41</v>
      </c>
      <c r="E4465" t="s">
        <v>33</v>
      </c>
      <c r="F4465" t="s">
        <v>43</v>
      </c>
      <c r="G4465" t="s">
        <v>59</v>
      </c>
      <c r="H4465" t="s">
        <v>36</v>
      </c>
      <c r="I4465" t="s">
        <v>28</v>
      </c>
      <c r="J4465" t="s">
        <v>45</v>
      </c>
      <c r="K4465">
        <v>2131</v>
      </c>
      <c r="L4465">
        <v>6</v>
      </c>
      <c r="M4465">
        <v>3.04</v>
      </c>
      <c r="N4465">
        <v>0</v>
      </c>
      <c r="O4465">
        <v>0</v>
      </c>
      <c r="P4465">
        <f t="shared" si="276"/>
        <v>2.8155795401220087E-3</v>
      </c>
      <c r="Q4465">
        <f t="shared" si="276"/>
        <v>0.50666666666666671</v>
      </c>
      <c r="R4465">
        <f t="shared" si="277"/>
        <v>0</v>
      </c>
      <c r="S4465">
        <f t="shared" si="278"/>
        <v>0</v>
      </c>
      <c r="T4465">
        <f t="shared" si="279"/>
        <v>0</v>
      </c>
      <c r="U4465" t="str">
        <f>YEAR('Campaign Data'!$A4465)&amp;"-"&amp;TEXT(MONTH('Campaign Data'!$A4465),"00")</f>
        <v>2026-09</v>
      </c>
    </row>
    <row r="4466" spans="1:21" x14ac:dyDescent="0.25">
      <c r="A4466">
        <v>46267</v>
      </c>
      <c r="B4466" t="s">
        <v>165</v>
      </c>
      <c r="C4466" t="s">
        <v>166</v>
      </c>
      <c r="D4466" t="s">
        <v>41</v>
      </c>
      <c r="E4466" t="s">
        <v>33</v>
      </c>
      <c r="F4466" t="s">
        <v>43</v>
      </c>
      <c r="G4466" t="s">
        <v>59</v>
      </c>
      <c r="H4466" t="s">
        <v>71</v>
      </c>
      <c r="I4466" t="s">
        <v>28</v>
      </c>
      <c r="J4466" t="s">
        <v>38</v>
      </c>
      <c r="K4466">
        <v>9334</v>
      </c>
      <c r="L4466">
        <v>54</v>
      </c>
      <c r="M4466">
        <v>33.08</v>
      </c>
      <c r="N4466">
        <v>0</v>
      </c>
      <c r="O4466">
        <v>0</v>
      </c>
      <c r="P4466">
        <f t="shared" si="276"/>
        <v>5.7853010499250056E-3</v>
      </c>
      <c r="Q4466">
        <f t="shared" si="276"/>
        <v>0.61259259259259258</v>
      </c>
      <c r="R4466">
        <f t="shared" si="277"/>
        <v>0</v>
      </c>
      <c r="S4466">
        <f t="shared" si="278"/>
        <v>0</v>
      </c>
      <c r="T4466">
        <f t="shared" si="279"/>
        <v>0</v>
      </c>
      <c r="U4466" t="str">
        <f>YEAR('Campaign Data'!$A4466)&amp;"-"&amp;TEXT(MONTH('Campaign Data'!$A4466),"00")</f>
        <v>2026-09</v>
      </c>
    </row>
    <row r="4467" spans="1:21" x14ac:dyDescent="0.25">
      <c r="A4467">
        <v>46267</v>
      </c>
      <c r="B4467" t="s">
        <v>175</v>
      </c>
      <c r="C4467" t="s">
        <v>176</v>
      </c>
      <c r="D4467" t="s">
        <v>65</v>
      </c>
      <c r="E4467" t="s">
        <v>49</v>
      </c>
      <c r="F4467" t="s">
        <v>75</v>
      </c>
      <c r="G4467" t="s">
        <v>70</v>
      </c>
      <c r="H4467" t="s">
        <v>90</v>
      </c>
      <c r="I4467" t="s">
        <v>28</v>
      </c>
      <c r="J4467" t="s">
        <v>87</v>
      </c>
      <c r="K4467">
        <v>2725</v>
      </c>
      <c r="L4467">
        <v>115</v>
      </c>
      <c r="M4467">
        <v>45.77</v>
      </c>
      <c r="N4467">
        <v>9</v>
      </c>
      <c r="O4467">
        <v>93.14</v>
      </c>
      <c r="P4467">
        <f t="shared" si="276"/>
        <v>4.2201834862385323E-2</v>
      </c>
      <c r="Q4467">
        <f t="shared" si="276"/>
        <v>0.39800000000000002</v>
      </c>
      <c r="R4467">
        <f t="shared" si="277"/>
        <v>5.0855555555555556</v>
      </c>
      <c r="S4467">
        <f t="shared" si="278"/>
        <v>2.0349573956740223</v>
      </c>
      <c r="T4467">
        <f t="shared" si="279"/>
        <v>7.8260869565217397E-2</v>
      </c>
      <c r="U4467" t="str">
        <f>YEAR('Campaign Data'!$A4467)&amp;"-"&amp;TEXT(MONTH('Campaign Data'!$A4467),"00")</f>
        <v>2026-09</v>
      </c>
    </row>
    <row r="4468" spans="1:21" x14ac:dyDescent="0.25">
      <c r="A4468">
        <v>46267</v>
      </c>
      <c r="B4468" t="s">
        <v>175</v>
      </c>
      <c r="C4468" t="s">
        <v>176</v>
      </c>
      <c r="D4468" t="s">
        <v>65</v>
      </c>
      <c r="E4468" t="s">
        <v>49</v>
      </c>
      <c r="F4468" t="s">
        <v>75</v>
      </c>
      <c r="G4468" t="s">
        <v>70</v>
      </c>
      <c r="H4468" t="s">
        <v>27</v>
      </c>
      <c r="I4468" t="s">
        <v>28</v>
      </c>
      <c r="J4468" t="s">
        <v>87</v>
      </c>
      <c r="K4468">
        <v>1629</v>
      </c>
      <c r="L4468">
        <v>68</v>
      </c>
      <c r="M4468">
        <v>110.32</v>
      </c>
      <c r="N4468">
        <v>4</v>
      </c>
      <c r="O4468">
        <v>260</v>
      </c>
      <c r="P4468">
        <f t="shared" si="276"/>
        <v>4.1743400859422956E-2</v>
      </c>
      <c r="Q4468">
        <f t="shared" si="276"/>
        <v>1.6223529411764706</v>
      </c>
      <c r="R4468">
        <f t="shared" si="277"/>
        <v>27.58</v>
      </c>
      <c r="S4468">
        <f t="shared" si="278"/>
        <v>2.3567802755620018</v>
      </c>
      <c r="T4468">
        <f t="shared" si="279"/>
        <v>5.8823529411764705E-2</v>
      </c>
      <c r="U4468" t="str">
        <f>YEAR('Campaign Data'!$A4468)&amp;"-"&amp;TEXT(MONTH('Campaign Data'!$A4468),"00")</f>
        <v>2026-09</v>
      </c>
    </row>
    <row r="4469" spans="1:21" x14ac:dyDescent="0.25">
      <c r="A4469">
        <v>46267</v>
      </c>
      <c r="B4469" t="s">
        <v>21</v>
      </c>
      <c r="C4469" t="s">
        <v>124</v>
      </c>
      <c r="D4469" t="s">
        <v>23</v>
      </c>
      <c r="E4469" t="s">
        <v>24</v>
      </c>
      <c r="F4469" t="s">
        <v>25</v>
      </c>
      <c r="G4469" t="s">
        <v>26</v>
      </c>
      <c r="H4469" t="s">
        <v>36</v>
      </c>
      <c r="I4469" t="s">
        <v>28</v>
      </c>
      <c r="J4469" t="s">
        <v>87</v>
      </c>
      <c r="K4469">
        <v>8797</v>
      </c>
      <c r="L4469">
        <v>115</v>
      </c>
      <c r="M4469">
        <v>88.93</v>
      </c>
      <c r="N4469">
        <v>2</v>
      </c>
      <c r="O4469">
        <v>254.07</v>
      </c>
      <c r="P4469">
        <f t="shared" si="276"/>
        <v>1.3072638399454359E-2</v>
      </c>
      <c r="Q4469">
        <f t="shared" si="276"/>
        <v>0.77330434782608704</v>
      </c>
      <c r="R4469">
        <f t="shared" si="277"/>
        <v>44.465000000000003</v>
      </c>
      <c r="S4469">
        <f t="shared" si="278"/>
        <v>2.8569661531541657</v>
      </c>
      <c r="T4469">
        <f t="shared" si="279"/>
        <v>1.7391304347826087E-2</v>
      </c>
      <c r="U4469" t="str">
        <f>YEAR('Campaign Data'!$A4469)&amp;"-"&amp;TEXT(MONTH('Campaign Data'!$A4469),"00")</f>
        <v>2026-09</v>
      </c>
    </row>
    <row r="4470" spans="1:21" x14ac:dyDescent="0.25">
      <c r="A4470">
        <v>46267</v>
      </c>
      <c r="B4470" t="s">
        <v>93</v>
      </c>
      <c r="C4470" t="s">
        <v>94</v>
      </c>
      <c r="D4470" t="s">
        <v>69</v>
      </c>
      <c r="E4470" t="s">
        <v>42</v>
      </c>
      <c r="F4470" t="s">
        <v>75</v>
      </c>
      <c r="G4470" t="s">
        <v>44</v>
      </c>
      <c r="H4470" t="s">
        <v>55</v>
      </c>
      <c r="I4470" t="s">
        <v>28</v>
      </c>
      <c r="J4470" t="s">
        <v>87</v>
      </c>
      <c r="K4470">
        <v>2987</v>
      </c>
      <c r="L4470">
        <v>14</v>
      </c>
      <c r="M4470">
        <v>61.84</v>
      </c>
      <c r="N4470">
        <v>0</v>
      </c>
      <c r="O4470">
        <v>0</v>
      </c>
      <c r="P4470">
        <f t="shared" si="276"/>
        <v>4.6869768998995644E-3</v>
      </c>
      <c r="Q4470">
        <f t="shared" si="276"/>
        <v>4.4171428571428573</v>
      </c>
      <c r="R4470">
        <f t="shared" si="277"/>
        <v>0</v>
      </c>
      <c r="S4470">
        <f t="shared" si="278"/>
        <v>0</v>
      </c>
      <c r="T4470">
        <f t="shared" si="279"/>
        <v>0</v>
      </c>
      <c r="U4470" t="str">
        <f>YEAR('Campaign Data'!$A4470)&amp;"-"&amp;TEXT(MONTH('Campaign Data'!$A4470),"00")</f>
        <v>2026-09</v>
      </c>
    </row>
    <row r="4471" spans="1:21" x14ac:dyDescent="0.25">
      <c r="A4471">
        <v>46267</v>
      </c>
      <c r="B4471" t="s">
        <v>30</v>
      </c>
      <c r="C4471" t="s">
        <v>31</v>
      </c>
      <c r="D4471" t="s">
        <v>32</v>
      </c>
      <c r="E4471" t="s">
        <v>33</v>
      </c>
      <c r="F4471" t="s">
        <v>34</v>
      </c>
      <c r="G4471" t="s">
        <v>35</v>
      </c>
      <c r="H4471" t="s">
        <v>60</v>
      </c>
      <c r="I4471" t="s">
        <v>37</v>
      </c>
      <c r="J4471" t="s">
        <v>29</v>
      </c>
      <c r="K4471">
        <v>4611</v>
      </c>
      <c r="L4471">
        <v>35</v>
      </c>
      <c r="M4471">
        <v>20.67</v>
      </c>
      <c r="N4471">
        <v>0</v>
      </c>
      <c r="O4471">
        <v>0</v>
      </c>
      <c r="P4471">
        <f t="shared" si="276"/>
        <v>7.5905443504662761E-3</v>
      </c>
      <c r="Q4471">
        <f t="shared" si="276"/>
        <v>0.59057142857142864</v>
      </c>
      <c r="R4471">
        <f t="shared" si="277"/>
        <v>0</v>
      </c>
      <c r="S4471">
        <f t="shared" si="278"/>
        <v>0</v>
      </c>
      <c r="T4471">
        <f t="shared" si="279"/>
        <v>0</v>
      </c>
      <c r="U4471" t="str">
        <f>YEAR('Campaign Data'!$A4471)&amp;"-"&amp;TEXT(MONTH('Campaign Data'!$A4471),"00")</f>
        <v>2026-09</v>
      </c>
    </row>
    <row r="4472" spans="1:21" x14ac:dyDescent="0.25">
      <c r="A4472">
        <v>46267</v>
      </c>
      <c r="B4472" t="s">
        <v>39</v>
      </c>
      <c r="C4472" t="s">
        <v>40</v>
      </c>
      <c r="D4472" t="s">
        <v>41</v>
      </c>
      <c r="E4472" t="s">
        <v>42</v>
      </c>
      <c r="F4472" t="s">
        <v>43</v>
      </c>
      <c r="G4472" t="s">
        <v>44</v>
      </c>
      <c r="H4472" t="s">
        <v>51</v>
      </c>
      <c r="I4472" t="s">
        <v>37</v>
      </c>
      <c r="J4472" t="s">
        <v>29</v>
      </c>
      <c r="K4472">
        <v>6426</v>
      </c>
      <c r="L4472">
        <v>27</v>
      </c>
      <c r="M4472">
        <v>174.07</v>
      </c>
      <c r="N4472">
        <v>1</v>
      </c>
      <c r="O4472">
        <v>29.07</v>
      </c>
      <c r="P4472">
        <f t="shared" si="276"/>
        <v>4.2016806722689074E-3</v>
      </c>
      <c r="Q4472">
        <f t="shared" si="276"/>
        <v>6.4470370370370365</v>
      </c>
      <c r="R4472">
        <f t="shared" si="277"/>
        <v>174.07</v>
      </c>
      <c r="S4472">
        <f t="shared" si="278"/>
        <v>0.16700178089274431</v>
      </c>
      <c r="T4472">
        <f t="shared" si="279"/>
        <v>3.7037037037037035E-2</v>
      </c>
      <c r="U4472" t="str">
        <f>YEAR('Campaign Data'!$A4472)&amp;"-"&amp;TEXT(MONTH('Campaign Data'!$A4472),"00")</f>
        <v>2026-09</v>
      </c>
    </row>
    <row r="4473" spans="1:21" x14ac:dyDescent="0.25">
      <c r="A4473">
        <v>46267</v>
      </c>
      <c r="B4473" t="s">
        <v>46</v>
      </c>
      <c r="C4473" t="s">
        <v>47</v>
      </c>
      <c r="D4473" t="s">
        <v>48</v>
      </c>
      <c r="E4473" t="s">
        <v>49</v>
      </c>
      <c r="F4473" t="s">
        <v>43</v>
      </c>
      <c r="G4473" t="s">
        <v>50</v>
      </c>
      <c r="H4473" t="s">
        <v>51</v>
      </c>
      <c r="I4473" t="s">
        <v>37</v>
      </c>
      <c r="J4473" t="s">
        <v>62</v>
      </c>
      <c r="K4473">
        <v>10658</v>
      </c>
      <c r="L4473">
        <v>416</v>
      </c>
      <c r="M4473">
        <v>775.43</v>
      </c>
      <c r="N4473">
        <v>31</v>
      </c>
      <c r="O4473">
        <v>816.66</v>
      </c>
      <c r="P4473">
        <f t="shared" si="276"/>
        <v>3.9031713267029464E-2</v>
      </c>
      <c r="Q4473">
        <f t="shared" si="276"/>
        <v>1.8640144230769229</v>
      </c>
      <c r="R4473">
        <f t="shared" si="277"/>
        <v>25.013870967741934</v>
      </c>
      <c r="S4473">
        <f t="shared" si="278"/>
        <v>1.0531704989489703</v>
      </c>
      <c r="T4473">
        <f t="shared" si="279"/>
        <v>7.4519230769230768E-2</v>
      </c>
      <c r="U4473" t="str">
        <f>YEAR('Campaign Data'!$A4473)&amp;"-"&amp;TEXT(MONTH('Campaign Data'!$A4473),"00")</f>
        <v>2026-09</v>
      </c>
    </row>
    <row r="4474" spans="1:21" x14ac:dyDescent="0.25">
      <c r="A4474">
        <v>46267</v>
      </c>
      <c r="B4474" t="s">
        <v>52</v>
      </c>
      <c r="C4474" t="s">
        <v>53</v>
      </c>
      <c r="D4474" t="s">
        <v>32</v>
      </c>
      <c r="E4474" t="s">
        <v>42</v>
      </c>
      <c r="F4474" t="s">
        <v>25</v>
      </c>
      <c r="G4474" t="s">
        <v>54</v>
      </c>
      <c r="H4474" t="s">
        <v>71</v>
      </c>
      <c r="I4474" t="s">
        <v>37</v>
      </c>
      <c r="J4474" t="s">
        <v>62</v>
      </c>
      <c r="K4474">
        <v>6241</v>
      </c>
      <c r="L4474">
        <v>31</v>
      </c>
      <c r="M4474">
        <v>112.8</v>
      </c>
      <c r="N4474">
        <v>1</v>
      </c>
      <c r="O4474">
        <v>154.19</v>
      </c>
      <c r="P4474">
        <f t="shared" si="276"/>
        <v>4.9671526998878385E-3</v>
      </c>
      <c r="Q4474">
        <f t="shared" si="276"/>
        <v>3.6387096774193548</v>
      </c>
      <c r="R4474">
        <f t="shared" si="277"/>
        <v>112.8</v>
      </c>
      <c r="S4474">
        <f t="shared" si="278"/>
        <v>1.3669326241134752</v>
      </c>
      <c r="T4474">
        <f t="shared" si="279"/>
        <v>3.2258064516129031E-2</v>
      </c>
      <c r="U4474" t="str">
        <f>YEAR('Campaign Data'!$A4474)&amp;"-"&amp;TEXT(MONTH('Campaign Data'!$A4474),"00")</f>
        <v>2026-09</v>
      </c>
    </row>
    <row r="4475" spans="1:21" x14ac:dyDescent="0.25">
      <c r="A4475">
        <v>46267</v>
      </c>
      <c r="B4475" t="s">
        <v>130</v>
      </c>
      <c r="C4475" t="s">
        <v>131</v>
      </c>
      <c r="D4475" t="s">
        <v>48</v>
      </c>
      <c r="E4475" t="s">
        <v>33</v>
      </c>
      <c r="F4475" t="s">
        <v>34</v>
      </c>
      <c r="G4475" t="s">
        <v>35</v>
      </c>
      <c r="H4475" t="s">
        <v>27</v>
      </c>
      <c r="I4475" t="s">
        <v>28</v>
      </c>
      <c r="J4475" t="s">
        <v>38</v>
      </c>
      <c r="K4475">
        <v>7959</v>
      </c>
      <c r="L4475">
        <v>73</v>
      </c>
      <c r="M4475">
        <v>68.989999999999995</v>
      </c>
      <c r="N4475">
        <v>2</v>
      </c>
      <c r="O4475">
        <v>282.83999999999997</v>
      </c>
      <c r="P4475">
        <f t="shared" si="276"/>
        <v>9.1720065334841058E-3</v>
      </c>
      <c r="Q4475">
        <f t="shared" si="276"/>
        <v>0.94506849315068486</v>
      </c>
      <c r="R4475">
        <f t="shared" si="277"/>
        <v>34.494999999999997</v>
      </c>
      <c r="S4475">
        <f t="shared" si="278"/>
        <v>4.0997245977677927</v>
      </c>
      <c r="T4475">
        <f t="shared" si="279"/>
        <v>2.7397260273972601E-2</v>
      </c>
      <c r="U4475" t="str">
        <f>YEAR('Campaign Data'!$A4475)&amp;"-"&amp;TEXT(MONTH('Campaign Data'!$A4475),"00")</f>
        <v>2026-09</v>
      </c>
    </row>
    <row r="4476" spans="1:21" x14ac:dyDescent="0.25">
      <c r="A4476">
        <v>46267</v>
      </c>
      <c r="B4476" t="s">
        <v>177</v>
      </c>
      <c r="C4476" t="s">
        <v>178</v>
      </c>
      <c r="D4476" t="s">
        <v>41</v>
      </c>
      <c r="E4476" t="s">
        <v>49</v>
      </c>
      <c r="F4476" t="s">
        <v>34</v>
      </c>
      <c r="G4476" t="s">
        <v>107</v>
      </c>
      <c r="H4476" t="s">
        <v>51</v>
      </c>
      <c r="I4476" t="s">
        <v>37</v>
      </c>
      <c r="J4476" t="s">
        <v>45</v>
      </c>
      <c r="K4476">
        <v>3036</v>
      </c>
      <c r="L4476">
        <v>162</v>
      </c>
      <c r="M4476">
        <v>251.39</v>
      </c>
      <c r="N4476">
        <v>10</v>
      </c>
      <c r="O4476">
        <v>1882.25</v>
      </c>
      <c r="P4476">
        <f t="shared" si="276"/>
        <v>5.33596837944664E-2</v>
      </c>
      <c r="Q4476">
        <f t="shared" si="276"/>
        <v>1.5517901234567901</v>
      </c>
      <c r="R4476">
        <f t="shared" si="277"/>
        <v>25.138999999999999</v>
      </c>
      <c r="S4476">
        <f t="shared" si="278"/>
        <v>7.4873702215680815</v>
      </c>
      <c r="T4476">
        <f t="shared" si="279"/>
        <v>6.1728395061728392E-2</v>
      </c>
      <c r="U4476" t="str">
        <f>YEAR('Campaign Data'!$A4476)&amp;"-"&amp;TEXT(MONTH('Campaign Data'!$A4476),"00")</f>
        <v>2026-09</v>
      </c>
    </row>
    <row r="4477" spans="1:21" x14ac:dyDescent="0.25">
      <c r="A4477">
        <v>46267</v>
      </c>
      <c r="B4477" t="s">
        <v>153</v>
      </c>
      <c r="C4477" t="s">
        <v>154</v>
      </c>
      <c r="D4477" t="s">
        <v>48</v>
      </c>
      <c r="E4477" t="s">
        <v>33</v>
      </c>
      <c r="F4477" t="s">
        <v>43</v>
      </c>
      <c r="G4477" t="s">
        <v>59</v>
      </c>
      <c r="H4477" t="s">
        <v>27</v>
      </c>
      <c r="I4477" t="s">
        <v>61</v>
      </c>
      <c r="J4477" t="s">
        <v>62</v>
      </c>
      <c r="K4477">
        <v>1565</v>
      </c>
      <c r="L4477">
        <v>13</v>
      </c>
      <c r="M4477">
        <v>9.99</v>
      </c>
      <c r="N4477">
        <v>1</v>
      </c>
      <c r="O4477">
        <v>34.15</v>
      </c>
      <c r="P4477">
        <f t="shared" si="276"/>
        <v>8.3067092651757189E-3</v>
      </c>
      <c r="Q4477">
        <f t="shared" si="276"/>
        <v>0.76846153846153853</v>
      </c>
      <c r="R4477">
        <f t="shared" si="277"/>
        <v>9.99</v>
      </c>
      <c r="S4477">
        <f t="shared" si="278"/>
        <v>3.4184184184184181</v>
      </c>
      <c r="T4477">
        <f t="shared" si="279"/>
        <v>7.6923076923076927E-2</v>
      </c>
      <c r="U4477" t="str">
        <f>YEAR('Campaign Data'!$A4477)&amp;"-"&amp;TEXT(MONTH('Campaign Data'!$A4477),"00")</f>
        <v>2026-09</v>
      </c>
    </row>
    <row r="4478" spans="1:21" x14ac:dyDescent="0.25">
      <c r="A4478">
        <v>46267</v>
      </c>
      <c r="B4478" t="s">
        <v>179</v>
      </c>
      <c r="C4478" t="s">
        <v>180</v>
      </c>
      <c r="D4478" t="s">
        <v>58</v>
      </c>
      <c r="E4478" t="s">
        <v>42</v>
      </c>
      <c r="F4478" t="s">
        <v>25</v>
      </c>
      <c r="G4478" t="s">
        <v>54</v>
      </c>
      <c r="H4478" t="s">
        <v>27</v>
      </c>
      <c r="I4478" t="s">
        <v>37</v>
      </c>
      <c r="J4478" t="s">
        <v>87</v>
      </c>
      <c r="K4478">
        <v>1176</v>
      </c>
      <c r="L4478">
        <v>5</v>
      </c>
      <c r="M4478">
        <v>36.86</v>
      </c>
      <c r="N4478">
        <v>1</v>
      </c>
      <c r="O4478">
        <v>248.68</v>
      </c>
      <c r="P4478">
        <f t="shared" si="276"/>
        <v>4.2517006802721092E-3</v>
      </c>
      <c r="Q4478">
        <f t="shared" si="276"/>
        <v>7.3719999999999999</v>
      </c>
      <c r="R4478">
        <f t="shared" si="277"/>
        <v>36.86</v>
      </c>
      <c r="S4478">
        <f t="shared" si="278"/>
        <v>6.7466087900162783</v>
      </c>
      <c r="T4478">
        <f t="shared" si="279"/>
        <v>0.2</v>
      </c>
      <c r="U4478" t="str">
        <f>YEAR('Campaign Data'!$A4478)&amp;"-"&amp;TEXT(MONTH('Campaign Data'!$A4478),"00")</f>
        <v>2026-09</v>
      </c>
    </row>
    <row r="4479" spans="1:21" x14ac:dyDescent="0.25">
      <c r="A4479">
        <v>46267</v>
      </c>
      <c r="B4479" t="s">
        <v>134</v>
      </c>
      <c r="C4479" t="s">
        <v>135</v>
      </c>
      <c r="D4479" t="s">
        <v>32</v>
      </c>
      <c r="E4479" t="s">
        <v>74</v>
      </c>
      <c r="F4479" t="s">
        <v>25</v>
      </c>
      <c r="G4479" t="s">
        <v>107</v>
      </c>
      <c r="H4479" t="s">
        <v>90</v>
      </c>
      <c r="I4479" t="s">
        <v>37</v>
      </c>
      <c r="J4479" t="s">
        <v>29</v>
      </c>
      <c r="K4479">
        <v>8497</v>
      </c>
      <c r="L4479">
        <v>390</v>
      </c>
      <c r="M4479">
        <v>153.81</v>
      </c>
      <c r="N4479">
        <v>15</v>
      </c>
      <c r="O4479">
        <v>392.79</v>
      </c>
      <c r="P4479">
        <f t="shared" si="276"/>
        <v>4.589855243026951E-2</v>
      </c>
      <c r="Q4479">
        <f t="shared" si="276"/>
        <v>0.39438461538461539</v>
      </c>
      <c r="R4479">
        <f t="shared" si="277"/>
        <v>10.254</v>
      </c>
      <c r="S4479">
        <f t="shared" si="278"/>
        <v>2.5537351277550226</v>
      </c>
      <c r="T4479">
        <f t="shared" si="279"/>
        <v>3.8461538461538464E-2</v>
      </c>
      <c r="U4479" t="str">
        <f>YEAR('Campaign Data'!$A4479)&amp;"-"&amp;TEXT(MONTH('Campaign Data'!$A4479),"00")</f>
        <v>2026-09</v>
      </c>
    </row>
    <row r="4480" spans="1:21" x14ac:dyDescent="0.25">
      <c r="A4480">
        <v>46267</v>
      </c>
      <c r="B4480" t="s">
        <v>157</v>
      </c>
      <c r="C4480" t="s">
        <v>158</v>
      </c>
      <c r="D4480" t="s">
        <v>58</v>
      </c>
      <c r="E4480" t="s">
        <v>49</v>
      </c>
      <c r="F4480" t="s">
        <v>81</v>
      </c>
      <c r="G4480" t="s">
        <v>50</v>
      </c>
      <c r="H4480" t="s">
        <v>51</v>
      </c>
      <c r="I4480" t="s">
        <v>37</v>
      </c>
      <c r="J4480" t="s">
        <v>29</v>
      </c>
      <c r="K4480">
        <v>4964</v>
      </c>
      <c r="L4480">
        <v>188</v>
      </c>
      <c r="M4480">
        <v>331.03</v>
      </c>
      <c r="N4480">
        <v>7</v>
      </c>
      <c r="O4480">
        <v>179.89</v>
      </c>
      <c r="P4480">
        <f t="shared" si="276"/>
        <v>3.7872683319903303E-2</v>
      </c>
      <c r="Q4480">
        <f t="shared" si="276"/>
        <v>1.7607978723404254</v>
      </c>
      <c r="R4480">
        <f t="shared" si="277"/>
        <v>47.29</v>
      </c>
      <c r="S4480">
        <f t="shared" si="278"/>
        <v>0.54342506721445183</v>
      </c>
      <c r="T4480">
        <f t="shared" si="279"/>
        <v>3.7234042553191488E-2</v>
      </c>
      <c r="U4480" t="str">
        <f>YEAR('Campaign Data'!$A4480)&amp;"-"&amp;TEXT(MONTH('Campaign Data'!$A4480),"00")</f>
        <v>2026-09</v>
      </c>
    </row>
    <row r="4481" spans="1:21" x14ac:dyDescent="0.25">
      <c r="A4481">
        <v>46267</v>
      </c>
      <c r="B4481" t="s">
        <v>161</v>
      </c>
      <c r="C4481" t="s">
        <v>162</v>
      </c>
      <c r="D4481" t="s">
        <v>48</v>
      </c>
      <c r="E4481" t="s">
        <v>74</v>
      </c>
      <c r="F4481" t="s">
        <v>34</v>
      </c>
      <c r="G4481" t="s">
        <v>107</v>
      </c>
      <c r="H4481" t="s">
        <v>51</v>
      </c>
      <c r="I4481" t="s">
        <v>37</v>
      </c>
      <c r="J4481" t="s">
        <v>38</v>
      </c>
      <c r="K4481">
        <v>2475</v>
      </c>
      <c r="L4481">
        <v>75</v>
      </c>
      <c r="M4481">
        <v>103.61</v>
      </c>
      <c r="N4481">
        <v>3</v>
      </c>
      <c r="O4481">
        <v>473.04</v>
      </c>
      <c r="P4481">
        <f t="shared" si="276"/>
        <v>3.0303030303030304E-2</v>
      </c>
      <c r="Q4481">
        <f t="shared" si="276"/>
        <v>1.3814666666666666</v>
      </c>
      <c r="R4481">
        <f t="shared" si="277"/>
        <v>34.536666666666669</v>
      </c>
      <c r="S4481">
        <f t="shared" si="278"/>
        <v>4.5655824727342926</v>
      </c>
      <c r="T4481">
        <f t="shared" si="279"/>
        <v>0.04</v>
      </c>
      <c r="U4481" t="str">
        <f>YEAR('Campaign Data'!$A4481)&amp;"-"&amp;TEXT(MONTH('Campaign Data'!$A4481),"00")</f>
        <v>2026-09</v>
      </c>
    </row>
    <row r="4482" spans="1:21" x14ac:dyDescent="0.25">
      <c r="A4482">
        <v>46267</v>
      </c>
      <c r="B4482" t="s">
        <v>114</v>
      </c>
      <c r="C4482" t="s">
        <v>115</v>
      </c>
      <c r="D4482" t="s">
        <v>69</v>
      </c>
      <c r="E4482" t="s">
        <v>49</v>
      </c>
      <c r="F4482" t="s">
        <v>25</v>
      </c>
      <c r="G4482" t="s">
        <v>107</v>
      </c>
      <c r="H4482" t="s">
        <v>55</v>
      </c>
      <c r="I4482" t="s">
        <v>28</v>
      </c>
      <c r="J4482" t="s">
        <v>87</v>
      </c>
      <c r="K4482">
        <v>12939</v>
      </c>
      <c r="L4482">
        <v>707</v>
      </c>
      <c r="M4482">
        <v>1064.78</v>
      </c>
      <c r="N4482">
        <v>41</v>
      </c>
      <c r="O4482">
        <v>2114.3000000000002</v>
      </c>
      <c r="P4482">
        <f t="shared" ref="P4482:Q4545" si="280">IF(K4482=0,0,L4482/K4482)</f>
        <v>5.464100780585826E-2</v>
      </c>
      <c r="Q4482">
        <f t="shared" si="280"/>
        <v>1.506053748231966</v>
      </c>
      <c r="R4482">
        <f t="shared" ref="R4482:R4545" si="281">IF(N4482=0,0,M4482/N4482)</f>
        <v>25.970243902439023</v>
      </c>
      <c r="S4482">
        <f t="shared" ref="S4482:S4545" si="282">IF(M4482=0,0,O4482/M4482)</f>
        <v>1.9856684009842411</v>
      </c>
      <c r="T4482">
        <f t="shared" ref="T4482:T4545" si="283">IF(L4482=0,0,N4482/L4482)</f>
        <v>5.7991513437057989E-2</v>
      </c>
      <c r="U4482" t="str">
        <f>YEAR('Campaign Data'!$A4482)&amp;"-"&amp;TEXT(MONTH('Campaign Data'!$A4482),"00")</f>
        <v>2026-09</v>
      </c>
    </row>
    <row r="4483" spans="1:21" x14ac:dyDescent="0.25">
      <c r="A4483">
        <v>46267</v>
      </c>
      <c r="B4483" t="s">
        <v>183</v>
      </c>
      <c r="C4483" t="s">
        <v>184</v>
      </c>
      <c r="D4483" t="s">
        <v>23</v>
      </c>
      <c r="E4483" t="s">
        <v>24</v>
      </c>
      <c r="F4483" t="s">
        <v>81</v>
      </c>
      <c r="G4483" t="s">
        <v>185</v>
      </c>
      <c r="H4483" t="s">
        <v>71</v>
      </c>
      <c r="I4483" t="s">
        <v>61</v>
      </c>
      <c r="J4483" t="s">
        <v>87</v>
      </c>
      <c r="K4483">
        <v>1499</v>
      </c>
      <c r="L4483">
        <v>20</v>
      </c>
      <c r="M4483">
        <v>20.47</v>
      </c>
      <c r="N4483">
        <v>1</v>
      </c>
      <c r="O4483">
        <v>5.57</v>
      </c>
      <c r="P4483">
        <f t="shared" si="280"/>
        <v>1.33422281521014E-2</v>
      </c>
      <c r="Q4483">
        <f t="shared" si="280"/>
        <v>1.0234999999999999</v>
      </c>
      <c r="R4483">
        <f t="shared" si="281"/>
        <v>20.47</v>
      </c>
      <c r="S4483">
        <f t="shared" si="282"/>
        <v>0.2721055202735711</v>
      </c>
      <c r="T4483">
        <f t="shared" si="283"/>
        <v>0.05</v>
      </c>
      <c r="U4483" t="str">
        <f>YEAR('Campaign Data'!$A4483)&amp;"-"&amp;TEXT(MONTH('Campaign Data'!$A4483),"00")</f>
        <v>2026-09</v>
      </c>
    </row>
    <row r="4484" spans="1:21" x14ac:dyDescent="0.25">
      <c r="A4484">
        <v>46267</v>
      </c>
      <c r="B4484" t="s">
        <v>183</v>
      </c>
      <c r="C4484" t="s">
        <v>184</v>
      </c>
      <c r="D4484" t="s">
        <v>23</v>
      </c>
      <c r="E4484" t="s">
        <v>24</v>
      </c>
      <c r="F4484" t="s">
        <v>81</v>
      </c>
      <c r="G4484" t="s">
        <v>185</v>
      </c>
      <c r="H4484" t="s">
        <v>90</v>
      </c>
      <c r="I4484" t="s">
        <v>28</v>
      </c>
      <c r="J4484" t="s">
        <v>87</v>
      </c>
      <c r="K4484">
        <v>1030</v>
      </c>
      <c r="L4484">
        <v>9</v>
      </c>
      <c r="M4484">
        <v>2.99</v>
      </c>
      <c r="N4484">
        <v>0</v>
      </c>
      <c r="O4484">
        <v>0</v>
      </c>
      <c r="P4484">
        <f t="shared" si="280"/>
        <v>8.7378640776699032E-3</v>
      </c>
      <c r="Q4484">
        <f t="shared" si="280"/>
        <v>0.33222222222222225</v>
      </c>
      <c r="R4484">
        <f t="shared" si="281"/>
        <v>0</v>
      </c>
      <c r="S4484">
        <f t="shared" si="282"/>
        <v>0</v>
      </c>
      <c r="T4484">
        <f t="shared" si="283"/>
        <v>0</v>
      </c>
      <c r="U4484" t="str">
        <f>YEAR('Campaign Data'!$A4484)&amp;"-"&amp;TEXT(MONTH('Campaign Data'!$A4484),"00")</f>
        <v>2026-09</v>
      </c>
    </row>
    <row r="4485" spans="1:21" x14ac:dyDescent="0.25">
      <c r="A4485">
        <v>46267</v>
      </c>
      <c r="B4485" t="s">
        <v>72</v>
      </c>
      <c r="C4485" t="s">
        <v>73</v>
      </c>
      <c r="D4485" t="s">
        <v>69</v>
      </c>
      <c r="E4485" t="s">
        <v>74</v>
      </c>
      <c r="F4485" t="s">
        <v>75</v>
      </c>
      <c r="G4485" t="s">
        <v>9</v>
      </c>
      <c r="H4485" t="s">
        <v>36</v>
      </c>
      <c r="I4485" t="s">
        <v>28</v>
      </c>
      <c r="J4485" t="s">
        <v>62</v>
      </c>
      <c r="K4485">
        <v>8950</v>
      </c>
      <c r="L4485">
        <v>424</v>
      </c>
      <c r="M4485">
        <v>418.87</v>
      </c>
      <c r="N4485">
        <v>15</v>
      </c>
      <c r="O4485">
        <v>776.72</v>
      </c>
      <c r="P4485">
        <f t="shared" si="280"/>
        <v>4.7374301675977656E-2</v>
      </c>
      <c r="Q4485">
        <f t="shared" si="280"/>
        <v>0.98790094339622647</v>
      </c>
      <c r="R4485">
        <f t="shared" si="281"/>
        <v>27.924666666666667</v>
      </c>
      <c r="S4485">
        <f t="shared" si="282"/>
        <v>1.8543223434478477</v>
      </c>
      <c r="T4485">
        <f t="shared" si="283"/>
        <v>3.5377358490566037E-2</v>
      </c>
      <c r="U4485" t="str">
        <f>YEAR('Campaign Data'!$A4485)&amp;"-"&amp;TEXT(MONTH('Campaign Data'!$A4485),"00")</f>
        <v>2026-09</v>
      </c>
    </row>
    <row r="4486" spans="1:21" x14ac:dyDescent="0.25">
      <c r="A4486">
        <v>46267</v>
      </c>
      <c r="B4486" t="s">
        <v>163</v>
      </c>
      <c r="C4486" t="s">
        <v>164</v>
      </c>
      <c r="D4486" t="s">
        <v>58</v>
      </c>
      <c r="E4486" t="s">
        <v>42</v>
      </c>
      <c r="F4486" t="s">
        <v>43</v>
      </c>
      <c r="G4486" t="s">
        <v>44</v>
      </c>
      <c r="H4486" t="s">
        <v>60</v>
      </c>
      <c r="I4486" t="s">
        <v>37</v>
      </c>
      <c r="J4486" t="s">
        <v>45</v>
      </c>
      <c r="K4486">
        <v>13242</v>
      </c>
      <c r="L4486">
        <v>92</v>
      </c>
      <c r="M4486">
        <v>324.42</v>
      </c>
      <c r="N4486">
        <v>1</v>
      </c>
      <c r="O4486">
        <v>18.920000000000002</v>
      </c>
      <c r="P4486">
        <f t="shared" si="280"/>
        <v>6.9475909983386193E-3</v>
      </c>
      <c r="Q4486">
        <f t="shared" si="280"/>
        <v>3.5263043478260871</v>
      </c>
      <c r="R4486">
        <f t="shared" si="281"/>
        <v>324.42</v>
      </c>
      <c r="S4486">
        <f t="shared" si="282"/>
        <v>5.8319462425251219E-2</v>
      </c>
      <c r="T4486">
        <f t="shared" si="283"/>
        <v>1.0869565217391304E-2</v>
      </c>
      <c r="U4486" t="str">
        <f>YEAR('Campaign Data'!$A4486)&amp;"-"&amp;TEXT(MONTH('Campaign Data'!$A4486),"00")</f>
        <v>2026-09</v>
      </c>
    </row>
    <row r="4487" spans="1:21" x14ac:dyDescent="0.25">
      <c r="A4487">
        <v>46267</v>
      </c>
      <c r="B4487" t="s">
        <v>122</v>
      </c>
      <c r="C4487" t="s">
        <v>123</v>
      </c>
      <c r="D4487" t="s">
        <v>41</v>
      </c>
      <c r="E4487" t="s">
        <v>33</v>
      </c>
      <c r="F4487" t="s">
        <v>75</v>
      </c>
      <c r="G4487" t="s">
        <v>35</v>
      </c>
      <c r="H4487" t="s">
        <v>71</v>
      </c>
      <c r="I4487" t="s">
        <v>37</v>
      </c>
      <c r="J4487" t="s">
        <v>87</v>
      </c>
      <c r="K4487">
        <v>2902</v>
      </c>
      <c r="L4487">
        <v>21</v>
      </c>
      <c r="M4487">
        <v>10.29</v>
      </c>
      <c r="N4487">
        <v>0</v>
      </c>
      <c r="O4487">
        <v>0</v>
      </c>
      <c r="P4487">
        <f t="shared" si="280"/>
        <v>7.2363886974500342E-3</v>
      </c>
      <c r="Q4487">
        <f t="shared" si="280"/>
        <v>0.48999999999999994</v>
      </c>
      <c r="R4487">
        <f t="shared" si="281"/>
        <v>0</v>
      </c>
      <c r="S4487">
        <f t="shared" si="282"/>
        <v>0</v>
      </c>
      <c r="T4487">
        <f t="shared" si="283"/>
        <v>0</v>
      </c>
      <c r="U4487" t="str">
        <f>YEAR('Campaign Data'!$A4487)&amp;"-"&amp;TEXT(MONTH('Campaign Data'!$A4487),"00")</f>
        <v>2026-09</v>
      </c>
    </row>
    <row r="4488" spans="1:21" x14ac:dyDescent="0.25">
      <c r="A4488">
        <v>46268</v>
      </c>
      <c r="B4488" t="s">
        <v>165</v>
      </c>
      <c r="C4488" t="s">
        <v>166</v>
      </c>
      <c r="D4488" t="s">
        <v>41</v>
      </c>
      <c r="E4488" t="s">
        <v>33</v>
      </c>
      <c r="F4488" t="s">
        <v>43</v>
      </c>
      <c r="G4488" t="s">
        <v>59</v>
      </c>
      <c r="H4488" t="s">
        <v>55</v>
      </c>
      <c r="I4488" t="s">
        <v>37</v>
      </c>
      <c r="J4488" t="s">
        <v>38</v>
      </c>
      <c r="K4488">
        <v>15037</v>
      </c>
      <c r="L4488">
        <v>132</v>
      </c>
      <c r="M4488">
        <v>54.87</v>
      </c>
      <c r="N4488">
        <v>2</v>
      </c>
      <c r="O4488">
        <v>71.31</v>
      </c>
      <c r="P4488">
        <f t="shared" si="280"/>
        <v>8.778346744696415E-3</v>
      </c>
      <c r="Q4488">
        <f t="shared" si="280"/>
        <v>0.41568181818181815</v>
      </c>
      <c r="R4488">
        <f t="shared" si="281"/>
        <v>27.434999999999999</v>
      </c>
      <c r="S4488">
        <f t="shared" si="282"/>
        <v>1.2996172772006562</v>
      </c>
      <c r="T4488">
        <f t="shared" si="283"/>
        <v>1.5151515151515152E-2</v>
      </c>
      <c r="U4488" t="str">
        <f>YEAR('Campaign Data'!$A4488)&amp;"-"&amp;TEXT(MONTH('Campaign Data'!$A4488),"00")</f>
        <v>2026-09</v>
      </c>
    </row>
    <row r="4489" spans="1:21" x14ac:dyDescent="0.25">
      <c r="A4489">
        <v>46268</v>
      </c>
      <c r="B4489" t="s">
        <v>173</v>
      </c>
      <c r="C4489" t="s">
        <v>174</v>
      </c>
      <c r="D4489" t="s">
        <v>48</v>
      </c>
      <c r="E4489" t="s">
        <v>74</v>
      </c>
      <c r="F4489" t="s">
        <v>25</v>
      </c>
      <c r="G4489" t="s">
        <v>9</v>
      </c>
      <c r="H4489" t="s">
        <v>36</v>
      </c>
      <c r="I4489" t="s">
        <v>37</v>
      </c>
      <c r="J4489" t="s">
        <v>29</v>
      </c>
      <c r="K4489">
        <v>8689</v>
      </c>
      <c r="L4489">
        <v>344</v>
      </c>
      <c r="M4489">
        <v>317.61</v>
      </c>
      <c r="N4489">
        <v>7</v>
      </c>
      <c r="O4489">
        <v>1218.6300000000001</v>
      </c>
      <c r="P4489">
        <f t="shared" si="280"/>
        <v>3.9590286569225461E-2</v>
      </c>
      <c r="Q4489">
        <f t="shared" si="280"/>
        <v>0.92328488372093032</v>
      </c>
      <c r="R4489">
        <f t="shared" si="281"/>
        <v>45.372857142857143</v>
      </c>
      <c r="S4489">
        <f t="shared" si="282"/>
        <v>3.8368754132426561</v>
      </c>
      <c r="T4489">
        <f t="shared" si="283"/>
        <v>2.0348837209302327E-2</v>
      </c>
      <c r="U4489" t="str">
        <f>YEAR('Campaign Data'!$A4489)&amp;"-"&amp;TEXT(MONTH('Campaign Data'!$A4489),"00")</f>
        <v>2026-09</v>
      </c>
    </row>
    <row r="4490" spans="1:21" x14ac:dyDescent="0.25">
      <c r="A4490">
        <v>46268</v>
      </c>
      <c r="B4490" t="s">
        <v>173</v>
      </c>
      <c r="C4490" t="s">
        <v>174</v>
      </c>
      <c r="D4490" t="s">
        <v>48</v>
      </c>
      <c r="E4490" t="s">
        <v>74</v>
      </c>
      <c r="F4490" t="s">
        <v>25</v>
      </c>
      <c r="G4490" t="s">
        <v>9</v>
      </c>
      <c r="H4490" t="s">
        <v>36</v>
      </c>
      <c r="I4490" t="s">
        <v>28</v>
      </c>
      <c r="J4490" t="s">
        <v>29</v>
      </c>
      <c r="K4490">
        <v>9651</v>
      </c>
      <c r="L4490">
        <v>295</v>
      </c>
      <c r="M4490">
        <v>268.36</v>
      </c>
      <c r="N4490">
        <v>11</v>
      </c>
      <c r="O4490">
        <v>771.17</v>
      </c>
      <c r="P4490">
        <f t="shared" si="280"/>
        <v>3.0566780644492798E-2</v>
      </c>
      <c r="Q4490">
        <f t="shared" si="280"/>
        <v>0.90969491525423729</v>
      </c>
      <c r="R4490">
        <f t="shared" si="281"/>
        <v>24.396363636363638</v>
      </c>
      <c r="S4490">
        <f t="shared" si="282"/>
        <v>2.873639886719332</v>
      </c>
      <c r="T4490">
        <f t="shared" si="283"/>
        <v>3.7288135593220341E-2</v>
      </c>
      <c r="U4490" t="str">
        <f>YEAR('Campaign Data'!$A4490)&amp;"-"&amp;TEXT(MONTH('Campaign Data'!$A4490),"00")</f>
        <v>2026-09</v>
      </c>
    </row>
    <row r="4491" spans="1:21" x14ac:dyDescent="0.25">
      <c r="A4491">
        <v>46268</v>
      </c>
      <c r="B4491" t="s">
        <v>147</v>
      </c>
      <c r="C4491" t="s">
        <v>148</v>
      </c>
      <c r="D4491" t="s">
        <v>23</v>
      </c>
      <c r="E4491" t="s">
        <v>42</v>
      </c>
      <c r="F4491" t="s">
        <v>75</v>
      </c>
      <c r="G4491" t="s">
        <v>44</v>
      </c>
      <c r="H4491" t="s">
        <v>27</v>
      </c>
      <c r="I4491" t="s">
        <v>37</v>
      </c>
      <c r="J4491" t="s">
        <v>38</v>
      </c>
      <c r="K4491">
        <v>6298</v>
      </c>
      <c r="L4491">
        <v>29</v>
      </c>
      <c r="M4491">
        <v>198.14</v>
      </c>
      <c r="N4491">
        <v>0</v>
      </c>
      <c r="O4491">
        <v>0</v>
      </c>
      <c r="P4491">
        <f t="shared" si="280"/>
        <v>4.6046363925055572E-3</v>
      </c>
      <c r="Q4491">
        <f t="shared" si="280"/>
        <v>6.8324137931034477</v>
      </c>
      <c r="R4491">
        <f t="shared" si="281"/>
        <v>0</v>
      </c>
      <c r="S4491">
        <f t="shared" si="282"/>
        <v>0</v>
      </c>
      <c r="T4491">
        <f t="shared" si="283"/>
        <v>0</v>
      </c>
      <c r="U4491" t="str">
        <f>YEAR('Campaign Data'!$A4491)&amp;"-"&amp;TEXT(MONTH('Campaign Data'!$A4491),"00")</f>
        <v>2026-09</v>
      </c>
    </row>
    <row r="4492" spans="1:21" x14ac:dyDescent="0.25">
      <c r="A4492">
        <v>46268</v>
      </c>
      <c r="B4492" t="s">
        <v>46</v>
      </c>
      <c r="C4492" t="s">
        <v>47</v>
      </c>
      <c r="D4492" t="s">
        <v>48</v>
      </c>
      <c r="E4492" t="s">
        <v>49</v>
      </c>
      <c r="F4492" t="s">
        <v>43</v>
      </c>
      <c r="G4492" t="s">
        <v>50</v>
      </c>
      <c r="H4492" t="s">
        <v>27</v>
      </c>
      <c r="I4492" t="s">
        <v>37</v>
      </c>
      <c r="J4492" t="s">
        <v>45</v>
      </c>
      <c r="K4492">
        <v>3404</v>
      </c>
      <c r="L4492">
        <v>77</v>
      </c>
      <c r="M4492">
        <v>131.12</v>
      </c>
      <c r="N4492">
        <v>6</v>
      </c>
      <c r="O4492">
        <v>185.92</v>
      </c>
      <c r="P4492">
        <f t="shared" si="280"/>
        <v>2.2620446533490011E-2</v>
      </c>
      <c r="Q4492">
        <f t="shared" si="280"/>
        <v>1.7028571428571428</v>
      </c>
      <c r="R4492">
        <f t="shared" si="281"/>
        <v>21.853333333333335</v>
      </c>
      <c r="S4492">
        <f t="shared" si="282"/>
        <v>1.4179377669310553</v>
      </c>
      <c r="T4492">
        <f t="shared" si="283"/>
        <v>7.792207792207792E-2</v>
      </c>
      <c r="U4492" t="str">
        <f>YEAR('Campaign Data'!$A4492)&amp;"-"&amp;TEXT(MONTH('Campaign Data'!$A4492),"00")</f>
        <v>2026-09</v>
      </c>
    </row>
    <row r="4493" spans="1:21" x14ac:dyDescent="0.25">
      <c r="A4493">
        <v>46268</v>
      </c>
      <c r="B4493" t="s">
        <v>98</v>
      </c>
      <c r="C4493" t="s">
        <v>99</v>
      </c>
      <c r="D4493" t="s">
        <v>69</v>
      </c>
      <c r="E4493" t="s">
        <v>24</v>
      </c>
      <c r="F4493" t="s">
        <v>75</v>
      </c>
      <c r="G4493" t="s">
        <v>66</v>
      </c>
      <c r="H4493" t="s">
        <v>90</v>
      </c>
      <c r="I4493" t="s">
        <v>28</v>
      </c>
      <c r="J4493" t="s">
        <v>62</v>
      </c>
      <c r="K4493">
        <v>1289</v>
      </c>
      <c r="L4493">
        <v>18</v>
      </c>
      <c r="M4493">
        <v>3.71</v>
      </c>
      <c r="N4493">
        <v>2</v>
      </c>
      <c r="O4493">
        <v>27.82</v>
      </c>
      <c r="P4493">
        <f t="shared" si="280"/>
        <v>1.3964313421256789E-2</v>
      </c>
      <c r="Q4493">
        <f t="shared" si="280"/>
        <v>0.20611111111111111</v>
      </c>
      <c r="R4493">
        <f t="shared" si="281"/>
        <v>1.855</v>
      </c>
      <c r="S4493">
        <f t="shared" si="282"/>
        <v>7.4986522911051212</v>
      </c>
      <c r="T4493">
        <f t="shared" si="283"/>
        <v>0.1111111111111111</v>
      </c>
      <c r="U4493" t="str">
        <f>YEAR('Campaign Data'!$A4493)&amp;"-"&amp;TEXT(MONTH('Campaign Data'!$A4493),"00")</f>
        <v>2026-09</v>
      </c>
    </row>
    <row r="4494" spans="1:21" x14ac:dyDescent="0.25">
      <c r="A4494">
        <v>46268</v>
      </c>
      <c r="B4494" t="s">
        <v>169</v>
      </c>
      <c r="C4494" t="s">
        <v>170</v>
      </c>
      <c r="D4494" t="s">
        <v>58</v>
      </c>
      <c r="E4494" t="s">
        <v>74</v>
      </c>
      <c r="F4494" t="s">
        <v>75</v>
      </c>
      <c r="G4494" t="s">
        <v>9</v>
      </c>
      <c r="H4494" t="s">
        <v>71</v>
      </c>
      <c r="I4494" t="s">
        <v>61</v>
      </c>
      <c r="J4494" t="s">
        <v>45</v>
      </c>
      <c r="K4494">
        <v>3549</v>
      </c>
      <c r="L4494">
        <v>116</v>
      </c>
      <c r="M4494">
        <v>116.69</v>
      </c>
      <c r="N4494">
        <v>3</v>
      </c>
      <c r="O4494">
        <v>130.69</v>
      </c>
      <c r="P4494">
        <f t="shared" si="280"/>
        <v>3.2685263454494226E-2</v>
      </c>
      <c r="Q4494">
        <f t="shared" si="280"/>
        <v>1.005948275862069</v>
      </c>
      <c r="R4494">
        <f t="shared" si="281"/>
        <v>38.896666666666668</v>
      </c>
      <c r="S4494">
        <f t="shared" si="282"/>
        <v>1.1199760047990401</v>
      </c>
      <c r="T4494">
        <f t="shared" si="283"/>
        <v>2.5862068965517241E-2</v>
      </c>
      <c r="U4494" t="str">
        <f>YEAR('Campaign Data'!$A4494)&amp;"-"&amp;TEXT(MONTH('Campaign Data'!$A4494),"00")</f>
        <v>2026-09</v>
      </c>
    </row>
    <row r="4495" spans="1:21" x14ac:dyDescent="0.25">
      <c r="A4495">
        <v>46268</v>
      </c>
      <c r="B4495" t="s">
        <v>105</v>
      </c>
      <c r="C4495" t="s">
        <v>106</v>
      </c>
      <c r="D4495" t="s">
        <v>58</v>
      </c>
      <c r="E4495" t="s">
        <v>49</v>
      </c>
      <c r="F4495" t="s">
        <v>81</v>
      </c>
      <c r="G4495" t="s">
        <v>107</v>
      </c>
      <c r="H4495" t="s">
        <v>90</v>
      </c>
      <c r="I4495" t="s">
        <v>37</v>
      </c>
      <c r="J4495" t="s">
        <v>29</v>
      </c>
      <c r="K4495">
        <v>1438</v>
      </c>
      <c r="L4495">
        <v>74</v>
      </c>
      <c r="M4495">
        <v>21.55</v>
      </c>
      <c r="N4495">
        <v>8</v>
      </c>
      <c r="O4495">
        <v>43.31</v>
      </c>
      <c r="P4495">
        <f t="shared" si="280"/>
        <v>5.1460361613351879E-2</v>
      </c>
      <c r="Q4495">
        <f t="shared" si="280"/>
        <v>0.29121621621621624</v>
      </c>
      <c r="R4495">
        <f t="shared" si="281"/>
        <v>2.6937500000000001</v>
      </c>
      <c r="S4495">
        <f t="shared" si="282"/>
        <v>2.0097447795823666</v>
      </c>
      <c r="T4495">
        <f t="shared" si="283"/>
        <v>0.10810810810810811</v>
      </c>
      <c r="U4495" t="str">
        <f>YEAR('Campaign Data'!$A4495)&amp;"-"&amp;TEXT(MONTH('Campaign Data'!$A4495),"00")</f>
        <v>2026-09</v>
      </c>
    </row>
    <row r="4496" spans="1:21" x14ac:dyDescent="0.25">
      <c r="A4496">
        <v>46268</v>
      </c>
      <c r="B4496" t="s">
        <v>153</v>
      </c>
      <c r="C4496" t="s">
        <v>154</v>
      </c>
      <c r="D4496" t="s">
        <v>48</v>
      </c>
      <c r="E4496" t="s">
        <v>33</v>
      </c>
      <c r="F4496" t="s">
        <v>43</v>
      </c>
      <c r="G4496" t="s">
        <v>59</v>
      </c>
      <c r="H4496" t="s">
        <v>51</v>
      </c>
      <c r="I4496" t="s">
        <v>37</v>
      </c>
      <c r="J4496" t="s">
        <v>38</v>
      </c>
      <c r="K4496">
        <v>18612</v>
      </c>
      <c r="L4496">
        <v>123</v>
      </c>
      <c r="M4496">
        <v>102.94</v>
      </c>
      <c r="N4496">
        <v>0</v>
      </c>
      <c r="O4496">
        <v>0</v>
      </c>
      <c r="P4496">
        <f t="shared" si="280"/>
        <v>6.6086395873629919E-3</v>
      </c>
      <c r="Q4496">
        <f t="shared" si="280"/>
        <v>0.83691056910569106</v>
      </c>
      <c r="R4496">
        <f t="shared" si="281"/>
        <v>0</v>
      </c>
      <c r="S4496">
        <f t="shared" si="282"/>
        <v>0</v>
      </c>
      <c r="T4496">
        <f t="shared" si="283"/>
        <v>0</v>
      </c>
      <c r="U4496" t="str">
        <f>YEAR('Campaign Data'!$A4496)&amp;"-"&amp;TEXT(MONTH('Campaign Data'!$A4496),"00")</f>
        <v>2026-09</v>
      </c>
    </row>
    <row r="4497" spans="1:21" x14ac:dyDescent="0.25">
      <c r="A4497">
        <v>46268</v>
      </c>
      <c r="B4497" t="s">
        <v>155</v>
      </c>
      <c r="C4497" t="s">
        <v>156</v>
      </c>
      <c r="D4497" t="s">
        <v>32</v>
      </c>
      <c r="E4497" t="s">
        <v>24</v>
      </c>
      <c r="F4497" t="s">
        <v>34</v>
      </c>
      <c r="G4497" t="s">
        <v>129</v>
      </c>
      <c r="H4497" t="s">
        <v>55</v>
      </c>
      <c r="I4497" t="s">
        <v>37</v>
      </c>
      <c r="J4497" t="s">
        <v>29</v>
      </c>
      <c r="K4497">
        <v>4835</v>
      </c>
      <c r="L4497">
        <v>46</v>
      </c>
      <c r="M4497">
        <v>37.880000000000003</v>
      </c>
      <c r="N4497">
        <v>1</v>
      </c>
      <c r="O4497">
        <v>119.66</v>
      </c>
      <c r="P4497">
        <f t="shared" si="280"/>
        <v>9.5139607032057906E-3</v>
      </c>
      <c r="Q4497">
        <f t="shared" si="280"/>
        <v>0.82347826086956533</v>
      </c>
      <c r="R4497">
        <f t="shared" si="281"/>
        <v>37.880000000000003</v>
      </c>
      <c r="S4497">
        <f t="shared" si="282"/>
        <v>3.1589229144667366</v>
      </c>
      <c r="T4497">
        <f t="shared" si="283"/>
        <v>2.1739130434782608E-2</v>
      </c>
      <c r="U4497" t="str">
        <f>YEAR('Campaign Data'!$A4497)&amp;"-"&amp;TEXT(MONTH('Campaign Data'!$A4497),"00")</f>
        <v>2026-09</v>
      </c>
    </row>
    <row r="4498" spans="1:21" x14ac:dyDescent="0.25">
      <c r="A4498">
        <v>46268</v>
      </c>
      <c r="B4498" t="s">
        <v>155</v>
      </c>
      <c r="C4498" t="s">
        <v>156</v>
      </c>
      <c r="D4498" t="s">
        <v>32</v>
      </c>
      <c r="E4498" t="s">
        <v>24</v>
      </c>
      <c r="F4498" t="s">
        <v>34</v>
      </c>
      <c r="G4498" t="s">
        <v>129</v>
      </c>
      <c r="H4498" t="s">
        <v>71</v>
      </c>
      <c r="I4498" t="s">
        <v>28</v>
      </c>
      <c r="J4498" t="s">
        <v>62</v>
      </c>
      <c r="K4498">
        <v>2542</v>
      </c>
      <c r="L4498">
        <v>43</v>
      </c>
      <c r="M4498">
        <v>41.56</v>
      </c>
      <c r="N4498">
        <v>1</v>
      </c>
      <c r="O4498">
        <v>91.35</v>
      </c>
      <c r="P4498">
        <f t="shared" si="280"/>
        <v>1.6915814319433516E-2</v>
      </c>
      <c r="Q4498">
        <f t="shared" si="280"/>
        <v>0.96651162790697676</v>
      </c>
      <c r="R4498">
        <f t="shared" si="281"/>
        <v>41.56</v>
      </c>
      <c r="S4498">
        <f t="shared" si="282"/>
        <v>2.1980269489894124</v>
      </c>
      <c r="T4498">
        <f t="shared" si="283"/>
        <v>2.3255813953488372E-2</v>
      </c>
      <c r="U4498" t="str">
        <f>YEAR('Campaign Data'!$A4498)&amp;"-"&amp;TEXT(MONTH('Campaign Data'!$A4498),"00")</f>
        <v>2026-09</v>
      </c>
    </row>
    <row r="4499" spans="1:21" x14ac:dyDescent="0.25">
      <c r="A4499">
        <v>46268</v>
      </c>
      <c r="B4499" t="s">
        <v>112</v>
      </c>
      <c r="C4499" t="s">
        <v>113</v>
      </c>
      <c r="D4499" t="s">
        <v>32</v>
      </c>
      <c r="E4499" t="s">
        <v>24</v>
      </c>
      <c r="F4499" t="s">
        <v>75</v>
      </c>
      <c r="G4499" t="s">
        <v>66</v>
      </c>
      <c r="H4499" t="s">
        <v>51</v>
      </c>
      <c r="I4499" t="s">
        <v>28</v>
      </c>
      <c r="J4499" t="s">
        <v>45</v>
      </c>
      <c r="K4499">
        <v>3774</v>
      </c>
      <c r="L4499">
        <v>34</v>
      </c>
      <c r="M4499">
        <v>32.54</v>
      </c>
      <c r="N4499">
        <v>1</v>
      </c>
      <c r="O4499">
        <v>32.020000000000003</v>
      </c>
      <c r="P4499">
        <f t="shared" si="280"/>
        <v>9.0090090090090089E-3</v>
      </c>
      <c r="Q4499">
        <f t="shared" si="280"/>
        <v>0.95705882352941174</v>
      </c>
      <c r="R4499">
        <f t="shared" si="281"/>
        <v>32.54</v>
      </c>
      <c r="S4499">
        <f t="shared" si="282"/>
        <v>0.98401966810079911</v>
      </c>
      <c r="T4499">
        <f t="shared" si="283"/>
        <v>2.9411764705882353E-2</v>
      </c>
      <c r="U4499" t="str">
        <f>YEAR('Campaign Data'!$A4499)&amp;"-"&amp;TEXT(MONTH('Campaign Data'!$A4499),"00")</f>
        <v>2026-09</v>
      </c>
    </row>
    <row r="4500" spans="1:21" x14ac:dyDescent="0.25">
      <c r="A4500">
        <v>46268</v>
      </c>
      <c r="B4500" t="s">
        <v>161</v>
      </c>
      <c r="C4500" t="s">
        <v>162</v>
      </c>
      <c r="D4500" t="s">
        <v>48</v>
      </c>
      <c r="E4500" t="s">
        <v>74</v>
      </c>
      <c r="F4500" t="s">
        <v>34</v>
      </c>
      <c r="G4500" t="s">
        <v>107</v>
      </c>
      <c r="H4500" t="s">
        <v>90</v>
      </c>
      <c r="I4500" t="s">
        <v>37</v>
      </c>
      <c r="J4500" t="s">
        <v>62</v>
      </c>
      <c r="K4500">
        <v>4699</v>
      </c>
      <c r="L4500">
        <v>222</v>
      </c>
      <c r="M4500">
        <v>80.34</v>
      </c>
      <c r="N4500">
        <v>12</v>
      </c>
      <c r="O4500">
        <v>547.5</v>
      </c>
      <c r="P4500">
        <f t="shared" si="280"/>
        <v>4.7244094488188976E-2</v>
      </c>
      <c r="Q4500">
        <f t="shared" si="280"/>
        <v>0.36189189189189191</v>
      </c>
      <c r="R4500">
        <f t="shared" si="281"/>
        <v>6.6950000000000003</v>
      </c>
      <c r="S4500">
        <f t="shared" si="282"/>
        <v>6.8147871545929792</v>
      </c>
      <c r="T4500">
        <f t="shared" si="283"/>
        <v>5.4054054054054057E-2</v>
      </c>
      <c r="U4500" t="str">
        <f>YEAR('Campaign Data'!$A4500)&amp;"-"&amp;TEXT(MONTH('Campaign Data'!$A4500),"00")</f>
        <v>2026-09</v>
      </c>
    </row>
    <row r="4501" spans="1:21" x14ac:dyDescent="0.25">
      <c r="A4501">
        <v>46268</v>
      </c>
      <c r="B4501" t="s">
        <v>116</v>
      </c>
      <c r="C4501" t="s">
        <v>117</v>
      </c>
      <c r="D4501" t="s">
        <v>48</v>
      </c>
      <c r="E4501" t="s">
        <v>24</v>
      </c>
      <c r="F4501" t="s">
        <v>43</v>
      </c>
      <c r="G4501" t="s">
        <v>26</v>
      </c>
      <c r="H4501" t="s">
        <v>60</v>
      </c>
      <c r="I4501" t="s">
        <v>28</v>
      </c>
      <c r="J4501" t="s">
        <v>87</v>
      </c>
      <c r="K4501">
        <v>2564</v>
      </c>
      <c r="L4501">
        <v>37</v>
      </c>
      <c r="M4501">
        <v>28.8</v>
      </c>
      <c r="N4501">
        <v>1</v>
      </c>
      <c r="O4501">
        <v>32.869999999999997</v>
      </c>
      <c r="P4501">
        <f t="shared" si="280"/>
        <v>1.4430577223088924E-2</v>
      </c>
      <c r="Q4501">
        <f t="shared" si="280"/>
        <v>0.77837837837837842</v>
      </c>
      <c r="R4501">
        <f t="shared" si="281"/>
        <v>28.8</v>
      </c>
      <c r="S4501">
        <f t="shared" si="282"/>
        <v>1.1413194444444443</v>
      </c>
      <c r="T4501">
        <f t="shared" si="283"/>
        <v>2.7027027027027029E-2</v>
      </c>
      <c r="U4501" t="str">
        <f>YEAR('Campaign Data'!$A4501)&amp;"-"&amp;TEXT(MONTH('Campaign Data'!$A4501),"00")</f>
        <v>2026-09</v>
      </c>
    </row>
    <row r="4502" spans="1:21" x14ac:dyDescent="0.25">
      <c r="A4502">
        <v>46268</v>
      </c>
      <c r="B4502" t="s">
        <v>82</v>
      </c>
      <c r="C4502" t="s">
        <v>83</v>
      </c>
      <c r="D4502" t="s">
        <v>80</v>
      </c>
      <c r="E4502" t="s">
        <v>42</v>
      </c>
      <c r="F4502" t="s">
        <v>34</v>
      </c>
      <c r="G4502" t="s">
        <v>84</v>
      </c>
      <c r="H4502" t="s">
        <v>60</v>
      </c>
      <c r="I4502" t="s">
        <v>37</v>
      </c>
      <c r="J4502" t="s">
        <v>45</v>
      </c>
      <c r="K4502">
        <v>11469</v>
      </c>
      <c r="L4502">
        <v>54</v>
      </c>
      <c r="M4502">
        <v>197.37</v>
      </c>
      <c r="N4502">
        <v>2</v>
      </c>
      <c r="O4502">
        <v>183.29</v>
      </c>
      <c r="P4502">
        <f t="shared" si="280"/>
        <v>4.7083442322783152E-3</v>
      </c>
      <c r="Q4502">
        <f t="shared" si="280"/>
        <v>3.6550000000000002</v>
      </c>
      <c r="R4502">
        <f t="shared" si="281"/>
        <v>98.685000000000002</v>
      </c>
      <c r="S4502">
        <f t="shared" si="282"/>
        <v>0.928661904038101</v>
      </c>
      <c r="T4502">
        <f t="shared" si="283"/>
        <v>3.7037037037037035E-2</v>
      </c>
      <c r="U4502" t="str">
        <f>YEAR('Campaign Data'!$A4502)&amp;"-"&amp;TEXT(MONTH('Campaign Data'!$A4502),"00")</f>
        <v>2026-09</v>
      </c>
    </row>
    <row r="4503" spans="1:21" x14ac:dyDescent="0.25">
      <c r="A4503">
        <v>46269</v>
      </c>
      <c r="B4503" t="s">
        <v>21</v>
      </c>
      <c r="C4503" t="s">
        <v>124</v>
      </c>
      <c r="D4503" t="s">
        <v>23</v>
      </c>
      <c r="E4503" t="s">
        <v>24</v>
      </c>
      <c r="F4503" t="s">
        <v>25</v>
      </c>
      <c r="G4503" t="s">
        <v>26</v>
      </c>
      <c r="H4503" t="s">
        <v>60</v>
      </c>
      <c r="I4503" t="s">
        <v>28</v>
      </c>
      <c r="J4503" t="s">
        <v>38</v>
      </c>
      <c r="K4503">
        <v>4634</v>
      </c>
      <c r="L4503">
        <v>54</v>
      </c>
      <c r="M4503">
        <v>46.01</v>
      </c>
      <c r="N4503">
        <v>1</v>
      </c>
      <c r="O4503">
        <v>117.6</v>
      </c>
      <c r="P4503">
        <f t="shared" si="280"/>
        <v>1.1652999568407424E-2</v>
      </c>
      <c r="Q4503">
        <f t="shared" si="280"/>
        <v>0.85203703703703704</v>
      </c>
      <c r="R4503">
        <f t="shared" si="281"/>
        <v>46.01</v>
      </c>
      <c r="S4503">
        <f t="shared" si="282"/>
        <v>2.5559660943273199</v>
      </c>
      <c r="T4503">
        <f t="shared" si="283"/>
        <v>1.8518518518518517E-2</v>
      </c>
      <c r="U4503" t="str">
        <f>YEAR('Campaign Data'!$A4503)&amp;"-"&amp;TEXT(MONTH('Campaign Data'!$A4503),"00")</f>
        <v>2026-09</v>
      </c>
    </row>
    <row r="4504" spans="1:21" x14ac:dyDescent="0.25">
      <c r="A4504">
        <v>46269</v>
      </c>
      <c r="B4504" t="s">
        <v>167</v>
      </c>
      <c r="C4504" t="s">
        <v>168</v>
      </c>
      <c r="D4504" t="s">
        <v>58</v>
      </c>
      <c r="E4504" t="s">
        <v>33</v>
      </c>
      <c r="F4504" t="s">
        <v>75</v>
      </c>
      <c r="G4504" t="s">
        <v>35</v>
      </c>
      <c r="H4504" t="s">
        <v>55</v>
      </c>
      <c r="I4504" t="s">
        <v>37</v>
      </c>
      <c r="J4504" t="s">
        <v>62</v>
      </c>
      <c r="K4504">
        <v>9052</v>
      </c>
      <c r="L4504">
        <v>107</v>
      </c>
      <c r="M4504">
        <v>56.8</v>
      </c>
      <c r="N4504">
        <v>3</v>
      </c>
      <c r="O4504">
        <v>95.47</v>
      </c>
      <c r="P4504">
        <f t="shared" si="280"/>
        <v>1.1820592134334954E-2</v>
      </c>
      <c r="Q4504">
        <f t="shared" si="280"/>
        <v>0.53084112149532703</v>
      </c>
      <c r="R4504">
        <f t="shared" si="281"/>
        <v>18.933333333333334</v>
      </c>
      <c r="S4504">
        <f t="shared" si="282"/>
        <v>1.6808098591549296</v>
      </c>
      <c r="T4504">
        <f t="shared" si="283"/>
        <v>2.8037383177570093E-2</v>
      </c>
      <c r="U4504" t="str">
        <f>YEAR('Campaign Data'!$A4504)&amp;"-"&amp;TEXT(MONTH('Campaign Data'!$A4504),"00")</f>
        <v>2026-09</v>
      </c>
    </row>
    <row r="4505" spans="1:21" x14ac:dyDescent="0.25">
      <c r="A4505">
        <v>46269</v>
      </c>
      <c r="B4505" t="s">
        <v>91</v>
      </c>
      <c r="C4505" t="s">
        <v>92</v>
      </c>
      <c r="D4505" t="s">
        <v>41</v>
      </c>
      <c r="E4505" t="s">
        <v>74</v>
      </c>
      <c r="F4505" t="s">
        <v>75</v>
      </c>
      <c r="G4505" t="s">
        <v>9</v>
      </c>
      <c r="H4505" t="s">
        <v>90</v>
      </c>
      <c r="I4505" t="s">
        <v>37</v>
      </c>
      <c r="J4505" t="s">
        <v>62</v>
      </c>
      <c r="K4505">
        <v>8771</v>
      </c>
      <c r="L4505">
        <v>250</v>
      </c>
      <c r="M4505">
        <v>66.02</v>
      </c>
      <c r="N4505">
        <v>13</v>
      </c>
      <c r="O4505">
        <v>131.77000000000001</v>
      </c>
      <c r="P4505">
        <f t="shared" si="280"/>
        <v>2.8503021320259947E-2</v>
      </c>
      <c r="Q4505">
        <f t="shared" si="280"/>
        <v>0.26407999999999998</v>
      </c>
      <c r="R4505">
        <f t="shared" si="281"/>
        <v>5.0784615384615384</v>
      </c>
      <c r="S4505">
        <f t="shared" si="282"/>
        <v>1.995910330202969</v>
      </c>
      <c r="T4505">
        <f t="shared" si="283"/>
        <v>5.1999999999999998E-2</v>
      </c>
      <c r="U4505" t="str">
        <f>YEAR('Campaign Data'!$A4505)&amp;"-"&amp;TEXT(MONTH('Campaign Data'!$A4505),"00")</f>
        <v>2026-09</v>
      </c>
    </row>
    <row r="4506" spans="1:21" x14ac:dyDescent="0.25">
      <c r="A4506">
        <v>46269</v>
      </c>
      <c r="B4506" t="s">
        <v>39</v>
      </c>
      <c r="C4506" t="s">
        <v>40</v>
      </c>
      <c r="D4506" t="s">
        <v>41</v>
      </c>
      <c r="E4506" t="s">
        <v>42</v>
      </c>
      <c r="F4506" t="s">
        <v>43</v>
      </c>
      <c r="G4506" t="s">
        <v>44</v>
      </c>
      <c r="H4506" t="s">
        <v>51</v>
      </c>
      <c r="I4506" t="s">
        <v>37</v>
      </c>
      <c r="J4506" t="s">
        <v>29</v>
      </c>
      <c r="K4506">
        <v>12323</v>
      </c>
      <c r="L4506">
        <v>38</v>
      </c>
      <c r="M4506">
        <v>178.81</v>
      </c>
      <c r="N4506">
        <v>0</v>
      </c>
      <c r="O4506">
        <v>0</v>
      </c>
      <c r="P4506">
        <f t="shared" si="280"/>
        <v>3.083664692039276E-3</v>
      </c>
      <c r="Q4506">
        <f t="shared" si="280"/>
        <v>4.7055263157894736</v>
      </c>
      <c r="R4506">
        <f t="shared" si="281"/>
        <v>0</v>
      </c>
      <c r="S4506">
        <f t="shared" si="282"/>
        <v>0</v>
      </c>
      <c r="T4506">
        <f t="shared" si="283"/>
        <v>0</v>
      </c>
      <c r="U4506" t="str">
        <f>YEAR('Campaign Data'!$A4506)&amp;"-"&amp;TEXT(MONTH('Campaign Data'!$A4506),"00")</f>
        <v>2026-09</v>
      </c>
    </row>
    <row r="4507" spans="1:21" x14ac:dyDescent="0.25">
      <c r="A4507">
        <v>46269</v>
      </c>
      <c r="B4507" t="s">
        <v>105</v>
      </c>
      <c r="C4507" t="s">
        <v>106</v>
      </c>
      <c r="D4507" t="s">
        <v>58</v>
      </c>
      <c r="E4507" t="s">
        <v>49</v>
      </c>
      <c r="F4507" t="s">
        <v>81</v>
      </c>
      <c r="G4507" t="s">
        <v>107</v>
      </c>
      <c r="H4507" t="s">
        <v>90</v>
      </c>
      <c r="I4507" t="s">
        <v>37</v>
      </c>
      <c r="J4507" t="s">
        <v>38</v>
      </c>
      <c r="K4507">
        <v>5082</v>
      </c>
      <c r="L4507">
        <v>312</v>
      </c>
      <c r="M4507">
        <v>178.62</v>
      </c>
      <c r="N4507">
        <v>12</v>
      </c>
      <c r="O4507">
        <v>77.040000000000006</v>
      </c>
      <c r="P4507">
        <f t="shared" si="280"/>
        <v>6.1393152302243209E-2</v>
      </c>
      <c r="Q4507">
        <f t="shared" si="280"/>
        <v>0.57250000000000001</v>
      </c>
      <c r="R4507">
        <f t="shared" si="281"/>
        <v>14.885</v>
      </c>
      <c r="S4507">
        <f t="shared" si="282"/>
        <v>0.43130668458179378</v>
      </c>
      <c r="T4507">
        <f t="shared" si="283"/>
        <v>3.8461538461538464E-2</v>
      </c>
      <c r="U4507" t="str">
        <f>YEAR('Campaign Data'!$A4507)&amp;"-"&amp;TEXT(MONTH('Campaign Data'!$A4507),"00")</f>
        <v>2026-09</v>
      </c>
    </row>
    <row r="4508" spans="1:21" x14ac:dyDescent="0.25">
      <c r="A4508">
        <v>46269</v>
      </c>
      <c r="B4508" t="s">
        <v>130</v>
      </c>
      <c r="C4508" t="s">
        <v>131</v>
      </c>
      <c r="D4508" t="s">
        <v>48</v>
      </c>
      <c r="E4508" t="s">
        <v>33</v>
      </c>
      <c r="F4508" t="s">
        <v>34</v>
      </c>
      <c r="G4508" t="s">
        <v>35</v>
      </c>
      <c r="H4508" t="s">
        <v>90</v>
      </c>
      <c r="I4508" t="s">
        <v>37</v>
      </c>
      <c r="J4508" t="s">
        <v>87</v>
      </c>
      <c r="K4508">
        <v>5041</v>
      </c>
      <c r="L4508">
        <v>46</v>
      </c>
      <c r="M4508">
        <v>6.71</v>
      </c>
      <c r="N4508">
        <v>0</v>
      </c>
      <c r="O4508">
        <v>0</v>
      </c>
      <c r="P4508">
        <f t="shared" si="280"/>
        <v>9.1251735766712961E-3</v>
      </c>
      <c r="Q4508">
        <f t="shared" si="280"/>
        <v>0.14586956521739131</v>
      </c>
      <c r="R4508">
        <f t="shared" si="281"/>
        <v>0</v>
      </c>
      <c r="S4508">
        <f t="shared" si="282"/>
        <v>0</v>
      </c>
      <c r="T4508">
        <f t="shared" si="283"/>
        <v>0</v>
      </c>
      <c r="U4508" t="str">
        <f>YEAR('Campaign Data'!$A4508)&amp;"-"&amp;TEXT(MONTH('Campaign Data'!$A4508),"00")</f>
        <v>2026-09</v>
      </c>
    </row>
    <row r="4509" spans="1:21" x14ac:dyDescent="0.25">
      <c r="A4509">
        <v>46269</v>
      </c>
      <c r="B4509" t="s">
        <v>130</v>
      </c>
      <c r="C4509" t="s">
        <v>131</v>
      </c>
      <c r="D4509" t="s">
        <v>48</v>
      </c>
      <c r="E4509" t="s">
        <v>33</v>
      </c>
      <c r="F4509" t="s">
        <v>34</v>
      </c>
      <c r="G4509" t="s">
        <v>35</v>
      </c>
      <c r="H4509" t="s">
        <v>36</v>
      </c>
      <c r="I4509" t="s">
        <v>28</v>
      </c>
      <c r="J4509" t="s">
        <v>29</v>
      </c>
      <c r="K4509">
        <v>5489</v>
      </c>
      <c r="L4509">
        <v>54</v>
      </c>
      <c r="M4509">
        <v>28.07</v>
      </c>
      <c r="N4509">
        <v>0</v>
      </c>
      <c r="O4509">
        <v>0</v>
      </c>
      <c r="P4509">
        <f t="shared" si="280"/>
        <v>9.8378575332483155E-3</v>
      </c>
      <c r="Q4509">
        <f t="shared" si="280"/>
        <v>0.51981481481481484</v>
      </c>
      <c r="R4509">
        <f t="shared" si="281"/>
        <v>0</v>
      </c>
      <c r="S4509">
        <f t="shared" si="282"/>
        <v>0</v>
      </c>
      <c r="T4509">
        <f t="shared" si="283"/>
        <v>0</v>
      </c>
      <c r="U4509" t="str">
        <f>YEAR('Campaign Data'!$A4509)&amp;"-"&amp;TEXT(MONTH('Campaign Data'!$A4509),"00")</f>
        <v>2026-09</v>
      </c>
    </row>
    <row r="4510" spans="1:21" x14ac:dyDescent="0.25">
      <c r="A4510">
        <v>46269</v>
      </c>
      <c r="B4510" t="s">
        <v>181</v>
      </c>
      <c r="C4510" t="s">
        <v>182</v>
      </c>
      <c r="D4510" t="s">
        <v>32</v>
      </c>
      <c r="E4510" t="s">
        <v>33</v>
      </c>
      <c r="F4510" t="s">
        <v>75</v>
      </c>
      <c r="G4510" t="s">
        <v>59</v>
      </c>
      <c r="H4510" t="s">
        <v>36</v>
      </c>
      <c r="I4510" t="s">
        <v>61</v>
      </c>
      <c r="J4510" t="s">
        <v>29</v>
      </c>
      <c r="K4510">
        <v>2805</v>
      </c>
      <c r="L4510">
        <v>25</v>
      </c>
      <c r="M4510">
        <v>14.2</v>
      </c>
      <c r="N4510">
        <v>0</v>
      </c>
      <c r="O4510">
        <v>0</v>
      </c>
      <c r="P4510">
        <f t="shared" si="280"/>
        <v>8.9126559714795012E-3</v>
      </c>
      <c r="Q4510">
        <f t="shared" si="280"/>
        <v>0.56799999999999995</v>
      </c>
      <c r="R4510">
        <f t="shared" si="281"/>
        <v>0</v>
      </c>
      <c r="S4510">
        <f t="shared" si="282"/>
        <v>0</v>
      </c>
      <c r="T4510">
        <f t="shared" si="283"/>
        <v>0</v>
      </c>
      <c r="U4510" t="str">
        <f>YEAR('Campaign Data'!$A4510)&amp;"-"&amp;TEXT(MONTH('Campaign Data'!$A4510),"00")</f>
        <v>2026-09</v>
      </c>
    </row>
    <row r="4511" spans="1:21" x14ac:dyDescent="0.25">
      <c r="A4511">
        <v>46269</v>
      </c>
      <c r="B4511" t="s">
        <v>114</v>
      </c>
      <c r="C4511" t="s">
        <v>115</v>
      </c>
      <c r="D4511" t="s">
        <v>69</v>
      </c>
      <c r="E4511" t="s">
        <v>49</v>
      </c>
      <c r="F4511" t="s">
        <v>25</v>
      </c>
      <c r="G4511" t="s">
        <v>107</v>
      </c>
      <c r="H4511" t="s">
        <v>51</v>
      </c>
      <c r="I4511" t="s">
        <v>28</v>
      </c>
      <c r="J4511" t="s">
        <v>45</v>
      </c>
      <c r="K4511">
        <v>3436</v>
      </c>
      <c r="L4511">
        <v>141</v>
      </c>
      <c r="M4511">
        <v>188.71</v>
      </c>
      <c r="N4511">
        <v>5</v>
      </c>
      <c r="O4511">
        <v>854.29</v>
      </c>
      <c r="P4511">
        <f t="shared" si="280"/>
        <v>4.1036088474970894E-2</v>
      </c>
      <c r="Q4511">
        <f t="shared" si="280"/>
        <v>1.3383687943262412</v>
      </c>
      <c r="R4511">
        <f t="shared" si="281"/>
        <v>37.742000000000004</v>
      </c>
      <c r="S4511">
        <f t="shared" si="282"/>
        <v>4.5269990991468383</v>
      </c>
      <c r="T4511">
        <f t="shared" si="283"/>
        <v>3.5460992907801421E-2</v>
      </c>
      <c r="U4511" t="str">
        <f>YEAR('Campaign Data'!$A4511)&amp;"-"&amp;TEXT(MONTH('Campaign Data'!$A4511),"00")</f>
        <v>2026-09</v>
      </c>
    </row>
    <row r="4512" spans="1:21" x14ac:dyDescent="0.25">
      <c r="A4512">
        <v>46269</v>
      </c>
      <c r="B4512" t="s">
        <v>63</v>
      </c>
      <c r="C4512" t="s">
        <v>64</v>
      </c>
      <c r="D4512" t="s">
        <v>65</v>
      </c>
      <c r="E4512" t="s">
        <v>24</v>
      </c>
      <c r="F4512" t="s">
        <v>43</v>
      </c>
      <c r="G4512" t="s">
        <v>66</v>
      </c>
      <c r="H4512" t="s">
        <v>55</v>
      </c>
      <c r="I4512" t="s">
        <v>61</v>
      </c>
      <c r="J4512" t="s">
        <v>45</v>
      </c>
      <c r="K4512">
        <v>2280</v>
      </c>
      <c r="L4512">
        <v>17</v>
      </c>
      <c r="M4512">
        <v>17</v>
      </c>
      <c r="N4512">
        <v>1</v>
      </c>
      <c r="O4512">
        <v>28</v>
      </c>
      <c r="P4512">
        <f t="shared" si="280"/>
        <v>7.4561403508771927E-3</v>
      </c>
      <c r="Q4512">
        <f t="shared" si="280"/>
        <v>1</v>
      </c>
      <c r="R4512">
        <f t="shared" si="281"/>
        <v>17</v>
      </c>
      <c r="S4512">
        <f t="shared" si="282"/>
        <v>1.6470588235294117</v>
      </c>
      <c r="T4512">
        <f t="shared" si="283"/>
        <v>5.8823529411764705E-2</v>
      </c>
      <c r="U4512" t="str">
        <f>YEAR('Campaign Data'!$A4512)&amp;"-"&amp;TEXT(MONTH('Campaign Data'!$A4512),"00")</f>
        <v>2026-09</v>
      </c>
    </row>
    <row r="4513" spans="1:21" x14ac:dyDescent="0.25">
      <c r="A4513">
        <v>46269</v>
      </c>
      <c r="B4513" t="s">
        <v>145</v>
      </c>
      <c r="C4513" t="s">
        <v>146</v>
      </c>
      <c r="D4513" t="s">
        <v>41</v>
      </c>
      <c r="E4513" t="s">
        <v>49</v>
      </c>
      <c r="F4513" t="s">
        <v>75</v>
      </c>
      <c r="G4513" t="s">
        <v>70</v>
      </c>
      <c r="H4513" t="s">
        <v>51</v>
      </c>
      <c r="I4513" t="s">
        <v>61</v>
      </c>
      <c r="J4513" t="s">
        <v>62</v>
      </c>
      <c r="K4513">
        <v>11722</v>
      </c>
      <c r="L4513">
        <v>526</v>
      </c>
      <c r="M4513">
        <v>590.71</v>
      </c>
      <c r="N4513">
        <v>47</v>
      </c>
      <c r="O4513">
        <v>2460.2399999999998</v>
      </c>
      <c r="P4513">
        <f t="shared" si="280"/>
        <v>4.4872888585565603E-2</v>
      </c>
      <c r="Q4513">
        <f t="shared" si="280"/>
        <v>1.123022813688213</v>
      </c>
      <c r="R4513">
        <f t="shared" si="281"/>
        <v>12.568297872340427</v>
      </c>
      <c r="S4513">
        <f t="shared" si="282"/>
        <v>4.1648863232381368</v>
      </c>
      <c r="T4513">
        <f t="shared" si="283"/>
        <v>8.9353612167300381E-2</v>
      </c>
      <c r="U4513" t="str">
        <f>YEAR('Campaign Data'!$A4513)&amp;"-"&amp;TEXT(MONTH('Campaign Data'!$A4513),"00")</f>
        <v>2026-09</v>
      </c>
    </row>
    <row r="4514" spans="1:21" x14ac:dyDescent="0.25">
      <c r="A4514">
        <v>46269</v>
      </c>
      <c r="B4514" t="s">
        <v>145</v>
      </c>
      <c r="C4514" t="s">
        <v>146</v>
      </c>
      <c r="D4514" t="s">
        <v>41</v>
      </c>
      <c r="E4514" t="s">
        <v>49</v>
      </c>
      <c r="F4514" t="s">
        <v>75</v>
      </c>
      <c r="G4514" t="s">
        <v>70</v>
      </c>
      <c r="H4514" t="s">
        <v>27</v>
      </c>
      <c r="I4514" t="s">
        <v>28</v>
      </c>
      <c r="J4514" t="s">
        <v>38</v>
      </c>
      <c r="K4514">
        <v>12484</v>
      </c>
      <c r="L4514">
        <v>414</v>
      </c>
      <c r="M4514">
        <v>473.94</v>
      </c>
      <c r="N4514">
        <v>23</v>
      </c>
      <c r="O4514">
        <v>1563.32</v>
      </c>
      <c r="P4514">
        <f t="shared" si="280"/>
        <v>3.3162447933354697E-2</v>
      </c>
      <c r="Q4514">
        <f t="shared" si="280"/>
        <v>1.1447826086956521</v>
      </c>
      <c r="R4514">
        <f t="shared" si="281"/>
        <v>20.606086956521739</v>
      </c>
      <c r="S4514">
        <f t="shared" si="282"/>
        <v>3.2985609992826097</v>
      </c>
      <c r="T4514">
        <f t="shared" si="283"/>
        <v>5.5555555555555552E-2</v>
      </c>
      <c r="U4514" t="str">
        <f>YEAR('Campaign Data'!$A4514)&amp;"-"&amp;TEXT(MONTH('Campaign Data'!$A4514),"00")</f>
        <v>2026-09</v>
      </c>
    </row>
    <row r="4515" spans="1:21" x14ac:dyDescent="0.25">
      <c r="A4515">
        <v>46269</v>
      </c>
      <c r="B4515" t="s">
        <v>82</v>
      </c>
      <c r="C4515" t="s">
        <v>83</v>
      </c>
      <c r="D4515" t="s">
        <v>80</v>
      </c>
      <c r="E4515" t="s">
        <v>42</v>
      </c>
      <c r="F4515" t="s">
        <v>34</v>
      </c>
      <c r="G4515" t="s">
        <v>84</v>
      </c>
      <c r="H4515" t="s">
        <v>27</v>
      </c>
      <c r="I4515" t="s">
        <v>37</v>
      </c>
      <c r="J4515" t="s">
        <v>29</v>
      </c>
      <c r="K4515">
        <v>10271</v>
      </c>
      <c r="L4515">
        <v>61</v>
      </c>
      <c r="M4515">
        <v>520.75</v>
      </c>
      <c r="N4515">
        <v>2</v>
      </c>
      <c r="O4515">
        <v>178.86</v>
      </c>
      <c r="P4515">
        <f t="shared" si="280"/>
        <v>5.9390516989582323E-3</v>
      </c>
      <c r="Q4515">
        <f t="shared" si="280"/>
        <v>8.5368852459016402</v>
      </c>
      <c r="R4515">
        <f t="shared" si="281"/>
        <v>260.375</v>
      </c>
      <c r="S4515">
        <f t="shared" si="282"/>
        <v>0.34346615458473356</v>
      </c>
      <c r="T4515">
        <f t="shared" si="283"/>
        <v>3.2786885245901641E-2</v>
      </c>
      <c r="U4515" t="str">
        <f>YEAR('Campaign Data'!$A4515)&amp;"-"&amp;TEXT(MONTH('Campaign Data'!$A4515),"00")</f>
        <v>2026-09</v>
      </c>
    </row>
    <row r="4516" spans="1:21" x14ac:dyDescent="0.25">
      <c r="A4516">
        <v>46270</v>
      </c>
      <c r="B4516" t="s">
        <v>165</v>
      </c>
      <c r="C4516" t="s">
        <v>166</v>
      </c>
      <c r="D4516" t="s">
        <v>41</v>
      </c>
      <c r="E4516" t="s">
        <v>33</v>
      </c>
      <c r="F4516" t="s">
        <v>43</v>
      </c>
      <c r="G4516" t="s">
        <v>59</v>
      </c>
      <c r="H4516" t="s">
        <v>60</v>
      </c>
      <c r="I4516" t="s">
        <v>37</v>
      </c>
      <c r="J4516" t="s">
        <v>87</v>
      </c>
      <c r="K4516">
        <v>3491</v>
      </c>
      <c r="L4516">
        <v>28</v>
      </c>
      <c r="M4516">
        <v>13.29</v>
      </c>
      <c r="N4516">
        <v>0</v>
      </c>
      <c r="O4516">
        <v>0</v>
      </c>
      <c r="P4516">
        <f t="shared" si="280"/>
        <v>8.0206244629046127E-3</v>
      </c>
      <c r="Q4516">
        <f t="shared" si="280"/>
        <v>0.47464285714285709</v>
      </c>
      <c r="R4516">
        <f t="shared" si="281"/>
        <v>0</v>
      </c>
      <c r="S4516">
        <f t="shared" si="282"/>
        <v>0</v>
      </c>
      <c r="T4516">
        <f t="shared" si="283"/>
        <v>0</v>
      </c>
      <c r="U4516" t="str">
        <f>YEAR('Campaign Data'!$A4516)&amp;"-"&amp;TEXT(MONTH('Campaign Data'!$A4516),"00")</f>
        <v>2026-09</v>
      </c>
    </row>
    <row r="4517" spans="1:21" x14ac:dyDescent="0.25">
      <c r="A4517">
        <v>46270</v>
      </c>
      <c r="B4517" t="s">
        <v>88</v>
      </c>
      <c r="C4517" t="s">
        <v>89</v>
      </c>
      <c r="D4517" t="s">
        <v>23</v>
      </c>
      <c r="E4517" t="s">
        <v>49</v>
      </c>
      <c r="F4517" t="s">
        <v>81</v>
      </c>
      <c r="G4517" t="s">
        <v>50</v>
      </c>
      <c r="H4517" t="s">
        <v>51</v>
      </c>
      <c r="I4517" t="s">
        <v>37</v>
      </c>
      <c r="J4517" t="s">
        <v>38</v>
      </c>
      <c r="K4517">
        <v>1621</v>
      </c>
      <c r="L4517">
        <v>90</v>
      </c>
      <c r="M4517">
        <v>134.25</v>
      </c>
      <c r="N4517">
        <v>3</v>
      </c>
      <c r="O4517">
        <v>45.86</v>
      </c>
      <c r="P4517">
        <f t="shared" si="280"/>
        <v>5.5521283158544106E-2</v>
      </c>
      <c r="Q4517">
        <f t="shared" si="280"/>
        <v>1.4916666666666667</v>
      </c>
      <c r="R4517">
        <f t="shared" si="281"/>
        <v>44.75</v>
      </c>
      <c r="S4517">
        <f t="shared" si="282"/>
        <v>0.34160148975791432</v>
      </c>
      <c r="T4517">
        <f t="shared" si="283"/>
        <v>3.3333333333333333E-2</v>
      </c>
      <c r="U4517" t="str">
        <f>YEAR('Campaign Data'!$A4517)&amp;"-"&amp;TEXT(MONTH('Campaign Data'!$A4517),"00")</f>
        <v>2026-09</v>
      </c>
    </row>
    <row r="4518" spans="1:21" x14ac:dyDescent="0.25">
      <c r="A4518">
        <v>46270</v>
      </c>
      <c r="B4518" t="s">
        <v>147</v>
      </c>
      <c r="C4518" t="s">
        <v>148</v>
      </c>
      <c r="D4518" t="s">
        <v>23</v>
      </c>
      <c r="E4518" t="s">
        <v>42</v>
      </c>
      <c r="F4518" t="s">
        <v>75</v>
      </c>
      <c r="G4518" t="s">
        <v>44</v>
      </c>
      <c r="H4518" t="s">
        <v>90</v>
      </c>
      <c r="I4518" t="s">
        <v>37</v>
      </c>
      <c r="J4518" t="s">
        <v>87</v>
      </c>
      <c r="K4518">
        <v>6801</v>
      </c>
      <c r="L4518">
        <v>53</v>
      </c>
      <c r="M4518">
        <v>76.400000000000006</v>
      </c>
      <c r="N4518">
        <v>4</v>
      </c>
      <c r="O4518">
        <v>58.06</v>
      </c>
      <c r="P4518">
        <f t="shared" si="280"/>
        <v>7.7929716218203202E-3</v>
      </c>
      <c r="Q4518">
        <f t="shared" si="280"/>
        <v>1.4415094339622643</v>
      </c>
      <c r="R4518">
        <f t="shared" si="281"/>
        <v>19.100000000000001</v>
      </c>
      <c r="S4518">
        <f t="shared" si="282"/>
        <v>0.75994764397905756</v>
      </c>
      <c r="T4518">
        <f t="shared" si="283"/>
        <v>7.5471698113207544E-2</v>
      </c>
      <c r="U4518" t="str">
        <f>YEAR('Campaign Data'!$A4518)&amp;"-"&amp;TEXT(MONTH('Campaign Data'!$A4518),"00")</f>
        <v>2026-09</v>
      </c>
    </row>
    <row r="4519" spans="1:21" x14ac:dyDescent="0.25">
      <c r="A4519">
        <v>46270</v>
      </c>
      <c r="B4519" t="s">
        <v>138</v>
      </c>
      <c r="C4519" t="s">
        <v>139</v>
      </c>
      <c r="D4519" t="s">
        <v>58</v>
      </c>
      <c r="E4519" t="s">
        <v>74</v>
      </c>
      <c r="F4519" t="s">
        <v>34</v>
      </c>
      <c r="G4519" t="s">
        <v>9</v>
      </c>
      <c r="H4519" t="s">
        <v>51</v>
      </c>
      <c r="I4519" t="s">
        <v>37</v>
      </c>
      <c r="J4519" t="s">
        <v>87</v>
      </c>
      <c r="K4519">
        <v>1086</v>
      </c>
      <c r="L4519">
        <v>24</v>
      </c>
      <c r="M4519">
        <v>42.37</v>
      </c>
      <c r="N4519">
        <v>0</v>
      </c>
      <c r="O4519">
        <v>0</v>
      </c>
      <c r="P4519">
        <f t="shared" si="280"/>
        <v>2.2099447513812154E-2</v>
      </c>
      <c r="Q4519">
        <f t="shared" si="280"/>
        <v>1.7654166666666666</v>
      </c>
      <c r="R4519">
        <f t="shared" si="281"/>
        <v>0</v>
      </c>
      <c r="S4519">
        <f t="shared" si="282"/>
        <v>0</v>
      </c>
      <c r="T4519">
        <f t="shared" si="283"/>
        <v>0</v>
      </c>
      <c r="U4519" t="str">
        <f>YEAR('Campaign Data'!$A4519)&amp;"-"&amp;TEXT(MONTH('Campaign Data'!$A4519),"00")</f>
        <v>2026-09</v>
      </c>
    </row>
    <row r="4520" spans="1:21" x14ac:dyDescent="0.25">
      <c r="A4520">
        <v>46270</v>
      </c>
      <c r="B4520" t="s">
        <v>93</v>
      </c>
      <c r="C4520" t="s">
        <v>94</v>
      </c>
      <c r="D4520" t="s">
        <v>69</v>
      </c>
      <c r="E4520" t="s">
        <v>42</v>
      </c>
      <c r="F4520" t="s">
        <v>75</v>
      </c>
      <c r="G4520" t="s">
        <v>44</v>
      </c>
      <c r="H4520" t="s">
        <v>90</v>
      </c>
      <c r="I4520" t="s">
        <v>28</v>
      </c>
      <c r="J4520" t="s">
        <v>38</v>
      </c>
      <c r="K4520">
        <v>4247</v>
      </c>
      <c r="L4520">
        <v>21</v>
      </c>
      <c r="M4520">
        <v>38.299999999999997</v>
      </c>
      <c r="N4520">
        <v>1</v>
      </c>
      <c r="O4520">
        <v>8.9499999999999993</v>
      </c>
      <c r="P4520">
        <f t="shared" si="280"/>
        <v>4.9446668236402163E-3</v>
      </c>
      <c r="Q4520">
        <f t="shared" si="280"/>
        <v>1.8238095238095238</v>
      </c>
      <c r="R4520">
        <f t="shared" si="281"/>
        <v>38.299999999999997</v>
      </c>
      <c r="S4520">
        <f t="shared" si="282"/>
        <v>0.23368146214099217</v>
      </c>
      <c r="T4520">
        <f t="shared" si="283"/>
        <v>4.7619047619047616E-2</v>
      </c>
      <c r="U4520" t="str">
        <f>YEAR('Campaign Data'!$A4520)&amp;"-"&amp;TEXT(MONTH('Campaign Data'!$A4520),"00")</f>
        <v>2026-09</v>
      </c>
    </row>
    <row r="4521" spans="1:21" x14ac:dyDescent="0.25">
      <c r="A4521">
        <v>46270</v>
      </c>
      <c r="B4521" t="s">
        <v>93</v>
      </c>
      <c r="C4521" t="s">
        <v>94</v>
      </c>
      <c r="D4521" t="s">
        <v>69</v>
      </c>
      <c r="E4521" t="s">
        <v>42</v>
      </c>
      <c r="F4521" t="s">
        <v>75</v>
      </c>
      <c r="G4521" t="s">
        <v>44</v>
      </c>
      <c r="H4521" t="s">
        <v>55</v>
      </c>
      <c r="I4521" t="s">
        <v>37</v>
      </c>
      <c r="J4521" t="s">
        <v>29</v>
      </c>
      <c r="K4521">
        <v>2934</v>
      </c>
      <c r="L4521">
        <v>16</v>
      </c>
      <c r="M4521">
        <v>90.02</v>
      </c>
      <c r="N4521">
        <v>1</v>
      </c>
      <c r="O4521">
        <v>16.73</v>
      </c>
      <c r="P4521">
        <f t="shared" si="280"/>
        <v>5.4533060668029995E-3</v>
      </c>
      <c r="Q4521">
        <f t="shared" si="280"/>
        <v>5.6262499999999998</v>
      </c>
      <c r="R4521">
        <f t="shared" si="281"/>
        <v>90.02</v>
      </c>
      <c r="S4521">
        <f t="shared" si="282"/>
        <v>0.18584758942457233</v>
      </c>
      <c r="T4521">
        <f t="shared" si="283"/>
        <v>6.25E-2</v>
      </c>
      <c r="U4521" t="str">
        <f>YEAR('Campaign Data'!$A4521)&amp;"-"&amp;TEXT(MONTH('Campaign Data'!$A4521),"00")</f>
        <v>2026-09</v>
      </c>
    </row>
    <row r="4522" spans="1:21" x14ac:dyDescent="0.25">
      <c r="A4522">
        <v>46270</v>
      </c>
      <c r="B4522" t="s">
        <v>151</v>
      </c>
      <c r="C4522" t="s">
        <v>152</v>
      </c>
      <c r="D4522" t="s">
        <v>48</v>
      </c>
      <c r="E4522" t="s">
        <v>24</v>
      </c>
      <c r="F4522" t="s">
        <v>81</v>
      </c>
      <c r="G4522" t="s">
        <v>129</v>
      </c>
      <c r="H4522" t="s">
        <v>90</v>
      </c>
      <c r="I4522" t="s">
        <v>37</v>
      </c>
      <c r="J4522" t="s">
        <v>62</v>
      </c>
      <c r="K4522">
        <v>1052</v>
      </c>
      <c r="L4522">
        <v>4</v>
      </c>
      <c r="M4522">
        <v>1.46</v>
      </c>
      <c r="N4522">
        <v>0</v>
      </c>
      <c r="O4522">
        <v>0</v>
      </c>
      <c r="P4522">
        <f t="shared" si="280"/>
        <v>3.8022813688212928E-3</v>
      </c>
      <c r="Q4522">
        <f t="shared" si="280"/>
        <v>0.36499999999999999</v>
      </c>
      <c r="R4522">
        <f t="shared" si="281"/>
        <v>0</v>
      </c>
      <c r="S4522">
        <f t="shared" si="282"/>
        <v>0</v>
      </c>
      <c r="T4522">
        <f t="shared" si="283"/>
        <v>0</v>
      </c>
      <c r="U4522" t="str">
        <f>YEAR('Campaign Data'!$A4522)&amp;"-"&amp;TEXT(MONTH('Campaign Data'!$A4522),"00")</f>
        <v>2026-09</v>
      </c>
    </row>
    <row r="4523" spans="1:21" x14ac:dyDescent="0.25">
      <c r="A4523">
        <v>46270</v>
      </c>
      <c r="B4523" t="s">
        <v>98</v>
      </c>
      <c r="C4523" t="s">
        <v>99</v>
      </c>
      <c r="D4523" t="s">
        <v>69</v>
      </c>
      <c r="E4523" t="s">
        <v>24</v>
      </c>
      <c r="F4523" t="s">
        <v>75</v>
      </c>
      <c r="G4523" t="s">
        <v>66</v>
      </c>
      <c r="H4523" t="s">
        <v>90</v>
      </c>
      <c r="I4523" t="s">
        <v>37</v>
      </c>
      <c r="J4523" t="s">
        <v>62</v>
      </c>
      <c r="K4523">
        <v>1324</v>
      </c>
      <c r="L4523">
        <v>31</v>
      </c>
      <c r="M4523">
        <v>4.24</v>
      </c>
      <c r="N4523">
        <v>0</v>
      </c>
      <c r="O4523">
        <v>0</v>
      </c>
      <c r="P4523">
        <f t="shared" si="280"/>
        <v>2.3413897280966767E-2</v>
      </c>
      <c r="Q4523">
        <f t="shared" si="280"/>
        <v>0.1367741935483871</v>
      </c>
      <c r="R4523">
        <f t="shared" si="281"/>
        <v>0</v>
      </c>
      <c r="S4523">
        <f t="shared" si="282"/>
        <v>0</v>
      </c>
      <c r="T4523">
        <f t="shared" si="283"/>
        <v>0</v>
      </c>
      <c r="U4523" t="str">
        <f>YEAR('Campaign Data'!$A4523)&amp;"-"&amp;TEXT(MONTH('Campaign Data'!$A4523),"00")</f>
        <v>2026-09</v>
      </c>
    </row>
    <row r="4524" spans="1:21" x14ac:dyDescent="0.25">
      <c r="A4524">
        <v>46270</v>
      </c>
      <c r="B4524" t="s">
        <v>100</v>
      </c>
      <c r="C4524" t="s">
        <v>101</v>
      </c>
      <c r="D4524" t="s">
        <v>80</v>
      </c>
      <c r="E4524" t="s">
        <v>33</v>
      </c>
      <c r="F4524" t="s">
        <v>25</v>
      </c>
      <c r="G4524" t="s">
        <v>102</v>
      </c>
      <c r="H4524" t="s">
        <v>71</v>
      </c>
      <c r="I4524" t="s">
        <v>37</v>
      </c>
      <c r="J4524" t="s">
        <v>38</v>
      </c>
      <c r="K4524">
        <v>9960</v>
      </c>
      <c r="L4524">
        <v>39</v>
      </c>
      <c r="M4524">
        <v>27.06</v>
      </c>
      <c r="N4524">
        <v>0</v>
      </c>
      <c r="O4524">
        <v>0</v>
      </c>
      <c r="P4524">
        <f t="shared" si="280"/>
        <v>3.9156626506024099E-3</v>
      </c>
      <c r="Q4524">
        <f t="shared" si="280"/>
        <v>0.69384615384615378</v>
      </c>
      <c r="R4524">
        <f t="shared" si="281"/>
        <v>0</v>
      </c>
      <c r="S4524">
        <f t="shared" si="282"/>
        <v>0</v>
      </c>
      <c r="T4524">
        <f t="shared" si="283"/>
        <v>0</v>
      </c>
      <c r="U4524" t="str">
        <f>YEAR('Campaign Data'!$A4524)&amp;"-"&amp;TEXT(MONTH('Campaign Data'!$A4524),"00")</f>
        <v>2026-09</v>
      </c>
    </row>
    <row r="4525" spans="1:21" x14ac:dyDescent="0.25">
      <c r="A4525">
        <v>46270</v>
      </c>
      <c r="B4525" t="s">
        <v>100</v>
      </c>
      <c r="C4525" t="s">
        <v>101</v>
      </c>
      <c r="D4525" t="s">
        <v>80</v>
      </c>
      <c r="E4525" t="s">
        <v>33</v>
      </c>
      <c r="F4525" t="s">
        <v>25</v>
      </c>
      <c r="G4525" t="s">
        <v>102</v>
      </c>
      <c r="H4525" t="s">
        <v>27</v>
      </c>
      <c r="I4525" t="s">
        <v>37</v>
      </c>
      <c r="J4525" t="s">
        <v>87</v>
      </c>
      <c r="K4525">
        <v>8371</v>
      </c>
      <c r="L4525">
        <v>67</v>
      </c>
      <c r="M4525">
        <v>55.09</v>
      </c>
      <c r="N4525">
        <v>1</v>
      </c>
      <c r="O4525">
        <v>158.51</v>
      </c>
      <c r="P4525">
        <f t="shared" si="280"/>
        <v>8.0038227212997255E-3</v>
      </c>
      <c r="Q4525">
        <f t="shared" si="280"/>
        <v>0.82223880597014931</v>
      </c>
      <c r="R4525">
        <f t="shared" si="281"/>
        <v>55.09</v>
      </c>
      <c r="S4525">
        <f t="shared" si="282"/>
        <v>2.877291704483572</v>
      </c>
      <c r="T4525">
        <f t="shared" si="283"/>
        <v>1.4925373134328358E-2</v>
      </c>
      <c r="U4525" t="str">
        <f>YEAR('Campaign Data'!$A4525)&amp;"-"&amp;TEXT(MONTH('Campaign Data'!$A4525),"00")</f>
        <v>2026-09</v>
      </c>
    </row>
    <row r="4526" spans="1:21" x14ac:dyDescent="0.25">
      <c r="A4526">
        <v>46270</v>
      </c>
      <c r="B4526" t="s">
        <v>127</v>
      </c>
      <c r="C4526" t="s">
        <v>128</v>
      </c>
      <c r="D4526" t="s">
        <v>58</v>
      </c>
      <c r="E4526" t="s">
        <v>24</v>
      </c>
      <c r="F4526" t="s">
        <v>81</v>
      </c>
      <c r="G4526" t="s">
        <v>129</v>
      </c>
      <c r="H4526" t="s">
        <v>90</v>
      </c>
      <c r="I4526" t="s">
        <v>37</v>
      </c>
      <c r="J4526" t="s">
        <v>45</v>
      </c>
      <c r="K4526">
        <v>1426</v>
      </c>
      <c r="L4526">
        <v>10</v>
      </c>
      <c r="M4526">
        <v>2.73</v>
      </c>
      <c r="N4526">
        <v>1</v>
      </c>
      <c r="O4526">
        <v>6.12</v>
      </c>
      <c r="P4526">
        <f t="shared" si="280"/>
        <v>7.0126227208976155E-3</v>
      </c>
      <c r="Q4526">
        <f t="shared" si="280"/>
        <v>0.27300000000000002</v>
      </c>
      <c r="R4526">
        <f t="shared" si="281"/>
        <v>2.73</v>
      </c>
      <c r="S4526">
        <f t="shared" si="282"/>
        <v>2.2417582417582418</v>
      </c>
      <c r="T4526">
        <f t="shared" si="283"/>
        <v>0.1</v>
      </c>
      <c r="U4526" t="str">
        <f>YEAR('Campaign Data'!$A4526)&amp;"-"&amp;TEXT(MONTH('Campaign Data'!$A4526),"00")</f>
        <v>2026-09</v>
      </c>
    </row>
    <row r="4527" spans="1:21" x14ac:dyDescent="0.25">
      <c r="A4527">
        <v>46270</v>
      </c>
      <c r="B4527" t="s">
        <v>127</v>
      </c>
      <c r="C4527" t="s">
        <v>128</v>
      </c>
      <c r="D4527" t="s">
        <v>58</v>
      </c>
      <c r="E4527" t="s">
        <v>24</v>
      </c>
      <c r="F4527" t="s">
        <v>81</v>
      </c>
      <c r="G4527" t="s">
        <v>129</v>
      </c>
      <c r="H4527" t="s">
        <v>51</v>
      </c>
      <c r="I4527" t="s">
        <v>37</v>
      </c>
      <c r="J4527" t="s">
        <v>29</v>
      </c>
      <c r="K4527">
        <v>3234</v>
      </c>
      <c r="L4527">
        <v>23</v>
      </c>
      <c r="M4527">
        <v>21.88</v>
      </c>
      <c r="N4527">
        <v>2</v>
      </c>
      <c r="O4527">
        <v>52.5</v>
      </c>
      <c r="P4527">
        <f t="shared" si="280"/>
        <v>7.1119356833642547E-3</v>
      </c>
      <c r="Q4527">
        <f t="shared" si="280"/>
        <v>0.95130434782608686</v>
      </c>
      <c r="R4527">
        <f t="shared" si="281"/>
        <v>10.94</v>
      </c>
      <c r="S4527">
        <f t="shared" si="282"/>
        <v>2.3994515539305303</v>
      </c>
      <c r="T4527">
        <f t="shared" si="283"/>
        <v>8.6956521739130432E-2</v>
      </c>
      <c r="U4527" t="str">
        <f>YEAR('Campaign Data'!$A4527)&amp;"-"&amp;TEXT(MONTH('Campaign Data'!$A4527),"00")</f>
        <v>2026-09</v>
      </c>
    </row>
    <row r="4528" spans="1:21" x14ac:dyDescent="0.25">
      <c r="A4528">
        <v>46270</v>
      </c>
      <c r="B4528" t="s">
        <v>108</v>
      </c>
      <c r="C4528" t="s">
        <v>109</v>
      </c>
      <c r="D4528" t="s">
        <v>58</v>
      </c>
      <c r="E4528" t="s">
        <v>33</v>
      </c>
      <c r="F4528" t="s">
        <v>43</v>
      </c>
      <c r="G4528" t="s">
        <v>59</v>
      </c>
      <c r="H4528" t="s">
        <v>27</v>
      </c>
      <c r="I4528" t="s">
        <v>37</v>
      </c>
      <c r="J4528" t="s">
        <v>29</v>
      </c>
      <c r="K4528">
        <v>7533</v>
      </c>
      <c r="L4528">
        <v>37</v>
      </c>
      <c r="M4528">
        <v>29.98</v>
      </c>
      <c r="N4528">
        <v>2</v>
      </c>
      <c r="O4528">
        <v>56.57</v>
      </c>
      <c r="P4528">
        <f t="shared" si="280"/>
        <v>4.9117217575998934E-3</v>
      </c>
      <c r="Q4528">
        <f t="shared" si="280"/>
        <v>0.81027027027027032</v>
      </c>
      <c r="R4528">
        <f t="shared" si="281"/>
        <v>14.99</v>
      </c>
      <c r="S4528">
        <f t="shared" si="282"/>
        <v>1.8869246164109406</v>
      </c>
      <c r="T4528">
        <f t="shared" si="283"/>
        <v>5.4054054054054057E-2</v>
      </c>
      <c r="U4528" t="str">
        <f>YEAR('Campaign Data'!$A4528)&amp;"-"&amp;TEXT(MONTH('Campaign Data'!$A4528),"00")</f>
        <v>2026-09</v>
      </c>
    </row>
    <row r="4529" spans="1:21" x14ac:dyDescent="0.25">
      <c r="A4529">
        <v>46270</v>
      </c>
      <c r="B4529" t="s">
        <v>108</v>
      </c>
      <c r="C4529" t="s">
        <v>109</v>
      </c>
      <c r="D4529" t="s">
        <v>58</v>
      </c>
      <c r="E4529" t="s">
        <v>33</v>
      </c>
      <c r="F4529" t="s">
        <v>43</v>
      </c>
      <c r="G4529" t="s">
        <v>59</v>
      </c>
      <c r="H4529" t="s">
        <v>90</v>
      </c>
      <c r="I4529" t="s">
        <v>28</v>
      </c>
      <c r="J4529" t="s">
        <v>87</v>
      </c>
      <c r="K4529">
        <v>3014</v>
      </c>
      <c r="L4529">
        <v>15</v>
      </c>
      <c r="M4529">
        <v>2.77</v>
      </c>
      <c r="N4529">
        <v>0</v>
      </c>
      <c r="O4529">
        <v>0</v>
      </c>
      <c r="P4529">
        <f t="shared" si="280"/>
        <v>4.9767750497677508E-3</v>
      </c>
      <c r="Q4529">
        <f t="shared" si="280"/>
        <v>0.18466666666666667</v>
      </c>
      <c r="R4529">
        <f t="shared" si="281"/>
        <v>0</v>
      </c>
      <c r="S4529">
        <f t="shared" si="282"/>
        <v>0</v>
      </c>
      <c r="T4529">
        <f t="shared" si="283"/>
        <v>0</v>
      </c>
      <c r="U4529" t="str">
        <f>YEAR('Campaign Data'!$A4529)&amp;"-"&amp;TEXT(MONTH('Campaign Data'!$A4529),"00")</f>
        <v>2026-09</v>
      </c>
    </row>
    <row r="4530" spans="1:21" x14ac:dyDescent="0.25">
      <c r="A4530">
        <v>46270</v>
      </c>
      <c r="B4530" t="s">
        <v>130</v>
      </c>
      <c r="C4530" t="s">
        <v>131</v>
      </c>
      <c r="D4530" t="s">
        <v>48</v>
      </c>
      <c r="E4530" t="s">
        <v>33</v>
      </c>
      <c r="F4530" t="s">
        <v>34</v>
      </c>
      <c r="G4530" t="s">
        <v>35</v>
      </c>
      <c r="H4530" t="s">
        <v>90</v>
      </c>
      <c r="I4530" t="s">
        <v>37</v>
      </c>
      <c r="J4530" t="s">
        <v>38</v>
      </c>
      <c r="K4530">
        <v>6780</v>
      </c>
      <c r="L4530">
        <v>60</v>
      </c>
      <c r="M4530">
        <v>10.07</v>
      </c>
      <c r="N4530">
        <v>1</v>
      </c>
      <c r="O4530">
        <v>33.17</v>
      </c>
      <c r="P4530">
        <f t="shared" si="280"/>
        <v>8.8495575221238937E-3</v>
      </c>
      <c r="Q4530">
        <f t="shared" si="280"/>
        <v>0.16783333333333333</v>
      </c>
      <c r="R4530">
        <f t="shared" si="281"/>
        <v>10.07</v>
      </c>
      <c r="S4530">
        <f t="shared" si="282"/>
        <v>3.293942403177756</v>
      </c>
      <c r="T4530">
        <f t="shared" si="283"/>
        <v>1.6666666666666666E-2</v>
      </c>
      <c r="U4530" t="str">
        <f>YEAR('Campaign Data'!$A4530)&amp;"-"&amp;TEXT(MONTH('Campaign Data'!$A4530),"00")</f>
        <v>2026-09</v>
      </c>
    </row>
    <row r="4531" spans="1:21" x14ac:dyDescent="0.25">
      <c r="A4531">
        <v>46270</v>
      </c>
      <c r="B4531" t="s">
        <v>157</v>
      </c>
      <c r="C4531" t="s">
        <v>158</v>
      </c>
      <c r="D4531" t="s">
        <v>58</v>
      </c>
      <c r="E4531" t="s">
        <v>49</v>
      </c>
      <c r="F4531" t="s">
        <v>81</v>
      </c>
      <c r="G4531" t="s">
        <v>50</v>
      </c>
      <c r="H4531" t="s">
        <v>55</v>
      </c>
      <c r="I4531" t="s">
        <v>28</v>
      </c>
      <c r="J4531" t="s">
        <v>45</v>
      </c>
      <c r="K4531">
        <v>2709</v>
      </c>
      <c r="L4531">
        <v>86</v>
      </c>
      <c r="M4531">
        <v>113.83</v>
      </c>
      <c r="N4531">
        <v>5</v>
      </c>
      <c r="O4531">
        <v>114.66</v>
      </c>
      <c r="P4531">
        <f t="shared" si="280"/>
        <v>3.1746031746031744E-2</v>
      </c>
      <c r="Q4531">
        <f t="shared" si="280"/>
        <v>1.3236046511627906</v>
      </c>
      <c r="R4531">
        <f t="shared" si="281"/>
        <v>22.765999999999998</v>
      </c>
      <c r="S4531">
        <f t="shared" si="282"/>
        <v>1.0072915751559344</v>
      </c>
      <c r="T4531">
        <f t="shared" si="283"/>
        <v>5.8139534883720929E-2</v>
      </c>
      <c r="U4531" t="str">
        <f>YEAR('Campaign Data'!$A4531)&amp;"-"&amp;TEXT(MONTH('Campaign Data'!$A4531),"00")</f>
        <v>2026-09</v>
      </c>
    </row>
    <row r="4532" spans="1:21" x14ac:dyDescent="0.25">
      <c r="A4532">
        <v>46270</v>
      </c>
      <c r="B4532" t="s">
        <v>181</v>
      </c>
      <c r="C4532" t="s">
        <v>182</v>
      </c>
      <c r="D4532" t="s">
        <v>32</v>
      </c>
      <c r="E4532" t="s">
        <v>33</v>
      </c>
      <c r="F4532" t="s">
        <v>75</v>
      </c>
      <c r="G4532" t="s">
        <v>59</v>
      </c>
      <c r="H4532" t="s">
        <v>27</v>
      </c>
      <c r="I4532" t="s">
        <v>37</v>
      </c>
      <c r="J4532" t="s">
        <v>87</v>
      </c>
      <c r="K4532">
        <v>14940</v>
      </c>
      <c r="L4532">
        <v>132</v>
      </c>
      <c r="M4532">
        <v>102.2</v>
      </c>
      <c r="N4532">
        <v>7</v>
      </c>
      <c r="O4532">
        <v>311.14999999999998</v>
      </c>
      <c r="P4532">
        <f t="shared" si="280"/>
        <v>8.8353413654618466E-3</v>
      </c>
      <c r="Q4532">
        <f t="shared" si="280"/>
        <v>0.77424242424242429</v>
      </c>
      <c r="R4532">
        <f t="shared" si="281"/>
        <v>14.6</v>
      </c>
      <c r="S4532">
        <f t="shared" si="282"/>
        <v>3.0445205479452051</v>
      </c>
      <c r="T4532">
        <f t="shared" si="283"/>
        <v>5.3030303030303032E-2</v>
      </c>
      <c r="U4532" t="str">
        <f>YEAR('Campaign Data'!$A4532)&amp;"-"&amp;TEXT(MONTH('Campaign Data'!$A4532),"00")</f>
        <v>2026-09</v>
      </c>
    </row>
    <row r="4533" spans="1:21" x14ac:dyDescent="0.25">
      <c r="A4533">
        <v>46270</v>
      </c>
      <c r="B4533" t="s">
        <v>136</v>
      </c>
      <c r="C4533" t="s">
        <v>137</v>
      </c>
      <c r="D4533" t="s">
        <v>32</v>
      </c>
      <c r="E4533" t="s">
        <v>49</v>
      </c>
      <c r="F4533" t="s">
        <v>75</v>
      </c>
      <c r="G4533" t="s">
        <v>97</v>
      </c>
      <c r="H4533" t="s">
        <v>36</v>
      </c>
      <c r="I4533" t="s">
        <v>37</v>
      </c>
      <c r="J4533" t="s">
        <v>87</v>
      </c>
      <c r="K4533">
        <v>8378</v>
      </c>
      <c r="L4533">
        <v>346</v>
      </c>
      <c r="M4533">
        <v>648.74</v>
      </c>
      <c r="N4533">
        <v>21</v>
      </c>
      <c r="O4533">
        <v>307.45999999999998</v>
      </c>
      <c r="P4533">
        <f t="shared" si="280"/>
        <v>4.1298639293387444E-2</v>
      </c>
      <c r="Q4533">
        <f t="shared" si="280"/>
        <v>1.874971098265896</v>
      </c>
      <c r="R4533">
        <f t="shared" si="281"/>
        <v>30.892380952380954</v>
      </c>
      <c r="S4533">
        <f t="shared" si="282"/>
        <v>0.47393408761599404</v>
      </c>
      <c r="T4533">
        <f t="shared" si="283"/>
        <v>6.0693641618497107E-2</v>
      </c>
      <c r="U4533" t="str">
        <f>YEAR('Campaign Data'!$A4533)&amp;"-"&amp;TEXT(MONTH('Campaign Data'!$A4533),"00")</f>
        <v>2026-09</v>
      </c>
    </row>
    <row r="4534" spans="1:21" x14ac:dyDescent="0.25">
      <c r="A4534">
        <v>46270</v>
      </c>
      <c r="B4534" t="s">
        <v>143</v>
      </c>
      <c r="C4534" t="s">
        <v>144</v>
      </c>
      <c r="D4534" t="s">
        <v>48</v>
      </c>
      <c r="E4534" t="s">
        <v>42</v>
      </c>
      <c r="F4534" t="s">
        <v>25</v>
      </c>
      <c r="G4534" t="s">
        <v>84</v>
      </c>
      <c r="H4534" t="s">
        <v>27</v>
      </c>
      <c r="I4534" t="s">
        <v>37</v>
      </c>
      <c r="J4534" t="s">
        <v>62</v>
      </c>
      <c r="K4534">
        <v>5657</v>
      </c>
      <c r="L4534">
        <v>50</v>
      </c>
      <c r="M4534">
        <v>309.22000000000003</v>
      </c>
      <c r="N4534">
        <v>1</v>
      </c>
      <c r="O4534">
        <v>207.74</v>
      </c>
      <c r="P4534">
        <f t="shared" si="280"/>
        <v>8.8386070355311996E-3</v>
      </c>
      <c r="Q4534">
        <f t="shared" si="280"/>
        <v>6.1844000000000001</v>
      </c>
      <c r="R4534">
        <f t="shared" si="281"/>
        <v>309.22000000000003</v>
      </c>
      <c r="S4534">
        <f t="shared" si="282"/>
        <v>0.67181941659659783</v>
      </c>
      <c r="T4534">
        <f t="shared" si="283"/>
        <v>0.02</v>
      </c>
      <c r="U4534" t="str">
        <f>YEAR('Campaign Data'!$A4534)&amp;"-"&amp;TEXT(MONTH('Campaign Data'!$A4534),"00")</f>
        <v>2026-09</v>
      </c>
    </row>
    <row r="4535" spans="1:21" x14ac:dyDescent="0.25">
      <c r="A4535">
        <v>46270</v>
      </c>
      <c r="B4535" t="s">
        <v>120</v>
      </c>
      <c r="C4535" t="s">
        <v>121</v>
      </c>
      <c r="D4535" t="s">
        <v>23</v>
      </c>
      <c r="E4535" t="s">
        <v>49</v>
      </c>
      <c r="F4535" t="s">
        <v>75</v>
      </c>
      <c r="G4535" t="s">
        <v>70</v>
      </c>
      <c r="H4535" t="s">
        <v>71</v>
      </c>
      <c r="I4535" t="s">
        <v>28</v>
      </c>
      <c r="J4535" t="s">
        <v>45</v>
      </c>
      <c r="K4535">
        <v>5179</v>
      </c>
      <c r="L4535">
        <v>263</v>
      </c>
      <c r="M4535">
        <v>533.11</v>
      </c>
      <c r="N4535">
        <v>18</v>
      </c>
      <c r="O4535">
        <v>440.53</v>
      </c>
      <c r="P4535">
        <f t="shared" si="280"/>
        <v>5.0782004247924312E-2</v>
      </c>
      <c r="Q4535">
        <f t="shared" si="280"/>
        <v>2.0270342205323195</v>
      </c>
      <c r="R4535">
        <f t="shared" si="281"/>
        <v>29.617222222222225</v>
      </c>
      <c r="S4535">
        <f t="shared" si="282"/>
        <v>0.82633977978278395</v>
      </c>
      <c r="T4535">
        <f t="shared" si="283"/>
        <v>6.8441064638783272E-2</v>
      </c>
      <c r="U4535" t="str">
        <f>YEAR('Campaign Data'!$A4535)&amp;"-"&amp;TEXT(MONTH('Campaign Data'!$A4535),"00")</f>
        <v>2026-09</v>
      </c>
    </row>
    <row r="4536" spans="1:21" x14ac:dyDescent="0.25">
      <c r="A4536">
        <v>46270</v>
      </c>
      <c r="B4536" t="s">
        <v>82</v>
      </c>
      <c r="C4536" t="s">
        <v>83</v>
      </c>
      <c r="D4536" t="s">
        <v>80</v>
      </c>
      <c r="E4536" t="s">
        <v>42</v>
      </c>
      <c r="F4536" t="s">
        <v>34</v>
      </c>
      <c r="G4536" t="s">
        <v>84</v>
      </c>
      <c r="H4536" t="s">
        <v>51</v>
      </c>
      <c r="I4536" t="s">
        <v>37</v>
      </c>
      <c r="J4536" t="s">
        <v>29</v>
      </c>
      <c r="K4536">
        <v>3247</v>
      </c>
      <c r="L4536">
        <v>26</v>
      </c>
      <c r="M4536">
        <v>142.15</v>
      </c>
      <c r="N4536">
        <v>1</v>
      </c>
      <c r="O4536">
        <v>166.98</v>
      </c>
      <c r="P4536">
        <f t="shared" si="280"/>
        <v>8.0073914382506935E-3</v>
      </c>
      <c r="Q4536">
        <f t="shared" si="280"/>
        <v>5.4673076923076929</v>
      </c>
      <c r="R4536">
        <f t="shared" si="281"/>
        <v>142.15</v>
      </c>
      <c r="S4536">
        <f t="shared" si="282"/>
        <v>1.1746746394653533</v>
      </c>
      <c r="T4536">
        <f t="shared" si="283"/>
        <v>3.8461538461538464E-2</v>
      </c>
      <c r="U4536" t="str">
        <f>YEAR('Campaign Data'!$A4536)&amp;"-"&amp;TEXT(MONTH('Campaign Data'!$A4536),"00")</f>
        <v>2026-09</v>
      </c>
    </row>
    <row r="4537" spans="1:21" x14ac:dyDescent="0.25">
      <c r="A4537">
        <v>46270</v>
      </c>
      <c r="B4537" t="s">
        <v>82</v>
      </c>
      <c r="C4537" t="s">
        <v>83</v>
      </c>
      <c r="D4537" t="s">
        <v>80</v>
      </c>
      <c r="E4537" t="s">
        <v>42</v>
      </c>
      <c r="F4537" t="s">
        <v>34</v>
      </c>
      <c r="G4537" t="s">
        <v>84</v>
      </c>
      <c r="H4537" t="s">
        <v>27</v>
      </c>
      <c r="I4537" t="s">
        <v>28</v>
      </c>
      <c r="J4537" t="s">
        <v>62</v>
      </c>
      <c r="K4537">
        <v>2828</v>
      </c>
      <c r="L4537">
        <v>23</v>
      </c>
      <c r="M4537">
        <v>232.88</v>
      </c>
      <c r="N4537">
        <v>2</v>
      </c>
      <c r="O4537">
        <v>384.43</v>
      </c>
      <c r="P4537">
        <f t="shared" si="280"/>
        <v>8.1329561527581327E-3</v>
      </c>
      <c r="Q4537">
        <f t="shared" si="280"/>
        <v>10.125217391304348</v>
      </c>
      <c r="R4537">
        <f t="shared" si="281"/>
        <v>116.44</v>
      </c>
      <c r="S4537">
        <f t="shared" si="282"/>
        <v>1.6507643421504639</v>
      </c>
      <c r="T4537">
        <f t="shared" si="283"/>
        <v>8.6956521739130432E-2</v>
      </c>
      <c r="U4537" t="str">
        <f>YEAR('Campaign Data'!$A4537)&amp;"-"&amp;TEXT(MONTH('Campaign Data'!$A4537),"00")</f>
        <v>2026-09</v>
      </c>
    </row>
    <row r="4538" spans="1:21" x14ac:dyDescent="0.25">
      <c r="A4538">
        <v>46271</v>
      </c>
      <c r="B4538" t="s">
        <v>21</v>
      </c>
      <c r="C4538" t="s">
        <v>124</v>
      </c>
      <c r="D4538" t="s">
        <v>23</v>
      </c>
      <c r="E4538" t="s">
        <v>24</v>
      </c>
      <c r="F4538" t="s">
        <v>25</v>
      </c>
      <c r="G4538" t="s">
        <v>26</v>
      </c>
      <c r="H4538" t="s">
        <v>36</v>
      </c>
      <c r="I4538" t="s">
        <v>37</v>
      </c>
      <c r="J4538" t="s">
        <v>62</v>
      </c>
      <c r="K4538">
        <v>4492</v>
      </c>
      <c r="L4538">
        <v>104</v>
      </c>
      <c r="M4538">
        <v>101.02</v>
      </c>
      <c r="N4538">
        <v>3</v>
      </c>
      <c r="O4538">
        <v>329.63</v>
      </c>
      <c r="P4538">
        <f t="shared" si="280"/>
        <v>2.3152270703472842E-2</v>
      </c>
      <c r="Q4538">
        <f t="shared" si="280"/>
        <v>0.97134615384615386</v>
      </c>
      <c r="R4538">
        <f t="shared" si="281"/>
        <v>33.673333333333332</v>
      </c>
      <c r="S4538">
        <f t="shared" si="282"/>
        <v>3.2630172243120175</v>
      </c>
      <c r="T4538">
        <f t="shared" si="283"/>
        <v>2.8846153846153848E-2</v>
      </c>
      <c r="U4538" t="str">
        <f>YEAR('Campaign Data'!$A4538)&amp;"-"&amp;TEXT(MONTH('Campaign Data'!$A4538),"00")</f>
        <v>2026-09</v>
      </c>
    </row>
    <row r="4539" spans="1:21" x14ac:dyDescent="0.25">
      <c r="A4539">
        <v>46271</v>
      </c>
      <c r="B4539" t="s">
        <v>147</v>
      </c>
      <c r="C4539" t="s">
        <v>148</v>
      </c>
      <c r="D4539" t="s">
        <v>23</v>
      </c>
      <c r="E4539" t="s">
        <v>42</v>
      </c>
      <c r="F4539" t="s">
        <v>75</v>
      </c>
      <c r="G4539" t="s">
        <v>44</v>
      </c>
      <c r="H4539" t="s">
        <v>27</v>
      </c>
      <c r="I4539" t="s">
        <v>37</v>
      </c>
      <c r="J4539" t="s">
        <v>87</v>
      </c>
      <c r="K4539">
        <v>21490</v>
      </c>
      <c r="L4539">
        <v>172</v>
      </c>
      <c r="M4539">
        <v>1030.98</v>
      </c>
      <c r="N4539">
        <v>4</v>
      </c>
      <c r="O4539">
        <v>171.58</v>
      </c>
      <c r="P4539">
        <f t="shared" si="280"/>
        <v>8.0037226617031172E-3</v>
      </c>
      <c r="Q4539">
        <f t="shared" si="280"/>
        <v>5.9940697674418608</v>
      </c>
      <c r="R4539">
        <f t="shared" si="281"/>
        <v>257.745</v>
      </c>
      <c r="S4539">
        <f t="shared" si="282"/>
        <v>0.16642417893654582</v>
      </c>
      <c r="T4539">
        <f t="shared" si="283"/>
        <v>2.3255813953488372E-2</v>
      </c>
      <c r="U4539" t="str">
        <f>YEAR('Campaign Data'!$A4539)&amp;"-"&amp;TEXT(MONTH('Campaign Data'!$A4539),"00")</f>
        <v>2026-09</v>
      </c>
    </row>
    <row r="4540" spans="1:21" x14ac:dyDescent="0.25">
      <c r="A4540">
        <v>46271</v>
      </c>
      <c r="B4540" t="s">
        <v>125</v>
      </c>
      <c r="C4540" t="s">
        <v>126</v>
      </c>
      <c r="D4540" t="s">
        <v>41</v>
      </c>
      <c r="E4540" t="s">
        <v>42</v>
      </c>
      <c r="F4540" t="s">
        <v>81</v>
      </c>
      <c r="G4540" t="s">
        <v>44</v>
      </c>
      <c r="H4540" t="s">
        <v>71</v>
      </c>
      <c r="I4540" t="s">
        <v>37</v>
      </c>
      <c r="J4540" t="s">
        <v>29</v>
      </c>
      <c r="K4540">
        <v>5601</v>
      </c>
      <c r="L4540">
        <v>21</v>
      </c>
      <c r="M4540">
        <v>111.73</v>
      </c>
      <c r="N4540">
        <v>0</v>
      </c>
      <c r="O4540">
        <v>0</v>
      </c>
      <c r="P4540">
        <f t="shared" si="280"/>
        <v>3.7493304767005891E-3</v>
      </c>
      <c r="Q4540">
        <f t="shared" si="280"/>
        <v>5.3204761904761906</v>
      </c>
      <c r="R4540">
        <f t="shared" si="281"/>
        <v>0</v>
      </c>
      <c r="S4540">
        <f t="shared" si="282"/>
        <v>0</v>
      </c>
      <c r="T4540">
        <f t="shared" si="283"/>
        <v>0</v>
      </c>
      <c r="U4540" t="str">
        <f>YEAR('Campaign Data'!$A4540)&amp;"-"&amp;TEXT(MONTH('Campaign Data'!$A4540),"00")</f>
        <v>2026-09</v>
      </c>
    </row>
    <row r="4541" spans="1:21" x14ac:dyDescent="0.25">
      <c r="A4541">
        <v>46271</v>
      </c>
      <c r="B4541" t="s">
        <v>91</v>
      </c>
      <c r="C4541" t="s">
        <v>92</v>
      </c>
      <c r="D4541" t="s">
        <v>41</v>
      </c>
      <c r="E4541" t="s">
        <v>74</v>
      </c>
      <c r="F4541" t="s">
        <v>75</v>
      </c>
      <c r="G4541" t="s">
        <v>9</v>
      </c>
      <c r="H4541" t="s">
        <v>27</v>
      </c>
      <c r="I4541" t="s">
        <v>28</v>
      </c>
      <c r="J4541" t="s">
        <v>29</v>
      </c>
      <c r="K4541">
        <v>1843</v>
      </c>
      <c r="L4541">
        <v>57</v>
      </c>
      <c r="M4541">
        <v>132.11000000000001</v>
      </c>
      <c r="N4541">
        <v>1</v>
      </c>
      <c r="O4541">
        <v>23.46</v>
      </c>
      <c r="P4541">
        <f t="shared" si="280"/>
        <v>3.0927835051546393E-2</v>
      </c>
      <c r="Q4541">
        <f t="shared" si="280"/>
        <v>2.3177192982456143</v>
      </c>
      <c r="R4541">
        <f t="shared" si="281"/>
        <v>132.11000000000001</v>
      </c>
      <c r="S4541">
        <f t="shared" si="282"/>
        <v>0.17757928998561803</v>
      </c>
      <c r="T4541">
        <f t="shared" si="283"/>
        <v>1.7543859649122806E-2</v>
      </c>
      <c r="U4541" t="str">
        <f>YEAR('Campaign Data'!$A4541)&amp;"-"&amp;TEXT(MONTH('Campaign Data'!$A4541),"00")</f>
        <v>2026-09</v>
      </c>
    </row>
    <row r="4542" spans="1:21" x14ac:dyDescent="0.25">
      <c r="A4542">
        <v>46271</v>
      </c>
      <c r="B4542" t="s">
        <v>186</v>
      </c>
      <c r="C4542" t="s">
        <v>187</v>
      </c>
      <c r="D4542" t="s">
        <v>80</v>
      </c>
      <c r="E4542" t="s">
        <v>33</v>
      </c>
      <c r="F4542" t="s">
        <v>43</v>
      </c>
      <c r="G4542" t="s">
        <v>102</v>
      </c>
      <c r="H4542" t="s">
        <v>55</v>
      </c>
      <c r="I4542" t="s">
        <v>61</v>
      </c>
      <c r="J4542" t="s">
        <v>45</v>
      </c>
      <c r="K4542">
        <v>10499</v>
      </c>
      <c r="L4542">
        <v>76</v>
      </c>
      <c r="M4542">
        <v>26.83</v>
      </c>
      <c r="N4542">
        <v>1</v>
      </c>
      <c r="O4542">
        <v>18.34</v>
      </c>
      <c r="P4542">
        <f t="shared" si="280"/>
        <v>7.2387846461567772E-3</v>
      </c>
      <c r="Q4542">
        <f t="shared" si="280"/>
        <v>0.35302631578947369</v>
      </c>
      <c r="R4542">
        <f t="shared" si="281"/>
        <v>26.83</v>
      </c>
      <c r="S4542">
        <f t="shared" si="282"/>
        <v>0.68356317554975776</v>
      </c>
      <c r="T4542">
        <f t="shared" si="283"/>
        <v>1.3157894736842105E-2</v>
      </c>
      <c r="U4542" t="str">
        <f>YEAR('Campaign Data'!$A4542)&amp;"-"&amp;TEXT(MONTH('Campaign Data'!$A4542),"00")</f>
        <v>2026-09</v>
      </c>
    </row>
    <row r="4543" spans="1:21" x14ac:dyDescent="0.25">
      <c r="A4543">
        <v>46271</v>
      </c>
      <c r="B4543" t="s">
        <v>95</v>
      </c>
      <c r="C4543" t="s">
        <v>96</v>
      </c>
      <c r="D4543" t="s">
        <v>23</v>
      </c>
      <c r="E4543" t="s">
        <v>49</v>
      </c>
      <c r="F4543" t="s">
        <v>43</v>
      </c>
      <c r="G4543" t="s">
        <v>97</v>
      </c>
      <c r="H4543" t="s">
        <v>90</v>
      </c>
      <c r="I4543" t="s">
        <v>28</v>
      </c>
      <c r="J4543" t="s">
        <v>29</v>
      </c>
      <c r="K4543">
        <v>1357</v>
      </c>
      <c r="L4543">
        <v>57</v>
      </c>
      <c r="M4543">
        <v>23.76</v>
      </c>
      <c r="N4543">
        <v>7</v>
      </c>
      <c r="O4543">
        <v>58.09</v>
      </c>
      <c r="P4543">
        <f t="shared" si="280"/>
        <v>4.200442151805453E-2</v>
      </c>
      <c r="Q4543">
        <f t="shared" si="280"/>
        <v>0.4168421052631579</v>
      </c>
      <c r="R4543">
        <f t="shared" si="281"/>
        <v>3.3942857142857146</v>
      </c>
      <c r="S4543">
        <f t="shared" si="282"/>
        <v>2.4448653198653196</v>
      </c>
      <c r="T4543">
        <f t="shared" si="283"/>
        <v>0.12280701754385964</v>
      </c>
      <c r="U4543" t="str">
        <f>YEAR('Campaign Data'!$A4543)&amp;"-"&amp;TEXT(MONTH('Campaign Data'!$A4543),"00")</f>
        <v>2026-09</v>
      </c>
    </row>
    <row r="4544" spans="1:21" x14ac:dyDescent="0.25">
      <c r="A4544">
        <v>46271</v>
      </c>
      <c r="B4544" t="s">
        <v>46</v>
      </c>
      <c r="C4544" t="s">
        <v>47</v>
      </c>
      <c r="D4544" t="s">
        <v>48</v>
      </c>
      <c r="E4544" t="s">
        <v>49</v>
      </c>
      <c r="F4544" t="s">
        <v>43</v>
      </c>
      <c r="G4544" t="s">
        <v>50</v>
      </c>
      <c r="H4544" t="s">
        <v>90</v>
      </c>
      <c r="I4544" t="s">
        <v>37</v>
      </c>
      <c r="J4544" t="s">
        <v>38</v>
      </c>
      <c r="K4544">
        <v>3038</v>
      </c>
      <c r="L4544">
        <v>125</v>
      </c>
      <c r="M4544">
        <v>53.84</v>
      </c>
      <c r="N4544">
        <v>5</v>
      </c>
      <c r="O4544">
        <v>36.25</v>
      </c>
      <c r="P4544">
        <f t="shared" si="280"/>
        <v>4.1145490454246217E-2</v>
      </c>
      <c r="Q4544">
        <f t="shared" si="280"/>
        <v>0.43072000000000005</v>
      </c>
      <c r="R4544">
        <f t="shared" si="281"/>
        <v>10.768000000000001</v>
      </c>
      <c r="S4544">
        <f t="shared" si="282"/>
        <v>0.6732912332838038</v>
      </c>
      <c r="T4544">
        <f t="shared" si="283"/>
        <v>0.04</v>
      </c>
      <c r="U4544" t="str">
        <f>YEAR('Campaign Data'!$A4544)&amp;"-"&amp;TEXT(MONTH('Campaign Data'!$A4544),"00")</f>
        <v>2026-09</v>
      </c>
    </row>
    <row r="4545" spans="1:21" x14ac:dyDescent="0.25">
      <c r="A4545">
        <v>46271</v>
      </c>
      <c r="B4545" t="s">
        <v>153</v>
      </c>
      <c r="C4545" t="s">
        <v>154</v>
      </c>
      <c r="D4545" t="s">
        <v>48</v>
      </c>
      <c r="E4545" t="s">
        <v>33</v>
      </c>
      <c r="F4545" t="s">
        <v>43</v>
      </c>
      <c r="G4545" t="s">
        <v>59</v>
      </c>
      <c r="H4545" t="s">
        <v>36</v>
      </c>
      <c r="I4545" t="s">
        <v>28</v>
      </c>
      <c r="J4545" t="s">
        <v>62</v>
      </c>
      <c r="K4545">
        <v>3713</v>
      </c>
      <c r="L4545">
        <v>39</v>
      </c>
      <c r="M4545">
        <v>22.54</v>
      </c>
      <c r="N4545">
        <v>1</v>
      </c>
      <c r="O4545">
        <v>30.89</v>
      </c>
      <c r="P4545">
        <f t="shared" si="280"/>
        <v>1.050363587395637E-2</v>
      </c>
      <c r="Q4545">
        <f t="shared" si="280"/>
        <v>0.57794871794871794</v>
      </c>
      <c r="R4545">
        <f t="shared" si="281"/>
        <v>22.54</v>
      </c>
      <c r="S4545">
        <f t="shared" si="282"/>
        <v>1.3704525288376221</v>
      </c>
      <c r="T4545">
        <f t="shared" si="283"/>
        <v>2.564102564102564E-2</v>
      </c>
      <c r="U4545" t="str">
        <f>YEAR('Campaign Data'!$A4545)&amp;"-"&amp;TEXT(MONTH('Campaign Data'!$A4545),"00")</f>
        <v>2026-09</v>
      </c>
    </row>
    <row r="4546" spans="1:21" x14ac:dyDescent="0.25">
      <c r="A4546">
        <v>46271</v>
      </c>
      <c r="B4546" t="s">
        <v>155</v>
      </c>
      <c r="C4546" t="s">
        <v>156</v>
      </c>
      <c r="D4546" t="s">
        <v>32</v>
      </c>
      <c r="E4546" t="s">
        <v>24</v>
      </c>
      <c r="F4546" t="s">
        <v>34</v>
      </c>
      <c r="G4546" t="s">
        <v>129</v>
      </c>
      <c r="H4546" t="s">
        <v>27</v>
      </c>
      <c r="I4546" t="s">
        <v>37</v>
      </c>
      <c r="J4546" t="s">
        <v>62</v>
      </c>
      <c r="K4546">
        <v>2734</v>
      </c>
      <c r="L4546">
        <v>40</v>
      </c>
      <c r="M4546">
        <v>37</v>
      </c>
      <c r="N4546">
        <v>0</v>
      </c>
      <c r="O4546">
        <v>0</v>
      </c>
      <c r="P4546">
        <f t="shared" ref="P4546:Q4609" si="284">IF(K4546=0,0,L4546/K4546)</f>
        <v>1.4630577907827359E-2</v>
      </c>
      <c r="Q4546">
        <f t="shared" si="284"/>
        <v>0.92500000000000004</v>
      </c>
      <c r="R4546">
        <f t="shared" ref="R4546:R4609" si="285">IF(N4546=0,0,M4546/N4546)</f>
        <v>0</v>
      </c>
      <c r="S4546">
        <f t="shared" ref="S4546:S4609" si="286">IF(M4546=0,0,O4546/M4546)</f>
        <v>0</v>
      </c>
      <c r="T4546">
        <f t="shared" ref="T4546:T4609" si="287">IF(L4546=0,0,N4546/L4546)</f>
        <v>0</v>
      </c>
      <c r="U4546" t="str">
        <f>YEAR('Campaign Data'!$A4546)&amp;"-"&amp;TEXT(MONTH('Campaign Data'!$A4546),"00")</f>
        <v>2026-09</v>
      </c>
    </row>
    <row r="4547" spans="1:21" x14ac:dyDescent="0.25">
      <c r="A4547">
        <v>46271</v>
      </c>
      <c r="B4547" t="s">
        <v>116</v>
      </c>
      <c r="C4547" t="s">
        <v>117</v>
      </c>
      <c r="D4547" t="s">
        <v>48</v>
      </c>
      <c r="E4547" t="s">
        <v>24</v>
      </c>
      <c r="F4547" t="s">
        <v>43</v>
      </c>
      <c r="G4547" t="s">
        <v>26</v>
      </c>
      <c r="H4547" t="s">
        <v>51</v>
      </c>
      <c r="I4547" t="s">
        <v>61</v>
      </c>
      <c r="J4547" t="s">
        <v>62</v>
      </c>
      <c r="K4547">
        <v>8731</v>
      </c>
      <c r="L4547">
        <v>164</v>
      </c>
      <c r="M4547">
        <v>148.88</v>
      </c>
      <c r="N4547">
        <v>3</v>
      </c>
      <c r="O4547">
        <v>88.15</v>
      </c>
      <c r="P4547">
        <f t="shared" si="284"/>
        <v>1.8783644485167793E-2</v>
      </c>
      <c r="Q4547">
        <f t="shared" si="284"/>
        <v>0.90780487804878041</v>
      </c>
      <c r="R4547">
        <f t="shared" si="285"/>
        <v>49.626666666666665</v>
      </c>
      <c r="S4547">
        <f t="shared" si="286"/>
        <v>0.59208758731864597</v>
      </c>
      <c r="T4547">
        <f t="shared" si="287"/>
        <v>1.8292682926829267E-2</v>
      </c>
      <c r="U4547" t="str">
        <f>YEAR('Campaign Data'!$A4547)&amp;"-"&amp;TEXT(MONTH('Campaign Data'!$A4547),"00")</f>
        <v>2026-09</v>
      </c>
    </row>
    <row r="4548" spans="1:21" x14ac:dyDescent="0.25">
      <c r="A4548">
        <v>46271</v>
      </c>
      <c r="B4548" t="s">
        <v>163</v>
      </c>
      <c r="C4548" t="s">
        <v>164</v>
      </c>
      <c r="D4548" t="s">
        <v>58</v>
      </c>
      <c r="E4548" t="s">
        <v>42</v>
      </c>
      <c r="F4548" t="s">
        <v>43</v>
      </c>
      <c r="G4548" t="s">
        <v>44</v>
      </c>
      <c r="H4548" t="s">
        <v>71</v>
      </c>
      <c r="I4548" t="s">
        <v>28</v>
      </c>
      <c r="J4548" t="s">
        <v>87</v>
      </c>
      <c r="K4548">
        <v>3387</v>
      </c>
      <c r="L4548">
        <v>26</v>
      </c>
      <c r="M4548">
        <v>129.38999999999999</v>
      </c>
      <c r="N4548">
        <v>3</v>
      </c>
      <c r="O4548">
        <v>71.709999999999994</v>
      </c>
      <c r="P4548">
        <f t="shared" si="284"/>
        <v>7.6764098021848241E-3</v>
      </c>
      <c r="Q4548">
        <f t="shared" si="284"/>
        <v>4.9765384615384614</v>
      </c>
      <c r="R4548">
        <f t="shared" si="285"/>
        <v>43.129999999999995</v>
      </c>
      <c r="S4548">
        <f t="shared" si="286"/>
        <v>0.5542159363165623</v>
      </c>
      <c r="T4548">
        <f t="shared" si="287"/>
        <v>0.11538461538461539</v>
      </c>
      <c r="U4548" t="str">
        <f>YEAR('Campaign Data'!$A4548)&amp;"-"&amp;TEXT(MONTH('Campaign Data'!$A4548),"00")</f>
        <v>2026-09</v>
      </c>
    </row>
    <row r="4549" spans="1:21" x14ac:dyDescent="0.25">
      <c r="A4549">
        <v>46272</v>
      </c>
      <c r="B4549" t="s">
        <v>165</v>
      </c>
      <c r="C4549" t="s">
        <v>166</v>
      </c>
      <c r="D4549" t="s">
        <v>41</v>
      </c>
      <c r="E4549" t="s">
        <v>33</v>
      </c>
      <c r="F4549" t="s">
        <v>43</v>
      </c>
      <c r="G4549" t="s">
        <v>59</v>
      </c>
      <c r="H4549" t="s">
        <v>90</v>
      </c>
      <c r="I4549" t="s">
        <v>28</v>
      </c>
      <c r="J4549" t="s">
        <v>38</v>
      </c>
      <c r="K4549">
        <v>2786</v>
      </c>
      <c r="L4549">
        <v>24</v>
      </c>
      <c r="M4549">
        <v>3.02</v>
      </c>
      <c r="N4549">
        <v>0</v>
      </c>
      <c r="O4549">
        <v>0</v>
      </c>
      <c r="P4549">
        <f t="shared" si="284"/>
        <v>8.6145010768126345E-3</v>
      </c>
      <c r="Q4549">
        <f t="shared" si="284"/>
        <v>0.12583333333333332</v>
      </c>
      <c r="R4549">
        <f t="shared" si="285"/>
        <v>0</v>
      </c>
      <c r="S4549">
        <f t="shared" si="286"/>
        <v>0</v>
      </c>
      <c r="T4549">
        <f t="shared" si="287"/>
        <v>0</v>
      </c>
      <c r="U4549" t="str">
        <f>YEAR('Campaign Data'!$A4549)&amp;"-"&amp;TEXT(MONTH('Campaign Data'!$A4549),"00")</f>
        <v>2026-09</v>
      </c>
    </row>
    <row r="4550" spans="1:21" x14ac:dyDescent="0.25">
      <c r="A4550">
        <v>46272</v>
      </c>
      <c r="B4550" t="s">
        <v>85</v>
      </c>
      <c r="C4550" t="s">
        <v>86</v>
      </c>
      <c r="D4550" t="s">
        <v>80</v>
      </c>
      <c r="E4550" t="s">
        <v>33</v>
      </c>
      <c r="F4550" t="s">
        <v>43</v>
      </c>
      <c r="G4550" t="s">
        <v>35</v>
      </c>
      <c r="H4550" t="s">
        <v>27</v>
      </c>
      <c r="I4550" t="s">
        <v>37</v>
      </c>
      <c r="J4550" t="s">
        <v>45</v>
      </c>
      <c r="K4550">
        <v>3974</v>
      </c>
      <c r="L4550">
        <v>24</v>
      </c>
      <c r="M4550">
        <v>16.62</v>
      </c>
      <c r="N4550">
        <v>1</v>
      </c>
      <c r="O4550">
        <v>21.67</v>
      </c>
      <c r="P4550">
        <f t="shared" si="284"/>
        <v>6.0392551585304478E-3</v>
      </c>
      <c r="Q4550">
        <f t="shared" si="284"/>
        <v>0.6925</v>
      </c>
      <c r="R4550">
        <f t="shared" si="285"/>
        <v>16.62</v>
      </c>
      <c r="S4550">
        <f t="shared" si="286"/>
        <v>1.3038507821901324</v>
      </c>
      <c r="T4550">
        <f t="shared" si="287"/>
        <v>4.1666666666666664E-2</v>
      </c>
      <c r="U4550" t="str">
        <f>YEAR('Campaign Data'!$A4550)&amp;"-"&amp;TEXT(MONTH('Campaign Data'!$A4550),"00")</f>
        <v>2026-09</v>
      </c>
    </row>
    <row r="4551" spans="1:21" x14ac:dyDescent="0.25">
      <c r="A4551">
        <v>46272</v>
      </c>
      <c r="B4551" t="s">
        <v>125</v>
      </c>
      <c r="C4551" t="s">
        <v>126</v>
      </c>
      <c r="D4551" t="s">
        <v>41</v>
      </c>
      <c r="E4551" t="s">
        <v>42</v>
      </c>
      <c r="F4551" t="s">
        <v>81</v>
      </c>
      <c r="G4551" t="s">
        <v>44</v>
      </c>
      <c r="H4551" t="s">
        <v>27</v>
      </c>
      <c r="I4551" t="s">
        <v>37</v>
      </c>
      <c r="J4551" t="s">
        <v>87</v>
      </c>
      <c r="K4551">
        <v>5035</v>
      </c>
      <c r="L4551">
        <v>25</v>
      </c>
      <c r="M4551">
        <v>214.66</v>
      </c>
      <c r="N4551">
        <v>2</v>
      </c>
      <c r="O4551">
        <v>69.8</v>
      </c>
      <c r="P4551">
        <f t="shared" si="284"/>
        <v>4.9652432969215492E-3</v>
      </c>
      <c r="Q4551">
        <f t="shared" si="284"/>
        <v>8.5863999999999994</v>
      </c>
      <c r="R4551">
        <f t="shared" si="285"/>
        <v>107.33</v>
      </c>
      <c r="S4551">
        <f t="shared" si="286"/>
        <v>0.32516537780676419</v>
      </c>
      <c r="T4551">
        <f t="shared" si="287"/>
        <v>0.08</v>
      </c>
      <c r="U4551" t="str">
        <f>YEAR('Campaign Data'!$A4551)&amp;"-"&amp;TEXT(MONTH('Campaign Data'!$A4551),"00")</f>
        <v>2026-09</v>
      </c>
    </row>
    <row r="4552" spans="1:21" x14ac:dyDescent="0.25">
      <c r="A4552">
        <v>46272</v>
      </c>
      <c r="B4552" t="s">
        <v>125</v>
      </c>
      <c r="C4552" t="s">
        <v>126</v>
      </c>
      <c r="D4552" t="s">
        <v>41</v>
      </c>
      <c r="E4552" t="s">
        <v>42</v>
      </c>
      <c r="F4552" t="s">
        <v>81</v>
      </c>
      <c r="G4552" t="s">
        <v>44</v>
      </c>
      <c r="H4552" t="s">
        <v>36</v>
      </c>
      <c r="I4552" t="s">
        <v>37</v>
      </c>
      <c r="J4552" t="s">
        <v>87</v>
      </c>
      <c r="K4552">
        <v>6204</v>
      </c>
      <c r="L4552">
        <v>33</v>
      </c>
      <c r="M4552">
        <v>145.09</v>
      </c>
      <c r="N4552">
        <v>1</v>
      </c>
      <c r="O4552">
        <v>14.69</v>
      </c>
      <c r="P4552">
        <f t="shared" si="284"/>
        <v>5.3191489361702126E-3</v>
      </c>
      <c r="Q4552">
        <f t="shared" si="284"/>
        <v>4.3966666666666665</v>
      </c>
      <c r="R4552">
        <f t="shared" si="285"/>
        <v>145.09</v>
      </c>
      <c r="S4552">
        <f t="shared" si="286"/>
        <v>0.10124750155076159</v>
      </c>
      <c r="T4552">
        <f t="shared" si="287"/>
        <v>3.0303030303030304E-2</v>
      </c>
      <c r="U4552" t="str">
        <f>YEAR('Campaign Data'!$A4552)&amp;"-"&amp;TEXT(MONTH('Campaign Data'!$A4552),"00")</f>
        <v>2026-09</v>
      </c>
    </row>
    <row r="4553" spans="1:21" x14ac:dyDescent="0.25">
      <c r="A4553">
        <v>46272</v>
      </c>
      <c r="B4553" t="s">
        <v>30</v>
      </c>
      <c r="C4553" t="s">
        <v>31</v>
      </c>
      <c r="D4553" t="s">
        <v>32</v>
      </c>
      <c r="E4553" t="s">
        <v>33</v>
      </c>
      <c r="F4553" t="s">
        <v>34</v>
      </c>
      <c r="G4553" t="s">
        <v>35</v>
      </c>
      <c r="H4553" t="s">
        <v>55</v>
      </c>
      <c r="I4553" t="s">
        <v>28</v>
      </c>
      <c r="J4553" t="s">
        <v>45</v>
      </c>
      <c r="K4553">
        <v>13414</v>
      </c>
      <c r="L4553">
        <v>148</v>
      </c>
      <c r="M4553">
        <v>52.38</v>
      </c>
      <c r="N4553">
        <v>3</v>
      </c>
      <c r="O4553">
        <v>193.96</v>
      </c>
      <c r="P4553">
        <f t="shared" si="284"/>
        <v>1.103324884449083E-2</v>
      </c>
      <c r="Q4553">
        <f t="shared" si="284"/>
        <v>0.35391891891891891</v>
      </c>
      <c r="R4553">
        <f t="shared" si="285"/>
        <v>17.46</v>
      </c>
      <c r="S4553">
        <f t="shared" si="286"/>
        <v>3.7029400534555172</v>
      </c>
      <c r="T4553">
        <f t="shared" si="287"/>
        <v>2.0270270270270271E-2</v>
      </c>
      <c r="U4553" t="str">
        <f>YEAR('Campaign Data'!$A4553)&amp;"-"&amp;TEXT(MONTH('Campaign Data'!$A4553),"00")</f>
        <v>2026-09</v>
      </c>
    </row>
    <row r="4554" spans="1:21" x14ac:dyDescent="0.25">
      <c r="A4554">
        <v>46272</v>
      </c>
      <c r="B4554" t="s">
        <v>151</v>
      </c>
      <c r="C4554" t="s">
        <v>152</v>
      </c>
      <c r="D4554" t="s">
        <v>48</v>
      </c>
      <c r="E4554" t="s">
        <v>24</v>
      </c>
      <c r="F4554" t="s">
        <v>81</v>
      </c>
      <c r="G4554" t="s">
        <v>129</v>
      </c>
      <c r="H4554" t="s">
        <v>71</v>
      </c>
      <c r="I4554" t="s">
        <v>61</v>
      </c>
      <c r="J4554" t="s">
        <v>62</v>
      </c>
      <c r="K4554">
        <v>7275</v>
      </c>
      <c r="L4554">
        <v>114</v>
      </c>
      <c r="M4554">
        <v>83.26</v>
      </c>
      <c r="N4554">
        <v>2</v>
      </c>
      <c r="O4554">
        <v>39.79</v>
      </c>
      <c r="P4554">
        <f t="shared" si="284"/>
        <v>1.5670103092783504E-2</v>
      </c>
      <c r="Q4554">
        <f t="shared" si="284"/>
        <v>0.73035087719298253</v>
      </c>
      <c r="R4554">
        <f t="shared" si="285"/>
        <v>41.63</v>
      </c>
      <c r="S4554">
        <f t="shared" si="286"/>
        <v>0.47790055248618779</v>
      </c>
      <c r="T4554">
        <f t="shared" si="287"/>
        <v>1.7543859649122806E-2</v>
      </c>
      <c r="U4554" t="str">
        <f>YEAR('Campaign Data'!$A4554)&amp;"-"&amp;TEXT(MONTH('Campaign Data'!$A4554),"00")</f>
        <v>2026-09</v>
      </c>
    </row>
    <row r="4555" spans="1:21" x14ac:dyDescent="0.25">
      <c r="A4555">
        <v>46272</v>
      </c>
      <c r="B4555" t="s">
        <v>39</v>
      </c>
      <c r="C4555" t="s">
        <v>40</v>
      </c>
      <c r="D4555" t="s">
        <v>41</v>
      </c>
      <c r="E4555" t="s">
        <v>42</v>
      </c>
      <c r="F4555" t="s">
        <v>43</v>
      </c>
      <c r="G4555" t="s">
        <v>44</v>
      </c>
      <c r="H4555" t="s">
        <v>90</v>
      </c>
      <c r="I4555" t="s">
        <v>37</v>
      </c>
      <c r="J4555" t="s">
        <v>45</v>
      </c>
      <c r="K4555">
        <v>7061</v>
      </c>
      <c r="L4555">
        <v>34</v>
      </c>
      <c r="M4555">
        <v>64.180000000000007</v>
      </c>
      <c r="N4555">
        <v>1</v>
      </c>
      <c r="O4555">
        <v>7.64</v>
      </c>
      <c r="P4555">
        <f t="shared" si="284"/>
        <v>4.815181985554454E-3</v>
      </c>
      <c r="Q4555">
        <f t="shared" si="284"/>
        <v>1.8876470588235297</v>
      </c>
      <c r="R4555">
        <f t="shared" si="285"/>
        <v>64.180000000000007</v>
      </c>
      <c r="S4555">
        <f t="shared" si="286"/>
        <v>0.11904019943907758</v>
      </c>
      <c r="T4555">
        <f t="shared" si="287"/>
        <v>2.9411764705882353E-2</v>
      </c>
      <c r="U4555" t="str">
        <f>YEAR('Campaign Data'!$A4555)&amp;"-"&amp;TEXT(MONTH('Campaign Data'!$A4555),"00")</f>
        <v>2026-09</v>
      </c>
    </row>
    <row r="4556" spans="1:21" x14ac:dyDescent="0.25">
      <c r="A4556">
        <v>46272</v>
      </c>
      <c r="B4556" t="s">
        <v>100</v>
      </c>
      <c r="C4556" t="s">
        <v>101</v>
      </c>
      <c r="D4556" t="s">
        <v>80</v>
      </c>
      <c r="E4556" t="s">
        <v>33</v>
      </c>
      <c r="F4556" t="s">
        <v>25</v>
      </c>
      <c r="G4556" t="s">
        <v>102</v>
      </c>
      <c r="H4556" t="s">
        <v>90</v>
      </c>
      <c r="I4556" t="s">
        <v>37</v>
      </c>
      <c r="J4556" t="s">
        <v>29</v>
      </c>
      <c r="K4556">
        <v>3178</v>
      </c>
      <c r="L4556">
        <v>22</v>
      </c>
      <c r="M4556">
        <v>3.38</v>
      </c>
      <c r="N4556">
        <v>0</v>
      </c>
      <c r="O4556">
        <v>0</v>
      </c>
      <c r="P4556">
        <f t="shared" si="284"/>
        <v>6.9225928256765263E-3</v>
      </c>
      <c r="Q4556">
        <f t="shared" si="284"/>
        <v>0.15363636363636363</v>
      </c>
      <c r="R4556">
        <f t="shared" si="285"/>
        <v>0</v>
      </c>
      <c r="S4556">
        <f t="shared" si="286"/>
        <v>0</v>
      </c>
      <c r="T4556">
        <f t="shared" si="287"/>
        <v>0</v>
      </c>
      <c r="U4556" t="str">
        <f>YEAR('Campaign Data'!$A4556)&amp;"-"&amp;TEXT(MONTH('Campaign Data'!$A4556),"00")</f>
        <v>2026-09</v>
      </c>
    </row>
    <row r="4557" spans="1:21" x14ac:dyDescent="0.25">
      <c r="A4557">
        <v>46272</v>
      </c>
      <c r="B4557" t="s">
        <v>105</v>
      </c>
      <c r="C4557" t="s">
        <v>106</v>
      </c>
      <c r="D4557" t="s">
        <v>58</v>
      </c>
      <c r="E4557" t="s">
        <v>49</v>
      </c>
      <c r="F4557" t="s">
        <v>81</v>
      </c>
      <c r="G4557" t="s">
        <v>107</v>
      </c>
      <c r="H4557" t="s">
        <v>71</v>
      </c>
      <c r="I4557" t="s">
        <v>37</v>
      </c>
      <c r="J4557" t="s">
        <v>87</v>
      </c>
      <c r="K4557">
        <v>2223</v>
      </c>
      <c r="L4557">
        <v>86</v>
      </c>
      <c r="M4557">
        <v>165.76</v>
      </c>
      <c r="N4557">
        <v>6</v>
      </c>
      <c r="O4557">
        <v>102.49</v>
      </c>
      <c r="P4557">
        <f t="shared" si="284"/>
        <v>3.8686459739091315E-2</v>
      </c>
      <c r="Q4557">
        <f t="shared" si="284"/>
        <v>1.9274418604651162</v>
      </c>
      <c r="R4557">
        <f t="shared" si="285"/>
        <v>27.626666666666665</v>
      </c>
      <c r="S4557">
        <f t="shared" si="286"/>
        <v>0.6183035714285714</v>
      </c>
      <c r="T4557">
        <f t="shared" si="287"/>
        <v>6.9767441860465115E-2</v>
      </c>
      <c r="U4557" t="str">
        <f>YEAR('Campaign Data'!$A4557)&amp;"-"&amp;TEXT(MONTH('Campaign Data'!$A4557),"00")</f>
        <v>2026-09</v>
      </c>
    </row>
    <row r="4558" spans="1:21" x14ac:dyDescent="0.25">
      <c r="A4558">
        <v>46272</v>
      </c>
      <c r="B4558" t="s">
        <v>132</v>
      </c>
      <c r="C4558" t="s">
        <v>133</v>
      </c>
      <c r="D4558" t="s">
        <v>23</v>
      </c>
      <c r="E4558" t="s">
        <v>42</v>
      </c>
      <c r="F4558" t="s">
        <v>75</v>
      </c>
      <c r="G4558" t="s">
        <v>84</v>
      </c>
      <c r="H4558" t="s">
        <v>60</v>
      </c>
      <c r="I4558" t="s">
        <v>28</v>
      </c>
      <c r="J4558" t="s">
        <v>45</v>
      </c>
      <c r="K4558">
        <v>8024</v>
      </c>
      <c r="L4558">
        <v>65</v>
      </c>
      <c r="M4558">
        <v>512.53</v>
      </c>
      <c r="N4558">
        <v>2</v>
      </c>
      <c r="O4558">
        <v>62.14</v>
      </c>
      <c r="P4558">
        <f t="shared" si="284"/>
        <v>8.1006979062811565E-3</v>
      </c>
      <c r="Q4558">
        <f t="shared" si="284"/>
        <v>7.8850769230769231</v>
      </c>
      <c r="R4558">
        <f t="shared" si="285"/>
        <v>256.26499999999999</v>
      </c>
      <c r="S4558">
        <f t="shared" si="286"/>
        <v>0.12124168341365384</v>
      </c>
      <c r="T4558">
        <f t="shared" si="287"/>
        <v>3.0769230769230771E-2</v>
      </c>
      <c r="U4558" t="str">
        <f>YEAR('Campaign Data'!$A4558)&amp;"-"&amp;TEXT(MONTH('Campaign Data'!$A4558),"00")</f>
        <v>2026-09</v>
      </c>
    </row>
    <row r="4559" spans="1:21" x14ac:dyDescent="0.25">
      <c r="A4559">
        <v>46272</v>
      </c>
      <c r="B4559" t="s">
        <v>157</v>
      </c>
      <c r="C4559" t="s">
        <v>158</v>
      </c>
      <c r="D4559" t="s">
        <v>58</v>
      </c>
      <c r="E4559" t="s">
        <v>49</v>
      </c>
      <c r="F4559" t="s">
        <v>81</v>
      </c>
      <c r="G4559" t="s">
        <v>50</v>
      </c>
      <c r="H4559" t="s">
        <v>60</v>
      </c>
      <c r="I4559" t="s">
        <v>37</v>
      </c>
      <c r="J4559" t="s">
        <v>45</v>
      </c>
      <c r="K4559">
        <v>10176</v>
      </c>
      <c r="L4559">
        <v>696</v>
      </c>
      <c r="M4559">
        <v>1551.21</v>
      </c>
      <c r="N4559">
        <v>34</v>
      </c>
      <c r="O4559">
        <v>835.28</v>
      </c>
      <c r="P4559">
        <f t="shared" si="284"/>
        <v>6.8396226415094338E-2</v>
      </c>
      <c r="Q4559">
        <f t="shared" si="284"/>
        <v>2.2287500000000002</v>
      </c>
      <c r="R4559">
        <f t="shared" si="285"/>
        <v>45.623823529411766</v>
      </c>
      <c r="S4559">
        <f t="shared" si="286"/>
        <v>0.53846996860515339</v>
      </c>
      <c r="T4559">
        <f t="shared" si="287"/>
        <v>4.8850574712643681E-2</v>
      </c>
      <c r="U4559" t="str">
        <f>YEAR('Campaign Data'!$A4559)&amp;"-"&amp;TEXT(MONTH('Campaign Data'!$A4559),"00")</f>
        <v>2026-09</v>
      </c>
    </row>
    <row r="4560" spans="1:21" x14ac:dyDescent="0.25">
      <c r="A4560">
        <v>46272</v>
      </c>
      <c r="B4560" t="s">
        <v>161</v>
      </c>
      <c r="C4560" t="s">
        <v>162</v>
      </c>
      <c r="D4560" t="s">
        <v>48</v>
      </c>
      <c r="E4560" t="s">
        <v>74</v>
      </c>
      <c r="F4560" t="s">
        <v>34</v>
      </c>
      <c r="G4560" t="s">
        <v>107</v>
      </c>
      <c r="H4560" t="s">
        <v>36</v>
      </c>
      <c r="I4560" t="s">
        <v>37</v>
      </c>
      <c r="J4560" t="s">
        <v>45</v>
      </c>
      <c r="K4560">
        <v>2141</v>
      </c>
      <c r="L4560">
        <v>40</v>
      </c>
      <c r="M4560">
        <v>55.46</v>
      </c>
      <c r="N4560">
        <v>1</v>
      </c>
      <c r="O4560">
        <v>151.09</v>
      </c>
      <c r="P4560">
        <f t="shared" si="284"/>
        <v>1.8682858477347034E-2</v>
      </c>
      <c r="Q4560">
        <f t="shared" si="284"/>
        <v>1.3865000000000001</v>
      </c>
      <c r="R4560">
        <f t="shared" si="285"/>
        <v>55.46</v>
      </c>
      <c r="S4560">
        <f t="shared" si="286"/>
        <v>2.7243058059862966</v>
      </c>
      <c r="T4560">
        <f t="shared" si="287"/>
        <v>2.5000000000000001E-2</v>
      </c>
      <c r="U4560" t="str">
        <f>YEAR('Campaign Data'!$A4560)&amp;"-"&amp;TEXT(MONTH('Campaign Data'!$A4560),"00")</f>
        <v>2026-09</v>
      </c>
    </row>
    <row r="4561" spans="1:21" x14ac:dyDescent="0.25">
      <c r="A4561">
        <v>46272</v>
      </c>
      <c r="B4561" t="s">
        <v>56</v>
      </c>
      <c r="C4561" t="s">
        <v>57</v>
      </c>
      <c r="D4561" t="s">
        <v>58</v>
      </c>
      <c r="E4561" t="s">
        <v>33</v>
      </c>
      <c r="F4561" t="s">
        <v>43</v>
      </c>
      <c r="G4561" t="s">
        <v>59</v>
      </c>
      <c r="H4561" t="s">
        <v>90</v>
      </c>
      <c r="I4561" t="s">
        <v>37</v>
      </c>
      <c r="J4561" t="s">
        <v>87</v>
      </c>
      <c r="K4561">
        <v>7378</v>
      </c>
      <c r="L4561">
        <v>78</v>
      </c>
      <c r="M4561">
        <v>12.07</v>
      </c>
      <c r="N4561">
        <v>1</v>
      </c>
      <c r="O4561">
        <v>7.59</v>
      </c>
      <c r="P4561">
        <f t="shared" si="284"/>
        <v>1.057197072377338E-2</v>
      </c>
      <c r="Q4561">
        <f t="shared" si="284"/>
        <v>0.15474358974358976</v>
      </c>
      <c r="R4561">
        <f t="shared" si="285"/>
        <v>12.07</v>
      </c>
      <c r="S4561">
        <f t="shared" si="286"/>
        <v>0.62883181441590719</v>
      </c>
      <c r="T4561">
        <f t="shared" si="287"/>
        <v>1.282051282051282E-2</v>
      </c>
      <c r="U4561" t="str">
        <f>YEAR('Campaign Data'!$A4561)&amp;"-"&amp;TEXT(MONTH('Campaign Data'!$A4561),"00")</f>
        <v>2026-09</v>
      </c>
    </row>
    <row r="4562" spans="1:21" x14ac:dyDescent="0.25">
      <c r="A4562">
        <v>46272</v>
      </c>
      <c r="B4562" t="s">
        <v>136</v>
      </c>
      <c r="C4562" t="s">
        <v>137</v>
      </c>
      <c r="D4562" t="s">
        <v>32</v>
      </c>
      <c r="E4562" t="s">
        <v>49</v>
      </c>
      <c r="F4562" t="s">
        <v>75</v>
      </c>
      <c r="G4562" t="s">
        <v>97</v>
      </c>
      <c r="H4562" t="s">
        <v>27</v>
      </c>
      <c r="I4562" t="s">
        <v>37</v>
      </c>
      <c r="J4562" t="s">
        <v>38</v>
      </c>
      <c r="K4562">
        <v>4335</v>
      </c>
      <c r="L4562">
        <v>156</v>
      </c>
      <c r="M4562">
        <v>232.19</v>
      </c>
      <c r="N4562">
        <v>10</v>
      </c>
      <c r="O4562">
        <v>416.26</v>
      </c>
      <c r="P4562">
        <f t="shared" si="284"/>
        <v>3.5986159169550176E-2</v>
      </c>
      <c r="Q4562">
        <f t="shared" si="284"/>
        <v>1.4883974358974359</v>
      </c>
      <c r="R4562">
        <f t="shared" si="285"/>
        <v>23.219000000000001</v>
      </c>
      <c r="S4562">
        <f t="shared" si="286"/>
        <v>1.7927559326413713</v>
      </c>
      <c r="T4562">
        <f t="shared" si="287"/>
        <v>6.4102564102564097E-2</v>
      </c>
      <c r="U4562" t="str">
        <f>YEAR('Campaign Data'!$A4562)&amp;"-"&amp;TEXT(MONTH('Campaign Data'!$A4562),"00")</f>
        <v>2026-09</v>
      </c>
    </row>
    <row r="4563" spans="1:21" x14ac:dyDescent="0.25">
      <c r="A4563">
        <v>46272</v>
      </c>
      <c r="B4563" t="s">
        <v>143</v>
      </c>
      <c r="C4563" t="s">
        <v>144</v>
      </c>
      <c r="D4563" t="s">
        <v>48</v>
      </c>
      <c r="E4563" t="s">
        <v>42</v>
      </c>
      <c r="F4563" t="s">
        <v>25</v>
      </c>
      <c r="G4563" t="s">
        <v>84</v>
      </c>
      <c r="H4563" t="s">
        <v>55</v>
      </c>
      <c r="I4563" t="s">
        <v>28</v>
      </c>
      <c r="J4563" t="s">
        <v>87</v>
      </c>
      <c r="K4563">
        <v>8657</v>
      </c>
      <c r="L4563">
        <v>60</v>
      </c>
      <c r="M4563">
        <v>322</v>
      </c>
      <c r="N4563">
        <v>0</v>
      </c>
      <c r="O4563">
        <v>0</v>
      </c>
      <c r="P4563">
        <f t="shared" si="284"/>
        <v>6.9308074390666509E-3</v>
      </c>
      <c r="Q4563">
        <f t="shared" si="284"/>
        <v>5.3666666666666663</v>
      </c>
      <c r="R4563">
        <f t="shared" si="285"/>
        <v>0</v>
      </c>
      <c r="S4563">
        <f t="shared" si="286"/>
        <v>0</v>
      </c>
      <c r="T4563">
        <f t="shared" si="287"/>
        <v>0</v>
      </c>
      <c r="U4563" t="str">
        <f>YEAR('Campaign Data'!$A4563)&amp;"-"&amp;TEXT(MONTH('Campaign Data'!$A4563),"00")</f>
        <v>2026-09</v>
      </c>
    </row>
    <row r="4564" spans="1:21" x14ac:dyDescent="0.25">
      <c r="A4564">
        <v>46272</v>
      </c>
      <c r="B4564" t="s">
        <v>183</v>
      </c>
      <c r="C4564" t="s">
        <v>184</v>
      </c>
      <c r="D4564" t="s">
        <v>23</v>
      </c>
      <c r="E4564" t="s">
        <v>24</v>
      </c>
      <c r="F4564" t="s">
        <v>81</v>
      </c>
      <c r="G4564" t="s">
        <v>185</v>
      </c>
      <c r="H4564" t="s">
        <v>55</v>
      </c>
      <c r="I4564" t="s">
        <v>37</v>
      </c>
      <c r="J4564" t="s">
        <v>62</v>
      </c>
      <c r="K4564">
        <v>3126</v>
      </c>
      <c r="L4564">
        <v>42</v>
      </c>
      <c r="M4564">
        <v>44.03</v>
      </c>
      <c r="N4564">
        <v>3</v>
      </c>
      <c r="O4564">
        <v>57.48</v>
      </c>
      <c r="P4564">
        <f t="shared" si="284"/>
        <v>1.3435700575815739E-2</v>
      </c>
      <c r="Q4564">
        <f t="shared" si="284"/>
        <v>1.0483333333333333</v>
      </c>
      <c r="R4564">
        <f t="shared" si="285"/>
        <v>14.676666666666668</v>
      </c>
      <c r="S4564">
        <f t="shared" si="286"/>
        <v>1.3054735407676583</v>
      </c>
      <c r="T4564">
        <f t="shared" si="287"/>
        <v>7.1428571428571425E-2</v>
      </c>
      <c r="U4564" t="str">
        <f>YEAR('Campaign Data'!$A4564)&amp;"-"&amp;TEXT(MONTH('Campaign Data'!$A4564),"00")</f>
        <v>2026-09</v>
      </c>
    </row>
    <row r="4565" spans="1:21" x14ac:dyDescent="0.25">
      <c r="A4565">
        <v>46272</v>
      </c>
      <c r="B4565" t="s">
        <v>67</v>
      </c>
      <c r="C4565" t="s">
        <v>68</v>
      </c>
      <c r="D4565" t="s">
        <v>69</v>
      </c>
      <c r="E4565" t="s">
        <v>49</v>
      </c>
      <c r="F4565" t="s">
        <v>34</v>
      </c>
      <c r="G4565" t="s">
        <v>70</v>
      </c>
      <c r="H4565" t="s">
        <v>90</v>
      </c>
      <c r="I4565" t="s">
        <v>37</v>
      </c>
      <c r="J4565" t="s">
        <v>38</v>
      </c>
      <c r="K4565">
        <v>4203</v>
      </c>
      <c r="L4565">
        <v>220</v>
      </c>
      <c r="M4565">
        <v>76.81</v>
      </c>
      <c r="N4565">
        <v>13</v>
      </c>
      <c r="O4565">
        <v>687.07</v>
      </c>
      <c r="P4565">
        <f t="shared" si="284"/>
        <v>5.2343564120866048E-2</v>
      </c>
      <c r="Q4565">
        <f t="shared" si="284"/>
        <v>0.34913636363636363</v>
      </c>
      <c r="R4565">
        <f t="shared" si="285"/>
        <v>5.9084615384615384</v>
      </c>
      <c r="S4565">
        <f t="shared" si="286"/>
        <v>8.9450592370785049</v>
      </c>
      <c r="T4565">
        <f t="shared" si="287"/>
        <v>5.909090909090909E-2</v>
      </c>
      <c r="U4565" t="str">
        <f>YEAR('Campaign Data'!$A4565)&amp;"-"&amp;TEXT(MONTH('Campaign Data'!$A4565),"00")</f>
        <v>2026-09</v>
      </c>
    </row>
    <row r="4566" spans="1:21" x14ac:dyDescent="0.25">
      <c r="A4566">
        <v>46272</v>
      </c>
      <c r="B4566" t="s">
        <v>76</v>
      </c>
      <c r="C4566" t="s">
        <v>77</v>
      </c>
      <c r="D4566" t="s">
        <v>65</v>
      </c>
      <c r="E4566" t="s">
        <v>42</v>
      </c>
      <c r="F4566" t="s">
        <v>43</v>
      </c>
      <c r="G4566" t="s">
        <v>44</v>
      </c>
      <c r="H4566" t="s">
        <v>27</v>
      </c>
      <c r="I4566" t="s">
        <v>37</v>
      </c>
      <c r="J4566" t="s">
        <v>62</v>
      </c>
      <c r="K4566">
        <v>3007</v>
      </c>
      <c r="L4566">
        <v>22</v>
      </c>
      <c r="M4566">
        <v>104.92</v>
      </c>
      <c r="N4566">
        <v>1</v>
      </c>
      <c r="O4566">
        <v>45.75</v>
      </c>
      <c r="P4566">
        <f t="shared" si="284"/>
        <v>7.3162620552045228E-3</v>
      </c>
      <c r="Q4566">
        <f t="shared" si="284"/>
        <v>4.7690909090909095</v>
      </c>
      <c r="R4566">
        <f t="shared" si="285"/>
        <v>104.92</v>
      </c>
      <c r="S4566">
        <f t="shared" si="286"/>
        <v>0.43604651162790697</v>
      </c>
      <c r="T4566">
        <f t="shared" si="287"/>
        <v>4.5454545454545456E-2</v>
      </c>
      <c r="U4566" t="str">
        <f>YEAR('Campaign Data'!$A4566)&amp;"-"&amp;TEXT(MONTH('Campaign Data'!$A4566),"00")</f>
        <v>2026-09</v>
      </c>
    </row>
    <row r="4567" spans="1:21" x14ac:dyDescent="0.25">
      <c r="A4567">
        <v>46273</v>
      </c>
      <c r="B4567" t="s">
        <v>165</v>
      </c>
      <c r="C4567" t="s">
        <v>166</v>
      </c>
      <c r="D4567" t="s">
        <v>41</v>
      </c>
      <c r="E4567" t="s">
        <v>33</v>
      </c>
      <c r="F4567" t="s">
        <v>43</v>
      </c>
      <c r="G4567" t="s">
        <v>59</v>
      </c>
      <c r="H4567" t="s">
        <v>36</v>
      </c>
      <c r="I4567" t="s">
        <v>37</v>
      </c>
      <c r="J4567" t="s">
        <v>38</v>
      </c>
      <c r="K4567">
        <v>7711</v>
      </c>
      <c r="L4567">
        <v>61</v>
      </c>
      <c r="M4567">
        <v>31.43</v>
      </c>
      <c r="N4567">
        <v>0</v>
      </c>
      <c r="O4567">
        <v>0</v>
      </c>
      <c r="P4567">
        <f t="shared" si="284"/>
        <v>7.9107768123459991E-3</v>
      </c>
      <c r="Q4567">
        <f t="shared" si="284"/>
        <v>0.51524590163934425</v>
      </c>
      <c r="R4567">
        <f t="shared" si="285"/>
        <v>0</v>
      </c>
      <c r="S4567">
        <f t="shared" si="286"/>
        <v>0</v>
      </c>
      <c r="T4567">
        <f t="shared" si="287"/>
        <v>0</v>
      </c>
      <c r="U4567" t="str">
        <f>YEAR('Campaign Data'!$A4567)&amp;"-"&amp;TEXT(MONTH('Campaign Data'!$A4567),"00")</f>
        <v>2026-09</v>
      </c>
    </row>
    <row r="4568" spans="1:21" x14ac:dyDescent="0.25">
      <c r="A4568">
        <v>46273</v>
      </c>
      <c r="B4568" t="s">
        <v>165</v>
      </c>
      <c r="C4568" t="s">
        <v>166</v>
      </c>
      <c r="D4568" t="s">
        <v>41</v>
      </c>
      <c r="E4568" t="s">
        <v>33</v>
      </c>
      <c r="F4568" t="s">
        <v>43</v>
      </c>
      <c r="G4568" t="s">
        <v>59</v>
      </c>
      <c r="H4568" t="s">
        <v>90</v>
      </c>
      <c r="I4568" t="s">
        <v>37</v>
      </c>
      <c r="J4568" t="s">
        <v>29</v>
      </c>
      <c r="K4568">
        <v>4133</v>
      </c>
      <c r="L4568">
        <v>27</v>
      </c>
      <c r="M4568">
        <v>5.0199999999999996</v>
      </c>
      <c r="N4568">
        <v>0</v>
      </c>
      <c r="O4568">
        <v>0</v>
      </c>
      <c r="P4568">
        <f t="shared" si="284"/>
        <v>6.5327849020082266E-3</v>
      </c>
      <c r="Q4568">
        <f t="shared" si="284"/>
        <v>0.18592592592592591</v>
      </c>
      <c r="R4568">
        <f t="shared" si="285"/>
        <v>0</v>
      </c>
      <c r="S4568">
        <f t="shared" si="286"/>
        <v>0</v>
      </c>
      <c r="T4568">
        <f t="shared" si="287"/>
        <v>0</v>
      </c>
      <c r="U4568" t="str">
        <f>YEAR('Campaign Data'!$A4568)&amp;"-"&amp;TEXT(MONTH('Campaign Data'!$A4568),"00")</f>
        <v>2026-09</v>
      </c>
    </row>
    <row r="4569" spans="1:21" x14ac:dyDescent="0.25">
      <c r="A4569">
        <v>46273</v>
      </c>
      <c r="B4569" t="s">
        <v>173</v>
      </c>
      <c r="C4569" t="s">
        <v>174</v>
      </c>
      <c r="D4569" t="s">
        <v>48</v>
      </c>
      <c r="E4569" t="s">
        <v>74</v>
      </c>
      <c r="F4569" t="s">
        <v>25</v>
      </c>
      <c r="G4569" t="s">
        <v>9</v>
      </c>
      <c r="H4569" t="s">
        <v>55</v>
      </c>
      <c r="I4569" t="s">
        <v>37</v>
      </c>
      <c r="J4569" t="s">
        <v>38</v>
      </c>
      <c r="K4569">
        <v>1997</v>
      </c>
      <c r="L4569">
        <v>57</v>
      </c>
      <c r="M4569">
        <v>52.32</v>
      </c>
      <c r="N4569">
        <v>4</v>
      </c>
      <c r="O4569">
        <v>614.88</v>
      </c>
      <c r="P4569">
        <f t="shared" si="284"/>
        <v>2.8542814221331998E-2</v>
      </c>
      <c r="Q4569">
        <f t="shared" si="284"/>
        <v>0.91789473684210532</v>
      </c>
      <c r="R4569">
        <f t="shared" si="285"/>
        <v>13.08</v>
      </c>
      <c r="S4569">
        <f t="shared" si="286"/>
        <v>11.752293577981652</v>
      </c>
      <c r="T4569">
        <f t="shared" si="287"/>
        <v>7.0175438596491224E-2</v>
      </c>
      <c r="U4569" t="str">
        <f>YEAR('Campaign Data'!$A4569)&amp;"-"&amp;TEXT(MONTH('Campaign Data'!$A4569),"00")</f>
        <v>2026-09</v>
      </c>
    </row>
    <row r="4570" spans="1:21" x14ac:dyDescent="0.25">
      <c r="A4570">
        <v>46273</v>
      </c>
      <c r="B4570" t="s">
        <v>88</v>
      </c>
      <c r="C4570" t="s">
        <v>89</v>
      </c>
      <c r="D4570" t="s">
        <v>23</v>
      </c>
      <c r="E4570" t="s">
        <v>49</v>
      </c>
      <c r="F4570" t="s">
        <v>81</v>
      </c>
      <c r="G4570" t="s">
        <v>50</v>
      </c>
      <c r="H4570" t="s">
        <v>27</v>
      </c>
      <c r="I4570" t="s">
        <v>37</v>
      </c>
      <c r="J4570" t="s">
        <v>29</v>
      </c>
      <c r="K4570">
        <v>5532</v>
      </c>
      <c r="L4570">
        <v>174</v>
      </c>
      <c r="M4570">
        <v>409.43</v>
      </c>
      <c r="N4570">
        <v>11</v>
      </c>
      <c r="O4570">
        <v>174.43</v>
      </c>
      <c r="P4570">
        <f t="shared" si="284"/>
        <v>3.1453362255965296E-2</v>
      </c>
      <c r="Q4570">
        <f t="shared" si="284"/>
        <v>2.3530459770114942</v>
      </c>
      <c r="R4570">
        <f t="shared" si="285"/>
        <v>37.220909090909089</v>
      </c>
      <c r="S4570">
        <f t="shared" si="286"/>
        <v>0.42603131182375498</v>
      </c>
      <c r="T4570">
        <f t="shared" si="287"/>
        <v>6.3218390804597707E-2</v>
      </c>
      <c r="U4570" t="str">
        <f>YEAR('Campaign Data'!$A4570)&amp;"-"&amp;TEXT(MONTH('Campaign Data'!$A4570),"00")</f>
        <v>2026-09</v>
      </c>
    </row>
    <row r="4571" spans="1:21" x14ac:dyDescent="0.25">
      <c r="A4571">
        <v>46273</v>
      </c>
      <c r="B4571" t="s">
        <v>88</v>
      </c>
      <c r="C4571" t="s">
        <v>89</v>
      </c>
      <c r="D4571" t="s">
        <v>23</v>
      </c>
      <c r="E4571" t="s">
        <v>49</v>
      </c>
      <c r="F4571" t="s">
        <v>81</v>
      </c>
      <c r="G4571" t="s">
        <v>50</v>
      </c>
      <c r="H4571" t="s">
        <v>60</v>
      </c>
      <c r="I4571" t="s">
        <v>28</v>
      </c>
      <c r="J4571" t="s">
        <v>45</v>
      </c>
      <c r="K4571">
        <v>5340</v>
      </c>
      <c r="L4571">
        <v>193</v>
      </c>
      <c r="M4571">
        <v>390.42</v>
      </c>
      <c r="N4571">
        <v>12</v>
      </c>
      <c r="O4571">
        <v>99.86</v>
      </c>
      <c r="P4571">
        <f t="shared" si="284"/>
        <v>3.6142322097378277E-2</v>
      </c>
      <c r="Q4571">
        <f t="shared" si="284"/>
        <v>2.0229015544041453</v>
      </c>
      <c r="R4571">
        <f t="shared" si="285"/>
        <v>32.535000000000004</v>
      </c>
      <c r="S4571">
        <f t="shared" si="286"/>
        <v>0.25577583115619074</v>
      </c>
      <c r="T4571">
        <f t="shared" si="287"/>
        <v>6.2176165803108807E-2</v>
      </c>
      <c r="U4571" t="str">
        <f>YEAR('Campaign Data'!$A4571)&amp;"-"&amp;TEXT(MONTH('Campaign Data'!$A4571),"00")</f>
        <v>2026-09</v>
      </c>
    </row>
    <row r="4572" spans="1:21" x14ac:dyDescent="0.25">
      <c r="A4572">
        <v>46273</v>
      </c>
      <c r="B4572" t="s">
        <v>88</v>
      </c>
      <c r="C4572" t="s">
        <v>89</v>
      </c>
      <c r="D4572" t="s">
        <v>23</v>
      </c>
      <c r="E4572" t="s">
        <v>49</v>
      </c>
      <c r="F4572" t="s">
        <v>81</v>
      </c>
      <c r="G4572" t="s">
        <v>50</v>
      </c>
      <c r="H4572" t="s">
        <v>51</v>
      </c>
      <c r="I4572" t="s">
        <v>37</v>
      </c>
      <c r="J4572" t="s">
        <v>87</v>
      </c>
      <c r="K4572">
        <v>8732</v>
      </c>
      <c r="L4572">
        <v>432</v>
      </c>
      <c r="M4572">
        <v>672.83</v>
      </c>
      <c r="N4572">
        <v>28</v>
      </c>
      <c r="O4572">
        <v>689.31</v>
      </c>
      <c r="P4572">
        <f t="shared" si="284"/>
        <v>4.9473202015574896E-2</v>
      </c>
      <c r="Q4572">
        <f t="shared" si="284"/>
        <v>1.557476851851852</v>
      </c>
      <c r="R4572">
        <f t="shared" si="285"/>
        <v>24.029642857142857</v>
      </c>
      <c r="S4572">
        <f t="shared" si="286"/>
        <v>1.0244935570649345</v>
      </c>
      <c r="T4572">
        <f t="shared" si="287"/>
        <v>6.4814814814814811E-2</v>
      </c>
      <c r="U4572" t="str">
        <f>YEAR('Campaign Data'!$A4572)&amp;"-"&amp;TEXT(MONTH('Campaign Data'!$A4572),"00")</f>
        <v>2026-09</v>
      </c>
    </row>
    <row r="4573" spans="1:21" x14ac:dyDescent="0.25">
      <c r="A4573">
        <v>46273</v>
      </c>
      <c r="B4573" t="s">
        <v>147</v>
      </c>
      <c r="C4573" t="s">
        <v>148</v>
      </c>
      <c r="D4573" t="s">
        <v>23</v>
      </c>
      <c r="E4573" t="s">
        <v>42</v>
      </c>
      <c r="F4573" t="s">
        <v>75</v>
      </c>
      <c r="G4573" t="s">
        <v>44</v>
      </c>
      <c r="H4573" t="s">
        <v>90</v>
      </c>
      <c r="I4573" t="s">
        <v>37</v>
      </c>
      <c r="J4573" t="s">
        <v>38</v>
      </c>
      <c r="K4573">
        <v>4387</v>
      </c>
      <c r="L4573">
        <v>17</v>
      </c>
      <c r="M4573">
        <v>24.89</v>
      </c>
      <c r="N4573">
        <v>0</v>
      </c>
      <c r="O4573">
        <v>0</v>
      </c>
      <c r="P4573">
        <f t="shared" si="284"/>
        <v>3.8750854798267607E-3</v>
      </c>
      <c r="Q4573">
        <f t="shared" si="284"/>
        <v>1.4641176470588235</v>
      </c>
      <c r="R4573">
        <f t="shared" si="285"/>
        <v>0</v>
      </c>
      <c r="S4573">
        <f t="shared" si="286"/>
        <v>0</v>
      </c>
      <c r="T4573">
        <f t="shared" si="287"/>
        <v>0</v>
      </c>
      <c r="U4573" t="str">
        <f>YEAR('Campaign Data'!$A4573)&amp;"-"&amp;TEXT(MONTH('Campaign Data'!$A4573),"00")</f>
        <v>2026-09</v>
      </c>
    </row>
    <row r="4574" spans="1:21" x14ac:dyDescent="0.25">
      <c r="A4574">
        <v>46273</v>
      </c>
      <c r="B4574" t="s">
        <v>147</v>
      </c>
      <c r="C4574" t="s">
        <v>148</v>
      </c>
      <c r="D4574" t="s">
        <v>23</v>
      </c>
      <c r="E4574" t="s">
        <v>42</v>
      </c>
      <c r="F4574" t="s">
        <v>75</v>
      </c>
      <c r="G4574" t="s">
        <v>44</v>
      </c>
      <c r="H4574" t="s">
        <v>27</v>
      </c>
      <c r="I4574" t="s">
        <v>28</v>
      </c>
      <c r="J4574" t="s">
        <v>45</v>
      </c>
      <c r="K4574">
        <v>4823</v>
      </c>
      <c r="L4574">
        <v>17</v>
      </c>
      <c r="M4574">
        <v>126.09</v>
      </c>
      <c r="N4574">
        <v>0</v>
      </c>
      <c r="O4574">
        <v>0</v>
      </c>
      <c r="P4574">
        <f t="shared" si="284"/>
        <v>3.52477710968277E-3</v>
      </c>
      <c r="Q4574">
        <f t="shared" si="284"/>
        <v>7.4170588235294117</v>
      </c>
      <c r="R4574">
        <f t="shared" si="285"/>
        <v>0</v>
      </c>
      <c r="S4574">
        <f t="shared" si="286"/>
        <v>0</v>
      </c>
      <c r="T4574">
        <f t="shared" si="287"/>
        <v>0</v>
      </c>
      <c r="U4574" t="str">
        <f>YEAR('Campaign Data'!$A4574)&amp;"-"&amp;TEXT(MONTH('Campaign Data'!$A4574),"00")</f>
        <v>2026-09</v>
      </c>
    </row>
    <row r="4575" spans="1:21" x14ac:dyDescent="0.25">
      <c r="A4575">
        <v>46273</v>
      </c>
      <c r="B4575" t="s">
        <v>147</v>
      </c>
      <c r="C4575" t="s">
        <v>148</v>
      </c>
      <c r="D4575" t="s">
        <v>23</v>
      </c>
      <c r="E4575" t="s">
        <v>42</v>
      </c>
      <c r="F4575" t="s">
        <v>75</v>
      </c>
      <c r="G4575" t="s">
        <v>44</v>
      </c>
      <c r="H4575" t="s">
        <v>60</v>
      </c>
      <c r="I4575" t="s">
        <v>28</v>
      </c>
      <c r="J4575" t="s">
        <v>62</v>
      </c>
      <c r="K4575">
        <v>3688</v>
      </c>
      <c r="L4575">
        <v>46</v>
      </c>
      <c r="M4575">
        <v>311.69</v>
      </c>
      <c r="N4575">
        <v>4</v>
      </c>
      <c r="O4575">
        <v>157.44999999999999</v>
      </c>
      <c r="P4575">
        <f t="shared" si="284"/>
        <v>1.2472885032537961E-2</v>
      </c>
      <c r="Q4575">
        <f t="shared" si="284"/>
        <v>6.7758695652173913</v>
      </c>
      <c r="R4575">
        <f t="shared" si="285"/>
        <v>77.922499999999999</v>
      </c>
      <c r="S4575">
        <f t="shared" si="286"/>
        <v>0.5051493471077031</v>
      </c>
      <c r="T4575">
        <f t="shared" si="287"/>
        <v>8.6956521739130432E-2</v>
      </c>
      <c r="U4575" t="str">
        <f>YEAR('Campaign Data'!$A4575)&amp;"-"&amp;TEXT(MONTH('Campaign Data'!$A4575),"00")</f>
        <v>2026-09</v>
      </c>
    </row>
    <row r="4576" spans="1:21" x14ac:dyDescent="0.25">
      <c r="A4576">
        <v>46273</v>
      </c>
      <c r="B4576" t="s">
        <v>125</v>
      </c>
      <c r="C4576" t="s">
        <v>126</v>
      </c>
      <c r="D4576" t="s">
        <v>41</v>
      </c>
      <c r="E4576" t="s">
        <v>42</v>
      </c>
      <c r="F4576" t="s">
        <v>81</v>
      </c>
      <c r="G4576" t="s">
        <v>44</v>
      </c>
      <c r="H4576" t="s">
        <v>90</v>
      </c>
      <c r="I4576" t="s">
        <v>37</v>
      </c>
      <c r="J4576" t="s">
        <v>62</v>
      </c>
      <c r="K4576">
        <v>6399</v>
      </c>
      <c r="L4576">
        <v>85</v>
      </c>
      <c r="M4576">
        <v>166.4</v>
      </c>
      <c r="N4576">
        <v>3</v>
      </c>
      <c r="O4576">
        <v>17.95</v>
      </c>
      <c r="P4576">
        <f t="shared" si="284"/>
        <v>1.328332551961244E-2</v>
      </c>
      <c r="Q4576">
        <f t="shared" si="284"/>
        <v>1.9576470588235295</v>
      </c>
      <c r="R4576">
        <f t="shared" si="285"/>
        <v>55.466666666666669</v>
      </c>
      <c r="S4576">
        <f t="shared" si="286"/>
        <v>0.10787259615384615</v>
      </c>
      <c r="T4576">
        <f t="shared" si="287"/>
        <v>3.5294117647058823E-2</v>
      </c>
      <c r="U4576" t="str">
        <f>YEAR('Campaign Data'!$A4576)&amp;"-"&amp;TEXT(MONTH('Campaign Data'!$A4576),"00")</f>
        <v>2026-09</v>
      </c>
    </row>
    <row r="4577" spans="1:21" x14ac:dyDescent="0.25">
      <c r="A4577">
        <v>46273</v>
      </c>
      <c r="B4577" t="s">
        <v>138</v>
      </c>
      <c r="C4577" t="s">
        <v>139</v>
      </c>
      <c r="D4577" t="s">
        <v>58</v>
      </c>
      <c r="E4577" t="s">
        <v>74</v>
      </c>
      <c r="F4577" t="s">
        <v>34</v>
      </c>
      <c r="G4577" t="s">
        <v>9</v>
      </c>
      <c r="H4577" t="s">
        <v>90</v>
      </c>
      <c r="I4577" t="s">
        <v>61</v>
      </c>
      <c r="J4577" t="s">
        <v>45</v>
      </c>
      <c r="K4577">
        <v>2236</v>
      </c>
      <c r="L4577">
        <v>47</v>
      </c>
      <c r="M4577">
        <v>12.83</v>
      </c>
      <c r="N4577">
        <v>0</v>
      </c>
      <c r="O4577">
        <v>0</v>
      </c>
      <c r="P4577">
        <f t="shared" si="284"/>
        <v>2.1019677996422181E-2</v>
      </c>
      <c r="Q4577">
        <f t="shared" si="284"/>
        <v>0.27297872340425533</v>
      </c>
      <c r="R4577">
        <f t="shared" si="285"/>
        <v>0</v>
      </c>
      <c r="S4577">
        <f t="shared" si="286"/>
        <v>0</v>
      </c>
      <c r="T4577">
        <f t="shared" si="287"/>
        <v>0</v>
      </c>
      <c r="U4577" t="str">
        <f>YEAR('Campaign Data'!$A4577)&amp;"-"&amp;TEXT(MONTH('Campaign Data'!$A4577),"00")</f>
        <v>2026-09</v>
      </c>
    </row>
    <row r="4578" spans="1:21" x14ac:dyDescent="0.25">
      <c r="A4578">
        <v>46273</v>
      </c>
      <c r="B4578" t="s">
        <v>30</v>
      </c>
      <c r="C4578" t="s">
        <v>31</v>
      </c>
      <c r="D4578" t="s">
        <v>32</v>
      </c>
      <c r="E4578" t="s">
        <v>33</v>
      </c>
      <c r="F4578" t="s">
        <v>34</v>
      </c>
      <c r="G4578" t="s">
        <v>35</v>
      </c>
      <c r="H4578" t="s">
        <v>71</v>
      </c>
      <c r="I4578" t="s">
        <v>37</v>
      </c>
      <c r="J4578" t="s">
        <v>45</v>
      </c>
      <c r="K4578">
        <v>6433</v>
      </c>
      <c r="L4578">
        <v>41</v>
      </c>
      <c r="M4578">
        <v>16.829999999999998</v>
      </c>
      <c r="N4578">
        <v>1</v>
      </c>
      <c r="O4578">
        <v>183.14</v>
      </c>
      <c r="P4578">
        <f t="shared" si="284"/>
        <v>6.3733872221358621E-3</v>
      </c>
      <c r="Q4578">
        <f t="shared" si="284"/>
        <v>0.41048780487804876</v>
      </c>
      <c r="R4578">
        <f t="shared" si="285"/>
        <v>16.829999999999998</v>
      </c>
      <c r="S4578">
        <f t="shared" si="286"/>
        <v>10.881758764111705</v>
      </c>
      <c r="T4578">
        <f t="shared" si="287"/>
        <v>2.4390243902439025E-2</v>
      </c>
      <c r="U4578" t="str">
        <f>YEAR('Campaign Data'!$A4578)&amp;"-"&amp;TEXT(MONTH('Campaign Data'!$A4578),"00")</f>
        <v>2026-09</v>
      </c>
    </row>
    <row r="4579" spans="1:21" x14ac:dyDescent="0.25">
      <c r="A4579">
        <v>46273</v>
      </c>
      <c r="B4579" t="s">
        <v>151</v>
      </c>
      <c r="C4579" t="s">
        <v>152</v>
      </c>
      <c r="D4579" t="s">
        <v>48</v>
      </c>
      <c r="E4579" t="s">
        <v>24</v>
      </c>
      <c r="F4579" t="s">
        <v>81</v>
      </c>
      <c r="G4579" t="s">
        <v>129</v>
      </c>
      <c r="H4579" t="s">
        <v>71</v>
      </c>
      <c r="I4579" t="s">
        <v>37</v>
      </c>
      <c r="J4579" t="s">
        <v>87</v>
      </c>
      <c r="K4579">
        <v>2769</v>
      </c>
      <c r="L4579">
        <v>48</v>
      </c>
      <c r="M4579">
        <v>45.1</v>
      </c>
      <c r="N4579">
        <v>4</v>
      </c>
      <c r="O4579">
        <v>71.95</v>
      </c>
      <c r="P4579">
        <f t="shared" si="284"/>
        <v>1.7334777898158179E-2</v>
      </c>
      <c r="Q4579">
        <f t="shared" si="284"/>
        <v>0.93958333333333333</v>
      </c>
      <c r="R4579">
        <f t="shared" si="285"/>
        <v>11.275</v>
      </c>
      <c r="S4579">
        <f t="shared" si="286"/>
        <v>1.5953436807095345</v>
      </c>
      <c r="T4579">
        <f t="shared" si="287"/>
        <v>8.3333333333333329E-2</v>
      </c>
      <c r="U4579" t="str">
        <f>YEAR('Campaign Data'!$A4579)&amp;"-"&amp;TEXT(MONTH('Campaign Data'!$A4579),"00")</f>
        <v>2026-09</v>
      </c>
    </row>
    <row r="4580" spans="1:21" x14ac:dyDescent="0.25">
      <c r="A4580">
        <v>46273</v>
      </c>
      <c r="B4580" t="s">
        <v>39</v>
      </c>
      <c r="C4580" t="s">
        <v>40</v>
      </c>
      <c r="D4580" t="s">
        <v>41</v>
      </c>
      <c r="E4580" t="s">
        <v>42</v>
      </c>
      <c r="F4580" t="s">
        <v>43</v>
      </c>
      <c r="G4580" t="s">
        <v>44</v>
      </c>
      <c r="H4580" t="s">
        <v>36</v>
      </c>
      <c r="I4580" t="s">
        <v>37</v>
      </c>
      <c r="J4580" t="s">
        <v>87</v>
      </c>
      <c r="K4580">
        <v>11105</v>
      </c>
      <c r="L4580">
        <v>112</v>
      </c>
      <c r="M4580">
        <v>523.5</v>
      </c>
      <c r="N4580">
        <v>5</v>
      </c>
      <c r="O4580">
        <v>107.63</v>
      </c>
      <c r="P4580">
        <f t="shared" si="284"/>
        <v>1.0085547050877983E-2</v>
      </c>
      <c r="Q4580">
        <f t="shared" si="284"/>
        <v>4.6741071428571432</v>
      </c>
      <c r="R4580">
        <f t="shared" si="285"/>
        <v>104.7</v>
      </c>
      <c r="S4580">
        <f t="shared" si="286"/>
        <v>0.20559694364851958</v>
      </c>
      <c r="T4580">
        <f t="shared" si="287"/>
        <v>4.4642857142857144E-2</v>
      </c>
      <c r="U4580" t="str">
        <f>YEAR('Campaign Data'!$A4580)&amp;"-"&amp;TEXT(MONTH('Campaign Data'!$A4580),"00")</f>
        <v>2026-09</v>
      </c>
    </row>
    <row r="4581" spans="1:21" x14ac:dyDescent="0.25">
      <c r="A4581">
        <v>46273</v>
      </c>
      <c r="B4581" t="s">
        <v>39</v>
      </c>
      <c r="C4581" t="s">
        <v>40</v>
      </c>
      <c r="D4581" t="s">
        <v>41</v>
      </c>
      <c r="E4581" t="s">
        <v>42</v>
      </c>
      <c r="F4581" t="s">
        <v>43</v>
      </c>
      <c r="G4581" t="s">
        <v>44</v>
      </c>
      <c r="H4581" t="s">
        <v>90</v>
      </c>
      <c r="I4581" t="s">
        <v>37</v>
      </c>
      <c r="J4581" t="s">
        <v>87</v>
      </c>
      <c r="K4581">
        <v>3873</v>
      </c>
      <c r="L4581">
        <v>32</v>
      </c>
      <c r="M4581">
        <v>51.45</v>
      </c>
      <c r="N4581">
        <v>0</v>
      </c>
      <c r="O4581">
        <v>0</v>
      </c>
      <c r="P4581">
        <f t="shared" si="284"/>
        <v>8.2623289439710812E-3</v>
      </c>
      <c r="Q4581">
        <f t="shared" si="284"/>
        <v>1.6078125000000001</v>
      </c>
      <c r="R4581">
        <f t="shared" si="285"/>
        <v>0</v>
      </c>
      <c r="S4581">
        <f t="shared" si="286"/>
        <v>0</v>
      </c>
      <c r="T4581">
        <f t="shared" si="287"/>
        <v>0</v>
      </c>
      <c r="U4581" t="str">
        <f>YEAR('Campaign Data'!$A4581)&amp;"-"&amp;TEXT(MONTH('Campaign Data'!$A4581),"00")</f>
        <v>2026-09</v>
      </c>
    </row>
    <row r="4582" spans="1:21" x14ac:dyDescent="0.25">
      <c r="A4582">
        <v>46273</v>
      </c>
      <c r="B4582" t="s">
        <v>169</v>
      </c>
      <c r="C4582" t="s">
        <v>170</v>
      </c>
      <c r="D4582" t="s">
        <v>58</v>
      </c>
      <c r="E4582" t="s">
        <v>74</v>
      </c>
      <c r="F4582" t="s">
        <v>75</v>
      </c>
      <c r="G4582" t="s">
        <v>9</v>
      </c>
      <c r="H4582" t="s">
        <v>60</v>
      </c>
      <c r="I4582" t="s">
        <v>28</v>
      </c>
      <c r="J4582" t="s">
        <v>45</v>
      </c>
      <c r="K4582">
        <v>5060</v>
      </c>
      <c r="L4582">
        <v>160</v>
      </c>
      <c r="M4582">
        <v>152.97</v>
      </c>
      <c r="N4582">
        <v>13</v>
      </c>
      <c r="O4582">
        <v>401.18</v>
      </c>
      <c r="P4582">
        <f t="shared" si="284"/>
        <v>3.1620553359683792E-2</v>
      </c>
      <c r="Q4582">
        <f t="shared" si="284"/>
        <v>0.95606250000000004</v>
      </c>
      <c r="R4582">
        <f t="shared" si="285"/>
        <v>11.766923076923076</v>
      </c>
      <c r="S4582">
        <f t="shared" si="286"/>
        <v>2.6226057396875206</v>
      </c>
      <c r="T4582">
        <f t="shared" si="287"/>
        <v>8.1250000000000003E-2</v>
      </c>
      <c r="U4582" t="str">
        <f>YEAR('Campaign Data'!$A4582)&amp;"-"&amp;TEXT(MONTH('Campaign Data'!$A4582),"00")</f>
        <v>2026-09</v>
      </c>
    </row>
    <row r="4583" spans="1:21" x14ac:dyDescent="0.25">
      <c r="A4583">
        <v>46273</v>
      </c>
      <c r="B4583" t="s">
        <v>127</v>
      </c>
      <c r="C4583" t="s">
        <v>128</v>
      </c>
      <c r="D4583" t="s">
        <v>58</v>
      </c>
      <c r="E4583" t="s">
        <v>24</v>
      </c>
      <c r="F4583" t="s">
        <v>81</v>
      </c>
      <c r="G4583" t="s">
        <v>129</v>
      </c>
      <c r="H4583" t="s">
        <v>55</v>
      </c>
      <c r="I4583" t="s">
        <v>28</v>
      </c>
      <c r="J4583" t="s">
        <v>62</v>
      </c>
      <c r="K4583">
        <v>3302</v>
      </c>
      <c r="L4583">
        <v>68</v>
      </c>
      <c r="M4583">
        <v>51.34</v>
      </c>
      <c r="N4583">
        <v>4</v>
      </c>
      <c r="O4583">
        <v>20</v>
      </c>
      <c r="P4583">
        <f t="shared" si="284"/>
        <v>2.0593579648697759E-2</v>
      </c>
      <c r="Q4583">
        <f t="shared" si="284"/>
        <v>0.755</v>
      </c>
      <c r="R4583">
        <f t="shared" si="285"/>
        <v>12.835000000000001</v>
      </c>
      <c r="S4583">
        <f t="shared" si="286"/>
        <v>0.38955979742890529</v>
      </c>
      <c r="T4583">
        <f t="shared" si="287"/>
        <v>5.8823529411764705E-2</v>
      </c>
      <c r="U4583" t="str">
        <f>YEAR('Campaign Data'!$A4583)&amp;"-"&amp;TEXT(MONTH('Campaign Data'!$A4583),"00")</f>
        <v>2026-09</v>
      </c>
    </row>
    <row r="4584" spans="1:21" x14ac:dyDescent="0.25">
      <c r="A4584">
        <v>46273</v>
      </c>
      <c r="B4584" t="s">
        <v>127</v>
      </c>
      <c r="C4584" t="s">
        <v>128</v>
      </c>
      <c r="D4584" t="s">
        <v>58</v>
      </c>
      <c r="E4584" t="s">
        <v>24</v>
      </c>
      <c r="F4584" t="s">
        <v>81</v>
      </c>
      <c r="G4584" t="s">
        <v>129</v>
      </c>
      <c r="H4584" t="s">
        <v>36</v>
      </c>
      <c r="I4584" t="s">
        <v>28</v>
      </c>
      <c r="J4584" t="s">
        <v>29</v>
      </c>
      <c r="K4584">
        <v>10290</v>
      </c>
      <c r="L4584">
        <v>106</v>
      </c>
      <c r="M4584">
        <v>107.88</v>
      </c>
      <c r="N4584">
        <v>3</v>
      </c>
      <c r="O4584">
        <v>40.36</v>
      </c>
      <c r="P4584">
        <f t="shared" si="284"/>
        <v>1.0301263362487852E-2</v>
      </c>
      <c r="Q4584">
        <f t="shared" si="284"/>
        <v>1.0177358490566037</v>
      </c>
      <c r="R4584">
        <f t="shared" si="285"/>
        <v>35.96</v>
      </c>
      <c r="S4584">
        <f t="shared" si="286"/>
        <v>0.37411939191694477</v>
      </c>
      <c r="T4584">
        <f t="shared" si="287"/>
        <v>2.8301886792452831E-2</v>
      </c>
      <c r="U4584" t="str">
        <f>YEAR('Campaign Data'!$A4584)&amp;"-"&amp;TEXT(MONTH('Campaign Data'!$A4584),"00")</f>
        <v>2026-09</v>
      </c>
    </row>
    <row r="4585" spans="1:21" x14ac:dyDescent="0.25">
      <c r="A4585">
        <v>46273</v>
      </c>
      <c r="B4585" t="s">
        <v>105</v>
      </c>
      <c r="C4585" t="s">
        <v>106</v>
      </c>
      <c r="D4585" t="s">
        <v>58</v>
      </c>
      <c r="E4585" t="s">
        <v>49</v>
      </c>
      <c r="F4585" t="s">
        <v>81</v>
      </c>
      <c r="G4585" t="s">
        <v>107</v>
      </c>
      <c r="H4585" t="s">
        <v>51</v>
      </c>
      <c r="I4585" t="s">
        <v>28</v>
      </c>
      <c r="J4585" t="s">
        <v>87</v>
      </c>
      <c r="K4585">
        <v>3921</v>
      </c>
      <c r="L4585">
        <v>203</v>
      </c>
      <c r="M4585">
        <v>401.29</v>
      </c>
      <c r="N4585">
        <v>14</v>
      </c>
      <c r="O4585">
        <v>317.08999999999997</v>
      </c>
      <c r="P4585">
        <f t="shared" si="284"/>
        <v>5.1772507013516961E-2</v>
      </c>
      <c r="Q4585">
        <f t="shared" si="284"/>
        <v>1.9767980295566503</v>
      </c>
      <c r="R4585">
        <f t="shared" si="285"/>
        <v>28.66357142857143</v>
      </c>
      <c r="S4585">
        <f t="shared" si="286"/>
        <v>0.79017668020633447</v>
      </c>
      <c r="T4585">
        <f t="shared" si="287"/>
        <v>6.8965517241379309E-2</v>
      </c>
      <c r="U4585" t="str">
        <f>YEAR('Campaign Data'!$A4585)&amp;"-"&amp;TEXT(MONTH('Campaign Data'!$A4585),"00")</f>
        <v>2026-09</v>
      </c>
    </row>
    <row r="4586" spans="1:21" x14ac:dyDescent="0.25">
      <c r="A4586">
        <v>46273</v>
      </c>
      <c r="B4586" t="s">
        <v>130</v>
      </c>
      <c r="C4586" t="s">
        <v>131</v>
      </c>
      <c r="D4586" t="s">
        <v>48</v>
      </c>
      <c r="E4586" t="s">
        <v>33</v>
      </c>
      <c r="F4586" t="s">
        <v>34</v>
      </c>
      <c r="G4586" t="s">
        <v>35</v>
      </c>
      <c r="H4586" t="s">
        <v>36</v>
      </c>
      <c r="I4586" t="s">
        <v>37</v>
      </c>
      <c r="J4586" t="s">
        <v>62</v>
      </c>
      <c r="K4586">
        <v>17871</v>
      </c>
      <c r="L4586">
        <v>292</v>
      </c>
      <c r="M4586">
        <v>206.41</v>
      </c>
      <c r="N4586">
        <v>12</v>
      </c>
      <c r="O4586">
        <v>965.01</v>
      </c>
      <c r="P4586">
        <f t="shared" si="284"/>
        <v>1.6339320687146774E-2</v>
      </c>
      <c r="Q4586">
        <f t="shared" si="284"/>
        <v>0.70688356164383559</v>
      </c>
      <c r="R4586">
        <f t="shared" si="285"/>
        <v>17.200833333333332</v>
      </c>
      <c r="S4586">
        <f t="shared" si="286"/>
        <v>4.6752095344217821</v>
      </c>
      <c r="T4586">
        <f t="shared" si="287"/>
        <v>4.1095890410958902E-2</v>
      </c>
      <c r="U4586" t="str">
        <f>YEAR('Campaign Data'!$A4586)&amp;"-"&amp;TEXT(MONTH('Campaign Data'!$A4586),"00")</f>
        <v>2026-09</v>
      </c>
    </row>
    <row r="4587" spans="1:21" x14ac:dyDescent="0.25">
      <c r="A4587">
        <v>46273</v>
      </c>
      <c r="B4587" t="s">
        <v>132</v>
      </c>
      <c r="C4587" t="s">
        <v>133</v>
      </c>
      <c r="D4587" t="s">
        <v>23</v>
      </c>
      <c r="E4587" t="s">
        <v>42</v>
      </c>
      <c r="F4587" t="s">
        <v>75</v>
      </c>
      <c r="G4587" t="s">
        <v>84</v>
      </c>
      <c r="H4587" t="s">
        <v>51</v>
      </c>
      <c r="I4587" t="s">
        <v>37</v>
      </c>
      <c r="J4587" t="s">
        <v>29</v>
      </c>
      <c r="K4587">
        <v>9078</v>
      </c>
      <c r="L4587">
        <v>29</v>
      </c>
      <c r="M4587">
        <v>158.33000000000001</v>
      </c>
      <c r="N4587">
        <v>1</v>
      </c>
      <c r="O4587">
        <v>43.11</v>
      </c>
      <c r="P4587">
        <f t="shared" si="284"/>
        <v>3.1945362414628775E-3</v>
      </c>
      <c r="Q4587">
        <f t="shared" si="284"/>
        <v>5.4596551724137932</v>
      </c>
      <c r="R4587">
        <f t="shared" si="285"/>
        <v>158.33000000000001</v>
      </c>
      <c r="S4587">
        <f t="shared" si="286"/>
        <v>0.27227941640876646</v>
      </c>
      <c r="T4587">
        <f t="shared" si="287"/>
        <v>3.4482758620689655E-2</v>
      </c>
      <c r="U4587" t="str">
        <f>YEAR('Campaign Data'!$A4587)&amp;"-"&amp;TEXT(MONTH('Campaign Data'!$A4587),"00")</f>
        <v>2026-09</v>
      </c>
    </row>
    <row r="4588" spans="1:21" x14ac:dyDescent="0.25">
      <c r="A4588">
        <v>46273</v>
      </c>
      <c r="B4588" t="s">
        <v>171</v>
      </c>
      <c r="C4588" t="s">
        <v>172</v>
      </c>
      <c r="D4588" t="s">
        <v>23</v>
      </c>
      <c r="E4588" t="s">
        <v>33</v>
      </c>
      <c r="F4588" t="s">
        <v>75</v>
      </c>
      <c r="G4588" t="s">
        <v>59</v>
      </c>
      <c r="H4588" t="s">
        <v>27</v>
      </c>
      <c r="I4588" t="s">
        <v>28</v>
      </c>
      <c r="J4588" t="s">
        <v>29</v>
      </c>
      <c r="K4588">
        <v>11220</v>
      </c>
      <c r="L4588">
        <v>84</v>
      </c>
      <c r="M4588">
        <v>65.489999999999995</v>
      </c>
      <c r="N4588">
        <v>2</v>
      </c>
      <c r="O4588">
        <v>68.489999999999995</v>
      </c>
      <c r="P4588">
        <f t="shared" si="284"/>
        <v>7.4866310160427805E-3</v>
      </c>
      <c r="Q4588">
        <f t="shared" si="284"/>
        <v>0.77964285714285708</v>
      </c>
      <c r="R4588">
        <f t="shared" si="285"/>
        <v>32.744999999999997</v>
      </c>
      <c r="S4588">
        <f t="shared" si="286"/>
        <v>1.0458085203847916</v>
      </c>
      <c r="T4588">
        <f t="shared" si="287"/>
        <v>2.3809523809523808E-2</v>
      </c>
      <c r="U4588" t="str">
        <f>YEAR('Campaign Data'!$A4588)&amp;"-"&amp;TEXT(MONTH('Campaign Data'!$A4588),"00")</f>
        <v>2026-09</v>
      </c>
    </row>
    <row r="4589" spans="1:21" x14ac:dyDescent="0.25">
      <c r="A4589">
        <v>46273</v>
      </c>
      <c r="B4589" t="s">
        <v>134</v>
      </c>
      <c r="C4589" t="s">
        <v>135</v>
      </c>
      <c r="D4589" t="s">
        <v>32</v>
      </c>
      <c r="E4589" t="s">
        <v>74</v>
      </c>
      <c r="F4589" t="s">
        <v>25</v>
      </c>
      <c r="G4589" t="s">
        <v>107</v>
      </c>
      <c r="H4589" t="s">
        <v>51</v>
      </c>
      <c r="I4589" t="s">
        <v>37</v>
      </c>
      <c r="J4589" t="s">
        <v>87</v>
      </c>
      <c r="K4589">
        <v>3410</v>
      </c>
      <c r="L4589">
        <v>113</v>
      </c>
      <c r="M4589">
        <v>152.16999999999999</v>
      </c>
      <c r="N4589">
        <v>4</v>
      </c>
      <c r="O4589">
        <v>905.53</v>
      </c>
      <c r="P4589">
        <f t="shared" si="284"/>
        <v>3.3137829912023457E-2</v>
      </c>
      <c r="Q4589">
        <f t="shared" si="284"/>
        <v>1.3466371681415927</v>
      </c>
      <c r="R4589">
        <f t="shared" si="285"/>
        <v>38.042499999999997</v>
      </c>
      <c r="S4589">
        <f t="shared" si="286"/>
        <v>5.9507787343103109</v>
      </c>
      <c r="T4589">
        <f t="shared" si="287"/>
        <v>3.5398230088495575E-2</v>
      </c>
      <c r="U4589" t="str">
        <f>YEAR('Campaign Data'!$A4589)&amp;"-"&amp;TEXT(MONTH('Campaign Data'!$A4589),"00")</f>
        <v>2026-09</v>
      </c>
    </row>
    <row r="4590" spans="1:21" x14ac:dyDescent="0.25">
      <c r="A4590">
        <v>46273</v>
      </c>
      <c r="B4590" t="s">
        <v>114</v>
      </c>
      <c r="C4590" t="s">
        <v>115</v>
      </c>
      <c r="D4590" t="s">
        <v>69</v>
      </c>
      <c r="E4590" t="s">
        <v>49</v>
      </c>
      <c r="F4590" t="s">
        <v>25</v>
      </c>
      <c r="G4590" t="s">
        <v>107</v>
      </c>
      <c r="H4590" t="s">
        <v>36</v>
      </c>
      <c r="I4590" t="s">
        <v>37</v>
      </c>
      <c r="J4590" t="s">
        <v>87</v>
      </c>
      <c r="K4590">
        <v>3808</v>
      </c>
      <c r="L4590">
        <v>201</v>
      </c>
      <c r="M4590">
        <v>446.39</v>
      </c>
      <c r="N4590">
        <v>12</v>
      </c>
      <c r="O4590">
        <v>1699.99</v>
      </c>
      <c r="P4590">
        <f t="shared" si="284"/>
        <v>5.2783613445378151E-2</v>
      </c>
      <c r="Q4590">
        <f t="shared" si="284"/>
        <v>2.2208457711442784</v>
      </c>
      <c r="R4590">
        <f t="shared" si="285"/>
        <v>37.199166666666663</v>
      </c>
      <c r="S4590">
        <f t="shared" si="286"/>
        <v>3.8083066376934966</v>
      </c>
      <c r="T4590">
        <f t="shared" si="287"/>
        <v>5.9701492537313432E-2</v>
      </c>
      <c r="U4590" t="str">
        <f>YEAR('Campaign Data'!$A4590)&amp;"-"&amp;TEXT(MONTH('Campaign Data'!$A4590),"00")</f>
        <v>2026-09</v>
      </c>
    </row>
    <row r="4591" spans="1:21" x14ac:dyDescent="0.25">
      <c r="A4591">
        <v>46273</v>
      </c>
      <c r="B4591" t="s">
        <v>141</v>
      </c>
      <c r="C4591" t="s">
        <v>142</v>
      </c>
      <c r="D4591" t="s">
        <v>80</v>
      </c>
      <c r="E4591" t="s">
        <v>49</v>
      </c>
      <c r="F4591" t="s">
        <v>81</v>
      </c>
      <c r="G4591" t="s">
        <v>97</v>
      </c>
      <c r="H4591" t="s">
        <v>90</v>
      </c>
      <c r="I4591" t="s">
        <v>28</v>
      </c>
      <c r="J4591" t="s">
        <v>38</v>
      </c>
      <c r="K4591">
        <v>28213</v>
      </c>
      <c r="L4591">
        <v>1832</v>
      </c>
      <c r="M4591">
        <v>403.67</v>
      </c>
      <c r="N4591">
        <v>80</v>
      </c>
      <c r="O4591">
        <v>426.43</v>
      </c>
      <c r="P4591">
        <f t="shared" si="284"/>
        <v>6.4934604614893837E-2</v>
      </c>
      <c r="Q4591">
        <f t="shared" si="284"/>
        <v>0.22034388646288211</v>
      </c>
      <c r="R4591">
        <f t="shared" si="285"/>
        <v>5.0458750000000006</v>
      </c>
      <c r="S4591">
        <f t="shared" si="286"/>
        <v>1.0563826888299848</v>
      </c>
      <c r="T4591">
        <f t="shared" si="287"/>
        <v>4.3668122270742356E-2</v>
      </c>
      <c r="U4591" t="str">
        <f>YEAR('Campaign Data'!$A4591)&amp;"-"&amp;TEXT(MONTH('Campaign Data'!$A4591),"00")</f>
        <v>2026-09</v>
      </c>
    </row>
    <row r="4592" spans="1:21" x14ac:dyDescent="0.25">
      <c r="A4592">
        <v>46273</v>
      </c>
      <c r="B4592" t="s">
        <v>136</v>
      </c>
      <c r="C4592" t="s">
        <v>137</v>
      </c>
      <c r="D4592" t="s">
        <v>32</v>
      </c>
      <c r="E4592" t="s">
        <v>49</v>
      </c>
      <c r="F4592" t="s">
        <v>75</v>
      </c>
      <c r="G4592" t="s">
        <v>97</v>
      </c>
      <c r="H4592" t="s">
        <v>71</v>
      </c>
      <c r="I4592" t="s">
        <v>37</v>
      </c>
      <c r="J4592" t="s">
        <v>87</v>
      </c>
      <c r="K4592">
        <v>4104</v>
      </c>
      <c r="L4592">
        <v>143</v>
      </c>
      <c r="M4592">
        <v>266.25</v>
      </c>
      <c r="N4592">
        <v>10</v>
      </c>
      <c r="O4592">
        <v>248.44</v>
      </c>
      <c r="P4592">
        <f t="shared" si="284"/>
        <v>3.4844054580896684E-2</v>
      </c>
      <c r="Q4592">
        <f t="shared" si="284"/>
        <v>1.8618881118881119</v>
      </c>
      <c r="R4592">
        <f t="shared" si="285"/>
        <v>26.625</v>
      </c>
      <c r="S4592">
        <f t="shared" si="286"/>
        <v>0.9331079812206573</v>
      </c>
      <c r="T4592">
        <f t="shared" si="287"/>
        <v>6.9930069930069935E-2</v>
      </c>
      <c r="U4592" t="str">
        <f>YEAR('Campaign Data'!$A4592)&amp;"-"&amp;TEXT(MONTH('Campaign Data'!$A4592),"00")</f>
        <v>2026-09</v>
      </c>
    </row>
    <row r="4593" spans="1:21" x14ac:dyDescent="0.25">
      <c r="A4593">
        <v>46273</v>
      </c>
      <c r="B4593" t="s">
        <v>183</v>
      </c>
      <c r="C4593" t="s">
        <v>184</v>
      </c>
      <c r="D4593" t="s">
        <v>23</v>
      </c>
      <c r="E4593" t="s">
        <v>24</v>
      </c>
      <c r="F4593" t="s">
        <v>81</v>
      </c>
      <c r="G4593" t="s">
        <v>185</v>
      </c>
      <c r="H4593" t="s">
        <v>71</v>
      </c>
      <c r="I4593" t="s">
        <v>28</v>
      </c>
      <c r="J4593" t="s">
        <v>87</v>
      </c>
      <c r="K4593">
        <v>5457</v>
      </c>
      <c r="L4593">
        <v>57</v>
      </c>
      <c r="M4593">
        <v>64.290000000000006</v>
      </c>
      <c r="N4593">
        <v>3</v>
      </c>
      <c r="O4593">
        <v>84.04</v>
      </c>
      <c r="P4593">
        <f t="shared" si="284"/>
        <v>1.0445299615173173E-2</v>
      </c>
      <c r="Q4593">
        <f t="shared" si="284"/>
        <v>1.1278947368421053</v>
      </c>
      <c r="R4593">
        <f t="shared" si="285"/>
        <v>21.430000000000003</v>
      </c>
      <c r="S4593">
        <f t="shared" si="286"/>
        <v>1.3072017421060818</v>
      </c>
      <c r="T4593">
        <f t="shared" si="287"/>
        <v>5.2631578947368418E-2</v>
      </c>
      <c r="U4593" t="str">
        <f>YEAR('Campaign Data'!$A4593)&amp;"-"&amp;TEXT(MONTH('Campaign Data'!$A4593),"00")</f>
        <v>2026-09</v>
      </c>
    </row>
    <row r="4594" spans="1:21" x14ac:dyDescent="0.25">
      <c r="A4594">
        <v>46273</v>
      </c>
      <c r="B4594" t="s">
        <v>76</v>
      </c>
      <c r="C4594" t="s">
        <v>77</v>
      </c>
      <c r="D4594" t="s">
        <v>65</v>
      </c>
      <c r="E4594" t="s">
        <v>42</v>
      </c>
      <c r="F4594" t="s">
        <v>43</v>
      </c>
      <c r="G4594" t="s">
        <v>44</v>
      </c>
      <c r="H4594" t="s">
        <v>60</v>
      </c>
      <c r="I4594" t="s">
        <v>37</v>
      </c>
      <c r="J4594" t="s">
        <v>45</v>
      </c>
      <c r="K4594">
        <v>5405</v>
      </c>
      <c r="L4594">
        <v>28</v>
      </c>
      <c r="M4594">
        <v>183.71</v>
      </c>
      <c r="N4594">
        <v>0</v>
      </c>
      <c r="O4594">
        <v>0</v>
      </c>
      <c r="P4594">
        <f t="shared" si="284"/>
        <v>5.1803885291396854E-3</v>
      </c>
      <c r="Q4594">
        <f t="shared" si="284"/>
        <v>6.5610714285714291</v>
      </c>
      <c r="R4594">
        <f t="shared" si="285"/>
        <v>0</v>
      </c>
      <c r="S4594">
        <f t="shared" si="286"/>
        <v>0</v>
      </c>
      <c r="T4594">
        <f t="shared" si="287"/>
        <v>0</v>
      </c>
      <c r="U4594" t="str">
        <f>YEAR('Campaign Data'!$A4594)&amp;"-"&amp;TEXT(MONTH('Campaign Data'!$A4594),"00")</f>
        <v>2026-09</v>
      </c>
    </row>
    <row r="4595" spans="1:21" x14ac:dyDescent="0.25">
      <c r="A4595">
        <v>46273</v>
      </c>
      <c r="B4595" t="s">
        <v>120</v>
      </c>
      <c r="C4595" t="s">
        <v>121</v>
      </c>
      <c r="D4595" t="s">
        <v>23</v>
      </c>
      <c r="E4595" t="s">
        <v>49</v>
      </c>
      <c r="F4595" t="s">
        <v>75</v>
      </c>
      <c r="G4595" t="s">
        <v>70</v>
      </c>
      <c r="H4595" t="s">
        <v>90</v>
      </c>
      <c r="I4595" t="s">
        <v>61</v>
      </c>
      <c r="J4595" t="s">
        <v>29</v>
      </c>
      <c r="K4595">
        <v>6309</v>
      </c>
      <c r="L4595">
        <v>228</v>
      </c>
      <c r="M4595">
        <v>133.88</v>
      </c>
      <c r="N4595">
        <v>9</v>
      </c>
      <c r="O4595">
        <v>57.28</v>
      </c>
      <c r="P4595">
        <f t="shared" si="284"/>
        <v>3.6138849262957677E-2</v>
      </c>
      <c r="Q4595">
        <f t="shared" si="284"/>
        <v>0.58719298245614038</v>
      </c>
      <c r="R4595">
        <f t="shared" si="285"/>
        <v>14.875555555555556</v>
      </c>
      <c r="S4595">
        <f t="shared" si="286"/>
        <v>0.42784583208843741</v>
      </c>
      <c r="T4595">
        <f t="shared" si="287"/>
        <v>3.9473684210526314E-2</v>
      </c>
      <c r="U4595" t="str">
        <f>YEAR('Campaign Data'!$A4595)&amp;"-"&amp;TEXT(MONTH('Campaign Data'!$A4595),"00")</f>
        <v>2026-09</v>
      </c>
    </row>
    <row r="4596" spans="1:21" x14ac:dyDescent="0.25">
      <c r="A4596">
        <v>46273</v>
      </c>
      <c r="B4596" t="s">
        <v>120</v>
      </c>
      <c r="C4596" t="s">
        <v>121</v>
      </c>
      <c r="D4596" t="s">
        <v>23</v>
      </c>
      <c r="E4596" t="s">
        <v>49</v>
      </c>
      <c r="F4596" t="s">
        <v>75</v>
      </c>
      <c r="G4596" t="s">
        <v>70</v>
      </c>
      <c r="H4596" t="s">
        <v>90</v>
      </c>
      <c r="I4596" t="s">
        <v>37</v>
      </c>
      <c r="J4596" t="s">
        <v>62</v>
      </c>
      <c r="K4596">
        <v>1750</v>
      </c>
      <c r="L4596">
        <v>84</v>
      </c>
      <c r="M4596">
        <v>41.07</v>
      </c>
      <c r="N4596">
        <v>5</v>
      </c>
      <c r="O4596">
        <v>65.739999999999995</v>
      </c>
      <c r="P4596">
        <f t="shared" si="284"/>
        <v>4.8000000000000001E-2</v>
      </c>
      <c r="Q4596">
        <f t="shared" si="284"/>
        <v>0.48892857142857143</v>
      </c>
      <c r="R4596">
        <f t="shared" si="285"/>
        <v>8.2140000000000004</v>
      </c>
      <c r="S4596">
        <f t="shared" si="286"/>
        <v>1.6006817628439249</v>
      </c>
      <c r="T4596">
        <f t="shared" si="287"/>
        <v>5.9523809523809521E-2</v>
      </c>
      <c r="U4596" t="str">
        <f>YEAR('Campaign Data'!$A4596)&amp;"-"&amp;TEXT(MONTH('Campaign Data'!$A4596),"00")</f>
        <v>2026-09</v>
      </c>
    </row>
    <row r="4597" spans="1:21" x14ac:dyDescent="0.25">
      <c r="A4597">
        <v>46274</v>
      </c>
      <c r="B4597" t="s">
        <v>85</v>
      </c>
      <c r="C4597" t="s">
        <v>86</v>
      </c>
      <c r="D4597" t="s">
        <v>80</v>
      </c>
      <c r="E4597" t="s">
        <v>33</v>
      </c>
      <c r="F4597" t="s">
        <v>43</v>
      </c>
      <c r="G4597" t="s">
        <v>35</v>
      </c>
      <c r="H4597" t="s">
        <v>36</v>
      </c>
      <c r="I4597" t="s">
        <v>37</v>
      </c>
      <c r="J4597" t="s">
        <v>29</v>
      </c>
      <c r="K4597">
        <v>5958</v>
      </c>
      <c r="L4597">
        <v>83</v>
      </c>
      <c r="M4597">
        <v>37.97</v>
      </c>
      <c r="N4597">
        <v>1</v>
      </c>
      <c r="O4597">
        <v>26.07</v>
      </c>
      <c r="P4597">
        <f t="shared" si="284"/>
        <v>1.3930849278281303E-2</v>
      </c>
      <c r="Q4597">
        <f t="shared" si="284"/>
        <v>0.45746987951807228</v>
      </c>
      <c r="R4597">
        <f t="shared" si="285"/>
        <v>37.97</v>
      </c>
      <c r="S4597">
        <f t="shared" si="286"/>
        <v>0.6865946800105347</v>
      </c>
      <c r="T4597">
        <f t="shared" si="287"/>
        <v>1.2048192771084338E-2</v>
      </c>
      <c r="U4597" t="str">
        <f>YEAR('Campaign Data'!$A4597)&amp;"-"&amp;TEXT(MONTH('Campaign Data'!$A4597),"00")</f>
        <v>2026-09</v>
      </c>
    </row>
    <row r="4598" spans="1:21" x14ac:dyDescent="0.25">
      <c r="A4598">
        <v>46274</v>
      </c>
      <c r="B4598" t="s">
        <v>149</v>
      </c>
      <c r="C4598" t="s">
        <v>150</v>
      </c>
      <c r="D4598" t="s">
        <v>65</v>
      </c>
      <c r="E4598" t="s">
        <v>33</v>
      </c>
      <c r="F4598" t="s">
        <v>43</v>
      </c>
      <c r="G4598" t="s">
        <v>59</v>
      </c>
      <c r="H4598" t="s">
        <v>90</v>
      </c>
      <c r="I4598" t="s">
        <v>37</v>
      </c>
      <c r="J4598" t="s">
        <v>62</v>
      </c>
      <c r="K4598">
        <v>2267</v>
      </c>
      <c r="L4598">
        <v>20</v>
      </c>
      <c r="M4598">
        <v>3.12</v>
      </c>
      <c r="N4598">
        <v>1</v>
      </c>
      <c r="O4598">
        <v>8.14</v>
      </c>
      <c r="P4598">
        <f t="shared" si="284"/>
        <v>8.82223202470225E-3</v>
      </c>
      <c r="Q4598">
        <f t="shared" si="284"/>
        <v>0.156</v>
      </c>
      <c r="R4598">
        <f t="shared" si="285"/>
        <v>3.12</v>
      </c>
      <c r="S4598">
        <f t="shared" si="286"/>
        <v>2.608974358974359</v>
      </c>
      <c r="T4598">
        <f t="shared" si="287"/>
        <v>0.05</v>
      </c>
      <c r="U4598" t="str">
        <f>YEAR('Campaign Data'!$A4598)&amp;"-"&amp;TEXT(MONTH('Campaign Data'!$A4598),"00")</f>
        <v>2026-09</v>
      </c>
    </row>
    <row r="4599" spans="1:21" x14ac:dyDescent="0.25">
      <c r="A4599">
        <v>46274</v>
      </c>
      <c r="B4599" t="s">
        <v>186</v>
      </c>
      <c r="C4599" t="s">
        <v>187</v>
      </c>
      <c r="D4599" t="s">
        <v>80</v>
      </c>
      <c r="E4599" t="s">
        <v>33</v>
      </c>
      <c r="F4599" t="s">
        <v>43</v>
      </c>
      <c r="G4599" t="s">
        <v>102</v>
      </c>
      <c r="H4599" t="s">
        <v>55</v>
      </c>
      <c r="I4599" t="s">
        <v>37</v>
      </c>
      <c r="J4599" t="s">
        <v>38</v>
      </c>
      <c r="K4599">
        <v>7096</v>
      </c>
      <c r="L4599">
        <v>76</v>
      </c>
      <c r="M4599">
        <v>42.1</v>
      </c>
      <c r="N4599">
        <v>1</v>
      </c>
      <c r="O4599">
        <v>32.43</v>
      </c>
      <c r="P4599">
        <f t="shared" si="284"/>
        <v>1.0710259301014656E-2</v>
      </c>
      <c r="Q4599">
        <f t="shared" si="284"/>
        <v>0.55394736842105263</v>
      </c>
      <c r="R4599">
        <f t="shared" si="285"/>
        <v>42.1</v>
      </c>
      <c r="S4599">
        <f t="shared" si="286"/>
        <v>0.77030878859857477</v>
      </c>
      <c r="T4599">
        <f t="shared" si="287"/>
        <v>1.3157894736842105E-2</v>
      </c>
      <c r="U4599" t="str">
        <f>YEAR('Campaign Data'!$A4599)&amp;"-"&amp;TEXT(MONTH('Campaign Data'!$A4599),"00")</f>
        <v>2026-09</v>
      </c>
    </row>
    <row r="4600" spans="1:21" x14ac:dyDescent="0.25">
      <c r="A4600">
        <v>46274</v>
      </c>
      <c r="B4600" t="s">
        <v>98</v>
      </c>
      <c r="C4600" t="s">
        <v>99</v>
      </c>
      <c r="D4600" t="s">
        <v>69</v>
      </c>
      <c r="E4600" t="s">
        <v>24</v>
      </c>
      <c r="F4600" t="s">
        <v>75</v>
      </c>
      <c r="G4600" t="s">
        <v>66</v>
      </c>
      <c r="H4600" t="s">
        <v>27</v>
      </c>
      <c r="I4600" t="s">
        <v>28</v>
      </c>
      <c r="J4600" t="s">
        <v>29</v>
      </c>
      <c r="K4600">
        <v>10566</v>
      </c>
      <c r="L4600">
        <v>174</v>
      </c>
      <c r="M4600">
        <v>179.11</v>
      </c>
      <c r="N4600">
        <v>1</v>
      </c>
      <c r="O4600">
        <v>19.899999999999999</v>
      </c>
      <c r="P4600">
        <f t="shared" si="284"/>
        <v>1.6467915956842702E-2</v>
      </c>
      <c r="Q4600">
        <f t="shared" si="284"/>
        <v>1.0293678160919542</v>
      </c>
      <c r="R4600">
        <f t="shared" si="285"/>
        <v>179.11</v>
      </c>
      <c r="S4600">
        <f t="shared" si="286"/>
        <v>0.11110490759868236</v>
      </c>
      <c r="T4600">
        <f t="shared" si="287"/>
        <v>5.7471264367816091E-3</v>
      </c>
      <c r="U4600" t="str">
        <f>YEAR('Campaign Data'!$A4600)&amp;"-"&amp;TEXT(MONTH('Campaign Data'!$A4600),"00")</f>
        <v>2026-09</v>
      </c>
    </row>
    <row r="4601" spans="1:21" x14ac:dyDescent="0.25">
      <c r="A4601">
        <v>46274</v>
      </c>
      <c r="B4601" t="s">
        <v>100</v>
      </c>
      <c r="C4601" t="s">
        <v>101</v>
      </c>
      <c r="D4601" t="s">
        <v>80</v>
      </c>
      <c r="E4601" t="s">
        <v>33</v>
      </c>
      <c r="F4601" t="s">
        <v>25</v>
      </c>
      <c r="G4601" t="s">
        <v>102</v>
      </c>
      <c r="H4601" t="s">
        <v>90</v>
      </c>
      <c r="I4601" t="s">
        <v>37</v>
      </c>
      <c r="J4601" t="s">
        <v>38</v>
      </c>
      <c r="K4601">
        <v>9636</v>
      </c>
      <c r="L4601">
        <v>96</v>
      </c>
      <c r="M4601">
        <v>14.8</v>
      </c>
      <c r="N4601">
        <v>2</v>
      </c>
      <c r="O4601">
        <v>94.76</v>
      </c>
      <c r="P4601">
        <f t="shared" si="284"/>
        <v>9.9626400996264009E-3</v>
      </c>
      <c r="Q4601">
        <f t="shared" si="284"/>
        <v>0.15416666666666667</v>
      </c>
      <c r="R4601">
        <f t="shared" si="285"/>
        <v>7.4</v>
      </c>
      <c r="S4601">
        <f t="shared" si="286"/>
        <v>6.4027027027027028</v>
      </c>
      <c r="T4601">
        <f t="shared" si="287"/>
        <v>2.0833333333333332E-2</v>
      </c>
      <c r="U4601" t="str">
        <f>YEAR('Campaign Data'!$A4601)&amp;"-"&amp;TEXT(MONTH('Campaign Data'!$A4601),"00")</f>
        <v>2026-09</v>
      </c>
    </row>
    <row r="4602" spans="1:21" x14ac:dyDescent="0.25">
      <c r="A4602">
        <v>46274</v>
      </c>
      <c r="B4602" t="s">
        <v>169</v>
      </c>
      <c r="C4602" t="s">
        <v>170</v>
      </c>
      <c r="D4602" t="s">
        <v>58</v>
      </c>
      <c r="E4602" t="s">
        <v>74</v>
      </c>
      <c r="F4602" t="s">
        <v>75</v>
      </c>
      <c r="G4602" t="s">
        <v>9</v>
      </c>
      <c r="H4602" t="s">
        <v>90</v>
      </c>
      <c r="I4602" t="s">
        <v>37</v>
      </c>
      <c r="J4602" t="s">
        <v>38</v>
      </c>
      <c r="K4602">
        <v>11470</v>
      </c>
      <c r="L4602">
        <v>339</v>
      </c>
      <c r="M4602">
        <v>110.12</v>
      </c>
      <c r="N4602">
        <v>15</v>
      </c>
      <c r="O4602">
        <v>128.51</v>
      </c>
      <c r="P4602">
        <f t="shared" si="284"/>
        <v>2.9555361813426329E-2</v>
      </c>
      <c r="Q4602">
        <f t="shared" si="284"/>
        <v>0.32483775811209442</v>
      </c>
      <c r="R4602">
        <f t="shared" si="285"/>
        <v>7.3413333333333339</v>
      </c>
      <c r="S4602">
        <f t="shared" si="286"/>
        <v>1.1669996367598983</v>
      </c>
      <c r="T4602">
        <f t="shared" si="287"/>
        <v>4.4247787610619468E-2</v>
      </c>
      <c r="U4602" t="str">
        <f>YEAR('Campaign Data'!$A4602)&amp;"-"&amp;TEXT(MONTH('Campaign Data'!$A4602),"00")</f>
        <v>2026-09</v>
      </c>
    </row>
    <row r="4603" spans="1:21" x14ac:dyDescent="0.25">
      <c r="A4603">
        <v>46274</v>
      </c>
      <c r="B4603" t="s">
        <v>105</v>
      </c>
      <c r="C4603" t="s">
        <v>106</v>
      </c>
      <c r="D4603" t="s">
        <v>58</v>
      </c>
      <c r="E4603" t="s">
        <v>49</v>
      </c>
      <c r="F4603" t="s">
        <v>81</v>
      </c>
      <c r="G4603" t="s">
        <v>107</v>
      </c>
      <c r="H4603" t="s">
        <v>60</v>
      </c>
      <c r="I4603" t="s">
        <v>37</v>
      </c>
      <c r="J4603" t="s">
        <v>87</v>
      </c>
      <c r="K4603">
        <v>8249</v>
      </c>
      <c r="L4603">
        <v>407</v>
      </c>
      <c r="M4603">
        <v>715.01</v>
      </c>
      <c r="N4603">
        <v>30</v>
      </c>
      <c r="O4603">
        <v>572.88</v>
      </c>
      <c r="P4603">
        <f t="shared" si="284"/>
        <v>4.9339313856224996E-2</v>
      </c>
      <c r="Q4603">
        <f t="shared" si="284"/>
        <v>1.7567813267813268</v>
      </c>
      <c r="R4603">
        <f t="shared" si="285"/>
        <v>23.833666666666666</v>
      </c>
      <c r="S4603">
        <f t="shared" si="286"/>
        <v>0.80121956336275013</v>
      </c>
      <c r="T4603">
        <f t="shared" si="287"/>
        <v>7.3710073710073709E-2</v>
      </c>
      <c r="U4603" t="str">
        <f>YEAR('Campaign Data'!$A4603)&amp;"-"&amp;TEXT(MONTH('Campaign Data'!$A4603),"00")</f>
        <v>2026-09</v>
      </c>
    </row>
    <row r="4604" spans="1:21" x14ac:dyDescent="0.25">
      <c r="A4604">
        <v>46274</v>
      </c>
      <c r="B4604" t="s">
        <v>105</v>
      </c>
      <c r="C4604" t="s">
        <v>106</v>
      </c>
      <c r="D4604" t="s">
        <v>58</v>
      </c>
      <c r="E4604" t="s">
        <v>49</v>
      </c>
      <c r="F4604" t="s">
        <v>81</v>
      </c>
      <c r="G4604" t="s">
        <v>107</v>
      </c>
      <c r="H4604" t="s">
        <v>51</v>
      </c>
      <c r="I4604" t="s">
        <v>28</v>
      </c>
      <c r="J4604" t="s">
        <v>29</v>
      </c>
      <c r="K4604">
        <v>3108</v>
      </c>
      <c r="L4604">
        <v>112</v>
      </c>
      <c r="M4604">
        <v>165.71</v>
      </c>
      <c r="N4604">
        <v>8</v>
      </c>
      <c r="O4604">
        <v>79.430000000000007</v>
      </c>
      <c r="P4604">
        <f t="shared" si="284"/>
        <v>3.6036036036036036E-2</v>
      </c>
      <c r="Q4604">
        <f t="shared" si="284"/>
        <v>1.4795535714285715</v>
      </c>
      <c r="R4604">
        <f t="shared" si="285"/>
        <v>20.713750000000001</v>
      </c>
      <c r="S4604">
        <f t="shared" si="286"/>
        <v>0.47933136201798326</v>
      </c>
      <c r="T4604">
        <f t="shared" si="287"/>
        <v>7.1428571428571425E-2</v>
      </c>
      <c r="U4604" t="str">
        <f>YEAR('Campaign Data'!$A4604)&amp;"-"&amp;TEXT(MONTH('Campaign Data'!$A4604),"00")</f>
        <v>2026-09</v>
      </c>
    </row>
    <row r="4605" spans="1:21" x14ac:dyDescent="0.25">
      <c r="A4605">
        <v>46274</v>
      </c>
      <c r="B4605" t="s">
        <v>153</v>
      </c>
      <c r="C4605" t="s">
        <v>154</v>
      </c>
      <c r="D4605" t="s">
        <v>48</v>
      </c>
      <c r="E4605" t="s">
        <v>33</v>
      </c>
      <c r="F4605" t="s">
        <v>43</v>
      </c>
      <c r="G4605" t="s">
        <v>59</v>
      </c>
      <c r="H4605" t="s">
        <v>27</v>
      </c>
      <c r="I4605" t="s">
        <v>37</v>
      </c>
      <c r="J4605" t="s">
        <v>87</v>
      </c>
      <c r="K4605">
        <v>1723</v>
      </c>
      <c r="L4605">
        <v>13</v>
      </c>
      <c r="M4605">
        <v>6.69</v>
      </c>
      <c r="N4605">
        <v>0</v>
      </c>
      <c r="O4605">
        <v>0</v>
      </c>
      <c r="P4605">
        <f t="shared" si="284"/>
        <v>7.5449796865931515E-3</v>
      </c>
      <c r="Q4605">
        <f t="shared" si="284"/>
        <v>0.5146153846153847</v>
      </c>
      <c r="R4605">
        <f t="shared" si="285"/>
        <v>0</v>
      </c>
      <c r="S4605">
        <f t="shared" si="286"/>
        <v>0</v>
      </c>
      <c r="T4605">
        <f t="shared" si="287"/>
        <v>0</v>
      </c>
      <c r="U4605" t="str">
        <f>YEAR('Campaign Data'!$A4605)&amp;"-"&amp;TEXT(MONTH('Campaign Data'!$A4605),"00")</f>
        <v>2026-09</v>
      </c>
    </row>
    <row r="4606" spans="1:21" x14ac:dyDescent="0.25">
      <c r="A4606">
        <v>46274</v>
      </c>
      <c r="B4606" t="s">
        <v>153</v>
      </c>
      <c r="C4606" t="s">
        <v>154</v>
      </c>
      <c r="D4606" t="s">
        <v>48</v>
      </c>
      <c r="E4606" t="s">
        <v>33</v>
      </c>
      <c r="F4606" t="s">
        <v>43</v>
      </c>
      <c r="G4606" t="s">
        <v>59</v>
      </c>
      <c r="H4606" t="s">
        <v>60</v>
      </c>
      <c r="I4606" t="s">
        <v>37</v>
      </c>
      <c r="J4606" t="s">
        <v>62</v>
      </c>
      <c r="K4606">
        <v>13929</v>
      </c>
      <c r="L4606">
        <v>123</v>
      </c>
      <c r="M4606">
        <v>63.55</v>
      </c>
      <c r="N4606">
        <v>2</v>
      </c>
      <c r="O4606">
        <v>46.24</v>
      </c>
      <c r="P4606">
        <f t="shared" si="284"/>
        <v>8.8304975231531333E-3</v>
      </c>
      <c r="Q4606">
        <f t="shared" si="284"/>
        <v>0.51666666666666661</v>
      </c>
      <c r="R4606">
        <f t="shared" si="285"/>
        <v>31.774999999999999</v>
      </c>
      <c r="S4606">
        <f t="shared" si="286"/>
        <v>0.72761605035405197</v>
      </c>
      <c r="T4606">
        <f t="shared" si="287"/>
        <v>1.6260162601626018E-2</v>
      </c>
      <c r="U4606" t="str">
        <f>YEAR('Campaign Data'!$A4606)&amp;"-"&amp;TEXT(MONTH('Campaign Data'!$A4606),"00")</f>
        <v>2026-09</v>
      </c>
    </row>
    <row r="4607" spans="1:21" x14ac:dyDescent="0.25">
      <c r="A4607">
        <v>46274</v>
      </c>
      <c r="B4607" t="s">
        <v>179</v>
      </c>
      <c r="C4607" t="s">
        <v>180</v>
      </c>
      <c r="D4607" t="s">
        <v>58</v>
      </c>
      <c r="E4607" t="s">
        <v>42</v>
      </c>
      <c r="F4607" t="s">
        <v>25</v>
      </c>
      <c r="G4607" t="s">
        <v>54</v>
      </c>
      <c r="H4607" t="s">
        <v>90</v>
      </c>
      <c r="I4607" t="s">
        <v>28</v>
      </c>
      <c r="J4607" t="s">
        <v>45</v>
      </c>
      <c r="K4607">
        <v>2072</v>
      </c>
      <c r="L4607">
        <v>9</v>
      </c>
      <c r="M4607">
        <v>9.64</v>
      </c>
      <c r="N4607">
        <v>0</v>
      </c>
      <c r="O4607">
        <v>0</v>
      </c>
      <c r="P4607">
        <f t="shared" si="284"/>
        <v>4.3436293436293436E-3</v>
      </c>
      <c r="Q4607">
        <f t="shared" si="284"/>
        <v>1.0711111111111111</v>
      </c>
      <c r="R4607">
        <f t="shared" si="285"/>
        <v>0</v>
      </c>
      <c r="S4607">
        <f t="shared" si="286"/>
        <v>0</v>
      </c>
      <c r="T4607">
        <f t="shared" si="287"/>
        <v>0</v>
      </c>
      <c r="U4607" t="str">
        <f>YEAR('Campaign Data'!$A4607)&amp;"-"&amp;TEXT(MONTH('Campaign Data'!$A4607),"00")</f>
        <v>2026-09</v>
      </c>
    </row>
    <row r="4608" spans="1:21" x14ac:dyDescent="0.25">
      <c r="A4608">
        <v>46274</v>
      </c>
      <c r="B4608" t="s">
        <v>171</v>
      </c>
      <c r="C4608" t="s">
        <v>172</v>
      </c>
      <c r="D4608" t="s">
        <v>23</v>
      </c>
      <c r="E4608" t="s">
        <v>33</v>
      </c>
      <c r="F4608" t="s">
        <v>75</v>
      </c>
      <c r="G4608" t="s">
        <v>59</v>
      </c>
      <c r="H4608" t="s">
        <v>55</v>
      </c>
      <c r="I4608" t="s">
        <v>37</v>
      </c>
      <c r="J4608" t="s">
        <v>62</v>
      </c>
      <c r="K4608">
        <v>3835</v>
      </c>
      <c r="L4608">
        <v>51</v>
      </c>
      <c r="M4608">
        <v>24.61</v>
      </c>
      <c r="N4608">
        <v>0</v>
      </c>
      <c r="O4608">
        <v>0</v>
      </c>
      <c r="P4608">
        <f t="shared" si="284"/>
        <v>1.3298565840938721E-2</v>
      </c>
      <c r="Q4608">
        <f t="shared" si="284"/>
        <v>0.48254901960784313</v>
      </c>
      <c r="R4608">
        <f t="shared" si="285"/>
        <v>0</v>
      </c>
      <c r="S4608">
        <f t="shared" si="286"/>
        <v>0</v>
      </c>
      <c r="T4608">
        <f t="shared" si="287"/>
        <v>0</v>
      </c>
      <c r="U4608" t="str">
        <f>YEAR('Campaign Data'!$A4608)&amp;"-"&amp;TEXT(MONTH('Campaign Data'!$A4608),"00")</f>
        <v>2026-09</v>
      </c>
    </row>
    <row r="4609" spans="1:21" x14ac:dyDescent="0.25">
      <c r="A4609">
        <v>46274</v>
      </c>
      <c r="B4609" t="s">
        <v>171</v>
      </c>
      <c r="C4609" t="s">
        <v>172</v>
      </c>
      <c r="D4609" t="s">
        <v>23</v>
      </c>
      <c r="E4609" t="s">
        <v>33</v>
      </c>
      <c r="F4609" t="s">
        <v>75</v>
      </c>
      <c r="G4609" t="s">
        <v>59</v>
      </c>
      <c r="H4609" t="s">
        <v>27</v>
      </c>
      <c r="I4609" t="s">
        <v>37</v>
      </c>
      <c r="J4609" t="s">
        <v>38</v>
      </c>
      <c r="K4609">
        <v>3516</v>
      </c>
      <c r="L4609">
        <v>32</v>
      </c>
      <c r="M4609">
        <v>38.92</v>
      </c>
      <c r="N4609">
        <v>1</v>
      </c>
      <c r="O4609">
        <v>31.21</v>
      </c>
      <c r="P4609">
        <f t="shared" si="284"/>
        <v>9.1012514220705342E-3</v>
      </c>
      <c r="Q4609">
        <f t="shared" si="284"/>
        <v>1.2162500000000001</v>
      </c>
      <c r="R4609">
        <f t="shared" si="285"/>
        <v>38.92</v>
      </c>
      <c r="S4609">
        <f t="shared" si="286"/>
        <v>0.80190133607399794</v>
      </c>
      <c r="T4609">
        <f t="shared" si="287"/>
        <v>3.125E-2</v>
      </c>
      <c r="U4609" t="str">
        <f>YEAR('Campaign Data'!$A4609)&amp;"-"&amp;TEXT(MONTH('Campaign Data'!$A4609),"00")</f>
        <v>2026-09</v>
      </c>
    </row>
    <row r="4610" spans="1:21" x14ac:dyDescent="0.25">
      <c r="A4610">
        <v>46274</v>
      </c>
      <c r="B4610" t="s">
        <v>56</v>
      </c>
      <c r="C4610" t="s">
        <v>57</v>
      </c>
      <c r="D4610" t="s">
        <v>58</v>
      </c>
      <c r="E4610" t="s">
        <v>33</v>
      </c>
      <c r="F4610" t="s">
        <v>43</v>
      </c>
      <c r="G4610" t="s">
        <v>59</v>
      </c>
      <c r="H4610" t="s">
        <v>55</v>
      </c>
      <c r="I4610" t="s">
        <v>37</v>
      </c>
      <c r="J4610" t="s">
        <v>45</v>
      </c>
      <c r="K4610">
        <v>8389</v>
      </c>
      <c r="L4610">
        <v>98</v>
      </c>
      <c r="M4610">
        <v>57.23</v>
      </c>
      <c r="N4610">
        <v>1</v>
      </c>
      <c r="O4610">
        <v>19.079999999999998</v>
      </c>
      <c r="P4610">
        <f t="shared" ref="P4610:Q4673" si="288">IF(K4610=0,0,L4610/K4610)</f>
        <v>1.1681964477291692E-2</v>
      </c>
      <c r="Q4610">
        <f t="shared" si="288"/>
        <v>0.58397959183673465</v>
      </c>
      <c r="R4610">
        <f t="shared" ref="R4610:R4673" si="289">IF(N4610=0,0,M4610/N4610)</f>
        <v>57.23</v>
      </c>
      <c r="S4610">
        <f t="shared" ref="S4610:S4673" si="290">IF(M4610=0,0,O4610/M4610)</f>
        <v>0.3333915778437882</v>
      </c>
      <c r="T4610">
        <f t="shared" ref="T4610:T4673" si="291">IF(L4610=0,0,N4610/L4610)</f>
        <v>1.020408163265306E-2</v>
      </c>
      <c r="U4610" t="str">
        <f>YEAR('Campaign Data'!$A4610)&amp;"-"&amp;TEXT(MONTH('Campaign Data'!$A4610),"00")</f>
        <v>2026-09</v>
      </c>
    </row>
    <row r="4611" spans="1:21" x14ac:dyDescent="0.25">
      <c r="A4611">
        <v>46274</v>
      </c>
      <c r="B4611" t="s">
        <v>56</v>
      </c>
      <c r="C4611" t="s">
        <v>57</v>
      </c>
      <c r="D4611" t="s">
        <v>58</v>
      </c>
      <c r="E4611" t="s">
        <v>33</v>
      </c>
      <c r="F4611" t="s">
        <v>43</v>
      </c>
      <c r="G4611" t="s">
        <v>59</v>
      </c>
      <c r="H4611" t="s">
        <v>36</v>
      </c>
      <c r="I4611" t="s">
        <v>28</v>
      </c>
      <c r="J4611" t="s">
        <v>62</v>
      </c>
      <c r="K4611">
        <v>4675</v>
      </c>
      <c r="L4611">
        <v>42</v>
      </c>
      <c r="M4611">
        <v>25.8</v>
      </c>
      <c r="N4611">
        <v>2</v>
      </c>
      <c r="O4611">
        <v>45.08</v>
      </c>
      <c r="P4611">
        <f t="shared" si="288"/>
        <v>8.9839572192513366E-3</v>
      </c>
      <c r="Q4611">
        <f t="shared" si="288"/>
        <v>0.61428571428571432</v>
      </c>
      <c r="R4611">
        <f t="shared" si="289"/>
        <v>12.9</v>
      </c>
      <c r="S4611">
        <f t="shared" si="290"/>
        <v>1.7472868217054263</v>
      </c>
      <c r="T4611">
        <f t="shared" si="291"/>
        <v>4.7619047619047616E-2</v>
      </c>
      <c r="U4611" t="str">
        <f>YEAR('Campaign Data'!$A4611)&amp;"-"&amp;TEXT(MONTH('Campaign Data'!$A4611),"00")</f>
        <v>2026-09</v>
      </c>
    </row>
    <row r="4612" spans="1:21" x14ac:dyDescent="0.25">
      <c r="A4612">
        <v>46274</v>
      </c>
      <c r="B4612" t="s">
        <v>145</v>
      </c>
      <c r="C4612" t="s">
        <v>146</v>
      </c>
      <c r="D4612" t="s">
        <v>41</v>
      </c>
      <c r="E4612" t="s">
        <v>49</v>
      </c>
      <c r="F4612" t="s">
        <v>75</v>
      </c>
      <c r="G4612" t="s">
        <v>70</v>
      </c>
      <c r="H4612" t="s">
        <v>27</v>
      </c>
      <c r="I4612" t="s">
        <v>37</v>
      </c>
      <c r="J4612" t="s">
        <v>62</v>
      </c>
      <c r="K4612">
        <v>7489</v>
      </c>
      <c r="L4612">
        <v>284</v>
      </c>
      <c r="M4612">
        <v>483.8</v>
      </c>
      <c r="N4612">
        <v>9</v>
      </c>
      <c r="O4612">
        <v>327.63</v>
      </c>
      <c r="P4612">
        <f t="shared" si="288"/>
        <v>3.7922286019495259E-2</v>
      </c>
      <c r="Q4612">
        <f t="shared" si="288"/>
        <v>1.7035211267605634</v>
      </c>
      <c r="R4612">
        <f t="shared" si="289"/>
        <v>53.75555555555556</v>
      </c>
      <c r="S4612">
        <f t="shared" si="290"/>
        <v>0.67720132286068624</v>
      </c>
      <c r="T4612">
        <f t="shared" si="291"/>
        <v>3.1690140845070422E-2</v>
      </c>
      <c r="U4612" t="str">
        <f>YEAR('Campaign Data'!$A4612)&amp;"-"&amp;TEXT(MONTH('Campaign Data'!$A4612),"00")</f>
        <v>2026-09</v>
      </c>
    </row>
    <row r="4613" spans="1:21" x14ac:dyDescent="0.25">
      <c r="A4613">
        <v>46274</v>
      </c>
      <c r="B4613" t="s">
        <v>76</v>
      </c>
      <c r="C4613" t="s">
        <v>77</v>
      </c>
      <c r="D4613" t="s">
        <v>65</v>
      </c>
      <c r="E4613" t="s">
        <v>42</v>
      </c>
      <c r="F4613" t="s">
        <v>43</v>
      </c>
      <c r="G4613" t="s">
        <v>44</v>
      </c>
      <c r="H4613" t="s">
        <v>71</v>
      </c>
      <c r="I4613" t="s">
        <v>37</v>
      </c>
      <c r="J4613" t="s">
        <v>38</v>
      </c>
      <c r="K4613">
        <v>10964</v>
      </c>
      <c r="L4613">
        <v>51</v>
      </c>
      <c r="M4613">
        <v>345.44</v>
      </c>
      <c r="N4613">
        <v>1</v>
      </c>
      <c r="O4613">
        <v>27.43</v>
      </c>
      <c r="P4613">
        <f t="shared" si="288"/>
        <v>4.651587012039402E-3</v>
      </c>
      <c r="Q4613">
        <f t="shared" si="288"/>
        <v>6.7733333333333334</v>
      </c>
      <c r="R4613">
        <f t="shared" si="289"/>
        <v>345.44</v>
      </c>
      <c r="S4613">
        <f t="shared" si="290"/>
        <v>7.9405974988420558E-2</v>
      </c>
      <c r="T4613">
        <f t="shared" si="291"/>
        <v>1.9607843137254902E-2</v>
      </c>
      <c r="U4613" t="str">
        <f>YEAR('Campaign Data'!$A4613)&amp;"-"&amp;TEXT(MONTH('Campaign Data'!$A4613),"00")</f>
        <v>2026-09</v>
      </c>
    </row>
    <row r="4614" spans="1:21" x14ac:dyDescent="0.25">
      <c r="A4614">
        <v>46274</v>
      </c>
      <c r="B4614" t="s">
        <v>76</v>
      </c>
      <c r="C4614" t="s">
        <v>77</v>
      </c>
      <c r="D4614" t="s">
        <v>65</v>
      </c>
      <c r="E4614" t="s">
        <v>42</v>
      </c>
      <c r="F4614" t="s">
        <v>43</v>
      </c>
      <c r="G4614" t="s">
        <v>44</v>
      </c>
      <c r="H4614" t="s">
        <v>60</v>
      </c>
      <c r="I4614" t="s">
        <v>28</v>
      </c>
      <c r="J4614" t="s">
        <v>45</v>
      </c>
      <c r="K4614">
        <v>4245</v>
      </c>
      <c r="L4614">
        <v>31</v>
      </c>
      <c r="M4614">
        <v>260.42</v>
      </c>
      <c r="N4614">
        <v>0</v>
      </c>
      <c r="O4614">
        <v>0</v>
      </c>
      <c r="P4614">
        <f t="shared" si="288"/>
        <v>7.3027090694935222E-3</v>
      </c>
      <c r="Q4614">
        <f t="shared" si="288"/>
        <v>8.4006451612903223</v>
      </c>
      <c r="R4614">
        <f t="shared" si="289"/>
        <v>0</v>
      </c>
      <c r="S4614">
        <f t="shared" si="290"/>
        <v>0</v>
      </c>
      <c r="T4614">
        <f t="shared" si="291"/>
        <v>0</v>
      </c>
      <c r="U4614" t="str">
        <f>YEAR('Campaign Data'!$A4614)&amp;"-"&amp;TEXT(MONTH('Campaign Data'!$A4614),"00")</f>
        <v>2026-09</v>
      </c>
    </row>
    <row r="4615" spans="1:21" x14ac:dyDescent="0.25">
      <c r="A4615">
        <v>46274</v>
      </c>
      <c r="B4615" t="s">
        <v>76</v>
      </c>
      <c r="C4615" t="s">
        <v>77</v>
      </c>
      <c r="D4615" t="s">
        <v>65</v>
      </c>
      <c r="E4615" t="s">
        <v>42</v>
      </c>
      <c r="F4615" t="s">
        <v>43</v>
      </c>
      <c r="G4615" t="s">
        <v>44</v>
      </c>
      <c r="H4615" t="s">
        <v>90</v>
      </c>
      <c r="I4615" t="s">
        <v>37</v>
      </c>
      <c r="J4615" t="s">
        <v>29</v>
      </c>
      <c r="K4615">
        <v>4741</v>
      </c>
      <c r="L4615">
        <v>25</v>
      </c>
      <c r="M4615">
        <v>40.04</v>
      </c>
      <c r="N4615">
        <v>1</v>
      </c>
      <c r="O4615">
        <v>7.15</v>
      </c>
      <c r="P4615">
        <f t="shared" si="288"/>
        <v>5.273149124657245E-3</v>
      </c>
      <c r="Q4615">
        <f t="shared" si="288"/>
        <v>1.6015999999999999</v>
      </c>
      <c r="R4615">
        <f t="shared" si="289"/>
        <v>40.04</v>
      </c>
      <c r="S4615">
        <f t="shared" si="290"/>
        <v>0.17857142857142858</v>
      </c>
      <c r="T4615">
        <f t="shared" si="291"/>
        <v>0.04</v>
      </c>
      <c r="U4615" t="str">
        <f>YEAR('Campaign Data'!$A4615)&amp;"-"&amp;TEXT(MONTH('Campaign Data'!$A4615),"00")</f>
        <v>2026-09</v>
      </c>
    </row>
    <row r="4616" spans="1:21" x14ac:dyDescent="0.25">
      <c r="A4616">
        <v>46274</v>
      </c>
      <c r="B4616" t="s">
        <v>122</v>
      </c>
      <c r="C4616" t="s">
        <v>123</v>
      </c>
      <c r="D4616" t="s">
        <v>41</v>
      </c>
      <c r="E4616" t="s">
        <v>33</v>
      </c>
      <c r="F4616" t="s">
        <v>75</v>
      </c>
      <c r="G4616" t="s">
        <v>35</v>
      </c>
      <c r="H4616" t="s">
        <v>90</v>
      </c>
      <c r="I4616" t="s">
        <v>37</v>
      </c>
      <c r="J4616" t="s">
        <v>62</v>
      </c>
      <c r="K4616">
        <v>2448</v>
      </c>
      <c r="L4616">
        <v>16</v>
      </c>
      <c r="M4616">
        <v>2.5299999999999998</v>
      </c>
      <c r="N4616">
        <v>0</v>
      </c>
      <c r="O4616">
        <v>0</v>
      </c>
      <c r="P4616">
        <f t="shared" si="288"/>
        <v>6.5359477124183009E-3</v>
      </c>
      <c r="Q4616">
        <f t="shared" si="288"/>
        <v>0.15812499999999999</v>
      </c>
      <c r="R4616">
        <f t="shared" si="289"/>
        <v>0</v>
      </c>
      <c r="S4616">
        <f t="shared" si="290"/>
        <v>0</v>
      </c>
      <c r="T4616">
        <f t="shared" si="291"/>
        <v>0</v>
      </c>
      <c r="U4616" t="str">
        <f>YEAR('Campaign Data'!$A4616)&amp;"-"&amp;TEXT(MONTH('Campaign Data'!$A4616),"00")</f>
        <v>2026-09</v>
      </c>
    </row>
    <row r="4617" spans="1:21" x14ac:dyDescent="0.25">
      <c r="A4617">
        <v>46275</v>
      </c>
      <c r="B4617" t="s">
        <v>175</v>
      </c>
      <c r="C4617" t="s">
        <v>176</v>
      </c>
      <c r="D4617" t="s">
        <v>65</v>
      </c>
      <c r="E4617" t="s">
        <v>49</v>
      </c>
      <c r="F4617" t="s">
        <v>75</v>
      </c>
      <c r="G4617" t="s">
        <v>70</v>
      </c>
      <c r="H4617" t="s">
        <v>55</v>
      </c>
      <c r="I4617" t="s">
        <v>28</v>
      </c>
      <c r="J4617" t="s">
        <v>29</v>
      </c>
      <c r="K4617">
        <v>21676</v>
      </c>
      <c r="L4617">
        <v>665</v>
      </c>
      <c r="M4617">
        <v>1056.67</v>
      </c>
      <c r="N4617">
        <v>49</v>
      </c>
      <c r="O4617">
        <v>2182.02</v>
      </c>
      <c r="P4617">
        <f t="shared" si="288"/>
        <v>3.0679092083410225E-2</v>
      </c>
      <c r="Q4617">
        <f t="shared" si="288"/>
        <v>1.5889774436090227</v>
      </c>
      <c r="R4617">
        <f t="shared" si="289"/>
        <v>21.564693877551022</v>
      </c>
      <c r="S4617">
        <f t="shared" si="290"/>
        <v>2.0649966403891469</v>
      </c>
      <c r="T4617">
        <f t="shared" si="291"/>
        <v>7.3684210526315783E-2</v>
      </c>
      <c r="U4617" t="str">
        <f>YEAR('Campaign Data'!$A4617)&amp;"-"&amp;TEXT(MONTH('Campaign Data'!$A4617),"00")</f>
        <v>2026-09</v>
      </c>
    </row>
    <row r="4618" spans="1:21" x14ac:dyDescent="0.25">
      <c r="A4618">
        <v>46275</v>
      </c>
      <c r="B4618" t="s">
        <v>175</v>
      </c>
      <c r="C4618" t="s">
        <v>176</v>
      </c>
      <c r="D4618" t="s">
        <v>65</v>
      </c>
      <c r="E4618" t="s">
        <v>49</v>
      </c>
      <c r="F4618" t="s">
        <v>75</v>
      </c>
      <c r="G4618" t="s">
        <v>70</v>
      </c>
      <c r="H4618" t="s">
        <v>51</v>
      </c>
      <c r="I4618" t="s">
        <v>37</v>
      </c>
      <c r="J4618" t="s">
        <v>38</v>
      </c>
      <c r="K4618">
        <v>17011</v>
      </c>
      <c r="L4618">
        <v>799</v>
      </c>
      <c r="M4618">
        <v>1290.51</v>
      </c>
      <c r="N4618">
        <v>53</v>
      </c>
      <c r="O4618">
        <v>410.81</v>
      </c>
      <c r="P4618">
        <f t="shared" si="288"/>
        <v>4.6969607900770087E-2</v>
      </c>
      <c r="Q4618">
        <f t="shared" si="288"/>
        <v>1.6151564455569463</v>
      </c>
      <c r="R4618">
        <f t="shared" si="289"/>
        <v>24.349245283018867</v>
      </c>
      <c r="S4618">
        <f t="shared" si="290"/>
        <v>0.31833151234783147</v>
      </c>
      <c r="T4618">
        <f t="shared" si="291"/>
        <v>6.6332916145181484E-2</v>
      </c>
      <c r="U4618" t="str">
        <f>YEAR('Campaign Data'!$A4618)&amp;"-"&amp;TEXT(MONTH('Campaign Data'!$A4618),"00")</f>
        <v>2026-09</v>
      </c>
    </row>
    <row r="4619" spans="1:21" x14ac:dyDescent="0.25">
      <c r="A4619">
        <v>46275</v>
      </c>
      <c r="B4619" t="s">
        <v>88</v>
      </c>
      <c r="C4619" t="s">
        <v>89</v>
      </c>
      <c r="D4619" t="s">
        <v>23</v>
      </c>
      <c r="E4619" t="s">
        <v>49</v>
      </c>
      <c r="F4619" t="s">
        <v>81</v>
      </c>
      <c r="G4619" t="s">
        <v>50</v>
      </c>
      <c r="H4619" t="s">
        <v>90</v>
      </c>
      <c r="I4619" t="s">
        <v>37</v>
      </c>
      <c r="J4619" t="s">
        <v>38</v>
      </c>
      <c r="K4619">
        <v>4709</v>
      </c>
      <c r="L4619">
        <v>192</v>
      </c>
      <c r="M4619">
        <v>62.7</v>
      </c>
      <c r="N4619">
        <v>7</v>
      </c>
      <c r="O4619">
        <v>35</v>
      </c>
      <c r="P4619">
        <f t="shared" si="288"/>
        <v>4.0772987895519218E-2</v>
      </c>
      <c r="Q4619">
        <f t="shared" si="288"/>
        <v>0.32656250000000003</v>
      </c>
      <c r="R4619">
        <f t="shared" si="289"/>
        <v>8.9571428571428573</v>
      </c>
      <c r="S4619">
        <f t="shared" si="290"/>
        <v>0.55821371610845294</v>
      </c>
      <c r="T4619">
        <f t="shared" si="291"/>
        <v>3.6458333333333336E-2</v>
      </c>
      <c r="U4619" t="str">
        <f>YEAR('Campaign Data'!$A4619)&amp;"-"&amp;TEXT(MONTH('Campaign Data'!$A4619),"00")</f>
        <v>2026-09</v>
      </c>
    </row>
    <row r="4620" spans="1:21" x14ac:dyDescent="0.25">
      <c r="A4620">
        <v>46275</v>
      </c>
      <c r="B4620" t="s">
        <v>95</v>
      </c>
      <c r="C4620" t="s">
        <v>96</v>
      </c>
      <c r="D4620" t="s">
        <v>23</v>
      </c>
      <c r="E4620" t="s">
        <v>49</v>
      </c>
      <c r="F4620" t="s">
        <v>43</v>
      </c>
      <c r="G4620" t="s">
        <v>97</v>
      </c>
      <c r="H4620" t="s">
        <v>90</v>
      </c>
      <c r="I4620" t="s">
        <v>37</v>
      </c>
      <c r="J4620" t="s">
        <v>29</v>
      </c>
      <c r="K4620">
        <v>8960</v>
      </c>
      <c r="L4620">
        <v>438</v>
      </c>
      <c r="M4620">
        <v>256.63</v>
      </c>
      <c r="N4620">
        <v>38</v>
      </c>
      <c r="O4620">
        <v>219.23</v>
      </c>
      <c r="P4620">
        <f t="shared" si="288"/>
        <v>4.8883928571428571E-2</v>
      </c>
      <c r="Q4620">
        <f t="shared" si="288"/>
        <v>0.58591324200913242</v>
      </c>
      <c r="R4620">
        <f t="shared" si="289"/>
        <v>6.7534210526315785</v>
      </c>
      <c r="S4620">
        <f t="shared" si="290"/>
        <v>0.8542648949849978</v>
      </c>
      <c r="T4620">
        <f t="shared" si="291"/>
        <v>8.6757990867579904E-2</v>
      </c>
      <c r="U4620" t="str">
        <f>YEAR('Campaign Data'!$A4620)&amp;"-"&amp;TEXT(MONTH('Campaign Data'!$A4620),"00")</f>
        <v>2026-09</v>
      </c>
    </row>
    <row r="4621" spans="1:21" x14ac:dyDescent="0.25">
      <c r="A4621">
        <v>46275</v>
      </c>
      <c r="B4621" t="s">
        <v>130</v>
      </c>
      <c r="C4621" t="s">
        <v>131</v>
      </c>
      <c r="D4621" t="s">
        <v>48</v>
      </c>
      <c r="E4621" t="s">
        <v>33</v>
      </c>
      <c r="F4621" t="s">
        <v>34</v>
      </c>
      <c r="G4621" t="s">
        <v>35</v>
      </c>
      <c r="H4621" t="s">
        <v>36</v>
      </c>
      <c r="I4621" t="s">
        <v>37</v>
      </c>
      <c r="J4621" t="s">
        <v>29</v>
      </c>
      <c r="K4621">
        <v>9555</v>
      </c>
      <c r="L4621">
        <v>86</v>
      </c>
      <c r="M4621">
        <v>55.35</v>
      </c>
      <c r="N4621">
        <v>1</v>
      </c>
      <c r="O4621">
        <v>89.71</v>
      </c>
      <c r="P4621">
        <f t="shared" si="288"/>
        <v>9.0005232862375717E-3</v>
      </c>
      <c r="Q4621">
        <f t="shared" si="288"/>
        <v>0.64360465116279075</v>
      </c>
      <c r="R4621">
        <f t="shared" si="289"/>
        <v>55.35</v>
      </c>
      <c r="S4621">
        <f t="shared" si="290"/>
        <v>1.620776874435411</v>
      </c>
      <c r="T4621">
        <f t="shared" si="291"/>
        <v>1.1627906976744186E-2</v>
      </c>
      <c r="U4621" t="str">
        <f>YEAR('Campaign Data'!$A4621)&amp;"-"&amp;TEXT(MONTH('Campaign Data'!$A4621),"00")</f>
        <v>2026-09</v>
      </c>
    </row>
    <row r="4622" spans="1:21" x14ac:dyDescent="0.25">
      <c r="A4622">
        <v>46275</v>
      </c>
      <c r="B4622" t="s">
        <v>132</v>
      </c>
      <c r="C4622" t="s">
        <v>133</v>
      </c>
      <c r="D4622" t="s">
        <v>23</v>
      </c>
      <c r="E4622" t="s">
        <v>42</v>
      </c>
      <c r="F4622" t="s">
        <v>75</v>
      </c>
      <c r="G4622" t="s">
        <v>84</v>
      </c>
      <c r="H4622" t="s">
        <v>27</v>
      </c>
      <c r="I4622" t="s">
        <v>37</v>
      </c>
      <c r="J4622" t="s">
        <v>38</v>
      </c>
      <c r="K4622">
        <v>3953</v>
      </c>
      <c r="L4622">
        <v>23</v>
      </c>
      <c r="M4622">
        <v>230.88</v>
      </c>
      <c r="N4622">
        <v>0</v>
      </c>
      <c r="O4622">
        <v>0</v>
      </c>
      <c r="P4622">
        <f t="shared" si="288"/>
        <v>5.8183657981280045E-3</v>
      </c>
      <c r="Q4622">
        <f t="shared" si="288"/>
        <v>10.038260869565217</v>
      </c>
      <c r="R4622">
        <f t="shared" si="289"/>
        <v>0</v>
      </c>
      <c r="S4622">
        <f t="shared" si="290"/>
        <v>0</v>
      </c>
      <c r="T4622">
        <f t="shared" si="291"/>
        <v>0</v>
      </c>
      <c r="U4622" t="str">
        <f>YEAR('Campaign Data'!$A4622)&amp;"-"&amp;TEXT(MONTH('Campaign Data'!$A4622),"00")</f>
        <v>2026-09</v>
      </c>
    </row>
    <row r="4623" spans="1:21" x14ac:dyDescent="0.25">
      <c r="A4623">
        <v>46275</v>
      </c>
      <c r="B4623" t="s">
        <v>177</v>
      </c>
      <c r="C4623" t="s">
        <v>178</v>
      </c>
      <c r="D4623" t="s">
        <v>41</v>
      </c>
      <c r="E4623" t="s">
        <v>49</v>
      </c>
      <c r="F4623" t="s">
        <v>34</v>
      </c>
      <c r="G4623" t="s">
        <v>107</v>
      </c>
      <c r="H4623" t="s">
        <v>27</v>
      </c>
      <c r="I4623" t="s">
        <v>37</v>
      </c>
      <c r="J4623" t="s">
        <v>87</v>
      </c>
      <c r="K4623">
        <v>5180</v>
      </c>
      <c r="L4623">
        <v>163</v>
      </c>
      <c r="M4623">
        <v>222.66</v>
      </c>
      <c r="N4623">
        <v>0</v>
      </c>
      <c r="O4623">
        <v>0</v>
      </c>
      <c r="P4623">
        <f t="shared" si="288"/>
        <v>3.1467181467181464E-2</v>
      </c>
      <c r="Q4623">
        <f t="shared" si="288"/>
        <v>1.3660122699386503</v>
      </c>
      <c r="R4623">
        <f t="shared" si="289"/>
        <v>0</v>
      </c>
      <c r="S4623">
        <f t="shared" si="290"/>
        <v>0</v>
      </c>
      <c r="T4623">
        <f t="shared" si="291"/>
        <v>0</v>
      </c>
      <c r="U4623" t="str">
        <f>YEAR('Campaign Data'!$A4623)&amp;"-"&amp;TEXT(MONTH('Campaign Data'!$A4623),"00")</f>
        <v>2026-09</v>
      </c>
    </row>
    <row r="4624" spans="1:21" x14ac:dyDescent="0.25">
      <c r="A4624">
        <v>46275</v>
      </c>
      <c r="B4624" t="s">
        <v>179</v>
      </c>
      <c r="C4624" t="s">
        <v>180</v>
      </c>
      <c r="D4624" t="s">
        <v>58</v>
      </c>
      <c r="E4624" t="s">
        <v>42</v>
      </c>
      <c r="F4624" t="s">
        <v>25</v>
      </c>
      <c r="G4624" t="s">
        <v>54</v>
      </c>
      <c r="H4624" t="s">
        <v>27</v>
      </c>
      <c r="I4624" t="s">
        <v>37</v>
      </c>
      <c r="J4624" t="s">
        <v>87</v>
      </c>
      <c r="K4624">
        <v>8339</v>
      </c>
      <c r="L4624">
        <v>59</v>
      </c>
      <c r="M4624">
        <v>398.78</v>
      </c>
      <c r="N4624">
        <v>4</v>
      </c>
      <c r="O4624">
        <v>643.9</v>
      </c>
      <c r="P4624">
        <f t="shared" si="288"/>
        <v>7.0751888715673344E-3</v>
      </c>
      <c r="Q4624">
        <f t="shared" si="288"/>
        <v>6.7589830508474575</v>
      </c>
      <c r="R4624">
        <f t="shared" si="289"/>
        <v>99.694999999999993</v>
      </c>
      <c r="S4624">
        <f t="shared" si="290"/>
        <v>1.6146747580119365</v>
      </c>
      <c r="T4624">
        <f t="shared" si="291"/>
        <v>6.7796610169491525E-2</v>
      </c>
      <c r="U4624" t="str">
        <f>YEAR('Campaign Data'!$A4624)&amp;"-"&amp;TEXT(MONTH('Campaign Data'!$A4624),"00")</f>
        <v>2026-09</v>
      </c>
    </row>
    <row r="4625" spans="1:21" x14ac:dyDescent="0.25">
      <c r="A4625">
        <v>46275</v>
      </c>
      <c r="B4625" t="s">
        <v>171</v>
      </c>
      <c r="C4625" t="s">
        <v>172</v>
      </c>
      <c r="D4625" t="s">
        <v>23</v>
      </c>
      <c r="E4625" t="s">
        <v>33</v>
      </c>
      <c r="F4625" t="s">
        <v>75</v>
      </c>
      <c r="G4625" t="s">
        <v>59</v>
      </c>
      <c r="H4625" t="s">
        <v>36</v>
      </c>
      <c r="I4625" t="s">
        <v>37</v>
      </c>
      <c r="J4625" t="s">
        <v>29</v>
      </c>
      <c r="K4625">
        <v>2382</v>
      </c>
      <c r="L4625">
        <v>23</v>
      </c>
      <c r="M4625">
        <v>18.54</v>
      </c>
      <c r="N4625">
        <v>1</v>
      </c>
      <c r="O4625">
        <v>40.03</v>
      </c>
      <c r="P4625">
        <f t="shared" si="288"/>
        <v>9.6557514693534838E-3</v>
      </c>
      <c r="Q4625">
        <f t="shared" si="288"/>
        <v>0.80608695652173912</v>
      </c>
      <c r="R4625">
        <f t="shared" si="289"/>
        <v>18.54</v>
      </c>
      <c r="S4625">
        <f t="shared" si="290"/>
        <v>2.1591154261057177</v>
      </c>
      <c r="T4625">
        <f t="shared" si="291"/>
        <v>4.3478260869565216E-2</v>
      </c>
      <c r="U4625" t="str">
        <f>YEAR('Campaign Data'!$A4625)&amp;"-"&amp;TEXT(MONTH('Campaign Data'!$A4625),"00")</f>
        <v>2026-09</v>
      </c>
    </row>
    <row r="4626" spans="1:21" x14ac:dyDescent="0.25">
      <c r="A4626">
        <v>46275</v>
      </c>
      <c r="B4626" t="s">
        <v>140</v>
      </c>
      <c r="C4626" t="s">
        <v>40</v>
      </c>
      <c r="D4626" t="s">
        <v>41</v>
      </c>
      <c r="E4626" t="s">
        <v>42</v>
      </c>
      <c r="F4626" t="s">
        <v>43</v>
      </c>
      <c r="G4626" t="s">
        <v>44</v>
      </c>
      <c r="H4626" t="s">
        <v>71</v>
      </c>
      <c r="I4626" t="s">
        <v>37</v>
      </c>
      <c r="J4626" t="s">
        <v>45</v>
      </c>
      <c r="K4626">
        <v>9231</v>
      </c>
      <c r="L4626">
        <v>61</v>
      </c>
      <c r="M4626">
        <v>254.66</v>
      </c>
      <c r="N4626">
        <v>2</v>
      </c>
      <c r="O4626">
        <v>12.92</v>
      </c>
      <c r="P4626">
        <f t="shared" si="288"/>
        <v>6.6081681291301052E-3</v>
      </c>
      <c r="Q4626">
        <f t="shared" si="288"/>
        <v>4.1747540983606557</v>
      </c>
      <c r="R4626">
        <f t="shared" si="289"/>
        <v>127.33</v>
      </c>
      <c r="S4626">
        <f t="shared" si="290"/>
        <v>5.0734312416555405E-2</v>
      </c>
      <c r="T4626">
        <f t="shared" si="291"/>
        <v>3.2786885245901641E-2</v>
      </c>
      <c r="U4626" t="str">
        <f>YEAR('Campaign Data'!$A4626)&amp;"-"&amp;TEXT(MONTH('Campaign Data'!$A4626),"00")</f>
        <v>2026-09</v>
      </c>
    </row>
    <row r="4627" spans="1:21" x14ac:dyDescent="0.25">
      <c r="A4627">
        <v>46275</v>
      </c>
      <c r="B4627" t="s">
        <v>110</v>
      </c>
      <c r="C4627" t="s">
        <v>111</v>
      </c>
      <c r="D4627" t="s">
        <v>23</v>
      </c>
      <c r="E4627" t="s">
        <v>49</v>
      </c>
      <c r="F4627" t="s">
        <v>34</v>
      </c>
      <c r="G4627" t="s">
        <v>50</v>
      </c>
      <c r="H4627" t="s">
        <v>27</v>
      </c>
      <c r="I4627" t="s">
        <v>28</v>
      </c>
      <c r="J4627" t="s">
        <v>38</v>
      </c>
      <c r="K4627">
        <v>4121</v>
      </c>
      <c r="L4627">
        <v>161</v>
      </c>
      <c r="M4627">
        <v>346.14</v>
      </c>
      <c r="N4627">
        <v>6</v>
      </c>
      <c r="O4627">
        <v>1037.45</v>
      </c>
      <c r="P4627">
        <f t="shared" si="288"/>
        <v>3.9068187333171557E-2</v>
      </c>
      <c r="Q4627">
        <f t="shared" si="288"/>
        <v>2.1499378881987576</v>
      </c>
      <c r="R4627">
        <f t="shared" si="289"/>
        <v>57.69</v>
      </c>
      <c r="S4627">
        <f t="shared" si="290"/>
        <v>2.9971976656844053</v>
      </c>
      <c r="T4627">
        <f t="shared" si="291"/>
        <v>3.7267080745341616E-2</v>
      </c>
      <c r="U4627" t="str">
        <f>YEAR('Campaign Data'!$A4627)&amp;"-"&amp;TEXT(MONTH('Campaign Data'!$A4627),"00")</f>
        <v>2026-09</v>
      </c>
    </row>
    <row r="4628" spans="1:21" x14ac:dyDescent="0.25">
      <c r="A4628">
        <v>46275</v>
      </c>
      <c r="B4628" t="s">
        <v>157</v>
      </c>
      <c r="C4628" t="s">
        <v>158</v>
      </c>
      <c r="D4628" t="s">
        <v>58</v>
      </c>
      <c r="E4628" t="s">
        <v>49</v>
      </c>
      <c r="F4628" t="s">
        <v>81</v>
      </c>
      <c r="G4628" t="s">
        <v>50</v>
      </c>
      <c r="H4628" t="s">
        <v>51</v>
      </c>
      <c r="I4628" t="s">
        <v>37</v>
      </c>
      <c r="J4628" t="s">
        <v>62</v>
      </c>
      <c r="K4628">
        <v>5227</v>
      </c>
      <c r="L4628">
        <v>260</v>
      </c>
      <c r="M4628">
        <v>514.95000000000005</v>
      </c>
      <c r="N4628">
        <v>15</v>
      </c>
      <c r="O4628">
        <v>227.97</v>
      </c>
      <c r="P4628">
        <f t="shared" si="288"/>
        <v>4.9741725655251576E-2</v>
      </c>
      <c r="Q4628">
        <f t="shared" si="288"/>
        <v>1.9805769230769232</v>
      </c>
      <c r="R4628">
        <f t="shared" si="289"/>
        <v>34.330000000000005</v>
      </c>
      <c r="S4628">
        <f t="shared" si="290"/>
        <v>0.4427031750655403</v>
      </c>
      <c r="T4628">
        <f t="shared" si="291"/>
        <v>5.7692307692307696E-2</v>
      </c>
      <c r="U4628" t="str">
        <f>YEAR('Campaign Data'!$A4628)&amp;"-"&amp;TEXT(MONTH('Campaign Data'!$A4628),"00")</f>
        <v>2026-09</v>
      </c>
    </row>
    <row r="4629" spans="1:21" x14ac:dyDescent="0.25">
      <c r="A4629">
        <v>46275</v>
      </c>
      <c r="B4629" t="s">
        <v>161</v>
      </c>
      <c r="C4629" t="s">
        <v>162</v>
      </c>
      <c r="D4629" t="s">
        <v>48</v>
      </c>
      <c r="E4629" t="s">
        <v>74</v>
      </c>
      <c r="F4629" t="s">
        <v>34</v>
      </c>
      <c r="G4629" t="s">
        <v>107</v>
      </c>
      <c r="H4629" t="s">
        <v>27</v>
      </c>
      <c r="I4629" t="s">
        <v>37</v>
      </c>
      <c r="J4629" t="s">
        <v>87</v>
      </c>
      <c r="K4629">
        <v>3570</v>
      </c>
      <c r="L4629">
        <v>78</v>
      </c>
      <c r="M4629">
        <v>137.09</v>
      </c>
      <c r="N4629">
        <v>3</v>
      </c>
      <c r="O4629">
        <v>413.46</v>
      </c>
      <c r="P4629">
        <f t="shared" si="288"/>
        <v>2.1848739495798318E-2</v>
      </c>
      <c r="Q4629">
        <f t="shared" si="288"/>
        <v>1.7575641025641027</v>
      </c>
      <c r="R4629">
        <f t="shared" si="289"/>
        <v>45.696666666666665</v>
      </c>
      <c r="S4629">
        <f t="shared" si="290"/>
        <v>3.015974906995404</v>
      </c>
      <c r="T4629">
        <f t="shared" si="291"/>
        <v>3.8461538461538464E-2</v>
      </c>
      <c r="U4629" t="str">
        <f>YEAR('Campaign Data'!$A4629)&amp;"-"&amp;TEXT(MONTH('Campaign Data'!$A4629),"00")</f>
        <v>2026-09</v>
      </c>
    </row>
    <row r="4630" spans="1:21" x14ac:dyDescent="0.25">
      <c r="A4630">
        <v>46275</v>
      </c>
      <c r="B4630" t="s">
        <v>161</v>
      </c>
      <c r="C4630" t="s">
        <v>162</v>
      </c>
      <c r="D4630" t="s">
        <v>48</v>
      </c>
      <c r="E4630" t="s">
        <v>74</v>
      </c>
      <c r="F4630" t="s">
        <v>34</v>
      </c>
      <c r="G4630" t="s">
        <v>107</v>
      </c>
      <c r="H4630" t="s">
        <v>60</v>
      </c>
      <c r="I4630" t="s">
        <v>37</v>
      </c>
      <c r="J4630" t="s">
        <v>87</v>
      </c>
      <c r="K4630">
        <v>1009</v>
      </c>
      <c r="L4630">
        <v>54</v>
      </c>
      <c r="M4630">
        <v>62.57</v>
      </c>
      <c r="N4630">
        <v>2</v>
      </c>
      <c r="O4630">
        <v>366.55</v>
      </c>
      <c r="P4630">
        <f t="shared" si="288"/>
        <v>5.3518334985133795E-2</v>
      </c>
      <c r="Q4630">
        <f t="shared" si="288"/>
        <v>1.1587037037037038</v>
      </c>
      <c r="R4630">
        <f t="shared" si="289"/>
        <v>31.285</v>
      </c>
      <c r="S4630">
        <f t="shared" si="290"/>
        <v>5.8582387725747163</v>
      </c>
      <c r="T4630">
        <f t="shared" si="291"/>
        <v>3.7037037037037035E-2</v>
      </c>
      <c r="U4630" t="str">
        <f>YEAR('Campaign Data'!$A4630)&amp;"-"&amp;TEXT(MONTH('Campaign Data'!$A4630),"00")</f>
        <v>2026-09</v>
      </c>
    </row>
    <row r="4631" spans="1:21" x14ac:dyDescent="0.25">
      <c r="A4631">
        <v>46275</v>
      </c>
      <c r="B4631" t="s">
        <v>161</v>
      </c>
      <c r="C4631" t="s">
        <v>162</v>
      </c>
      <c r="D4631" t="s">
        <v>48</v>
      </c>
      <c r="E4631" t="s">
        <v>74</v>
      </c>
      <c r="F4631" t="s">
        <v>34</v>
      </c>
      <c r="G4631" t="s">
        <v>107</v>
      </c>
      <c r="H4631" t="s">
        <v>36</v>
      </c>
      <c r="I4631" t="s">
        <v>37</v>
      </c>
      <c r="J4631" t="s">
        <v>38</v>
      </c>
      <c r="K4631">
        <v>5369</v>
      </c>
      <c r="L4631">
        <v>141</v>
      </c>
      <c r="M4631">
        <v>214.24</v>
      </c>
      <c r="N4631">
        <v>4</v>
      </c>
      <c r="O4631">
        <v>490.32</v>
      </c>
      <c r="P4631">
        <f t="shared" si="288"/>
        <v>2.6261873719500839E-2</v>
      </c>
      <c r="Q4631">
        <f t="shared" si="288"/>
        <v>1.5194326241134752</v>
      </c>
      <c r="R4631">
        <f t="shared" si="289"/>
        <v>53.56</v>
      </c>
      <c r="S4631">
        <f t="shared" si="290"/>
        <v>2.2886482449589245</v>
      </c>
      <c r="T4631">
        <f t="shared" si="291"/>
        <v>2.8368794326241134E-2</v>
      </c>
      <c r="U4631" t="str">
        <f>YEAR('Campaign Data'!$A4631)&amp;"-"&amp;TEXT(MONTH('Campaign Data'!$A4631),"00")</f>
        <v>2026-09</v>
      </c>
    </row>
    <row r="4632" spans="1:21" x14ac:dyDescent="0.25">
      <c r="A4632">
        <v>46275</v>
      </c>
      <c r="B4632" t="s">
        <v>114</v>
      </c>
      <c r="C4632" t="s">
        <v>115</v>
      </c>
      <c r="D4632" t="s">
        <v>69</v>
      </c>
      <c r="E4632" t="s">
        <v>49</v>
      </c>
      <c r="F4632" t="s">
        <v>25</v>
      </c>
      <c r="G4632" t="s">
        <v>107</v>
      </c>
      <c r="H4632" t="s">
        <v>27</v>
      </c>
      <c r="I4632" t="s">
        <v>37</v>
      </c>
      <c r="J4632" t="s">
        <v>45</v>
      </c>
      <c r="K4632">
        <v>3313</v>
      </c>
      <c r="L4632">
        <v>123</v>
      </c>
      <c r="M4632">
        <v>162.49</v>
      </c>
      <c r="N4632">
        <v>4</v>
      </c>
      <c r="O4632">
        <v>916.8</v>
      </c>
      <c r="P4632">
        <f t="shared" si="288"/>
        <v>3.712647147600362E-2</v>
      </c>
      <c r="Q4632">
        <f t="shared" si="288"/>
        <v>1.3210569105691057</v>
      </c>
      <c r="R4632">
        <f t="shared" si="289"/>
        <v>40.622500000000002</v>
      </c>
      <c r="S4632">
        <f t="shared" si="290"/>
        <v>5.6421933657455838</v>
      </c>
      <c r="T4632">
        <f t="shared" si="291"/>
        <v>3.2520325203252036E-2</v>
      </c>
      <c r="U4632" t="str">
        <f>YEAR('Campaign Data'!$A4632)&amp;"-"&amp;TEXT(MONTH('Campaign Data'!$A4632),"00")</f>
        <v>2026-09</v>
      </c>
    </row>
    <row r="4633" spans="1:21" x14ac:dyDescent="0.25">
      <c r="A4633">
        <v>46275</v>
      </c>
      <c r="B4633" t="s">
        <v>56</v>
      </c>
      <c r="C4633" t="s">
        <v>57</v>
      </c>
      <c r="D4633" t="s">
        <v>58</v>
      </c>
      <c r="E4633" t="s">
        <v>33</v>
      </c>
      <c r="F4633" t="s">
        <v>43</v>
      </c>
      <c r="G4633" t="s">
        <v>59</v>
      </c>
      <c r="H4633" t="s">
        <v>60</v>
      </c>
      <c r="I4633" t="s">
        <v>37</v>
      </c>
      <c r="J4633" t="s">
        <v>62</v>
      </c>
      <c r="K4633">
        <v>1483</v>
      </c>
      <c r="L4633">
        <v>23</v>
      </c>
      <c r="M4633">
        <v>7.2</v>
      </c>
      <c r="N4633">
        <v>1</v>
      </c>
      <c r="O4633">
        <v>22.17</v>
      </c>
      <c r="P4633">
        <f t="shared" si="288"/>
        <v>1.5509103169251517E-2</v>
      </c>
      <c r="Q4633">
        <f t="shared" si="288"/>
        <v>0.31304347826086959</v>
      </c>
      <c r="R4633">
        <f t="shared" si="289"/>
        <v>7.2</v>
      </c>
      <c r="S4633">
        <f t="shared" si="290"/>
        <v>3.0791666666666666</v>
      </c>
      <c r="T4633">
        <f t="shared" si="291"/>
        <v>4.3478260869565216E-2</v>
      </c>
      <c r="U4633" t="str">
        <f>YEAR('Campaign Data'!$A4633)&amp;"-"&amp;TEXT(MONTH('Campaign Data'!$A4633),"00")</f>
        <v>2026-09</v>
      </c>
    </row>
    <row r="4634" spans="1:21" x14ac:dyDescent="0.25">
      <c r="A4634">
        <v>46275</v>
      </c>
      <c r="B4634" t="s">
        <v>183</v>
      </c>
      <c r="C4634" t="s">
        <v>184</v>
      </c>
      <c r="D4634" t="s">
        <v>23</v>
      </c>
      <c r="E4634" t="s">
        <v>24</v>
      </c>
      <c r="F4634" t="s">
        <v>81</v>
      </c>
      <c r="G4634" t="s">
        <v>185</v>
      </c>
      <c r="H4634" t="s">
        <v>27</v>
      </c>
      <c r="I4634" t="s">
        <v>28</v>
      </c>
      <c r="J4634" t="s">
        <v>87</v>
      </c>
      <c r="K4634">
        <v>1153</v>
      </c>
      <c r="L4634">
        <v>15</v>
      </c>
      <c r="M4634">
        <v>18.28</v>
      </c>
      <c r="N4634">
        <v>1</v>
      </c>
      <c r="O4634">
        <v>32.14</v>
      </c>
      <c r="P4634">
        <f t="shared" si="288"/>
        <v>1.3009540329575022E-2</v>
      </c>
      <c r="Q4634">
        <f t="shared" si="288"/>
        <v>1.2186666666666668</v>
      </c>
      <c r="R4634">
        <f t="shared" si="289"/>
        <v>18.28</v>
      </c>
      <c r="S4634">
        <f t="shared" si="290"/>
        <v>1.7582056892778992</v>
      </c>
      <c r="T4634">
        <f t="shared" si="291"/>
        <v>6.6666666666666666E-2</v>
      </c>
      <c r="U4634" t="str">
        <f>YEAR('Campaign Data'!$A4634)&amp;"-"&amp;TEXT(MONTH('Campaign Data'!$A4634),"00")</f>
        <v>2026-09</v>
      </c>
    </row>
    <row r="4635" spans="1:21" x14ac:dyDescent="0.25">
      <c r="A4635">
        <v>46275</v>
      </c>
      <c r="B4635" t="s">
        <v>82</v>
      </c>
      <c r="C4635" t="s">
        <v>83</v>
      </c>
      <c r="D4635" t="s">
        <v>80</v>
      </c>
      <c r="E4635" t="s">
        <v>42</v>
      </c>
      <c r="F4635" t="s">
        <v>34</v>
      </c>
      <c r="G4635" t="s">
        <v>84</v>
      </c>
      <c r="H4635" t="s">
        <v>90</v>
      </c>
      <c r="I4635" t="s">
        <v>37</v>
      </c>
      <c r="J4635" t="s">
        <v>87</v>
      </c>
      <c r="K4635">
        <v>10789</v>
      </c>
      <c r="L4635">
        <v>91</v>
      </c>
      <c r="M4635">
        <v>114.93</v>
      </c>
      <c r="N4635">
        <v>3</v>
      </c>
      <c r="O4635">
        <v>134.71</v>
      </c>
      <c r="P4635">
        <f t="shared" si="288"/>
        <v>8.4345166373157848E-3</v>
      </c>
      <c r="Q4635">
        <f t="shared" si="288"/>
        <v>1.2629670329670331</v>
      </c>
      <c r="R4635">
        <f t="shared" si="289"/>
        <v>38.31</v>
      </c>
      <c r="S4635">
        <f t="shared" si="290"/>
        <v>1.1721047594187766</v>
      </c>
      <c r="T4635">
        <f t="shared" si="291"/>
        <v>3.2967032967032968E-2</v>
      </c>
      <c r="U4635" t="str">
        <f>YEAR('Campaign Data'!$A4635)&amp;"-"&amp;TEXT(MONTH('Campaign Data'!$A4635),"00")</f>
        <v>2026-09</v>
      </c>
    </row>
    <row r="4636" spans="1:21" x14ac:dyDescent="0.25">
      <c r="A4636">
        <v>46276</v>
      </c>
      <c r="B4636" t="s">
        <v>165</v>
      </c>
      <c r="C4636" t="s">
        <v>166</v>
      </c>
      <c r="D4636" t="s">
        <v>41</v>
      </c>
      <c r="E4636" t="s">
        <v>33</v>
      </c>
      <c r="F4636" t="s">
        <v>43</v>
      </c>
      <c r="G4636" t="s">
        <v>59</v>
      </c>
      <c r="H4636" t="s">
        <v>90</v>
      </c>
      <c r="I4636" t="s">
        <v>37</v>
      </c>
      <c r="J4636" t="s">
        <v>45</v>
      </c>
      <c r="K4636">
        <v>2020</v>
      </c>
      <c r="L4636">
        <v>20</v>
      </c>
      <c r="M4636">
        <v>2.5099999999999998</v>
      </c>
      <c r="N4636">
        <v>0</v>
      </c>
      <c r="O4636">
        <v>0</v>
      </c>
      <c r="P4636">
        <f t="shared" si="288"/>
        <v>9.9009900990099011E-3</v>
      </c>
      <c r="Q4636">
        <f t="shared" si="288"/>
        <v>0.1255</v>
      </c>
      <c r="R4636">
        <f t="shared" si="289"/>
        <v>0</v>
      </c>
      <c r="S4636">
        <f t="shared" si="290"/>
        <v>0</v>
      </c>
      <c r="T4636">
        <f t="shared" si="291"/>
        <v>0</v>
      </c>
      <c r="U4636" t="str">
        <f>YEAR('Campaign Data'!$A4636)&amp;"-"&amp;TEXT(MONTH('Campaign Data'!$A4636),"00")</f>
        <v>2026-09</v>
      </c>
    </row>
    <row r="4637" spans="1:21" x14ac:dyDescent="0.25">
      <c r="A4637">
        <v>46276</v>
      </c>
      <c r="B4637" t="s">
        <v>165</v>
      </c>
      <c r="C4637" t="s">
        <v>166</v>
      </c>
      <c r="D4637" t="s">
        <v>41</v>
      </c>
      <c r="E4637" t="s">
        <v>33</v>
      </c>
      <c r="F4637" t="s">
        <v>43</v>
      </c>
      <c r="G4637" t="s">
        <v>59</v>
      </c>
      <c r="H4637" t="s">
        <v>27</v>
      </c>
      <c r="I4637" t="s">
        <v>28</v>
      </c>
      <c r="J4637" t="s">
        <v>38</v>
      </c>
      <c r="K4637">
        <v>3790</v>
      </c>
      <c r="L4637">
        <v>28</v>
      </c>
      <c r="M4637">
        <v>24.75</v>
      </c>
      <c r="N4637">
        <v>0</v>
      </c>
      <c r="O4637">
        <v>0</v>
      </c>
      <c r="P4637">
        <f t="shared" si="288"/>
        <v>7.3878627968337728E-3</v>
      </c>
      <c r="Q4637">
        <f t="shared" si="288"/>
        <v>0.8839285714285714</v>
      </c>
      <c r="R4637">
        <f t="shared" si="289"/>
        <v>0</v>
      </c>
      <c r="S4637">
        <f t="shared" si="290"/>
        <v>0</v>
      </c>
      <c r="T4637">
        <f t="shared" si="291"/>
        <v>0</v>
      </c>
      <c r="U4637" t="str">
        <f>YEAR('Campaign Data'!$A4637)&amp;"-"&amp;TEXT(MONTH('Campaign Data'!$A4637),"00")</f>
        <v>2026-09</v>
      </c>
    </row>
    <row r="4638" spans="1:21" x14ac:dyDescent="0.25">
      <c r="A4638">
        <v>46276</v>
      </c>
      <c r="B4638" t="s">
        <v>167</v>
      </c>
      <c r="C4638" t="s">
        <v>168</v>
      </c>
      <c r="D4638" t="s">
        <v>58</v>
      </c>
      <c r="E4638" t="s">
        <v>33</v>
      </c>
      <c r="F4638" t="s">
        <v>75</v>
      </c>
      <c r="G4638" t="s">
        <v>35</v>
      </c>
      <c r="H4638" t="s">
        <v>90</v>
      </c>
      <c r="I4638" t="s">
        <v>28</v>
      </c>
      <c r="J4638" t="s">
        <v>38</v>
      </c>
      <c r="K4638">
        <v>4291</v>
      </c>
      <c r="L4638">
        <v>16</v>
      </c>
      <c r="M4638">
        <v>1.73</v>
      </c>
      <c r="N4638">
        <v>0</v>
      </c>
      <c r="O4638">
        <v>0</v>
      </c>
      <c r="P4638">
        <f t="shared" si="288"/>
        <v>3.7287345607084597E-3</v>
      </c>
      <c r="Q4638">
        <f t="shared" si="288"/>
        <v>0.108125</v>
      </c>
      <c r="R4638">
        <f t="shared" si="289"/>
        <v>0</v>
      </c>
      <c r="S4638">
        <f t="shared" si="290"/>
        <v>0</v>
      </c>
      <c r="T4638">
        <f t="shared" si="291"/>
        <v>0</v>
      </c>
      <c r="U4638" t="str">
        <f>YEAR('Campaign Data'!$A4638)&amp;"-"&amp;TEXT(MONTH('Campaign Data'!$A4638),"00")</f>
        <v>2026-09</v>
      </c>
    </row>
    <row r="4639" spans="1:21" x14ac:dyDescent="0.25">
      <c r="A4639">
        <v>46276</v>
      </c>
      <c r="B4639" t="s">
        <v>167</v>
      </c>
      <c r="C4639" t="s">
        <v>168</v>
      </c>
      <c r="D4639" t="s">
        <v>58</v>
      </c>
      <c r="E4639" t="s">
        <v>33</v>
      </c>
      <c r="F4639" t="s">
        <v>75</v>
      </c>
      <c r="G4639" t="s">
        <v>35</v>
      </c>
      <c r="H4639" t="s">
        <v>90</v>
      </c>
      <c r="I4639" t="s">
        <v>28</v>
      </c>
      <c r="J4639" t="s">
        <v>45</v>
      </c>
      <c r="K4639">
        <v>11636</v>
      </c>
      <c r="L4639">
        <v>127</v>
      </c>
      <c r="M4639">
        <v>16.97</v>
      </c>
      <c r="N4639">
        <v>3</v>
      </c>
      <c r="O4639">
        <v>37.729999999999997</v>
      </c>
      <c r="P4639">
        <f t="shared" si="288"/>
        <v>1.0914403575111722E-2</v>
      </c>
      <c r="Q4639">
        <f t="shared" si="288"/>
        <v>0.13362204724409449</v>
      </c>
      <c r="R4639">
        <f t="shared" si="289"/>
        <v>5.6566666666666663</v>
      </c>
      <c r="S4639">
        <f t="shared" si="290"/>
        <v>2.2233352975839717</v>
      </c>
      <c r="T4639">
        <f t="shared" si="291"/>
        <v>2.3622047244094488E-2</v>
      </c>
      <c r="U4639" t="str">
        <f>YEAR('Campaign Data'!$A4639)&amp;"-"&amp;TEXT(MONTH('Campaign Data'!$A4639),"00")</f>
        <v>2026-09</v>
      </c>
    </row>
    <row r="4640" spans="1:21" x14ac:dyDescent="0.25">
      <c r="A4640">
        <v>46276</v>
      </c>
      <c r="B4640" t="s">
        <v>138</v>
      </c>
      <c r="C4640" t="s">
        <v>139</v>
      </c>
      <c r="D4640" t="s">
        <v>58</v>
      </c>
      <c r="E4640" t="s">
        <v>74</v>
      </c>
      <c r="F4640" t="s">
        <v>34</v>
      </c>
      <c r="G4640" t="s">
        <v>9</v>
      </c>
      <c r="H4640" t="s">
        <v>51</v>
      </c>
      <c r="I4640" t="s">
        <v>37</v>
      </c>
      <c r="J4640" t="s">
        <v>29</v>
      </c>
      <c r="K4640">
        <v>2994</v>
      </c>
      <c r="L4640">
        <v>75</v>
      </c>
      <c r="M4640">
        <v>90.14</v>
      </c>
      <c r="N4640">
        <v>4</v>
      </c>
      <c r="O4640">
        <v>568.70000000000005</v>
      </c>
      <c r="P4640">
        <f t="shared" si="288"/>
        <v>2.5050100200400802E-2</v>
      </c>
      <c r="Q4640">
        <f t="shared" si="288"/>
        <v>1.2018666666666666</v>
      </c>
      <c r="R4640">
        <f t="shared" si="289"/>
        <v>22.535</v>
      </c>
      <c r="S4640">
        <f t="shared" si="290"/>
        <v>6.3090747725759933</v>
      </c>
      <c r="T4640">
        <f t="shared" si="291"/>
        <v>5.3333333333333337E-2</v>
      </c>
      <c r="U4640" t="str">
        <f>YEAR('Campaign Data'!$A4640)&amp;"-"&amp;TEXT(MONTH('Campaign Data'!$A4640),"00")</f>
        <v>2026-09</v>
      </c>
    </row>
    <row r="4641" spans="1:21" x14ac:dyDescent="0.25">
      <c r="A4641">
        <v>46276</v>
      </c>
      <c r="B4641" t="s">
        <v>91</v>
      </c>
      <c r="C4641" t="s">
        <v>92</v>
      </c>
      <c r="D4641" t="s">
        <v>41</v>
      </c>
      <c r="E4641" t="s">
        <v>74</v>
      </c>
      <c r="F4641" t="s">
        <v>75</v>
      </c>
      <c r="G4641" t="s">
        <v>9</v>
      </c>
      <c r="H4641" t="s">
        <v>60</v>
      </c>
      <c r="I4641" t="s">
        <v>37</v>
      </c>
      <c r="J4641" t="s">
        <v>45</v>
      </c>
      <c r="K4641">
        <v>2868</v>
      </c>
      <c r="L4641">
        <v>68</v>
      </c>
      <c r="M4641">
        <v>114.61</v>
      </c>
      <c r="N4641">
        <v>4</v>
      </c>
      <c r="O4641">
        <v>173.14</v>
      </c>
      <c r="P4641">
        <f t="shared" si="288"/>
        <v>2.3709902370990237E-2</v>
      </c>
      <c r="Q4641">
        <f t="shared" si="288"/>
        <v>1.6854411764705883</v>
      </c>
      <c r="R4641">
        <f t="shared" si="289"/>
        <v>28.6525</v>
      </c>
      <c r="S4641">
        <f t="shared" si="290"/>
        <v>1.5106884216036993</v>
      </c>
      <c r="T4641">
        <f t="shared" si="291"/>
        <v>5.8823529411764705E-2</v>
      </c>
      <c r="U4641" t="str">
        <f>YEAR('Campaign Data'!$A4641)&amp;"-"&amp;TEXT(MONTH('Campaign Data'!$A4641),"00")</f>
        <v>2026-09</v>
      </c>
    </row>
    <row r="4642" spans="1:21" x14ac:dyDescent="0.25">
      <c r="A4642">
        <v>46276</v>
      </c>
      <c r="B4642" t="s">
        <v>186</v>
      </c>
      <c r="C4642" t="s">
        <v>187</v>
      </c>
      <c r="D4642" t="s">
        <v>80</v>
      </c>
      <c r="E4642" t="s">
        <v>33</v>
      </c>
      <c r="F4642" t="s">
        <v>43</v>
      </c>
      <c r="G4642" t="s">
        <v>102</v>
      </c>
      <c r="H4642" t="s">
        <v>90</v>
      </c>
      <c r="I4642" t="s">
        <v>28</v>
      </c>
      <c r="J4642" t="s">
        <v>29</v>
      </c>
      <c r="K4642">
        <v>3975</v>
      </c>
      <c r="L4642">
        <v>43</v>
      </c>
      <c r="M4642">
        <v>7.31</v>
      </c>
      <c r="N4642">
        <v>1</v>
      </c>
      <c r="O4642">
        <v>8.27</v>
      </c>
      <c r="P4642">
        <f t="shared" si="288"/>
        <v>1.0817610062893081E-2</v>
      </c>
      <c r="Q4642">
        <f t="shared" si="288"/>
        <v>0.16999999999999998</v>
      </c>
      <c r="R4642">
        <f t="shared" si="289"/>
        <v>7.31</v>
      </c>
      <c r="S4642">
        <f t="shared" si="290"/>
        <v>1.1313269493844049</v>
      </c>
      <c r="T4642">
        <f t="shared" si="291"/>
        <v>2.3255813953488372E-2</v>
      </c>
      <c r="U4642" t="str">
        <f>YEAR('Campaign Data'!$A4642)&amp;"-"&amp;TEXT(MONTH('Campaign Data'!$A4642),"00")</f>
        <v>2026-09</v>
      </c>
    </row>
    <row r="4643" spans="1:21" x14ac:dyDescent="0.25">
      <c r="A4643">
        <v>46276</v>
      </c>
      <c r="B4643" t="s">
        <v>93</v>
      </c>
      <c r="C4643" t="s">
        <v>94</v>
      </c>
      <c r="D4643" t="s">
        <v>69</v>
      </c>
      <c r="E4643" t="s">
        <v>42</v>
      </c>
      <c r="F4643" t="s">
        <v>75</v>
      </c>
      <c r="G4643" t="s">
        <v>44</v>
      </c>
      <c r="H4643" t="s">
        <v>90</v>
      </c>
      <c r="I4643" t="s">
        <v>37</v>
      </c>
      <c r="J4643" t="s">
        <v>87</v>
      </c>
      <c r="K4643">
        <v>7325</v>
      </c>
      <c r="L4643">
        <v>22</v>
      </c>
      <c r="M4643">
        <v>32.67</v>
      </c>
      <c r="N4643">
        <v>1</v>
      </c>
      <c r="O4643">
        <v>11.58</v>
      </c>
      <c r="P4643">
        <f t="shared" si="288"/>
        <v>3.0034129692832765E-3</v>
      </c>
      <c r="Q4643">
        <f t="shared" si="288"/>
        <v>1.4850000000000001</v>
      </c>
      <c r="R4643">
        <f t="shared" si="289"/>
        <v>32.67</v>
      </c>
      <c r="S4643">
        <f t="shared" si="290"/>
        <v>0.3544536271808999</v>
      </c>
      <c r="T4643">
        <f t="shared" si="291"/>
        <v>4.5454545454545456E-2</v>
      </c>
      <c r="U4643" t="str">
        <f>YEAR('Campaign Data'!$A4643)&amp;"-"&amp;TEXT(MONTH('Campaign Data'!$A4643),"00")</f>
        <v>2026-09</v>
      </c>
    </row>
    <row r="4644" spans="1:21" x14ac:dyDescent="0.25">
      <c r="A4644">
        <v>46276</v>
      </c>
      <c r="B4644" t="s">
        <v>46</v>
      </c>
      <c r="C4644" t="s">
        <v>47</v>
      </c>
      <c r="D4644" t="s">
        <v>48</v>
      </c>
      <c r="E4644" t="s">
        <v>49</v>
      </c>
      <c r="F4644" t="s">
        <v>43</v>
      </c>
      <c r="G4644" t="s">
        <v>50</v>
      </c>
      <c r="H4644" t="s">
        <v>90</v>
      </c>
      <c r="I4644" t="s">
        <v>28</v>
      </c>
      <c r="J4644" t="s">
        <v>45</v>
      </c>
      <c r="K4644">
        <v>2038</v>
      </c>
      <c r="L4644">
        <v>108</v>
      </c>
      <c r="M4644">
        <v>69.540000000000006</v>
      </c>
      <c r="N4644">
        <v>3</v>
      </c>
      <c r="O4644">
        <v>19.39</v>
      </c>
      <c r="P4644">
        <f t="shared" si="288"/>
        <v>5.2993130520117761E-2</v>
      </c>
      <c r="Q4644">
        <f t="shared" si="288"/>
        <v>0.64388888888888896</v>
      </c>
      <c r="R4644">
        <f t="shared" si="289"/>
        <v>23.180000000000003</v>
      </c>
      <c r="S4644">
        <f t="shared" si="290"/>
        <v>0.27883232671843544</v>
      </c>
      <c r="T4644">
        <f t="shared" si="291"/>
        <v>2.7777777777777776E-2</v>
      </c>
      <c r="U4644" t="str">
        <f>YEAR('Campaign Data'!$A4644)&amp;"-"&amp;TEXT(MONTH('Campaign Data'!$A4644),"00")</f>
        <v>2026-09</v>
      </c>
    </row>
    <row r="4645" spans="1:21" x14ac:dyDescent="0.25">
      <c r="A4645">
        <v>46276</v>
      </c>
      <c r="B4645" t="s">
        <v>98</v>
      </c>
      <c r="C4645" t="s">
        <v>99</v>
      </c>
      <c r="D4645" t="s">
        <v>69</v>
      </c>
      <c r="E4645" t="s">
        <v>24</v>
      </c>
      <c r="F4645" t="s">
        <v>75</v>
      </c>
      <c r="G4645" t="s">
        <v>66</v>
      </c>
      <c r="H4645" t="s">
        <v>90</v>
      </c>
      <c r="I4645" t="s">
        <v>28</v>
      </c>
      <c r="J4645" t="s">
        <v>29</v>
      </c>
      <c r="K4645">
        <v>11672</v>
      </c>
      <c r="L4645">
        <v>139</v>
      </c>
      <c r="M4645">
        <v>38.4</v>
      </c>
      <c r="N4645">
        <v>3</v>
      </c>
      <c r="O4645">
        <v>20.13</v>
      </c>
      <c r="P4645">
        <f t="shared" si="288"/>
        <v>1.1908841672378342E-2</v>
      </c>
      <c r="Q4645">
        <f t="shared" si="288"/>
        <v>0.27625899280575539</v>
      </c>
      <c r="R4645">
        <f t="shared" si="289"/>
        <v>12.799999999999999</v>
      </c>
      <c r="S4645">
        <f t="shared" si="290"/>
        <v>0.52421874999999996</v>
      </c>
      <c r="T4645">
        <f t="shared" si="291"/>
        <v>2.1582733812949641E-2</v>
      </c>
      <c r="U4645" t="str">
        <f>YEAR('Campaign Data'!$A4645)&amp;"-"&amp;TEXT(MONTH('Campaign Data'!$A4645),"00")</f>
        <v>2026-09</v>
      </c>
    </row>
    <row r="4646" spans="1:21" x14ac:dyDescent="0.25">
      <c r="A4646">
        <v>46276</v>
      </c>
      <c r="B4646" t="s">
        <v>98</v>
      </c>
      <c r="C4646" t="s">
        <v>99</v>
      </c>
      <c r="D4646" t="s">
        <v>69</v>
      </c>
      <c r="E4646" t="s">
        <v>24</v>
      </c>
      <c r="F4646" t="s">
        <v>75</v>
      </c>
      <c r="G4646" t="s">
        <v>66</v>
      </c>
      <c r="H4646" t="s">
        <v>55</v>
      </c>
      <c r="I4646" t="s">
        <v>37</v>
      </c>
      <c r="J4646" t="s">
        <v>29</v>
      </c>
      <c r="K4646">
        <v>5935</v>
      </c>
      <c r="L4646">
        <v>75</v>
      </c>
      <c r="M4646">
        <v>79.16</v>
      </c>
      <c r="N4646">
        <v>2</v>
      </c>
      <c r="O4646">
        <v>43.91</v>
      </c>
      <c r="P4646">
        <f t="shared" si="288"/>
        <v>1.2636899747262006E-2</v>
      </c>
      <c r="Q4646">
        <f t="shared" si="288"/>
        <v>1.0554666666666666</v>
      </c>
      <c r="R4646">
        <f t="shared" si="289"/>
        <v>39.58</v>
      </c>
      <c r="S4646">
        <f t="shared" si="290"/>
        <v>0.55469934310257707</v>
      </c>
      <c r="T4646">
        <f t="shared" si="291"/>
        <v>2.6666666666666668E-2</v>
      </c>
      <c r="U4646" t="str">
        <f>YEAR('Campaign Data'!$A4646)&amp;"-"&amp;TEXT(MONTH('Campaign Data'!$A4646),"00")</f>
        <v>2026-09</v>
      </c>
    </row>
    <row r="4647" spans="1:21" x14ac:dyDescent="0.25">
      <c r="A4647">
        <v>46276</v>
      </c>
      <c r="B4647" t="s">
        <v>177</v>
      </c>
      <c r="C4647" t="s">
        <v>178</v>
      </c>
      <c r="D4647" t="s">
        <v>41</v>
      </c>
      <c r="E4647" t="s">
        <v>49</v>
      </c>
      <c r="F4647" t="s">
        <v>34</v>
      </c>
      <c r="G4647" t="s">
        <v>107</v>
      </c>
      <c r="H4647" t="s">
        <v>27</v>
      </c>
      <c r="I4647" t="s">
        <v>37</v>
      </c>
      <c r="J4647" t="s">
        <v>62</v>
      </c>
      <c r="K4647">
        <v>25586</v>
      </c>
      <c r="L4647">
        <v>1921</v>
      </c>
      <c r="M4647">
        <v>4024.69</v>
      </c>
      <c r="N4647">
        <v>125</v>
      </c>
      <c r="O4647">
        <v>14436.8</v>
      </c>
      <c r="P4647">
        <f t="shared" si="288"/>
        <v>7.5080121941686853E-2</v>
      </c>
      <c r="Q4647">
        <f t="shared" si="288"/>
        <v>2.0951015096304006</v>
      </c>
      <c r="R4647">
        <f t="shared" si="289"/>
        <v>32.197519999999997</v>
      </c>
      <c r="S4647">
        <f t="shared" si="290"/>
        <v>3.5870588790689468</v>
      </c>
      <c r="T4647">
        <f t="shared" si="291"/>
        <v>6.5070275897969806E-2</v>
      </c>
      <c r="U4647" t="str">
        <f>YEAR('Campaign Data'!$A4647)&amp;"-"&amp;TEXT(MONTH('Campaign Data'!$A4647),"00")</f>
        <v>2026-09</v>
      </c>
    </row>
    <row r="4648" spans="1:21" x14ac:dyDescent="0.25">
      <c r="A4648">
        <v>46276</v>
      </c>
      <c r="B4648" t="s">
        <v>153</v>
      </c>
      <c r="C4648" t="s">
        <v>154</v>
      </c>
      <c r="D4648" t="s">
        <v>48</v>
      </c>
      <c r="E4648" t="s">
        <v>33</v>
      </c>
      <c r="F4648" t="s">
        <v>43</v>
      </c>
      <c r="G4648" t="s">
        <v>59</v>
      </c>
      <c r="H4648" t="s">
        <v>90</v>
      </c>
      <c r="I4648" t="s">
        <v>37</v>
      </c>
      <c r="J4648" t="s">
        <v>38</v>
      </c>
      <c r="K4648">
        <v>4104</v>
      </c>
      <c r="L4648">
        <v>41</v>
      </c>
      <c r="M4648">
        <v>6.78</v>
      </c>
      <c r="N4648">
        <v>0</v>
      </c>
      <c r="O4648">
        <v>0</v>
      </c>
      <c r="P4648">
        <f t="shared" si="288"/>
        <v>9.9902534113060423E-3</v>
      </c>
      <c r="Q4648">
        <f t="shared" si="288"/>
        <v>0.16536585365853659</v>
      </c>
      <c r="R4648">
        <f t="shared" si="289"/>
        <v>0</v>
      </c>
      <c r="S4648">
        <f t="shared" si="290"/>
        <v>0</v>
      </c>
      <c r="T4648">
        <f t="shared" si="291"/>
        <v>0</v>
      </c>
      <c r="U4648" t="str">
        <f>YEAR('Campaign Data'!$A4648)&amp;"-"&amp;TEXT(MONTH('Campaign Data'!$A4648),"00")</f>
        <v>2026-09</v>
      </c>
    </row>
    <row r="4649" spans="1:21" x14ac:dyDescent="0.25">
      <c r="A4649">
        <v>46276</v>
      </c>
      <c r="B4649" t="s">
        <v>157</v>
      </c>
      <c r="C4649" t="s">
        <v>158</v>
      </c>
      <c r="D4649" t="s">
        <v>58</v>
      </c>
      <c r="E4649" t="s">
        <v>49</v>
      </c>
      <c r="F4649" t="s">
        <v>81</v>
      </c>
      <c r="G4649" t="s">
        <v>50</v>
      </c>
      <c r="H4649" t="s">
        <v>90</v>
      </c>
      <c r="I4649" t="s">
        <v>37</v>
      </c>
      <c r="J4649" t="s">
        <v>62</v>
      </c>
      <c r="K4649">
        <v>21513</v>
      </c>
      <c r="L4649">
        <v>1092</v>
      </c>
      <c r="M4649">
        <v>600.28</v>
      </c>
      <c r="N4649">
        <v>88</v>
      </c>
      <c r="O4649">
        <v>710.09</v>
      </c>
      <c r="P4649">
        <f t="shared" si="288"/>
        <v>5.0760005578022592E-2</v>
      </c>
      <c r="Q4649">
        <f t="shared" si="288"/>
        <v>0.54970695970695971</v>
      </c>
      <c r="R4649">
        <f t="shared" si="289"/>
        <v>6.8213636363636363</v>
      </c>
      <c r="S4649">
        <f t="shared" si="290"/>
        <v>1.1829312987272607</v>
      </c>
      <c r="T4649">
        <f t="shared" si="291"/>
        <v>8.0586080586080591E-2</v>
      </c>
      <c r="U4649" t="str">
        <f>YEAR('Campaign Data'!$A4649)&amp;"-"&amp;TEXT(MONTH('Campaign Data'!$A4649),"00")</f>
        <v>2026-09</v>
      </c>
    </row>
    <row r="4650" spans="1:21" x14ac:dyDescent="0.25">
      <c r="A4650">
        <v>46276</v>
      </c>
      <c r="B4650" t="s">
        <v>67</v>
      </c>
      <c r="C4650" t="s">
        <v>68</v>
      </c>
      <c r="D4650" t="s">
        <v>69</v>
      </c>
      <c r="E4650" t="s">
        <v>49</v>
      </c>
      <c r="F4650" t="s">
        <v>34</v>
      </c>
      <c r="G4650" t="s">
        <v>70</v>
      </c>
      <c r="H4650" t="s">
        <v>27</v>
      </c>
      <c r="I4650" t="s">
        <v>28</v>
      </c>
      <c r="J4650" t="s">
        <v>45</v>
      </c>
      <c r="K4650">
        <v>18437</v>
      </c>
      <c r="L4650">
        <v>954</v>
      </c>
      <c r="M4650">
        <v>2479.09</v>
      </c>
      <c r="N4650">
        <v>54</v>
      </c>
      <c r="O4650">
        <v>4098.2299999999996</v>
      </c>
      <c r="P4650">
        <f t="shared" si="288"/>
        <v>5.1743776102402779E-2</v>
      </c>
      <c r="Q4650">
        <f t="shared" si="288"/>
        <v>2.5986268343815517</v>
      </c>
      <c r="R4650">
        <f t="shared" si="289"/>
        <v>45.909074074074077</v>
      </c>
      <c r="S4650">
        <f t="shared" si="290"/>
        <v>1.6531186846786521</v>
      </c>
      <c r="T4650">
        <f t="shared" si="291"/>
        <v>5.6603773584905662E-2</v>
      </c>
      <c r="U4650" t="str">
        <f>YEAR('Campaign Data'!$A4650)&amp;"-"&amp;TEXT(MONTH('Campaign Data'!$A4650),"00")</f>
        <v>2026-09</v>
      </c>
    </row>
    <row r="4651" spans="1:21" x14ac:dyDescent="0.25">
      <c r="A4651">
        <v>46276</v>
      </c>
      <c r="B4651" t="s">
        <v>76</v>
      </c>
      <c r="C4651" t="s">
        <v>77</v>
      </c>
      <c r="D4651" t="s">
        <v>65</v>
      </c>
      <c r="E4651" t="s">
        <v>42</v>
      </c>
      <c r="F4651" t="s">
        <v>43</v>
      </c>
      <c r="G4651" t="s">
        <v>44</v>
      </c>
      <c r="H4651" t="s">
        <v>71</v>
      </c>
      <c r="I4651" t="s">
        <v>37</v>
      </c>
      <c r="J4651" t="s">
        <v>29</v>
      </c>
      <c r="K4651">
        <v>2129</v>
      </c>
      <c r="L4651">
        <v>20</v>
      </c>
      <c r="M4651">
        <v>100.22</v>
      </c>
      <c r="N4651">
        <v>0</v>
      </c>
      <c r="O4651">
        <v>0</v>
      </c>
      <c r="P4651">
        <f t="shared" si="288"/>
        <v>9.3940817285110383E-3</v>
      </c>
      <c r="Q4651">
        <f t="shared" si="288"/>
        <v>5.0110000000000001</v>
      </c>
      <c r="R4651">
        <f t="shared" si="289"/>
        <v>0</v>
      </c>
      <c r="S4651">
        <f t="shared" si="290"/>
        <v>0</v>
      </c>
      <c r="T4651">
        <f t="shared" si="291"/>
        <v>0</v>
      </c>
      <c r="U4651" t="str">
        <f>YEAR('Campaign Data'!$A4651)&amp;"-"&amp;TEXT(MONTH('Campaign Data'!$A4651),"00")</f>
        <v>2026-09</v>
      </c>
    </row>
    <row r="4652" spans="1:21" x14ac:dyDescent="0.25">
      <c r="A4652">
        <v>46276</v>
      </c>
      <c r="B4652" t="s">
        <v>122</v>
      </c>
      <c r="C4652" t="s">
        <v>123</v>
      </c>
      <c r="D4652" t="s">
        <v>41</v>
      </c>
      <c r="E4652" t="s">
        <v>33</v>
      </c>
      <c r="F4652" t="s">
        <v>75</v>
      </c>
      <c r="G4652" t="s">
        <v>35</v>
      </c>
      <c r="H4652" t="s">
        <v>51</v>
      </c>
      <c r="I4652" t="s">
        <v>37</v>
      </c>
      <c r="J4652" t="s">
        <v>29</v>
      </c>
      <c r="K4652">
        <v>3054</v>
      </c>
      <c r="L4652">
        <v>42</v>
      </c>
      <c r="M4652">
        <v>29.9</v>
      </c>
      <c r="N4652">
        <v>0</v>
      </c>
      <c r="O4652">
        <v>0</v>
      </c>
      <c r="P4652">
        <f t="shared" si="288"/>
        <v>1.37524557956778E-2</v>
      </c>
      <c r="Q4652">
        <f t="shared" si="288"/>
        <v>0.71190476190476182</v>
      </c>
      <c r="R4652">
        <f t="shared" si="289"/>
        <v>0</v>
      </c>
      <c r="S4652">
        <f t="shared" si="290"/>
        <v>0</v>
      </c>
      <c r="T4652">
        <f t="shared" si="291"/>
        <v>0</v>
      </c>
      <c r="U4652" t="str">
        <f>YEAR('Campaign Data'!$A4652)&amp;"-"&amp;TEXT(MONTH('Campaign Data'!$A4652),"00")</f>
        <v>2026-09</v>
      </c>
    </row>
    <row r="4653" spans="1:21" x14ac:dyDescent="0.25">
      <c r="A4653">
        <v>46276</v>
      </c>
      <c r="B4653" t="s">
        <v>82</v>
      </c>
      <c r="C4653" t="s">
        <v>83</v>
      </c>
      <c r="D4653" t="s">
        <v>80</v>
      </c>
      <c r="E4653" t="s">
        <v>42</v>
      </c>
      <c r="F4653" t="s">
        <v>34</v>
      </c>
      <c r="G4653" t="s">
        <v>84</v>
      </c>
      <c r="H4653" t="s">
        <v>51</v>
      </c>
      <c r="I4653" t="s">
        <v>37</v>
      </c>
      <c r="J4653" t="s">
        <v>45</v>
      </c>
      <c r="K4653">
        <v>4335</v>
      </c>
      <c r="L4653">
        <v>23</v>
      </c>
      <c r="M4653">
        <v>107.67</v>
      </c>
      <c r="N4653">
        <v>3</v>
      </c>
      <c r="O4653">
        <v>263.52999999999997</v>
      </c>
      <c r="P4653">
        <f t="shared" si="288"/>
        <v>5.3056516724336797E-3</v>
      </c>
      <c r="Q4653">
        <f t="shared" si="288"/>
        <v>4.681304347826087</v>
      </c>
      <c r="R4653">
        <f t="shared" si="289"/>
        <v>35.89</v>
      </c>
      <c r="S4653">
        <f t="shared" si="290"/>
        <v>2.4475712826228286</v>
      </c>
      <c r="T4653">
        <f t="shared" si="291"/>
        <v>0.13043478260869565</v>
      </c>
      <c r="U4653" t="str">
        <f>YEAR('Campaign Data'!$A4653)&amp;"-"&amp;TEXT(MONTH('Campaign Data'!$A4653),"00")</f>
        <v>2026-09</v>
      </c>
    </row>
    <row r="4654" spans="1:21" x14ac:dyDescent="0.25">
      <c r="A4654">
        <v>46276</v>
      </c>
      <c r="B4654" t="s">
        <v>82</v>
      </c>
      <c r="C4654" t="s">
        <v>83</v>
      </c>
      <c r="D4654" t="s">
        <v>80</v>
      </c>
      <c r="E4654" t="s">
        <v>42</v>
      </c>
      <c r="F4654" t="s">
        <v>34</v>
      </c>
      <c r="G4654" t="s">
        <v>84</v>
      </c>
      <c r="H4654" t="s">
        <v>51</v>
      </c>
      <c r="I4654" t="s">
        <v>37</v>
      </c>
      <c r="J4654" t="s">
        <v>38</v>
      </c>
      <c r="K4654">
        <v>19924</v>
      </c>
      <c r="L4654">
        <v>106</v>
      </c>
      <c r="M4654">
        <v>526.04</v>
      </c>
      <c r="N4654">
        <v>4</v>
      </c>
      <c r="O4654">
        <v>787.71</v>
      </c>
      <c r="P4654">
        <f t="shared" si="288"/>
        <v>5.3202168239309374E-3</v>
      </c>
      <c r="Q4654">
        <f t="shared" si="288"/>
        <v>4.9626415094339622</v>
      </c>
      <c r="R4654">
        <f t="shared" si="289"/>
        <v>131.51</v>
      </c>
      <c r="S4654">
        <f t="shared" si="290"/>
        <v>1.4974336552353436</v>
      </c>
      <c r="T4654">
        <f t="shared" si="291"/>
        <v>3.7735849056603772E-2</v>
      </c>
      <c r="U4654" t="str">
        <f>YEAR('Campaign Data'!$A4654)&amp;"-"&amp;TEXT(MONTH('Campaign Data'!$A4654),"00")</f>
        <v>2026-09</v>
      </c>
    </row>
    <row r="4655" spans="1:21" x14ac:dyDescent="0.25">
      <c r="A4655">
        <v>46276</v>
      </c>
      <c r="B4655" t="s">
        <v>82</v>
      </c>
      <c r="C4655" t="s">
        <v>83</v>
      </c>
      <c r="D4655" t="s">
        <v>80</v>
      </c>
      <c r="E4655" t="s">
        <v>42</v>
      </c>
      <c r="F4655" t="s">
        <v>34</v>
      </c>
      <c r="G4655" t="s">
        <v>84</v>
      </c>
      <c r="H4655" t="s">
        <v>55</v>
      </c>
      <c r="I4655" t="s">
        <v>37</v>
      </c>
      <c r="J4655" t="s">
        <v>62</v>
      </c>
      <c r="K4655">
        <v>5784</v>
      </c>
      <c r="L4655">
        <v>41</v>
      </c>
      <c r="M4655">
        <v>219.45</v>
      </c>
      <c r="N4655">
        <v>1</v>
      </c>
      <c r="O4655">
        <v>161.78</v>
      </c>
      <c r="P4655">
        <f t="shared" si="288"/>
        <v>7.0885200553250345E-3</v>
      </c>
      <c r="Q4655">
        <f t="shared" si="288"/>
        <v>5.352439024390244</v>
      </c>
      <c r="R4655">
        <f t="shared" si="289"/>
        <v>219.45</v>
      </c>
      <c r="S4655">
        <f t="shared" si="290"/>
        <v>0.73720665299612675</v>
      </c>
      <c r="T4655">
        <f t="shared" si="291"/>
        <v>2.4390243902439025E-2</v>
      </c>
      <c r="U4655" t="str">
        <f>YEAR('Campaign Data'!$A4655)&amp;"-"&amp;TEXT(MONTH('Campaign Data'!$A4655),"00")</f>
        <v>2026-09</v>
      </c>
    </row>
    <row r="4656" spans="1:21" x14ac:dyDescent="0.25">
      <c r="A4656">
        <v>46277</v>
      </c>
      <c r="B4656" t="s">
        <v>85</v>
      </c>
      <c r="C4656" t="s">
        <v>86</v>
      </c>
      <c r="D4656" t="s">
        <v>80</v>
      </c>
      <c r="E4656" t="s">
        <v>33</v>
      </c>
      <c r="F4656" t="s">
        <v>43</v>
      </c>
      <c r="G4656" t="s">
        <v>35</v>
      </c>
      <c r="H4656" t="s">
        <v>71</v>
      </c>
      <c r="I4656" t="s">
        <v>37</v>
      </c>
      <c r="J4656" t="s">
        <v>45</v>
      </c>
      <c r="K4656">
        <v>2776</v>
      </c>
      <c r="L4656">
        <v>24</v>
      </c>
      <c r="M4656">
        <v>16.88</v>
      </c>
      <c r="N4656">
        <v>1</v>
      </c>
      <c r="O4656">
        <v>19.32</v>
      </c>
      <c r="P4656">
        <f t="shared" si="288"/>
        <v>8.6455331412103754E-3</v>
      </c>
      <c r="Q4656">
        <f t="shared" si="288"/>
        <v>0.70333333333333325</v>
      </c>
      <c r="R4656">
        <f t="shared" si="289"/>
        <v>16.88</v>
      </c>
      <c r="S4656">
        <f t="shared" si="290"/>
        <v>1.1445497630331753</v>
      </c>
      <c r="T4656">
        <f t="shared" si="291"/>
        <v>4.1666666666666664E-2</v>
      </c>
      <c r="U4656" t="str">
        <f>YEAR('Campaign Data'!$A4656)&amp;"-"&amp;TEXT(MONTH('Campaign Data'!$A4656),"00")</f>
        <v>2026-09</v>
      </c>
    </row>
    <row r="4657" spans="1:21" x14ac:dyDescent="0.25">
      <c r="A4657">
        <v>46277</v>
      </c>
      <c r="B4657" t="s">
        <v>138</v>
      </c>
      <c r="C4657" t="s">
        <v>139</v>
      </c>
      <c r="D4657" t="s">
        <v>58</v>
      </c>
      <c r="E4657" t="s">
        <v>74</v>
      </c>
      <c r="F4657" t="s">
        <v>34</v>
      </c>
      <c r="G4657" t="s">
        <v>9</v>
      </c>
      <c r="H4657" t="s">
        <v>27</v>
      </c>
      <c r="I4657" t="s">
        <v>37</v>
      </c>
      <c r="J4657" t="s">
        <v>87</v>
      </c>
      <c r="K4657">
        <v>1844</v>
      </c>
      <c r="L4657">
        <v>98</v>
      </c>
      <c r="M4657">
        <v>145.78</v>
      </c>
      <c r="N4657">
        <v>4</v>
      </c>
      <c r="O4657">
        <v>974.74</v>
      </c>
      <c r="P4657">
        <f t="shared" si="288"/>
        <v>5.3145336225596529E-2</v>
      </c>
      <c r="Q4657">
        <f t="shared" si="288"/>
        <v>1.4875510204081632</v>
      </c>
      <c r="R4657">
        <f t="shared" si="289"/>
        <v>36.445</v>
      </c>
      <c r="S4657">
        <f t="shared" si="290"/>
        <v>6.6863767320620111</v>
      </c>
      <c r="T4657">
        <f t="shared" si="291"/>
        <v>4.0816326530612242E-2</v>
      </c>
      <c r="U4657" t="str">
        <f>YEAR('Campaign Data'!$A4657)&amp;"-"&amp;TEXT(MONTH('Campaign Data'!$A4657),"00")</f>
        <v>2026-09</v>
      </c>
    </row>
    <row r="4658" spans="1:21" x14ac:dyDescent="0.25">
      <c r="A4658">
        <v>46277</v>
      </c>
      <c r="B4658" t="s">
        <v>149</v>
      </c>
      <c r="C4658" t="s">
        <v>150</v>
      </c>
      <c r="D4658" t="s">
        <v>65</v>
      </c>
      <c r="E4658" t="s">
        <v>33</v>
      </c>
      <c r="F4658" t="s">
        <v>43</v>
      </c>
      <c r="G4658" t="s">
        <v>59</v>
      </c>
      <c r="H4658" t="s">
        <v>51</v>
      </c>
      <c r="I4658" t="s">
        <v>28</v>
      </c>
      <c r="J4658" t="s">
        <v>62</v>
      </c>
      <c r="K4658">
        <v>2803</v>
      </c>
      <c r="L4658">
        <v>24</v>
      </c>
      <c r="M4658">
        <v>11.63</v>
      </c>
      <c r="N4658">
        <v>2</v>
      </c>
      <c r="O4658">
        <v>22.39</v>
      </c>
      <c r="P4658">
        <f t="shared" si="288"/>
        <v>8.5622547270781304E-3</v>
      </c>
      <c r="Q4658">
        <f t="shared" si="288"/>
        <v>0.48458333333333337</v>
      </c>
      <c r="R4658">
        <f t="shared" si="289"/>
        <v>5.8150000000000004</v>
      </c>
      <c r="S4658">
        <f t="shared" si="290"/>
        <v>1.9251934651762681</v>
      </c>
      <c r="T4658">
        <f t="shared" si="291"/>
        <v>8.3333333333333329E-2</v>
      </c>
      <c r="U4658" t="str">
        <f>YEAR('Campaign Data'!$A4658)&amp;"-"&amp;TEXT(MONTH('Campaign Data'!$A4658),"00")</f>
        <v>2026-09</v>
      </c>
    </row>
    <row r="4659" spans="1:21" x14ac:dyDescent="0.25">
      <c r="A4659">
        <v>46277</v>
      </c>
      <c r="B4659" t="s">
        <v>149</v>
      </c>
      <c r="C4659" t="s">
        <v>150</v>
      </c>
      <c r="D4659" t="s">
        <v>65</v>
      </c>
      <c r="E4659" t="s">
        <v>33</v>
      </c>
      <c r="F4659" t="s">
        <v>43</v>
      </c>
      <c r="G4659" t="s">
        <v>59</v>
      </c>
      <c r="H4659" t="s">
        <v>27</v>
      </c>
      <c r="I4659" t="s">
        <v>28</v>
      </c>
      <c r="J4659" t="s">
        <v>87</v>
      </c>
      <c r="K4659">
        <v>3351</v>
      </c>
      <c r="L4659">
        <v>29</v>
      </c>
      <c r="M4659">
        <v>24.74</v>
      </c>
      <c r="N4659">
        <v>1</v>
      </c>
      <c r="O4659">
        <v>30.06</v>
      </c>
      <c r="P4659">
        <f t="shared" si="288"/>
        <v>8.6541330945986272E-3</v>
      </c>
      <c r="Q4659">
        <f t="shared" si="288"/>
        <v>0.85310344827586204</v>
      </c>
      <c r="R4659">
        <f t="shared" si="289"/>
        <v>24.74</v>
      </c>
      <c r="S4659">
        <f t="shared" si="290"/>
        <v>1.2150363783346807</v>
      </c>
      <c r="T4659">
        <f t="shared" si="291"/>
        <v>3.4482758620689655E-2</v>
      </c>
      <c r="U4659" t="str">
        <f>YEAR('Campaign Data'!$A4659)&amp;"-"&amp;TEXT(MONTH('Campaign Data'!$A4659),"00")</f>
        <v>2026-09</v>
      </c>
    </row>
    <row r="4660" spans="1:21" x14ac:dyDescent="0.25">
      <c r="A4660">
        <v>46277</v>
      </c>
      <c r="B4660" t="s">
        <v>91</v>
      </c>
      <c r="C4660" t="s">
        <v>92</v>
      </c>
      <c r="D4660" t="s">
        <v>41</v>
      </c>
      <c r="E4660" t="s">
        <v>74</v>
      </c>
      <c r="F4660" t="s">
        <v>75</v>
      </c>
      <c r="G4660" t="s">
        <v>9</v>
      </c>
      <c r="H4660" t="s">
        <v>36</v>
      </c>
      <c r="I4660" t="s">
        <v>37</v>
      </c>
      <c r="J4660" t="s">
        <v>62</v>
      </c>
      <c r="K4660">
        <v>971</v>
      </c>
      <c r="L4660">
        <v>55</v>
      </c>
      <c r="M4660">
        <v>80.959999999999994</v>
      </c>
      <c r="N4660">
        <v>1</v>
      </c>
      <c r="O4660">
        <v>32.770000000000003</v>
      </c>
      <c r="P4660">
        <f t="shared" si="288"/>
        <v>5.6642636457260559E-2</v>
      </c>
      <c r="Q4660">
        <f t="shared" si="288"/>
        <v>1.472</v>
      </c>
      <c r="R4660">
        <f t="shared" si="289"/>
        <v>80.959999999999994</v>
      </c>
      <c r="S4660">
        <f t="shared" si="290"/>
        <v>0.40476778656126489</v>
      </c>
      <c r="T4660">
        <f t="shared" si="291"/>
        <v>1.8181818181818181E-2</v>
      </c>
      <c r="U4660" t="str">
        <f>YEAR('Campaign Data'!$A4660)&amp;"-"&amp;TEXT(MONTH('Campaign Data'!$A4660),"00")</f>
        <v>2026-09</v>
      </c>
    </row>
    <row r="4661" spans="1:21" x14ac:dyDescent="0.25">
      <c r="A4661">
        <v>46277</v>
      </c>
      <c r="B4661" t="s">
        <v>186</v>
      </c>
      <c r="C4661" t="s">
        <v>187</v>
      </c>
      <c r="D4661" t="s">
        <v>80</v>
      </c>
      <c r="E4661" t="s">
        <v>33</v>
      </c>
      <c r="F4661" t="s">
        <v>43</v>
      </c>
      <c r="G4661" t="s">
        <v>102</v>
      </c>
      <c r="H4661" t="s">
        <v>90</v>
      </c>
      <c r="I4661" t="s">
        <v>37</v>
      </c>
      <c r="J4661" t="s">
        <v>87</v>
      </c>
      <c r="K4661">
        <v>2252</v>
      </c>
      <c r="L4661">
        <v>22</v>
      </c>
      <c r="M4661">
        <v>3.95</v>
      </c>
      <c r="N4661">
        <v>2</v>
      </c>
      <c r="O4661">
        <v>10</v>
      </c>
      <c r="P4661">
        <f t="shared" si="288"/>
        <v>9.7690941385435177E-3</v>
      </c>
      <c r="Q4661">
        <f t="shared" si="288"/>
        <v>0.17954545454545456</v>
      </c>
      <c r="R4661">
        <f t="shared" si="289"/>
        <v>1.9750000000000001</v>
      </c>
      <c r="S4661">
        <f t="shared" si="290"/>
        <v>2.5316455696202529</v>
      </c>
      <c r="T4661">
        <f t="shared" si="291"/>
        <v>9.0909090909090912E-2</v>
      </c>
      <c r="U4661" t="str">
        <f>YEAR('Campaign Data'!$A4661)&amp;"-"&amp;TEXT(MONTH('Campaign Data'!$A4661),"00")</f>
        <v>2026-09</v>
      </c>
    </row>
    <row r="4662" spans="1:21" x14ac:dyDescent="0.25">
      <c r="A4662">
        <v>46277</v>
      </c>
      <c r="B4662" t="s">
        <v>186</v>
      </c>
      <c r="C4662" t="s">
        <v>187</v>
      </c>
      <c r="D4662" t="s">
        <v>80</v>
      </c>
      <c r="E4662" t="s">
        <v>33</v>
      </c>
      <c r="F4662" t="s">
        <v>43</v>
      </c>
      <c r="G4662" t="s">
        <v>102</v>
      </c>
      <c r="H4662" t="s">
        <v>90</v>
      </c>
      <c r="I4662" t="s">
        <v>37</v>
      </c>
      <c r="J4662" t="s">
        <v>62</v>
      </c>
      <c r="K4662">
        <v>1684</v>
      </c>
      <c r="L4662">
        <v>10</v>
      </c>
      <c r="M4662">
        <v>1.24</v>
      </c>
      <c r="N4662">
        <v>0</v>
      </c>
      <c r="O4662">
        <v>0</v>
      </c>
      <c r="P4662">
        <f t="shared" si="288"/>
        <v>5.9382422802850355E-3</v>
      </c>
      <c r="Q4662">
        <f t="shared" si="288"/>
        <v>0.124</v>
      </c>
      <c r="R4662">
        <f t="shared" si="289"/>
        <v>0</v>
      </c>
      <c r="S4662">
        <f t="shared" si="290"/>
        <v>0</v>
      </c>
      <c r="T4662">
        <f t="shared" si="291"/>
        <v>0</v>
      </c>
      <c r="U4662" t="str">
        <f>YEAR('Campaign Data'!$A4662)&amp;"-"&amp;TEXT(MONTH('Campaign Data'!$A4662),"00")</f>
        <v>2026-09</v>
      </c>
    </row>
    <row r="4663" spans="1:21" x14ac:dyDescent="0.25">
      <c r="A4663">
        <v>46277</v>
      </c>
      <c r="B4663" t="s">
        <v>93</v>
      </c>
      <c r="C4663" t="s">
        <v>94</v>
      </c>
      <c r="D4663" t="s">
        <v>69</v>
      </c>
      <c r="E4663" t="s">
        <v>42</v>
      </c>
      <c r="F4663" t="s">
        <v>75</v>
      </c>
      <c r="G4663" t="s">
        <v>44</v>
      </c>
      <c r="H4663" t="s">
        <v>60</v>
      </c>
      <c r="I4663" t="s">
        <v>28</v>
      </c>
      <c r="J4663" t="s">
        <v>87</v>
      </c>
      <c r="K4663">
        <v>1819</v>
      </c>
      <c r="L4663">
        <v>14</v>
      </c>
      <c r="M4663">
        <v>70.89</v>
      </c>
      <c r="N4663">
        <v>1</v>
      </c>
      <c r="O4663">
        <v>29.41</v>
      </c>
      <c r="P4663">
        <f t="shared" si="288"/>
        <v>7.696536558548653E-3</v>
      </c>
      <c r="Q4663">
        <f t="shared" si="288"/>
        <v>5.0635714285714286</v>
      </c>
      <c r="R4663">
        <f t="shared" si="289"/>
        <v>70.89</v>
      </c>
      <c r="S4663">
        <f t="shared" si="290"/>
        <v>0.4148681055155875</v>
      </c>
      <c r="T4663">
        <f t="shared" si="291"/>
        <v>7.1428571428571425E-2</v>
      </c>
      <c r="U4663" t="str">
        <f>YEAR('Campaign Data'!$A4663)&amp;"-"&amp;TEXT(MONTH('Campaign Data'!$A4663),"00")</f>
        <v>2026-09</v>
      </c>
    </row>
    <row r="4664" spans="1:21" x14ac:dyDescent="0.25">
      <c r="A4664">
        <v>46277</v>
      </c>
      <c r="B4664" t="s">
        <v>151</v>
      </c>
      <c r="C4664" t="s">
        <v>152</v>
      </c>
      <c r="D4664" t="s">
        <v>48</v>
      </c>
      <c r="E4664" t="s">
        <v>24</v>
      </c>
      <c r="F4664" t="s">
        <v>81</v>
      </c>
      <c r="G4664" t="s">
        <v>129</v>
      </c>
      <c r="H4664" t="s">
        <v>90</v>
      </c>
      <c r="I4664" t="s">
        <v>37</v>
      </c>
      <c r="J4664" t="s">
        <v>45</v>
      </c>
      <c r="K4664">
        <v>1525</v>
      </c>
      <c r="L4664">
        <v>16</v>
      </c>
      <c r="M4664">
        <v>3.68</v>
      </c>
      <c r="N4664">
        <v>0</v>
      </c>
      <c r="O4664">
        <v>0</v>
      </c>
      <c r="P4664">
        <f t="shared" si="288"/>
        <v>1.0491803278688525E-2</v>
      </c>
      <c r="Q4664">
        <f t="shared" si="288"/>
        <v>0.23</v>
      </c>
      <c r="R4664">
        <f t="shared" si="289"/>
        <v>0</v>
      </c>
      <c r="S4664">
        <f t="shared" si="290"/>
        <v>0</v>
      </c>
      <c r="T4664">
        <f t="shared" si="291"/>
        <v>0</v>
      </c>
      <c r="U4664" t="str">
        <f>YEAR('Campaign Data'!$A4664)&amp;"-"&amp;TEXT(MONTH('Campaign Data'!$A4664),"00")</f>
        <v>2026-09</v>
      </c>
    </row>
    <row r="4665" spans="1:21" x14ac:dyDescent="0.25">
      <c r="A4665">
        <v>46277</v>
      </c>
      <c r="B4665" t="s">
        <v>39</v>
      </c>
      <c r="C4665" t="s">
        <v>40</v>
      </c>
      <c r="D4665" t="s">
        <v>41</v>
      </c>
      <c r="E4665" t="s">
        <v>42</v>
      </c>
      <c r="F4665" t="s">
        <v>43</v>
      </c>
      <c r="G4665" t="s">
        <v>44</v>
      </c>
      <c r="H4665" t="s">
        <v>51</v>
      </c>
      <c r="I4665" t="s">
        <v>37</v>
      </c>
      <c r="J4665" t="s">
        <v>29</v>
      </c>
      <c r="K4665">
        <v>3895</v>
      </c>
      <c r="L4665">
        <v>25</v>
      </c>
      <c r="M4665">
        <v>151.05000000000001</v>
      </c>
      <c r="N4665">
        <v>1</v>
      </c>
      <c r="O4665">
        <v>26.67</v>
      </c>
      <c r="P4665">
        <f t="shared" si="288"/>
        <v>6.4184852374839542E-3</v>
      </c>
      <c r="Q4665">
        <f t="shared" si="288"/>
        <v>6.0420000000000007</v>
      </c>
      <c r="R4665">
        <f t="shared" si="289"/>
        <v>151.05000000000001</v>
      </c>
      <c r="S4665">
        <f t="shared" si="290"/>
        <v>0.17656405163853028</v>
      </c>
      <c r="T4665">
        <f t="shared" si="291"/>
        <v>0.04</v>
      </c>
      <c r="U4665" t="str">
        <f>YEAR('Campaign Data'!$A4665)&amp;"-"&amp;TEXT(MONTH('Campaign Data'!$A4665),"00")</f>
        <v>2026-09</v>
      </c>
    </row>
    <row r="4666" spans="1:21" x14ac:dyDescent="0.25">
      <c r="A4666">
        <v>46277</v>
      </c>
      <c r="B4666" t="s">
        <v>169</v>
      </c>
      <c r="C4666" t="s">
        <v>170</v>
      </c>
      <c r="D4666" t="s">
        <v>58</v>
      </c>
      <c r="E4666" t="s">
        <v>74</v>
      </c>
      <c r="F4666" t="s">
        <v>75</v>
      </c>
      <c r="G4666" t="s">
        <v>9</v>
      </c>
      <c r="H4666" t="s">
        <v>27</v>
      </c>
      <c r="I4666" t="s">
        <v>37</v>
      </c>
      <c r="J4666" t="s">
        <v>45</v>
      </c>
      <c r="K4666">
        <v>7547</v>
      </c>
      <c r="L4666">
        <v>260</v>
      </c>
      <c r="M4666">
        <v>352.89</v>
      </c>
      <c r="N4666">
        <v>11</v>
      </c>
      <c r="O4666">
        <v>183.45</v>
      </c>
      <c r="P4666">
        <f t="shared" si="288"/>
        <v>3.4450775142440708E-2</v>
      </c>
      <c r="Q4666">
        <f t="shared" si="288"/>
        <v>1.3572692307692307</v>
      </c>
      <c r="R4666">
        <f t="shared" si="289"/>
        <v>32.080909090909088</v>
      </c>
      <c r="S4666">
        <f t="shared" si="290"/>
        <v>0.51985037830485414</v>
      </c>
      <c r="T4666">
        <f t="shared" si="291"/>
        <v>4.230769230769231E-2</v>
      </c>
      <c r="U4666" t="str">
        <f>YEAR('Campaign Data'!$A4666)&amp;"-"&amp;TEXT(MONTH('Campaign Data'!$A4666),"00")</f>
        <v>2026-09</v>
      </c>
    </row>
    <row r="4667" spans="1:21" x14ac:dyDescent="0.25">
      <c r="A4667">
        <v>46277</v>
      </c>
      <c r="B4667" t="s">
        <v>127</v>
      </c>
      <c r="C4667" t="s">
        <v>128</v>
      </c>
      <c r="D4667" t="s">
        <v>58</v>
      </c>
      <c r="E4667" t="s">
        <v>24</v>
      </c>
      <c r="F4667" t="s">
        <v>81</v>
      </c>
      <c r="G4667" t="s">
        <v>129</v>
      </c>
      <c r="H4667" t="s">
        <v>27</v>
      </c>
      <c r="I4667" t="s">
        <v>37</v>
      </c>
      <c r="J4667" t="s">
        <v>29</v>
      </c>
      <c r="K4667">
        <v>8320</v>
      </c>
      <c r="L4667">
        <v>77</v>
      </c>
      <c r="M4667">
        <v>116.65</v>
      </c>
      <c r="N4667">
        <v>3</v>
      </c>
      <c r="O4667">
        <v>46.13</v>
      </c>
      <c r="P4667">
        <f t="shared" si="288"/>
        <v>9.2548076923076924E-3</v>
      </c>
      <c r="Q4667">
        <f t="shared" si="288"/>
        <v>1.514935064935065</v>
      </c>
      <c r="R4667">
        <f t="shared" si="289"/>
        <v>38.883333333333333</v>
      </c>
      <c r="S4667">
        <f t="shared" si="290"/>
        <v>0.39545649378482639</v>
      </c>
      <c r="T4667">
        <f t="shared" si="291"/>
        <v>3.896103896103896E-2</v>
      </c>
      <c r="U4667" t="str">
        <f>YEAR('Campaign Data'!$A4667)&amp;"-"&amp;TEXT(MONTH('Campaign Data'!$A4667),"00")</f>
        <v>2026-09</v>
      </c>
    </row>
    <row r="4668" spans="1:21" x14ac:dyDescent="0.25">
      <c r="A4668">
        <v>46277</v>
      </c>
      <c r="B4668" t="s">
        <v>105</v>
      </c>
      <c r="C4668" t="s">
        <v>106</v>
      </c>
      <c r="D4668" t="s">
        <v>58</v>
      </c>
      <c r="E4668" t="s">
        <v>49</v>
      </c>
      <c r="F4668" t="s">
        <v>81</v>
      </c>
      <c r="G4668" t="s">
        <v>107</v>
      </c>
      <c r="H4668" t="s">
        <v>90</v>
      </c>
      <c r="I4668" t="s">
        <v>28</v>
      </c>
      <c r="J4668" t="s">
        <v>87</v>
      </c>
      <c r="K4668">
        <v>1634</v>
      </c>
      <c r="L4668">
        <v>92</v>
      </c>
      <c r="M4668">
        <v>53.63</v>
      </c>
      <c r="N4668">
        <v>4</v>
      </c>
      <c r="O4668">
        <v>22.54</v>
      </c>
      <c r="P4668">
        <f t="shared" si="288"/>
        <v>5.6303549571603426E-2</v>
      </c>
      <c r="Q4668">
        <f t="shared" si="288"/>
        <v>0.58293478260869569</v>
      </c>
      <c r="R4668">
        <f t="shared" si="289"/>
        <v>13.407500000000001</v>
      </c>
      <c r="S4668">
        <f t="shared" si="290"/>
        <v>0.42028715271303374</v>
      </c>
      <c r="T4668">
        <f t="shared" si="291"/>
        <v>4.3478260869565216E-2</v>
      </c>
      <c r="U4668" t="str">
        <f>YEAR('Campaign Data'!$A4668)&amp;"-"&amp;TEXT(MONTH('Campaign Data'!$A4668),"00")</f>
        <v>2026-09</v>
      </c>
    </row>
    <row r="4669" spans="1:21" x14ac:dyDescent="0.25">
      <c r="A4669">
        <v>46277</v>
      </c>
      <c r="B4669" t="s">
        <v>171</v>
      </c>
      <c r="C4669" t="s">
        <v>172</v>
      </c>
      <c r="D4669" t="s">
        <v>23</v>
      </c>
      <c r="E4669" t="s">
        <v>33</v>
      </c>
      <c r="F4669" t="s">
        <v>75</v>
      </c>
      <c r="G4669" t="s">
        <v>59</v>
      </c>
      <c r="H4669" t="s">
        <v>27</v>
      </c>
      <c r="I4669" t="s">
        <v>28</v>
      </c>
      <c r="J4669" t="s">
        <v>87</v>
      </c>
      <c r="K4669">
        <v>2687</v>
      </c>
      <c r="L4669">
        <v>29</v>
      </c>
      <c r="M4669">
        <v>18.43</v>
      </c>
      <c r="N4669">
        <v>0</v>
      </c>
      <c r="O4669">
        <v>0</v>
      </c>
      <c r="P4669">
        <f t="shared" si="288"/>
        <v>1.0792705619650168E-2</v>
      </c>
      <c r="Q4669">
        <f t="shared" si="288"/>
        <v>0.63551724137931032</v>
      </c>
      <c r="R4669">
        <f t="shared" si="289"/>
        <v>0</v>
      </c>
      <c r="S4669">
        <f t="shared" si="290"/>
        <v>0</v>
      </c>
      <c r="T4669">
        <f t="shared" si="291"/>
        <v>0</v>
      </c>
      <c r="U4669" t="str">
        <f>YEAR('Campaign Data'!$A4669)&amp;"-"&amp;TEXT(MONTH('Campaign Data'!$A4669),"00")</f>
        <v>2026-09</v>
      </c>
    </row>
    <row r="4670" spans="1:21" x14ac:dyDescent="0.25">
      <c r="A4670">
        <v>46277</v>
      </c>
      <c r="B4670" t="s">
        <v>171</v>
      </c>
      <c r="C4670" t="s">
        <v>172</v>
      </c>
      <c r="D4670" t="s">
        <v>23</v>
      </c>
      <c r="E4670" t="s">
        <v>33</v>
      </c>
      <c r="F4670" t="s">
        <v>75</v>
      </c>
      <c r="G4670" t="s">
        <v>59</v>
      </c>
      <c r="H4670" t="s">
        <v>36</v>
      </c>
      <c r="I4670" t="s">
        <v>37</v>
      </c>
      <c r="J4670" t="s">
        <v>45</v>
      </c>
      <c r="K4670">
        <v>1895</v>
      </c>
      <c r="L4670">
        <v>12</v>
      </c>
      <c r="M4670">
        <v>8.2899999999999991</v>
      </c>
      <c r="N4670">
        <v>0</v>
      </c>
      <c r="O4670">
        <v>0</v>
      </c>
      <c r="P4670">
        <f t="shared" si="288"/>
        <v>6.3324538258575196E-3</v>
      </c>
      <c r="Q4670">
        <f t="shared" si="288"/>
        <v>0.6908333333333333</v>
      </c>
      <c r="R4670">
        <f t="shared" si="289"/>
        <v>0</v>
      </c>
      <c r="S4670">
        <f t="shared" si="290"/>
        <v>0</v>
      </c>
      <c r="T4670">
        <f t="shared" si="291"/>
        <v>0</v>
      </c>
      <c r="U4670" t="str">
        <f>YEAR('Campaign Data'!$A4670)&amp;"-"&amp;TEXT(MONTH('Campaign Data'!$A4670),"00")</f>
        <v>2026-09</v>
      </c>
    </row>
    <row r="4671" spans="1:21" x14ac:dyDescent="0.25">
      <c r="A4671">
        <v>46277</v>
      </c>
      <c r="B4671" t="s">
        <v>155</v>
      </c>
      <c r="C4671" t="s">
        <v>156</v>
      </c>
      <c r="D4671" t="s">
        <v>32</v>
      </c>
      <c r="E4671" t="s">
        <v>24</v>
      </c>
      <c r="F4671" t="s">
        <v>34</v>
      </c>
      <c r="G4671" t="s">
        <v>129</v>
      </c>
      <c r="H4671" t="s">
        <v>90</v>
      </c>
      <c r="I4671" t="s">
        <v>37</v>
      </c>
      <c r="J4671" t="s">
        <v>62</v>
      </c>
      <c r="K4671">
        <v>2714</v>
      </c>
      <c r="L4671">
        <v>26</v>
      </c>
      <c r="M4671">
        <v>7.44</v>
      </c>
      <c r="N4671">
        <v>0</v>
      </c>
      <c r="O4671">
        <v>0</v>
      </c>
      <c r="P4671">
        <f t="shared" si="288"/>
        <v>9.5799557848194553E-3</v>
      </c>
      <c r="Q4671">
        <f t="shared" si="288"/>
        <v>0.28615384615384615</v>
      </c>
      <c r="R4671">
        <f t="shared" si="289"/>
        <v>0</v>
      </c>
      <c r="S4671">
        <f t="shared" si="290"/>
        <v>0</v>
      </c>
      <c r="T4671">
        <f t="shared" si="291"/>
        <v>0</v>
      </c>
      <c r="U4671" t="str">
        <f>YEAR('Campaign Data'!$A4671)&amp;"-"&amp;TEXT(MONTH('Campaign Data'!$A4671),"00")</f>
        <v>2026-09</v>
      </c>
    </row>
    <row r="4672" spans="1:21" x14ac:dyDescent="0.25">
      <c r="A4672">
        <v>46277</v>
      </c>
      <c r="B4672" t="s">
        <v>56</v>
      </c>
      <c r="C4672" t="s">
        <v>57</v>
      </c>
      <c r="D4672" t="s">
        <v>58</v>
      </c>
      <c r="E4672" t="s">
        <v>33</v>
      </c>
      <c r="F4672" t="s">
        <v>43</v>
      </c>
      <c r="G4672" t="s">
        <v>59</v>
      </c>
      <c r="H4672" t="s">
        <v>27</v>
      </c>
      <c r="I4672" t="s">
        <v>37</v>
      </c>
      <c r="J4672" t="s">
        <v>38</v>
      </c>
      <c r="K4672">
        <v>2201</v>
      </c>
      <c r="L4672">
        <v>14</v>
      </c>
      <c r="M4672">
        <v>8.93</v>
      </c>
      <c r="N4672">
        <v>0</v>
      </c>
      <c r="O4672">
        <v>0</v>
      </c>
      <c r="P4672">
        <f t="shared" si="288"/>
        <v>6.3607451158564287E-3</v>
      </c>
      <c r="Q4672">
        <f t="shared" si="288"/>
        <v>0.63785714285714279</v>
      </c>
      <c r="R4672">
        <f t="shared" si="289"/>
        <v>0</v>
      </c>
      <c r="S4672">
        <f t="shared" si="290"/>
        <v>0</v>
      </c>
      <c r="T4672">
        <f t="shared" si="291"/>
        <v>0</v>
      </c>
      <c r="U4672" t="str">
        <f>YEAR('Campaign Data'!$A4672)&amp;"-"&amp;TEXT(MONTH('Campaign Data'!$A4672),"00")</f>
        <v>2026-09</v>
      </c>
    </row>
    <row r="4673" spans="1:21" x14ac:dyDescent="0.25">
      <c r="A4673">
        <v>46277</v>
      </c>
      <c r="B4673" t="s">
        <v>116</v>
      </c>
      <c r="C4673" t="s">
        <v>117</v>
      </c>
      <c r="D4673" t="s">
        <v>48</v>
      </c>
      <c r="E4673" t="s">
        <v>24</v>
      </c>
      <c r="F4673" t="s">
        <v>43</v>
      </c>
      <c r="G4673" t="s">
        <v>26</v>
      </c>
      <c r="H4673" t="s">
        <v>36</v>
      </c>
      <c r="I4673" t="s">
        <v>37</v>
      </c>
      <c r="J4673" t="s">
        <v>29</v>
      </c>
      <c r="K4673">
        <v>3299</v>
      </c>
      <c r="L4673">
        <v>39</v>
      </c>
      <c r="M4673">
        <v>33.11</v>
      </c>
      <c r="N4673">
        <v>1</v>
      </c>
      <c r="O4673">
        <v>25.69</v>
      </c>
      <c r="P4673">
        <f t="shared" si="288"/>
        <v>1.1821764170960897E-2</v>
      </c>
      <c r="Q4673">
        <f t="shared" si="288"/>
        <v>0.84897435897435891</v>
      </c>
      <c r="R4673">
        <f t="shared" si="289"/>
        <v>33.11</v>
      </c>
      <c r="S4673">
        <f t="shared" si="290"/>
        <v>0.77589852008456661</v>
      </c>
      <c r="T4673">
        <f t="shared" si="291"/>
        <v>2.564102564102564E-2</v>
      </c>
      <c r="U4673" t="str">
        <f>YEAR('Campaign Data'!$A4673)&amp;"-"&amp;TEXT(MONTH('Campaign Data'!$A4673),"00")</f>
        <v>2026-09</v>
      </c>
    </row>
    <row r="4674" spans="1:21" x14ac:dyDescent="0.25">
      <c r="A4674">
        <v>46277</v>
      </c>
      <c r="B4674" t="s">
        <v>118</v>
      </c>
      <c r="C4674" t="s">
        <v>119</v>
      </c>
      <c r="D4674" t="s">
        <v>69</v>
      </c>
      <c r="E4674" t="s">
        <v>33</v>
      </c>
      <c r="F4674" t="s">
        <v>34</v>
      </c>
      <c r="G4674" t="s">
        <v>35</v>
      </c>
      <c r="H4674" t="s">
        <v>36</v>
      </c>
      <c r="I4674" t="s">
        <v>37</v>
      </c>
      <c r="J4674" t="s">
        <v>45</v>
      </c>
      <c r="K4674">
        <v>3669</v>
      </c>
      <c r="L4674">
        <v>27</v>
      </c>
      <c r="M4674">
        <v>18.57</v>
      </c>
      <c r="N4674">
        <v>0</v>
      </c>
      <c r="O4674">
        <v>0</v>
      </c>
      <c r="P4674">
        <f t="shared" ref="P4674:Q4737" si="292">IF(K4674=0,0,L4674/K4674)</f>
        <v>7.3589533932951756E-3</v>
      </c>
      <c r="Q4674">
        <f t="shared" si="292"/>
        <v>0.68777777777777782</v>
      </c>
      <c r="R4674">
        <f t="shared" ref="R4674:R4737" si="293">IF(N4674=0,0,M4674/N4674)</f>
        <v>0</v>
      </c>
      <c r="S4674">
        <f t="shared" ref="S4674:S4737" si="294">IF(M4674=0,0,O4674/M4674)</f>
        <v>0</v>
      </c>
      <c r="T4674">
        <f t="shared" ref="T4674:T4737" si="295">IF(L4674=0,0,N4674/L4674)</f>
        <v>0</v>
      </c>
      <c r="U4674" t="str">
        <f>YEAR('Campaign Data'!$A4674)&amp;"-"&amp;TEXT(MONTH('Campaign Data'!$A4674),"00")</f>
        <v>2026-09</v>
      </c>
    </row>
    <row r="4675" spans="1:21" x14ac:dyDescent="0.25">
      <c r="A4675">
        <v>46277</v>
      </c>
      <c r="B4675" t="s">
        <v>163</v>
      </c>
      <c r="C4675" t="s">
        <v>164</v>
      </c>
      <c r="D4675" t="s">
        <v>58</v>
      </c>
      <c r="E4675" t="s">
        <v>42</v>
      </c>
      <c r="F4675" t="s">
        <v>43</v>
      </c>
      <c r="G4675" t="s">
        <v>44</v>
      </c>
      <c r="H4675" t="s">
        <v>55</v>
      </c>
      <c r="I4675" t="s">
        <v>37</v>
      </c>
      <c r="J4675" t="s">
        <v>87</v>
      </c>
      <c r="K4675">
        <v>4533</v>
      </c>
      <c r="L4675">
        <v>28</v>
      </c>
      <c r="M4675">
        <v>166.91</v>
      </c>
      <c r="N4675">
        <v>2</v>
      </c>
      <c r="O4675">
        <v>39.869999999999997</v>
      </c>
      <c r="P4675">
        <f t="shared" si="292"/>
        <v>6.1769247738804323E-3</v>
      </c>
      <c r="Q4675">
        <f t="shared" si="292"/>
        <v>5.9610714285714286</v>
      </c>
      <c r="R4675">
        <f t="shared" si="293"/>
        <v>83.454999999999998</v>
      </c>
      <c r="S4675">
        <f t="shared" si="294"/>
        <v>0.23887124797795217</v>
      </c>
      <c r="T4675">
        <f t="shared" si="295"/>
        <v>7.1428571428571425E-2</v>
      </c>
      <c r="U4675" t="str">
        <f>YEAR('Campaign Data'!$A4675)&amp;"-"&amp;TEXT(MONTH('Campaign Data'!$A4675),"00")</f>
        <v>2026-09</v>
      </c>
    </row>
    <row r="4676" spans="1:21" x14ac:dyDescent="0.25">
      <c r="A4676">
        <v>46278</v>
      </c>
      <c r="B4676" t="s">
        <v>149</v>
      </c>
      <c r="C4676" t="s">
        <v>150</v>
      </c>
      <c r="D4676" t="s">
        <v>65</v>
      </c>
      <c r="E4676" t="s">
        <v>33</v>
      </c>
      <c r="F4676" t="s">
        <v>43</v>
      </c>
      <c r="G4676" t="s">
        <v>59</v>
      </c>
      <c r="H4676" t="s">
        <v>51</v>
      </c>
      <c r="I4676" t="s">
        <v>37</v>
      </c>
      <c r="J4676" t="s">
        <v>87</v>
      </c>
      <c r="K4676">
        <v>5859</v>
      </c>
      <c r="L4676">
        <v>60</v>
      </c>
      <c r="M4676">
        <v>32.4</v>
      </c>
      <c r="N4676">
        <v>2</v>
      </c>
      <c r="O4676">
        <v>54.75</v>
      </c>
      <c r="P4676">
        <f t="shared" si="292"/>
        <v>1.0240655401945725E-2</v>
      </c>
      <c r="Q4676">
        <f t="shared" si="292"/>
        <v>0.53999999999999992</v>
      </c>
      <c r="R4676">
        <f t="shared" si="293"/>
        <v>16.2</v>
      </c>
      <c r="S4676">
        <f t="shared" si="294"/>
        <v>1.6898148148148149</v>
      </c>
      <c r="T4676">
        <f t="shared" si="295"/>
        <v>3.3333333333333333E-2</v>
      </c>
      <c r="U4676" t="str">
        <f>YEAR('Campaign Data'!$A4676)&amp;"-"&amp;TEXT(MONTH('Campaign Data'!$A4676),"00")</f>
        <v>2026-09</v>
      </c>
    </row>
    <row r="4677" spans="1:21" x14ac:dyDescent="0.25">
      <c r="A4677">
        <v>46278</v>
      </c>
      <c r="B4677" t="s">
        <v>93</v>
      </c>
      <c r="C4677" t="s">
        <v>94</v>
      </c>
      <c r="D4677" t="s">
        <v>69</v>
      </c>
      <c r="E4677" t="s">
        <v>42</v>
      </c>
      <c r="F4677" t="s">
        <v>75</v>
      </c>
      <c r="G4677" t="s">
        <v>44</v>
      </c>
      <c r="H4677" t="s">
        <v>27</v>
      </c>
      <c r="I4677" t="s">
        <v>28</v>
      </c>
      <c r="J4677" t="s">
        <v>45</v>
      </c>
      <c r="K4677">
        <v>3261</v>
      </c>
      <c r="L4677">
        <v>21</v>
      </c>
      <c r="M4677">
        <v>105.18</v>
      </c>
      <c r="N4677">
        <v>1</v>
      </c>
      <c r="O4677">
        <v>27.48</v>
      </c>
      <c r="P4677">
        <f t="shared" si="292"/>
        <v>6.439742410303588E-3</v>
      </c>
      <c r="Q4677">
        <f t="shared" si="292"/>
        <v>5.0085714285714289</v>
      </c>
      <c r="R4677">
        <f t="shared" si="293"/>
        <v>105.18</v>
      </c>
      <c r="S4677">
        <f t="shared" si="294"/>
        <v>0.26126640045636051</v>
      </c>
      <c r="T4677">
        <f t="shared" si="295"/>
        <v>4.7619047619047616E-2</v>
      </c>
      <c r="U4677" t="str">
        <f>YEAR('Campaign Data'!$A4677)&amp;"-"&amp;TEXT(MONTH('Campaign Data'!$A4677),"00")</f>
        <v>2026-09</v>
      </c>
    </row>
    <row r="4678" spans="1:21" x14ac:dyDescent="0.25">
      <c r="A4678">
        <v>46278</v>
      </c>
      <c r="B4678" t="s">
        <v>98</v>
      </c>
      <c r="C4678" t="s">
        <v>99</v>
      </c>
      <c r="D4678" t="s">
        <v>69</v>
      </c>
      <c r="E4678" t="s">
        <v>24</v>
      </c>
      <c r="F4678" t="s">
        <v>75</v>
      </c>
      <c r="G4678" t="s">
        <v>66</v>
      </c>
      <c r="H4678" t="s">
        <v>90</v>
      </c>
      <c r="I4678" t="s">
        <v>37</v>
      </c>
      <c r="J4678" t="s">
        <v>45</v>
      </c>
      <c r="K4678">
        <v>5047</v>
      </c>
      <c r="L4678">
        <v>81</v>
      </c>
      <c r="M4678">
        <v>16.260000000000002</v>
      </c>
      <c r="N4678">
        <v>3</v>
      </c>
      <c r="O4678">
        <v>31.71</v>
      </c>
      <c r="P4678">
        <f t="shared" si="292"/>
        <v>1.6049138101842678E-2</v>
      </c>
      <c r="Q4678">
        <f t="shared" si="292"/>
        <v>0.20074074074074075</v>
      </c>
      <c r="R4678">
        <f t="shared" si="293"/>
        <v>5.4200000000000008</v>
      </c>
      <c r="S4678">
        <f t="shared" si="294"/>
        <v>1.9501845018450183</v>
      </c>
      <c r="T4678">
        <f t="shared" si="295"/>
        <v>3.7037037037037035E-2</v>
      </c>
      <c r="U4678" t="str">
        <f>YEAR('Campaign Data'!$A4678)&amp;"-"&amp;TEXT(MONTH('Campaign Data'!$A4678),"00")</f>
        <v>2026-09</v>
      </c>
    </row>
    <row r="4679" spans="1:21" x14ac:dyDescent="0.25">
      <c r="A4679">
        <v>46278</v>
      </c>
      <c r="B4679" t="s">
        <v>52</v>
      </c>
      <c r="C4679" t="s">
        <v>53</v>
      </c>
      <c r="D4679" t="s">
        <v>32</v>
      </c>
      <c r="E4679" t="s">
        <v>42</v>
      </c>
      <c r="F4679" t="s">
        <v>25</v>
      </c>
      <c r="G4679" t="s">
        <v>54</v>
      </c>
      <c r="H4679" t="s">
        <v>55</v>
      </c>
      <c r="I4679" t="s">
        <v>37</v>
      </c>
      <c r="J4679" t="s">
        <v>62</v>
      </c>
      <c r="K4679">
        <v>3486</v>
      </c>
      <c r="L4679">
        <v>33</v>
      </c>
      <c r="M4679">
        <v>142.57</v>
      </c>
      <c r="N4679">
        <v>0</v>
      </c>
      <c r="O4679">
        <v>0</v>
      </c>
      <c r="P4679">
        <f t="shared" si="292"/>
        <v>9.4664371772805508E-3</v>
      </c>
      <c r="Q4679">
        <f t="shared" si="292"/>
        <v>4.3203030303030303</v>
      </c>
      <c r="R4679">
        <f t="shared" si="293"/>
        <v>0</v>
      </c>
      <c r="S4679">
        <f t="shared" si="294"/>
        <v>0</v>
      </c>
      <c r="T4679">
        <f t="shared" si="295"/>
        <v>0</v>
      </c>
      <c r="U4679" t="str">
        <f>YEAR('Campaign Data'!$A4679)&amp;"-"&amp;TEXT(MONTH('Campaign Data'!$A4679),"00")</f>
        <v>2026-09</v>
      </c>
    </row>
    <row r="4680" spans="1:21" x14ac:dyDescent="0.25">
      <c r="A4680">
        <v>46278</v>
      </c>
      <c r="B4680" t="s">
        <v>52</v>
      </c>
      <c r="C4680" t="s">
        <v>53</v>
      </c>
      <c r="D4680" t="s">
        <v>32</v>
      </c>
      <c r="E4680" t="s">
        <v>42</v>
      </c>
      <c r="F4680" t="s">
        <v>25</v>
      </c>
      <c r="G4680" t="s">
        <v>54</v>
      </c>
      <c r="H4680" t="s">
        <v>55</v>
      </c>
      <c r="I4680" t="s">
        <v>37</v>
      </c>
      <c r="J4680" t="s">
        <v>45</v>
      </c>
      <c r="K4680">
        <v>3275</v>
      </c>
      <c r="L4680">
        <v>12</v>
      </c>
      <c r="M4680">
        <v>51.57</v>
      </c>
      <c r="N4680">
        <v>0</v>
      </c>
      <c r="O4680">
        <v>0</v>
      </c>
      <c r="P4680">
        <f t="shared" si="292"/>
        <v>3.66412213740458E-3</v>
      </c>
      <c r="Q4680">
        <f t="shared" si="292"/>
        <v>4.2975000000000003</v>
      </c>
      <c r="R4680">
        <f t="shared" si="293"/>
        <v>0</v>
      </c>
      <c r="S4680">
        <f t="shared" si="294"/>
        <v>0</v>
      </c>
      <c r="T4680">
        <f t="shared" si="295"/>
        <v>0</v>
      </c>
      <c r="U4680" t="str">
        <f>YEAR('Campaign Data'!$A4680)&amp;"-"&amp;TEXT(MONTH('Campaign Data'!$A4680),"00")</f>
        <v>2026-09</v>
      </c>
    </row>
    <row r="4681" spans="1:21" x14ac:dyDescent="0.25">
      <c r="A4681">
        <v>46278</v>
      </c>
      <c r="B4681" t="s">
        <v>100</v>
      </c>
      <c r="C4681" t="s">
        <v>101</v>
      </c>
      <c r="D4681" t="s">
        <v>80</v>
      </c>
      <c r="E4681" t="s">
        <v>33</v>
      </c>
      <c r="F4681" t="s">
        <v>25</v>
      </c>
      <c r="G4681" t="s">
        <v>102</v>
      </c>
      <c r="H4681" t="s">
        <v>60</v>
      </c>
      <c r="I4681" t="s">
        <v>28</v>
      </c>
      <c r="J4681" t="s">
        <v>87</v>
      </c>
      <c r="K4681">
        <v>4112</v>
      </c>
      <c r="L4681">
        <v>29</v>
      </c>
      <c r="M4681">
        <v>18.34</v>
      </c>
      <c r="N4681">
        <v>0</v>
      </c>
      <c r="O4681">
        <v>0</v>
      </c>
      <c r="P4681">
        <f t="shared" si="292"/>
        <v>7.0525291828793775E-3</v>
      </c>
      <c r="Q4681">
        <f t="shared" si="292"/>
        <v>0.63241379310344825</v>
      </c>
      <c r="R4681">
        <f t="shared" si="293"/>
        <v>0</v>
      </c>
      <c r="S4681">
        <f t="shared" si="294"/>
        <v>0</v>
      </c>
      <c r="T4681">
        <f t="shared" si="295"/>
        <v>0</v>
      </c>
      <c r="U4681" t="str">
        <f>YEAR('Campaign Data'!$A4681)&amp;"-"&amp;TEXT(MONTH('Campaign Data'!$A4681),"00")</f>
        <v>2026-09</v>
      </c>
    </row>
    <row r="4682" spans="1:21" x14ac:dyDescent="0.25">
      <c r="A4682">
        <v>46278</v>
      </c>
      <c r="B4682" t="s">
        <v>100</v>
      </c>
      <c r="C4682" t="s">
        <v>101</v>
      </c>
      <c r="D4682" t="s">
        <v>80</v>
      </c>
      <c r="E4682" t="s">
        <v>33</v>
      </c>
      <c r="F4682" t="s">
        <v>25</v>
      </c>
      <c r="G4682" t="s">
        <v>102</v>
      </c>
      <c r="H4682" t="s">
        <v>27</v>
      </c>
      <c r="I4682" t="s">
        <v>37</v>
      </c>
      <c r="J4682" t="s">
        <v>87</v>
      </c>
      <c r="K4682">
        <v>3313</v>
      </c>
      <c r="L4682">
        <v>28</v>
      </c>
      <c r="M4682">
        <v>20.78</v>
      </c>
      <c r="N4682">
        <v>0</v>
      </c>
      <c r="O4682">
        <v>0</v>
      </c>
      <c r="P4682">
        <f t="shared" si="292"/>
        <v>8.4515544823422876E-3</v>
      </c>
      <c r="Q4682">
        <f t="shared" si="292"/>
        <v>0.74214285714285722</v>
      </c>
      <c r="R4682">
        <f t="shared" si="293"/>
        <v>0</v>
      </c>
      <c r="S4682">
        <f t="shared" si="294"/>
        <v>0</v>
      </c>
      <c r="T4682">
        <f t="shared" si="295"/>
        <v>0</v>
      </c>
      <c r="U4682" t="str">
        <f>YEAR('Campaign Data'!$A4682)&amp;"-"&amp;TEXT(MONTH('Campaign Data'!$A4682),"00")</f>
        <v>2026-09</v>
      </c>
    </row>
    <row r="4683" spans="1:21" x14ac:dyDescent="0.25">
      <c r="A4683">
        <v>46278</v>
      </c>
      <c r="B4683" t="s">
        <v>169</v>
      </c>
      <c r="C4683" t="s">
        <v>170</v>
      </c>
      <c r="D4683" t="s">
        <v>58</v>
      </c>
      <c r="E4683" t="s">
        <v>74</v>
      </c>
      <c r="F4683" t="s">
        <v>75</v>
      </c>
      <c r="G4683" t="s">
        <v>9</v>
      </c>
      <c r="H4683" t="s">
        <v>55</v>
      </c>
      <c r="I4683" t="s">
        <v>37</v>
      </c>
      <c r="J4683" t="s">
        <v>38</v>
      </c>
      <c r="K4683">
        <v>8159</v>
      </c>
      <c r="L4683">
        <v>246</v>
      </c>
      <c r="M4683">
        <v>378.89</v>
      </c>
      <c r="N4683">
        <v>7</v>
      </c>
      <c r="O4683">
        <v>260.39</v>
      </c>
      <c r="P4683">
        <f t="shared" si="292"/>
        <v>3.015075376884422E-2</v>
      </c>
      <c r="Q4683">
        <f t="shared" si="292"/>
        <v>1.5402032520325202</v>
      </c>
      <c r="R4683">
        <f t="shared" si="293"/>
        <v>54.127142857142857</v>
      </c>
      <c r="S4683">
        <f t="shared" si="294"/>
        <v>0.68724431893161597</v>
      </c>
      <c r="T4683">
        <f t="shared" si="295"/>
        <v>2.8455284552845527E-2</v>
      </c>
      <c r="U4683" t="str">
        <f>YEAR('Campaign Data'!$A4683)&amp;"-"&amp;TEXT(MONTH('Campaign Data'!$A4683),"00")</f>
        <v>2026-09</v>
      </c>
    </row>
    <row r="4684" spans="1:21" x14ac:dyDescent="0.25">
      <c r="A4684">
        <v>46278</v>
      </c>
      <c r="B4684" t="s">
        <v>127</v>
      </c>
      <c r="C4684" t="s">
        <v>128</v>
      </c>
      <c r="D4684" t="s">
        <v>58</v>
      </c>
      <c r="E4684" t="s">
        <v>24</v>
      </c>
      <c r="F4684" t="s">
        <v>81</v>
      </c>
      <c r="G4684" t="s">
        <v>129</v>
      </c>
      <c r="H4684" t="s">
        <v>27</v>
      </c>
      <c r="I4684" t="s">
        <v>28</v>
      </c>
      <c r="J4684" t="s">
        <v>29</v>
      </c>
      <c r="K4684">
        <v>1612</v>
      </c>
      <c r="L4684">
        <v>29</v>
      </c>
      <c r="M4684">
        <v>30.42</v>
      </c>
      <c r="N4684">
        <v>1</v>
      </c>
      <c r="O4684">
        <v>28.73</v>
      </c>
      <c r="P4684">
        <f t="shared" si="292"/>
        <v>1.7990074441687345E-2</v>
      </c>
      <c r="Q4684">
        <f t="shared" si="292"/>
        <v>1.0489655172413794</v>
      </c>
      <c r="R4684">
        <f t="shared" si="293"/>
        <v>30.42</v>
      </c>
      <c r="S4684">
        <f t="shared" si="294"/>
        <v>0.94444444444444442</v>
      </c>
      <c r="T4684">
        <f t="shared" si="295"/>
        <v>3.4482758620689655E-2</v>
      </c>
      <c r="U4684" t="str">
        <f>YEAR('Campaign Data'!$A4684)&amp;"-"&amp;TEXT(MONTH('Campaign Data'!$A4684),"00")</f>
        <v>2026-09</v>
      </c>
    </row>
    <row r="4685" spans="1:21" x14ac:dyDescent="0.25">
      <c r="A4685">
        <v>46278</v>
      </c>
      <c r="B4685" t="s">
        <v>130</v>
      </c>
      <c r="C4685" t="s">
        <v>131</v>
      </c>
      <c r="D4685" t="s">
        <v>48</v>
      </c>
      <c r="E4685" t="s">
        <v>33</v>
      </c>
      <c r="F4685" t="s">
        <v>34</v>
      </c>
      <c r="G4685" t="s">
        <v>35</v>
      </c>
      <c r="H4685" t="s">
        <v>36</v>
      </c>
      <c r="I4685" t="s">
        <v>37</v>
      </c>
      <c r="J4685" t="s">
        <v>87</v>
      </c>
      <c r="K4685">
        <v>9349</v>
      </c>
      <c r="L4685">
        <v>130</v>
      </c>
      <c r="M4685">
        <v>78.39</v>
      </c>
      <c r="N4685">
        <v>2</v>
      </c>
      <c r="O4685">
        <v>258.33</v>
      </c>
      <c r="P4685">
        <f t="shared" si="292"/>
        <v>1.3905230505936464E-2</v>
      </c>
      <c r="Q4685">
        <f t="shared" si="292"/>
        <v>0.60299999999999998</v>
      </c>
      <c r="R4685">
        <f t="shared" si="293"/>
        <v>39.195</v>
      </c>
      <c r="S4685">
        <f t="shared" si="294"/>
        <v>3.2954458476846535</v>
      </c>
      <c r="T4685">
        <f t="shared" si="295"/>
        <v>1.5384615384615385E-2</v>
      </c>
      <c r="U4685" t="str">
        <f>YEAR('Campaign Data'!$A4685)&amp;"-"&amp;TEXT(MONTH('Campaign Data'!$A4685),"00")</f>
        <v>2026-09</v>
      </c>
    </row>
    <row r="4686" spans="1:21" x14ac:dyDescent="0.25">
      <c r="A4686">
        <v>46278</v>
      </c>
      <c r="B4686" t="s">
        <v>132</v>
      </c>
      <c r="C4686" t="s">
        <v>133</v>
      </c>
      <c r="D4686" t="s">
        <v>23</v>
      </c>
      <c r="E4686" t="s">
        <v>42</v>
      </c>
      <c r="F4686" t="s">
        <v>75</v>
      </c>
      <c r="G4686" t="s">
        <v>84</v>
      </c>
      <c r="H4686" t="s">
        <v>90</v>
      </c>
      <c r="I4686" t="s">
        <v>28</v>
      </c>
      <c r="J4686" t="s">
        <v>29</v>
      </c>
      <c r="K4686">
        <v>1434</v>
      </c>
      <c r="L4686">
        <v>13</v>
      </c>
      <c r="M4686">
        <v>19.32</v>
      </c>
      <c r="N4686">
        <v>0</v>
      </c>
      <c r="O4686">
        <v>0</v>
      </c>
      <c r="P4686">
        <f t="shared" si="292"/>
        <v>9.06555090655509E-3</v>
      </c>
      <c r="Q4686">
        <f t="shared" si="292"/>
        <v>1.4861538461538462</v>
      </c>
      <c r="R4686">
        <f t="shared" si="293"/>
        <v>0</v>
      </c>
      <c r="S4686">
        <f t="shared" si="294"/>
        <v>0</v>
      </c>
      <c r="T4686">
        <f t="shared" si="295"/>
        <v>0</v>
      </c>
      <c r="U4686" t="str">
        <f>YEAR('Campaign Data'!$A4686)&amp;"-"&amp;TEXT(MONTH('Campaign Data'!$A4686),"00")</f>
        <v>2026-09</v>
      </c>
    </row>
    <row r="4687" spans="1:21" x14ac:dyDescent="0.25">
      <c r="A4687">
        <v>46278</v>
      </c>
      <c r="B4687" t="s">
        <v>141</v>
      </c>
      <c r="C4687" t="s">
        <v>142</v>
      </c>
      <c r="D4687" t="s">
        <v>80</v>
      </c>
      <c r="E4687" t="s">
        <v>49</v>
      </c>
      <c r="F4687" t="s">
        <v>81</v>
      </c>
      <c r="G4687" t="s">
        <v>97</v>
      </c>
      <c r="H4687" t="s">
        <v>27</v>
      </c>
      <c r="I4687" t="s">
        <v>28</v>
      </c>
      <c r="J4687" t="s">
        <v>62</v>
      </c>
      <c r="K4687">
        <v>4184</v>
      </c>
      <c r="L4687">
        <v>257</v>
      </c>
      <c r="M4687">
        <v>633.21</v>
      </c>
      <c r="N4687">
        <v>19</v>
      </c>
      <c r="O4687">
        <v>461.65</v>
      </c>
      <c r="P4687">
        <f t="shared" si="292"/>
        <v>6.14244741873805E-2</v>
      </c>
      <c r="Q4687">
        <f t="shared" si="292"/>
        <v>2.4638521400778211</v>
      </c>
      <c r="R4687">
        <f t="shared" si="293"/>
        <v>33.326842105263161</v>
      </c>
      <c r="S4687">
        <f t="shared" si="294"/>
        <v>0.72906302806335965</v>
      </c>
      <c r="T4687">
        <f t="shared" si="295"/>
        <v>7.3929961089494164E-2</v>
      </c>
      <c r="U4687" t="str">
        <f>YEAR('Campaign Data'!$A4687)&amp;"-"&amp;TEXT(MONTH('Campaign Data'!$A4687),"00")</f>
        <v>2026-09</v>
      </c>
    </row>
    <row r="4688" spans="1:21" x14ac:dyDescent="0.25">
      <c r="A4688">
        <v>46278</v>
      </c>
      <c r="B4688" t="s">
        <v>143</v>
      </c>
      <c r="C4688" t="s">
        <v>144</v>
      </c>
      <c r="D4688" t="s">
        <v>48</v>
      </c>
      <c r="E4688" t="s">
        <v>42</v>
      </c>
      <c r="F4688" t="s">
        <v>25</v>
      </c>
      <c r="G4688" t="s">
        <v>84</v>
      </c>
      <c r="H4688" t="s">
        <v>36</v>
      </c>
      <c r="I4688" t="s">
        <v>37</v>
      </c>
      <c r="J4688" t="s">
        <v>62</v>
      </c>
      <c r="K4688">
        <v>1520</v>
      </c>
      <c r="L4688">
        <v>13</v>
      </c>
      <c r="M4688">
        <v>62.66</v>
      </c>
      <c r="N4688">
        <v>1</v>
      </c>
      <c r="O4688">
        <v>191.49</v>
      </c>
      <c r="P4688">
        <f t="shared" si="292"/>
        <v>8.552631578947369E-3</v>
      </c>
      <c r="Q4688">
        <f t="shared" si="292"/>
        <v>4.8199999999999994</v>
      </c>
      <c r="R4688">
        <f t="shared" si="293"/>
        <v>62.66</v>
      </c>
      <c r="S4688">
        <f t="shared" si="294"/>
        <v>3.0560165975103737</v>
      </c>
      <c r="T4688">
        <f t="shared" si="295"/>
        <v>7.6923076923076927E-2</v>
      </c>
      <c r="U4688" t="str">
        <f>YEAR('Campaign Data'!$A4688)&amp;"-"&amp;TEXT(MONTH('Campaign Data'!$A4688),"00")</f>
        <v>2026-09</v>
      </c>
    </row>
    <row r="4689" spans="1:21" x14ac:dyDescent="0.25">
      <c r="A4689">
        <v>46278</v>
      </c>
      <c r="B4689" t="s">
        <v>143</v>
      </c>
      <c r="C4689" t="s">
        <v>144</v>
      </c>
      <c r="D4689" t="s">
        <v>48</v>
      </c>
      <c r="E4689" t="s">
        <v>42</v>
      </c>
      <c r="F4689" t="s">
        <v>25</v>
      </c>
      <c r="G4689" t="s">
        <v>84</v>
      </c>
      <c r="H4689" t="s">
        <v>60</v>
      </c>
      <c r="I4689" t="s">
        <v>37</v>
      </c>
      <c r="J4689" t="s">
        <v>29</v>
      </c>
      <c r="K4689">
        <v>4625</v>
      </c>
      <c r="L4689">
        <v>20</v>
      </c>
      <c r="M4689">
        <v>124.93</v>
      </c>
      <c r="N4689">
        <v>2</v>
      </c>
      <c r="O4689">
        <v>434.53</v>
      </c>
      <c r="P4689">
        <f t="shared" si="292"/>
        <v>4.3243243243243244E-3</v>
      </c>
      <c r="Q4689">
        <f t="shared" si="292"/>
        <v>6.2465000000000002</v>
      </c>
      <c r="R4689">
        <f t="shared" si="293"/>
        <v>62.465000000000003</v>
      </c>
      <c r="S4689">
        <f t="shared" si="294"/>
        <v>3.478187785159689</v>
      </c>
      <c r="T4689">
        <f t="shared" si="295"/>
        <v>0.1</v>
      </c>
      <c r="U4689" t="str">
        <f>YEAR('Campaign Data'!$A4689)&amp;"-"&amp;TEXT(MONTH('Campaign Data'!$A4689),"00")</f>
        <v>2026-09</v>
      </c>
    </row>
    <row r="4690" spans="1:21" x14ac:dyDescent="0.25">
      <c r="A4690">
        <v>46278</v>
      </c>
      <c r="B4690" t="s">
        <v>183</v>
      </c>
      <c r="C4690" t="s">
        <v>184</v>
      </c>
      <c r="D4690" t="s">
        <v>23</v>
      </c>
      <c r="E4690" t="s">
        <v>24</v>
      </c>
      <c r="F4690" t="s">
        <v>81</v>
      </c>
      <c r="G4690" t="s">
        <v>185</v>
      </c>
      <c r="H4690" t="s">
        <v>71</v>
      </c>
      <c r="I4690" t="s">
        <v>37</v>
      </c>
      <c r="J4690" t="s">
        <v>29</v>
      </c>
      <c r="K4690">
        <v>2779</v>
      </c>
      <c r="L4690">
        <v>17</v>
      </c>
      <c r="M4690">
        <v>13.08</v>
      </c>
      <c r="N4690">
        <v>0</v>
      </c>
      <c r="O4690">
        <v>0</v>
      </c>
      <c r="P4690">
        <f t="shared" si="292"/>
        <v>6.1173083843109035E-3</v>
      </c>
      <c r="Q4690">
        <f t="shared" si="292"/>
        <v>0.76941176470588235</v>
      </c>
      <c r="R4690">
        <f t="shared" si="293"/>
        <v>0</v>
      </c>
      <c r="S4690">
        <f t="shared" si="294"/>
        <v>0</v>
      </c>
      <c r="T4690">
        <f t="shared" si="295"/>
        <v>0</v>
      </c>
      <c r="U4690" t="str">
        <f>YEAR('Campaign Data'!$A4690)&amp;"-"&amp;TEXT(MONTH('Campaign Data'!$A4690),"00")</f>
        <v>2026-09</v>
      </c>
    </row>
    <row r="4691" spans="1:21" x14ac:dyDescent="0.25">
      <c r="A4691">
        <v>46278</v>
      </c>
      <c r="B4691" t="s">
        <v>183</v>
      </c>
      <c r="C4691" t="s">
        <v>184</v>
      </c>
      <c r="D4691" t="s">
        <v>23</v>
      </c>
      <c r="E4691" t="s">
        <v>24</v>
      </c>
      <c r="F4691" t="s">
        <v>81</v>
      </c>
      <c r="G4691" t="s">
        <v>185</v>
      </c>
      <c r="H4691" t="s">
        <v>90</v>
      </c>
      <c r="I4691" t="s">
        <v>28</v>
      </c>
      <c r="J4691" t="s">
        <v>87</v>
      </c>
      <c r="K4691">
        <v>8243</v>
      </c>
      <c r="L4691">
        <v>97</v>
      </c>
      <c r="M4691">
        <v>26.5</v>
      </c>
      <c r="N4691">
        <v>4</v>
      </c>
      <c r="O4691">
        <v>26.32</v>
      </c>
      <c r="P4691">
        <f t="shared" si="292"/>
        <v>1.1767560354239962E-2</v>
      </c>
      <c r="Q4691">
        <f t="shared" si="292"/>
        <v>0.27319587628865977</v>
      </c>
      <c r="R4691">
        <f t="shared" si="293"/>
        <v>6.625</v>
      </c>
      <c r="S4691">
        <f t="shared" si="294"/>
        <v>0.9932075471698113</v>
      </c>
      <c r="T4691">
        <f t="shared" si="295"/>
        <v>4.1237113402061855E-2</v>
      </c>
      <c r="U4691" t="str">
        <f>YEAR('Campaign Data'!$A4691)&amp;"-"&amp;TEXT(MONTH('Campaign Data'!$A4691),"00")</f>
        <v>2026-09</v>
      </c>
    </row>
    <row r="4692" spans="1:21" x14ac:dyDescent="0.25">
      <c r="A4692">
        <v>46278</v>
      </c>
      <c r="B4692" t="s">
        <v>122</v>
      </c>
      <c r="C4692" t="s">
        <v>123</v>
      </c>
      <c r="D4692" t="s">
        <v>41</v>
      </c>
      <c r="E4692" t="s">
        <v>33</v>
      </c>
      <c r="F4692" t="s">
        <v>75</v>
      </c>
      <c r="G4692" t="s">
        <v>35</v>
      </c>
      <c r="H4692" t="s">
        <v>71</v>
      </c>
      <c r="I4692" t="s">
        <v>37</v>
      </c>
      <c r="J4692" t="s">
        <v>38</v>
      </c>
      <c r="K4692">
        <v>5536</v>
      </c>
      <c r="L4692">
        <v>47</v>
      </c>
      <c r="M4692">
        <v>28.47</v>
      </c>
      <c r="N4692">
        <v>0</v>
      </c>
      <c r="O4692">
        <v>0</v>
      </c>
      <c r="P4692">
        <f t="shared" si="292"/>
        <v>8.489884393063583E-3</v>
      </c>
      <c r="Q4692">
        <f t="shared" si="292"/>
        <v>0.60574468085106381</v>
      </c>
      <c r="R4692">
        <f t="shared" si="293"/>
        <v>0</v>
      </c>
      <c r="S4692">
        <f t="shared" si="294"/>
        <v>0</v>
      </c>
      <c r="T4692">
        <f t="shared" si="295"/>
        <v>0</v>
      </c>
      <c r="U4692" t="str">
        <f>YEAR('Campaign Data'!$A4692)&amp;"-"&amp;TEXT(MONTH('Campaign Data'!$A4692),"00")</f>
        <v>2026-09</v>
      </c>
    </row>
    <row r="4693" spans="1:21" x14ac:dyDescent="0.25">
      <c r="A4693">
        <v>46279</v>
      </c>
      <c r="B4693" t="s">
        <v>165</v>
      </c>
      <c r="C4693" t="s">
        <v>166</v>
      </c>
      <c r="D4693" t="s">
        <v>41</v>
      </c>
      <c r="E4693" t="s">
        <v>33</v>
      </c>
      <c r="F4693" t="s">
        <v>43</v>
      </c>
      <c r="G4693" t="s">
        <v>59</v>
      </c>
      <c r="H4693" t="s">
        <v>51</v>
      </c>
      <c r="I4693" t="s">
        <v>28</v>
      </c>
      <c r="J4693" t="s">
        <v>38</v>
      </c>
      <c r="K4693">
        <v>8818</v>
      </c>
      <c r="L4693">
        <v>85</v>
      </c>
      <c r="M4693">
        <v>57.48</v>
      </c>
      <c r="N4693">
        <v>2</v>
      </c>
      <c r="O4693">
        <v>43.22</v>
      </c>
      <c r="P4693">
        <f t="shared" si="292"/>
        <v>9.639374007711499E-3</v>
      </c>
      <c r="Q4693">
        <f t="shared" si="292"/>
        <v>0.67623529411764705</v>
      </c>
      <c r="R4693">
        <f t="shared" si="293"/>
        <v>28.74</v>
      </c>
      <c r="S4693">
        <f t="shared" si="294"/>
        <v>0.75191370911621436</v>
      </c>
      <c r="T4693">
        <f t="shared" si="295"/>
        <v>2.3529411764705882E-2</v>
      </c>
      <c r="U4693" t="str">
        <f>YEAR('Campaign Data'!$A4693)&amp;"-"&amp;TEXT(MONTH('Campaign Data'!$A4693),"00")</f>
        <v>2026-09</v>
      </c>
    </row>
    <row r="4694" spans="1:21" x14ac:dyDescent="0.25">
      <c r="A4694">
        <v>46279</v>
      </c>
      <c r="B4694" t="s">
        <v>173</v>
      </c>
      <c r="C4694" t="s">
        <v>174</v>
      </c>
      <c r="D4694" t="s">
        <v>48</v>
      </c>
      <c r="E4694" t="s">
        <v>74</v>
      </c>
      <c r="F4694" t="s">
        <v>25</v>
      </c>
      <c r="G4694" t="s">
        <v>9</v>
      </c>
      <c r="H4694" t="s">
        <v>27</v>
      </c>
      <c r="I4694" t="s">
        <v>28</v>
      </c>
      <c r="J4694" t="s">
        <v>87</v>
      </c>
      <c r="K4694">
        <v>17435</v>
      </c>
      <c r="L4694">
        <v>620</v>
      </c>
      <c r="M4694">
        <v>1035.7</v>
      </c>
      <c r="N4694">
        <v>27</v>
      </c>
      <c r="O4694">
        <v>6502.23</v>
      </c>
      <c r="P4694">
        <f t="shared" si="292"/>
        <v>3.5560653857183828E-2</v>
      </c>
      <c r="Q4694">
        <f t="shared" si="292"/>
        <v>1.6704838709677421</v>
      </c>
      <c r="R4694">
        <f t="shared" si="293"/>
        <v>38.359259259259261</v>
      </c>
      <c r="S4694">
        <f t="shared" si="294"/>
        <v>6.2781017669209227</v>
      </c>
      <c r="T4694">
        <f t="shared" si="295"/>
        <v>4.3548387096774194E-2</v>
      </c>
      <c r="U4694" t="str">
        <f>YEAR('Campaign Data'!$A4694)&amp;"-"&amp;TEXT(MONTH('Campaign Data'!$A4694),"00")</f>
        <v>2026-09</v>
      </c>
    </row>
    <row r="4695" spans="1:21" x14ac:dyDescent="0.25">
      <c r="A4695">
        <v>46279</v>
      </c>
      <c r="B4695" t="s">
        <v>167</v>
      </c>
      <c r="C4695" t="s">
        <v>168</v>
      </c>
      <c r="D4695" t="s">
        <v>58</v>
      </c>
      <c r="E4695" t="s">
        <v>33</v>
      </c>
      <c r="F4695" t="s">
        <v>75</v>
      </c>
      <c r="G4695" t="s">
        <v>35</v>
      </c>
      <c r="H4695" t="s">
        <v>36</v>
      </c>
      <c r="I4695" t="s">
        <v>37</v>
      </c>
      <c r="J4695" t="s">
        <v>62</v>
      </c>
      <c r="K4695">
        <v>1582</v>
      </c>
      <c r="L4695">
        <v>15</v>
      </c>
      <c r="M4695">
        <v>8.33</v>
      </c>
      <c r="N4695">
        <v>0</v>
      </c>
      <c r="O4695">
        <v>0</v>
      </c>
      <c r="P4695">
        <f t="shared" si="292"/>
        <v>9.4816687737041723E-3</v>
      </c>
      <c r="Q4695">
        <f t="shared" si="292"/>
        <v>0.55533333333333335</v>
      </c>
      <c r="R4695">
        <f t="shared" si="293"/>
        <v>0</v>
      </c>
      <c r="S4695">
        <f t="shared" si="294"/>
        <v>0</v>
      </c>
      <c r="T4695">
        <f t="shared" si="295"/>
        <v>0</v>
      </c>
      <c r="U4695" t="str">
        <f>YEAR('Campaign Data'!$A4695)&amp;"-"&amp;TEXT(MONTH('Campaign Data'!$A4695),"00")</f>
        <v>2026-09</v>
      </c>
    </row>
    <row r="4696" spans="1:21" x14ac:dyDescent="0.25">
      <c r="A4696">
        <v>46279</v>
      </c>
      <c r="B4696" t="s">
        <v>91</v>
      </c>
      <c r="C4696" t="s">
        <v>92</v>
      </c>
      <c r="D4696" t="s">
        <v>41</v>
      </c>
      <c r="E4696" t="s">
        <v>74</v>
      </c>
      <c r="F4696" t="s">
        <v>75</v>
      </c>
      <c r="G4696" t="s">
        <v>9</v>
      </c>
      <c r="H4696" t="s">
        <v>27</v>
      </c>
      <c r="I4696" t="s">
        <v>28</v>
      </c>
      <c r="J4696" t="s">
        <v>87</v>
      </c>
      <c r="K4696">
        <v>19276</v>
      </c>
      <c r="L4696">
        <v>775</v>
      </c>
      <c r="M4696">
        <v>1760.88</v>
      </c>
      <c r="N4696">
        <v>33</v>
      </c>
      <c r="O4696">
        <v>1501.4</v>
      </c>
      <c r="P4696">
        <f t="shared" si="292"/>
        <v>4.0205436812616728E-2</v>
      </c>
      <c r="Q4696">
        <f t="shared" si="292"/>
        <v>2.2721032258064517</v>
      </c>
      <c r="R4696">
        <f t="shared" si="293"/>
        <v>53.360000000000007</v>
      </c>
      <c r="S4696">
        <f t="shared" si="294"/>
        <v>0.85264186088773797</v>
      </c>
      <c r="T4696">
        <f t="shared" si="295"/>
        <v>4.2580645161290322E-2</v>
      </c>
      <c r="U4696" t="str">
        <f>YEAR('Campaign Data'!$A4696)&amp;"-"&amp;TEXT(MONTH('Campaign Data'!$A4696),"00")</f>
        <v>2026-09</v>
      </c>
    </row>
    <row r="4697" spans="1:21" x14ac:dyDescent="0.25">
      <c r="A4697">
        <v>46279</v>
      </c>
      <c r="B4697" t="s">
        <v>91</v>
      </c>
      <c r="C4697" t="s">
        <v>92</v>
      </c>
      <c r="D4697" t="s">
        <v>41</v>
      </c>
      <c r="E4697" t="s">
        <v>74</v>
      </c>
      <c r="F4697" t="s">
        <v>75</v>
      </c>
      <c r="G4697" t="s">
        <v>9</v>
      </c>
      <c r="H4697" t="s">
        <v>90</v>
      </c>
      <c r="I4697" t="s">
        <v>28</v>
      </c>
      <c r="J4697" t="s">
        <v>38</v>
      </c>
      <c r="K4697">
        <v>4431</v>
      </c>
      <c r="L4697">
        <v>120</v>
      </c>
      <c r="M4697">
        <v>29.8</v>
      </c>
      <c r="N4697">
        <v>6</v>
      </c>
      <c r="O4697">
        <v>69.34</v>
      </c>
      <c r="P4697">
        <f t="shared" si="292"/>
        <v>2.7081922816519974E-2</v>
      </c>
      <c r="Q4697">
        <f t="shared" si="292"/>
        <v>0.24833333333333335</v>
      </c>
      <c r="R4697">
        <f t="shared" si="293"/>
        <v>4.9666666666666668</v>
      </c>
      <c r="S4697">
        <f t="shared" si="294"/>
        <v>2.3268456375838928</v>
      </c>
      <c r="T4697">
        <f t="shared" si="295"/>
        <v>0.05</v>
      </c>
      <c r="U4697" t="str">
        <f>YEAR('Campaign Data'!$A4697)&amp;"-"&amp;TEXT(MONTH('Campaign Data'!$A4697),"00")</f>
        <v>2026-09</v>
      </c>
    </row>
    <row r="4698" spans="1:21" x14ac:dyDescent="0.25">
      <c r="A4698">
        <v>46279</v>
      </c>
      <c r="B4698" t="s">
        <v>186</v>
      </c>
      <c r="C4698" t="s">
        <v>187</v>
      </c>
      <c r="D4698" t="s">
        <v>80</v>
      </c>
      <c r="E4698" t="s">
        <v>33</v>
      </c>
      <c r="F4698" t="s">
        <v>43</v>
      </c>
      <c r="G4698" t="s">
        <v>102</v>
      </c>
      <c r="H4698" t="s">
        <v>27</v>
      </c>
      <c r="I4698" t="s">
        <v>28</v>
      </c>
      <c r="J4698" t="s">
        <v>87</v>
      </c>
      <c r="K4698">
        <v>6409</v>
      </c>
      <c r="L4698">
        <v>46</v>
      </c>
      <c r="M4698">
        <v>24.65</v>
      </c>
      <c r="N4698">
        <v>1</v>
      </c>
      <c r="O4698">
        <v>12.56</v>
      </c>
      <c r="P4698">
        <f t="shared" si="292"/>
        <v>7.1774067717272584E-3</v>
      </c>
      <c r="Q4698">
        <f t="shared" si="292"/>
        <v>0.53586956521739126</v>
      </c>
      <c r="R4698">
        <f t="shared" si="293"/>
        <v>24.65</v>
      </c>
      <c r="S4698">
        <f t="shared" si="294"/>
        <v>0.50953346855983783</v>
      </c>
      <c r="T4698">
        <f t="shared" si="295"/>
        <v>2.1739130434782608E-2</v>
      </c>
      <c r="U4698" t="str">
        <f>YEAR('Campaign Data'!$A4698)&amp;"-"&amp;TEXT(MONTH('Campaign Data'!$A4698),"00")</f>
        <v>2026-09</v>
      </c>
    </row>
    <row r="4699" spans="1:21" x14ac:dyDescent="0.25">
      <c r="A4699">
        <v>46279</v>
      </c>
      <c r="B4699" t="s">
        <v>151</v>
      </c>
      <c r="C4699" t="s">
        <v>152</v>
      </c>
      <c r="D4699" t="s">
        <v>48</v>
      </c>
      <c r="E4699" t="s">
        <v>24</v>
      </c>
      <c r="F4699" t="s">
        <v>81</v>
      </c>
      <c r="G4699" t="s">
        <v>129</v>
      </c>
      <c r="H4699" t="s">
        <v>60</v>
      </c>
      <c r="I4699" t="s">
        <v>37</v>
      </c>
      <c r="J4699" t="s">
        <v>29</v>
      </c>
      <c r="K4699">
        <v>5662</v>
      </c>
      <c r="L4699">
        <v>62</v>
      </c>
      <c r="M4699">
        <v>51.36</v>
      </c>
      <c r="N4699">
        <v>3</v>
      </c>
      <c r="O4699">
        <v>70.849999999999994</v>
      </c>
      <c r="P4699">
        <f t="shared" si="292"/>
        <v>1.0950194277640411E-2</v>
      </c>
      <c r="Q4699">
        <f t="shared" si="292"/>
        <v>0.82838709677419353</v>
      </c>
      <c r="R4699">
        <f t="shared" si="293"/>
        <v>17.12</v>
      </c>
      <c r="S4699">
        <f t="shared" si="294"/>
        <v>1.3794781931464173</v>
      </c>
      <c r="T4699">
        <f t="shared" si="295"/>
        <v>4.8387096774193547E-2</v>
      </c>
      <c r="U4699" t="str">
        <f>YEAR('Campaign Data'!$A4699)&amp;"-"&amp;TEXT(MONTH('Campaign Data'!$A4699),"00")</f>
        <v>2026-09</v>
      </c>
    </row>
    <row r="4700" spans="1:21" x14ac:dyDescent="0.25">
      <c r="A4700">
        <v>46279</v>
      </c>
      <c r="B4700" t="s">
        <v>46</v>
      </c>
      <c r="C4700" t="s">
        <v>47</v>
      </c>
      <c r="D4700" t="s">
        <v>48</v>
      </c>
      <c r="E4700" t="s">
        <v>49</v>
      </c>
      <c r="F4700" t="s">
        <v>43</v>
      </c>
      <c r="G4700" t="s">
        <v>50</v>
      </c>
      <c r="H4700" t="s">
        <v>36</v>
      </c>
      <c r="I4700" t="s">
        <v>37</v>
      </c>
      <c r="J4700" t="s">
        <v>87</v>
      </c>
      <c r="K4700">
        <v>10174</v>
      </c>
      <c r="L4700">
        <v>354</v>
      </c>
      <c r="M4700">
        <v>444.37</v>
      </c>
      <c r="N4700">
        <v>15</v>
      </c>
      <c r="O4700">
        <v>300.02999999999997</v>
      </c>
      <c r="P4700">
        <f t="shared" si="292"/>
        <v>3.4794574405346966E-2</v>
      </c>
      <c r="Q4700">
        <f t="shared" si="292"/>
        <v>1.2552824858757061</v>
      </c>
      <c r="R4700">
        <f t="shared" si="293"/>
        <v>29.624666666666666</v>
      </c>
      <c r="S4700">
        <f t="shared" si="294"/>
        <v>0.67518059274928544</v>
      </c>
      <c r="T4700">
        <f t="shared" si="295"/>
        <v>4.2372881355932202E-2</v>
      </c>
      <c r="U4700" t="str">
        <f>YEAR('Campaign Data'!$A4700)&amp;"-"&amp;TEXT(MONTH('Campaign Data'!$A4700),"00")</f>
        <v>2026-09</v>
      </c>
    </row>
    <row r="4701" spans="1:21" x14ac:dyDescent="0.25">
      <c r="A4701">
        <v>46279</v>
      </c>
      <c r="B4701" t="s">
        <v>52</v>
      </c>
      <c r="C4701" t="s">
        <v>53</v>
      </c>
      <c r="D4701" t="s">
        <v>32</v>
      </c>
      <c r="E4701" t="s">
        <v>42</v>
      </c>
      <c r="F4701" t="s">
        <v>25</v>
      </c>
      <c r="G4701" t="s">
        <v>54</v>
      </c>
      <c r="H4701" t="s">
        <v>27</v>
      </c>
      <c r="I4701" t="s">
        <v>28</v>
      </c>
      <c r="J4701" t="s">
        <v>38</v>
      </c>
      <c r="K4701">
        <v>17577</v>
      </c>
      <c r="L4701">
        <v>77</v>
      </c>
      <c r="M4701">
        <v>496.01</v>
      </c>
      <c r="N4701">
        <v>1</v>
      </c>
      <c r="O4701">
        <v>219.73</v>
      </c>
      <c r="P4701">
        <f t="shared" si="292"/>
        <v>4.3807248108323378E-3</v>
      </c>
      <c r="Q4701">
        <f t="shared" si="292"/>
        <v>6.4416883116883117</v>
      </c>
      <c r="R4701">
        <f t="shared" si="293"/>
        <v>496.01</v>
      </c>
      <c r="S4701">
        <f t="shared" si="294"/>
        <v>0.44299510090522365</v>
      </c>
      <c r="T4701">
        <f t="shared" si="295"/>
        <v>1.2987012987012988E-2</v>
      </c>
      <c r="U4701" t="str">
        <f>YEAR('Campaign Data'!$A4701)&amp;"-"&amp;TEXT(MONTH('Campaign Data'!$A4701),"00")</f>
        <v>2026-09</v>
      </c>
    </row>
    <row r="4702" spans="1:21" x14ac:dyDescent="0.25">
      <c r="A4702">
        <v>46279</v>
      </c>
      <c r="B4702" t="s">
        <v>105</v>
      </c>
      <c r="C4702" t="s">
        <v>106</v>
      </c>
      <c r="D4702" t="s">
        <v>58</v>
      </c>
      <c r="E4702" t="s">
        <v>49</v>
      </c>
      <c r="F4702" t="s">
        <v>81</v>
      </c>
      <c r="G4702" t="s">
        <v>107</v>
      </c>
      <c r="H4702" t="s">
        <v>27</v>
      </c>
      <c r="I4702" t="s">
        <v>28</v>
      </c>
      <c r="J4702" t="s">
        <v>87</v>
      </c>
      <c r="K4702">
        <v>5513</v>
      </c>
      <c r="L4702">
        <v>139</v>
      </c>
      <c r="M4702">
        <v>335.29</v>
      </c>
      <c r="N4702">
        <v>12</v>
      </c>
      <c r="O4702">
        <v>231.14</v>
      </c>
      <c r="P4702">
        <f t="shared" si="292"/>
        <v>2.5213132595682933E-2</v>
      </c>
      <c r="Q4702">
        <f t="shared" si="292"/>
        <v>2.4121582733812952</v>
      </c>
      <c r="R4702">
        <f t="shared" si="293"/>
        <v>27.940833333333334</v>
      </c>
      <c r="S4702">
        <f t="shared" si="294"/>
        <v>0.68937337826955758</v>
      </c>
      <c r="T4702">
        <f t="shared" si="295"/>
        <v>8.6330935251798566E-2</v>
      </c>
      <c r="U4702" t="str">
        <f>YEAR('Campaign Data'!$A4702)&amp;"-"&amp;TEXT(MONTH('Campaign Data'!$A4702),"00")</f>
        <v>2026-09</v>
      </c>
    </row>
    <row r="4703" spans="1:21" x14ac:dyDescent="0.25">
      <c r="A4703">
        <v>46279</v>
      </c>
      <c r="B4703" t="s">
        <v>105</v>
      </c>
      <c r="C4703" t="s">
        <v>106</v>
      </c>
      <c r="D4703" t="s">
        <v>58</v>
      </c>
      <c r="E4703" t="s">
        <v>49</v>
      </c>
      <c r="F4703" t="s">
        <v>81</v>
      </c>
      <c r="G4703" t="s">
        <v>107</v>
      </c>
      <c r="H4703" t="s">
        <v>36</v>
      </c>
      <c r="I4703" t="s">
        <v>37</v>
      </c>
      <c r="J4703" t="s">
        <v>29</v>
      </c>
      <c r="K4703">
        <v>4891</v>
      </c>
      <c r="L4703">
        <v>223</v>
      </c>
      <c r="M4703">
        <v>515.38</v>
      </c>
      <c r="N4703">
        <v>14</v>
      </c>
      <c r="O4703">
        <v>71.02</v>
      </c>
      <c r="P4703">
        <f t="shared" si="292"/>
        <v>4.559394806787978E-2</v>
      </c>
      <c r="Q4703">
        <f t="shared" si="292"/>
        <v>2.3111210762331837</v>
      </c>
      <c r="R4703">
        <f t="shared" si="293"/>
        <v>36.812857142857141</v>
      </c>
      <c r="S4703">
        <f t="shared" si="294"/>
        <v>0.13780123404090186</v>
      </c>
      <c r="T4703">
        <f t="shared" si="295"/>
        <v>6.2780269058295965E-2</v>
      </c>
      <c r="U4703" t="str">
        <f>YEAR('Campaign Data'!$A4703)&amp;"-"&amp;TEXT(MONTH('Campaign Data'!$A4703),"00")</f>
        <v>2026-09</v>
      </c>
    </row>
    <row r="4704" spans="1:21" x14ac:dyDescent="0.25">
      <c r="A4704">
        <v>46279</v>
      </c>
      <c r="B4704" t="s">
        <v>108</v>
      </c>
      <c r="C4704" t="s">
        <v>109</v>
      </c>
      <c r="D4704" t="s">
        <v>58</v>
      </c>
      <c r="E4704" t="s">
        <v>33</v>
      </c>
      <c r="F4704" t="s">
        <v>43</v>
      </c>
      <c r="G4704" t="s">
        <v>59</v>
      </c>
      <c r="H4704" t="s">
        <v>36</v>
      </c>
      <c r="I4704" t="s">
        <v>37</v>
      </c>
      <c r="J4704" t="s">
        <v>87</v>
      </c>
      <c r="K4704">
        <v>2952</v>
      </c>
      <c r="L4704">
        <v>23</v>
      </c>
      <c r="M4704">
        <v>13.52</v>
      </c>
      <c r="N4704">
        <v>1</v>
      </c>
      <c r="O4704">
        <v>23.05</v>
      </c>
      <c r="P4704">
        <f t="shared" si="292"/>
        <v>7.7913279132791327E-3</v>
      </c>
      <c r="Q4704">
        <f t="shared" si="292"/>
        <v>0.58782608695652172</v>
      </c>
      <c r="R4704">
        <f t="shared" si="293"/>
        <v>13.52</v>
      </c>
      <c r="S4704">
        <f t="shared" si="294"/>
        <v>1.7048816568047338</v>
      </c>
      <c r="T4704">
        <f t="shared" si="295"/>
        <v>4.3478260869565216E-2</v>
      </c>
      <c r="U4704" t="str">
        <f>YEAR('Campaign Data'!$A4704)&amp;"-"&amp;TEXT(MONTH('Campaign Data'!$A4704),"00")</f>
        <v>2026-09</v>
      </c>
    </row>
    <row r="4705" spans="1:21" x14ac:dyDescent="0.25">
      <c r="A4705">
        <v>46279</v>
      </c>
      <c r="B4705" t="s">
        <v>177</v>
      </c>
      <c r="C4705" t="s">
        <v>178</v>
      </c>
      <c r="D4705" t="s">
        <v>41</v>
      </c>
      <c r="E4705" t="s">
        <v>49</v>
      </c>
      <c r="F4705" t="s">
        <v>34</v>
      </c>
      <c r="G4705" t="s">
        <v>107</v>
      </c>
      <c r="H4705" t="s">
        <v>71</v>
      </c>
      <c r="I4705" t="s">
        <v>37</v>
      </c>
      <c r="J4705" t="s">
        <v>29</v>
      </c>
      <c r="K4705">
        <v>2513</v>
      </c>
      <c r="L4705">
        <v>166</v>
      </c>
      <c r="M4705">
        <v>331</v>
      </c>
      <c r="N4705">
        <v>7</v>
      </c>
      <c r="O4705">
        <v>729.8</v>
      </c>
      <c r="P4705">
        <f t="shared" si="292"/>
        <v>6.6056506167926785E-2</v>
      </c>
      <c r="Q4705">
        <f t="shared" si="292"/>
        <v>1.9939759036144578</v>
      </c>
      <c r="R4705">
        <f t="shared" si="293"/>
        <v>47.285714285714285</v>
      </c>
      <c r="S4705">
        <f t="shared" si="294"/>
        <v>2.2048338368580058</v>
      </c>
      <c r="T4705">
        <f t="shared" si="295"/>
        <v>4.2168674698795178E-2</v>
      </c>
      <c r="U4705" t="str">
        <f>YEAR('Campaign Data'!$A4705)&amp;"-"&amp;TEXT(MONTH('Campaign Data'!$A4705),"00")</f>
        <v>2026-09</v>
      </c>
    </row>
    <row r="4706" spans="1:21" x14ac:dyDescent="0.25">
      <c r="A4706">
        <v>46279</v>
      </c>
      <c r="B4706" t="s">
        <v>159</v>
      </c>
      <c r="C4706" t="s">
        <v>160</v>
      </c>
      <c r="D4706" t="s">
        <v>65</v>
      </c>
      <c r="E4706" t="s">
        <v>42</v>
      </c>
      <c r="F4706" t="s">
        <v>75</v>
      </c>
      <c r="G4706" t="s">
        <v>54</v>
      </c>
      <c r="H4706" t="s">
        <v>27</v>
      </c>
      <c r="I4706" t="s">
        <v>37</v>
      </c>
      <c r="J4706" t="s">
        <v>45</v>
      </c>
      <c r="K4706">
        <v>8554</v>
      </c>
      <c r="L4706">
        <v>64</v>
      </c>
      <c r="M4706">
        <v>406.83</v>
      </c>
      <c r="N4706">
        <v>1</v>
      </c>
      <c r="O4706">
        <v>45.69</v>
      </c>
      <c r="P4706">
        <f t="shared" si="292"/>
        <v>7.4818798223053543E-3</v>
      </c>
      <c r="Q4706">
        <f t="shared" si="292"/>
        <v>6.3567187499999998</v>
      </c>
      <c r="R4706">
        <f t="shared" si="293"/>
        <v>406.83</v>
      </c>
      <c r="S4706">
        <f t="shared" si="294"/>
        <v>0.1123073519651943</v>
      </c>
      <c r="T4706">
        <f t="shared" si="295"/>
        <v>1.5625E-2</v>
      </c>
      <c r="U4706" t="str">
        <f>YEAR('Campaign Data'!$A4706)&amp;"-"&amp;TEXT(MONTH('Campaign Data'!$A4706),"00")</f>
        <v>2026-09</v>
      </c>
    </row>
    <row r="4707" spans="1:21" x14ac:dyDescent="0.25">
      <c r="A4707">
        <v>46279</v>
      </c>
      <c r="B4707" t="s">
        <v>114</v>
      </c>
      <c r="C4707" t="s">
        <v>115</v>
      </c>
      <c r="D4707" t="s">
        <v>69</v>
      </c>
      <c r="E4707" t="s">
        <v>49</v>
      </c>
      <c r="F4707" t="s">
        <v>25</v>
      </c>
      <c r="G4707" t="s">
        <v>107</v>
      </c>
      <c r="H4707" t="s">
        <v>36</v>
      </c>
      <c r="I4707" t="s">
        <v>28</v>
      </c>
      <c r="J4707" t="s">
        <v>62</v>
      </c>
      <c r="K4707">
        <v>5385</v>
      </c>
      <c r="L4707">
        <v>323</v>
      </c>
      <c r="M4707">
        <v>475.12</v>
      </c>
      <c r="N4707">
        <v>10</v>
      </c>
      <c r="O4707">
        <v>781.71</v>
      </c>
      <c r="P4707">
        <f t="shared" si="292"/>
        <v>5.9981429897864438E-2</v>
      </c>
      <c r="Q4707">
        <f t="shared" si="292"/>
        <v>1.4709597523219815</v>
      </c>
      <c r="R4707">
        <f t="shared" si="293"/>
        <v>47.512</v>
      </c>
      <c r="S4707">
        <f t="shared" si="294"/>
        <v>1.6452896110456305</v>
      </c>
      <c r="T4707">
        <f t="shared" si="295"/>
        <v>3.0959752321981424E-2</v>
      </c>
      <c r="U4707" t="str">
        <f>YEAR('Campaign Data'!$A4707)&amp;"-"&amp;TEXT(MONTH('Campaign Data'!$A4707),"00")</f>
        <v>2026-09</v>
      </c>
    </row>
    <row r="4708" spans="1:21" x14ac:dyDescent="0.25">
      <c r="A4708">
        <v>46279</v>
      </c>
      <c r="B4708" t="s">
        <v>141</v>
      </c>
      <c r="C4708" t="s">
        <v>142</v>
      </c>
      <c r="D4708" t="s">
        <v>80</v>
      </c>
      <c r="E4708" t="s">
        <v>49</v>
      </c>
      <c r="F4708" t="s">
        <v>81</v>
      </c>
      <c r="G4708" t="s">
        <v>97</v>
      </c>
      <c r="H4708" t="s">
        <v>36</v>
      </c>
      <c r="I4708" t="s">
        <v>28</v>
      </c>
      <c r="J4708" t="s">
        <v>62</v>
      </c>
      <c r="K4708">
        <v>6464</v>
      </c>
      <c r="L4708">
        <v>399</v>
      </c>
      <c r="M4708">
        <v>579.41</v>
      </c>
      <c r="N4708">
        <v>24</v>
      </c>
      <c r="O4708">
        <v>195.15</v>
      </c>
      <c r="P4708">
        <f t="shared" si="292"/>
        <v>6.1726485148514851E-2</v>
      </c>
      <c r="Q4708">
        <f t="shared" si="292"/>
        <v>1.4521553884711778</v>
      </c>
      <c r="R4708">
        <f t="shared" si="293"/>
        <v>24.142083333333332</v>
      </c>
      <c r="S4708">
        <f t="shared" si="294"/>
        <v>0.33680813241055557</v>
      </c>
      <c r="T4708">
        <f t="shared" si="295"/>
        <v>6.0150375939849621E-2</v>
      </c>
      <c r="U4708" t="str">
        <f>YEAR('Campaign Data'!$A4708)&amp;"-"&amp;TEXT(MONTH('Campaign Data'!$A4708),"00")</f>
        <v>2026-09</v>
      </c>
    </row>
    <row r="4709" spans="1:21" x14ac:dyDescent="0.25">
      <c r="A4709">
        <v>46279</v>
      </c>
      <c r="B4709" t="s">
        <v>116</v>
      </c>
      <c r="C4709" t="s">
        <v>117</v>
      </c>
      <c r="D4709" t="s">
        <v>48</v>
      </c>
      <c r="E4709" t="s">
        <v>24</v>
      </c>
      <c r="F4709" t="s">
        <v>43</v>
      </c>
      <c r="G4709" t="s">
        <v>26</v>
      </c>
      <c r="H4709" t="s">
        <v>60</v>
      </c>
      <c r="I4709" t="s">
        <v>37</v>
      </c>
      <c r="J4709" t="s">
        <v>62</v>
      </c>
      <c r="K4709">
        <v>8123</v>
      </c>
      <c r="L4709">
        <v>167</v>
      </c>
      <c r="M4709">
        <v>203.81</v>
      </c>
      <c r="N4709">
        <v>12</v>
      </c>
      <c r="O4709">
        <v>292.37</v>
      </c>
      <c r="P4709">
        <f t="shared" si="292"/>
        <v>2.0558906807829621E-2</v>
      </c>
      <c r="Q4709">
        <f t="shared" si="292"/>
        <v>1.2204191616766467</v>
      </c>
      <c r="R4709">
        <f t="shared" si="293"/>
        <v>16.984166666666667</v>
      </c>
      <c r="S4709">
        <f t="shared" si="294"/>
        <v>1.4345223492468475</v>
      </c>
      <c r="T4709">
        <f t="shared" si="295"/>
        <v>7.1856287425149698E-2</v>
      </c>
      <c r="U4709" t="str">
        <f>YEAR('Campaign Data'!$A4709)&amp;"-"&amp;TEXT(MONTH('Campaign Data'!$A4709),"00")</f>
        <v>2026-09</v>
      </c>
    </row>
    <row r="4710" spans="1:21" x14ac:dyDescent="0.25">
      <c r="A4710">
        <v>46279</v>
      </c>
      <c r="B4710" t="s">
        <v>145</v>
      </c>
      <c r="C4710" t="s">
        <v>146</v>
      </c>
      <c r="D4710" t="s">
        <v>41</v>
      </c>
      <c r="E4710" t="s">
        <v>49</v>
      </c>
      <c r="F4710" t="s">
        <v>75</v>
      </c>
      <c r="G4710" t="s">
        <v>70</v>
      </c>
      <c r="H4710" t="s">
        <v>90</v>
      </c>
      <c r="I4710" t="s">
        <v>37</v>
      </c>
      <c r="J4710" t="s">
        <v>87</v>
      </c>
      <c r="K4710">
        <v>6790</v>
      </c>
      <c r="L4710">
        <v>288</v>
      </c>
      <c r="M4710">
        <v>139.86000000000001</v>
      </c>
      <c r="N4710">
        <v>25</v>
      </c>
      <c r="O4710">
        <v>377.36</v>
      </c>
      <c r="P4710">
        <f t="shared" si="292"/>
        <v>4.2415316642120768E-2</v>
      </c>
      <c r="Q4710">
        <f t="shared" si="292"/>
        <v>0.48562500000000003</v>
      </c>
      <c r="R4710">
        <f t="shared" si="293"/>
        <v>5.5944000000000003</v>
      </c>
      <c r="S4710">
        <f t="shared" si="294"/>
        <v>2.698126698126698</v>
      </c>
      <c r="T4710">
        <f t="shared" si="295"/>
        <v>8.6805555555555552E-2</v>
      </c>
      <c r="U4710" t="str">
        <f>YEAR('Campaign Data'!$A4710)&amp;"-"&amp;TEXT(MONTH('Campaign Data'!$A4710),"00")</f>
        <v>2026-09</v>
      </c>
    </row>
    <row r="4711" spans="1:21" x14ac:dyDescent="0.25">
      <c r="A4711">
        <v>46279</v>
      </c>
      <c r="B4711" t="s">
        <v>82</v>
      </c>
      <c r="C4711" t="s">
        <v>83</v>
      </c>
      <c r="D4711" t="s">
        <v>80</v>
      </c>
      <c r="E4711" t="s">
        <v>42</v>
      </c>
      <c r="F4711" t="s">
        <v>34</v>
      </c>
      <c r="G4711" t="s">
        <v>84</v>
      </c>
      <c r="H4711" t="s">
        <v>27</v>
      </c>
      <c r="I4711" t="s">
        <v>28</v>
      </c>
      <c r="J4711" t="s">
        <v>38</v>
      </c>
      <c r="K4711">
        <v>18910</v>
      </c>
      <c r="L4711">
        <v>80</v>
      </c>
      <c r="M4711">
        <v>698.23</v>
      </c>
      <c r="N4711">
        <v>2</v>
      </c>
      <c r="O4711">
        <v>121.7</v>
      </c>
      <c r="P4711">
        <f t="shared" si="292"/>
        <v>4.2305658381808567E-3</v>
      </c>
      <c r="Q4711">
        <f t="shared" si="292"/>
        <v>8.7278750000000009</v>
      </c>
      <c r="R4711">
        <f t="shared" si="293"/>
        <v>349.11500000000001</v>
      </c>
      <c r="S4711">
        <f t="shared" si="294"/>
        <v>0.17429786746487547</v>
      </c>
      <c r="T4711">
        <f t="shared" si="295"/>
        <v>2.5000000000000001E-2</v>
      </c>
      <c r="U4711" t="str">
        <f>YEAR('Campaign Data'!$A4711)&amp;"-"&amp;TEXT(MONTH('Campaign Data'!$A4711),"00")</f>
        <v>2026-09</v>
      </c>
    </row>
    <row r="4712" spans="1:21" x14ac:dyDescent="0.25">
      <c r="A4712">
        <v>46279</v>
      </c>
      <c r="B4712" t="s">
        <v>82</v>
      </c>
      <c r="C4712" t="s">
        <v>83</v>
      </c>
      <c r="D4712" t="s">
        <v>80</v>
      </c>
      <c r="E4712" t="s">
        <v>42</v>
      </c>
      <c r="F4712" t="s">
        <v>34</v>
      </c>
      <c r="G4712" t="s">
        <v>84</v>
      </c>
      <c r="H4712" t="s">
        <v>27</v>
      </c>
      <c r="I4712" t="s">
        <v>37</v>
      </c>
      <c r="J4712" t="s">
        <v>62</v>
      </c>
      <c r="K4712">
        <v>2847</v>
      </c>
      <c r="L4712">
        <v>30</v>
      </c>
      <c r="M4712">
        <v>249.25</v>
      </c>
      <c r="N4712">
        <v>1</v>
      </c>
      <c r="O4712">
        <v>148.74</v>
      </c>
      <c r="P4712">
        <f t="shared" si="292"/>
        <v>1.053740779768177E-2</v>
      </c>
      <c r="Q4712">
        <f t="shared" si="292"/>
        <v>8.3083333333333336</v>
      </c>
      <c r="R4712">
        <f t="shared" si="293"/>
        <v>249.25</v>
      </c>
      <c r="S4712">
        <f t="shared" si="294"/>
        <v>0.59675025075225685</v>
      </c>
      <c r="T4712">
        <f t="shared" si="295"/>
        <v>3.3333333333333333E-2</v>
      </c>
      <c r="U4712" t="str">
        <f>YEAR('Campaign Data'!$A4712)&amp;"-"&amp;TEXT(MONTH('Campaign Data'!$A4712),"00")</f>
        <v>2026-09</v>
      </c>
    </row>
    <row r="4713" spans="1:21" x14ac:dyDescent="0.25">
      <c r="A4713">
        <v>46280</v>
      </c>
      <c r="B4713" t="s">
        <v>88</v>
      </c>
      <c r="C4713" t="s">
        <v>89</v>
      </c>
      <c r="D4713" t="s">
        <v>23</v>
      </c>
      <c r="E4713" t="s">
        <v>49</v>
      </c>
      <c r="F4713" t="s">
        <v>81</v>
      </c>
      <c r="G4713" t="s">
        <v>50</v>
      </c>
      <c r="H4713" t="s">
        <v>90</v>
      </c>
      <c r="I4713" t="s">
        <v>37</v>
      </c>
      <c r="J4713" t="s">
        <v>38</v>
      </c>
      <c r="K4713">
        <v>2732</v>
      </c>
      <c r="L4713">
        <v>93</v>
      </c>
      <c r="M4713">
        <v>39.25</v>
      </c>
      <c r="N4713">
        <v>3</v>
      </c>
      <c r="O4713">
        <v>23.16</v>
      </c>
      <c r="P4713">
        <f t="shared" si="292"/>
        <v>3.4040995607613471E-2</v>
      </c>
      <c r="Q4713">
        <f t="shared" si="292"/>
        <v>0.42204301075268819</v>
      </c>
      <c r="R4713">
        <f t="shared" si="293"/>
        <v>13.083333333333334</v>
      </c>
      <c r="S4713">
        <f t="shared" si="294"/>
        <v>0.59006369426751593</v>
      </c>
      <c r="T4713">
        <f t="shared" si="295"/>
        <v>3.2258064516129031E-2</v>
      </c>
      <c r="U4713" t="str">
        <f>YEAR('Campaign Data'!$A4713)&amp;"-"&amp;TEXT(MONTH('Campaign Data'!$A4713),"00")</f>
        <v>2026-09</v>
      </c>
    </row>
    <row r="4714" spans="1:21" x14ac:dyDescent="0.25">
      <c r="A4714">
        <v>46280</v>
      </c>
      <c r="B4714" t="s">
        <v>21</v>
      </c>
      <c r="C4714" t="s">
        <v>124</v>
      </c>
      <c r="D4714" t="s">
        <v>23</v>
      </c>
      <c r="E4714" t="s">
        <v>24</v>
      </c>
      <c r="F4714" t="s">
        <v>25</v>
      </c>
      <c r="G4714" t="s">
        <v>26</v>
      </c>
      <c r="H4714" t="s">
        <v>27</v>
      </c>
      <c r="I4714" t="s">
        <v>28</v>
      </c>
      <c r="J4714" t="s">
        <v>38</v>
      </c>
      <c r="K4714">
        <v>7372</v>
      </c>
      <c r="L4714">
        <v>97</v>
      </c>
      <c r="M4714">
        <v>176.84</v>
      </c>
      <c r="N4714">
        <v>2</v>
      </c>
      <c r="O4714">
        <v>509.06</v>
      </c>
      <c r="P4714">
        <f t="shared" si="292"/>
        <v>1.3157894736842105E-2</v>
      </c>
      <c r="Q4714">
        <f t="shared" si="292"/>
        <v>1.8230927835051547</v>
      </c>
      <c r="R4714">
        <f t="shared" si="293"/>
        <v>88.42</v>
      </c>
      <c r="S4714">
        <f t="shared" si="294"/>
        <v>2.8786473648495816</v>
      </c>
      <c r="T4714">
        <f t="shared" si="295"/>
        <v>2.0618556701030927E-2</v>
      </c>
      <c r="U4714" t="str">
        <f>YEAR('Campaign Data'!$A4714)&amp;"-"&amp;TEXT(MONTH('Campaign Data'!$A4714),"00")</f>
        <v>2026-09</v>
      </c>
    </row>
    <row r="4715" spans="1:21" x14ac:dyDescent="0.25">
      <c r="A4715">
        <v>46280</v>
      </c>
      <c r="B4715" t="s">
        <v>138</v>
      </c>
      <c r="C4715" t="s">
        <v>139</v>
      </c>
      <c r="D4715" t="s">
        <v>58</v>
      </c>
      <c r="E4715" t="s">
        <v>74</v>
      </c>
      <c r="F4715" t="s">
        <v>34</v>
      </c>
      <c r="G4715" t="s">
        <v>9</v>
      </c>
      <c r="H4715" t="s">
        <v>36</v>
      </c>
      <c r="I4715" t="s">
        <v>28</v>
      </c>
      <c r="J4715" t="s">
        <v>38</v>
      </c>
      <c r="K4715">
        <v>8333</v>
      </c>
      <c r="L4715">
        <v>174</v>
      </c>
      <c r="M4715">
        <v>200.88</v>
      </c>
      <c r="N4715">
        <v>4</v>
      </c>
      <c r="O4715">
        <v>518.89</v>
      </c>
      <c r="P4715">
        <f t="shared" si="292"/>
        <v>2.0880835233409337E-2</v>
      </c>
      <c r="Q4715">
        <f t="shared" si="292"/>
        <v>1.1544827586206896</v>
      </c>
      <c r="R4715">
        <f t="shared" si="293"/>
        <v>50.22</v>
      </c>
      <c r="S4715">
        <f t="shared" si="294"/>
        <v>2.5830844285145362</v>
      </c>
      <c r="T4715">
        <f t="shared" si="295"/>
        <v>2.2988505747126436E-2</v>
      </c>
      <c r="U4715" t="str">
        <f>YEAR('Campaign Data'!$A4715)&amp;"-"&amp;TEXT(MONTH('Campaign Data'!$A4715),"00")</f>
        <v>2026-09</v>
      </c>
    </row>
    <row r="4716" spans="1:21" x14ac:dyDescent="0.25">
      <c r="A4716">
        <v>46280</v>
      </c>
      <c r="B4716" t="s">
        <v>95</v>
      </c>
      <c r="C4716" t="s">
        <v>96</v>
      </c>
      <c r="D4716" t="s">
        <v>23</v>
      </c>
      <c r="E4716" t="s">
        <v>49</v>
      </c>
      <c r="F4716" t="s">
        <v>43</v>
      </c>
      <c r="G4716" t="s">
        <v>97</v>
      </c>
      <c r="H4716" t="s">
        <v>90</v>
      </c>
      <c r="I4716" t="s">
        <v>37</v>
      </c>
      <c r="J4716" t="s">
        <v>45</v>
      </c>
      <c r="K4716">
        <v>13001</v>
      </c>
      <c r="L4716">
        <v>826</v>
      </c>
      <c r="M4716">
        <v>562.29999999999995</v>
      </c>
      <c r="N4716">
        <v>21</v>
      </c>
      <c r="O4716">
        <v>105</v>
      </c>
      <c r="P4716">
        <f t="shared" si="292"/>
        <v>6.3533574340435356E-2</v>
      </c>
      <c r="Q4716">
        <f t="shared" si="292"/>
        <v>0.68075060532687648</v>
      </c>
      <c r="R4716">
        <f t="shared" si="293"/>
        <v>26.776190476190475</v>
      </c>
      <c r="S4716">
        <f t="shared" si="294"/>
        <v>0.18673306064378448</v>
      </c>
      <c r="T4716">
        <f t="shared" si="295"/>
        <v>2.5423728813559324E-2</v>
      </c>
      <c r="U4716" t="str">
        <f>YEAR('Campaign Data'!$A4716)&amp;"-"&amp;TEXT(MONTH('Campaign Data'!$A4716),"00")</f>
        <v>2026-09</v>
      </c>
    </row>
    <row r="4717" spans="1:21" x14ac:dyDescent="0.25">
      <c r="A4717">
        <v>46280</v>
      </c>
      <c r="B4717" t="s">
        <v>95</v>
      </c>
      <c r="C4717" t="s">
        <v>96</v>
      </c>
      <c r="D4717" t="s">
        <v>23</v>
      </c>
      <c r="E4717" t="s">
        <v>49</v>
      </c>
      <c r="F4717" t="s">
        <v>43</v>
      </c>
      <c r="G4717" t="s">
        <v>97</v>
      </c>
      <c r="H4717" t="s">
        <v>90</v>
      </c>
      <c r="I4717" t="s">
        <v>28</v>
      </c>
      <c r="J4717" t="s">
        <v>62</v>
      </c>
      <c r="K4717">
        <v>4047</v>
      </c>
      <c r="L4717">
        <v>296</v>
      </c>
      <c r="M4717">
        <v>112.22</v>
      </c>
      <c r="N4717">
        <v>35</v>
      </c>
      <c r="O4717">
        <v>254.92</v>
      </c>
      <c r="P4717">
        <f t="shared" si="292"/>
        <v>7.3140597973807758E-2</v>
      </c>
      <c r="Q4717">
        <f t="shared" si="292"/>
        <v>0.37912162162162161</v>
      </c>
      <c r="R4717">
        <f t="shared" si="293"/>
        <v>3.2062857142857144</v>
      </c>
      <c r="S4717">
        <f t="shared" si="294"/>
        <v>2.2716093387987879</v>
      </c>
      <c r="T4717">
        <f t="shared" si="295"/>
        <v>0.11824324324324324</v>
      </c>
      <c r="U4717" t="str">
        <f>YEAR('Campaign Data'!$A4717)&amp;"-"&amp;TEXT(MONTH('Campaign Data'!$A4717),"00")</f>
        <v>2026-09</v>
      </c>
    </row>
    <row r="4718" spans="1:21" x14ac:dyDescent="0.25">
      <c r="A4718">
        <v>46280</v>
      </c>
      <c r="B4718" t="s">
        <v>95</v>
      </c>
      <c r="C4718" t="s">
        <v>96</v>
      </c>
      <c r="D4718" t="s">
        <v>23</v>
      </c>
      <c r="E4718" t="s">
        <v>49</v>
      </c>
      <c r="F4718" t="s">
        <v>43</v>
      </c>
      <c r="G4718" t="s">
        <v>97</v>
      </c>
      <c r="H4718" t="s">
        <v>60</v>
      </c>
      <c r="I4718" t="s">
        <v>37</v>
      </c>
      <c r="J4718" t="s">
        <v>87</v>
      </c>
      <c r="K4718">
        <v>3509</v>
      </c>
      <c r="L4718">
        <v>61</v>
      </c>
      <c r="M4718">
        <v>119.14</v>
      </c>
      <c r="N4718">
        <v>0</v>
      </c>
      <c r="O4718">
        <v>0</v>
      </c>
      <c r="P4718">
        <f t="shared" si="292"/>
        <v>1.738387004844685E-2</v>
      </c>
      <c r="Q4718">
        <f t="shared" si="292"/>
        <v>1.9531147540983607</v>
      </c>
      <c r="R4718">
        <f t="shared" si="293"/>
        <v>0</v>
      </c>
      <c r="S4718">
        <f t="shared" si="294"/>
        <v>0</v>
      </c>
      <c r="T4718">
        <f t="shared" si="295"/>
        <v>0</v>
      </c>
      <c r="U4718" t="str">
        <f>YEAR('Campaign Data'!$A4718)&amp;"-"&amp;TEXT(MONTH('Campaign Data'!$A4718),"00")</f>
        <v>2026-09</v>
      </c>
    </row>
    <row r="4719" spans="1:21" x14ac:dyDescent="0.25">
      <c r="A4719">
        <v>46280</v>
      </c>
      <c r="B4719" t="s">
        <v>30</v>
      </c>
      <c r="C4719" t="s">
        <v>31</v>
      </c>
      <c r="D4719" t="s">
        <v>32</v>
      </c>
      <c r="E4719" t="s">
        <v>33</v>
      </c>
      <c r="F4719" t="s">
        <v>34</v>
      </c>
      <c r="G4719" t="s">
        <v>35</v>
      </c>
      <c r="H4719" t="s">
        <v>71</v>
      </c>
      <c r="I4719" t="s">
        <v>28</v>
      </c>
      <c r="J4719" t="s">
        <v>29</v>
      </c>
      <c r="K4719">
        <v>6376</v>
      </c>
      <c r="L4719">
        <v>58</v>
      </c>
      <c r="M4719">
        <v>24.02</v>
      </c>
      <c r="N4719">
        <v>0</v>
      </c>
      <c r="O4719">
        <v>0</v>
      </c>
      <c r="P4719">
        <f t="shared" si="292"/>
        <v>9.0966122961104144E-3</v>
      </c>
      <c r="Q4719">
        <f t="shared" si="292"/>
        <v>0.41413793103448276</v>
      </c>
      <c r="R4719">
        <f t="shared" si="293"/>
        <v>0</v>
      </c>
      <c r="S4719">
        <f t="shared" si="294"/>
        <v>0</v>
      </c>
      <c r="T4719">
        <f t="shared" si="295"/>
        <v>0</v>
      </c>
      <c r="U4719" t="str">
        <f>YEAR('Campaign Data'!$A4719)&amp;"-"&amp;TEXT(MONTH('Campaign Data'!$A4719),"00")</f>
        <v>2026-09</v>
      </c>
    </row>
    <row r="4720" spans="1:21" x14ac:dyDescent="0.25">
      <c r="A4720">
        <v>46280</v>
      </c>
      <c r="B4720" t="s">
        <v>39</v>
      </c>
      <c r="C4720" t="s">
        <v>40</v>
      </c>
      <c r="D4720" t="s">
        <v>41</v>
      </c>
      <c r="E4720" t="s">
        <v>42</v>
      </c>
      <c r="F4720" t="s">
        <v>43</v>
      </c>
      <c r="G4720" t="s">
        <v>44</v>
      </c>
      <c r="H4720" t="s">
        <v>36</v>
      </c>
      <c r="I4720" t="s">
        <v>28</v>
      </c>
      <c r="J4720" t="s">
        <v>87</v>
      </c>
      <c r="K4720">
        <v>6962</v>
      </c>
      <c r="L4720">
        <v>33</v>
      </c>
      <c r="M4720">
        <v>247.02</v>
      </c>
      <c r="N4720">
        <v>1</v>
      </c>
      <c r="O4720">
        <v>25.36</v>
      </c>
      <c r="P4720">
        <f t="shared" si="292"/>
        <v>4.7400172364263143E-3</v>
      </c>
      <c r="Q4720">
        <f t="shared" si="292"/>
        <v>7.4854545454545454</v>
      </c>
      <c r="R4720">
        <f t="shared" si="293"/>
        <v>247.02</v>
      </c>
      <c r="S4720">
        <f t="shared" si="294"/>
        <v>0.10266375192292121</v>
      </c>
      <c r="T4720">
        <f t="shared" si="295"/>
        <v>3.0303030303030304E-2</v>
      </c>
      <c r="U4720" t="str">
        <f>YEAR('Campaign Data'!$A4720)&amp;"-"&amp;TEXT(MONTH('Campaign Data'!$A4720),"00")</f>
        <v>2026-09</v>
      </c>
    </row>
    <row r="4721" spans="1:21" x14ac:dyDescent="0.25">
      <c r="A4721">
        <v>46280</v>
      </c>
      <c r="B4721" t="s">
        <v>46</v>
      </c>
      <c r="C4721" t="s">
        <v>47</v>
      </c>
      <c r="D4721" t="s">
        <v>48</v>
      </c>
      <c r="E4721" t="s">
        <v>49</v>
      </c>
      <c r="F4721" t="s">
        <v>43</v>
      </c>
      <c r="G4721" t="s">
        <v>50</v>
      </c>
      <c r="H4721" t="s">
        <v>71</v>
      </c>
      <c r="I4721" t="s">
        <v>28</v>
      </c>
      <c r="J4721" t="s">
        <v>29</v>
      </c>
      <c r="K4721">
        <v>2454</v>
      </c>
      <c r="L4721">
        <v>125</v>
      </c>
      <c r="M4721">
        <v>159.52000000000001</v>
      </c>
      <c r="N4721">
        <v>13</v>
      </c>
      <c r="O4721">
        <v>265.47000000000003</v>
      </c>
      <c r="P4721">
        <f t="shared" si="292"/>
        <v>5.093724531377343E-2</v>
      </c>
      <c r="Q4721">
        <f t="shared" si="292"/>
        <v>1.2761600000000002</v>
      </c>
      <c r="R4721">
        <f t="shared" si="293"/>
        <v>12.270769230769231</v>
      </c>
      <c r="S4721">
        <f t="shared" si="294"/>
        <v>1.6641800401203612</v>
      </c>
      <c r="T4721">
        <f t="shared" si="295"/>
        <v>0.104</v>
      </c>
      <c r="U4721" t="str">
        <f>YEAR('Campaign Data'!$A4721)&amp;"-"&amp;TEXT(MONTH('Campaign Data'!$A4721),"00")</f>
        <v>2026-09</v>
      </c>
    </row>
    <row r="4722" spans="1:21" x14ac:dyDescent="0.25">
      <c r="A4722">
        <v>46280</v>
      </c>
      <c r="B4722" t="s">
        <v>46</v>
      </c>
      <c r="C4722" t="s">
        <v>47</v>
      </c>
      <c r="D4722" t="s">
        <v>48</v>
      </c>
      <c r="E4722" t="s">
        <v>49</v>
      </c>
      <c r="F4722" t="s">
        <v>43</v>
      </c>
      <c r="G4722" t="s">
        <v>50</v>
      </c>
      <c r="H4722" t="s">
        <v>55</v>
      </c>
      <c r="I4722" t="s">
        <v>37</v>
      </c>
      <c r="J4722" t="s">
        <v>29</v>
      </c>
      <c r="K4722">
        <v>11901</v>
      </c>
      <c r="L4722">
        <v>444</v>
      </c>
      <c r="M4722">
        <v>560.47</v>
      </c>
      <c r="N4722">
        <v>46</v>
      </c>
      <c r="O4722">
        <v>992.2</v>
      </c>
      <c r="P4722">
        <f t="shared" si="292"/>
        <v>3.7307789261406606E-2</v>
      </c>
      <c r="Q4722">
        <f t="shared" si="292"/>
        <v>1.2623198198198198</v>
      </c>
      <c r="R4722">
        <f t="shared" si="293"/>
        <v>12.18413043478261</v>
      </c>
      <c r="S4722">
        <f t="shared" si="294"/>
        <v>1.7702999268471105</v>
      </c>
      <c r="T4722">
        <f t="shared" si="295"/>
        <v>0.1036036036036036</v>
      </c>
      <c r="U4722" t="str">
        <f>YEAR('Campaign Data'!$A4722)&amp;"-"&amp;TEXT(MONTH('Campaign Data'!$A4722),"00")</f>
        <v>2026-09</v>
      </c>
    </row>
    <row r="4723" spans="1:21" x14ac:dyDescent="0.25">
      <c r="A4723">
        <v>46280</v>
      </c>
      <c r="B4723" t="s">
        <v>103</v>
      </c>
      <c r="C4723" t="s">
        <v>104</v>
      </c>
      <c r="D4723" t="s">
        <v>65</v>
      </c>
      <c r="E4723" t="s">
        <v>33</v>
      </c>
      <c r="F4723" t="s">
        <v>43</v>
      </c>
      <c r="G4723" t="s">
        <v>102</v>
      </c>
      <c r="H4723" t="s">
        <v>90</v>
      </c>
      <c r="I4723" t="s">
        <v>28</v>
      </c>
      <c r="J4723" t="s">
        <v>38</v>
      </c>
      <c r="K4723">
        <v>7994</v>
      </c>
      <c r="L4723">
        <v>68</v>
      </c>
      <c r="M4723">
        <v>11.72</v>
      </c>
      <c r="N4723">
        <v>0</v>
      </c>
      <c r="O4723">
        <v>0</v>
      </c>
      <c r="P4723">
        <f t="shared" si="292"/>
        <v>8.5063797848386295E-3</v>
      </c>
      <c r="Q4723">
        <f t="shared" si="292"/>
        <v>0.1723529411764706</v>
      </c>
      <c r="R4723">
        <f t="shared" si="293"/>
        <v>0</v>
      </c>
      <c r="S4723">
        <f t="shared" si="294"/>
        <v>0</v>
      </c>
      <c r="T4723">
        <f t="shared" si="295"/>
        <v>0</v>
      </c>
      <c r="U4723" t="str">
        <f>YEAR('Campaign Data'!$A4723)&amp;"-"&amp;TEXT(MONTH('Campaign Data'!$A4723),"00")</f>
        <v>2026-09</v>
      </c>
    </row>
    <row r="4724" spans="1:21" x14ac:dyDescent="0.25">
      <c r="A4724">
        <v>46280</v>
      </c>
      <c r="B4724" t="s">
        <v>108</v>
      </c>
      <c r="C4724" t="s">
        <v>109</v>
      </c>
      <c r="D4724" t="s">
        <v>58</v>
      </c>
      <c r="E4724" t="s">
        <v>33</v>
      </c>
      <c r="F4724" t="s">
        <v>43</v>
      </c>
      <c r="G4724" t="s">
        <v>59</v>
      </c>
      <c r="H4724" t="s">
        <v>51</v>
      </c>
      <c r="I4724" t="s">
        <v>28</v>
      </c>
      <c r="J4724" t="s">
        <v>62</v>
      </c>
      <c r="K4724">
        <v>3491</v>
      </c>
      <c r="L4724">
        <v>44</v>
      </c>
      <c r="M4724">
        <v>33.200000000000003</v>
      </c>
      <c r="N4724">
        <v>1</v>
      </c>
      <c r="O4724">
        <v>34.39</v>
      </c>
      <c r="P4724">
        <f t="shared" si="292"/>
        <v>1.2603838441707248E-2</v>
      </c>
      <c r="Q4724">
        <f t="shared" si="292"/>
        <v>0.75454545454545463</v>
      </c>
      <c r="R4724">
        <f t="shared" si="293"/>
        <v>33.200000000000003</v>
      </c>
      <c r="S4724">
        <f t="shared" si="294"/>
        <v>1.0358433734939758</v>
      </c>
      <c r="T4724">
        <f t="shared" si="295"/>
        <v>2.2727272727272728E-2</v>
      </c>
      <c r="U4724" t="str">
        <f>YEAR('Campaign Data'!$A4724)&amp;"-"&amp;TEXT(MONTH('Campaign Data'!$A4724),"00")</f>
        <v>2026-09</v>
      </c>
    </row>
    <row r="4725" spans="1:21" x14ac:dyDescent="0.25">
      <c r="A4725">
        <v>46280</v>
      </c>
      <c r="B4725" t="s">
        <v>132</v>
      </c>
      <c r="C4725" t="s">
        <v>133</v>
      </c>
      <c r="D4725" t="s">
        <v>23</v>
      </c>
      <c r="E4725" t="s">
        <v>42</v>
      </c>
      <c r="F4725" t="s">
        <v>75</v>
      </c>
      <c r="G4725" t="s">
        <v>84</v>
      </c>
      <c r="H4725" t="s">
        <v>60</v>
      </c>
      <c r="I4725" t="s">
        <v>37</v>
      </c>
      <c r="J4725" t="s">
        <v>38</v>
      </c>
      <c r="K4725">
        <v>6765</v>
      </c>
      <c r="L4725">
        <v>28</v>
      </c>
      <c r="M4725">
        <v>150.76</v>
      </c>
      <c r="N4725">
        <v>2</v>
      </c>
      <c r="O4725">
        <v>87.82</v>
      </c>
      <c r="P4725">
        <f t="shared" si="292"/>
        <v>4.138950480413895E-3</v>
      </c>
      <c r="Q4725">
        <f t="shared" si="292"/>
        <v>5.3842857142857143</v>
      </c>
      <c r="R4725">
        <f t="shared" si="293"/>
        <v>75.38</v>
      </c>
      <c r="S4725">
        <f t="shared" si="294"/>
        <v>0.58251525603608378</v>
      </c>
      <c r="T4725">
        <f t="shared" si="295"/>
        <v>7.1428571428571425E-2</v>
      </c>
      <c r="U4725" t="str">
        <f>YEAR('Campaign Data'!$A4725)&amp;"-"&amp;TEXT(MONTH('Campaign Data'!$A4725),"00")</f>
        <v>2026-09</v>
      </c>
    </row>
    <row r="4726" spans="1:21" x14ac:dyDescent="0.25">
      <c r="A4726">
        <v>46280</v>
      </c>
      <c r="B4726" t="s">
        <v>179</v>
      </c>
      <c r="C4726" t="s">
        <v>180</v>
      </c>
      <c r="D4726" t="s">
        <v>58</v>
      </c>
      <c r="E4726" t="s">
        <v>42</v>
      </c>
      <c r="F4726" t="s">
        <v>25</v>
      </c>
      <c r="G4726" t="s">
        <v>54</v>
      </c>
      <c r="H4726" t="s">
        <v>27</v>
      </c>
      <c r="I4726" t="s">
        <v>28</v>
      </c>
      <c r="J4726" t="s">
        <v>45</v>
      </c>
      <c r="K4726">
        <v>5298</v>
      </c>
      <c r="L4726">
        <v>27</v>
      </c>
      <c r="M4726">
        <v>229.46</v>
      </c>
      <c r="N4726">
        <v>1</v>
      </c>
      <c r="O4726">
        <v>122.16</v>
      </c>
      <c r="P4726">
        <f t="shared" si="292"/>
        <v>5.0962627406568517E-3</v>
      </c>
      <c r="Q4726">
        <f t="shared" si="292"/>
        <v>8.4985185185185195</v>
      </c>
      <c r="R4726">
        <f t="shared" si="293"/>
        <v>229.46</v>
      </c>
      <c r="S4726">
        <f t="shared" si="294"/>
        <v>0.53238037130654581</v>
      </c>
      <c r="T4726">
        <f t="shared" si="295"/>
        <v>3.7037037037037035E-2</v>
      </c>
      <c r="U4726" t="str">
        <f>YEAR('Campaign Data'!$A4726)&amp;"-"&amp;TEXT(MONTH('Campaign Data'!$A4726),"00")</f>
        <v>2026-09</v>
      </c>
    </row>
    <row r="4727" spans="1:21" x14ac:dyDescent="0.25">
      <c r="A4727">
        <v>46280</v>
      </c>
      <c r="B4727" t="s">
        <v>179</v>
      </c>
      <c r="C4727" t="s">
        <v>180</v>
      </c>
      <c r="D4727" t="s">
        <v>58</v>
      </c>
      <c r="E4727" t="s">
        <v>42</v>
      </c>
      <c r="F4727" t="s">
        <v>25</v>
      </c>
      <c r="G4727" t="s">
        <v>54</v>
      </c>
      <c r="H4727" t="s">
        <v>51</v>
      </c>
      <c r="I4727" t="s">
        <v>37</v>
      </c>
      <c r="J4727" t="s">
        <v>38</v>
      </c>
      <c r="K4727">
        <v>8932</v>
      </c>
      <c r="L4727">
        <v>68</v>
      </c>
      <c r="M4727">
        <v>289.05</v>
      </c>
      <c r="N4727">
        <v>1</v>
      </c>
      <c r="O4727">
        <v>173.8</v>
      </c>
      <c r="P4727">
        <f t="shared" si="292"/>
        <v>7.6130765785938203E-3</v>
      </c>
      <c r="Q4727">
        <f t="shared" si="292"/>
        <v>4.2507352941176473</v>
      </c>
      <c r="R4727">
        <f t="shared" si="293"/>
        <v>289.05</v>
      </c>
      <c r="S4727">
        <f t="shared" si="294"/>
        <v>0.60128005535374507</v>
      </c>
      <c r="T4727">
        <f t="shared" si="295"/>
        <v>1.4705882352941176E-2</v>
      </c>
      <c r="U4727" t="str">
        <f>YEAR('Campaign Data'!$A4727)&amp;"-"&amp;TEXT(MONTH('Campaign Data'!$A4727),"00")</f>
        <v>2026-09</v>
      </c>
    </row>
    <row r="4728" spans="1:21" x14ac:dyDescent="0.25">
      <c r="A4728">
        <v>46280</v>
      </c>
      <c r="B4728" t="s">
        <v>157</v>
      </c>
      <c r="C4728" t="s">
        <v>158</v>
      </c>
      <c r="D4728" t="s">
        <v>58</v>
      </c>
      <c r="E4728" t="s">
        <v>49</v>
      </c>
      <c r="F4728" t="s">
        <v>81</v>
      </c>
      <c r="G4728" t="s">
        <v>50</v>
      </c>
      <c r="H4728" t="s">
        <v>71</v>
      </c>
      <c r="I4728" t="s">
        <v>37</v>
      </c>
      <c r="J4728" t="s">
        <v>38</v>
      </c>
      <c r="K4728">
        <v>2424</v>
      </c>
      <c r="L4728">
        <v>116</v>
      </c>
      <c r="M4728">
        <v>206.49</v>
      </c>
      <c r="N4728">
        <v>7</v>
      </c>
      <c r="O4728">
        <v>105.08</v>
      </c>
      <c r="P4728">
        <f t="shared" si="292"/>
        <v>4.7854785478547858E-2</v>
      </c>
      <c r="Q4728">
        <f t="shared" si="292"/>
        <v>1.7800862068965517</v>
      </c>
      <c r="R4728">
        <f t="shared" si="293"/>
        <v>29.498571428571431</v>
      </c>
      <c r="S4728">
        <f t="shared" si="294"/>
        <v>0.5088866288924403</v>
      </c>
      <c r="T4728">
        <f t="shared" si="295"/>
        <v>6.0344827586206899E-2</v>
      </c>
      <c r="U4728" t="str">
        <f>YEAR('Campaign Data'!$A4728)&amp;"-"&amp;TEXT(MONTH('Campaign Data'!$A4728),"00")</f>
        <v>2026-09</v>
      </c>
    </row>
    <row r="4729" spans="1:21" x14ac:dyDescent="0.25">
      <c r="A4729">
        <v>46280</v>
      </c>
      <c r="B4729" t="s">
        <v>114</v>
      </c>
      <c r="C4729" t="s">
        <v>115</v>
      </c>
      <c r="D4729" t="s">
        <v>69</v>
      </c>
      <c r="E4729" t="s">
        <v>49</v>
      </c>
      <c r="F4729" t="s">
        <v>25</v>
      </c>
      <c r="G4729" t="s">
        <v>107</v>
      </c>
      <c r="H4729" t="s">
        <v>36</v>
      </c>
      <c r="I4729" t="s">
        <v>28</v>
      </c>
      <c r="J4729" t="s">
        <v>62</v>
      </c>
      <c r="K4729">
        <v>1952</v>
      </c>
      <c r="L4729">
        <v>111</v>
      </c>
      <c r="M4729">
        <v>220.66</v>
      </c>
      <c r="N4729">
        <v>10</v>
      </c>
      <c r="O4729">
        <v>1420.34</v>
      </c>
      <c r="P4729">
        <f t="shared" si="292"/>
        <v>5.6864754098360656E-2</v>
      </c>
      <c r="Q4729">
        <f t="shared" si="292"/>
        <v>1.9879279279279278</v>
      </c>
      <c r="R4729">
        <f t="shared" si="293"/>
        <v>22.065999999999999</v>
      </c>
      <c r="S4729">
        <f t="shared" si="294"/>
        <v>6.4367805673887428</v>
      </c>
      <c r="T4729">
        <f t="shared" si="295"/>
        <v>9.0090090090090086E-2</v>
      </c>
      <c r="U4729" t="str">
        <f>YEAR('Campaign Data'!$A4729)&amp;"-"&amp;TEXT(MONTH('Campaign Data'!$A4729),"00")</f>
        <v>2026-09</v>
      </c>
    </row>
    <row r="4730" spans="1:21" x14ac:dyDescent="0.25">
      <c r="A4730">
        <v>46280</v>
      </c>
      <c r="B4730" t="s">
        <v>63</v>
      </c>
      <c r="C4730" t="s">
        <v>64</v>
      </c>
      <c r="D4730" t="s">
        <v>65</v>
      </c>
      <c r="E4730" t="s">
        <v>24</v>
      </c>
      <c r="F4730" t="s">
        <v>43</v>
      </c>
      <c r="G4730" t="s">
        <v>66</v>
      </c>
      <c r="H4730" t="s">
        <v>51</v>
      </c>
      <c r="I4730" t="s">
        <v>37</v>
      </c>
      <c r="J4730" t="s">
        <v>38</v>
      </c>
      <c r="K4730">
        <v>1558</v>
      </c>
      <c r="L4730">
        <v>18</v>
      </c>
      <c r="M4730">
        <v>15.91</v>
      </c>
      <c r="N4730">
        <v>1</v>
      </c>
      <c r="O4730">
        <v>24.65</v>
      </c>
      <c r="P4730">
        <f t="shared" si="292"/>
        <v>1.1553273427471117E-2</v>
      </c>
      <c r="Q4730">
        <f t="shared" si="292"/>
        <v>0.88388888888888895</v>
      </c>
      <c r="R4730">
        <f t="shared" si="293"/>
        <v>15.91</v>
      </c>
      <c r="S4730">
        <f t="shared" si="294"/>
        <v>1.5493400377121307</v>
      </c>
      <c r="T4730">
        <f t="shared" si="295"/>
        <v>5.5555555555555552E-2</v>
      </c>
      <c r="U4730" t="str">
        <f>YEAR('Campaign Data'!$A4730)&amp;"-"&amp;TEXT(MONTH('Campaign Data'!$A4730),"00")</f>
        <v>2026-09</v>
      </c>
    </row>
    <row r="4731" spans="1:21" x14ac:dyDescent="0.25">
      <c r="A4731">
        <v>46280</v>
      </c>
      <c r="B4731" t="s">
        <v>183</v>
      </c>
      <c r="C4731" t="s">
        <v>184</v>
      </c>
      <c r="D4731" t="s">
        <v>23</v>
      </c>
      <c r="E4731" t="s">
        <v>24</v>
      </c>
      <c r="F4731" t="s">
        <v>81</v>
      </c>
      <c r="G4731" t="s">
        <v>185</v>
      </c>
      <c r="H4731" t="s">
        <v>60</v>
      </c>
      <c r="I4731" t="s">
        <v>28</v>
      </c>
      <c r="J4731" t="s">
        <v>87</v>
      </c>
      <c r="K4731">
        <v>3693</v>
      </c>
      <c r="L4731">
        <v>54</v>
      </c>
      <c r="M4731">
        <v>60.43</v>
      </c>
      <c r="N4731">
        <v>1</v>
      </c>
      <c r="O4731">
        <v>25.42</v>
      </c>
      <c r="P4731">
        <f t="shared" si="292"/>
        <v>1.462225832656377E-2</v>
      </c>
      <c r="Q4731">
        <f t="shared" si="292"/>
        <v>1.1190740740740741</v>
      </c>
      <c r="R4731">
        <f t="shared" si="293"/>
        <v>60.43</v>
      </c>
      <c r="S4731">
        <f t="shared" si="294"/>
        <v>0.42065199404269404</v>
      </c>
      <c r="T4731">
        <f t="shared" si="295"/>
        <v>1.8518518518518517E-2</v>
      </c>
      <c r="U4731" t="str">
        <f>YEAR('Campaign Data'!$A4731)&amp;"-"&amp;TEXT(MONTH('Campaign Data'!$A4731),"00")</f>
        <v>2026-09</v>
      </c>
    </row>
    <row r="4732" spans="1:21" x14ac:dyDescent="0.25">
      <c r="A4732">
        <v>46280</v>
      </c>
      <c r="B4732" t="s">
        <v>118</v>
      </c>
      <c r="C4732" t="s">
        <v>119</v>
      </c>
      <c r="D4732" t="s">
        <v>69</v>
      </c>
      <c r="E4732" t="s">
        <v>33</v>
      </c>
      <c r="F4732" t="s">
        <v>34</v>
      </c>
      <c r="G4732" t="s">
        <v>35</v>
      </c>
      <c r="H4732" t="s">
        <v>71</v>
      </c>
      <c r="I4732" t="s">
        <v>37</v>
      </c>
      <c r="J4732" t="s">
        <v>29</v>
      </c>
      <c r="K4732">
        <v>7296</v>
      </c>
      <c r="L4732">
        <v>82</v>
      </c>
      <c r="M4732">
        <v>42.98</v>
      </c>
      <c r="N4732">
        <v>0</v>
      </c>
      <c r="O4732">
        <v>0</v>
      </c>
      <c r="P4732">
        <f t="shared" si="292"/>
        <v>1.1239035087719298E-2</v>
      </c>
      <c r="Q4732">
        <f t="shared" si="292"/>
        <v>0.52414634146341454</v>
      </c>
      <c r="R4732">
        <f t="shared" si="293"/>
        <v>0</v>
      </c>
      <c r="S4732">
        <f t="shared" si="294"/>
        <v>0</v>
      </c>
      <c r="T4732">
        <f t="shared" si="295"/>
        <v>0</v>
      </c>
      <c r="U4732" t="str">
        <f>YEAR('Campaign Data'!$A4732)&amp;"-"&amp;TEXT(MONTH('Campaign Data'!$A4732),"00")</f>
        <v>2026-09</v>
      </c>
    </row>
    <row r="4733" spans="1:21" x14ac:dyDescent="0.25">
      <c r="A4733">
        <v>46280</v>
      </c>
      <c r="B4733" t="s">
        <v>145</v>
      </c>
      <c r="C4733" t="s">
        <v>146</v>
      </c>
      <c r="D4733" t="s">
        <v>41</v>
      </c>
      <c r="E4733" t="s">
        <v>49</v>
      </c>
      <c r="F4733" t="s">
        <v>75</v>
      </c>
      <c r="G4733" t="s">
        <v>70</v>
      </c>
      <c r="H4733" t="s">
        <v>90</v>
      </c>
      <c r="I4733" t="s">
        <v>37</v>
      </c>
      <c r="J4733" t="s">
        <v>38</v>
      </c>
      <c r="K4733">
        <v>4737</v>
      </c>
      <c r="L4733">
        <v>151</v>
      </c>
      <c r="M4733">
        <v>52.52</v>
      </c>
      <c r="N4733">
        <v>8</v>
      </c>
      <c r="O4733">
        <v>71.97</v>
      </c>
      <c r="P4733">
        <f t="shared" si="292"/>
        <v>3.1876715220603757E-2</v>
      </c>
      <c r="Q4733">
        <f t="shared" si="292"/>
        <v>0.34781456953642387</v>
      </c>
      <c r="R4733">
        <f t="shared" si="293"/>
        <v>6.5650000000000004</v>
      </c>
      <c r="S4733">
        <f t="shared" si="294"/>
        <v>1.3703351104341202</v>
      </c>
      <c r="T4733">
        <f t="shared" si="295"/>
        <v>5.2980132450331126E-2</v>
      </c>
      <c r="U4733" t="str">
        <f>YEAR('Campaign Data'!$A4733)&amp;"-"&amp;TEXT(MONTH('Campaign Data'!$A4733),"00")</f>
        <v>2026-09</v>
      </c>
    </row>
    <row r="4734" spans="1:21" x14ac:dyDescent="0.25">
      <c r="A4734">
        <v>46280</v>
      </c>
      <c r="B4734" t="s">
        <v>82</v>
      </c>
      <c r="C4734" t="s">
        <v>83</v>
      </c>
      <c r="D4734" t="s">
        <v>80</v>
      </c>
      <c r="E4734" t="s">
        <v>42</v>
      </c>
      <c r="F4734" t="s">
        <v>34</v>
      </c>
      <c r="G4734" t="s">
        <v>84</v>
      </c>
      <c r="H4734" t="s">
        <v>27</v>
      </c>
      <c r="I4734" t="s">
        <v>37</v>
      </c>
      <c r="J4734" t="s">
        <v>29</v>
      </c>
      <c r="K4734">
        <v>10185</v>
      </c>
      <c r="L4734">
        <v>51</v>
      </c>
      <c r="M4734">
        <v>385.82</v>
      </c>
      <c r="N4734">
        <v>1</v>
      </c>
      <c r="O4734">
        <v>168.55</v>
      </c>
      <c r="P4734">
        <f t="shared" si="292"/>
        <v>5.0073637702503686E-3</v>
      </c>
      <c r="Q4734">
        <f t="shared" si="292"/>
        <v>7.5650980392156866</v>
      </c>
      <c r="R4734">
        <f t="shared" si="293"/>
        <v>385.82</v>
      </c>
      <c r="S4734">
        <f t="shared" si="294"/>
        <v>0.43686174900212538</v>
      </c>
      <c r="T4734">
        <f t="shared" si="295"/>
        <v>1.9607843137254902E-2</v>
      </c>
      <c r="U4734" t="str">
        <f>YEAR('Campaign Data'!$A4734)&amp;"-"&amp;TEXT(MONTH('Campaign Data'!$A4734),"00")</f>
        <v>2026-09</v>
      </c>
    </row>
    <row r="4735" spans="1:21" x14ac:dyDescent="0.25">
      <c r="A4735">
        <v>46281</v>
      </c>
      <c r="B4735" t="s">
        <v>85</v>
      </c>
      <c r="C4735" t="s">
        <v>86</v>
      </c>
      <c r="D4735" t="s">
        <v>80</v>
      </c>
      <c r="E4735" t="s">
        <v>33</v>
      </c>
      <c r="F4735" t="s">
        <v>43</v>
      </c>
      <c r="G4735" t="s">
        <v>35</v>
      </c>
      <c r="H4735" t="s">
        <v>90</v>
      </c>
      <c r="I4735" t="s">
        <v>37</v>
      </c>
      <c r="J4735" t="s">
        <v>62</v>
      </c>
      <c r="K4735">
        <v>6647</v>
      </c>
      <c r="L4735">
        <v>93</v>
      </c>
      <c r="M4735">
        <v>13.2</v>
      </c>
      <c r="N4735">
        <v>2</v>
      </c>
      <c r="O4735">
        <v>11.18</v>
      </c>
      <c r="P4735">
        <f t="shared" si="292"/>
        <v>1.399127425906424E-2</v>
      </c>
      <c r="Q4735">
        <f t="shared" si="292"/>
        <v>0.14193548387096774</v>
      </c>
      <c r="R4735">
        <f t="shared" si="293"/>
        <v>6.6</v>
      </c>
      <c r="S4735">
        <f t="shared" si="294"/>
        <v>0.84696969696969704</v>
      </c>
      <c r="T4735">
        <f t="shared" si="295"/>
        <v>2.1505376344086023E-2</v>
      </c>
      <c r="U4735" t="str">
        <f>YEAR('Campaign Data'!$A4735)&amp;"-"&amp;TEXT(MONTH('Campaign Data'!$A4735),"00")</f>
        <v>2026-09</v>
      </c>
    </row>
    <row r="4736" spans="1:21" x14ac:dyDescent="0.25">
      <c r="A4736">
        <v>46281</v>
      </c>
      <c r="B4736" t="s">
        <v>149</v>
      </c>
      <c r="C4736" t="s">
        <v>150</v>
      </c>
      <c r="D4736" t="s">
        <v>65</v>
      </c>
      <c r="E4736" t="s">
        <v>33</v>
      </c>
      <c r="F4736" t="s">
        <v>43</v>
      </c>
      <c r="G4736" t="s">
        <v>59</v>
      </c>
      <c r="H4736" t="s">
        <v>51</v>
      </c>
      <c r="I4736" t="s">
        <v>37</v>
      </c>
      <c r="J4736" t="s">
        <v>62</v>
      </c>
      <c r="K4736">
        <v>4819</v>
      </c>
      <c r="L4736">
        <v>55</v>
      </c>
      <c r="M4736">
        <v>40.82</v>
      </c>
      <c r="N4736">
        <v>1</v>
      </c>
      <c r="O4736">
        <v>16.170000000000002</v>
      </c>
      <c r="P4736">
        <f t="shared" si="292"/>
        <v>1.1413156256484747E-2</v>
      </c>
      <c r="Q4736">
        <f t="shared" si="292"/>
        <v>0.74218181818181816</v>
      </c>
      <c r="R4736">
        <f t="shared" si="293"/>
        <v>40.82</v>
      </c>
      <c r="S4736">
        <f t="shared" si="294"/>
        <v>0.39612934835864777</v>
      </c>
      <c r="T4736">
        <f t="shared" si="295"/>
        <v>1.8181818181818181E-2</v>
      </c>
      <c r="U4736" t="str">
        <f>YEAR('Campaign Data'!$A4736)&amp;"-"&amp;TEXT(MONTH('Campaign Data'!$A4736),"00")</f>
        <v>2026-09</v>
      </c>
    </row>
    <row r="4737" spans="1:21" x14ac:dyDescent="0.25">
      <c r="A4737">
        <v>46281</v>
      </c>
      <c r="B4737" t="s">
        <v>46</v>
      </c>
      <c r="C4737" t="s">
        <v>47</v>
      </c>
      <c r="D4737" t="s">
        <v>48</v>
      </c>
      <c r="E4737" t="s">
        <v>49</v>
      </c>
      <c r="F4737" t="s">
        <v>43</v>
      </c>
      <c r="G4737" t="s">
        <v>50</v>
      </c>
      <c r="H4737" t="s">
        <v>60</v>
      </c>
      <c r="I4737" t="s">
        <v>37</v>
      </c>
      <c r="J4737" t="s">
        <v>62</v>
      </c>
      <c r="K4737">
        <v>9320</v>
      </c>
      <c r="L4737">
        <v>347</v>
      </c>
      <c r="M4737">
        <v>578.85</v>
      </c>
      <c r="N4737">
        <v>9</v>
      </c>
      <c r="O4737">
        <v>264.08</v>
      </c>
      <c r="P4737">
        <f t="shared" si="292"/>
        <v>3.7231759656652361E-2</v>
      </c>
      <c r="Q4737">
        <f t="shared" si="292"/>
        <v>1.6681556195965419</v>
      </c>
      <c r="R4737">
        <f t="shared" si="293"/>
        <v>64.316666666666663</v>
      </c>
      <c r="S4737">
        <f t="shared" si="294"/>
        <v>0.45621490887103738</v>
      </c>
      <c r="T4737">
        <f t="shared" si="295"/>
        <v>2.5936599423631124E-2</v>
      </c>
      <c r="U4737" t="str">
        <f>YEAR('Campaign Data'!$A4737)&amp;"-"&amp;TEXT(MONTH('Campaign Data'!$A4737),"00")</f>
        <v>2026-09</v>
      </c>
    </row>
    <row r="4738" spans="1:21" x14ac:dyDescent="0.25">
      <c r="A4738">
        <v>46281</v>
      </c>
      <c r="B4738" t="s">
        <v>52</v>
      </c>
      <c r="C4738" t="s">
        <v>53</v>
      </c>
      <c r="D4738" t="s">
        <v>32</v>
      </c>
      <c r="E4738" t="s">
        <v>42</v>
      </c>
      <c r="F4738" t="s">
        <v>25</v>
      </c>
      <c r="G4738" t="s">
        <v>54</v>
      </c>
      <c r="H4738" t="s">
        <v>90</v>
      </c>
      <c r="I4738" t="s">
        <v>28</v>
      </c>
      <c r="J4738" t="s">
        <v>38</v>
      </c>
      <c r="K4738">
        <v>4487</v>
      </c>
      <c r="L4738">
        <v>29</v>
      </c>
      <c r="M4738">
        <v>37.57</v>
      </c>
      <c r="N4738">
        <v>0</v>
      </c>
      <c r="O4738">
        <v>0</v>
      </c>
      <c r="P4738">
        <f t="shared" ref="P4738:Q4801" si="296">IF(K4738=0,0,L4738/K4738)</f>
        <v>6.4631156674838418E-3</v>
      </c>
      <c r="Q4738">
        <f t="shared" si="296"/>
        <v>1.2955172413793103</v>
      </c>
      <c r="R4738">
        <f t="shared" ref="R4738:R4801" si="297">IF(N4738=0,0,M4738/N4738)</f>
        <v>0</v>
      </c>
      <c r="S4738">
        <f t="shared" ref="S4738:S4801" si="298">IF(M4738=0,0,O4738/M4738)</f>
        <v>0</v>
      </c>
      <c r="T4738">
        <f t="shared" ref="T4738:T4801" si="299">IF(L4738=0,0,N4738/L4738)</f>
        <v>0</v>
      </c>
      <c r="U4738" t="str">
        <f>YEAR('Campaign Data'!$A4738)&amp;"-"&amp;TEXT(MONTH('Campaign Data'!$A4738),"00")</f>
        <v>2026-09</v>
      </c>
    </row>
    <row r="4739" spans="1:21" x14ac:dyDescent="0.25">
      <c r="A4739">
        <v>46281</v>
      </c>
      <c r="B4739" t="s">
        <v>169</v>
      </c>
      <c r="C4739" t="s">
        <v>170</v>
      </c>
      <c r="D4739" t="s">
        <v>58</v>
      </c>
      <c r="E4739" t="s">
        <v>74</v>
      </c>
      <c r="F4739" t="s">
        <v>75</v>
      </c>
      <c r="G4739" t="s">
        <v>9</v>
      </c>
      <c r="H4739" t="s">
        <v>27</v>
      </c>
      <c r="I4739" t="s">
        <v>37</v>
      </c>
      <c r="J4739" t="s">
        <v>87</v>
      </c>
      <c r="K4739">
        <v>4245</v>
      </c>
      <c r="L4739">
        <v>101</v>
      </c>
      <c r="M4739">
        <v>62.78</v>
      </c>
      <c r="N4739">
        <v>3</v>
      </c>
      <c r="O4739">
        <v>27.06</v>
      </c>
      <c r="P4739">
        <f t="shared" si="296"/>
        <v>2.3792697290930507E-2</v>
      </c>
      <c r="Q4739">
        <f t="shared" si="296"/>
        <v>0.62158415841584158</v>
      </c>
      <c r="R4739">
        <f t="shared" si="297"/>
        <v>20.926666666666666</v>
      </c>
      <c r="S4739">
        <f t="shared" si="298"/>
        <v>0.43102899012424334</v>
      </c>
      <c r="T4739">
        <f t="shared" si="299"/>
        <v>2.9702970297029702E-2</v>
      </c>
      <c r="U4739" t="str">
        <f>YEAR('Campaign Data'!$A4739)&amp;"-"&amp;TEXT(MONTH('Campaign Data'!$A4739),"00")</f>
        <v>2026-09</v>
      </c>
    </row>
    <row r="4740" spans="1:21" x14ac:dyDescent="0.25">
      <c r="A4740">
        <v>46281</v>
      </c>
      <c r="B4740" t="s">
        <v>103</v>
      </c>
      <c r="C4740" t="s">
        <v>104</v>
      </c>
      <c r="D4740" t="s">
        <v>65</v>
      </c>
      <c r="E4740" t="s">
        <v>33</v>
      </c>
      <c r="F4740" t="s">
        <v>43</v>
      </c>
      <c r="G4740" t="s">
        <v>102</v>
      </c>
      <c r="H4740" t="s">
        <v>27</v>
      </c>
      <c r="I4740" t="s">
        <v>61</v>
      </c>
      <c r="J4740" t="s">
        <v>87</v>
      </c>
      <c r="K4740">
        <v>7138</v>
      </c>
      <c r="L4740">
        <v>55</v>
      </c>
      <c r="M4740">
        <v>40.93</v>
      </c>
      <c r="N4740">
        <v>1</v>
      </c>
      <c r="O4740">
        <v>26.45</v>
      </c>
      <c r="P4740">
        <f t="shared" si="296"/>
        <v>7.7052395629027739E-3</v>
      </c>
      <c r="Q4740">
        <f t="shared" si="296"/>
        <v>0.74418181818181817</v>
      </c>
      <c r="R4740">
        <f t="shared" si="297"/>
        <v>40.93</v>
      </c>
      <c r="S4740">
        <f t="shared" si="298"/>
        <v>0.64622526264353775</v>
      </c>
      <c r="T4740">
        <f t="shared" si="299"/>
        <v>1.8181818181818181E-2</v>
      </c>
      <c r="U4740" t="str">
        <f>YEAR('Campaign Data'!$A4740)&amp;"-"&amp;TEXT(MONTH('Campaign Data'!$A4740),"00")</f>
        <v>2026-09</v>
      </c>
    </row>
    <row r="4741" spans="1:21" x14ac:dyDescent="0.25">
      <c r="A4741">
        <v>46281</v>
      </c>
      <c r="B4741" t="s">
        <v>153</v>
      </c>
      <c r="C4741" t="s">
        <v>154</v>
      </c>
      <c r="D4741" t="s">
        <v>48</v>
      </c>
      <c r="E4741" t="s">
        <v>33</v>
      </c>
      <c r="F4741" t="s">
        <v>43</v>
      </c>
      <c r="G4741" t="s">
        <v>59</v>
      </c>
      <c r="H4741" t="s">
        <v>27</v>
      </c>
      <c r="I4741" t="s">
        <v>28</v>
      </c>
      <c r="J4741" t="s">
        <v>29</v>
      </c>
      <c r="K4741">
        <v>3362</v>
      </c>
      <c r="L4741">
        <v>11</v>
      </c>
      <c r="M4741">
        <v>10.029999999999999</v>
      </c>
      <c r="N4741">
        <v>0</v>
      </c>
      <c r="O4741">
        <v>0</v>
      </c>
      <c r="P4741">
        <f t="shared" si="296"/>
        <v>3.2718619869125522E-3</v>
      </c>
      <c r="Q4741">
        <f t="shared" si="296"/>
        <v>0.91181818181818175</v>
      </c>
      <c r="R4741">
        <f t="shared" si="297"/>
        <v>0</v>
      </c>
      <c r="S4741">
        <f t="shared" si="298"/>
        <v>0</v>
      </c>
      <c r="T4741">
        <f t="shared" si="299"/>
        <v>0</v>
      </c>
      <c r="U4741" t="str">
        <f>YEAR('Campaign Data'!$A4741)&amp;"-"&amp;TEXT(MONTH('Campaign Data'!$A4741),"00")</f>
        <v>2026-09</v>
      </c>
    </row>
    <row r="4742" spans="1:21" x14ac:dyDescent="0.25">
      <c r="A4742">
        <v>46281</v>
      </c>
      <c r="B4742" t="s">
        <v>136</v>
      </c>
      <c r="C4742" t="s">
        <v>137</v>
      </c>
      <c r="D4742" t="s">
        <v>32</v>
      </c>
      <c r="E4742" t="s">
        <v>49</v>
      </c>
      <c r="F4742" t="s">
        <v>75</v>
      </c>
      <c r="G4742" t="s">
        <v>97</v>
      </c>
      <c r="H4742" t="s">
        <v>90</v>
      </c>
      <c r="I4742" t="s">
        <v>37</v>
      </c>
      <c r="J4742" t="s">
        <v>45</v>
      </c>
      <c r="K4742">
        <v>6125</v>
      </c>
      <c r="L4742">
        <v>258</v>
      </c>
      <c r="M4742">
        <v>91.75</v>
      </c>
      <c r="N4742">
        <v>5</v>
      </c>
      <c r="O4742">
        <v>48.06</v>
      </c>
      <c r="P4742">
        <f t="shared" si="296"/>
        <v>4.2122448979591838E-2</v>
      </c>
      <c r="Q4742">
        <f t="shared" si="296"/>
        <v>0.35562015503875971</v>
      </c>
      <c r="R4742">
        <f t="shared" si="297"/>
        <v>18.350000000000001</v>
      </c>
      <c r="S4742">
        <f t="shared" si="298"/>
        <v>0.52381471389645784</v>
      </c>
      <c r="T4742">
        <f t="shared" si="299"/>
        <v>1.937984496124031E-2</v>
      </c>
      <c r="U4742" t="str">
        <f>YEAR('Campaign Data'!$A4742)&amp;"-"&amp;TEXT(MONTH('Campaign Data'!$A4742),"00")</f>
        <v>2026-09</v>
      </c>
    </row>
    <row r="4743" spans="1:21" x14ac:dyDescent="0.25">
      <c r="A4743">
        <v>46281</v>
      </c>
      <c r="B4743" t="s">
        <v>63</v>
      </c>
      <c r="C4743" t="s">
        <v>64</v>
      </c>
      <c r="D4743" t="s">
        <v>65</v>
      </c>
      <c r="E4743" t="s">
        <v>24</v>
      </c>
      <c r="F4743" t="s">
        <v>43</v>
      </c>
      <c r="G4743" t="s">
        <v>66</v>
      </c>
      <c r="H4743" t="s">
        <v>51</v>
      </c>
      <c r="I4743" t="s">
        <v>28</v>
      </c>
      <c r="J4743" t="s">
        <v>87</v>
      </c>
      <c r="K4743">
        <v>5350</v>
      </c>
      <c r="L4743">
        <v>67</v>
      </c>
      <c r="M4743">
        <v>56.47</v>
      </c>
      <c r="N4743">
        <v>1</v>
      </c>
      <c r="O4743">
        <v>33.79</v>
      </c>
      <c r="P4743">
        <f t="shared" si="296"/>
        <v>1.2523364485981308E-2</v>
      </c>
      <c r="Q4743">
        <f t="shared" si="296"/>
        <v>0.84283582089552234</v>
      </c>
      <c r="R4743">
        <f t="shared" si="297"/>
        <v>56.47</v>
      </c>
      <c r="S4743">
        <f t="shared" si="298"/>
        <v>0.59837081636267042</v>
      </c>
      <c r="T4743">
        <f t="shared" si="299"/>
        <v>1.4925373134328358E-2</v>
      </c>
      <c r="U4743" t="str">
        <f>YEAR('Campaign Data'!$A4743)&amp;"-"&amp;TEXT(MONTH('Campaign Data'!$A4743),"00")</f>
        <v>2026-09</v>
      </c>
    </row>
    <row r="4744" spans="1:21" x14ac:dyDescent="0.25">
      <c r="A4744">
        <v>46281</v>
      </c>
      <c r="B4744" t="s">
        <v>67</v>
      </c>
      <c r="C4744" t="s">
        <v>68</v>
      </c>
      <c r="D4744" t="s">
        <v>69</v>
      </c>
      <c r="E4744" t="s">
        <v>49</v>
      </c>
      <c r="F4744" t="s">
        <v>34</v>
      </c>
      <c r="G4744" t="s">
        <v>70</v>
      </c>
      <c r="H4744" t="s">
        <v>27</v>
      </c>
      <c r="I4744" t="s">
        <v>61</v>
      </c>
      <c r="J4744" t="s">
        <v>87</v>
      </c>
      <c r="K4744">
        <v>3349</v>
      </c>
      <c r="L4744">
        <v>106</v>
      </c>
      <c r="M4744">
        <v>147.72</v>
      </c>
      <c r="N4744">
        <v>5</v>
      </c>
      <c r="O4744">
        <v>1055.18</v>
      </c>
      <c r="P4744">
        <f t="shared" si="296"/>
        <v>3.1651239175873397E-2</v>
      </c>
      <c r="Q4744">
        <f t="shared" si="296"/>
        <v>1.3935849056603773</v>
      </c>
      <c r="R4744">
        <f t="shared" si="297"/>
        <v>29.544</v>
      </c>
      <c r="S4744">
        <f t="shared" si="298"/>
        <v>7.1431085838072033</v>
      </c>
      <c r="T4744">
        <f t="shared" si="299"/>
        <v>4.716981132075472E-2</v>
      </c>
      <c r="U4744" t="str">
        <f>YEAR('Campaign Data'!$A4744)&amp;"-"&amp;TEXT(MONTH('Campaign Data'!$A4744),"00")</f>
        <v>2026-09</v>
      </c>
    </row>
    <row r="4745" spans="1:21" x14ac:dyDescent="0.25">
      <c r="A4745">
        <v>46281</v>
      </c>
      <c r="B4745" t="s">
        <v>72</v>
      </c>
      <c r="C4745" t="s">
        <v>73</v>
      </c>
      <c r="D4745" t="s">
        <v>69</v>
      </c>
      <c r="E4745" t="s">
        <v>74</v>
      </c>
      <c r="F4745" t="s">
        <v>75</v>
      </c>
      <c r="G4745" t="s">
        <v>9</v>
      </c>
      <c r="H4745" t="s">
        <v>90</v>
      </c>
      <c r="I4745" t="s">
        <v>28</v>
      </c>
      <c r="J4745" t="s">
        <v>87</v>
      </c>
      <c r="K4745">
        <v>6886</v>
      </c>
      <c r="L4745">
        <v>236</v>
      </c>
      <c r="M4745">
        <v>70.08</v>
      </c>
      <c r="N4745">
        <v>3</v>
      </c>
      <c r="O4745">
        <v>24.92</v>
      </c>
      <c r="P4745">
        <f t="shared" si="296"/>
        <v>3.4272436828347373E-2</v>
      </c>
      <c r="Q4745">
        <f t="shared" si="296"/>
        <v>0.29694915254237286</v>
      </c>
      <c r="R4745">
        <f t="shared" si="297"/>
        <v>23.36</v>
      </c>
      <c r="S4745">
        <f t="shared" si="298"/>
        <v>0.35559360730593609</v>
      </c>
      <c r="T4745">
        <f t="shared" si="299"/>
        <v>1.2711864406779662E-2</v>
      </c>
      <c r="U4745" t="str">
        <f>YEAR('Campaign Data'!$A4745)&amp;"-"&amp;TEXT(MONTH('Campaign Data'!$A4745),"00")</f>
        <v>2026-09</v>
      </c>
    </row>
    <row r="4746" spans="1:21" x14ac:dyDescent="0.25">
      <c r="A4746">
        <v>46281</v>
      </c>
      <c r="B4746" t="s">
        <v>76</v>
      </c>
      <c r="C4746" t="s">
        <v>77</v>
      </c>
      <c r="D4746" t="s">
        <v>65</v>
      </c>
      <c r="E4746" t="s">
        <v>42</v>
      </c>
      <c r="F4746" t="s">
        <v>43</v>
      </c>
      <c r="G4746" t="s">
        <v>44</v>
      </c>
      <c r="H4746" t="s">
        <v>27</v>
      </c>
      <c r="I4746" t="s">
        <v>37</v>
      </c>
      <c r="J4746" t="s">
        <v>38</v>
      </c>
      <c r="K4746">
        <v>6473</v>
      </c>
      <c r="L4746">
        <v>47</v>
      </c>
      <c r="M4746">
        <v>362.99</v>
      </c>
      <c r="N4746">
        <v>2</v>
      </c>
      <c r="O4746">
        <v>91.47</v>
      </c>
      <c r="P4746">
        <f t="shared" si="296"/>
        <v>7.2609300169936657E-3</v>
      </c>
      <c r="Q4746">
        <f t="shared" si="296"/>
        <v>7.7231914893617022</v>
      </c>
      <c r="R4746">
        <f t="shared" si="297"/>
        <v>181.495</v>
      </c>
      <c r="S4746">
        <f t="shared" si="298"/>
        <v>0.25199041295903468</v>
      </c>
      <c r="T4746">
        <f t="shared" si="299"/>
        <v>4.2553191489361701E-2</v>
      </c>
      <c r="U4746" t="str">
        <f>YEAR('Campaign Data'!$A4746)&amp;"-"&amp;TEXT(MONTH('Campaign Data'!$A4746),"00")</f>
        <v>2026-09</v>
      </c>
    </row>
    <row r="4747" spans="1:21" x14ac:dyDescent="0.25">
      <c r="A4747">
        <v>46282</v>
      </c>
      <c r="B4747" t="s">
        <v>165</v>
      </c>
      <c r="C4747" t="s">
        <v>166</v>
      </c>
      <c r="D4747" t="s">
        <v>41</v>
      </c>
      <c r="E4747" t="s">
        <v>33</v>
      </c>
      <c r="F4747" t="s">
        <v>43</v>
      </c>
      <c r="G4747" t="s">
        <v>59</v>
      </c>
      <c r="H4747" t="s">
        <v>90</v>
      </c>
      <c r="I4747" t="s">
        <v>37</v>
      </c>
      <c r="J4747" t="s">
        <v>45</v>
      </c>
      <c r="K4747">
        <v>21011</v>
      </c>
      <c r="L4747">
        <v>169</v>
      </c>
      <c r="M4747">
        <v>19.989999999999998</v>
      </c>
      <c r="N4747">
        <v>0</v>
      </c>
      <c r="O4747">
        <v>0</v>
      </c>
      <c r="P4747">
        <f t="shared" si="296"/>
        <v>8.0434058350387899E-3</v>
      </c>
      <c r="Q4747">
        <f t="shared" si="296"/>
        <v>0.11828402366863905</v>
      </c>
      <c r="R4747">
        <f t="shared" si="297"/>
        <v>0</v>
      </c>
      <c r="S4747">
        <f t="shared" si="298"/>
        <v>0</v>
      </c>
      <c r="T4747">
        <f t="shared" si="299"/>
        <v>0</v>
      </c>
      <c r="U4747" t="str">
        <f>YEAR('Campaign Data'!$A4747)&amp;"-"&amp;TEXT(MONTH('Campaign Data'!$A4747),"00")</f>
        <v>2026-09</v>
      </c>
    </row>
    <row r="4748" spans="1:21" x14ac:dyDescent="0.25">
      <c r="A4748">
        <v>46282</v>
      </c>
      <c r="B4748" t="s">
        <v>173</v>
      </c>
      <c r="C4748" t="s">
        <v>174</v>
      </c>
      <c r="D4748" t="s">
        <v>48</v>
      </c>
      <c r="E4748" t="s">
        <v>74</v>
      </c>
      <c r="F4748" t="s">
        <v>25</v>
      </c>
      <c r="G4748" t="s">
        <v>9</v>
      </c>
      <c r="H4748" t="s">
        <v>36</v>
      </c>
      <c r="I4748" t="s">
        <v>28</v>
      </c>
      <c r="J4748" t="s">
        <v>62</v>
      </c>
      <c r="K4748">
        <v>6939</v>
      </c>
      <c r="L4748">
        <v>253</v>
      </c>
      <c r="M4748">
        <v>314.86</v>
      </c>
      <c r="N4748">
        <v>20</v>
      </c>
      <c r="O4748">
        <v>3243.64</v>
      </c>
      <c r="P4748">
        <f t="shared" si="296"/>
        <v>3.6460585098717392E-2</v>
      </c>
      <c r="Q4748">
        <f t="shared" si="296"/>
        <v>1.244505928853755</v>
      </c>
      <c r="R4748">
        <f t="shared" si="297"/>
        <v>15.743</v>
      </c>
      <c r="S4748">
        <f t="shared" si="298"/>
        <v>10.301848440576764</v>
      </c>
      <c r="T4748">
        <f t="shared" si="299"/>
        <v>7.9051383399209488E-2</v>
      </c>
      <c r="U4748" t="str">
        <f>YEAR('Campaign Data'!$A4748)&amp;"-"&amp;TEXT(MONTH('Campaign Data'!$A4748),"00")</f>
        <v>2026-09</v>
      </c>
    </row>
    <row r="4749" spans="1:21" x14ac:dyDescent="0.25">
      <c r="A4749">
        <v>46282</v>
      </c>
      <c r="B4749" t="s">
        <v>88</v>
      </c>
      <c r="C4749" t="s">
        <v>89</v>
      </c>
      <c r="D4749" t="s">
        <v>23</v>
      </c>
      <c r="E4749" t="s">
        <v>49</v>
      </c>
      <c r="F4749" t="s">
        <v>81</v>
      </c>
      <c r="G4749" t="s">
        <v>50</v>
      </c>
      <c r="H4749" t="s">
        <v>27</v>
      </c>
      <c r="I4749" t="s">
        <v>37</v>
      </c>
      <c r="J4749" t="s">
        <v>38</v>
      </c>
      <c r="K4749">
        <v>3339</v>
      </c>
      <c r="L4749">
        <v>125</v>
      </c>
      <c r="M4749">
        <v>265.86</v>
      </c>
      <c r="N4749">
        <v>11</v>
      </c>
      <c r="O4749">
        <v>180.16</v>
      </c>
      <c r="P4749">
        <f t="shared" si="296"/>
        <v>3.7436358191075172E-2</v>
      </c>
      <c r="Q4749">
        <f t="shared" si="296"/>
        <v>2.1268800000000003</v>
      </c>
      <c r="R4749">
        <f t="shared" si="297"/>
        <v>24.169090909090912</v>
      </c>
      <c r="S4749">
        <f t="shared" si="298"/>
        <v>0.67764989092003303</v>
      </c>
      <c r="T4749">
        <f t="shared" si="299"/>
        <v>8.7999999999999995E-2</v>
      </c>
      <c r="U4749" t="str">
        <f>YEAR('Campaign Data'!$A4749)&amp;"-"&amp;TEXT(MONTH('Campaign Data'!$A4749),"00")</f>
        <v>2026-09</v>
      </c>
    </row>
    <row r="4750" spans="1:21" x14ac:dyDescent="0.25">
      <c r="A4750">
        <v>46282</v>
      </c>
      <c r="B4750" t="s">
        <v>167</v>
      </c>
      <c r="C4750" t="s">
        <v>168</v>
      </c>
      <c r="D4750" t="s">
        <v>58</v>
      </c>
      <c r="E4750" t="s">
        <v>33</v>
      </c>
      <c r="F4750" t="s">
        <v>75</v>
      </c>
      <c r="G4750" t="s">
        <v>35</v>
      </c>
      <c r="H4750" t="s">
        <v>36</v>
      </c>
      <c r="I4750" t="s">
        <v>37</v>
      </c>
      <c r="J4750" t="s">
        <v>29</v>
      </c>
      <c r="K4750">
        <v>6261</v>
      </c>
      <c r="L4750">
        <v>72</v>
      </c>
      <c r="M4750">
        <v>30.31</v>
      </c>
      <c r="N4750">
        <v>0</v>
      </c>
      <c r="O4750">
        <v>0</v>
      </c>
      <c r="P4750">
        <f t="shared" si="296"/>
        <v>1.1499760421657882E-2</v>
      </c>
      <c r="Q4750">
        <f t="shared" si="296"/>
        <v>0.42097222222222219</v>
      </c>
      <c r="R4750">
        <f t="shared" si="297"/>
        <v>0</v>
      </c>
      <c r="S4750">
        <f t="shared" si="298"/>
        <v>0</v>
      </c>
      <c r="T4750">
        <f t="shared" si="299"/>
        <v>0</v>
      </c>
      <c r="U4750" t="str">
        <f>YEAR('Campaign Data'!$A4750)&amp;"-"&amp;TEXT(MONTH('Campaign Data'!$A4750),"00")</f>
        <v>2026-09</v>
      </c>
    </row>
    <row r="4751" spans="1:21" x14ac:dyDescent="0.25">
      <c r="A4751">
        <v>46282</v>
      </c>
      <c r="B4751" t="s">
        <v>138</v>
      </c>
      <c r="C4751" t="s">
        <v>139</v>
      </c>
      <c r="D4751" t="s">
        <v>58</v>
      </c>
      <c r="E4751" t="s">
        <v>74</v>
      </c>
      <c r="F4751" t="s">
        <v>34</v>
      </c>
      <c r="G4751" t="s">
        <v>9</v>
      </c>
      <c r="H4751" t="s">
        <v>90</v>
      </c>
      <c r="I4751" t="s">
        <v>37</v>
      </c>
      <c r="J4751" t="s">
        <v>29</v>
      </c>
      <c r="K4751">
        <v>11252</v>
      </c>
      <c r="L4751">
        <v>348</v>
      </c>
      <c r="M4751">
        <v>111.98</v>
      </c>
      <c r="N4751">
        <v>26</v>
      </c>
      <c r="O4751">
        <v>989.39</v>
      </c>
      <c r="P4751">
        <f t="shared" si="296"/>
        <v>3.0927835051546393E-2</v>
      </c>
      <c r="Q4751">
        <f t="shared" si="296"/>
        <v>0.32178160919540233</v>
      </c>
      <c r="R4751">
        <f t="shared" si="297"/>
        <v>4.3069230769230771</v>
      </c>
      <c r="S4751">
        <f t="shared" si="298"/>
        <v>8.8354170387569209</v>
      </c>
      <c r="T4751">
        <f t="shared" si="299"/>
        <v>7.4712643678160925E-2</v>
      </c>
      <c r="U4751" t="str">
        <f>YEAR('Campaign Data'!$A4751)&amp;"-"&amp;TEXT(MONTH('Campaign Data'!$A4751),"00")</f>
        <v>2026-09</v>
      </c>
    </row>
    <row r="4752" spans="1:21" x14ac:dyDescent="0.25">
      <c r="A4752">
        <v>46282</v>
      </c>
      <c r="B4752" t="s">
        <v>39</v>
      </c>
      <c r="C4752" t="s">
        <v>40</v>
      </c>
      <c r="D4752" t="s">
        <v>41</v>
      </c>
      <c r="E4752" t="s">
        <v>42</v>
      </c>
      <c r="F4752" t="s">
        <v>43</v>
      </c>
      <c r="G4752" t="s">
        <v>44</v>
      </c>
      <c r="H4752" t="s">
        <v>27</v>
      </c>
      <c r="I4752" t="s">
        <v>28</v>
      </c>
      <c r="J4752" t="s">
        <v>45</v>
      </c>
      <c r="K4752">
        <v>10540</v>
      </c>
      <c r="L4752">
        <v>82</v>
      </c>
      <c r="M4752">
        <v>507.47</v>
      </c>
      <c r="N4752">
        <v>2</v>
      </c>
      <c r="O4752">
        <v>60.57</v>
      </c>
      <c r="P4752">
        <f t="shared" si="296"/>
        <v>7.7798861480075903E-3</v>
      </c>
      <c r="Q4752">
        <f t="shared" si="296"/>
        <v>6.1886585365853666</v>
      </c>
      <c r="R4752">
        <f t="shared" si="297"/>
        <v>253.73500000000001</v>
      </c>
      <c r="S4752">
        <f t="shared" si="298"/>
        <v>0.11935680926951346</v>
      </c>
      <c r="T4752">
        <f t="shared" si="299"/>
        <v>2.4390243902439025E-2</v>
      </c>
      <c r="U4752" t="str">
        <f>YEAR('Campaign Data'!$A4752)&amp;"-"&amp;TEXT(MONTH('Campaign Data'!$A4752),"00")</f>
        <v>2026-09</v>
      </c>
    </row>
    <row r="4753" spans="1:21" x14ac:dyDescent="0.25">
      <c r="A4753">
        <v>46282</v>
      </c>
      <c r="B4753" t="s">
        <v>39</v>
      </c>
      <c r="C4753" t="s">
        <v>40</v>
      </c>
      <c r="D4753" t="s">
        <v>41</v>
      </c>
      <c r="E4753" t="s">
        <v>42</v>
      </c>
      <c r="F4753" t="s">
        <v>43</v>
      </c>
      <c r="G4753" t="s">
        <v>44</v>
      </c>
      <c r="H4753" t="s">
        <v>51</v>
      </c>
      <c r="I4753" t="s">
        <v>37</v>
      </c>
      <c r="J4753" t="s">
        <v>38</v>
      </c>
      <c r="K4753">
        <v>4895</v>
      </c>
      <c r="L4753">
        <v>28</v>
      </c>
      <c r="M4753">
        <v>148.36000000000001</v>
      </c>
      <c r="N4753">
        <v>0</v>
      </c>
      <c r="O4753">
        <v>0</v>
      </c>
      <c r="P4753">
        <f t="shared" si="296"/>
        <v>5.7201225740551587E-3</v>
      </c>
      <c r="Q4753">
        <f t="shared" si="296"/>
        <v>5.2985714285714289</v>
      </c>
      <c r="R4753">
        <f t="shared" si="297"/>
        <v>0</v>
      </c>
      <c r="S4753">
        <f t="shared" si="298"/>
        <v>0</v>
      </c>
      <c r="T4753">
        <f t="shared" si="299"/>
        <v>0</v>
      </c>
      <c r="U4753" t="str">
        <f>YEAR('Campaign Data'!$A4753)&amp;"-"&amp;TEXT(MONTH('Campaign Data'!$A4753),"00")</f>
        <v>2026-09</v>
      </c>
    </row>
    <row r="4754" spans="1:21" x14ac:dyDescent="0.25">
      <c r="A4754">
        <v>46282</v>
      </c>
      <c r="B4754" t="s">
        <v>105</v>
      </c>
      <c r="C4754" t="s">
        <v>106</v>
      </c>
      <c r="D4754" t="s">
        <v>58</v>
      </c>
      <c r="E4754" t="s">
        <v>49</v>
      </c>
      <c r="F4754" t="s">
        <v>81</v>
      </c>
      <c r="G4754" t="s">
        <v>107</v>
      </c>
      <c r="H4754" t="s">
        <v>27</v>
      </c>
      <c r="I4754" t="s">
        <v>28</v>
      </c>
      <c r="J4754" t="s">
        <v>38</v>
      </c>
      <c r="K4754">
        <v>10877</v>
      </c>
      <c r="L4754">
        <v>515</v>
      </c>
      <c r="M4754">
        <v>951.51</v>
      </c>
      <c r="N4754">
        <v>28</v>
      </c>
      <c r="O4754">
        <v>1043.75</v>
      </c>
      <c r="P4754">
        <f t="shared" si="296"/>
        <v>4.7347614231865405E-2</v>
      </c>
      <c r="Q4754">
        <f t="shared" si="296"/>
        <v>1.8475922330097088</v>
      </c>
      <c r="R4754">
        <f t="shared" si="297"/>
        <v>33.982500000000002</v>
      </c>
      <c r="S4754">
        <f t="shared" si="298"/>
        <v>1.0969406522264611</v>
      </c>
      <c r="T4754">
        <f t="shared" si="299"/>
        <v>5.4368932038834951E-2</v>
      </c>
      <c r="U4754" t="str">
        <f>YEAR('Campaign Data'!$A4754)&amp;"-"&amp;TEXT(MONTH('Campaign Data'!$A4754),"00")</f>
        <v>2026-09</v>
      </c>
    </row>
    <row r="4755" spans="1:21" x14ac:dyDescent="0.25">
      <c r="A4755">
        <v>46282</v>
      </c>
      <c r="B4755" t="s">
        <v>105</v>
      </c>
      <c r="C4755" t="s">
        <v>106</v>
      </c>
      <c r="D4755" t="s">
        <v>58</v>
      </c>
      <c r="E4755" t="s">
        <v>49</v>
      </c>
      <c r="F4755" t="s">
        <v>81</v>
      </c>
      <c r="G4755" t="s">
        <v>107</v>
      </c>
      <c r="H4755" t="s">
        <v>51</v>
      </c>
      <c r="I4755" t="s">
        <v>37</v>
      </c>
      <c r="J4755" t="s">
        <v>29</v>
      </c>
      <c r="K4755">
        <v>6111</v>
      </c>
      <c r="L4755">
        <v>239</v>
      </c>
      <c r="M4755">
        <v>466.43</v>
      </c>
      <c r="N4755">
        <v>10</v>
      </c>
      <c r="O4755">
        <v>152.16999999999999</v>
      </c>
      <c r="P4755">
        <f t="shared" si="296"/>
        <v>3.9109801996399934E-2</v>
      </c>
      <c r="Q4755">
        <f t="shared" si="296"/>
        <v>1.9515899581589959</v>
      </c>
      <c r="R4755">
        <f t="shared" si="297"/>
        <v>46.643000000000001</v>
      </c>
      <c r="S4755">
        <f t="shared" si="298"/>
        <v>0.32624402375490424</v>
      </c>
      <c r="T4755">
        <f t="shared" si="299"/>
        <v>4.1841004184100417E-2</v>
      </c>
      <c r="U4755" t="str">
        <f>YEAR('Campaign Data'!$A4755)&amp;"-"&amp;TEXT(MONTH('Campaign Data'!$A4755),"00")</f>
        <v>2026-09</v>
      </c>
    </row>
    <row r="4756" spans="1:21" x14ac:dyDescent="0.25">
      <c r="A4756">
        <v>46282</v>
      </c>
      <c r="B4756" t="s">
        <v>130</v>
      </c>
      <c r="C4756" t="s">
        <v>131</v>
      </c>
      <c r="D4756" t="s">
        <v>48</v>
      </c>
      <c r="E4756" t="s">
        <v>33</v>
      </c>
      <c r="F4756" t="s">
        <v>34</v>
      </c>
      <c r="G4756" t="s">
        <v>35</v>
      </c>
      <c r="H4756" t="s">
        <v>55</v>
      </c>
      <c r="I4756" t="s">
        <v>28</v>
      </c>
      <c r="J4756" t="s">
        <v>87</v>
      </c>
      <c r="K4756">
        <v>11995</v>
      </c>
      <c r="L4756">
        <v>119</v>
      </c>
      <c r="M4756">
        <v>78.48</v>
      </c>
      <c r="N4756">
        <v>0</v>
      </c>
      <c r="O4756">
        <v>0</v>
      </c>
      <c r="P4756">
        <f t="shared" si="296"/>
        <v>9.9208003334722798E-3</v>
      </c>
      <c r="Q4756">
        <f t="shared" si="296"/>
        <v>0.65949579831932781</v>
      </c>
      <c r="R4756">
        <f t="shared" si="297"/>
        <v>0</v>
      </c>
      <c r="S4756">
        <f t="shared" si="298"/>
        <v>0</v>
      </c>
      <c r="T4756">
        <f t="shared" si="299"/>
        <v>0</v>
      </c>
      <c r="U4756" t="str">
        <f>YEAR('Campaign Data'!$A4756)&amp;"-"&amp;TEXT(MONTH('Campaign Data'!$A4756),"00")</f>
        <v>2026-09</v>
      </c>
    </row>
    <row r="4757" spans="1:21" x14ac:dyDescent="0.25">
      <c r="A4757">
        <v>46282</v>
      </c>
      <c r="B4757" t="s">
        <v>110</v>
      </c>
      <c r="C4757" t="s">
        <v>111</v>
      </c>
      <c r="D4757" t="s">
        <v>23</v>
      </c>
      <c r="E4757" t="s">
        <v>49</v>
      </c>
      <c r="F4757" t="s">
        <v>34</v>
      </c>
      <c r="G4757" t="s">
        <v>50</v>
      </c>
      <c r="H4757" t="s">
        <v>27</v>
      </c>
      <c r="I4757" t="s">
        <v>37</v>
      </c>
      <c r="J4757" t="s">
        <v>45</v>
      </c>
      <c r="K4757">
        <v>2616</v>
      </c>
      <c r="L4757">
        <v>120</v>
      </c>
      <c r="M4757">
        <v>284.68</v>
      </c>
      <c r="N4757">
        <v>3</v>
      </c>
      <c r="O4757">
        <v>270.60000000000002</v>
      </c>
      <c r="P4757">
        <f t="shared" si="296"/>
        <v>4.5871559633027525E-2</v>
      </c>
      <c r="Q4757">
        <f t="shared" si="296"/>
        <v>2.3723333333333332</v>
      </c>
      <c r="R4757">
        <f t="shared" si="297"/>
        <v>94.893333333333331</v>
      </c>
      <c r="S4757">
        <f t="shared" si="298"/>
        <v>0.95054095826893359</v>
      </c>
      <c r="T4757">
        <f t="shared" si="299"/>
        <v>2.5000000000000001E-2</v>
      </c>
      <c r="U4757" t="str">
        <f>YEAR('Campaign Data'!$A4757)&amp;"-"&amp;TEXT(MONTH('Campaign Data'!$A4757),"00")</f>
        <v>2026-09</v>
      </c>
    </row>
    <row r="4758" spans="1:21" x14ac:dyDescent="0.25">
      <c r="A4758">
        <v>46282</v>
      </c>
      <c r="B4758" t="s">
        <v>110</v>
      </c>
      <c r="C4758" t="s">
        <v>111</v>
      </c>
      <c r="D4758" t="s">
        <v>23</v>
      </c>
      <c r="E4758" t="s">
        <v>49</v>
      </c>
      <c r="F4758" t="s">
        <v>34</v>
      </c>
      <c r="G4758" t="s">
        <v>50</v>
      </c>
      <c r="H4758" t="s">
        <v>27</v>
      </c>
      <c r="I4758" t="s">
        <v>37</v>
      </c>
      <c r="J4758" t="s">
        <v>38</v>
      </c>
      <c r="K4758">
        <v>5245</v>
      </c>
      <c r="L4758">
        <v>185</v>
      </c>
      <c r="M4758">
        <v>369.58</v>
      </c>
      <c r="N4758">
        <v>11</v>
      </c>
      <c r="O4758">
        <v>1461.69</v>
      </c>
      <c r="P4758">
        <f t="shared" si="296"/>
        <v>3.5271687321258342E-2</v>
      </c>
      <c r="Q4758">
        <f t="shared" si="296"/>
        <v>1.9977297297297296</v>
      </c>
      <c r="R4758">
        <f t="shared" si="297"/>
        <v>33.598181818181814</v>
      </c>
      <c r="S4758">
        <f t="shared" si="298"/>
        <v>3.9550029763515346</v>
      </c>
      <c r="T4758">
        <f t="shared" si="299"/>
        <v>5.9459459459459463E-2</v>
      </c>
      <c r="U4758" t="str">
        <f>YEAR('Campaign Data'!$A4758)&amp;"-"&amp;TEXT(MONTH('Campaign Data'!$A4758),"00")</f>
        <v>2026-09</v>
      </c>
    </row>
    <row r="4759" spans="1:21" x14ac:dyDescent="0.25">
      <c r="A4759">
        <v>46282</v>
      </c>
      <c r="B4759" t="s">
        <v>157</v>
      </c>
      <c r="C4759" t="s">
        <v>158</v>
      </c>
      <c r="D4759" t="s">
        <v>58</v>
      </c>
      <c r="E4759" t="s">
        <v>49</v>
      </c>
      <c r="F4759" t="s">
        <v>81</v>
      </c>
      <c r="G4759" t="s">
        <v>50</v>
      </c>
      <c r="H4759" t="s">
        <v>27</v>
      </c>
      <c r="I4759" t="s">
        <v>37</v>
      </c>
      <c r="J4759" t="s">
        <v>29</v>
      </c>
      <c r="K4759">
        <v>10434</v>
      </c>
      <c r="L4759">
        <v>572</v>
      </c>
      <c r="M4759">
        <v>1227.6199999999999</v>
      </c>
      <c r="N4759">
        <v>34</v>
      </c>
      <c r="O4759">
        <v>608.69000000000005</v>
      </c>
      <c r="P4759">
        <f t="shared" si="296"/>
        <v>5.4820778225033541E-2</v>
      </c>
      <c r="Q4759">
        <f t="shared" si="296"/>
        <v>2.1461888111888112</v>
      </c>
      <c r="R4759">
        <f t="shared" si="297"/>
        <v>36.10647058823529</v>
      </c>
      <c r="S4759">
        <f t="shared" si="298"/>
        <v>0.4958293282937718</v>
      </c>
      <c r="T4759">
        <f t="shared" si="299"/>
        <v>5.944055944055944E-2</v>
      </c>
      <c r="U4759" t="str">
        <f>YEAR('Campaign Data'!$A4759)&amp;"-"&amp;TEXT(MONTH('Campaign Data'!$A4759),"00")</f>
        <v>2026-09</v>
      </c>
    </row>
    <row r="4760" spans="1:21" x14ac:dyDescent="0.25">
      <c r="A4760">
        <v>46282</v>
      </c>
      <c r="B4760" t="s">
        <v>159</v>
      </c>
      <c r="C4760" t="s">
        <v>160</v>
      </c>
      <c r="D4760" t="s">
        <v>65</v>
      </c>
      <c r="E4760" t="s">
        <v>42</v>
      </c>
      <c r="F4760" t="s">
        <v>75</v>
      </c>
      <c r="G4760" t="s">
        <v>54</v>
      </c>
      <c r="H4760" t="s">
        <v>36</v>
      </c>
      <c r="I4760" t="s">
        <v>28</v>
      </c>
      <c r="J4760" t="s">
        <v>87</v>
      </c>
      <c r="K4760">
        <v>6768</v>
      </c>
      <c r="L4760">
        <v>54</v>
      </c>
      <c r="M4760">
        <v>370.39</v>
      </c>
      <c r="N4760">
        <v>2</v>
      </c>
      <c r="O4760">
        <v>49.47</v>
      </c>
      <c r="P4760">
        <f t="shared" si="296"/>
        <v>7.9787234042553185E-3</v>
      </c>
      <c r="Q4760">
        <f t="shared" si="296"/>
        <v>6.8590740740740737</v>
      </c>
      <c r="R4760">
        <f t="shared" si="297"/>
        <v>185.19499999999999</v>
      </c>
      <c r="S4760">
        <f t="shared" si="298"/>
        <v>0.13356192121817545</v>
      </c>
      <c r="T4760">
        <f t="shared" si="299"/>
        <v>3.7037037037037035E-2</v>
      </c>
      <c r="U4760" t="str">
        <f>YEAR('Campaign Data'!$A4760)&amp;"-"&amp;TEXT(MONTH('Campaign Data'!$A4760),"00")</f>
        <v>2026-09</v>
      </c>
    </row>
    <row r="4761" spans="1:21" x14ac:dyDescent="0.25">
      <c r="A4761">
        <v>46282</v>
      </c>
      <c r="B4761" t="s">
        <v>141</v>
      </c>
      <c r="C4761" t="s">
        <v>142</v>
      </c>
      <c r="D4761" t="s">
        <v>80</v>
      </c>
      <c r="E4761" t="s">
        <v>49</v>
      </c>
      <c r="F4761" t="s">
        <v>81</v>
      </c>
      <c r="G4761" t="s">
        <v>97</v>
      </c>
      <c r="H4761" t="s">
        <v>51</v>
      </c>
      <c r="I4761" t="s">
        <v>28</v>
      </c>
      <c r="J4761" t="s">
        <v>38</v>
      </c>
      <c r="K4761">
        <v>5884</v>
      </c>
      <c r="L4761">
        <v>193</v>
      </c>
      <c r="M4761">
        <v>379.58</v>
      </c>
      <c r="N4761">
        <v>12</v>
      </c>
      <c r="O4761">
        <v>281.26</v>
      </c>
      <c r="P4761">
        <f t="shared" si="296"/>
        <v>3.2800815771583954E-2</v>
      </c>
      <c r="Q4761">
        <f t="shared" si="296"/>
        <v>1.9667357512953367</v>
      </c>
      <c r="R4761">
        <f t="shared" si="297"/>
        <v>31.631666666666664</v>
      </c>
      <c r="S4761">
        <f t="shared" si="298"/>
        <v>0.74097686917118921</v>
      </c>
      <c r="T4761">
        <f t="shared" si="299"/>
        <v>6.2176165803108807E-2</v>
      </c>
      <c r="U4761" t="str">
        <f>YEAR('Campaign Data'!$A4761)&amp;"-"&amp;TEXT(MONTH('Campaign Data'!$A4761),"00")</f>
        <v>2026-09</v>
      </c>
    </row>
    <row r="4762" spans="1:21" x14ac:dyDescent="0.25">
      <c r="A4762">
        <v>46282</v>
      </c>
      <c r="B4762" t="s">
        <v>143</v>
      </c>
      <c r="C4762" t="s">
        <v>144</v>
      </c>
      <c r="D4762" t="s">
        <v>48</v>
      </c>
      <c r="E4762" t="s">
        <v>42</v>
      </c>
      <c r="F4762" t="s">
        <v>25</v>
      </c>
      <c r="G4762" t="s">
        <v>84</v>
      </c>
      <c r="H4762" t="s">
        <v>90</v>
      </c>
      <c r="I4762" t="s">
        <v>37</v>
      </c>
      <c r="J4762" t="s">
        <v>87</v>
      </c>
      <c r="K4762">
        <v>2384</v>
      </c>
      <c r="L4762">
        <v>10</v>
      </c>
      <c r="M4762">
        <v>14.26</v>
      </c>
      <c r="N4762">
        <v>0</v>
      </c>
      <c r="O4762">
        <v>0</v>
      </c>
      <c r="P4762">
        <f t="shared" si="296"/>
        <v>4.1946308724832215E-3</v>
      </c>
      <c r="Q4762">
        <f t="shared" si="296"/>
        <v>1.4259999999999999</v>
      </c>
      <c r="R4762">
        <f t="shared" si="297"/>
        <v>0</v>
      </c>
      <c r="S4762">
        <f t="shared" si="298"/>
        <v>0</v>
      </c>
      <c r="T4762">
        <f t="shared" si="299"/>
        <v>0</v>
      </c>
      <c r="U4762" t="str">
        <f>YEAR('Campaign Data'!$A4762)&amp;"-"&amp;TEXT(MONTH('Campaign Data'!$A4762),"00")</f>
        <v>2026-09</v>
      </c>
    </row>
    <row r="4763" spans="1:21" x14ac:dyDescent="0.25">
      <c r="A4763">
        <v>46282</v>
      </c>
      <c r="B4763" t="s">
        <v>63</v>
      </c>
      <c r="C4763" t="s">
        <v>64</v>
      </c>
      <c r="D4763" t="s">
        <v>65</v>
      </c>
      <c r="E4763" t="s">
        <v>24</v>
      </c>
      <c r="F4763" t="s">
        <v>43</v>
      </c>
      <c r="G4763" t="s">
        <v>66</v>
      </c>
      <c r="H4763" t="s">
        <v>60</v>
      </c>
      <c r="I4763" t="s">
        <v>37</v>
      </c>
      <c r="J4763" t="s">
        <v>87</v>
      </c>
      <c r="K4763">
        <v>5358</v>
      </c>
      <c r="L4763">
        <v>57</v>
      </c>
      <c r="M4763">
        <v>60.95</v>
      </c>
      <c r="N4763">
        <v>3</v>
      </c>
      <c r="O4763">
        <v>59.31</v>
      </c>
      <c r="P4763">
        <f t="shared" si="296"/>
        <v>1.0638297872340425E-2</v>
      </c>
      <c r="Q4763">
        <f t="shared" si="296"/>
        <v>1.0692982456140352</v>
      </c>
      <c r="R4763">
        <f t="shared" si="297"/>
        <v>20.316666666666666</v>
      </c>
      <c r="S4763">
        <f t="shared" si="298"/>
        <v>0.9730926989335521</v>
      </c>
      <c r="T4763">
        <f t="shared" si="299"/>
        <v>5.2631578947368418E-2</v>
      </c>
      <c r="U4763" t="str">
        <f>YEAR('Campaign Data'!$A4763)&amp;"-"&amp;TEXT(MONTH('Campaign Data'!$A4763),"00")</f>
        <v>2026-09</v>
      </c>
    </row>
    <row r="4764" spans="1:21" x14ac:dyDescent="0.25">
      <c r="A4764">
        <v>46282</v>
      </c>
      <c r="B4764" t="s">
        <v>72</v>
      </c>
      <c r="C4764" t="s">
        <v>73</v>
      </c>
      <c r="D4764" t="s">
        <v>69</v>
      </c>
      <c r="E4764" t="s">
        <v>74</v>
      </c>
      <c r="F4764" t="s">
        <v>75</v>
      </c>
      <c r="G4764" t="s">
        <v>9</v>
      </c>
      <c r="H4764" t="s">
        <v>55</v>
      </c>
      <c r="I4764" t="s">
        <v>28</v>
      </c>
      <c r="J4764" t="s">
        <v>38</v>
      </c>
      <c r="K4764">
        <v>2844</v>
      </c>
      <c r="L4764">
        <v>91</v>
      </c>
      <c r="M4764">
        <v>114.17</v>
      </c>
      <c r="N4764">
        <v>3</v>
      </c>
      <c r="O4764">
        <v>119.82</v>
      </c>
      <c r="P4764">
        <f t="shared" si="296"/>
        <v>3.1997187060478202E-2</v>
      </c>
      <c r="Q4764">
        <f t="shared" si="296"/>
        <v>1.2546153846153847</v>
      </c>
      <c r="R4764">
        <f t="shared" si="297"/>
        <v>38.056666666666665</v>
      </c>
      <c r="S4764">
        <f t="shared" si="298"/>
        <v>1.0494876062012788</v>
      </c>
      <c r="T4764">
        <f t="shared" si="299"/>
        <v>3.2967032967032968E-2</v>
      </c>
      <c r="U4764" t="str">
        <f>YEAR('Campaign Data'!$A4764)&amp;"-"&amp;TEXT(MONTH('Campaign Data'!$A4764),"00")</f>
        <v>2026-09</v>
      </c>
    </row>
    <row r="4765" spans="1:21" x14ac:dyDescent="0.25">
      <c r="A4765">
        <v>46282</v>
      </c>
      <c r="B4765" t="s">
        <v>145</v>
      </c>
      <c r="C4765" t="s">
        <v>146</v>
      </c>
      <c r="D4765" t="s">
        <v>41</v>
      </c>
      <c r="E4765" t="s">
        <v>49</v>
      </c>
      <c r="F4765" t="s">
        <v>75</v>
      </c>
      <c r="G4765" t="s">
        <v>70</v>
      </c>
      <c r="H4765" t="s">
        <v>36</v>
      </c>
      <c r="I4765" t="s">
        <v>37</v>
      </c>
      <c r="J4765" t="s">
        <v>87</v>
      </c>
      <c r="K4765">
        <v>2079</v>
      </c>
      <c r="L4765">
        <v>93</v>
      </c>
      <c r="M4765">
        <v>167.46</v>
      </c>
      <c r="N4765">
        <v>4</v>
      </c>
      <c r="O4765">
        <v>171.31</v>
      </c>
      <c r="P4765">
        <f t="shared" si="296"/>
        <v>4.4733044733044736E-2</v>
      </c>
      <c r="Q4765">
        <f t="shared" si="296"/>
        <v>1.8006451612903227</v>
      </c>
      <c r="R4765">
        <f t="shared" si="297"/>
        <v>41.865000000000002</v>
      </c>
      <c r="S4765">
        <f t="shared" si="298"/>
        <v>1.0229905649110236</v>
      </c>
      <c r="T4765">
        <f t="shared" si="299"/>
        <v>4.3010752688172046E-2</v>
      </c>
      <c r="U4765" t="str">
        <f>YEAR('Campaign Data'!$A4765)&amp;"-"&amp;TEXT(MONTH('Campaign Data'!$A4765),"00")</f>
        <v>2026-09</v>
      </c>
    </row>
    <row r="4766" spans="1:21" x14ac:dyDescent="0.25">
      <c r="A4766">
        <v>46283</v>
      </c>
      <c r="B4766" t="s">
        <v>165</v>
      </c>
      <c r="C4766" t="s">
        <v>166</v>
      </c>
      <c r="D4766" t="s">
        <v>41</v>
      </c>
      <c r="E4766" t="s">
        <v>33</v>
      </c>
      <c r="F4766" t="s">
        <v>43</v>
      </c>
      <c r="G4766" t="s">
        <v>59</v>
      </c>
      <c r="H4766" t="s">
        <v>60</v>
      </c>
      <c r="I4766" t="s">
        <v>37</v>
      </c>
      <c r="J4766" t="s">
        <v>29</v>
      </c>
      <c r="K4766">
        <v>20855</v>
      </c>
      <c r="L4766">
        <v>186</v>
      </c>
      <c r="M4766">
        <v>122.43</v>
      </c>
      <c r="N4766">
        <v>4</v>
      </c>
      <c r="O4766">
        <v>74.66</v>
      </c>
      <c r="P4766">
        <f t="shared" si="296"/>
        <v>8.918724526492448E-3</v>
      </c>
      <c r="Q4766">
        <f t="shared" si="296"/>
        <v>0.65822580645161299</v>
      </c>
      <c r="R4766">
        <f t="shared" si="297"/>
        <v>30.607500000000002</v>
      </c>
      <c r="S4766">
        <f t="shared" si="298"/>
        <v>0.60981785510087394</v>
      </c>
      <c r="T4766">
        <f t="shared" si="299"/>
        <v>2.1505376344086023E-2</v>
      </c>
      <c r="U4766" t="str">
        <f>YEAR('Campaign Data'!$A4766)&amp;"-"&amp;TEXT(MONTH('Campaign Data'!$A4766),"00")</f>
        <v>2026-09</v>
      </c>
    </row>
    <row r="4767" spans="1:21" x14ac:dyDescent="0.25">
      <c r="A4767">
        <v>46283</v>
      </c>
      <c r="B4767" t="s">
        <v>175</v>
      </c>
      <c r="C4767" t="s">
        <v>176</v>
      </c>
      <c r="D4767" t="s">
        <v>65</v>
      </c>
      <c r="E4767" t="s">
        <v>49</v>
      </c>
      <c r="F4767" t="s">
        <v>75</v>
      </c>
      <c r="G4767" t="s">
        <v>70</v>
      </c>
      <c r="H4767" t="s">
        <v>90</v>
      </c>
      <c r="I4767" t="s">
        <v>28</v>
      </c>
      <c r="J4767" t="s">
        <v>38</v>
      </c>
      <c r="K4767">
        <v>7363</v>
      </c>
      <c r="L4767">
        <v>309</v>
      </c>
      <c r="M4767">
        <v>147</v>
      </c>
      <c r="N4767">
        <v>19</v>
      </c>
      <c r="O4767">
        <v>119.77</v>
      </c>
      <c r="P4767">
        <f t="shared" si="296"/>
        <v>4.1966589705283171E-2</v>
      </c>
      <c r="Q4767">
        <f t="shared" si="296"/>
        <v>0.47572815533980584</v>
      </c>
      <c r="R4767">
        <f t="shared" si="297"/>
        <v>7.7368421052631575</v>
      </c>
      <c r="S4767">
        <f t="shared" si="298"/>
        <v>0.81476190476190469</v>
      </c>
      <c r="T4767">
        <f t="shared" si="299"/>
        <v>6.1488673139158574E-2</v>
      </c>
      <c r="U4767" t="str">
        <f>YEAR('Campaign Data'!$A4767)&amp;"-"&amp;TEXT(MONTH('Campaign Data'!$A4767),"00")</f>
        <v>2026-09</v>
      </c>
    </row>
    <row r="4768" spans="1:21" x14ac:dyDescent="0.25">
      <c r="A4768">
        <v>46283</v>
      </c>
      <c r="B4768" t="s">
        <v>88</v>
      </c>
      <c r="C4768" t="s">
        <v>89</v>
      </c>
      <c r="D4768" t="s">
        <v>23</v>
      </c>
      <c r="E4768" t="s">
        <v>49</v>
      </c>
      <c r="F4768" t="s">
        <v>81</v>
      </c>
      <c r="G4768" t="s">
        <v>50</v>
      </c>
      <c r="H4768" t="s">
        <v>55</v>
      </c>
      <c r="I4768" t="s">
        <v>37</v>
      </c>
      <c r="J4768" t="s">
        <v>87</v>
      </c>
      <c r="K4768">
        <v>8697</v>
      </c>
      <c r="L4768">
        <v>405</v>
      </c>
      <c r="M4768">
        <v>519.35</v>
      </c>
      <c r="N4768">
        <v>33</v>
      </c>
      <c r="O4768">
        <v>435.26</v>
      </c>
      <c r="P4768">
        <f t="shared" si="296"/>
        <v>4.6567781993790962E-2</v>
      </c>
      <c r="Q4768">
        <f t="shared" si="296"/>
        <v>1.2823456790123458</v>
      </c>
      <c r="R4768">
        <f t="shared" si="297"/>
        <v>15.737878787878788</v>
      </c>
      <c r="S4768">
        <f t="shared" si="298"/>
        <v>0.83808606912486761</v>
      </c>
      <c r="T4768">
        <f t="shared" si="299"/>
        <v>8.1481481481481488E-2</v>
      </c>
      <c r="U4768" t="str">
        <f>YEAR('Campaign Data'!$A4768)&amp;"-"&amp;TEXT(MONTH('Campaign Data'!$A4768),"00")</f>
        <v>2026-09</v>
      </c>
    </row>
    <row r="4769" spans="1:21" x14ac:dyDescent="0.25">
      <c r="A4769">
        <v>46283</v>
      </c>
      <c r="B4769" t="s">
        <v>138</v>
      </c>
      <c r="C4769" t="s">
        <v>139</v>
      </c>
      <c r="D4769" t="s">
        <v>58</v>
      </c>
      <c r="E4769" t="s">
        <v>74</v>
      </c>
      <c r="F4769" t="s">
        <v>34</v>
      </c>
      <c r="G4769" t="s">
        <v>9</v>
      </c>
      <c r="H4769" t="s">
        <v>90</v>
      </c>
      <c r="I4769" t="s">
        <v>37</v>
      </c>
      <c r="J4769" t="s">
        <v>62</v>
      </c>
      <c r="K4769">
        <v>3994</v>
      </c>
      <c r="L4769">
        <v>177</v>
      </c>
      <c r="M4769">
        <v>71.62</v>
      </c>
      <c r="N4769">
        <v>7</v>
      </c>
      <c r="O4769">
        <v>318.07</v>
      </c>
      <c r="P4769">
        <f t="shared" si="296"/>
        <v>4.43164747120681E-2</v>
      </c>
      <c r="Q4769">
        <f t="shared" si="296"/>
        <v>0.40463276836158196</v>
      </c>
      <c r="R4769">
        <f t="shared" si="297"/>
        <v>10.231428571428571</v>
      </c>
      <c r="S4769">
        <f t="shared" si="298"/>
        <v>4.441077911197989</v>
      </c>
      <c r="T4769">
        <f t="shared" si="299"/>
        <v>3.954802259887006E-2</v>
      </c>
      <c r="U4769" t="str">
        <f>YEAR('Campaign Data'!$A4769)&amp;"-"&amp;TEXT(MONTH('Campaign Data'!$A4769),"00")</f>
        <v>2026-09</v>
      </c>
    </row>
    <row r="4770" spans="1:21" x14ac:dyDescent="0.25">
      <c r="A4770">
        <v>46283</v>
      </c>
      <c r="B4770" t="s">
        <v>149</v>
      </c>
      <c r="C4770" t="s">
        <v>150</v>
      </c>
      <c r="D4770" t="s">
        <v>65</v>
      </c>
      <c r="E4770" t="s">
        <v>33</v>
      </c>
      <c r="F4770" t="s">
        <v>43</v>
      </c>
      <c r="G4770" t="s">
        <v>59</v>
      </c>
      <c r="H4770" t="s">
        <v>90</v>
      </c>
      <c r="I4770" t="s">
        <v>37</v>
      </c>
      <c r="J4770" t="s">
        <v>38</v>
      </c>
      <c r="K4770">
        <v>3027</v>
      </c>
      <c r="L4770">
        <v>36</v>
      </c>
      <c r="M4770">
        <v>5.63</v>
      </c>
      <c r="N4770">
        <v>2</v>
      </c>
      <c r="O4770">
        <v>16.72</v>
      </c>
      <c r="P4770">
        <f t="shared" si="296"/>
        <v>1.1892963330029732E-2</v>
      </c>
      <c r="Q4770">
        <f t="shared" si="296"/>
        <v>0.15638888888888888</v>
      </c>
      <c r="R4770">
        <f t="shared" si="297"/>
        <v>2.8149999999999999</v>
      </c>
      <c r="S4770">
        <f t="shared" si="298"/>
        <v>2.9698046181172288</v>
      </c>
      <c r="T4770">
        <f t="shared" si="299"/>
        <v>5.5555555555555552E-2</v>
      </c>
      <c r="U4770" t="str">
        <f>YEAR('Campaign Data'!$A4770)&amp;"-"&amp;TEXT(MONTH('Campaign Data'!$A4770),"00")</f>
        <v>2026-09</v>
      </c>
    </row>
    <row r="4771" spans="1:21" x14ac:dyDescent="0.25">
      <c r="A4771">
        <v>46283</v>
      </c>
      <c r="B4771" t="s">
        <v>151</v>
      </c>
      <c r="C4771" t="s">
        <v>152</v>
      </c>
      <c r="D4771" t="s">
        <v>48</v>
      </c>
      <c r="E4771" t="s">
        <v>24</v>
      </c>
      <c r="F4771" t="s">
        <v>81</v>
      </c>
      <c r="G4771" t="s">
        <v>129</v>
      </c>
      <c r="H4771" t="s">
        <v>27</v>
      </c>
      <c r="I4771" t="s">
        <v>28</v>
      </c>
      <c r="J4771" t="s">
        <v>38</v>
      </c>
      <c r="K4771">
        <v>6844</v>
      </c>
      <c r="L4771">
        <v>52</v>
      </c>
      <c r="M4771">
        <v>80.59</v>
      </c>
      <c r="N4771">
        <v>4</v>
      </c>
      <c r="O4771">
        <v>110.5</v>
      </c>
      <c r="P4771">
        <f t="shared" si="296"/>
        <v>7.5978959672706016E-3</v>
      </c>
      <c r="Q4771">
        <f t="shared" si="296"/>
        <v>1.5498076923076924</v>
      </c>
      <c r="R4771">
        <f t="shared" si="297"/>
        <v>20.147500000000001</v>
      </c>
      <c r="S4771">
        <f t="shared" si="298"/>
        <v>1.3711378582950737</v>
      </c>
      <c r="T4771">
        <f t="shared" si="299"/>
        <v>7.6923076923076927E-2</v>
      </c>
      <c r="U4771" t="str">
        <f>YEAR('Campaign Data'!$A4771)&amp;"-"&amp;TEXT(MONTH('Campaign Data'!$A4771),"00")</f>
        <v>2026-09</v>
      </c>
    </row>
    <row r="4772" spans="1:21" x14ac:dyDescent="0.25">
      <c r="A4772">
        <v>46283</v>
      </c>
      <c r="B4772" t="s">
        <v>151</v>
      </c>
      <c r="C4772" t="s">
        <v>152</v>
      </c>
      <c r="D4772" t="s">
        <v>48</v>
      </c>
      <c r="E4772" t="s">
        <v>24</v>
      </c>
      <c r="F4772" t="s">
        <v>81</v>
      </c>
      <c r="G4772" t="s">
        <v>129</v>
      </c>
      <c r="H4772" t="s">
        <v>60</v>
      </c>
      <c r="I4772" t="s">
        <v>37</v>
      </c>
      <c r="J4772" t="s">
        <v>29</v>
      </c>
      <c r="K4772">
        <v>4056</v>
      </c>
      <c r="L4772">
        <v>67</v>
      </c>
      <c r="M4772">
        <v>58.46</v>
      </c>
      <c r="N4772">
        <v>0</v>
      </c>
      <c r="O4772">
        <v>0</v>
      </c>
      <c r="P4772">
        <f t="shared" si="296"/>
        <v>1.6518737672583828E-2</v>
      </c>
      <c r="Q4772">
        <f t="shared" si="296"/>
        <v>0.8725373134328358</v>
      </c>
      <c r="R4772">
        <f t="shared" si="297"/>
        <v>0</v>
      </c>
      <c r="S4772">
        <f t="shared" si="298"/>
        <v>0</v>
      </c>
      <c r="T4772">
        <f t="shared" si="299"/>
        <v>0</v>
      </c>
      <c r="U4772" t="str">
        <f>YEAR('Campaign Data'!$A4772)&amp;"-"&amp;TEXT(MONTH('Campaign Data'!$A4772),"00")</f>
        <v>2026-09</v>
      </c>
    </row>
    <row r="4773" spans="1:21" x14ac:dyDescent="0.25">
      <c r="A4773">
        <v>46283</v>
      </c>
      <c r="B4773" t="s">
        <v>46</v>
      </c>
      <c r="C4773" t="s">
        <v>47</v>
      </c>
      <c r="D4773" t="s">
        <v>48</v>
      </c>
      <c r="E4773" t="s">
        <v>49</v>
      </c>
      <c r="F4773" t="s">
        <v>43</v>
      </c>
      <c r="G4773" t="s">
        <v>50</v>
      </c>
      <c r="H4773" t="s">
        <v>90</v>
      </c>
      <c r="I4773" t="s">
        <v>28</v>
      </c>
      <c r="J4773" t="s">
        <v>38</v>
      </c>
      <c r="K4773">
        <v>26857</v>
      </c>
      <c r="L4773">
        <v>2020</v>
      </c>
      <c r="M4773">
        <v>715.12</v>
      </c>
      <c r="N4773">
        <v>149</v>
      </c>
      <c r="O4773">
        <v>1074.55</v>
      </c>
      <c r="P4773">
        <f t="shared" si="296"/>
        <v>7.5213166027478864E-2</v>
      </c>
      <c r="Q4773">
        <f t="shared" si="296"/>
        <v>0.354019801980198</v>
      </c>
      <c r="R4773">
        <f t="shared" si="297"/>
        <v>4.7994630872483226</v>
      </c>
      <c r="S4773">
        <f t="shared" si="298"/>
        <v>1.5026149457433717</v>
      </c>
      <c r="T4773">
        <f t="shared" si="299"/>
        <v>7.3762376237623759E-2</v>
      </c>
      <c r="U4773" t="str">
        <f>YEAR('Campaign Data'!$A4773)&amp;"-"&amp;TEXT(MONTH('Campaign Data'!$A4773),"00")</f>
        <v>2026-09</v>
      </c>
    </row>
    <row r="4774" spans="1:21" x14ac:dyDescent="0.25">
      <c r="A4774">
        <v>46283</v>
      </c>
      <c r="B4774" t="s">
        <v>169</v>
      </c>
      <c r="C4774" t="s">
        <v>170</v>
      </c>
      <c r="D4774" t="s">
        <v>58</v>
      </c>
      <c r="E4774" t="s">
        <v>74</v>
      </c>
      <c r="F4774" t="s">
        <v>75</v>
      </c>
      <c r="G4774" t="s">
        <v>9</v>
      </c>
      <c r="H4774" t="s">
        <v>90</v>
      </c>
      <c r="I4774" t="s">
        <v>37</v>
      </c>
      <c r="J4774" t="s">
        <v>62</v>
      </c>
      <c r="K4774">
        <v>12235</v>
      </c>
      <c r="L4774">
        <v>409</v>
      </c>
      <c r="M4774">
        <v>157.15</v>
      </c>
      <c r="N4774">
        <v>21</v>
      </c>
      <c r="O4774">
        <v>236.91</v>
      </c>
      <c r="P4774">
        <f t="shared" si="296"/>
        <v>3.3428688189619943E-2</v>
      </c>
      <c r="Q4774">
        <f t="shared" si="296"/>
        <v>0.38422982885085577</v>
      </c>
      <c r="R4774">
        <f t="shared" si="297"/>
        <v>7.4833333333333334</v>
      </c>
      <c r="S4774">
        <f t="shared" si="298"/>
        <v>1.5075405663378936</v>
      </c>
      <c r="T4774">
        <f t="shared" si="299"/>
        <v>5.1344743276283619E-2</v>
      </c>
      <c r="U4774" t="str">
        <f>YEAR('Campaign Data'!$A4774)&amp;"-"&amp;TEXT(MONTH('Campaign Data'!$A4774),"00")</f>
        <v>2026-09</v>
      </c>
    </row>
    <row r="4775" spans="1:21" x14ac:dyDescent="0.25">
      <c r="A4775">
        <v>46283</v>
      </c>
      <c r="B4775" t="s">
        <v>103</v>
      </c>
      <c r="C4775" t="s">
        <v>104</v>
      </c>
      <c r="D4775" t="s">
        <v>65</v>
      </c>
      <c r="E4775" t="s">
        <v>33</v>
      </c>
      <c r="F4775" t="s">
        <v>43</v>
      </c>
      <c r="G4775" t="s">
        <v>102</v>
      </c>
      <c r="H4775" t="s">
        <v>90</v>
      </c>
      <c r="I4775" t="s">
        <v>37</v>
      </c>
      <c r="J4775" t="s">
        <v>45</v>
      </c>
      <c r="K4775">
        <v>2484</v>
      </c>
      <c r="L4775">
        <v>11</v>
      </c>
      <c r="M4775">
        <v>1.57</v>
      </c>
      <c r="N4775">
        <v>0</v>
      </c>
      <c r="O4775">
        <v>0</v>
      </c>
      <c r="P4775">
        <f t="shared" si="296"/>
        <v>4.4283413848631237E-3</v>
      </c>
      <c r="Q4775">
        <f t="shared" si="296"/>
        <v>0.14272727272727273</v>
      </c>
      <c r="R4775">
        <f t="shared" si="297"/>
        <v>0</v>
      </c>
      <c r="S4775">
        <f t="shared" si="298"/>
        <v>0</v>
      </c>
      <c r="T4775">
        <f t="shared" si="299"/>
        <v>0</v>
      </c>
      <c r="U4775" t="str">
        <f>YEAR('Campaign Data'!$A4775)&amp;"-"&amp;TEXT(MONTH('Campaign Data'!$A4775),"00")</f>
        <v>2026-09</v>
      </c>
    </row>
    <row r="4776" spans="1:21" x14ac:dyDescent="0.25">
      <c r="A4776">
        <v>46283</v>
      </c>
      <c r="B4776" t="s">
        <v>103</v>
      </c>
      <c r="C4776" t="s">
        <v>104</v>
      </c>
      <c r="D4776" t="s">
        <v>65</v>
      </c>
      <c r="E4776" t="s">
        <v>33</v>
      </c>
      <c r="F4776" t="s">
        <v>43</v>
      </c>
      <c r="G4776" t="s">
        <v>102</v>
      </c>
      <c r="H4776" t="s">
        <v>90</v>
      </c>
      <c r="I4776" t="s">
        <v>37</v>
      </c>
      <c r="J4776" t="s">
        <v>87</v>
      </c>
      <c r="K4776">
        <v>6991</v>
      </c>
      <c r="L4776">
        <v>81</v>
      </c>
      <c r="M4776">
        <v>10.72</v>
      </c>
      <c r="N4776">
        <v>0</v>
      </c>
      <c r="O4776">
        <v>0</v>
      </c>
      <c r="P4776">
        <f t="shared" si="296"/>
        <v>1.1586325275354026E-2</v>
      </c>
      <c r="Q4776">
        <f t="shared" si="296"/>
        <v>0.13234567901234567</v>
      </c>
      <c r="R4776">
        <f t="shared" si="297"/>
        <v>0</v>
      </c>
      <c r="S4776">
        <f t="shared" si="298"/>
        <v>0</v>
      </c>
      <c r="T4776">
        <f t="shared" si="299"/>
        <v>0</v>
      </c>
      <c r="U4776" t="str">
        <f>YEAR('Campaign Data'!$A4776)&amp;"-"&amp;TEXT(MONTH('Campaign Data'!$A4776),"00")</f>
        <v>2026-09</v>
      </c>
    </row>
    <row r="4777" spans="1:21" x14ac:dyDescent="0.25">
      <c r="A4777">
        <v>46283</v>
      </c>
      <c r="B4777" t="s">
        <v>171</v>
      </c>
      <c r="C4777" t="s">
        <v>172</v>
      </c>
      <c r="D4777" t="s">
        <v>23</v>
      </c>
      <c r="E4777" t="s">
        <v>33</v>
      </c>
      <c r="F4777" t="s">
        <v>75</v>
      </c>
      <c r="G4777" t="s">
        <v>59</v>
      </c>
      <c r="H4777" t="s">
        <v>27</v>
      </c>
      <c r="I4777" t="s">
        <v>37</v>
      </c>
      <c r="J4777" t="s">
        <v>62</v>
      </c>
      <c r="K4777">
        <v>3038</v>
      </c>
      <c r="L4777">
        <v>38</v>
      </c>
      <c r="M4777">
        <v>31.32</v>
      </c>
      <c r="N4777">
        <v>1</v>
      </c>
      <c r="O4777">
        <v>38.590000000000003</v>
      </c>
      <c r="P4777">
        <f t="shared" si="296"/>
        <v>1.2508229098090849E-2</v>
      </c>
      <c r="Q4777">
        <f t="shared" si="296"/>
        <v>0.8242105263157895</v>
      </c>
      <c r="R4777">
        <f t="shared" si="297"/>
        <v>31.32</v>
      </c>
      <c r="S4777">
        <f t="shared" si="298"/>
        <v>1.2321200510855683</v>
      </c>
      <c r="T4777">
        <f t="shared" si="299"/>
        <v>2.6315789473684209E-2</v>
      </c>
      <c r="U4777" t="str">
        <f>YEAR('Campaign Data'!$A4777)&amp;"-"&amp;TEXT(MONTH('Campaign Data'!$A4777),"00")</f>
        <v>2026-09</v>
      </c>
    </row>
    <row r="4778" spans="1:21" x14ac:dyDescent="0.25">
      <c r="A4778">
        <v>46283</v>
      </c>
      <c r="B4778" t="s">
        <v>110</v>
      </c>
      <c r="C4778" t="s">
        <v>111</v>
      </c>
      <c r="D4778" t="s">
        <v>23</v>
      </c>
      <c r="E4778" t="s">
        <v>49</v>
      </c>
      <c r="F4778" t="s">
        <v>34</v>
      </c>
      <c r="G4778" t="s">
        <v>50</v>
      </c>
      <c r="H4778" t="s">
        <v>90</v>
      </c>
      <c r="I4778" t="s">
        <v>37</v>
      </c>
      <c r="J4778" t="s">
        <v>38</v>
      </c>
      <c r="K4778">
        <v>3934</v>
      </c>
      <c r="L4778">
        <v>230</v>
      </c>
      <c r="M4778">
        <v>149.61000000000001</v>
      </c>
      <c r="N4778">
        <v>8</v>
      </c>
      <c r="O4778">
        <v>324.26</v>
      </c>
      <c r="P4778">
        <f t="shared" si="296"/>
        <v>5.8464667005592275E-2</v>
      </c>
      <c r="Q4778">
        <f t="shared" si="296"/>
        <v>0.65047826086956528</v>
      </c>
      <c r="R4778">
        <f t="shared" si="297"/>
        <v>18.701250000000002</v>
      </c>
      <c r="S4778">
        <f t="shared" si="298"/>
        <v>2.1673684914110019</v>
      </c>
      <c r="T4778">
        <f t="shared" si="299"/>
        <v>3.4782608695652174E-2</v>
      </c>
      <c r="U4778" t="str">
        <f>YEAR('Campaign Data'!$A4778)&amp;"-"&amp;TEXT(MONTH('Campaign Data'!$A4778),"00")</f>
        <v>2026-09</v>
      </c>
    </row>
    <row r="4779" spans="1:21" x14ac:dyDescent="0.25">
      <c r="A4779">
        <v>46283</v>
      </c>
      <c r="B4779" t="s">
        <v>110</v>
      </c>
      <c r="C4779" t="s">
        <v>111</v>
      </c>
      <c r="D4779" t="s">
        <v>23</v>
      </c>
      <c r="E4779" t="s">
        <v>49</v>
      </c>
      <c r="F4779" t="s">
        <v>34</v>
      </c>
      <c r="G4779" t="s">
        <v>50</v>
      </c>
      <c r="H4779" t="s">
        <v>90</v>
      </c>
      <c r="I4779" t="s">
        <v>28</v>
      </c>
      <c r="J4779" t="s">
        <v>62</v>
      </c>
      <c r="K4779">
        <v>20765</v>
      </c>
      <c r="L4779">
        <v>522</v>
      </c>
      <c r="M4779">
        <v>269.17</v>
      </c>
      <c r="N4779">
        <v>22</v>
      </c>
      <c r="O4779">
        <v>943.73</v>
      </c>
      <c r="P4779">
        <f t="shared" si="296"/>
        <v>2.5138454129544907E-2</v>
      </c>
      <c r="Q4779">
        <f t="shared" si="296"/>
        <v>0.51565134099616861</v>
      </c>
      <c r="R4779">
        <f t="shared" si="297"/>
        <v>12.235000000000001</v>
      </c>
      <c r="S4779">
        <f t="shared" si="298"/>
        <v>3.5060742281829325</v>
      </c>
      <c r="T4779">
        <f t="shared" si="299"/>
        <v>4.2145593869731802E-2</v>
      </c>
      <c r="U4779" t="str">
        <f>YEAR('Campaign Data'!$A4779)&amp;"-"&amp;TEXT(MONTH('Campaign Data'!$A4779),"00")</f>
        <v>2026-09</v>
      </c>
    </row>
    <row r="4780" spans="1:21" x14ac:dyDescent="0.25">
      <c r="A4780">
        <v>46283</v>
      </c>
      <c r="B4780" t="s">
        <v>155</v>
      </c>
      <c r="C4780" t="s">
        <v>156</v>
      </c>
      <c r="D4780" t="s">
        <v>32</v>
      </c>
      <c r="E4780" t="s">
        <v>24</v>
      </c>
      <c r="F4780" t="s">
        <v>34</v>
      </c>
      <c r="G4780" t="s">
        <v>129</v>
      </c>
      <c r="H4780" t="s">
        <v>36</v>
      </c>
      <c r="I4780" t="s">
        <v>28</v>
      </c>
      <c r="J4780" t="s">
        <v>45</v>
      </c>
      <c r="K4780">
        <v>6892</v>
      </c>
      <c r="L4780">
        <v>112</v>
      </c>
      <c r="M4780">
        <v>149.54</v>
      </c>
      <c r="N4780">
        <v>0</v>
      </c>
      <c r="O4780">
        <v>0</v>
      </c>
      <c r="P4780">
        <f t="shared" si="296"/>
        <v>1.6250725478816019E-2</v>
      </c>
      <c r="Q4780">
        <f t="shared" si="296"/>
        <v>1.3351785714285713</v>
      </c>
      <c r="R4780">
        <f t="shared" si="297"/>
        <v>0</v>
      </c>
      <c r="S4780">
        <f t="shared" si="298"/>
        <v>0</v>
      </c>
      <c r="T4780">
        <f t="shared" si="299"/>
        <v>0</v>
      </c>
      <c r="U4780" t="str">
        <f>YEAR('Campaign Data'!$A4780)&amp;"-"&amp;TEXT(MONTH('Campaign Data'!$A4780),"00")</f>
        <v>2026-09</v>
      </c>
    </row>
    <row r="4781" spans="1:21" x14ac:dyDescent="0.25">
      <c r="A4781">
        <v>46283</v>
      </c>
      <c r="B4781" t="s">
        <v>134</v>
      </c>
      <c r="C4781" t="s">
        <v>135</v>
      </c>
      <c r="D4781" t="s">
        <v>32</v>
      </c>
      <c r="E4781" t="s">
        <v>74</v>
      </c>
      <c r="F4781" t="s">
        <v>25</v>
      </c>
      <c r="G4781" t="s">
        <v>107</v>
      </c>
      <c r="H4781" t="s">
        <v>71</v>
      </c>
      <c r="I4781" t="s">
        <v>37</v>
      </c>
      <c r="J4781" t="s">
        <v>45</v>
      </c>
      <c r="K4781">
        <v>16139</v>
      </c>
      <c r="L4781">
        <v>402</v>
      </c>
      <c r="M4781">
        <v>536.63</v>
      </c>
      <c r="N4781">
        <v>9</v>
      </c>
      <c r="O4781">
        <v>1605.83</v>
      </c>
      <c r="P4781">
        <f t="shared" si="296"/>
        <v>2.4908606481194622E-2</v>
      </c>
      <c r="Q4781">
        <f t="shared" si="296"/>
        <v>1.3349004975124379</v>
      </c>
      <c r="R4781">
        <f t="shared" si="297"/>
        <v>59.625555555555557</v>
      </c>
      <c r="S4781">
        <f t="shared" si="298"/>
        <v>2.9924342656951715</v>
      </c>
      <c r="T4781">
        <f t="shared" si="299"/>
        <v>2.2388059701492536E-2</v>
      </c>
      <c r="U4781" t="str">
        <f>YEAR('Campaign Data'!$A4781)&amp;"-"&amp;TEXT(MONTH('Campaign Data'!$A4781),"00")</f>
        <v>2026-09</v>
      </c>
    </row>
    <row r="4782" spans="1:21" x14ac:dyDescent="0.25">
      <c r="A4782">
        <v>46283</v>
      </c>
      <c r="B4782" t="s">
        <v>157</v>
      </c>
      <c r="C4782" t="s">
        <v>158</v>
      </c>
      <c r="D4782" t="s">
        <v>58</v>
      </c>
      <c r="E4782" t="s">
        <v>49</v>
      </c>
      <c r="F4782" t="s">
        <v>81</v>
      </c>
      <c r="G4782" t="s">
        <v>50</v>
      </c>
      <c r="H4782" t="s">
        <v>90</v>
      </c>
      <c r="I4782" t="s">
        <v>28</v>
      </c>
      <c r="J4782" t="s">
        <v>45</v>
      </c>
      <c r="K4782">
        <v>2262</v>
      </c>
      <c r="L4782">
        <v>122</v>
      </c>
      <c r="M4782">
        <v>58.86</v>
      </c>
      <c r="N4782">
        <v>3</v>
      </c>
      <c r="O4782">
        <v>23.51</v>
      </c>
      <c r="P4782">
        <f t="shared" si="296"/>
        <v>5.3934571175950484E-2</v>
      </c>
      <c r="Q4782">
        <f t="shared" si="296"/>
        <v>0.48245901639344263</v>
      </c>
      <c r="R4782">
        <f t="shared" si="297"/>
        <v>19.62</v>
      </c>
      <c r="S4782">
        <f t="shared" si="298"/>
        <v>0.39942235813795451</v>
      </c>
      <c r="T4782">
        <f t="shared" si="299"/>
        <v>2.4590163934426229E-2</v>
      </c>
      <c r="U4782" t="str">
        <f>YEAR('Campaign Data'!$A4782)&amp;"-"&amp;TEXT(MONTH('Campaign Data'!$A4782),"00")</f>
        <v>2026-09</v>
      </c>
    </row>
    <row r="4783" spans="1:21" x14ac:dyDescent="0.25">
      <c r="A4783">
        <v>46283</v>
      </c>
      <c r="B4783" t="s">
        <v>157</v>
      </c>
      <c r="C4783" t="s">
        <v>158</v>
      </c>
      <c r="D4783" t="s">
        <v>58</v>
      </c>
      <c r="E4783" t="s">
        <v>49</v>
      </c>
      <c r="F4783" t="s">
        <v>81</v>
      </c>
      <c r="G4783" t="s">
        <v>50</v>
      </c>
      <c r="H4783" t="s">
        <v>71</v>
      </c>
      <c r="I4783" t="s">
        <v>37</v>
      </c>
      <c r="J4783" t="s">
        <v>62</v>
      </c>
      <c r="K4783">
        <v>5243</v>
      </c>
      <c r="L4783">
        <v>333</v>
      </c>
      <c r="M4783">
        <v>714.98</v>
      </c>
      <c r="N4783">
        <v>6</v>
      </c>
      <c r="O4783">
        <v>87.89</v>
      </c>
      <c r="P4783">
        <f t="shared" si="296"/>
        <v>6.3513255769597557E-2</v>
      </c>
      <c r="Q4783">
        <f t="shared" si="296"/>
        <v>2.1470870870870873</v>
      </c>
      <c r="R4783">
        <f t="shared" si="297"/>
        <v>119.16333333333334</v>
      </c>
      <c r="S4783">
        <f t="shared" si="298"/>
        <v>0.12292651542700495</v>
      </c>
      <c r="T4783">
        <f t="shared" si="299"/>
        <v>1.8018018018018018E-2</v>
      </c>
      <c r="U4783" t="str">
        <f>YEAR('Campaign Data'!$A4783)&amp;"-"&amp;TEXT(MONTH('Campaign Data'!$A4783),"00")</f>
        <v>2026-09</v>
      </c>
    </row>
    <row r="4784" spans="1:21" x14ac:dyDescent="0.25">
      <c r="A4784">
        <v>46283</v>
      </c>
      <c r="B4784" t="s">
        <v>112</v>
      </c>
      <c r="C4784" t="s">
        <v>113</v>
      </c>
      <c r="D4784" t="s">
        <v>32</v>
      </c>
      <c r="E4784" t="s">
        <v>24</v>
      </c>
      <c r="F4784" t="s">
        <v>75</v>
      </c>
      <c r="G4784" t="s">
        <v>66</v>
      </c>
      <c r="H4784" t="s">
        <v>27</v>
      </c>
      <c r="I4784" t="s">
        <v>28</v>
      </c>
      <c r="J4784" t="s">
        <v>62</v>
      </c>
      <c r="K4784">
        <v>3396</v>
      </c>
      <c r="L4784">
        <v>33</v>
      </c>
      <c r="M4784">
        <v>38.32</v>
      </c>
      <c r="N4784">
        <v>4</v>
      </c>
      <c r="O4784">
        <v>284.58999999999997</v>
      </c>
      <c r="P4784">
        <f t="shared" si="296"/>
        <v>9.7173144876325085E-3</v>
      </c>
      <c r="Q4784">
        <f t="shared" si="296"/>
        <v>1.1612121212121211</v>
      </c>
      <c r="R4784">
        <f t="shared" si="297"/>
        <v>9.58</v>
      </c>
      <c r="S4784">
        <f t="shared" si="298"/>
        <v>7.426670146137786</v>
      </c>
      <c r="T4784">
        <f t="shared" si="299"/>
        <v>0.12121212121212122</v>
      </c>
      <c r="U4784" t="str">
        <f>YEAR('Campaign Data'!$A4784)&amp;"-"&amp;TEXT(MONTH('Campaign Data'!$A4784),"00")</f>
        <v>2026-09</v>
      </c>
    </row>
    <row r="4785" spans="1:21" x14ac:dyDescent="0.25">
      <c r="A4785">
        <v>46283</v>
      </c>
      <c r="B4785" t="s">
        <v>114</v>
      </c>
      <c r="C4785" t="s">
        <v>115</v>
      </c>
      <c r="D4785" t="s">
        <v>69</v>
      </c>
      <c r="E4785" t="s">
        <v>49</v>
      </c>
      <c r="F4785" t="s">
        <v>25</v>
      </c>
      <c r="G4785" t="s">
        <v>107</v>
      </c>
      <c r="H4785" t="s">
        <v>55</v>
      </c>
      <c r="I4785" t="s">
        <v>28</v>
      </c>
      <c r="J4785" t="s">
        <v>29</v>
      </c>
      <c r="K4785">
        <v>6127</v>
      </c>
      <c r="L4785">
        <v>303</v>
      </c>
      <c r="M4785">
        <v>511.7</v>
      </c>
      <c r="N4785">
        <v>8</v>
      </c>
      <c r="O4785">
        <v>1268.7</v>
      </c>
      <c r="P4785">
        <f t="shared" si="296"/>
        <v>4.9453239758446219E-2</v>
      </c>
      <c r="Q4785">
        <f t="shared" si="296"/>
        <v>1.6887788778877888</v>
      </c>
      <c r="R4785">
        <f t="shared" si="297"/>
        <v>63.962499999999999</v>
      </c>
      <c r="S4785">
        <f t="shared" si="298"/>
        <v>2.4793824506546804</v>
      </c>
      <c r="T4785">
        <f t="shared" si="299"/>
        <v>2.6402640264026403E-2</v>
      </c>
      <c r="U4785" t="str">
        <f>YEAR('Campaign Data'!$A4785)&amp;"-"&amp;TEXT(MONTH('Campaign Data'!$A4785),"00")</f>
        <v>2026-09</v>
      </c>
    </row>
    <row r="4786" spans="1:21" x14ac:dyDescent="0.25">
      <c r="A4786">
        <v>46283</v>
      </c>
      <c r="B4786" t="s">
        <v>114</v>
      </c>
      <c r="C4786" t="s">
        <v>115</v>
      </c>
      <c r="D4786" t="s">
        <v>69</v>
      </c>
      <c r="E4786" t="s">
        <v>49</v>
      </c>
      <c r="F4786" t="s">
        <v>25</v>
      </c>
      <c r="G4786" t="s">
        <v>107</v>
      </c>
      <c r="H4786" t="s">
        <v>36</v>
      </c>
      <c r="I4786" t="s">
        <v>28</v>
      </c>
      <c r="J4786" t="s">
        <v>29</v>
      </c>
      <c r="K4786">
        <v>2423</v>
      </c>
      <c r="L4786">
        <v>94</v>
      </c>
      <c r="M4786">
        <v>269.52</v>
      </c>
      <c r="N4786">
        <v>4</v>
      </c>
      <c r="O4786">
        <v>840.88</v>
      </c>
      <c r="P4786">
        <f t="shared" si="296"/>
        <v>3.8794882377218322E-2</v>
      </c>
      <c r="Q4786">
        <f t="shared" si="296"/>
        <v>2.8672340425531915</v>
      </c>
      <c r="R4786">
        <f t="shared" si="297"/>
        <v>67.38</v>
      </c>
      <c r="S4786">
        <f t="shared" si="298"/>
        <v>3.1199168892846543</v>
      </c>
      <c r="T4786">
        <f t="shared" si="299"/>
        <v>4.2553191489361701E-2</v>
      </c>
      <c r="U4786" t="str">
        <f>YEAR('Campaign Data'!$A4786)&amp;"-"&amp;TEXT(MONTH('Campaign Data'!$A4786),"00")</f>
        <v>2026-09</v>
      </c>
    </row>
    <row r="4787" spans="1:21" x14ac:dyDescent="0.25">
      <c r="A4787">
        <v>46283</v>
      </c>
      <c r="B4787" t="s">
        <v>56</v>
      </c>
      <c r="C4787" t="s">
        <v>57</v>
      </c>
      <c r="D4787" t="s">
        <v>58</v>
      </c>
      <c r="E4787" t="s">
        <v>33</v>
      </c>
      <c r="F4787" t="s">
        <v>43</v>
      </c>
      <c r="G4787" t="s">
        <v>59</v>
      </c>
      <c r="H4787" t="s">
        <v>60</v>
      </c>
      <c r="I4787" t="s">
        <v>37</v>
      </c>
      <c r="J4787" t="s">
        <v>87</v>
      </c>
      <c r="K4787">
        <v>6181</v>
      </c>
      <c r="L4787">
        <v>69</v>
      </c>
      <c r="M4787">
        <v>41.26</v>
      </c>
      <c r="N4787">
        <v>0</v>
      </c>
      <c r="O4787">
        <v>0</v>
      </c>
      <c r="P4787">
        <f t="shared" si="296"/>
        <v>1.116324219381977E-2</v>
      </c>
      <c r="Q4787">
        <f t="shared" si="296"/>
        <v>0.59797101449275358</v>
      </c>
      <c r="R4787">
        <f t="shared" si="297"/>
        <v>0</v>
      </c>
      <c r="S4787">
        <f t="shared" si="298"/>
        <v>0</v>
      </c>
      <c r="T4787">
        <f t="shared" si="299"/>
        <v>0</v>
      </c>
      <c r="U4787" t="str">
        <f>YEAR('Campaign Data'!$A4787)&amp;"-"&amp;TEXT(MONTH('Campaign Data'!$A4787),"00")</f>
        <v>2026-09</v>
      </c>
    </row>
    <row r="4788" spans="1:21" x14ac:dyDescent="0.25">
      <c r="A4788">
        <v>46283</v>
      </c>
      <c r="B4788" t="s">
        <v>141</v>
      </c>
      <c r="C4788" t="s">
        <v>142</v>
      </c>
      <c r="D4788" t="s">
        <v>80</v>
      </c>
      <c r="E4788" t="s">
        <v>49</v>
      </c>
      <c r="F4788" t="s">
        <v>81</v>
      </c>
      <c r="G4788" t="s">
        <v>97</v>
      </c>
      <c r="H4788" t="s">
        <v>90</v>
      </c>
      <c r="I4788" t="s">
        <v>28</v>
      </c>
      <c r="J4788" t="s">
        <v>45</v>
      </c>
      <c r="K4788">
        <v>4993</v>
      </c>
      <c r="L4788">
        <v>232</v>
      </c>
      <c r="M4788">
        <v>79.56</v>
      </c>
      <c r="N4788">
        <v>15</v>
      </c>
      <c r="O4788">
        <v>75</v>
      </c>
      <c r="P4788">
        <f t="shared" si="296"/>
        <v>4.6465051071500098E-2</v>
      </c>
      <c r="Q4788">
        <f t="shared" si="296"/>
        <v>0.34293103448275863</v>
      </c>
      <c r="R4788">
        <f t="shared" si="297"/>
        <v>5.3040000000000003</v>
      </c>
      <c r="S4788">
        <f t="shared" si="298"/>
        <v>0.94268476621417796</v>
      </c>
      <c r="T4788">
        <f t="shared" si="299"/>
        <v>6.4655172413793108E-2</v>
      </c>
      <c r="U4788" t="str">
        <f>YEAR('Campaign Data'!$A4788)&amp;"-"&amp;TEXT(MONTH('Campaign Data'!$A4788),"00")</f>
        <v>2026-09</v>
      </c>
    </row>
    <row r="4789" spans="1:21" x14ac:dyDescent="0.25">
      <c r="A4789">
        <v>46283</v>
      </c>
      <c r="B4789" t="s">
        <v>183</v>
      </c>
      <c r="C4789" t="s">
        <v>184</v>
      </c>
      <c r="D4789" t="s">
        <v>23</v>
      </c>
      <c r="E4789" t="s">
        <v>24</v>
      </c>
      <c r="F4789" t="s">
        <v>81</v>
      </c>
      <c r="G4789" t="s">
        <v>185</v>
      </c>
      <c r="H4789" t="s">
        <v>90</v>
      </c>
      <c r="I4789" t="s">
        <v>28</v>
      </c>
      <c r="J4789" t="s">
        <v>45</v>
      </c>
      <c r="K4789">
        <v>8660</v>
      </c>
      <c r="L4789">
        <v>55</v>
      </c>
      <c r="M4789">
        <v>13.31</v>
      </c>
      <c r="N4789">
        <v>3</v>
      </c>
      <c r="O4789">
        <v>15</v>
      </c>
      <c r="P4789">
        <f t="shared" si="296"/>
        <v>6.3510392609699767E-3</v>
      </c>
      <c r="Q4789">
        <f t="shared" si="296"/>
        <v>0.24200000000000002</v>
      </c>
      <c r="R4789">
        <f t="shared" si="297"/>
        <v>4.4366666666666665</v>
      </c>
      <c r="S4789">
        <f t="shared" si="298"/>
        <v>1.1269722013523666</v>
      </c>
      <c r="T4789">
        <f t="shared" si="299"/>
        <v>5.4545454545454543E-2</v>
      </c>
      <c r="U4789" t="str">
        <f>YEAR('Campaign Data'!$A4789)&amp;"-"&amp;TEXT(MONTH('Campaign Data'!$A4789),"00")</f>
        <v>2026-09</v>
      </c>
    </row>
    <row r="4790" spans="1:21" x14ac:dyDescent="0.25">
      <c r="A4790">
        <v>46283</v>
      </c>
      <c r="B4790" t="s">
        <v>122</v>
      </c>
      <c r="C4790" t="s">
        <v>123</v>
      </c>
      <c r="D4790" t="s">
        <v>41</v>
      </c>
      <c r="E4790" t="s">
        <v>33</v>
      </c>
      <c r="F4790" t="s">
        <v>75</v>
      </c>
      <c r="G4790" t="s">
        <v>35</v>
      </c>
      <c r="H4790" t="s">
        <v>71</v>
      </c>
      <c r="I4790" t="s">
        <v>37</v>
      </c>
      <c r="J4790" t="s">
        <v>38</v>
      </c>
      <c r="K4790">
        <v>4492</v>
      </c>
      <c r="L4790">
        <v>51</v>
      </c>
      <c r="M4790">
        <v>21.2</v>
      </c>
      <c r="N4790">
        <v>1</v>
      </c>
      <c r="O4790">
        <v>47.33</v>
      </c>
      <c r="P4790">
        <f t="shared" si="296"/>
        <v>1.1353517364203028E-2</v>
      </c>
      <c r="Q4790">
        <f t="shared" si="296"/>
        <v>0.41568627450980389</v>
      </c>
      <c r="R4790">
        <f t="shared" si="297"/>
        <v>21.2</v>
      </c>
      <c r="S4790">
        <f t="shared" si="298"/>
        <v>2.2325471698113208</v>
      </c>
      <c r="T4790">
        <f t="shared" si="299"/>
        <v>1.9607843137254902E-2</v>
      </c>
      <c r="U4790" t="str">
        <f>YEAR('Campaign Data'!$A4790)&amp;"-"&amp;TEXT(MONTH('Campaign Data'!$A4790),"00")</f>
        <v>2026-09</v>
      </c>
    </row>
    <row r="4791" spans="1:21" x14ac:dyDescent="0.25">
      <c r="A4791">
        <v>46284</v>
      </c>
      <c r="B4791" t="s">
        <v>173</v>
      </c>
      <c r="C4791" t="s">
        <v>174</v>
      </c>
      <c r="D4791" t="s">
        <v>48</v>
      </c>
      <c r="E4791" t="s">
        <v>74</v>
      </c>
      <c r="F4791" t="s">
        <v>25</v>
      </c>
      <c r="G4791" t="s">
        <v>9</v>
      </c>
      <c r="H4791" t="s">
        <v>90</v>
      </c>
      <c r="I4791" t="s">
        <v>37</v>
      </c>
      <c r="J4791" t="s">
        <v>45</v>
      </c>
      <c r="K4791">
        <v>1860</v>
      </c>
      <c r="L4791">
        <v>87</v>
      </c>
      <c r="M4791">
        <v>32.880000000000003</v>
      </c>
      <c r="N4791">
        <v>7</v>
      </c>
      <c r="O4791">
        <v>177.14</v>
      </c>
      <c r="P4791">
        <f t="shared" si="296"/>
        <v>4.6774193548387098E-2</v>
      </c>
      <c r="Q4791">
        <f t="shared" si="296"/>
        <v>0.37793103448275867</v>
      </c>
      <c r="R4791">
        <f t="shared" si="297"/>
        <v>4.6971428571428575</v>
      </c>
      <c r="S4791">
        <f t="shared" si="298"/>
        <v>5.3874695863746949</v>
      </c>
      <c r="T4791">
        <f t="shared" si="299"/>
        <v>8.0459770114942528E-2</v>
      </c>
      <c r="U4791" t="str">
        <f>YEAR('Campaign Data'!$A4791)&amp;"-"&amp;TEXT(MONTH('Campaign Data'!$A4791),"00")</f>
        <v>2026-09</v>
      </c>
    </row>
    <row r="4792" spans="1:21" x14ac:dyDescent="0.25">
      <c r="A4792">
        <v>46284</v>
      </c>
      <c r="B4792" t="s">
        <v>21</v>
      </c>
      <c r="C4792" t="s">
        <v>124</v>
      </c>
      <c r="D4792" t="s">
        <v>23</v>
      </c>
      <c r="E4792" t="s">
        <v>24</v>
      </c>
      <c r="F4792" t="s">
        <v>25</v>
      </c>
      <c r="G4792" t="s">
        <v>26</v>
      </c>
      <c r="H4792" t="s">
        <v>71</v>
      </c>
      <c r="I4792" t="s">
        <v>37</v>
      </c>
      <c r="J4792" t="s">
        <v>87</v>
      </c>
      <c r="K4792">
        <v>3527</v>
      </c>
      <c r="L4792">
        <v>49</v>
      </c>
      <c r="M4792">
        <v>34.299999999999997</v>
      </c>
      <c r="N4792">
        <v>0</v>
      </c>
      <c r="O4792">
        <v>0</v>
      </c>
      <c r="P4792">
        <f t="shared" si="296"/>
        <v>1.3892826764956054E-2</v>
      </c>
      <c r="Q4792">
        <f t="shared" si="296"/>
        <v>0.7</v>
      </c>
      <c r="R4792">
        <f t="shared" si="297"/>
        <v>0</v>
      </c>
      <c r="S4792">
        <f t="shared" si="298"/>
        <v>0</v>
      </c>
      <c r="T4792">
        <f t="shared" si="299"/>
        <v>0</v>
      </c>
      <c r="U4792" t="str">
        <f>YEAR('Campaign Data'!$A4792)&amp;"-"&amp;TEXT(MONTH('Campaign Data'!$A4792),"00")</f>
        <v>2026-09</v>
      </c>
    </row>
    <row r="4793" spans="1:21" x14ac:dyDescent="0.25">
      <c r="A4793">
        <v>46284</v>
      </c>
      <c r="B4793" t="s">
        <v>167</v>
      </c>
      <c r="C4793" t="s">
        <v>168</v>
      </c>
      <c r="D4793" t="s">
        <v>58</v>
      </c>
      <c r="E4793" t="s">
        <v>33</v>
      </c>
      <c r="F4793" t="s">
        <v>75</v>
      </c>
      <c r="G4793" t="s">
        <v>35</v>
      </c>
      <c r="H4793" t="s">
        <v>36</v>
      </c>
      <c r="I4793" t="s">
        <v>28</v>
      </c>
      <c r="J4793" t="s">
        <v>29</v>
      </c>
      <c r="K4793">
        <v>914</v>
      </c>
      <c r="L4793">
        <v>5</v>
      </c>
      <c r="M4793">
        <v>3.77</v>
      </c>
      <c r="N4793">
        <v>0</v>
      </c>
      <c r="O4793">
        <v>0</v>
      </c>
      <c r="P4793">
        <f t="shared" si="296"/>
        <v>5.4704595185995622E-3</v>
      </c>
      <c r="Q4793">
        <f t="shared" si="296"/>
        <v>0.754</v>
      </c>
      <c r="R4793">
        <f t="shared" si="297"/>
        <v>0</v>
      </c>
      <c r="S4793">
        <f t="shared" si="298"/>
        <v>0</v>
      </c>
      <c r="T4793">
        <f t="shared" si="299"/>
        <v>0</v>
      </c>
      <c r="U4793" t="str">
        <f>YEAR('Campaign Data'!$A4793)&amp;"-"&amp;TEXT(MONTH('Campaign Data'!$A4793),"00")</f>
        <v>2026-09</v>
      </c>
    </row>
    <row r="4794" spans="1:21" x14ac:dyDescent="0.25">
      <c r="A4794">
        <v>46284</v>
      </c>
      <c r="B4794" t="s">
        <v>147</v>
      </c>
      <c r="C4794" t="s">
        <v>148</v>
      </c>
      <c r="D4794" t="s">
        <v>23</v>
      </c>
      <c r="E4794" t="s">
        <v>42</v>
      </c>
      <c r="F4794" t="s">
        <v>75</v>
      </c>
      <c r="G4794" t="s">
        <v>44</v>
      </c>
      <c r="H4794" t="s">
        <v>36</v>
      </c>
      <c r="I4794" t="s">
        <v>28</v>
      </c>
      <c r="J4794" t="s">
        <v>87</v>
      </c>
      <c r="K4794">
        <v>6408</v>
      </c>
      <c r="L4794">
        <v>47</v>
      </c>
      <c r="M4794">
        <v>318.74</v>
      </c>
      <c r="N4794">
        <v>2</v>
      </c>
      <c r="O4794">
        <v>88.11</v>
      </c>
      <c r="P4794">
        <f t="shared" si="296"/>
        <v>7.3345817727840197E-3</v>
      </c>
      <c r="Q4794">
        <f t="shared" si="296"/>
        <v>6.7817021276595746</v>
      </c>
      <c r="R4794">
        <f t="shared" si="297"/>
        <v>159.37</v>
      </c>
      <c r="S4794">
        <f t="shared" si="298"/>
        <v>0.27643220179456607</v>
      </c>
      <c r="T4794">
        <f t="shared" si="299"/>
        <v>4.2553191489361701E-2</v>
      </c>
      <c r="U4794" t="str">
        <f>YEAR('Campaign Data'!$A4794)&amp;"-"&amp;TEXT(MONTH('Campaign Data'!$A4794),"00")</f>
        <v>2026-09</v>
      </c>
    </row>
    <row r="4795" spans="1:21" x14ac:dyDescent="0.25">
      <c r="A4795">
        <v>46284</v>
      </c>
      <c r="B4795" t="s">
        <v>147</v>
      </c>
      <c r="C4795" t="s">
        <v>148</v>
      </c>
      <c r="D4795" t="s">
        <v>23</v>
      </c>
      <c r="E4795" t="s">
        <v>42</v>
      </c>
      <c r="F4795" t="s">
        <v>75</v>
      </c>
      <c r="G4795" t="s">
        <v>44</v>
      </c>
      <c r="H4795" t="s">
        <v>36</v>
      </c>
      <c r="I4795" t="s">
        <v>61</v>
      </c>
      <c r="J4795" t="s">
        <v>87</v>
      </c>
      <c r="K4795">
        <v>10308</v>
      </c>
      <c r="L4795">
        <v>87</v>
      </c>
      <c r="M4795">
        <v>346.82</v>
      </c>
      <c r="N4795">
        <v>5</v>
      </c>
      <c r="O4795">
        <v>120.85</v>
      </c>
      <c r="P4795">
        <f t="shared" si="296"/>
        <v>8.4400465657741564E-3</v>
      </c>
      <c r="Q4795">
        <f t="shared" si="296"/>
        <v>3.9864367816091955</v>
      </c>
      <c r="R4795">
        <f t="shared" si="297"/>
        <v>69.364000000000004</v>
      </c>
      <c r="S4795">
        <f t="shared" si="298"/>
        <v>0.34845164638717491</v>
      </c>
      <c r="T4795">
        <f t="shared" si="299"/>
        <v>5.7471264367816091E-2</v>
      </c>
      <c r="U4795" t="str">
        <f>YEAR('Campaign Data'!$A4795)&amp;"-"&amp;TEXT(MONTH('Campaign Data'!$A4795),"00")</f>
        <v>2026-09</v>
      </c>
    </row>
    <row r="4796" spans="1:21" x14ac:dyDescent="0.25">
      <c r="A4796">
        <v>46284</v>
      </c>
      <c r="B4796" t="s">
        <v>125</v>
      </c>
      <c r="C4796" t="s">
        <v>126</v>
      </c>
      <c r="D4796" t="s">
        <v>41</v>
      </c>
      <c r="E4796" t="s">
        <v>42</v>
      </c>
      <c r="F4796" t="s">
        <v>81</v>
      </c>
      <c r="G4796" t="s">
        <v>44</v>
      </c>
      <c r="H4796" t="s">
        <v>90</v>
      </c>
      <c r="I4796" t="s">
        <v>37</v>
      </c>
      <c r="J4796" t="s">
        <v>62</v>
      </c>
      <c r="K4796">
        <v>3783</v>
      </c>
      <c r="L4796">
        <v>27</v>
      </c>
      <c r="M4796">
        <v>29.89</v>
      </c>
      <c r="N4796">
        <v>2</v>
      </c>
      <c r="O4796">
        <v>13.15</v>
      </c>
      <c r="P4796">
        <f t="shared" si="296"/>
        <v>7.1371927042030133E-3</v>
      </c>
      <c r="Q4796">
        <f t="shared" si="296"/>
        <v>1.107037037037037</v>
      </c>
      <c r="R4796">
        <f t="shared" si="297"/>
        <v>14.945</v>
      </c>
      <c r="S4796">
        <f t="shared" si="298"/>
        <v>0.43994647039143525</v>
      </c>
      <c r="T4796">
        <f t="shared" si="299"/>
        <v>7.407407407407407E-2</v>
      </c>
      <c r="U4796" t="str">
        <f>YEAR('Campaign Data'!$A4796)&amp;"-"&amp;TEXT(MONTH('Campaign Data'!$A4796),"00")</f>
        <v>2026-09</v>
      </c>
    </row>
    <row r="4797" spans="1:21" x14ac:dyDescent="0.25">
      <c r="A4797">
        <v>46284</v>
      </c>
      <c r="B4797" t="s">
        <v>186</v>
      </c>
      <c r="C4797" t="s">
        <v>187</v>
      </c>
      <c r="D4797" t="s">
        <v>80</v>
      </c>
      <c r="E4797" t="s">
        <v>33</v>
      </c>
      <c r="F4797" t="s">
        <v>43</v>
      </c>
      <c r="G4797" t="s">
        <v>102</v>
      </c>
      <c r="H4797" t="s">
        <v>51</v>
      </c>
      <c r="I4797" t="s">
        <v>37</v>
      </c>
      <c r="J4797" t="s">
        <v>87</v>
      </c>
      <c r="K4797">
        <v>7833</v>
      </c>
      <c r="L4797">
        <v>58</v>
      </c>
      <c r="M4797">
        <v>29.11</v>
      </c>
      <c r="N4797">
        <v>0</v>
      </c>
      <c r="O4797">
        <v>0</v>
      </c>
      <c r="P4797">
        <f t="shared" si="296"/>
        <v>7.4045704072513725E-3</v>
      </c>
      <c r="Q4797">
        <f t="shared" si="296"/>
        <v>0.50189655172413794</v>
      </c>
      <c r="R4797">
        <f t="shared" si="297"/>
        <v>0</v>
      </c>
      <c r="S4797">
        <f t="shared" si="298"/>
        <v>0</v>
      </c>
      <c r="T4797">
        <f t="shared" si="299"/>
        <v>0</v>
      </c>
      <c r="U4797" t="str">
        <f>YEAR('Campaign Data'!$A4797)&amp;"-"&amp;TEXT(MONTH('Campaign Data'!$A4797),"00")</f>
        <v>2026-09</v>
      </c>
    </row>
    <row r="4798" spans="1:21" x14ac:dyDescent="0.25">
      <c r="A4798">
        <v>46284</v>
      </c>
      <c r="B4798" t="s">
        <v>95</v>
      </c>
      <c r="C4798" t="s">
        <v>96</v>
      </c>
      <c r="D4798" t="s">
        <v>23</v>
      </c>
      <c r="E4798" t="s">
        <v>49</v>
      </c>
      <c r="F4798" t="s">
        <v>43</v>
      </c>
      <c r="G4798" t="s">
        <v>97</v>
      </c>
      <c r="H4798" t="s">
        <v>36</v>
      </c>
      <c r="I4798" t="s">
        <v>28</v>
      </c>
      <c r="J4798" t="s">
        <v>62</v>
      </c>
      <c r="K4798">
        <v>2477</v>
      </c>
      <c r="L4798">
        <v>188</v>
      </c>
      <c r="M4798">
        <v>302.79000000000002</v>
      </c>
      <c r="N4798">
        <v>13</v>
      </c>
      <c r="O4798">
        <v>346.51</v>
      </c>
      <c r="P4798">
        <f t="shared" si="296"/>
        <v>7.5898264029067422E-2</v>
      </c>
      <c r="Q4798">
        <f t="shared" si="296"/>
        <v>1.6105851063829788</v>
      </c>
      <c r="R4798">
        <f t="shared" si="297"/>
        <v>23.291538461538462</v>
      </c>
      <c r="S4798">
        <f t="shared" si="298"/>
        <v>1.1443905016678224</v>
      </c>
      <c r="T4798">
        <f t="shared" si="299"/>
        <v>6.9148936170212769E-2</v>
      </c>
      <c r="U4798" t="str">
        <f>YEAR('Campaign Data'!$A4798)&amp;"-"&amp;TEXT(MONTH('Campaign Data'!$A4798),"00")</f>
        <v>2026-09</v>
      </c>
    </row>
    <row r="4799" spans="1:21" x14ac:dyDescent="0.25">
      <c r="A4799">
        <v>46284</v>
      </c>
      <c r="B4799" t="s">
        <v>39</v>
      </c>
      <c r="C4799" t="s">
        <v>40</v>
      </c>
      <c r="D4799" t="s">
        <v>41</v>
      </c>
      <c r="E4799" t="s">
        <v>42</v>
      </c>
      <c r="F4799" t="s">
        <v>43</v>
      </c>
      <c r="G4799" t="s">
        <v>44</v>
      </c>
      <c r="H4799" t="s">
        <v>51</v>
      </c>
      <c r="I4799" t="s">
        <v>37</v>
      </c>
      <c r="J4799" t="s">
        <v>62</v>
      </c>
      <c r="K4799">
        <v>3515</v>
      </c>
      <c r="L4799">
        <v>28</v>
      </c>
      <c r="M4799">
        <v>135.05000000000001</v>
      </c>
      <c r="N4799">
        <v>0</v>
      </c>
      <c r="O4799">
        <v>0</v>
      </c>
      <c r="P4799">
        <f t="shared" si="296"/>
        <v>7.965860597439544E-3</v>
      </c>
      <c r="Q4799">
        <f t="shared" si="296"/>
        <v>4.8232142857142861</v>
      </c>
      <c r="R4799">
        <f t="shared" si="297"/>
        <v>0</v>
      </c>
      <c r="S4799">
        <f t="shared" si="298"/>
        <v>0</v>
      </c>
      <c r="T4799">
        <f t="shared" si="299"/>
        <v>0</v>
      </c>
      <c r="U4799" t="str">
        <f>YEAR('Campaign Data'!$A4799)&amp;"-"&amp;TEXT(MONTH('Campaign Data'!$A4799),"00")</f>
        <v>2026-09</v>
      </c>
    </row>
    <row r="4800" spans="1:21" x14ac:dyDescent="0.25">
      <c r="A4800">
        <v>46284</v>
      </c>
      <c r="B4800" t="s">
        <v>108</v>
      </c>
      <c r="C4800" t="s">
        <v>109</v>
      </c>
      <c r="D4800" t="s">
        <v>58</v>
      </c>
      <c r="E4800" t="s">
        <v>33</v>
      </c>
      <c r="F4800" t="s">
        <v>43</v>
      </c>
      <c r="G4800" t="s">
        <v>59</v>
      </c>
      <c r="H4800" t="s">
        <v>36</v>
      </c>
      <c r="I4800" t="s">
        <v>61</v>
      </c>
      <c r="J4800" t="s">
        <v>45</v>
      </c>
      <c r="K4800">
        <v>3132</v>
      </c>
      <c r="L4800">
        <v>54</v>
      </c>
      <c r="M4800">
        <v>21.21</v>
      </c>
      <c r="N4800">
        <v>0</v>
      </c>
      <c r="O4800">
        <v>0</v>
      </c>
      <c r="P4800">
        <f t="shared" si="296"/>
        <v>1.7241379310344827E-2</v>
      </c>
      <c r="Q4800">
        <f t="shared" si="296"/>
        <v>0.39277777777777778</v>
      </c>
      <c r="R4800">
        <f t="shared" si="297"/>
        <v>0</v>
      </c>
      <c r="S4800">
        <f t="shared" si="298"/>
        <v>0</v>
      </c>
      <c r="T4800">
        <f t="shared" si="299"/>
        <v>0</v>
      </c>
      <c r="U4800" t="str">
        <f>YEAR('Campaign Data'!$A4800)&amp;"-"&amp;TEXT(MONTH('Campaign Data'!$A4800),"00")</f>
        <v>2026-09</v>
      </c>
    </row>
    <row r="4801" spans="1:21" x14ac:dyDescent="0.25">
      <c r="A4801">
        <v>46284</v>
      </c>
      <c r="B4801" t="s">
        <v>130</v>
      </c>
      <c r="C4801" t="s">
        <v>131</v>
      </c>
      <c r="D4801" t="s">
        <v>48</v>
      </c>
      <c r="E4801" t="s">
        <v>33</v>
      </c>
      <c r="F4801" t="s">
        <v>34</v>
      </c>
      <c r="G4801" t="s">
        <v>35</v>
      </c>
      <c r="H4801" t="s">
        <v>60</v>
      </c>
      <c r="I4801" t="s">
        <v>37</v>
      </c>
      <c r="J4801" t="s">
        <v>38</v>
      </c>
      <c r="K4801">
        <v>4481</v>
      </c>
      <c r="L4801">
        <v>47</v>
      </c>
      <c r="M4801">
        <v>28.44</v>
      </c>
      <c r="N4801">
        <v>0</v>
      </c>
      <c r="O4801">
        <v>0</v>
      </c>
      <c r="P4801">
        <f t="shared" si="296"/>
        <v>1.0488730194153091E-2</v>
      </c>
      <c r="Q4801">
        <f t="shared" si="296"/>
        <v>0.60510638297872343</v>
      </c>
      <c r="R4801">
        <f t="shared" si="297"/>
        <v>0</v>
      </c>
      <c r="S4801">
        <f t="shared" si="298"/>
        <v>0</v>
      </c>
      <c r="T4801">
        <f t="shared" si="299"/>
        <v>0</v>
      </c>
      <c r="U4801" t="str">
        <f>YEAR('Campaign Data'!$A4801)&amp;"-"&amp;TEXT(MONTH('Campaign Data'!$A4801),"00")</f>
        <v>2026-09</v>
      </c>
    </row>
    <row r="4802" spans="1:21" x14ac:dyDescent="0.25">
      <c r="A4802">
        <v>46284</v>
      </c>
      <c r="B4802" t="s">
        <v>132</v>
      </c>
      <c r="C4802" t="s">
        <v>133</v>
      </c>
      <c r="D4802" t="s">
        <v>23</v>
      </c>
      <c r="E4802" t="s">
        <v>42</v>
      </c>
      <c r="F4802" t="s">
        <v>75</v>
      </c>
      <c r="G4802" t="s">
        <v>84</v>
      </c>
      <c r="H4802" t="s">
        <v>90</v>
      </c>
      <c r="I4802" t="s">
        <v>28</v>
      </c>
      <c r="J4802" t="s">
        <v>29</v>
      </c>
      <c r="K4802">
        <v>3296</v>
      </c>
      <c r="L4802">
        <v>25</v>
      </c>
      <c r="M4802">
        <v>28.92</v>
      </c>
      <c r="N4802">
        <v>2</v>
      </c>
      <c r="O4802">
        <v>22.57</v>
      </c>
      <c r="P4802">
        <f t="shared" ref="P4802:Q4865" si="300">IF(K4802=0,0,L4802/K4802)</f>
        <v>7.5849514563106797E-3</v>
      </c>
      <c r="Q4802">
        <f t="shared" si="300"/>
        <v>1.1568000000000001</v>
      </c>
      <c r="R4802">
        <f t="shared" ref="R4802:R4865" si="301">IF(N4802=0,0,M4802/N4802)</f>
        <v>14.46</v>
      </c>
      <c r="S4802">
        <f t="shared" ref="S4802:S4865" si="302">IF(M4802=0,0,O4802/M4802)</f>
        <v>0.78042876901798064</v>
      </c>
      <c r="T4802">
        <f t="shared" ref="T4802:T4865" si="303">IF(L4802=0,0,N4802/L4802)</f>
        <v>0.08</v>
      </c>
      <c r="U4802" t="str">
        <f>YEAR('Campaign Data'!$A4802)&amp;"-"&amp;TEXT(MONTH('Campaign Data'!$A4802),"00")</f>
        <v>2026-09</v>
      </c>
    </row>
    <row r="4803" spans="1:21" x14ac:dyDescent="0.25">
      <c r="A4803">
        <v>46284</v>
      </c>
      <c r="B4803" t="s">
        <v>132</v>
      </c>
      <c r="C4803" t="s">
        <v>133</v>
      </c>
      <c r="D4803" t="s">
        <v>23</v>
      </c>
      <c r="E4803" t="s">
        <v>42</v>
      </c>
      <c r="F4803" t="s">
        <v>75</v>
      </c>
      <c r="G4803" t="s">
        <v>84</v>
      </c>
      <c r="H4803" t="s">
        <v>27</v>
      </c>
      <c r="I4803" t="s">
        <v>37</v>
      </c>
      <c r="J4803" t="s">
        <v>62</v>
      </c>
      <c r="K4803">
        <v>3060</v>
      </c>
      <c r="L4803">
        <v>20</v>
      </c>
      <c r="M4803">
        <v>163.44999999999999</v>
      </c>
      <c r="N4803">
        <v>0</v>
      </c>
      <c r="O4803">
        <v>0</v>
      </c>
      <c r="P4803">
        <f t="shared" si="300"/>
        <v>6.5359477124183009E-3</v>
      </c>
      <c r="Q4803">
        <f t="shared" si="300"/>
        <v>8.1724999999999994</v>
      </c>
      <c r="R4803">
        <f t="shared" si="301"/>
        <v>0</v>
      </c>
      <c r="S4803">
        <f t="shared" si="302"/>
        <v>0</v>
      </c>
      <c r="T4803">
        <f t="shared" si="303"/>
        <v>0</v>
      </c>
      <c r="U4803" t="str">
        <f>YEAR('Campaign Data'!$A4803)&amp;"-"&amp;TEXT(MONTH('Campaign Data'!$A4803),"00")</f>
        <v>2026-09</v>
      </c>
    </row>
    <row r="4804" spans="1:21" x14ac:dyDescent="0.25">
      <c r="A4804">
        <v>46284</v>
      </c>
      <c r="B4804" t="s">
        <v>132</v>
      </c>
      <c r="C4804" t="s">
        <v>133</v>
      </c>
      <c r="D4804" t="s">
        <v>23</v>
      </c>
      <c r="E4804" t="s">
        <v>42</v>
      </c>
      <c r="F4804" t="s">
        <v>75</v>
      </c>
      <c r="G4804" t="s">
        <v>84</v>
      </c>
      <c r="H4804" t="s">
        <v>36</v>
      </c>
      <c r="I4804" t="s">
        <v>37</v>
      </c>
      <c r="J4804" t="s">
        <v>87</v>
      </c>
      <c r="K4804">
        <v>2234</v>
      </c>
      <c r="L4804">
        <v>12</v>
      </c>
      <c r="M4804">
        <v>86.18</v>
      </c>
      <c r="N4804">
        <v>0</v>
      </c>
      <c r="O4804">
        <v>0</v>
      </c>
      <c r="P4804">
        <f t="shared" si="300"/>
        <v>5.3715308863025966E-3</v>
      </c>
      <c r="Q4804">
        <f t="shared" si="300"/>
        <v>7.1816666666666675</v>
      </c>
      <c r="R4804">
        <f t="shared" si="301"/>
        <v>0</v>
      </c>
      <c r="S4804">
        <f t="shared" si="302"/>
        <v>0</v>
      </c>
      <c r="T4804">
        <f t="shared" si="303"/>
        <v>0</v>
      </c>
      <c r="U4804" t="str">
        <f>YEAR('Campaign Data'!$A4804)&amp;"-"&amp;TEXT(MONTH('Campaign Data'!$A4804),"00")</f>
        <v>2026-09</v>
      </c>
    </row>
    <row r="4805" spans="1:21" x14ac:dyDescent="0.25">
      <c r="A4805">
        <v>46284</v>
      </c>
      <c r="B4805" t="s">
        <v>171</v>
      </c>
      <c r="C4805" t="s">
        <v>172</v>
      </c>
      <c r="D4805" t="s">
        <v>23</v>
      </c>
      <c r="E4805" t="s">
        <v>33</v>
      </c>
      <c r="F4805" t="s">
        <v>75</v>
      </c>
      <c r="G4805" t="s">
        <v>59</v>
      </c>
      <c r="H4805" t="s">
        <v>36</v>
      </c>
      <c r="I4805" t="s">
        <v>37</v>
      </c>
      <c r="J4805" t="s">
        <v>45</v>
      </c>
      <c r="K4805">
        <v>3543</v>
      </c>
      <c r="L4805">
        <v>28</v>
      </c>
      <c r="M4805">
        <v>19.8</v>
      </c>
      <c r="N4805">
        <v>0</v>
      </c>
      <c r="O4805">
        <v>0</v>
      </c>
      <c r="P4805">
        <f t="shared" si="300"/>
        <v>7.9029071408410947E-3</v>
      </c>
      <c r="Q4805">
        <f t="shared" si="300"/>
        <v>0.70714285714285718</v>
      </c>
      <c r="R4805">
        <f t="shared" si="301"/>
        <v>0</v>
      </c>
      <c r="S4805">
        <f t="shared" si="302"/>
        <v>0</v>
      </c>
      <c r="T4805">
        <f t="shared" si="303"/>
        <v>0</v>
      </c>
      <c r="U4805" t="str">
        <f>YEAR('Campaign Data'!$A4805)&amp;"-"&amp;TEXT(MONTH('Campaign Data'!$A4805),"00")</f>
        <v>2026-09</v>
      </c>
    </row>
    <row r="4806" spans="1:21" x14ac:dyDescent="0.25">
      <c r="A4806">
        <v>46284</v>
      </c>
      <c r="B4806" t="s">
        <v>155</v>
      </c>
      <c r="C4806" t="s">
        <v>156</v>
      </c>
      <c r="D4806" t="s">
        <v>32</v>
      </c>
      <c r="E4806" t="s">
        <v>24</v>
      </c>
      <c r="F4806" t="s">
        <v>34</v>
      </c>
      <c r="G4806" t="s">
        <v>129</v>
      </c>
      <c r="H4806" t="s">
        <v>51</v>
      </c>
      <c r="I4806" t="s">
        <v>37</v>
      </c>
      <c r="J4806" t="s">
        <v>29</v>
      </c>
      <c r="K4806">
        <v>1966</v>
      </c>
      <c r="L4806">
        <v>32</v>
      </c>
      <c r="M4806">
        <v>34.89</v>
      </c>
      <c r="N4806">
        <v>2</v>
      </c>
      <c r="O4806">
        <v>276.38</v>
      </c>
      <c r="P4806">
        <f t="shared" si="300"/>
        <v>1.6276703967446592E-2</v>
      </c>
      <c r="Q4806">
        <f t="shared" si="300"/>
        <v>1.0903125</v>
      </c>
      <c r="R4806">
        <f t="shared" si="301"/>
        <v>17.445</v>
      </c>
      <c r="S4806">
        <f t="shared" si="302"/>
        <v>7.9214674691888787</v>
      </c>
      <c r="T4806">
        <f t="shared" si="303"/>
        <v>6.25E-2</v>
      </c>
      <c r="U4806" t="str">
        <f>YEAR('Campaign Data'!$A4806)&amp;"-"&amp;TEXT(MONTH('Campaign Data'!$A4806),"00")</f>
        <v>2026-09</v>
      </c>
    </row>
    <row r="4807" spans="1:21" x14ac:dyDescent="0.25">
      <c r="A4807">
        <v>46284</v>
      </c>
      <c r="B4807" t="s">
        <v>157</v>
      </c>
      <c r="C4807" t="s">
        <v>158</v>
      </c>
      <c r="D4807" t="s">
        <v>58</v>
      </c>
      <c r="E4807" t="s">
        <v>49</v>
      </c>
      <c r="F4807" t="s">
        <v>81</v>
      </c>
      <c r="G4807" t="s">
        <v>50</v>
      </c>
      <c r="H4807" t="s">
        <v>27</v>
      </c>
      <c r="I4807" t="s">
        <v>28</v>
      </c>
      <c r="J4807" t="s">
        <v>29</v>
      </c>
      <c r="K4807">
        <v>584</v>
      </c>
      <c r="L4807">
        <v>33</v>
      </c>
      <c r="M4807">
        <v>34.450000000000003</v>
      </c>
      <c r="N4807">
        <v>1</v>
      </c>
      <c r="O4807">
        <v>24.17</v>
      </c>
      <c r="P4807">
        <f t="shared" si="300"/>
        <v>5.650684931506849E-2</v>
      </c>
      <c r="Q4807">
        <f t="shared" si="300"/>
        <v>1.0439393939393939</v>
      </c>
      <c r="R4807">
        <f t="shared" si="301"/>
        <v>34.450000000000003</v>
      </c>
      <c r="S4807">
        <f t="shared" si="302"/>
        <v>0.70159651669085632</v>
      </c>
      <c r="T4807">
        <f t="shared" si="303"/>
        <v>3.0303030303030304E-2</v>
      </c>
      <c r="U4807" t="str">
        <f>YEAR('Campaign Data'!$A4807)&amp;"-"&amp;TEXT(MONTH('Campaign Data'!$A4807),"00")</f>
        <v>2026-09</v>
      </c>
    </row>
    <row r="4808" spans="1:21" x14ac:dyDescent="0.25">
      <c r="A4808">
        <v>46284</v>
      </c>
      <c r="B4808" t="s">
        <v>112</v>
      </c>
      <c r="C4808" t="s">
        <v>113</v>
      </c>
      <c r="D4808" t="s">
        <v>32</v>
      </c>
      <c r="E4808" t="s">
        <v>24</v>
      </c>
      <c r="F4808" t="s">
        <v>75</v>
      </c>
      <c r="G4808" t="s">
        <v>66</v>
      </c>
      <c r="H4808" t="s">
        <v>36</v>
      </c>
      <c r="I4808" t="s">
        <v>28</v>
      </c>
      <c r="J4808" t="s">
        <v>62</v>
      </c>
      <c r="K4808">
        <v>4015</v>
      </c>
      <c r="L4808">
        <v>71</v>
      </c>
      <c r="M4808">
        <v>67.62</v>
      </c>
      <c r="N4808">
        <v>6</v>
      </c>
      <c r="O4808">
        <v>176.22</v>
      </c>
      <c r="P4808">
        <f t="shared" si="300"/>
        <v>1.7683686176836862E-2</v>
      </c>
      <c r="Q4808">
        <f t="shared" si="300"/>
        <v>0.95239436619718321</v>
      </c>
      <c r="R4808">
        <f t="shared" si="301"/>
        <v>11.270000000000001</v>
      </c>
      <c r="S4808">
        <f t="shared" si="302"/>
        <v>2.60603371783496</v>
      </c>
      <c r="T4808">
        <f t="shared" si="303"/>
        <v>8.4507042253521125E-2</v>
      </c>
      <c r="U4808" t="str">
        <f>YEAR('Campaign Data'!$A4808)&amp;"-"&amp;TEXT(MONTH('Campaign Data'!$A4808),"00")</f>
        <v>2026-09</v>
      </c>
    </row>
    <row r="4809" spans="1:21" x14ac:dyDescent="0.25">
      <c r="A4809">
        <v>46284</v>
      </c>
      <c r="B4809" t="s">
        <v>159</v>
      </c>
      <c r="C4809" t="s">
        <v>160</v>
      </c>
      <c r="D4809" t="s">
        <v>65</v>
      </c>
      <c r="E4809" t="s">
        <v>42</v>
      </c>
      <c r="F4809" t="s">
        <v>75</v>
      </c>
      <c r="G4809" t="s">
        <v>54</v>
      </c>
      <c r="H4809" t="s">
        <v>27</v>
      </c>
      <c r="I4809" t="s">
        <v>37</v>
      </c>
      <c r="J4809" t="s">
        <v>87</v>
      </c>
      <c r="K4809">
        <v>3717</v>
      </c>
      <c r="L4809">
        <v>16</v>
      </c>
      <c r="M4809">
        <v>127.14</v>
      </c>
      <c r="N4809">
        <v>0</v>
      </c>
      <c r="O4809">
        <v>0</v>
      </c>
      <c r="P4809">
        <f t="shared" si="300"/>
        <v>4.3045466774280332E-3</v>
      </c>
      <c r="Q4809">
        <f t="shared" si="300"/>
        <v>7.94625</v>
      </c>
      <c r="R4809">
        <f t="shared" si="301"/>
        <v>0</v>
      </c>
      <c r="S4809">
        <f t="shared" si="302"/>
        <v>0</v>
      </c>
      <c r="T4809">
        <f t="shared" si="303"/>
        <v>0</v>
      </c>
      <c r="U4809" t="str">
        <f>YEAR('Campaign Data'!$A4809)&amp;"-"&amp;TEXT(MONTH('Campaign Data'!$A4809),"00")</f>
        <v>2026-09</v>
      </c>
    </row>
    <row r="4810" spans="1:21" x14ac:dyDescent="0.25">
      <c r="A4810">
        <v>46284</v>
      </c>
      <c r="B4810" t="s">
        <v>136</v>
      </c>
      <c r="C4810" t="s">
        <v>137</v>
      </c>
      <c r="D4810" t="s">
        <v>32</v>
      </c>
      <c r="E4810" t="s">
        <v>49</v>
      </c>
      <c r="F4810" t="s">
        <v>75</v>
      </c>
      <c r="G4810" t="s">
        <v>97</v>
      </c>
      <c r="H4810" t="s">
        <v>27</v>
      </c>
      <c r="I4810" t="s">
        <v>37</v>
      </c>
      <c r="J4810" t="s">
        <v>45</v>
      </c>
      <c r="K4810">
        <v>10013</v>
      </c>
      <c r="L4810">
        <v>374</v>
      </c>
      <c r="M4810">
        <v>820</v>
      </c>
      <c r="N4810">
        <v>18</v>
      </c>
      <c r="O4810">
        <v>874.17</v>
      </c>
      <c r="P4810">
        <f t="shared" si="300"/>
        <v>3.7351443123938878E-2</v>
      </c>
      <c r="Q4810">
        <f t="shared" si="300"/>
        <v>2.1925133689839571</v>
      </c>
      <c r="R4810">
        <f t="shared" si="301"/>
        <v>45.555555555555557</v>
      </c>
      <c r="S4810">
        <f t="shared" si="302"/>
        <v>1.0660609756097561</v>
      </c>
      <c r="T4810">
        <f t="shared" si="303"/>
        <v>4.8128342245989303E-2</v>
      </c>
      <c r="U4810" t="str">
        <f>YEAR('Campaign Data'!$A4810)&amp;"-"&amp;TEXT(MONTH('Campaign Data'!$A4810),"00")</f>
        <v>2026-09</v>
      </c>
    </row>
    <row r="4811" spans="1:21" x14ac:dyDescent="0.25">
      <c r="A4811">
        <v>46284</v>
      </c>
      <c r="B4811" t="s">
        <v>116</v>
      </c>
      <c r="C4811" t="s">
        <v>117</v>
      </c>
      <c r="D4811" t="s">
        <v>48</v>
      </c>
      <c r="E4811" t="s">
        <v>24</v>
      </c>
      <c r="F4811" t="s">
        <v>43</v>
      </c>
      <c r="G4811" t="s">
        <v>26</v>
      </c>
      <c r="H4811" t="s">
        <v>51</v>
      </c>
      <c r="I4811" t="s">
        <v>28</v>
      </c>
      <c r="J4811" t="s">
        <v>87</v>
      </c>
      <c r="K4811">
        <v>6524</v>
      </c>
      <c r="L4811">
        <v>107</v>
      </c>
      <c r="M4811">
        <v>85.63</v>
      </c>
      <c r="N4811">
        <v>3</v>
      </c>
      <c r="O4811">
        <v>76.89</v>
      </c>
      <c r="P4811">
        <f t="shared" si="300"/>
        <v>1.6400980993255671E-2</v>
      </c>
      <c r="Q4811">
        <f t="shared" si="300"/>
        <v>0.80028037383177564</v>
      </c>
      <c r="R4811">
        <f t="shared" si="301"/>
        <v>28.543333333333333</v>
      </c>
      <c r="S4811">
        <f t="shared" si="302"/>
        <v>0.89793296741796103</v>
      </c>
      <c r="T4811">
        <f t="shared" si="303"/>
        <v>2.8037383177570093E-2</v>
      </c>
      <c r="U4811" t="str">
        <f>YEAR('Campaign Data'!$A4811)&amp;"-"&amp;TEXT(MONTH('Campaign Data'!$A4811),"00")</f>
        <v>2026-09</v>
      </c>
    </row>
    <row r="4812" spans="1:21" x14ac:dyDescent="0.25">
      <c r="A4812">
        <v>46284</v>
      </c>
      <c r="B4812" t="s">
        <v>116</v>
      </c>
      <c r="C4812" t="s">
        <v>117</v>
      </c>
      <c r="D4812" t="s">
        <v>48</v>
      </c>
      <c r="E4812" t="s">
        <v>24</v>
      </c>
      <c r="F4812" t="s">
        <v>43</v>
      </c>
      <c r="G4812" t="s">
        <v>26</v>
      </c>
      <c r="H4812" t="s">
        <v>27</v>
      </c>
      <c r="I4812" t="s">
        <v>37</v>
      </c>
      <c r="J4812" t="s">
        <v>62</v>
      </c>
      <c r="K4812">
        <v>4329</v>
      </c>
      <c r="L4812">
        <v>88</v>
      </c>
      <c r="M4812">
        <v>64</v>
      </c>
      <c r="N4812">
        <v>3</v>
      </c>
      <c r="O4812">
        <v>99.48</v>
      </c>
      <c r="P4812">
        <f t="shared" si="300"/>
        <v>2.0328020328020328E-2</v>
      </c>
      <c r="Q4812">
        <f t="shared" si="300"/>
        <v>0.72727272727272729</v>
      </c>
      <c r="R4812">
        <f t="shared" si="301"/>
        <v>21.333333333333332</v>
      </c>
      <c r="S4812">
        <f t="shared" si="302"/>
        <v>1.5543750000000001</v>
      </c>
      <c r="T4812">
        <f t="shared" si="303"/>
        <v>3.4090909090909088E-2</v>
      </c>
      <c r="U4812" t="str">
        <f>YEAR('Campaign Data'!$A4812)&amp;"-"&amp;TEXT(MONTH('Campaign Data'!$A4812),"00")</f>
        <v>2026-09</v>
      </c>
    </row>
    <row r="4813" spans="1:21" x14ac:dyDescent="0.25">
      <c r="A4813">
        <v>46284</v>
      </c>
      <c r="B4813" t="s">
        <v>76</v>
      </c>
      <c r="C4813" t="s">
        <v>77</v>
      </c>
      <c r="D4813" t="s">
        <v>65</v>
      </c>
      <c r="E4813" t="s">
        <v>42</v>
      </c>
      <c r="F4813" t="s">
        <v>43</v>
      </c>
      <c r="G4813" t="s">
        <v>44</v>
      </c>
      <c r="H4813" t="s">
        <v>27</v>
      </c>
      <c r="I4813" t="s">
        <v>37</v>
      </c>
      <c r="J4813" t="s">
        <v>38</v>
      </c>
      <c r="K4813">
        <v>4410</v>
      </c>
      <c r="L4813">
        <v>6</v>
      </c>
      <c r="M4813">
        <v>45.28</v>
      </c>
      <c r="N4813">
        <v>0</v>
      </c>
      <c r="O4813">
        <v>0</v>
      </c>
      <c r="P4813">
        <f t="shared" si="300"/>
        <v>1.3605442176870747E-3</v>
      </c>
      <c r="Q4813">
        <f t="shared" si="300"/>
        <v>7.5466666666666669</v>
      </c>
      <c r="R4813">
        <f t="shared" si="301"/>
        <v>0</v>
      </c>
      <c r="S4813">
        <f t="shared" si="302"/>
        <v>0</v>
      </c>
      <c r="T4813">
        <f t="shared" si="303"/>
        <v>0</v>
      </c>
      <c r="U4813" t="str">
        <f>YEAR('Campaign Data'!$A4813)&amp;"-"&amp;TEXT(MONTH('Campaign Data'!$A4813),"00")</f>
        <v>2026-09</v>
      </c>
    </row>
    <row r="4814" spans="1:21" x14ac:dyDescent="0.25">
      <c r="A4814">
        <v>46285</v>
      </c>
      <c r="B4814" t="s">
        <v>165</v>
      </c>
      <c r="C4814" t="s">
        <v>166</v>
      </c>
      <c r="D4814" t="s">
        <v>41</v>
      </c>
      <c r="E4814" t="s">
        <v>33</v>
      </c>
      <c r="F4814" t="s">
        <v>43</v>
      </c>
      <c r="G4814" t="s">
        <v>59</v>
      </c>
      <c r="H4814" t="s">
        <v>55</v>
      </c>
      <c r="I4814" t="s">
        <v>37</v>
      </c>
      <c r="J4814" t="s">
        <v>29</v>
      </c>
      <c r="K4814">
        <v>2498</v>
      </c>
      <c r="L4814">
        <v>25</v>
      </c>
      <c r="M4814">
        <v>14.01</v>
      </c>
      <c r="N4814">
        <v>0</v>
      </c>
      <c r="O4814">
        <v>0</v>
      </c>
      <c r="P4814">
        <f t="shared" si="300"/>
        <v>1.0008006405124099E-2</v>
      </c>
      <c r="Q4814">
        <f t="shared" si="300"/>
        <v>0.56040000000000001</v>
      </c>
      <c r="R4814">
        <f t="shared" si="301"/>
        <v>0</v>
      </c>
      <c r="S4814">
        <f t="shared" si="302"/>
        <v>0</v>
      </c>
      <c r="T4814">
        <f t="shared" si="303"/>
        <v>0</v>
      </c>
      <c r="U4814" t="str">
        <f>YEAR('Campaign Data'!$A4814)&amp;"-"&amp;TEXT(MONTH('Campaign Data'!$A4814),"00")</f>
        <v>2026-09</v>
      </c>
    </row>
    <row r="4815" spans="1:21" x14ac:dyDescent="0.25">
      <c r="A4815">
        <v>46285</v>
      </c>
      <c r="B4815" t="s">
        <v>167</v>
      </c>
      <c r="C4815" t="s">
        <v>168</v>
      </c>
      <c r="D4815" t="s">
        <v>58</v>
      </c>
      <c r="E4815" t="s">
        <v>33</v>
      </c>
      <c r="F4815" t="s">
        <v>75</v>
      </c>
      <c r="G4815" t="s">
        <v>35</v>
      </c>
      <c r="H4815" t="s">
        <v>36</v>
      </c>
      <c r="I4815" t="s">
        <v>37</v>
      </c>
      <c r="J4815" t="s">
        <v>45</v>
      </c>
      <c r="K4815">
        <v>1459</v>
      </c>
      <c r="L4815">
        <v>12</v>
      </c>
      <c r="M4815">
        <v>9.5</v>
      </c>
      <c r="N4815">
        <v>0</v>
      </c>
      <c r="O4815">
        <v>0</v>
      </c>
      <c r="P4815">
        <f t="shared" si="300"/>
        <v>8.2248115147361203E-3</v>
      </c>
      <c r="Q4815">
        <f t="shared" si="300"/>
        <v>0.79166666666666663</v>
      </c>
      <c r="R4815">
        <f t="shared" si="301"/>
        <v>0</v>
      </c>
      <c r="S4815">
        <f t="shared" si="302"/>
        <v>0</v>
      </c>
      <c r="T4815">
        <f t="shared" si="303"/>
        <v>0</v>
      </c>
      <c r="U4815" t="str">
        <f>YEAR('Campaign Data'!$A4815)&amp;"-"&amp;TEXT(MONTH('Campaign Data'!$A4815),"00")</f>
        <v>2026-09</v>
      </c>
    </row>
    <row r="4816" spans="1:21" x14ac:dyDescent="0.25">
      <c r="A4816">
        <v>46285</v>
      </c>
      <c r="B4816" t="s">
        <v>147</v>
      </c>
      <c r="C4816" t="s">
        <v>148</v>
      </c>
      <c r="D4816" t="s">
        <v>23</v>
      </c>
      <c r="E4816" t="s">
        <v>42</v>
      </c>
      <c r="F4816" t="s">
        <v>75</v>
      </c>
      <c r="G4816" t="s">
        <v>44</v>
      </c>
      <c r="H4816" t="s">
        <v>55</v>
      </c>
      <c r="I4816" t="s">
        <v>28</v>
      </c>
      <c r="J4816" t="s">
        <v>45</v>
      </c>
      <c r="K4816">
        <v>9743</v>
      </c>
      <c r="L4816">
        <v>41</v>
      </c>
      <c r="M4816">
        <v>250.26</v>
      </c>
      <c r="N4816">
        <v>0</v>
      </c>
      <c r="O4816">
        <v>0</v>
      </c>
      <c r="P4816">
        <f t="shared" si="300"/>
        <v>4.2081494406240377E-3</v>
      </c>
      <c r="Q4816">
        <f t="shared" si="300"/>
        <v>6.1039024390243899</v>
      </c>
      <c r="R4816">
        <f t="shared" si="301"/>
        <v>0</v>
      </c>
      <c r="S4816">
        <f t="shared" si="302"/>
        <v>0</v>
      </c>
      <c r="T4816">
        <f t="shared" si="303"/>
        <v>0</v>
      </c>
      <c r="U4816" t="str">
        <f>YEAR('Campaign Data'!$A4816)&amp;"-"&amp;TEXT(MONTH('Campaign Data'!$A4816),"00")</f>
        <v>2026-09</v>
      </c>
    </row>
    <row r="4817" spans="1:21" x14ac:dyDescent="0.25">
      <c r="A4817">
        <v>46285</v>
      </c>
      <c r="B4817" t="s">
        <v>151</v>
      </c>
      <c r="C4817" t="s">
        <v>152</v>
      </c>
      <c r="D4817" t="s">
        <v>48</v>
      </c>
      <c r="E4817" t="s">
        <v>24</v>
      </c>
      <c r="F4817" t="s">
        <v>81</v>
      </c>
      <c r="G4817" t="s">
        <v>129</v>
      </c>
      <c r="H4817" t="s">
        <v>27</v>
      </c>
      <c r="I4817" t="s">
        <v>61</v>
      </c>
      <c r="J4817" t="s">
        <v>62</v>
      </c>
      <c r="K4817">
        <v>2770</v>
      </c>
      <c r="L4817">
        <v>55</v>
      </c>
      <c r="M4817">
        <v>76.41</v>
      </c>
      <c r="N4817">
        <v>3</v>
      </c>
      <c r="O4817">
        <v>44.58</v>
      </c>
      <c r="P4817">
        <f t="shared" si="300"/>
        <v>1.9855595667870037E-2</v>
      </c>
      <c r="Q4817">
        <f t="shared" si="300"/>
        <v>1.3892727272727272</v>
      </c>
      <c r="R4817">
        <f t="shared" si="301"/>
        <v>25.47</v>
      </c>
      <c r="S4817">
        <f t="shared" si="302"/>
        <v>0.58343148802512756</v>
      </c>
      <c r="T4817">
        <f t="shared" si="303"/>
        <v>5.4545454545454543E-2</v>
      </c>
      <c r="U4817" t="str">
        <f>YEAR('Campaign Data'!$A4817)&amp;"-"&amp;TEXT(MONTH('Campaign Data'!$A4817),"00")</f>
        <v>2026-09</v>
      </c>
    </row>
    <row r="4818" spans="1:21" x14ac:dyDescent="0.25">
      <c r="A4818">
        <v>46285</v>
      </c>
      <c r="B4818" t="s">
        <v>39</v>
      </c>
      <c r="C4818" t="s">
        <v>40</v>
      </c>
      <c r="D4818" t="s">
        <v>41</v>
      </c>
      <c r="E4818" t="s">
        <v>42</v>
      </c>
      <c r="F4818" t="s">
        <v>43</v>
      </c>
      <c r="G4818" t="s">
        <v>44</v>
      </c>
      <c r="H4818" t="s">
        <v>27</v>
      </c>
      <c r="I4818" t="s">
        <v>37</v>
      </c>
      <c r="J4818" t="s">
        <v>45</v>
      </c>
      <c r="K4818">
        <v>2323</v>
      </c>
      <c r="L4818">
        <v>11</v>
      </c>
      <c r="M4818">
        <v>41.09</v>
      </c>
      <c r="N4818">
        <v>2</v>
      </c>
      <c r="O4818">
        <v>74.48</v>
      </c>
      <c r="P4818">
        <f t="shared" si="300"/>
        <v>4.7352561343090831E-3</v>
      </c>
      <c r="Q4818">
        <f t="shared" si="300"/>
        <v>3.7354545454545458</v>
      </c>
      <c r="R4818">
        <f t="shared" si="301"/>
        <v>20.545000000000002</v>
      </c>
      <c r="S4818">
        <f t="shared" si="302"/>
        <v>1.8126064735945484</v>
      </c>
      <c r="T4818">
        <f t="shared" si="303"/>
        <v>0.18181818181818182</v>
      </c>
      <c r="U4818" t="str">
        <f>YEAR('Campaign Data'!$A4818)&amp;"-"&amp;TEXT(MONTH('Campaign Data'!$A4818),"00")</f>
        <v>2026-09</v>
      </c>
    </row>
    <row r="4819" spans="1:21" x14ac:dyDescent="0.25">
      <c r="A4819">
        <v>46285</v>
      </c>
      <c r="B4819" t="s">
        <v>46</v>
      </c>
      <c r="C4819" t="s">
        <v>47</v>
      </c>
      <c r="D4819" t="s">
        <v>48</v>
      </c>
      <c r="E4819" t="s">
        <v>49</v>
      </c>
      <c r="F4819" t="s">
        <v>43</v>
      </c>
      <c r="G4819" t="s">
        <v>50</v>
      </c>
      <c r="H4819" t="s">
        <v>55</v>
      </c>
      <c r="I4819" t="s">
        <v>28</v>
      </c>
      <c r="J4819" t="s">
        <v>87</v>
      </c>
      <c r="K4819">
        <v>1890</v>
      </c>
      <c r="L4819">
        <v>96</v>
      </c>
      <c r="M4819">
        <v>134.28</v>
      </c>
      <c r="N4819">
        <v>6</v>
      </c>
      <c r="O4819">
        <v>79.53</v>
      </c>
      <c r="P4819">
        <f t="shared" si="300"/>
        <v>5.0793650793650794E-2</v>
      </c>
      <c r="Q4819">
        <f t="shared" si="300"/>
        <v>1.3987499999999999</v>
      </c>
      <c r="R4819">
        <f t="shared" si="301"/>
        <v>22.38</v>
      </c>
      <c r="S4819">
        <f t="shared" si="302"/>
        <v>0.59226988382484358</v>
      </c>
      <c r="T4819">
        <f t="shared" si="303"/>
        <v>6.25E-2</v>
      </c>
      <c r="U4819" t="str">
        <f>YEAR('Campaign Data'!$A4819)&amp;"-"&amp;TEXT(MONTH('Campaign Data'!$A4819),"00")</f>
        <v>2026-09</v>
      </c>
    </row>
    <row r="4820" spans="1:21" x14ac:dyDescent="0.25">
      <c r="A4820">
        <v>46285</v>
      </c>
      <c r="B4820" t="s">
        <v>98</v>
      </c>
      <c r="C4820" t="s">
        <v>99</v>
      </c>
      <c r="D4820" t="s">
        <v>69</v>
      </c>
      <c r="E4820" t="s">
        <v>24</v>
      </c>
      <c r="F4820" t="s">
        <v>75</v>
      </c>
      <c r="G4820" t="s">
        <v>66</v>
      </c>
      <c r="H4820" t="s">
        <v>27</v>
      </c>
      <c r="I4820" t="s">
        <v>37</v>
      </c>
      <c r="J4820" t="s">
        <v>38</v>
      </c>
      <c r="K4820">
        <v>5246</v>
      </c>
      <c r="L4820">
        <v>63</v>
      </c>
      <c r="M4820">
        <v>67.010000000000005</v>
      </c>
      <c r="N4820">
        <v>3</v>
      </c>
      <c r="O4820">
        <v>179.82</v>
      </c>
      <c r="P4820">
        <f t="shared" si="300"/>
        <v>1.2009149828440717E-2</v>
      </c>
      <c r="Q4820">
        <f t="shared" si="300"/>
        <v>1.0636507936507937</v>
      </c>
      <c r="R4820">
        <f t="shared" si="301"/>
        <v>22.33666666666667</v>
      </c>
      <c r="S4820">
        <f t="shared" si="302"/>
        <v>2.683480077600358</v>
      </c>
      <c r="T4820">
        <f t="shared" si="303"/>
        <v>4.7619047619047616E-2</v>
      </c>
      <c r="U4820" t="str">
        <f>YEAR('Campaign Data'!$A4820)&amp;"-"&amp;TEXT(MONTH('Campaign Data'!$A4820),"00")</f>
        <v>2026-09</v>
      </c>
    </row>
    <row r="4821" spans="1:21" x14ac:dyDescent="0.25">
      <c r="A4821">
        <v>46285</v>
      </c>
      <c r="B4821" t="s">
        <v>100</v>
      </c>
      <c r="C4821" t="s">
        <v>101</v>
      </c>
      <c r="D4821" t="s">
        <v>80</v>
      </c>
      <c r="E4821" t="s">
        <v>33</v>
      </c>
      <c r="F4821" t="s">
        <v>25</v>
      </c>
      <c r="G4821" t="s">
        <v>102</v>
      </c>
      <c r="H4821" t="s">
        <v>55</v>
      </c>
      <c r="I4821" t="s">
        <v>37</v>
      </c>
      <c r="J4821" t="s">
        <v>38</v>
      </c>
      <c r="K4821">
        <v>10002</v>
      </c>
      <c r="L4821">
        <v>66</v>
      </c>
      <c r="M4821">
        <v>55.28</v>
      </c>
      <c r="N4821">
        <v>1</v>
      </c>
      <c r="O4821">
        <v>132.69</v>
      </c>
      <c r="P4821">
        <f t="shared" si="300"/>
        <v>6.5986802639472104E-3</v>
      </c>
      <c r="Q4821">
        <f t="shared" si="300"/>
        <v>0.83757575757575764</v>
      </c>
      <c r="R4821">
        <f t="shared" si="301"/>
        <v>55.28</v>
      </c>
      <c r="S4821">
        <f t="shared" si="302"/>
        <v>2.4003256150506513</v>
      </c>
      <c r="T4821">
        <f t="shared" si="303"/>
        <v>1.5151515151515152E-2</v>
      </c>
      <c r="U4821" t="str">
        <f>YEAR('Campaign Data'!$A4821)&amp;"-"&amp;TEXT(MONTH('Campaign Data'!$A4821),"00")</f>
        <v>2026-09</v>
      </c>
    </row>
    <row r="4822" spans="1:21" x14ac:dyDescent="0.25">
      <c r="A4822">
        <v>46285</v>
      </c>
      <c r="B4822" t="s">
        <v>153</v>
      </c>
      <c r="C4822" t="s">
        <v>154</v>
      </c>
      <c r="D4822" t="s">
        <v>48</v>
      </c>
      <c r="E4822" t="s">
        <v>33</v>
      </c>
      <c r="F4822" t="s">
        <v>43</v>
      </c>
      <c r="G4822" t="s">
        <v>59</v>
      </c>
      <c r="H4822" t="s">
        <v>36</v>
      </c>
      <c r="I4822" t="s">
        <v>37</v>
      </c>
      <c r="J4822" t="s">
        <v>62</v>
      </c>
      <c r="K4822">
        <v>5507</v>
      </c>
      <c r="L4822">
        <v>70</v>
      </c>
      <c r="M4822">
        <v>46.12</v>
      </c>
      <c r="N4822">
        <v>5</v>
      </c>
      <c r="O4822">
        <v>139.77000000000001</v>
      </c>
      <c r="P4822">
        <f t="shared" si="300"/>
        <v>1.2711094970038134E-2</v>
      </c>
      <c r="Q4822">
        <f t="shared" si="300"/>
        <v>0.65885714285714281</v>
      </c>
      <c r="R4822">
        <f t="shared" si="301"/>
        <v>9.2240000000000002</v>
      </c>
      <c r="S4822">
        <f t="shared" si="302"/>
        <v>3.0305724197745016</v>
      </c>
      <c r="T4822">
        <f t="shared" si="303"/>
        <v>7.1428571428571425E-2</v>
      </c>
      <c r="U4822" t="str">
        <f>YEAR('Campaign Data'!$A4822)&amp;"-"&amp;TEXT(MONTH('Campaign Data'!$A4822),"00")</f>
        <v>2026-09</v>
      </c>
    </row>
    <row r="4823" spans="1:21" x14ac:dyDescent="0.25">
      <c r="A4823">
        <v>46285</v>
      </c>
      <c r="B4823" t="s">
        <v>179</v>
      </c>
      <c r="C4823" t="s">
        <v>180</v>
      </c>
      <c r="D4823" t="s">
        <v>58</v>
      </c>
      <c r="E4823" t="s">
        <v>42</v>
      </c>
      <c r="F4823" t="s">
        <v>25</v>
      </c>
      <c r="G4823" t="s">
        <v>54</v>
      </c>
      <c r="H4823" t="s">
        <v>60</v>
      </c>
      <c r="I4823" t="s">
        <v>37</v>
      </c>
      <c r="J4823" t="s">
        <v>38</v>
      </c>
      <c r="K4823">
        <v>1870</v>
      </c>
      <c r="L4823">
        <v>16</v>
      </c>
      <c r="M4823">
        <v>105.19</v>
      </c>
      <c r="N4823">
        <v>1</v>
      </c>
      <c r="O4823">
        <v>161.44999999999999</v>
      </c>
      <c r="P4823">
        <f t="shared" si="300"/>
        <v>8.5561497326203211E-3</v>
      </c>
      <c r="Q4823">
        <f t="shared" si="300"/>
        <v>6.5743749999999999</v>
      </c>
      <c r="R4823">
        <f t="shared" si="301"/>
        <v>105.19</v>
      </c>
      <c r="S4823">
        <f t="shared" si="302"/>
        <v>1.5348417149919193</v>
      </c>
      <c r="T4823">
        <f t="shared" si="303"/>
        <v>6.25E-2</v>
      </c>
      <c r="U4823" t="str">
        <f>YEAR('Campaign Data'!$A4823)&amp;"-"&amp;TEXT(MONTH('Campaign Data'!$A4823),"00")</f>
        <v>2026-09</v>
      </c>
    </row>
    <row r="4824" spans="1:21" x14ac:dyDescent="0.25">
      <c r="A4824">
        <v>46285</v>
      </c>
      <c r="B4824" t="s">
        <v>155</v>
      </c>
      <c r="C4824" t="s">
        <v>156</v>
      </c>
      <c r="D4824" t="s">
        <v>32</v>
      </c>
      <c r="E4824" t="s">
        <v>24</v>
      </c>
      <c r="F4824" t="s">
        <v>34</v>
      </c>
      <c r="G4824" t="s">
        <v>129</v>
      </c>
      <c r="H4824" t="s">
        <v>27</v>
      </c>
      <c r="I4824" t="s">
        <v>37</v>
      </c>
      <c r="J4824" t="s">
        <v>29</v>
      </c>
      <c r="K4824">
        <v>2648</v>
      </c>
      <c r="L4824">
        <v>45</v>
      </c>
      <c r="M4824">
        <v>65.78</v>
      </c>
      <c r="N4824">
        <v>1</v>
      </c>
      <c r="O4824">
        <v>199.57</v>
      </c>
      <c r="P4824">
        <f t="shared" si="300"/>
        <v>1.6993957703927493E-2</v>
      </c>
      <c r="Q4824">
        <f t="shared" si="300"/>
        <v>1.4617777777777778</v>
      </c>
      <c r="R4824">
        <f t="shared" si="301"/>
        <v>65.78</v>
      </c>
      <c r="S4824">
        <f t="shared" si="302"/>
        <v>3.0339008817269684</v>
      </c>
      <c r="T4824">
        <f t="shared" si="303"/>
        <v>2.2222222222222223E-2</v>
      </c>
      <c r="U4824" t="str">
        <f>YEAR('Campaign Data'!$A4824)&amp;"-"&amp;TEXT(MONTH('Campaign Data'!$A4824),"00")</f>
        <v>2026-09</v>
      </c>
    </row>
    <row r="4825" spans="1:21" x14ac:dyDescent="0.25">
      <c r="A4825">
        <v>46285</v>
      </c>
      <c r="B4825" t="s">
        <v>134</v>
      </c>
      <c r="C4825" t="s">
        <v>135</v>
      </c>
      <c r="D4825" t="s">
        <v>32</v>
      </c>
      <c r="E4825" t="s">
        <v>74</v>
      </c>
      <c r="F4825" t="s">
        <v>25</v>
      </c>
      <c r="G4825" t="s">
        <v>107</v>
      </c>
      <c r="H4825" t="s">
        <v>55</v>
      </c>
      <c r="I4825" t="s">
        <v>37</v>
      </c>
      <c r="J4825" t="s">
        <v>45</v>
      </c>
      <c r="K4825">
        <v>15513</v>
      </c>
      <c r="L4825">
        <v>531</v>
      </c>
      <c r="M4825">
        <v>735.5</v>
      </c>
      <c r="N4825">
        <v>24</v>
      </c>
      <c r="O4825">
        <v>3943.49</v>
      </c>
      <c r="P4825">
        <f t="shared" si="300"/>
        <v>3.422935602397989E-2</v>
      </c>
      <c r="Q4825">
        <f t="shared" si="300"/>
        <v>1.3851224105461393</v>
      </c>
      <c r="R4825">
        <f t="shared" si="301"/>
        <v>30.645833333333332</v>
      </c>
      <c r="S4825">
        <f t="shared" si="302"/>
        <v>5.361645139360979</v>
      </c>
      <c r="T4825">
        <f t="shared" si="303"/>
        <v>4.519774011299435E-2</v>
      </c>
      <c r="U4825" t="str">
        <f>YEAR('Campaign Data'!$A4825)&amp;"-"&amp;TEXT(MONTH('Campaign Data'!$A4825),"00")</f>
        <v>2026-09</v>
      </c>
    </row>
    <row r="4826" spans="1:21" x14ac:dyDescent="0.25">
      <c r="A4826">
        <v>46285</v>
      </c>
      <c r="B4826" t="s">
        <v>157</v>
      </c>
      <c r="C4826" t="s">
        <v>158</v>
      </c>
      <c r="D4826" t="s">
        <v>58</v>
      </c>
      <c r="E4826" t="s">
        <v>49</v>
      </c>
      <c r="F4826" t="s">
        <v>81</v>
      </c>
      <c r="G4826" t="s">
        <v>50</v>
      </c>
      <c r="H4826" t="s">
        <v>60</v>
      </c>
      <c r="I4826" t="s">
        <v>28</v>
      </c>
      <c r="J4826" t="s">
        <v>45</v>
      </c>
      <c r="K4826">
        <v>3283</v>
      </c>
      <c r="L4826">
        <v>204</v>
      </c>
      <c r="M4826">
        <v>385.02</v>
      </c>
      <c r="N4826">
        <v>9</v>
      </c>
      <c r="O4826">
        <v>127.85</v>
      </c>
      <c r="P4826">
        <f t="shared" si="300"/>
        <v>6.2138288151081328E-2</v>
      </c>
      <c r="Q4826">
        <f t="shared" si="300"/>
        <v>1.8873529411764705</v>
      </c>
      <c r="R4826">
        <f t="shared" si="301"/>
        <v>42.78</v>
      </c>
      <c r="S4826">
        <f t="shared" si="302"/>
        <v>0.33206067217287416</v>
      </c>
      <c r="T4826">
        <f t="shared" si="303"/>
        <v>4.4117647058823532E-2</v>
      </c>
      <c r="U4826" t="str">
        <f>YEAR('Campaign Data'!$A4826)&amp;"-"&amp;TEXT(MONTH('Campaign Data'!$A4826),"00")</f>
        <v>2026-09</v>
      </c>
    </row>
    <row r="4827" spans="1:21" x14ac:dyDescent="0.25">
      <c r="A4827">
        <v>46285</v>
      </c>
      <c r="B4827" t="s">
        <v>112</v>
      </c>
      <c r="C4827" t="s">
        <v>113</v>
      </c>
      <c r="D4827" t="s">
        <v>32</v>
      </c>
      <c r="E4827" t="s">
        <v>24</v>
      </c>
      <c r="F4827" t="s">
        <v>75</v>
      </c>
      <c r="G4827" t="s">
        <v>66</v>
      </c>
      <c r="H4827" t="s">
        <v>36</v>
      </c>
      <c r="I4827" t="s">
        <v>37</v>
      </c>
      <c r="J4827" t="s">
        <v>29</v>
      </c>
      <c r="K4827">
        <v>3290</v>
      </c>
      <c r="L4827">
        <v>58</v>
      </c>
      <c r="M4827">
        <v>46.27</v>
      </c>
      <c r="N4827">
        <v>1</v>
      </c>
      <c r="O4827">
        <v>34.85</v>
      </c>
      <c r="P4827">
        <f t="shared" si="300"/>
        <v>1.7629179331306991E-2</v>
      </c>
      <c r="Q4827">
        <f t="shared" si="300"/>
        <v>0.7977586206896552</v>
      </c>
      <c r="R4827">
        <f t="shared" si="301"/>
        <v>46.27</v>
      </c>
      <c r="S4827">
        <f t="shared" si="302"/>
        <v>0.75318781067646423</v>
      </c>
      <c r="T4827">
        <f t="shared" si="303"/>
        <v>1.7241379310344827E-2</v>
      </c>
      <c r="U4827" t="str">
        <f>YEAR('Campaign Data'!$A4827)&amp;"-"&amp;TEXT(MONTH('Campaign Data'!$A4827),"00")</f>
        <v>2026-09</v>
      </c>
    </row>
    <row r="4828" spans="1:21" x14ac:dyDescent="0.25">
      <c r="A4828">
        <v>46285</v>
      </c>
      <c r="B4828" t="s">
        <v>136</v>
      </c>
      <c r="C4828" t="s">
        <v>137</v>
      </c>
      <c r="D4828" t="s">
        <v>32</v>
      </c>
      <c r="E4828" t="s">
        <v>49</v>
      </c>
      <c r="F4828" t="s">
        <v>75</v>
      </c>
      <c r="G4828" t="s">
        <v>97</v>
      </c>
      <c r="H4828" t="s">
        <v>27</v>
      </c>
      <c r="I4828" t="s">
        <v>37</v>
      </c>
      <c r="J4828" t="s">
        <v>45</v>
      </c>
      <c r="K4828">
        <v>5929</v>
      </c>
      <c r="L4828">
        <v>316</v>
      </c>
      <c r="M4828">
        <v>626.29999999999995</v>
      </c>
      <c r="N4828">
        <v>20</v>
      </c>
      <c r="O4828">
        <v>1259.5999999999999</v>
      </c>
      <c r="P4828">
        <f t="shared" si="300"/>
        <v>5.3297351998650697E-2</v>
      </c>
      <c r="Q4828">
        <f t="shared" si="300"/>
        <v>1.9819620253164556</v>
      </c>
      <c r="R4828">
        <f t="shared" si="301"/>
        <v>31.314999999999998</v>
      </c>
      <c r="S4828">
        <f t="shared" si="302"/>
        <v>2.0111767523551012</v>
      </c>
      <c r="T4828">
        <f t="shared" si="303"/>
        <v>6.3291139240506333E-2</v>
      </c>
      <c r="U4828" t="str">
        <f>YEAR('Campaign Data'!$A4828)&amp;"-"&amp;TEXT(MONTH('Campaign Data'!$A4828),"00")</f>
        <v>2026-09</v>
      </c>
    </row>
    <row r="4829" spans="1:21" x14ac:dyDescent="0.25">
      <c r="A4829">
        <v>46286</v>
      </c>
      <c r="B4829" t="s">
        <v>173</v>
      </c>
      <c r="C4829" t="s">
        <v>174</v>
      </c>
      <c r="D4829" t="s">
        <v>48</v>
      </c>
      <c r="E4829" t="s">
        <v>74</v>
      </c>
      <c r="F4829" t="s">
        <v>25</v>
      </c>
      <c r="G4829" t="s">
        <v>9</v>
      </c>
      <c r="H4829" t="s">
        <v>51</v>
      </c>
      <c r="I4829" t="s">
        <v>37</v>
      </c>
      <c r="J4829" t="s">
        <v>45</v>
      </c>
      <c r="K4829">
        <v>14656</v>
      </c>
      <c r="L4829">
        <v>557</v>
      </c>
      <c r="M4829">
        <v>696.67</v>
      </c>
      <c r="N4829">
        <v>15</v>
      </c>
      <c r="O4829">
        <v>2045.51</v>
      </c>
      <c r="P4829">
        <f t="shared" si="300"/>
        <v>3.8004912663755455E-2</v>
      </c>
      <c r="Q4829">
        <f t="shared" si="300"/>
        <v>1.2507540394973069</v>
      </c>
      <c r="R4829">
        <f t="shared" si="301"/>
        <v>46.444666666666663</v>
      </c>
      <c r="S4829">
        <f t="shared" si="302"/>
        <v>2.9361247075372847</v>
      </c>
      <c r="T4829">
        <f t="shared" si="303"/>
        <v>2.6929982046678635E-2</v>
      </c>
      <c r="U4829" t="str">
        <f>YEAR('Campaign Data'!$A4829)&amp;"-"&amp;TEXT(MONTH('Campaign Data'!$A4829),"00")</f>
        <v>2026-09</v>
      </c>
    </row>
    <row r="4830" spans="1:21" x14ac:dyDescent="0.25">
      <c r="A4830">
        <v>46286</v>
      </c>
      <c r="B4830" t="s">
        <v>173</v>
      </c>
      <c r="C4830" t="s">
        <v>174</v>
      </c>
      <c r="D4830" t="s">
        <v>48</v>
      </c>
      <c r="E4830" t="s">
        <v>74</v>
      </c>
      <c r="F4830" t="s">
        <v>25</v>
      </c>
      <c r="G4830" t="s">
        <v>9</v>
      </c>
      <c r="H4830" t="s">
        <v>90</v>
      </c>
      <c r="I4830" t="s">
        <v>37</v>
      </c>
      <c r="J4830" t="s">
        <v>62</v>
      </c>
      <c r="K4830">
        <v>4060</v>
      </c>
      <c r="L4830">
        <v>176</v>
      </c>
      <c r="M4830">
        <v>93.94</v>
      </c>
      <c r="N4830">
        <v>11</v>
      </c>
      <c r="O4830">
        <v>624.67999999999995</v>
      </c>
      <c r="P4830">
        <f t="shared" si="300"/>
        <v>4.3349753694581279E-2</v>
      </c>
      <c r="Q4830">
        <f t="shared" si="300"/>
        <v>0.53374999999999995</v>
      </c>
      <c r="R4830">
        <f t="shared" si="301"/>
        <v>8.5399999999999991</v>
      </c>
      <c r="S4830">
        <f t="shared" si="302"/>
        <v>6.6497764530551411</v>
      </c>
      <c r="T4830">
        <f t="shared" si="303"/>
        <v>6.25E-2</v>
      </c>
      <c r="U4830" t="str">
        <f>YEAR('Campaign Data'!$A4830)&amp;"-"&amp;TEXT(MONTH('Campaign Data'!$A4830),"00")</f>
        <v>2026-09</v>
      </c>
    </row>
    <row r="4831" spans="1:21" x14ac:dyDescent="0.25">
      <c r="A4831">
        <v>46286</v>
      </c>
      <c r="B4831" t="s">
        <v>175</v>
      </c>
      <c r="C4831" t="s">
        <v>176</v>
      </c>
      <c r="D4831" t="s">
        <v>65</v>
      </c>
      <c r="E4831" t="s">
        <v>49</v>
      </c>
      <c r="F4831" t="s">
        <v>75</v>
      </c>
      <c r="G4831" t="s">
        <v>70</v>
      </c>
      <c r="H4831" t="s">
        <v>90</v>
      </c>
      <c r="I4831" t="s">
        <v>37</v>
      </c>
      <c r="J4831" t="s">
        <v>87</v>
      </c>
      <c r="K4831">
        <v>6448</v>
      </c>
      <c r="L4831">
        <v>338</v>
      </c>
      <c r="M4831">
        <v>125.6</v>
      </c>
      <c r="N4831">
        <v>16</v>
      </c>
      <c r="O4831">
        <v>259.64</v>
      </c>
      <c r="P4831">
        <f t="shared" si="300"/>
        <v>5.2419354838709679E-2</v>
      </c>
      <c r="Q4831">
        <f t="shared" si="300"/>
        <v>0.37159763313609467</v>
      </c>
      <c r="R4831">
        <f t="shared" si="301"/>
        <v>7.85</v>
      </c>
      <c r="S4831">
        <f t="shared" si="302"/>
        <v>2.0671974522292995</v>
      </c>
      <c r="T4831">
        <f t="shared" si="303"/>
        <v>4.7337278106508875E-2</v>
      </c>
      <c r="U4831" t="str">
        <f>YEAR('Campaign Data'!$A4831)&amp;"-"&amp;TEXT(MONTH('Campaign Data'!$A4831),"00")</f>
        <v>2026-09</v>
      </c>
    </row>
    <row r="4832" spans="1:21" x14ac:dyDescent="0.25">
      <c r="A4832">
        <v>46286</v>
      </c>
      <c r="B4832" t="s">
        <v>21</v>
      </c>
      <c r="C4832" t="s">
        <v>124</v>
      </c>
      <c r="D4832" t="s">
        <v>23</v>
      </c>
      <c r="E4832" t="s">
        <v>24</v>
      </c>
      <c r="F4832" t="s">
        <v>25</v>
      </c>
      <c r="G4832" t="s">
        <v>26</v>
      </c>
      <c r="H4832" t="s">
        <v>55</v>
      </c>
      <c r="I4832" t="s">
        <v>37</v>
      </c>
      <c r="J4832" t="s">
        <v>38</v>
      </c>
      <c r="K4832">
        <v>8326</v>
      </c>
      <c r="L4832">
        <v>99</v>
      </c>
      <c r="M4832">
        <v>76.23</v>
      </c>
      <c r="N4832">
        <v>5</v>
      </c>
      <c r="O4832">
        <v>576.24</v>
      </c>
      <c r="P4832">
        <f t="shared" si="300"/>
        <v>1.1890463607975018E-2</v>
      </c>
      <c r="Q4832">
        <f t="shared" si="300"/>
        <v>0.77</v>
      </c>
      <c r="R4832">
        <f t="shared" si="301"/>
        <v>15.246</v>
      </c>
      <c r="S4832">
        <f t="shared" si="302"/>
        <v>7.559228650137741</v>
      </c>
      <c r="T4832">
        <f t="shared" si="303"/>
        <v>5.0505050505050504E-2</v>
      </c>
      <c r="U4832" t="str">
        <f>YEAR('Campaign Data'!$A4832)&amp;"-"&amp;TEXT(MONTH('Campaign Data'!$A4832),"00")</f>
        <v>2026-09</v>
      </c>
    </row>
    <row r="4833" spans="1:21" x14ac:dyDescent="0.25">
      <c r="A4833">
        <v>46286</v>
      </c>
      <c r="B4833" t="s">
        <v>149</v>
      </c>
      <c r="C4833" t="s">
        <v>150</v>
      </c>
      <c r="D4833" t="s">
        <v>65</v>
      </c>
      <c r="E4833" t="s">
        <v>33</v>
      </c>
      <c r="F4833" t="s">
        <v>43</v>
      </c>
      <c r="G4833" t="s">
        <v>59</v>
      </c>
      <c r="H4833" t="s">
        <v>90</v>
      </c>
      <c r="I4833" t="s">
        <v>37</v>
      </c>
      <c r="J4833" t="s">
        <v>87</v>
      </c>
      <c r="K4833">
        <v>15540</v>
      </c>
      <c r="L4833">
        <v>68</v>
      </c>
      <c r="M4833">
        <v>13.44</v>
      </c>
      <c r="N4833">
        <v>0</v>
      </c>
      <c r="O4833">
        <v>0</v>
      </c>
      <c r="P4833">
        <f t="shared" si="300"/>
        <v>4.375804375804376E-3</v>
      </c>
      <c r="Q4833">
        <f t="shared" si="300"/>
        <v>0.1976470588235294</v>
      </c>
      <c r="R4833">
        <f t="shared" si="301"/>
        <v>0</v>
      </c>
      <c r="S4833">
        <f t="shared" si="302"/>
        <v>0</v>
      </c>
      <c r="T4833">
        <f t="shared" si="303"/>
        <v>0</v>
      </c>
      <c r="U4833" t="str">
        <f>YEAR('Campaign Data'!$A4833)&amp;"-"&amp;TEXT(MONTH('Campaign Data'!$A4833),"00")</f>
        <v>2026-09</v>
      </c>
    </row>
    <row r="4834" spans="1:21" x14ac:dyDescent="0.25">
      <c r="A4834">
        <v>46286</v>
      </c>
      <c r="B4834" t="s">
        <v>149</v>
      </c>
      <c r="C4834" t="s">
        <v>150</v>
      </c>
      <c r="D4834" t="s">
        <v>65</v>
      </c>
      <c r="E4834" t="s">
        <v>33</v>
      </c>
      <c r="F4834" t="s">
        <v>43</v>
      </c>
      <c r="G4834" t="s">
        <v>59</v>
      </c>
      <c r="H4834" t="s">
        <v>27</v>
      </c>
      <c r="I4834" t="s">
        <v>37</v>
      </c>
      <c r="J4834" t="s">
        <v>45</v>
      </c>
      <c r="K4834">
        <v>9401</v>
      </c>
      <c r="L4834">
        <v>69</v>
      </c>
      <c r="M4834">
        <v>46.1</v>
      </c>
      <c r="N4834">
        <v>0</v>
      </c>
      <c r="O4834">
        <v>0</v>
      </c>
      <c r="P4834">
        <f t="shared" si="300"/>
        <v>7.339644718646952E-3</v>
      </c>
      <c r="Q4834">
        <f t="shared" si="300"/>
        <v>0.6681159420289855</v>
      </c>
      <c r="R4834">
        <f t="shared" si="301"/>
        <v>0</v>
      </c>
      <c r="S4834">
        <f t="shared" si="302"/>
        <v>0</v>
      </c>
      <c r="T4834">
        <f t="shared" si="303"/>
        <v>0</v>
      </c>
      <c r="U4834" t="str">
        <f>YEAR('Campaign Data'!$A4834)&amp;"-"&amp;TEXT(MONTH('Campaign Data'!$A4834),"00")</f>
        <v>2026-09</v>
      </c>
    </row>
    <row r="4835" spans="1:21" x14ac:dyDescent="0.25">
      <c r="A4835">
        <v>46286</v>
      </c>
      <c r="B4835" t="s">
        <v>91</v>
      </c>
      <c r="C4835" t="s">
        <v>92</v>
      </c>
      <c r="D4835" t="s">
        <v>41</v>
      </c>
      <c r="E4835" t="s">
        <v>74</v>
      </c>
      <c r="F4835" t="s">
        <v>75</v>
      </c>
      <c r="G4835" t="s">
        <v>9</v>
      </c>
      <c r="H4835" t="s">
        <v>51</v>
      </c>
      <c r="I4835" t="s">
        <v>37</v>
      </c>
      <c r="J4835" t="s">
        <v>38</v>
      </c>
      <c r="K4835">
        <v>880</v>
      </c>
      <c r="L4835">
        <v>21</v>
      </c>
      <c r="M4835">
        <v>34.57</v>
      </c>
      <c r="N4835">
        <v>0</v>
      </c>
      <c r="O4835">
        <v>0</v>
      </c>
      <c r="P4835">
        <f t="shared" si="300"/>
        <v>2.3863636363636365E-2</v>
      </c>
      <c r="Q4835">
        <f t="shared" si="300"/>
        <v>1.6461904761904762</v>
      </c>
      <c r="R4835">
        <f t="shared" si="301"/>
        <v>0</v>
      </c>
      <c r="S4835">
        <f t="shared" si="302"/>
        <v>0</v>
      </c>
      <c r="T4835">
        <f t="shared" si="303"/>
        <v>0</v>
      </c>
      <c r="U4835" t="str">
        <f>YEAR('Campaign Data'!$A4835)&amp;"-"&amp;TEXT(MONTH('Campaign Data'!$A4835),"00")</f>
        <v>2026-09</v>
      </c>
    </row>
    <row r="4836" spans="1:21" x14ac:dyDescent="0.25">
      <c r="A4836">
        <v>46286</v>
      </c>
      <c r="B4836" t="s">
        <v>127</v>
      </c>
      <c r="C4836" t="s">
        <v>128</v>
      </c>
      <c r="D4836" t="s">
        <v>58</v>
      </c>
      <c r="E4836" t="s">
        <v>24</v>
      </c>
      <c r="F4836" t="s">
        <v>81</v>
      </c>
      <c r="G4836" t="s">
        <v>129</v>
      </c>
      <c r="H4836" t="s">
        <v>90</v>
      </c>
      <c r="I4836" t="s">
        <v>28</v>
      </c>
      <c r="J4836" t="s">
        <v>45</v>
      </c>
      <c r="K4836">
        <v>4922</v>
      </c>
      <c r="L4836">
        <v>56</v>
      </c>
      <c r="M4836">
        <v>13.65</v>
      </c>
      <c r="N4836">
        <v>1</v>
      </c>
      <c r="O4836">
        <v>5.71</v>
      </c>
      <c r="P4836">
        <f t="shared" si="300"/>
        <v>1.1377488825680617E-2</v>
      </c>
      <c r="Q4836">
        <f t="shared" si="300"/>
        <v>0.24374999999999999</v>
      </c>
      <c r="R4836">
        <f t="shared" si="301"/>
        <v>13.65</v>
      </c>
      <c r="S4836">
        <f t="shared" si="302"/>
        <v>0.41831501831501833</v>
      </c>
      <c r="T4836">
        <f t="shared" si="303"/>
        <v>1.7857142857142856E-2</v>
      </c>
      <c r="U4836" t="str">
        <f>YEAR('Campaign Data'!$A4836)&amp;"-"&amp;TEXT(MONTH('Campaign Data'!$A4836),"00")</f>
        <v>2026-09</v>
      </c>
    </row>
    <row r="4837" spans="1:21" x14ac:dyDescent="0.25">
      <c r="A4837">
        <v>46286</v>
      </c>
      <c r="B4837" t="s">
        <v>105</v>
      </c>
      <c r="C4837" t="s">
        <v>106</v>
      </c>
      <c r="D4837" t="s">
        <v>58</v>
      </c>
      <c r="E4837" t="s">
        <v>49</v>
      </c>
      <c r="F4837" t="s">
        <v>81</v>
      </c>
      <c r="G4837" t="s">
        <v>107</v>
      </c>
      <c r="H4837" t="s">
        <v>90</v>
      </c>
      <c r="I4837" t="s">
        <v>37</v>
      </c>
      <c r="J4837" t="s">
        <v>38</v>
      </c>
      <c r="K4837">
        <v>9098</v>
      </c>
      <c r="L4837">
        <v>643</v>
      </c>
      <c r="M4837">
        <v>319.54000000000002</v>
      </c>
      <c r="N4837">
        <v>48</v>
      </c>
      <c r="O4837">
        <v>240</v>
      </c>
      <c r="P4837">
        <f t="shared" si="300"/>
        <v>7.0674873598593091E-2</v>
      </c>
      <c r="Q4837">
        <f t="shared" si="300"/>
        <v>0.49695178849144639</v>
      </c>
      <c r="R4837">
        <f t="shared" si="301"/>
        <v>6.6570833333333335</v>
      </c>
      <c r="S4837">
        <f t="shared" si="302"/>
        <v>0.75107967703573886</v>
      </c>
      <c r="T4837">
        <f t="shared" si="303"/>
        <v>7.4650077760497674E-2</v>
      </c>
      <c r="U4837" t="str">
        <f>YEAR('Campaign Data'!$A4837)&amp;"-"&amp;TEXT(MONTH('Campaign Data'!$A4837),"00")</f>
        <v>2026-09</v>
      </c>
    </row>
    <row r="4838" spans="1:21" x14ac:dyDescent="0.25">
      <c r="A4838">
        <v>46286</v>
      </c>
      <c r="B4838" t="s">
        <v>171</v>
      </c>
      <c r="C4838" t="s">
        <v>172</v>
      </c>
      <c r="D4838" t="s">
        <v>23</v>
      </c>
      <c r="E4838" t="s">
        <v>33</v>
      </c>
      <c r="F4838" t="s">
        <v>75</v>
      </c>
      <c r="G4838" t="s">
        <v>59</v>
      </c>
      <c r="H4838" t="s">
        <v>71</v>
      </c>
      <c r="I4838" t="s">
        <v>37</v>
      </c>
      <c r="J4838" t="s">
        <v>87</v>
      </c>
      <c r="K4838">
        <v>4277</v>
      </c>
      <c r="L4838">
        <v>27</v>
      </c>
      <c r="M4838">
        <v>10.93</v>
      </c>
      <c r="N4838">
        <v>0</v>
      </c>
      <c r="O4838">
        <v>0</v>
      </c>
      <c r="P4838">
        <f t="shared" si="300"/>
        <v>6.3128361000701428E-3</v>
      </c>
      <c r="Q4838">
        <f t="shared" si="300"/>
        <v>0.40481481481481479</v>
      </c>
      <c r="R4838">
        <f t="shared" si="301"/>
        <v>0</v>
      </c>
      <c r="S4838">
        <f t="shared" si="302"/>
        <v>0</v>
      </c>
      <c r="T4838">
        <f t="shared" si="303"/>
        <v>0</v>
      </c>
      <c r="U4838" t="str">
        <f>YEAR('Campaign Data'!$A4838)&amp;"-"&amp;TEXT(MONTH('Campaign Data'!$A4838),"00")</f>
        <v>2026-09</v>
      </c>
    </row>
    <row r="4839" spans="1:21" x14ac:dyDescent="0.25">
      <c r="A4839">
        <v>46286</v>
      </c>
      <c r="B4839" t="s">
        <v>157</v>
      </c>
      <c r="C4839" t="s">
        <v>158</v>
      </c>
      <c r="D4839" t="s">
        <v>58</v>
      </c>
      <c r="E4839" t="s">
        <v>49</v>
      </c>
      <c r="F4839" t="s">
        <v>81</v>
      </c>
      <c r="G4839" t="s">
        <v>50</v>
      </c>
      <c r="H4839" t="s">
        <v>36</v>
      </c>
      <c r="I4839" t="s">
        <v>37</v>
      </c>
      <c r="J4839" t="s">
        <v>38</v>
      </c>
      <c r="K4839">
        <v>3154</v>
      </c>
      <c r="L4839">
        <v>116</v>
      </c>
      <c r="M4839">
        <v>211.29</v>
      </c>
      <c r="N4839">
        <v>3</v>
      </c>
      <c r="O4839">
        <v>80.819999999999993</v>
      </c>
      <c r="P4839">
        <f t="shared" si="300"/>
        <v>3.6778693722257449E-2</v>
      </c>
      <c r="Q4839">
        <f t="shared" si="300"/>
        <v>1.8214655172413792</v>
      </c>
      <c r="R4839">
        <f t="shared" si="301"/>
        <v>70.429999999999993</v>
      </c>
      <c r="S4839">
        <f t="shared" si="302"/>
        <v>0.38250745420985371</v>
      </c>
      <c r="T4839">
        <f t="shared" si="303"/>
        <v>2.5862068965517241E-2</v>
      </c>
      <c r="U4839" t="str">
        <f>YEAR('Campaign Data'!$A4839)&amp;"-"&amp;TEXT(MONTH('Campaign Data'!$A4839),"00")</f>
        <v>2026-09</v>
      </c>
    </row>
    <row r="4840" spans="1:21" x14ac:dyDescent="0.25">
      <c r="A4840">
        <v>46286</v>
      </c>
      <c r="B4840" t="s">
        <v>159</v>
      </c>
      <c r="C4840" t="s">
        <v>160</v>
      </c>
      <c r="D4840" t="s">
        <v>65</v>
      </c>
      <c r="E4840" t="s">
        <v>42</v>
      </c>
      <c r="F4840" t="s">
        <v>75</v>
      </c>
      <c r="G4840" t="s">
        <v>54</v>
      </c>
      <c r="H4840" t="s">
        <v>27</v>
      </c>
      <c r="I4840" t="s">
        <v>37</v>
      </c>
      <c r="J4840" t="s">
        <v>29</v>
      </c>
      <c r="K4840">
        <v>7752</v>
      </c>
      <c r="L4840">
        <v>31</v>
      </c>
      <c r="M4840">
        <v>246.09</v>
      </c>
      <c r="N4840">
        <v>1</v>
      </c>
      <c r="O4840">
        <v>47.29</v>
      </c>
      <c r="P4840">
        <f t="shared" si="300"/>
        <v>3.9989680082559336E-3</v>
      </c>
      <c r="Q4840">
        <f t="shared" si="300"/>
        <v>7.9383870967741936</v>
      </c>
      <c r="R4840">
        <f t="shared" si="301"/>
        <v>246.09</v>
      </c>
      <c r="S4840">
        <f t="shared" si="302"/>
        <v>0.1921654679182413</v>
      </c>
      <c r="T4840">
        <f t="shared" si="303"/>
        <v>3.2258064516129031E-2</v>
      </c>
      <c r="U4840" t="str">
        <f>YEAR('Campaign Data'!$A4840)&amp;"-"&amp;TEXT(MONTH('Campaign Data'!$A4840),"00")</f>
        <v>2026-09</v>
      </c>
    </row>
    <row r="4841" spans="1:21" x14ac:dyDescent="0.25">
      <c r="A4841">
        <v>46286</v>
      </c>
      <c r="B4841" t="s">
        <v>143</v>
      </c>
      <c r="C4841" t="s">
        <v>144</v>
      </c>
      <c r="D4841" t="s">
        <v>48</v>
      </c>
      <c r="E4841" t="s">
        <v>42</v>
      </c>
      <c r="F4841" t="s">
        <v>25</v>
      </c>
      <c r="G4841" t="s">
        <v>84</v>
      </c>
      <c r="H4841" t="s">
        <v>51</v>
      </c>
      <c r="I4841" t="s">
        <v>28</v>
      </c>
      <c r="J4841" t="s">
        <v>62</v>
      </c>
      <c r="K4841">
        <v>5666</v>
      </c>
      <c r="L4841">
        <v>48</v>
      </c>
      <c r="M4841">
        <v>220.78</v>
      </c>
      <c r="N4841">
        <v>0</v>
      </c>
      <c r="O4841">
        <v>0</v>
      </c>
      <c r="P4841">
        <f t="shared" si="300"/>
        <v>8.4715848923402753E-3</v>
      </c>
      <c r="Q4841">
        <f t="shared" si="300"/>
        <v>4.5995833333333334</v>
      </c>
      <c r="R4841">
        <f t="shared" si="301"/>
        <v>0</v>
      </c>
      <c r="S4841">
        <f t="shared" si="302"/>
        <v>0</v>
      </c>
      <c r="T4841">
        <f t="shared" si="303"/>
        <v>0</v>
      </c>
      <c r="U4841" t="str">
        <f>YEAR('Campaign Data'!$A4841)&amp;"-"&amp;TEXT(MONTH('Campaign Data'!$A4841),"00")</f>
        <v>2026-09</v>
      </c>
    </row>
    <row r="4842" spans="1:21" x14ac:dyDescent="0.25">
      <c r="A4842">
        <v>46286</v>
      </c>
      <c r="B4842" t="s">
        <v>67</v>
      </c>
      <c r="C4842" t="s">
        <v>68</v>
      </c>
      <c r="D4842" t="s">
        <v>69</v>
      </c>
      <c r="E4842" t="s">
        <v>49</v>
      </c>
      <c r="F4842" t="s">
        <v>34</v>
      </c>
      <c r="G4842" t="s">
        <v>70</v>
      </c>
      <c r="H4842" t="s">
        <v>27</v>
      </c>
      <c r="I4842" t="s">
        <v>61</v>
      </c>
      <c r="J4842" t="s">
        <v>45</v>
      </c>
      <c r="K4842">
        <v>4988</v>
      </c>
      <c r="L4842">
        <v>285</v>
      </c>
      <c r="M4842">
        <v>725.92</v>
      </c>
      <c r="N4842">
        <v>9</v>
      </c>
      <c r="O4842">
        <v>975.72</v>
      </c>
      <c r="P4842">
        <f t="shared" si="300"/>
        <v>5.7137129109863675E-2</v>
      </c>
      <c r="Q4842">
        <f t="shared" si="300"/>
        <v>2.5470877192982453</v>
      </c>
      <c r="R4842">
        <f t="shared" si="301"/>
        <v>80.657777777777767</v>
      </c>
      <c r="S4842">
        <f t="shared" si="302"/>
        <v>1.344115054000441</v>
      </c>
      <c r="T4842">
        <f t="shared" si="303"/>
        <v>3.1578947368421054E-2</v>
      </c>
      <c r="U4842" t="str">
        <f>YEAR('Campaign Data'!$A4842)&amp;"-"&amp;TEXT(MONTH('Campaign Data'!$A4842),"00")</f>
        <v>2026-09</v>
      </c>
    </row>
    <row r="4843" spans="1:21" x14ac:dyDescent="0.25">
      <c r="A4843">
        <v>46286</v>
      </c>
      <c r="B4843" t="s">
        <v>67</v>
      </c>
      <c r="C4843" t="s">
        <v>68</v>
      </c>
      <c r="D4843" t="s">
        <v>69</v>
      </c>
      <c r="E4843" t="s">
        <v>49</v>
      </c>
      <c r="F4843" t="s">
        <v>34</v>
      </c>
      <c r="G4843" t="s">
        <v>70</v>
      </c>
      <c r="H4843" t="s">
        <v>27</v>
      </c>
      <c r="I4843" t="s">
        <v>37</v>
      </c>
      <c r="J4843" t="s">
        <v>38</v>
      </c>
      <c r="K4843">
        <v>9408</v>
      </c>
      <c r="L4843">
        <v>463</v>
      </c>
      <c r="M4843">
        <v>1205.6300000000001</v>
      </c>
      <c r="N4843">
        <v>49</v>
      </c>
      <c r="O4843">
        <v>6345.04</v>
      </c>
      <c r="P4843">
        <f t="shared" si="300"/>
        <v>4.9213435374149662E-2</v>
      </c>
      <c r="Q4843">
        <f t="shared" si="300"/>
        <v>2.603952483801296</v>
      </c>
      <c r="R4843">
        <f t="shared" si="301"/>
        <v>24.604693877551021</v>
      </c>
      <c r="S4843">
        <f t="shared" si="302"/>
        <v>5.2628418337300822</v>
      </c>
      <c r="T4843">
        <f t="shared" si="303"/>
        <v>0.10583153347732181</v>
      </c>
      <c r="U4843" t="str">
        <f>YEAR('Campaign Data'!$A4843)&amp;"-"&amp;TEXT(MONTH('Campaign Data'!$A4843),"00")</f>
        <v>2026-09</v>
      </c>
    </row>
    <row r="4844" spans="1:21" x14ac:dyDescent="0.25">
      <c r="A4844">
        <v>46286</v>
      </c>
      <c r="B4844" t="s">
        <v>120</v>
      </c>
      <c r="C4844" t="s">
        <v>121</v>
      </c>
      <c r="D4844" t="s">
        <v>23</v>
      </c>
      <c r="E4844" t="s">
        <v>49</v>
      </c>
      <c r="F4844" t="s">
        <v>75</v>
      </c>
      <c r="G4844" t="s">
        <v>70</v>
      </c>
      <c r="H4844" t="s">
        <v>90</v>
      </c>
      <c r="I4844" t="s">
        <v>37</v>
      </c>
      <c r="J4844" t="s">
        <v>38</v>
      </c>
      <c r="K4844">
        <v>2153</v>
      </c>
      <c r="L4844">
        <v>91</v>
      </c>
      <c r="M4844">
        <v>39.729999999999997</v>
      </c>
      <c r="N4844">
        <v>4</v>
      </c>
      <c r="O4844">
        <v>35.01</v>
      </c>
      <c r="P4844">
        <f t="shared" si="300"/>
        <v>4.2266604737575479E-2</v>
      </c>
      <c r="Q4844">
        <f t="shared" si="300"/>
        <v>0.43659340659340656</v>
      </c>
      <c r="R4844">
        <f t="shared" si="301"/>
        <v>9.9324999999999992</v>
      </c>
      <c r="S4844">
        <f t="shared" si="302"/>
        <v>0.88119808708784297</v>
      </c>
      <c r="T4844">
        <f t="shared" si="303"/>
        <v>4.3956043956043959E-2</v>
      </c>
      <c r="U4844" t="str">
        <f>YEAR('Campaign Data'!$A4844)&amp;"-"&amp;TEXT(MONTH('Campaign Data'!$A4844),"00")</f>
        <v>2026-09</v>
      </c>
    </row>
    <row r="4845" spans="1:21" x14ac:dyDescent="0.25">
      <c r="A4845">
        <v>46287</v>
      </c>
      <c r="B4845" t="s">
        <v>165</v>
      </c>
      <c r="C4845" t="s">
        <v>166</v>
      </c>
      <c r="D4845" t="s">
        <v>41</v>
      </c>
      <c r="E4845" t="s">
        <v>33</v>
      </c>
      <c r="F4845" t="s">
        <v>43</v>
      </c>
      <c r="G4845" t="s">
        <v>59</v>
      </c>
      <c r="H4845" t="s">
        <v>27</v>
      </c>
      <c r="I4845" t="s">
        <v>37</v>
      </c>
      <c r="J4845" t="s">
        <v>87</v>
      </c>
      <c r="K4845">
        <v>7029</v>
      </c>
      <c r="L4845">
        <v>72</v>
      </c>
      <c r="M4845">
        <v>53.62</v>
      </c>
      <c r="N4845">
        <v>0</v>
      </c>
      <c r="O4845">
        <v>0</v>
      </c>
      <c r="P4845">
        <f t="shared" si="300"/>
        <v>1.0243277848911651E-2</v>
      </c>
      <c r="Q4845">
        <f t="shared" si="300"/>
        <v>0.74472222222222217</v>
      </c>
      <c r="R4845">
        <f t="shared" si="301"/>
        <v>0</v>
      </c>
      <c r="S4845">
        <f t="shared" si="302"/>
        <v>0</v>
      </c>
      <c r="T4845">
        <f t="shared" si="303"/>
        <v>0</v>
      </c>
      <c r="U4845" t="str">
        <f>YEAR('Campaign Data'!$A4845)&amp;"-"&amp;TEXT(MONTH('Campaign Data'!$A4845),"00")</f>
        <v>2026-09</v>
      </c>
    </row>
    <row r="4846" spans="1:21" x14ac:dyDescent="0.25">
      <c r="A4846">
        <v>46287</v>
      </c>
      <c r="B4846" t="s">
        <v>149</v>
      </c>
      <c r="C4846" t="s">
        <v>150</v>
      </c>
      <c r="D4846" t="s">
        <v>65</v>
      </c>
      <c r="E4846" t="s">
        <v>33</v>
      </c>
      <c r="F4846" t="s">
        <v>43</v>
      </c>
      <c r="G4846" t="s">
        <v>59</v>
      </c>
      <c r="H4846" t="s">
        <v>27</v>
      </c>
      <c r="I4846" t="s">
        <v>37</v>
      </c>
      <c r="J4846" t="s">
        <v>62</v>
      </c>
      <c r="K4846">
        <v>6694</v>
      </c>
      <c r="L4846">
        <v>72</v>
      </c>
      <c r="M4846">
        <v>55.41</v>
      </c>
      <c r="N4846">
        <v>2</v>
      </c>
      <c r="O4846">
        <v>77.56</v>
      </c>
      <c r="P4846">
        <f t="shared" si="300"/>
        <v>1.0755900806692561E-2</v>
      </c>
      <c r="Q4846">
        <f t="shared" si="300"/>
        <v>0.76958333333333329</v>
      </c>
      <c r="R4846">
        <f t="shared" si="301"/>
        <v>27.704999999999998</v>
      </c>
      <c r="S4846">
        <f t="shared" si="302"/>
        <v>1.3997473380256273</v>
      </c>
      <c r="T4846">
        <f t="shared" si="303"/>
        <v>2.7777777777777776E-2</v>
      </c>
      <c r="U4846" t="str">
        <f>YEAR('Campaign Data'!$A4846)&amp;"-"&amp;TEXT(MONTH('Campaign Data'!$A4846),"00")</f>
        <v>2026-09</v>
      </c>
    </row>
    <row r="4847" spans="1:21" x14ac:dyDescent="0.25">
      <c r="A4847">
        <v>46287</v>
      </c>
      <c r="B4847" t="s">
        <v>186</v>
      </c>
      <c r="C4847" t="s">
        <v>187</v>
      </c>
      <c r="D4847" t="s">
        <v>80</v>
      </c>
      <c r="E4847" t="s">
        <v>33</v>
      </c>
      <c r="F4847" t="s">
        <v>43</v>
      </c>
      <c r="G4847" t="s">
        <v>102</v>
      </c>
      <c r="H4847" t="s">
        <v>90</v>
      </c>
      <c r="I4847" t="s">
        <v>37</v>
      </c>
      <c r="J4847" t="s">
        <v>45</v>
      </c>
      <c r="K4847">
        <v>5106</v>
      </c>
      <c r="L4847">
        <v>46</v>
      </c>
      <c r="M4847">
        <v>8.4</v>
      </c>
      <c r="N4847">
        <v>1</v>
      </c>
      <c r="O4847">
        <v>5.7</v>
      </c>
      <c r="P4847">
        <f t="shared" si="300"/>
        <v>9.0090090090090089E-3</v>
      </c>
      <c r="Q4847">
        <f t="shared" si="300"/>
        <v>0.18260869565217391</v>
      </c>
      <c r="R4847">
        <f t="shared" si="301"/>
        <v>8.4</v>
      </c>
      <c r="S4847">
        <f t="shared" si="302"/>
        <v>0.6785714285714286</v>
      </c>
      <c r="T4847">
        <f t="shared" si="303"/>
        <v>2.1739130434782608E-2</v>
      </c>
      <c r="U4847" t="str">
        <f>YEAR('Campaign Data'!$A4847)&amp;"-"&amp;TEXT(MONTH('Campaign Data'!$A4847),"00")</f>
        <v>2026-09</v>
      </c>
    </row>
    <row r="4848" spans="1:21" x14ac:dyDescent="0.25">
      <c r="A4848">
        <v>46287</v>
      </c>
      <c r="B4848" t="s">
        <v>95</v>
      </c>
      <c r="C4848" t="s">
        <v>96</v>
      </c>
      <c r="D4848" t="s">
        <v>23</v>
      </c>
      <c r="E4848" t="s">
        <v>49</v>
      </c>
      <c r="F4848" t="s">
        <v>43</v>
      </c>
      <c r="G4848" t="s">
        <v>97</v>
      </c>
      <c r="H4848" t="s">
        <v>60</v>
      </c>
      <c r="I4848" t="s">
        <v>37</v>
      </c>
      <c r="J4848" t="s">
        <v>29</v>
      </c>
      <c r="K4848">
        <v>1025</v>
      </c>
      <c r="L4848">
        <v>27</v>
      </c>
      <c r="M4848">
        <v>39.51</v>
      </c>
      <c r="N4848">
        <v>1</v>
      </c>
      <c r="O4848">
        <v>23.66</v>
      </c>
      <c r="P4848">
        <f t="shared" si="300"/>
        <v>2.6341463414634145E-2</v>
      </c>
      <c r="Q4848">
        <f t="shared" si="300"/>
        <v>1.4633333333333332</v>
      </c>
      <c r="R4848">
        <f t="shared" si="301"/>
        <v>39.51</v>
      </c>
      <c r="S4848">
        <f t="shared" si="302"/>
        <v>0.59883573778790178</v>
      </c>
      <c r="T4848">
        <f t="shared" si="303"/>
        <v>3.7037037037037035E-2</v>
      </c>
      <c r="U4848" t="str">
        <f>YEAR('Campaign Data'!$A4848)&amp;"-"&amp;TEXT(MONTH('Campaign Data'!$A4848),"00")</f>
        <v>2026-09</v>
      </c>
    </row>
    <row r="4849" spans="1:21" x14ac:dyDescent="0.25">
      <c r="A4849">
        <v>46287</v>
      </c>
      <c r="B4849" t="s">
        <v>95</v>
      </c>
      <c r="C4849" t="s">
        <v>96</v>
      </c>
      <c r="D4849" t="s">
        <v>23</v>
      </c>
      <c r="E4849" t="s">
        <v>49</v>
      </c>
      <c r="F4849" t="s">
        <v>43</v>
      </c>
      <c r="G4849" t="s">
        <v>97</v>
      </c>
      <c r="H4849" t="s">
        <v>36</v>
      </c>
      <c r="I4849" t="s">
        <v>37</v>
      </c>
      <c r="J4849" t="s">
        <v>29</v>
      </c>
      <c r="K4849">
        <v>3720</v>
      </c>
      <c r="L4849">
        <v>163</v>
      </c>
      <c r="M4849">
        <v>373.24</v>
      </c>
      <c r="N4849">
        <v>4</v>
      </c>
      <c r="O4849">
        <v>134.16</v>
      </c>
      <c r="P4849">
        <f t="shared" si="300"/>
        <v>4.3817204301075267E-2</v>
      </c>
      <c r="Q4849">
        <f t="shared" si="300"/>
        <v>2.2898159509202456</v>
      </c>
      <c r="R4849">
        <f t="shared" si="301"/>
        <v>93.31</v>
      </c>
      <c r="S4849">
        <f t="shared" si="302"/>
        <v>0.35944700460829493</v>
      </c>
      <c r="T4849">
        <f t="shared" si="303"/>
        <v>2.4539877300613498E-2</v>
      </c>
      <c r="U4849" t="str">
        <f>YEAR('Campaign Data'!$A4849)&amp;"-"&amp;TEXT(MONTH('Campaign Data'!$A4849),"00")</f>
        <v>2026-09</v>
      </c>
    </row>
    <row r="4850" spans="1:21" x14ac:dyDescent="0.25">
      <c r="A4850">
        <v>46287</v>
      </c>
      <c r="B4850" t="s">
        <v>39</v>
      </c>
      <c r="C4850" t="s">
        <v>40</v>
      </c>
      <c r="D4850" t="s">
        <v>41</v>
      </c>
      <c r="E4850" t="s">
        <v>42</v>
      </c>
      <c r="F4850" t="s">
        <v>43</v>
      </c>
      <c r="G4850" t="s">
        <v>44</v>
      </c>
      <c r="H4850" t="s">
        <v>60</v>
      </c>
      <c r="I4850" t="s">
        <v>37</v>
      </c>
      <c r="J4850" t="s">
        <v>62</v>
      </c>
      <c r="K4850">
        <v>11506</v>
      </c>
      <c r="L4850">
        <v>134</v>
      </c>
      <c r="M4850">
        <v>952.64</v>
      </c>
      <c r="N4850">
        <v>4</v>
      </c>
      <c r="O4850">
        <v>60.51</v>
      </c>
      <c r="P4850">
        <f t="shared" si="300"/>
        <v>1.1646097688162698E-2</v>
      </c>
      <c r="Q4850">
        <f t="shared" si="300"/>
        <v>7.1092537313432835</v>
      </c>
      <c r="R4850">
        <f t="shared" si="301"/>
        <v>238.16</v>
      </c>
      <c r="S4850">
        <f t="shared" si="302"/>
        <v>6.3518223043332211E-2</v>
      </c>
      <c r="T4850">
        <f t="shared" si="303"/>
        <v>2.9850746268656716E-2</v>
      </c>
      <c r="U4850" t="str">
        <f>YEAR('Campaign Data'!$A4850)&amp;"-"&amp;TEXT(MONTH('Campaign Data'!$A4850),"00")</f>
        <v>2026-09</v>
      </c>
    </row>
    <row r="4851" spans="1:21" x14ac:dyDescent="0.25">
      <c r="A4851">
        <v>46287</v>
      </c>
      <c r="B4851" t="s">
        <v>98</v>
      </c>
      <c r="C4851" t="s">
        <v>99</v>
      </c>
      <c r="D4851" t="s">
        <v>69</v>
      </c>
      <c r="E4851" t="s">
        <v>24</v>
      </c>
      <c r="F4851" t="s">
        <v>75</v>
      </c>
      <c r="G4851" t="s">
        <v>66</v>
      </c>
      <c r="H4851" t="s">
        <v>51</v>
      </c>
      <c r="I4851" t="s">
        <v>28</v>
      </c>
      <c r="J4851" t="s">
        <v>87</v>
      </c>
      <c r="K4851">
        <v>5788</v>
      </c>
      <c r="L4851">
        <v>56</v>
      </c>
      <c r="M4851">
        <v>57.87</v>
      </c>
      <c r="N4851">
        <v>1</v>
      </c>
      <c r="O4851">
        <v>40.97</v>
      </c>
      <c r="P4851">
        <f t="shared" si="300"/>
        <v>9.675190048375951E-3</v>
      </c>
      <c r="Q4851">
        <f t="shared" si="300"/>
        <v>1.033392857142857</v>
      </c>
      <c r="R4851">
        <f t="shared" si="301"/>
        <v>57.87</v>
      </c>
      <c r="S4851">
        <f t="shared" si="302"/>
        <v>0.70796613098323835</v>
      </c>
      <c r="T4851">
        <f t="shared" si="303"/>
        <v>1.7857142857142856E-2</v>
      </c>
      <c r="U4851" t="str">
        <f>YEAR('Campaign Data'!$A4851)&amp;"-"&amp;TEXT(MONTH('Campaign Data'!$A4851),"00")</f>
        <v>2026-09</v>
      </c>
    </row>
    <row r="4852" spans="1:21" x14ac:dyDescent="0.25">
      <c r="A4852">
        <v>46287</v>
      </c>
      <c r="B4852" t="s">
        <v>157</v>
      </c>
      <c r="C4852" t="s">
        <v>158</v>
      </c>
      <c r="D4852" t="s">
        <v>58</v>
      </c>
      <c r="E4852" t="s">
        <v>49</v>
      </c>
      <c r="F4852" t="s">
        <v>81</v>
      </c>
      <c r="G4852" t="s">
        <v>50</v>
      </c>
      <c r="H4852" t="s">
        <v>27</v>
      </c>
      <c r="I4852" t="s">
        <v>37</v>
      </c>
      <c r="J4852" t="s">
        <v>38</v>
      </c>
      <c r="K4852">
        <v>6133</v>
      </c>
      <c r="L4852">
        <v>262</v>
      </c>
      <c r="M4852">
        <v>554.52</v>
      </c>
      <c r="N4852">
        <v>13</v>
      </c>
      <c r="O4852">
        <v>287.66000000000003</v>
      </c>
      <c r="P4852">
        <f t="shared" si="300"/>
        <v>4.2719713027881953E-2</v>
      </c>
      <c r="Q4852">
        <f t="shared" si="300"/>
        <v>2.1164885496183206</v>
      </c>
      <c r="R4852">
        <f t="shared" si="301"/>
        <v>42.655384615384612</v>
      </c>
      <c r="S4852">
        <f t="shared" si="302"/>
        <v>0.51875495924403092</v>
      </c>
      <c r="T4852">
        <f t="shared" si="303"/>
        <v>4.9618320610687022E-2</v>
      </c>
      <c r="U4852" t="str">
        <f>YEAR('Campaign Data'!$A4852)&amp;"-"&amp;TEXT(MONTH('Campaign Data'!$A4852),"00")</f>
        <v>2026-09</v>
      </c>
    </row>
    <row r="4853" spans="1:21" x14ac:dyDescent="0.25">
      <c r="A4853">
        <v>46287</v>
      </c>
      <c r="B4853" t="s">
        <v>159</v>
      </c>
      <c r="C4853" t="s">
        <v>160</v>
      </c>
      <c r="D4853" t="s">
        <v>65</v>
      </c>
      <c r="E4853" t="s">
        <v>42</v>
      </c>
      <c r="F4853" t="s">
        <v>75</v>
      </c>
      <c r="G4853" t="s">
        <v>54</v>
      </c>
      <c r="H4853" t="s">
        <v>27</v>
      </c>
      <c r="I4853" t="s">
        <v>28</v>
      </c>
      <c r="J4853" t="s">
        <v>29</v>
      </c>
      <c r="K4853">
        <v>4891</v>
      </c>
      <c r="L4853">
        <v>33</v>
      </c>
      <c r="M4853">
        <v>276.93</v>
      </c>
      <c r="N4853">
        <v>2</v>
      </c>
      <c r="O4853">
        <v>119.62</v>
      </c>
      <c r="P4853">
        <f t="shared" si="300"/>
        <v>6.7470864853813126E-3</v>
      </c>
      <c r="Q4853">
        <f t="shared" si="300"/>
        <v>8.3918181818181825</v>
      </c>
      <c r="R4853">
        <f t="shared" si="301"/>
        <v>138.465</v>
      </c>
      <c r="S4853">
        <f t="shared" si="302"/>
        <v>0.43195031235330228</v>
      </c>
      <c r="T4853">
        <f t="shared" si="303"/>
        <v>6.0606060606060608E-2</v>
      </c>
      <c r="U4853" t="str">
        <f>YEAR('Campaign Data'!$A4853)&amp;"-"&amp;TEXT(MONTH('Campaign Data'!$A4853),"00")</f>
        <v>2026-09</v>
      </c>
    </row>
    <row r="4854" spans="1:21" x14ac:dyDescent="0.25">
      <c r="A4854">
        <v>46287</v>
      </c>
      <c r="B4854" t="s">
        <v>161</v>
      </c>
      <c r="C4854" t="s">
        <v>162</v>
      </c>
      <c r="D4854" t="s">
        <v>48</v>
      </c>
      <c r="E4854" t="s">
        <v>74</v>
      </c>
      <c r="F4854" t="s">
        <v>34</v>
      </c>
      <c r="G4854" t="s">
        <v>107</v>
      </c>
      <c r="H4854" t="s">
        <v>27</v>
      </c>
      <c r="I4854" t="s">
        <v>37</v>
      </c>
      <c r="J4854" t="s">
        <v>45</v>
      </c>
      <c r="K4854">
        <v>4937</v>
      </c>
      <c r="L4854">
        <v>185</v>
      </c>
      <c r="M4854">
        <v>236.36</v>
      </c>
      <c r="N4854">
        <v>12</v>
      </c>
      <c r="O4854">
        <v>2372.21</v>
      </c>
      <c r="P4854">
        <f t="shared" si="300"/>
        <v>3.7472149078387681E-2</v>
      </c>
      <c r="Q4854">
        <f t="shared" si="300"/>
        <v>1.2776216216216216</v>
      </c>
      <c r="R4854">
        <f t="shared" si="301"/>
        <v>19.696666666666669</v>
      </c>
      <c r="S4854">
        <f t="shared" si="302"/>
        <v>10.036427483499745</v>
      </c>
      <c r="T4854">
        <f t="shared" si="303"/>
        <v>6.4864864864864868E-2</v>
      </c>
      <c r="U4854" t="str">
        <f>YEAR('Campaign Data'!$A4854)&amp;"-"&amp;TEXT(MONTH('Campaign Data'!$A4854),"00")</f>
        <v>2026-09</v>
      </c>
    </row>
    <row r="4855" spans="1:21" x14ac:dyDescent="0.25">
      <c r="A4855">
        <v>46287</v>
      </c>
      <c r="B4855" t="s">
        <v>114</v>
      </c>
      <c r="C4855" t="s">
        <v>115</v>
      </c>
      <c r="D4855" t="s">
        <v>69</v>
      </c>
      <c r="E4855" t="s">
        <v>49</v>
      </c>
      <c r="F4855" t="s">
        <v>25</v>
      </c>
      <c r="G4855" t="s">
        <v>107</v>
      </c>
      <c r="H4855" t="s">
        <v>90</v>
      </c>
      <c r="I4855" t="s">
        <v>37</v>
      </c>
      <c r="J4855" t="s">
        <v>87</v>
      </c>
      <c r="K4855">
        <v>17506</v>
      </c>
      <c r="L4855">
        <v>663</v>
      </c>
      <c r="M4855">
        <v>303.88</v>
      </c>
      <c r="N4855">
        <v>44</v>
      </c>
      <c r="O4855">
        <v>1954.2</v>
      </c>
      <c r="P4855">
        <f t="shared" si="300"/>
        <v>3.7872729349937163E-2</v>
      </c>
      <c r="Q4855">
        <f t="shared" si="300"/>
        <v>0.45834087481146302</v>
      </c>
      <c r="R4855">
        <f t="shared" si="301"/>
        <v>6.9063636363636363</v>
      </c>
      <c r="S4855">
        <f t="shared" si="302"/>
        <v>6.4308279584046337</v>
      </c>
      <c r="T4855">
        <f t="shared" si="303"/>
        <v>6.636500754147813E-2</v>
      </c>
      <c r="U4855" t="str">
        <f>YEAR('Campaign Data'!$A4855)&amp;"-"&amp;TEXT(MONTH('Campaign Data'!$A4855),"00")</f>
        <v>2026-09</v>
      </c>
    </row>
    <row r="4856" spans="1:21" x14ac:dyDescent="0.25">
      <c r="A4856">
        <v>46287</v>
      </c>
      <c r="B4856" t="s">
        <v>141</v>
      </c>
      <c r="C4856" t="s">
        <v>142</v>
      </c>
      <c r="D4856" t="s">
        <v>80</v>
      </c>
      <c r="E4856" t="s">
        <v>49</v>
      </c>
      <c r="F4856" t="s">
        <v>81</v>
      </c>
      <c r="G4856" t="s">
        <v>97</v>
      </c>
      <c r="H4856" t="s">
        <v>71</v>
      </c>
      <c r="I4856" t="s">
        <v>37</v>
      </c>
      <c r="J4856" t="s">
        <v>29</v>
      </c>
      <c r="K4856">
        <v>3118</v>
      </c>
      <c r="L4856">
        <v>155</v>
      </c>
      <c r="M4856">
        <v>265</v>
      </c>
      <c r="N4856">
        <v>4</v>
      </c>
      <c r="O4856">
        <v>70.97</v>
      </c>
      <c r="P4856">
        <f t="shared" si="300"/>
        <v>4.9711353431686978E-2</v>
      </c>
      <c r="Q4856">
        <f t="shared" si="300"/>
        <v>1.7096774193548387</v>
      </c>
      <c r="R4856">
        <f t="shared" si="301"/>
        <v>66.25</v>
      </c>
      <c r="S4856">
        <f t="shared" si="302"/>
        <v>0.26781132075471697</v>
      </c>
      <c r="T4856">
        <f t="shared" si="303"/>
        <v>2.5806451612903226E-2</v>
      </c>
      <c r="U4856" t="str">
        <f>YEAR('Campaign Data'!$A4856)&amp;"-"&amp;TEXT(MONTH('Campaign Data'!$A4856),"00")</f>
        <v>2026-09</v>
      </c>
    </row>
    <row r="4857" spans="1:21" x14ac:dyDescent="0.25">
      <c r="A4857">
        <v>46287</v>
      </c>
      <c r="B4857" t="s">
        <v>136</v>
      </c>
      <c r="C4857" t="s">
        <v>137</v>
      </c>
      <c r="D4857" t="s">
        <v>32</v>
      </c>
      <c r="E4857" t="s">
        <v>49</v>
      </c>
      <c r="F4857" t="s">
        <v>75</v>
      </c>
      <c r="G4857" t="s">
        <v>97</v>
      </c>
      <c r="H4857" t="s">
        <v>90</v>
      </c>
      <c r="I4857" t="s">
        <v>28</v>
      </c>
      <c r="J4857" t="s">
        <v>87</v>
      </c>
      <c r="K4857">
        <v>1588</v>
      </c>
      <c r="L4857">
        <v>53</v>
      </c>
      <c r="M4857">
        <v>25.67</v>
      </c>
      <c r="N4857">
        <v>2</v>
      </c>
      <c r="O4857">
        <v>28.25</v>
      </c>
      <c r="P4857">
        <f t="shared" si="300"/>
        <v>3.3375314861460954E-2</v>
      </c>
      <c r="Q4857">
        <f t="shared" si="300"/>
        <v>0.48433962264150948</v>
      </c>
      <c r="R4857">
        <f t="shared" si="301"/>
        <v>12.835000000000001</v>
      </c>
      <c r="S4857">
        <f t="shared" si="302"/>
        <v>1.1005064277366574</v>
      </c>
      <c r="T4857">
        <f t="shared" si="303"/>
        <v>3.7735849056603772E-2</v>
      </c>
      <c r="U4857" t="str">
        <f>YEAR('Campaign Data'!$A4857)&amp;"-"&amp;TEXT(MONTH('Campaign Data'!$A4857),"00")</f>
        <v>2026-09</v>
      </c>
    </row>
    <row r="4858" spans="1:21" x14ac:dyDescent="0.25">
      <c r="A4858">
        <v>46287</v>
      </c>
      <c r="B4858" t="s">
        <v>136</v>
      </c>
      <c r="C4858" t="s">
        <v>137</v>
      </c>
      <c r="D4858" t="s">
        <v>32</v>
      </c>
      <c r="E4858" t="s">
        <v>49</v>
      </c>
      <c r="F4858" t="s">
        <v>75</v>
      </c>
      <c r="G4858" t="s">
        <v>97</v>
      </c>
      <c r="H4858" t="s">
        <v>51</v>
      </c>
      <c r="I4858" t="s">
        <v>37</v>
      </c>
      <c r="J4858" t="s">
        <v>45</v>
      </c>
      <c r="K4858">
        <v>7394</v>
      </c>
      <c r="L4858">
        <v>389</v>
      </c>
      <c r="M4858">
        <v>768.36</v>
      </c>
      <c r="N4858">
        <v>42</v>
      </c>
      <c r="O4858">
        <v>1024.26</v>
      </c>
      <c r="P4858">
        <f t="shared" si="300"/>
        <v>5.2610224506356502E-2</v>
      </c>
      <c r="Q4858">
        <f t="shared" si="300"/>
        <v>1.9752185089974292</v>
      </c>
      <c r="R4858">
        <f t="shared" si="301"/>
        <v>18.294285714285714</v>
      </c>
      <c r="S4858">
        <f t="shared" si="302"/>
        <v>1.3330470092144306</v>
      </c>
      <c r="T4858">
        <f t="shared" si="303"/>
        <v>0.10796915167095116</v>
      </c>
      <c r="U4858" t="str">
        <f>YEAR('Campaign Data'!$A4858)&amp;"-"&amp;TEXT(MONTH('Campaign Data'!$A4858),"00")</f>
        <v>2026-09</v>
      </c>
    </row>
    <row r="4859" spans="1:21" x14ac:dyDescent="0.25">
      <c r="A4859">
        <v>46287</v>
      </c>
      <c r="B4859" t="s">
        <v>136</v>
      </c>
      <c r="C4859" t="s">
        <v>137</v>
      </c>
      <c r="D4859" t="s">
        <v>32</v>
      </c>
      <c r="E4859" t="s">
        <v>49</v>
      </c>
      <c r="F4859" t="s">
        <v>75</v>
      </c>
      <c r="G4859" t="s">
        <v>97</v>
      </c>
      <c r="H4859" t="s">
        <v>71</v>
      </c>
      <c r="I4859" t="s">
        <v>28</v>
      </c>
      <c r="J4859" t="s">
        <v>29</v>
      </c>
      <c r="K4859">
        <v>5071</v>
      </c>
      <c r="L4859">
        <v>222</v>
      </c>
      <c r="M4859">
        <v>342.64</v>
      </c>
      <c r="N4859">
        <v>16</v>
      </c>
      <c r="O4859">
        <v>653.44000000000005</v>
      </c>
      <c r="P4859">
        <f t="shared" si="300"/>
        <v>4.3778347465983039E-2</v>
      </c>
      <c r="Q4859">
        <f t="shared" si="300"/>
        <v>1.5434234234234234</v>
      </c>
      <c r="R4859">
        <f t="shared" si="301"/>
        <v>21.414999999999999</v>
      </c>
      <c r="S4859">
        <f t="shared" si="302"/>
        <v>1.9070744805043196</v>
      </c>
      <c r="T4859">
        <f t="shared" si="303"/>
        <v>7.2072072072072071E-2</v>
      </c>
      <c r="U4859" t="str">
        <f>YEAR('Campaign Data'!$A4859)&amp;"-"&amp;TEXT(MONTH('Campaign Data'!$A4859),"00")</f>
        <v>2026-09</v>
      </c>
    </row>
    <row r="4860" spans="1:21" x14ac:dyDescent="0.25">
      <c r="A4860">
        <v>46287</v>
      </c>
      <c r="B4860" t="s">
        <v>183</v>
      </c>
      <c r="C4860" t="s">
        <v>184</v>
      </c>
      <c r="D4860" t="s">
        <v>23</v>
      </c>
      <c r="E4860" t="s">
        <v>24</v>
      </c>
      <c r="F4860" t="s">
        <v>81</v>
      </c>
      <c r="G4860" t="s">
        <v>185</v>
      </c>
      <c r="H4860" t="s">
        <v>27</v>
      </c>
      <c r="I4860" t="s">
        <v>37</v>
      </c>
      <c r="J4860" t="s">
        <v>29</v>
      </c>
      <c r="K4860">
        <v>4876</v>
      </c>
      <c r="L4860">
        <v>49</v>
      </c>
      <c r="M4860">
        <v>53.95</v>
      </c>
      <c r="N4860">
        <v>0</v>
      </c>
      <c r="O4860">
        <v>0</v>
      </c>
      <c r="P4860">
        <f t="shared" si="300"/>
        <v>1.0049220672682527E-2</v>
      </c>
      <c r="Q4860">
        <f t="shared" si="300"/>
        <v>1.1010204081632653</v>
      </c>
      <c r="R4860">
        <f t="shared" si="301"/>
        <v>0</v>
      </c>
      <c r="S4860">
        <f t="shared" si="302"/>
        <v>0</v>
      </c>
      <c r="T4860">
        <f t="shared" si="303"/>
        <v>0</v>
      </c>
      <c r="U4860" t="str">
        <f>YEAR('Campaign Data'!$A4860)&amp;"-"&amp;TEXT(MONTH('Campaign Data'!$A4860),"00")</f>
        <v>2026-09</v>
      </c>
    </row>
    <row r="4861" spans="1:21" x14ac:dyDescent="0.25">
      <c r="A4861">
        <v>46288</v>
      </c>
      <c r="B4861" t="s">
        <v>173</v>
      </c>
      <c r="C4861" t="s">
        <v>174</v>
      </c>
      <c r="D4861" t="s">
        <v>48</v>
      </c>
      <c r="E4861" t="s">
        <v>74</v>
      </c>
      <c r="F4861" t="s">
        <v>25</v>
      </c>
      <c r="G4861" t="s">
        <v>9</v>
      </c>
      <c r="H4861" t="s">
        <v>90</v>
      </c>
      <c r="I4861" t="s">
        <v>37</v>
      </c>
      <c r="J4861" t="s">
        <v>45</v>
      </c>
      <c r="K4861">
        <v>3029</v>
      </c>
      <c r="L4861">
        <v>71</v>
      </c>
      <c r="M4861">
        <v>29.34</v>
      </c>
      <c r="N4861">
        <v>1</v>
      </c>
      <c r="O4861">
        <v>32.29</v>
      </c>
      <c r="P4861">
        <f t="shared" si="300"/>
        <v>2.3440079234070651E-2</v>
      </c>
      <c r="Q4861">
        <f t="shared" si="300"/>
        <v>0.41323943661971829</v>
      </c>
      <c r="R4861">
        <f t="shared" si="301"/>
        <v>29.34</v>
      </c>
      <c r="S4861">
        <f t="shared" si="302"/>
        <v>1.1005453306066804</v>
      </c>
      <c r="T4861">
        <f t="shared" si="303"/>
        <v>1.4084507042253521E-2</v>
      </c>
      <c r="U4861" t="str">
        <f>YEAR('Campaign Data'!$A4861)&amp;"-"&amp;TEXT(MONTH('Campaign Data'!$A4861),"00")</f>
        <v>2026-09</v>
      </c>
    </row>
    <row r="4862" spans="1:21" x14ac:dyDescent="0.25">
      <c r="A4862">
        <v>46288</v>
      </c>
      <c r="B4862" t="s">
        <v>21</v>
      </c>
      <c r="C4862" t="s">
        <v>124</v>
      </c>
      <c r="D4862" t="s">
        <v>23</v>
      </c>
      <c r="E4862" t="s">
        <v>24</v>
      </c>
      <c r="F4862" t="s">
        <v>25</v>
      </c>
      <c r="G4862" t="s">
        <v>26</v>
      </c>
      <c r="H4862" t="s">
        <v>71</v>
      </c>
      <c r="I4862" t="s">
        <v>37</v>
      </c>
      <c r="J4862" t="s">
        <v>87</v>
      </c>
      <c r="K4862">
        <v>2644</v>
      </c>
      <c r="L4862">
        <v>29</v>
      </c>
      <c r="M4862">
        <v>23</v>
      </c>
      <c r="N4862">
        <v>1</v>
      </c>
      <c r="O4862">
        <v>199.19</v>
      </c>
      <c r="P4862">
        <f t="shared" si="300"/>
        <v>1.096822995461422E-2</v>
      </c>
      <c r="Q4862">
        <f t="shared" si="300"/>
        <v>0.7931034482758621</v>
      </c>
      <c r="R4862">
        <f t="shared" si="301"/>
        <v>23</v>
      </c>
      <c r="S4862">
        <f t="shared" si="302"/>
        <v>8.6604347826086947</v>
      </c>
      <c r="T4862">
        <f t="shared" si="303"/>
        <v>3.4482758620689655E-2</v>
      </c>
      <c r="U4862" t="str">
        <f>YEAR('Campaign Data'!$A4862)&amp;"-"&amp;TEXT(MONTH('Campaign Data'!$A4862),"00")</f>
        <v>2026-09</v>
      </c>
    </row>
    <row r="4863" spans="1:21" x14ac:dyDescent="0.25">
      <c r="A4863">
        <v>46288</v>
      </c>
      <c r="B4863" t="s">
        <v>167</v>
      </c>
      <c r="C4863" t="s">
        <v>168</v>
      </c>
      <c r="D4863" t="s">
        <v>58</v>
      </c>
      <c r="E4863" t="s">
        <v>33</v>
      </c>
      <c r="F4863" t="s">
        <v>75</v>
      </c>
      <c r="G4863" t="s">
        <v>35</v>
      </c>
      <c r="H4863" t="s">
        <v>90</v>
      </c>
      <c r="I4863" t="s">
        <v>37</v>
      </c>
      <c r="J4863" t="s">
        <v>62</v>
      </c>
      <c r="K4863">
        <v>8240</v>
      </c>
      <c r="L4863">
        <v>120</v>
      </c>
      <c r="M4863">
        <v>15.57</v>
      </c>
      <c r="N4863">
        <v>6</v>
      </c>
      <c r="O4863">
        <v>85.41</v>
      </c>
      <c r="P4863">
        <f t="shared" si="300"/>
        <v>1.4563106796116505E-2</v>
      </c>
      <c r="Q4863">
        <f t="shared" si="300"/>
        <v>0.12975</v>
      </c>
      <c r="R4863">
        <f t="shared" si="301"/>
        <v>2.5950000000000002</v>
      </c>
      <c r="S4863">
        <f t="shared" si="302"/>
        <v>5.4855491329479769</v>
      </c>
      <c r="T4863">
        <f t="shared" si="303"/>
        <v>0.05</v>
      </c>
      <c r="U4863" t="str">
        <f>YEAR('Campaign Data'!$A4863)&amp;"-"&amp;TEXT(MONTH('Campaign Data'!$A4863),"00")</f>
        <v>2026-09</v>
      </c>
    </row>
    <row r="4864" spans="1:21" x14ac:dyDescent="0.25">
      <c r="A4864">
        <v>46288</v>
      </c>
      <c r="B4864" t="s">
        <v>147</v>
      </c>
      <c r="C4864" t="s">
        <v>148</v>
      </c>
      <c r="D4864" t="s">
        <v>23</v>
      </c>
      <c r="E4864" t="s">
        <v>42</v>
      </c>
      <c r="F4864" t="s">
        <v>75</v>
      </c>
      <c r="G4864" t="s">
        <v>44</v>
      </c>
      <c r="H4864" t="s">
        <v>36</v>
      </c>
      <c r="I4864" t="s">
        <v>37</v>
      </c>
      <c r="J4864" t="s">
        <v>87</v>
      </c>
      <c r="K4864">
        <v>6748</v>
      </c>
      <c r="L4864">
        <v>30</v>
      </c>
      <c r="M4864">
        <v>190.99</v>
      </c>
      <c r="N4864">
        <v>0</v>
      </c>
      <c r="O4864">
        <v>0</v>
      </c>
      <c r="P4864">
        <f t="shared" si="300"/>
        <v>4.4457617071724954E-3</v>
      </c>
      <c r="Q4864">
        <f t="shared" si="300"/>
        <v>6.3663333333333334</v>
      </c>
      <c r="R4864">
        <f t="shared" si="301"/>
        <v>0</v>
      </c>
      <c r="S4864">
        <f t="shared" si="302"/>
        <v>0</v>
      </c>
      <c r="T4864">
        <f t="shared" si="303"/>
        <v>0</v>
      </c>
      <c r="U4864" t="str">
        <f>YEAR('Campaign Data'!$A4864)&amp;"-"&amp;TEXT(MONTH('Campaign Data'!$A4864),"00")</f>
        <v>2026-09</v>
      </c>
    </row>
    <row r="4865" spans="1:21" x14ac:dyDescent="0.25">
      <c r="A4865">
        <v>46288</v>
      </c>
      <c r="B4865" t="s">
        <v>95</v>
      </c>
      <c r="C4865" t="s">
        <v>96</v>
      </c>
      <c r="D4865" t="s">
        <v>23</v>
      </c>
      <c r="E4865" t="s">
        <v>49</v>
      </c>
      <c r="F4865" t="s">
        <v>43</v>
      </c>
      <c r="G4865" t="s">
        <v>97</v>
      </c>
      <c r="H4865" t="s">
        <v>51</v>
      </c>
      <c r="I4865" t="s">
        <v>28</v>
      </c>
      <c r="J4865" t="s">
        <v>87</v>
      </c>
      <c r="K4865">
        <v>7475</v>
      </c>
      <c r="L4865">
        <v>275</v>
      </c>
      <c r="M4865">
        <v>670.34</v>
      </c>
      <c r="N4865">
        <v>20</v>
      </c>
      <c r="O4865">
        <v>493.29</v>
      </c>
      <c r="P4865">
        <f t="shared" si="300"/>
        <v>3.678929765886288E-2</v>
      </c>
      <c r="Q4865">
        <f t="shared" si="300"/>
        <v>2.4376000000000002</v>
      </c>
      <c r="R4865">
        <f t="shared" si="301"/>
        <v>33.517000000000003</v>
      </c>
      <c r="S4865">
        <f t="shared" si="302"/>
        <v>0.73588029954948231</v>
      </c>
      <c r="T4865">
        <f t="shared" si="303"/>
        <v>7.2727272727272724E-2</v>
      </c>
      <c r="U4865" t="str">
        <f>YEAR('Campaign Data'!$A4865)&amp;"-"&amp;TEXT(MONTH('Campaign Data'!$A4865),"00")</f>
        <v>2026-09</v>
      </c>
    </row>
    <row r="4866" spans="1:21" x14ac:dyDescent="0.25">
      <c r="A4866">
        <v>46288</v>
      </c>
      <c r="B4866" t="s">
        <v>30</v>
      </c>
      <c r="C4866" t="s">
        <v>31</v>
      </c>
      <c r="D4866" t="s">
        <v>32</v>
      </c>
      <c r="E4866" t="s">
        <v>33</v>
      </c>
      <c r="F4866" t="s">
        <v>34</v>
      </c>
      <c r="G4866" t="s">
        <v>35</v>
      </c>
      <c r="H4866" t="s">
        <v>51</v>
      </c>
      <c r="I4866" t="s">
        <v>28</v>
      </c>
      <c r="J4866" t="s">
        <v>87</v>
      </c>
      <c r="K4866">
        <v>7906</v>
      </c>
      <c r="L4866">
        <v>43</v>
      </c>
      <c r="M4866">
        <v>22.57</v>
      </c>
      <c r="N4866">
        <v>0</v>
      </c>
      <c r="O4866">
        <v>0</v>
      </c>
      <c r="P4866">
        <f t="shared" ref="P4866:Q4929" si="304">IF(K4866=0,0,L4866/K4866)</f>
        <v>5.4389071591196556E-3</v>
      </c>
      <c r="Q4866">
        <f t="shared" si="304"/>
        <v>0.52488372093023261</v>
      </c>
      <c r="R4866">
        <f t="shared" ref="R4866:R4929" si="305">IF(N4866=0,0,M4866/N4866)</f>
        <v>0</v>
      </c>
      <c r="S4866">
        <f t="shared" ref="S4866:S4929" si="306">IF(M4866=0,0,O4866/M4866)</f>
        <v>0</v>
      </c>
      <c r="T4866">
        <f t="shared" ref="T4866:T4929" si="307">IF(L4866=0,0,N4866/L4866)</f>
        <v>0</v>
      </c>
      <c r="U4866" t="str">
        <f>YEAR('Campaign Data'!$A4866)&amp;"-"&amp;TEXT(MONTH('Campaign Data'!$A4866),"00")</f>
        <v>2026-09</v>
      </c>
    </row>
    <row r="4867" spans="1:21" x14ac:dyDescent="0.25">
      <c r="A4867">
        <v>46288</v>
      </c>
      <c r="B4867" t="s">
        <v>169</v>
      </c>
      <c r="C4867" t="s">
        <v>170</v>
      </c>
      <c r="D4867" t="s">
        <v>58</v>
      </c>
      <c r="E4867" t="s">
        <v>74</v>
      </c>
      <c r="F4867" t="s">
        <v>75</v>
      </c>
      <c r="G4867" t="s">
        <v>9</v>
      </c>
      <c r="H4867" t="s">
        <v>51</v>
      </c>
      <c r="I4867" t="s">
        <v>37</v>
      </c>
      <c r="J4867" t="s">
        <v>38</v>
      </c>
      <c r="K4867">
        <v>4626</v>
      </c>
      <c r="L4867">
        <v>187</v>
      </c>
      <c r="M4867">
        <v>218.93</v>
      </c>
      <c r="N4867">
        <v>7</v>
      </c>
      <c r="O4867">
        <v>183.57</v>
      </c>
      <c r="P4867">
        <f t="shared" si="304"/>
        <v>4.0423692174664939E-2</v>
      </c>
      <c r="Q4867">
        <f t="shared" si="304"/>
        <v>1.1707486631016044</v>
      </c>
      <c r="R4867">
        <f t="shared" si="305"/>
        <v>31.275714285714287</v>
      </c>
      <c r="S4867">
        <f t="shared" si="306"/>
        <v>0.83848718768556152</v>
      </c>
      <c r="T4867">
        <f t="shared" si="307"/>
        <v>3.7433155080213901E-2</v>
      </c>
      <c r="U4867" t="str">
        <f>YEAR('Campaign Data'!$A4867)&amp;"-"&amp;TEXT(MONTH('Campaign Data'!$A4867),"00")</f>
        <v>2026-09</v>
      </c>
    </row>
    <row r="4868" spans="1:21" x14ac:dyDescent="0.25">
      <c r="A4868">
        <v>46288</v>
      </c>
      <c r="B4868" t="s">
        <v>103</v>
      </c>
      <c r="C4868" t="s">
        <v>104</v>
      </c>
      <c r="D4868" t="s">
        <v>65</v>
      </c>
      <c r="E4868" t="s">
        <v>33</v>
      </c>
      <c r="F4868" t="s">
        <v>43</v>
      </c>
      <c r="G4868" t="s">
        <v>102</v>
      </c>
      <c r="H4868" t="s">
        <v>36</v>
      </c>
      <c r="I4868" t="s">
        <v>37</v>
      </c>
      <c r="J4868" t="s">
        <v>38</v>
      </c>
      <c r="K4868">
        <v>3938</v>
      </c>
      <c r="L4868">
        <v>49</v>
      </c>
      <c r="M4868">
        <v>36.94</v>
      </c>
      <c r="N4868">
        <v>0</v>
      </c>
      <c r="O4868">
        <v>0</v>
      </c>
      <c r="P4868">
        <f t="shared" si="304"/>
        <v>1.244286439817166E-2</v>
      </c>
      <c r="Q4868">
        <f t="shared" si="304"/>
        <v>0.7538775510204081</v>
      </c>
      <c r="R4868">
        <f t="shared" si="305"/>
        <v>0</v>
      </c>
      <c r="S4868">
        <f t="shared" si="306"/>
        <v>0</v>
      </c>
      <c r="T4868">
        <f t="shared" si="307"/>
        <v>0</v>
      </c>
      <c r="U4868" t="str">
        <f>YEAR('Campaign Data'!$A4868)&amp;"-"&amp;TEXT(MONTH('Campaign Data'!$A4868),"00")</f>
        <v>2026-09</v>
      </c>
    </row>
    <row r="4869" spans="1:21" x14ac:dyDescent="0.25">
      <c r="A4869">
        <v>46288</v>
      </c>
      <c r="B4869" t="s">
        <v>103</v>
      </c>
      <c r="C4869" t="s">
        <v>104</v>
      </c>
      <c r="D4869" t="s">
        <v>65</v>
      </c>
      <c r="E4869" t="s">
        <v>33</v>
      </c>
      <c r="F4869" t="s">
        <v>43</v>
      </c>
      <c r="G4869" t="s">
        <v>102</v>
      </c>
      <c r="H4869" t="s">
        <v>90</v>
      </c>
      <c r="I4869" t="s">
        <v>37</v>
      </c>
      <c r="J4869" t="s">
        <v>62</v>
      </c>
      <c r="K4869">
        <v>4526</v>
      </c>
      <c r="L4869">
        <v>31</v>
      </c>
      <c r="M4869">
        <v>5.0199999999999996</v>
      </c>
      <c r="N4869">
        <v>0</v>
      </c>
      <c r="O4869">
        <v>0</v>
      </c>
      <c r="P4869">
        <f t="shared" si="304"/>
        <v>6.8493150684931503E-3</v>
      </c>
      <c r="Q4869">
        <f t="shared" si="304"/>
        <v>0.16193548387096773</v>
      </c>
      <c r="R4869">
        <f t="shared" si="305"/>
        <v>0</v>
      </c>
      <c r="S4869">
        <f t="shared" si="306"/>
        <v>0</v>
      </c>
      <c r="T4869">
        <f t="shared" si="307"/>
        <v>0</v>
      </c>
      <c r="U4869" t="str">
        <f>YEAR('Campaign Data'!$A4869)&amp;"-"&amp;TEXT(MONTH('Campaign Data'!$A4869),"00")</f>
        <v>2026-09</v>
      </c>
    </row>
    <row r="4870" spans="1:21" x14ac:dyDescent="0.25">
      <c r="A4870">
        <v>46288</v>
      </c>
      <c r="B4870" t="s">
        <v>105</v>
      </c>
      <c r="C4870" t="s">
        <v>106</v>
      </c>
      <c r="D4870" t="s">
        <v>58</v>
      </c>
      <c r="E4870" t="s">
        <v>49</v>
      </c>
      <c r="F4870" t="s">
        <v>81</v>
      </c>
      <c r="G4870" t="s">
        <v>107</v>
      </c>
      <c r="H4870" t="s">
        <v>90</v>
      </c>
      <c r="I4870" t="s">
        <v>37</v>
      </c>
      <c r="J4870" t="s">
        <v>62</v>
      </c>
      <c r="K4870">
        <v>14147</v>
      </c>
      <c r="L4870">
        <v>1091</v>
      </c>
      <c r="M4870">
        <v>513.38</v>
      </c>
      <c r="N4870">
        <v>103</v>
      </c>
      <c r="O4870">
        <v>515</v>
      </c>
      <c r="P4870">
        <f t="shared" si="304"/>
        <v>7.711882377889305E-2</v>
      </c>
      <c r="Q4870">
        <f t="shared" si="304"/>
        <v>0.47055912007332723</v>
      </c>
      <c r="R4870">
        <f t="shared" si="305"/>
        <v>4.9842718446601939</v>
      </c>
      <c r="S4870">
        <f t="shared" si="306"/>
        <v>1.0031555572869999</v>
      </c>
      <c r="T4870">
        <f t="shared" si="307"/>
        <v>9.4408799266727766E-2</v>
      </c>
      <c r="U4870" t="str">
        <f>YEAR('Campaign Data'!$A4870)&amp;"-"&amp;TEXT(MONTH('Campaign Data'!$A4870),"00")</f>
        <v>2026-09</v>
      </c>
    </row>
    <row r="4871" spans="1:21" x14ac:dyDescent="0.25">
      <c r="A4871">
        <v>46288</v>
      </c>
      <c r="B4871" t="s">
        <v>110</v>
      </c>
      <c r="C4871" t="s">
        <v>111</v>
      </c>
      <c r="D4871" t="s">
        <v>23</v>
      </c>
      <c r="E4871" t="s">
        <v>49</v>
      </c>
      <c r="F4871" t="s">
        <v>34</v>
      </c>
      <c r="G4871" t="s">
        <v>50</v>
      </c>
      <c r="H4871" t="s">
        <v>90</v>
      </c>
      <c r="I4871" t="s">
        <v>28</v>
      </c>
      <c r="J4871" t="s">
        <v>38</v>
      </c>
      <c r="K4871">
        <v>5884</v>
      </c>
      <c r="L4871">
        <v>185</v>
      </c>
      <c r="M4871">
        <v>81.03</v>
      </c>
      <c r="N4871">
        <v>11</v>
      </c>
      <c r="O4871">
        <v>393.75</v>
      </c>
      <c r="P4871">
        <f t="shared" si="304"/>
        <v>3.1441196464989801E-2</v>
      </c>
      <c r="Q4871">
        <f t="shared" si="304"/>
        <v>0.438</v>
      </c>
      <c r="R4871">
        <f t="shared" si="305"/>
        <v>7.3663636363636362</v>
      </c>
      <c r="S4871">
        <f t="shared" si="306"/>
        <v>4.8593113661606813</v>
      </c>
      <c r="T4871">
        <f t="shared" si="307"/>
        <v>5.9459459459459463E-2</v>
      </c>
      <c r="U4871" t="str">
        <f>YEAR('Campaign Data'!$A4871)&amp;"-"&amp;TEXT(MONTH('Campaign Data'!$A4871),"00")</f>
        <v>2026-09</v>
      </c>
    </row>
    <row r="4872" spans="1:21" x14ac:dyDescent="0.25">
      <c r="A4872">
        <v>46288</v>
      </c>
      <c r="B4872" t="s">
        <v>157</v>
      </c>
      <c r="C4872" t="s">
        <v>158</v>
      </c>
      <c r="D4872" t="s">
        <v>58</v>
      </c>
      <c r="E4872" t="s">
        <v>49</v>
      </c>
      <c r="F4872" t="s">
        <v>81</v>
      </c>
      <c r="G4872" t="s">
        <v>50</v>
      </c>
      <c r="H4872" t="s">
        <v>27</v>
      </c>
      <c r="I4872" t="s">
        <v>37</v>
      </c>
      <c r="J4872" t="s">
        <v>62</v>
      </c>
      <c r="K4872">
        <v>25958</v>
      </c>
      <c r="L4872">
        <v>1886</v>
      </c>
      <c r="M4872">
        <v>3707.05</v>
      </c>
      <c r="N4872">
        <v>119</v>
      </c>
      <c r="O4872">
        <v>3313.93</v>
      </c>
      <c r="P4872">
        <f t="shared" si="304"/>
        <v>7.2655828646274748E-2</v>
      </c>
      <c r="Q4872">
        <f t="shared" si="304"/>
        <v>1.9655620360551433</v>
      </c>
      <c r="R4872">
        <f t="shared" si="305"/>
        <v>31.15168067226891</v>
      </c>
      <c r="S4872">
        <f t="shared" si="306"/>
        <v>0.89395341309127196</v>
      </c>
      <c r="T4872">
        <f t="shared" si="307"/>
        <v>6.3096500530222699E-2</v>
      </c>
      <c r="U4872" t="str">
        <f>YEAR('Campaign Data'!$A4872)&amp;"-"&amp;TEXT(MONTH('Campaign Data'!$A4872),"00")</f>
        <v>2026-09</v>
      </c>
    </row>
    <row r="4873" spans="1:21" x14ac:dyDescent="0.25">
      <c r="A4873">
        <v>46288</v>
      </c>
      <c r="B4873" t="s">
        <v>161</v>
      </c>
      <c r="C4873" t="s">
        <v>162</v>
      </c>
      <c r="D4873" t="s">
        <v>48</v>
      </c>
      <c r="E4873" t="s">
        <v>74</v>
      </c>
      <c r="F4873" t="s">
        <v>34</v>
      </c>
      <c r="G4873" t="s">
        <v>107</v>
      </c>
      <c r="H4873" t="s">
        <v>90</v>
      </c>
      <c r="I4873" t="s">
        <v>28</v>
      </c>
      <c r="J4873" t="s">
        <v>29</v>
      </c>
      <c r="K4873">
        <v>5153</v>
      </c>
      <c r="L4873">
        <v>193</v>
      </c>
      <c r="M4873">
        <v>58.85</v>
      </c>
      <c r="N4873">
        <v>8</v>
      </c>
      <c r="O4873">
        <v>273.72000000000003</v>
      </c>
      <c r="P4873">
        <f t="shared" si="304"/>
        <v>3.745391034348923E-2</v>
      </c>
      <c r="Q4873">
        <f t="shared" si="304"/>
        <v>0.30492227979274611</v>
      </c>
      <c r="R4873">
        <f t="shared" si="305"/>
        <v>7.3562500000000002</v>
      </c>
      <c r="S4873">
        <f t="shared" si="306"/>
        <v>4.6511469838572648</v>
      </c>
      <c r="T4873">
        <f t="shared" si="307"/>
        <v>4.145077720207254E-2</v>
      </c>
      <c r="U4873" t="str">
        <f>YEAR('Campaign Data'!$A4873)&amp;"-"&amp;TEXT(MONTH('Campaign Data'!$A4873),"00")</f>
        <v>2026-09</v>
      </c>
    </row>
    <row r="4874" spans="1:21" x14ac:dyDescent="0.25">
      <c r="A4874">
        <v>46288</v>
      </c>
      <c r="B4874" t="s">
        <v>56</v>
      </c>
      <c r="C4874" t="s">
        <v>57</v>
      </c>
      <c r="D4874" t="s">
        <v>58</v>
      </c>
      <c r="E4874" t="s">
        <v>33</v>
      </c>
      <c r="F4874" t="s">
        <v>43</v>
      </c>
      <c r="G4874" t="s">
        <v>59</v>
      </c>
      <c r="H4874" t="s">
        <v>90</v>
      </c>
      <c r="I4874" t="s">
        <v>37</v>
      </c>
      <c r="J4874" t="s">
        <v>45</v>
      </c>
      <c r="K4874">
        <v>7042</v>
      </c>
      <c r="L4874">
        <v>40</v>
      </c>
      <c r="M4874">
        <v>6.81</v>
      </c>
      <c r="N4874">
        <v>0</v>
      </c>
      <c r="O4874">
        <v>0</v>
      </c>
      <c r="P4874">
        <f t="shared" si="304"/>
        <v>5.6802044873615447E-3</v>
      </c>
      <c r="Q4874">
        <f t="shared" si="304"/>
        <v>0.17024999999999998</v>
      </c>
      <c r="R4874">
        <f t="shared" si="305"/>
        <v>0</v>
      </c>
      <c r="S4874">
        <f t="shared" si="306"/>
        <v>0</v>
      </c>
      <c r="T4874">
        <f t="shared" si="307"/>
        <v>0</v>
      </c>
      <c r="U4874" t="str">
        <f>YEAR('Campaign Data'!$A4874)&amp;"-"&amp;TEXT(MONTH('Campaign Data'!$A4874),"00")</f>
        <v>2026-09</v>
      </c>
    </row>
    <row r="4875" spans="1:21" x14ac:dyDescent="0.25">
      <c r="A4875">
        <v>46288</v>
      </c>
      <c r="B4875" t="s">
        <v>141</v>
      </c>
      <c r="C4875" t="s">
        <v>142</v>
      </c>
      <c r="D4875" t="s">
        <v>80</v>
      </c>
      <c r="E4875" t="s">
        <v>49</v>
      </c>
      <c r="F4875" t="s">
        <v>81</v>
      </c>
      <c r="G4875" t="s">
        <v>97</v>
      </c>
      <c r="H4875" t="s">
        <v>71</v>
      </c>
      <c r="I4875" t="s">
        <v>28</v>
      </c>
      <c r="J4875" t="s">
        <v>29</v>
      </c>
      <c r="K4875">
        <v>5676</v>
      </c>
      <c r="L4875">
        <v>158</v>
      </c>
      <c r="M4875">
        <v>301.2</v>
      </c>
      <c r="N4875">
        <v>6</v>
      </c>
      <c r="O4875">
        <v>36.47</v>
      </c>
      <c r="P4875">
        <f t="shared" si="304"/>
        <v>2.7836504580690626E-2</v>
      </c>
      <c r="Q4875">
        <f t="shared" si="304"/>
        <v>1.9063291139240506</v>
      </c>
      <c r="R4875">
        <f t="shared" si="305"/>
        <v>50.199999999999996</v>
      </c>
      <c r="S4875">
        <f t="shared" si="306"/>
        <v>0.12108233731739708</v>
      </c>
      <c r="T4875">
        <f t="shared" si="307"/>
        <v>3.7974683544303799E-2</v>
      </c>
      <c r="U4875" t="str">
        <f>YEAR('Campaign Data'!$A4875)&amp;"-"&amp;TEXT(MONTH('Campaign Data'!$A4875),"00")</f>
        <v>2026-09</v>
      </c>
    </row>
    <row r="4876" spans="1:21" x14ac:dyDescent="0.25">
      <c r="A4876">
        <v>46288</v>
      </c>
      <c r="B4876" t="s">
        <v>136</v>
      </c>
      <c r="C4876" t="s">
        <v>137</v>
      </c>
      <c r="D4876" t="s">
        <v>32</v>
      </c>
      <c r="E4876" t="s">
        <v>49</v>
      </c>
      <c r="F4876" t="s">
        <v>75</v>
      </c>
      <c r="G4876" t="s">
        <v>97</v>
      </c>
      <c r="H4876" t="s">
        <v>51</v>
      </c>
      <c r="I4876" t="s">
        <v>37</v>
      </c>
      <c r="J4876" t="s">
        <v>45</v>
      </c>
      <c r="K4876">
        <v>18169</v>
      </c>
      <c r="L4876">
        <v>621</v>
      </c>
      <c r="M4876">
        <v>970.07</v>
      </c>
      <c r="N4876">
        <v>39</v>
      </c>
      <c r="O4876">
        <v>1334.88</v>
      </c>
      <c r="P4876">
        <f t="shared" si="304"/>
        <v>3.4179096262865319E-2</v>
      </c>
      <c r="Q4876">
        <f t="shared" si="304"/>
        <v>1.5621095008051531</v>
      </c>
      <c r="R4876">
        <f t="shared" si="305"/>
        <v>24.873589743589744</v>
      </c>
      <c r="S4876">
        <f t="shared" si="306"/>
        <v>1.3760656447472863</v>
      </c>
      <c r="T4876">
        <f t="shared" si="307"/>
        <v>6.280193236714976E-2</v>
      </c>
      <c r="U4876" t="str">
        <f>YEAR('Campaign Data'!$A4876)&amp;"-"&amp;TEXT(MONTH('Campaign Data'!$A4876),"00")</f>
        <v>2026-09</v>
      </c>
    </row>
    <row r="4877" spans="1:21" x14ac:dyDescent="0.25">
      <c r="A4877">
        <v>46288</v>
      </c>
      <c r="B4877" t="s">
        <v>143</v>
      </c>
      <c r="C4877" t="s">
        <v>144</v>
      </c>
      <c r="D4877" t="s">
        <v>48</v>
      </c>
      <c r="E4877" t="s">
        <v>42</v>
      </c>
      <c r="F4877" t="s">
        <v>25</v>
      </c>
      <c r="G4877" t="s">
        <v>84</v>
      </c>
      <c r="H4877" t="s">
        <v>27</v>
      </c>
      <c r="I4877" t="s">
        <v>28</v>
      </c>
      <c r="J4877" t="s">
        <v>29</v>
      </c>
      <c r="K4877">
        <v>7568</v>
      </c>
      <c r="L4877">
        <v>34</v>
      </c>
      <c r="M4877">
        <v>288.08999999999997</v>
      </c>
      <c r="N4877">
        <v>1</v>
      </c>
      <c r="O4877">
        <v>158.38999999999999</v>
      </c>
      <c r="P4877">
        <f t="shared" si="304"/>
        <v>4.4926004228329807E-3</v>
      </c>
      <c r="Q4877">
        <f t="shared" si="304"/>
        <v>8.4732352941176465</v>
      </c>
      <c r="R4877">
        <f t="shared" si="305"/>
        <v>288.08999999999997</v>
      </c>
      <c r="S4877">
        <f t="shared" si="306"/>
        <v>0.5497934673192405</v>
      </c>
      <c r="T4877">
        <f t="shared" si="307"/>
        <v>2.9411764705882353E-2</v>
      </c>
      <c r="U4877" t="str">
        <f>YEAR('Campaign Data'!$A4877)&amp;"-"&amp;TEXT(MONTH('Campaign Data'!$A4877),"00")</f>
        <v>2026-09</v>
      </c>
    </row>
    <row r="4878" spans="1:21" x14ac:dyDescent="0.25">
      <c r="A4878">
        <v>46288</v>
      </c>
      <c r="B4878" t="s">
        <v>63</v>
      </c>
      <c r="C4878" t="s">
        <v>64</v>
      </c>
      <c r="D4878" t="s">
        <v>65</v>
      </c>
      <c r="E4878" t="s">
        <v>24</v>
      </c>
      <c r="F4878" t="s">
        <v>43</v>
      </c>
      <c r="G4878" t="s">
        <v>66</v>
      </c>
      <c r="H4878" t="s">
        <v>27</v>
      </c>
      <c r="I4878" t="s">
        <v>28</v>
      </c>
      <c r="J4878" t="s">
        <v>62</v>
      </c>
      <c r="K4878">
        <v>5576</v>
      </c>
      <c r="L4878">
        <v>99</v>
      </c>
      <c r="M4878">
        <v>125.84</v>
      </c>
      <c r="N4878">
        <v>1</v>
      </c>
      <c r="O4878">
        <v>30.54</v>
      </c>
      <c r="P4878">
        <f t="shared" si="304"/>
        <v>1.7754662840746054E-2</v>
      </c>
      <c r="Q4878">
        <f t="shared" si="304"/>
        <v>1.2711111111111111</v>
      </c>
      <c r="R4878">
        <f t="shared" si="305"/>
        <v>125.84</v>
      </c>
      <c r="S4878">
        <f t="shared" si="306"/>
        <v>0.24268912905276541</v>
      </c>
      <c r="T4878">
        <f t="shared" si="307"/>
        <v>1.0101010101010102E-2</v>
      </c>
      <c r="U4878" t="str">
        <f>YEAR('Campaign Data'!$A4878)&amp;"-"&amp;TEXT(MONTH('Campaign Data'!$A4878),"00")</f>
        <v>2026-09</v>
      </c>
    </row>
    <row r="4879" spans="1:21" x14ac:dyDescent="0.25">
      <c r="A4879">
        <v>46289</v>
      </c>
      <c r="B4879" t="s">
        <v>85</v>
      </c>
      <c r="C4879" t="s">
        <v>86</v>
      </c>
      <c r="D4879" t="s">
        <v>80</v>
      </c>
      <c r="E4879" t="s">
        <v>33</v>
      </c>
      <c r="F4879" t="s">
        <v>43</v>
      </c>
      <c r="G4879" t="s">
        <v>35</v>
      </c>
      <c r="H4879" t="s">
        <v>27</v>
      </c>
      <c r="I4879" t="s">
        <v>37</v>
      </c>
      <c r="J4879" t="s">
        <v>87</v>
      </c>
      <c r="K4879">
        <v>4386</v>
      </c>
      <c r="L4879">
        <v>21</v>
      </c>
      <c r="M4879">
        <v>15.16</v>
      </c>
      <c r="N4879">
        <v>0</v>
      </c>
      <c r="O4879">
        <v>0</v>
      </c>
      <c r="P4879">
        <f t="shared" si="304"/>
        <v>4.7879616963064295E-3</v>
      </c>
      <c r="Q4879">
        <f t="shared" si="304"/>
        <v>0.72190476190476194</v>
      </c>
      <c r="R4879">
        <f t="shared" si="305"/>
        <v>0</v>
      </c>
      <c r="S4879">
        <f t="shared" si="306"/>
        <v>0</v>
      </c>
      <c r="T4879">
        <f t="shared" si="307"/>
        <v>0</v>
      </c>
      <c r="U4879" t="str">
        <f>YEAR('Campaign Data'!$A4879)&amp;"-"&amp;TEXT(MONTH('Campaign Data'!$A4879),"00")</f>
        <v>2026-09</v>
      </c>
    </row>
    <row r="4880" spans="1:21" x14ac:dyDescent="0.25">
      <c r="A4880">
        <v>46289</v>
      </c>
      <c r="B4880" t="s">
        <v>149</v>
      </c>
      <c r="C4880" t="s">
        <v>150</v>
      </c>
      <c r="D4880" t="s">
        <v>65</v>
      </c>
      <c r="E4880" t="s">
        <v>33</v>
      </c>
      <c r="F4880" t="s">
        <v>43</v>
      </c>
      <c r="G4880" t="s">
        <v>59</v>
      </c>
      <c r="H4880" t="s">
        <v>90</v>
      </c>
      <c r="I4880" t="s">
        <v>28</v>
      </c>
      <c r="J4880" t="s">
        <v>45</v>
      </c>
      <c r="K4880">
        <v>7926</v>
      </c>
      <c r="L4880">
        <v>54</v>
      </c>
      <c r="M4880">
        <v>7.94</v>
      </c>
      <c r="N4880">
        <v>0</v>
      </c>
      <c r="O4880">
        <v>0</v>
      </c>
      <c r="P4880">
        <f t="shared" si="304"/>
        <v>6.8130204390613172E-3</v>
      </c>
      <c r="Q4880">
        <f t="shared" si="304"/>
        <v>0.14703703703703705</v>
      </c>
      <c r="R4880">
        <f t="shared" si="305"/>
        <v>0</v>
      </c>
      <c r="S4880">
        <f t="shared" si="306"/>
        <v>0</v>
      </c>
      <c r="T4880">
        <f t="shared" si="307"/>
        <v>0</v>
      </c>
      <c r="U4880" t="str">
        <f>YEAR('Campaign Data'!$A4880)&amp;"-"&amp;TEXT(MONTH('Campaign Data'!$A4880),"00")</f>
        <v>2026-09</v>
      </c>
    </row>
    <row r="4881" spans="1:21" x14ac:dyDescent="0.25">
      <c r="A4881">
        <v>46289</v>
      </c>
      <c r="B4881" t="s">
        <v>149</v>
      </c>
      <c r="C4881" t="s">
        <v>150</v>
      </c>
      <c r="D4881" t="s">
        <v>65</v>
      </c>
      <c r="E4881" t="s">
        <v>33</v>
      </c>
      <c r="F4881" t="s">
        <v>43</v>
      </c>
      <c r="G4881" t="s">
        <v>59</v>
      </c>
      <c r="H4881" t="s">
        <v>36</v>
      </c>
      <c r="I4881" t="s">
        <v>37</v>
      </c>
      <c r="J4881" t="s">
        <v>87</v>
      </c>
      <c r="K4881">
        <v>2432</v>
      </c>
      <c r="L4881">
        <v>17</v>
      </c>
      <c r="M4881">
        <v>12.49</v>
      </c>
      <c r="N4881">
        <v>1</v>
      </c>
      <c r="O4881">
        <v>19.39</v>
      </c>
      <c r="P4881">
        <f t="shared" si="304"/>
        <v>6.9901315789473685E-3</v>
      </c>
      <c r="Q4881">
        <f t="shared" si="304"/>
        <v>0.73470588235294121</v>
      </c>
      <c r="R4881">
        <f t="shared" si="305"/>
        <v>12.49</v>
      </c>
      <c r="S4881">
        <f t="shared" si="306"/>
        <v>1.5524419535628502</v>
      </c>
      <c r="T4881">
        <f t="shared" si="307"/>
        <v>5.8823529411764705E-2</v>
      </c>
      <c r="U4881" t="str">
        <f>YEAR('Campaign Data'!$A4881)&amp;"-"&amp;TEXT(MONTH('Campaign Data'!$A4881),"00")</f>
        <v>2026-09</v>
      </c>
    </row>
    <row r="4882" spans="1:21" x14ac:dyDescent="0.25">
      <c r="A4882">
        <v>46289</v>
      </c>
      <c r="B4882" t="s">
        <v>46</v>
      </c>
      <c r="C4882" t="s">
        <v>47</v>
      </c>
      <c r="D4882" t="s">
        <v>48</v>
      </c>
      <c r="E4882" t="s">
        <v>49</v>
      </c>
      <c r="F4882" t="s">
        <v>43</v>
      </c>
      <c r="G4882" t="s">
        <v>50</v>
      </c>
      <c r="H4882" t="s">
        <v>27</v>
      </c>
      <c r="I4882" t="s">
        <v>28</v>
      </c>
      <c r="J4882" t="s">
        <v>45</v>
      </c>
      <c r="K4882">
        <v>3593</v>
      </c>
      <c r="L4882">
        <v>111</v>
      </c>
      <c r="M4882">
        <v>260.35000000000002</v>
      </c>
      <c r="N4882">
        <v>7</v>
      </c>
      <c r="O4882">
        <v>109.44</v>
      </c>
      <c r="P4882">
        <f t="shared" si="304"/>
        <v>3.089340384080156E-2</v>
      </c>
      <c r="Q4882">
        <f t="shared" si="304"/>
        <v>2.3454954954954959</v>
      </c>
      <c r="R4882">
        <f t="shared" si="305"/>
        <v>37.192857142857143</v>
      </c>
      <c r="S4882">
        <f t="shared" si="306"/>
        <v>0.42035721144613014</v>
      </c>
      <c r="T4882">
        <f t="shared" si="307"/>
        <v>6.3063063063063057E-2</v>
      </c>
      <c r="U4882" t="str">
        <f>YEAR('Campaign Data'!$A4882)&amp;"-"&amp;TEXT(MONTH('Campaign Data'!$A4882),"00")</f>
        <v>2026-09</v>
      </c>
    </row>
    <row r="4883" spans="1:21" x14ac:dyDescent="0.25">
      <c r="A4883">
        <v>46289</v>
      </c>
      <c r="B4883" t="s">
        <v>130</v>
      </c>
      <c r="C4883" t="s">
        <v>131</v>
      </c>
      <c r="D4883" t="s">
        <v>48</v>
      </c>
      <c r="E4883" t="s">
        <v>33</v>
      </c>
      <c r="F4883" t="s">
        <v>34</v>
      </c>
      <c r="G4883" t="s">
        <v>35</v>
      </c>
      <c r="H4883" t="s">
        <v>90</v>
      </c>
      <c r="I4883" t="s">
        <v>37</v>
      </c>
      <c r="J4883" t="s">
        <v>87</v>
      </c>
      <c r="K4883">
        <v>5545</v>
      </c>
      <c r="L4883">
        <v>49</v>
      </c>
      <c r="M4883">
        <v>6.82</v>
      </c>
      <c r="N4883">
        <v>3</v>
      </c>
      <c r="O4883">
        <v>114.46</v>
      </c>
      <c r="P4883">
        <f t="shared" si="304"/>
        <v>8.8367899008115411E-3</v>
      </c>
      <c r="Q4883">
        <f t="shared" si="304"/>
        <v>0.13918367346938776</v>
      </c>
      <c r="R4883">
        <f t="shared" si="305"/>
        <v>2.2733333333333334</v>
      </c>
      <c r="S4883">
        <f t="shared" si="306"/>
        <v>16.782991202346039</v>
      </c>
      <c r="T4883">
        <f t="shared" si="307"/>
        <v>6.1224489795918366E-2</v>
      </c>
      <c r="U4883" t="str">
        <f>YEAR('Campaign Data'!$A4883)&amp;"-"&amp;TEXT(MONTH('Campaign Data'!$A4883),"00")</f>
        <v>2026-09</v>
      </c>
    </row>
    <row r="4884" spans="1:21" x14ac:dyDescent="0.25">
      <c r="A4884">
        <v>46289</v>
      </c>
      <c r="B4884" t="s">
        <v>161</v>
      </c>
      <c r="C4884" t="s">
        <v>162</v>
      </c>
      <c r="D4884" t="s">
        <v>48</v>
      </c>
      <c r="E4884" t="s">
        <v>74</v>
      </c>
      <c r="F4884" t="s">
        <v>34</v>
      </c>
      <c r="G4884" t="s">
        <v>107</v>
      </c>
      <c r="H4884" t="s">
        <v>27</v>
      </c>
      <c r="I4884" t="s">
        <v>37</v>
      </c>
      <c r="J4884" t="s">
        <v>87</v>
      </c>
      <c r="K4884">
        <v>18884</v>
      </c>
      <c r="L4884">
        <v>699</v>
      </c>
      <c r="M4884">
        <v>1164.6099999999999</v>
      </c>
      <c r="N4884">
        <v>23</v>
      </c>
      <c r="O4884">
        <v>3054.21</v>
      </c>
      <c r="P4884">
        <f t="shared" si="304"/>
        <v>3.7015462825672529E-2</v>
      </c>
      <c r="Q4884">
        <f t="shared" si="304"/>
        <v>1.6661087267525034</v>
      </c>
      <c r="R4884">
        <f t="shared" si="305"/>
        <v>50.635217391304344</v>
      </c>
      <c r="S4884">
        <f t="shared" si="306"/>
        <v>2.6225174092614698</v>
      </c>
      <c r="T4884">
        <f t="shared" si="307"/>
        <v>3.2904148783977114E-2</v>
      </c>
      <c r="U4884" t="str">
        <f>YEAR('Campaign Data'!$A4884)&amp;"-"&amp;TEXT(MONTH('Campaign Data'!$A4884),"00")</f>
        <v>2026-09</v>
      </c>
    </row>
    <row r="4885" spans="1:21" x14ac:dyDescent="0.25">
      <c r="A4885">
        <v>46289</v>
      </c>
      <c r="B4885" t="s">
        <v>141</v>
      </c>
      <c r="C4885" t="s">
        <v>142</v>
      </c>
      <c r="D4885" t="s">
        <v>80</v>
      </c>
      <c r="E4885" t="s">
        <v>49</v>
      </c>
      <c r="F4885" t="s">
        <v>81</v>
      </c>
      <c r="G4885" t="s">
        <v>97</v>
      </c>
      <c r="H4885" t="s">
        <v>36</v>
      </c>
      <c r="I4885" t="s">
        <v>37</v>
      </c>
      <c r="J4885" t="s">
        <v>45</v>
      </c>
      <c r="K4885">
        <v>4176</v>
      </c>
      <c r="L4885">
        <v>171</v>
      </c>
      <c r="M4885">
        <v>372.36</v>
      </c>
      <c r="N4885">
        <v>3</v>
      </c>
      <c r="O4885">
        <v>80.290000000000006</v>
      </c>
      <c r="P4885">
        <f t="shared" si="304"/>
        <v>4.0948275862068964E-2</v>
      </c>
      <c r="Q4885">
        <f t="shared" si="304"/>
        <v>2.177543859649123</v>
      </c>
      <c r="R4885">
        <f t="shared" si="305"/>
        <v>124.12</v>
      </c>
      <c r="S4885">
        <f t="shared" si="306"/>
        <v>0.21562466430336236</v>
      </c>
      <c r="T4885">
        <f t="shared" si="307"/>
        <v>1.7543859649122806E-2</v>
      </c>
      <c r="U4885" t="str">
        <f>YEAR('Campaign Data'!$A4885)&amp;"-"&amp;TEXT(MONTH('Campaign Data'!$A4885),"00")</f>
        <v>2026-09</v>
      </c>
    </row>
    <row r="4886" spans="1:21" x14ac:dyDescent="0.25">
      <c r="A4886">
        <v>46289</v>
      </c>
      <c r="B4886" t="s">
        <v>143</v>
      </c>
      <c r="C4886" t="s">
        <v>144</v>
      </c>
      <c r="D4886" t="s">
        <v>48</v>
      </c>
      <c r="E4886" t="s">
        <v>42</v>
      </c>
      <c r="F4886" t="s">
        <v>25</v>
      </c>
      <c r="G4886" t="s">
        <v>84</v>
      </c>
      <c r="H4886" t="s">
        <v>71</v>
      </c>
      <c r="I4886" t="s">
        <v>37</v>
      </c>
      <c r="J4886" t="s">
        <v>87</v>
      </c>
      <c r="K4886">
        <v>7066</v>
      </c>
      <c r="L4886">
        <v>62</v>
      </c>
      <c r="M4886">
        <v>293.56</v>
      </c>
      <c r="N4886">
        <v>2</v>
      </c>
      <c r="O4886">
        <v>285.85000000000002</v>
      </c>
      <c r="P4886">
        <f t="shared" si="304"/>
        <v>8.7744126804415509E-3</v>
      </c>
      <c r="Q4886">
        <f t="shared" si="304"/>
        <v>4.7348387096774198</v>
      </c>
      <c r="R4886">
        <f t="shared" si="305"/>
        <v>146.78</v>
      </c>
      <c r="S4886">
        <f t="shared" si="306"/>
        <v>0.97373620384248538</v>
      </c>
      <c r="T4886">
        <f t="shared" si="307"/>
        <v>3.2258064516129031E-2</v>
      </c>
      <c r="U4886" t="str">
        <f>YEAR('Campaign Data'!$A4886)&amp;"-"&amp;TEXT(MONTH('Campaign Data'!$A4886),"00")</f>
        <v>2026-09</v>
      </c>
    </row>
    <row r="4887" spans="1:21" x14ac:dyDescent="0.25">
      <c r="A4887">
        <v>46289</v>
      </c>
      <c r="B4887" t="s">
        <v>78</v>
      </c>
      <c r="C4887" t="s">
        <v>79</v>
      </c>
      <c r="D4887" t="s">
        <v>80</v>
      </c>
      <c r="E4887" t="s">
        <v>24</v>
      </c>
      <c r="F4887" t="s">
        <v>81</v>
      </c>
      <c r="G4887" t="s">
        <v>66</v>
      </c>
      <c r="H4887" t="s">
        <v>60</v>
      </c>
      <c r="I4887" t="s">
        <v>37</v>
      </c>
      <c r="J4887" t="s">
        <v>45</v>
      </c>
      <c r="K4887">
        <v>6543</v>
      </c>
      <c r="L4887">
        <v>70</v>
      </c>
      <c r="M4887">
        <v>64.069999999999993</v>
      </c>
      <c r="N4887">
        <v>1</v>
      </c>
      <c r="O4887">
        <v>15.81</v>
      </c>
      <c r="P4887">
        <f t="shared" si="304"/>
        <v>1.0698456365581538E-2</v>
      </c>
      <c r="Q4887">
        <f t="shared" si="304"/>
        <v>0.91528571428571415</v>
      </c>
      <c r="R4887">
        <f t="shared" si="305"/>
        <v>64.069999999999993</v>
      </c>
      <c r="S4887">
        <f t="shared" si="306"/>
        <v>0.24676135476822228</v>
      </c>
      <c r="T4887">
        <f t="shared" si="307"/>
        <v>1.4285714285714285E-2</v>
      </c>
      <c r="U4887" t="str">
        <f>YEAR('Campaign Data'!$A4887)&amp;"-"&amp;TEXT(MONTH('Campaign Data'!$A4887),"00")</f>
        <v>2026-09</v>
      </c>
    </row>
    <row r="4888" spans="1:21" x14ac:dyDescent="0.25">
      <c r="A4888">
        <v>46290</v>
      </c>
      <c r="B4888" t="s">
        <v>165</v>
      </c>
      <c r="C4888" t="s">
        <v>166</v>
      </c>
      <c r="D4888" t="s">
        <v>41</v>
      </c>
      <c r="E4888" t="s">
        <v>33</v>
      </c>
      <c r="F4888" t="s">
        <v>43</v>
      </c>
      <c r="G4888" t="s">
        <v>59</v>
      </c>
      <c r="H4888" t="s">
        <v>90</v>
      </c>
      <c r="I4888" t="s">
        <v>37</v>
      </c>
      <c r="J4888" t="s">
        <v>62</v>
      </c>
      <c r="K4888">
        <v>4012</v>
      </c>
      <c r="L4888">
        <v>23</v>
      </c>
      <c r="M4888">
        <v>4.1100000000000003</v>
      </c>
      <c r="N4888">
        <v>0</v>
      </c>
      <c r="O4888">
        <v>0</v>
      </c>
      <c r="P4888">
        <f t="shared" si="304"/>
        <v>5.732801595214357E-3</v>
      </c>
      <c r="Q4888">
        <f t="shared" si="304"/>
        <v>0.17869565217391306</v>
      </c>
      <c r="R4888">
        <f t="shared" si="305"/>
        <v>0</v>
      </c>
      <c r="S4888">
        <f t="shared" si="306"/>
        <v>0</v>
      </c>
      <c r="T4888">
        <f t="shared" si="307"/>
        <v>0</v>
      </c>
      <c r="U4888" t="str">
        <f>YEAR('Campaign Data'!$A4888)&amp;"-"&amp;TEXT(MONTH('Campaign Data'!$A4888),"00")</f>
        <v>2026-09</v>
      </c>
    </row>
    <row r="4889" spans="1:21" x14ac:dyDescent="0.25">
      <c r="A4889">
        <v>46290</v>
      </c>
      <c r="B4889" t="s">
        <v>173</v>
      </c>
      <c r="C4889" t="s">
        <v>174</v>
      </c>
      <c r="D4889" t="s">
        <v>48</v>
      </c>
      <c r="E4889" t="s">
        <v>74</v>
      </c>
      <c r="F4889" t="s">
        <v>25</v>
      </c>
      <c r="G4889" t="s">
        <v>9</v>
      </c>
      <c r="H4889" t="s">
        <v>27</v>
      </c>
      <c r="I4889" t="s">
        <v>37</v>
      </c>
      <c r="J4889" t="s">
        <v>38</v>
      </c>
      <c r="K4889">
        <v>4438</v>
      </c>
      <c r="L4889">
        <v>165</v>
      </c>
      <c r="M4889">
        <v>261.54000000000002</v>
      </c>
      <c r="N4889">
        <v>5</v>
      </c>
      <c r="O4889">
        <v>1311.4</v>
      </c>
      <c r="P4889">
        <f t="shared" si="304"/>
        <v>3.717890941865705E-2</v>
      </c>
      <c r="Q4889">
        <f t="shared" si="304"/>
        <v>1.5850909090909091</v>
      </c>
      <c r="R4889">
        <f t="shared" si="305"/>
        <v>52.308000000000007</v>
      </c>
      <c r="S4889">
        <f t="shared" si="306"/>
        <v>5.0141469756060255</v>
      </c>
      <c r="T4889">
        <f t="shared" si="307"/>
        <v>3.0303030303030304E-2</v>
      </c>
      <c r="U4889" t="str">
        <f>YEAR('Campaign Data'!$A4889)&amp;"-"&amp;TEXT(MONTH('Campaign Data'!$A4889),"00")</f>
        <v>2026-09</v>
      </c>
    </row>
    <row r="4890" spans="1:21" x14ac:dyDescent="0.25">
      <c r="A4890">
        <v>46290</v>
      </c>
      <c r="B4890" t="s">
        <v>85</v>
      </c>
      <c r="C4890" t="s">
        <v>86</v>
      </c>
      <c r="D4890" t="s">
        <v>80</v>
      </c>
      <c r="E4890" t="s">
        <v>33</v>
      </c>
      <c r="F4890" t="s">
        <v>43</v>
      </c>
      <c r="G4890" t="s">
        <v>35</v>
      </c>
      <c r="H4890" t="s">
        <v>27</v>
      </c>
      <c r="I4890" t="s">
        <v>28</v>
      </c>
      <c r="J4890" t="s">
        <v>87</v>
      </c>
      <c r="K4890">
        <v>3958</v>
      </c>
      <c r="L4890">
        <v>26</v>
      </c>
      <c r="M4890">
        <v>25.58</v>
      </c>
      <c r="N4890">
        <v>1</v>
      </c>
      <c r="O4890">
        <v>30.44</v>
      </c>
      <c r="P4890">
        <f t="shared" si="304"/>
        <v>6.5689742294087923E-3</v>
      </c>
      <c r="Q4890">
        <f t="shared" si="304"/>
        <v>0.98384615384615381</v>
      </c>
      <c r="R4890">
        <f t="shared" si="305"/>
        <v>25.58</v>
      </c>
      <c r="S4890">
        <f t="shared" si="306"/>
        <v>1.1899921813917125</v>
      </c>
      <c r="T4890">
        <f t="shared" si="307"/>
        <v>3.8461538461538464E-2</v>
      </c>
      <c r="U4890" t="str">
        <f>YEAR('Campaign Data'!$A4890)&amp;"-"&amp;TEXT(MONTH('Campaign Data'!$A4890),"00")</f>
        <v>2026-09</v>
      </c>
    </row>
    <row r="4891" spans="1:21" x14ac:dyDescent="0.25">
      <c r="A4891">
        <v>46290</v>
      </c>
      <c r="B4891" t="s">
        <v>88</v>
      </c>
      <c r="C4891" t="s">
        <v>89</v>
      </c>
      <c r="D4891" t="s">
        <v>23</v>
      </c>
      <c r="E4891" t="s">
        <v>49</v>
      </c>
      <c r="F4891" t="s">
        <v>81</v>
      </c>
      <c r="G4891" t="s">
        <v>50</v>
      </c>
      <c r="H4891" t="s">
        <v>27</v>
      </c>
      <c r="I4891" t="s">
        <v>28</v>
      </c>
      <c r="J4891" t="s">
        <v>29</v>
      </c>
      <c r="K4891">
        <v>14295</v>
      </c>
      <c r="L4891">
        <v>395</v>
      </c>
      <c r="M4891">
        <v>1130.32</v>
      </c>
      <c r="N4891">
        <v>16</v>
      </c>
      <c r="O4891">
        <v>195.17</v>
      </c>
      <c r="P4891">
        <f t="shared" si="304"/>
        <v>2.7632039174536552E-2</v>
      </c>
      <c r="Q4891">
        <f t="shared" si="304"/>
        <v>2.8615696202531642</v>
      </c>
      <c r="R4891">
        <f t="shared" si="305"/>
        <v>70.644999999999996</v>
      </c>
      <c r="S4891">
        <f t="shared" si="306"/>
        <v>0.17266791705003892</v>
      </c>
      <c r="T4891">
        <f t="shared" si="307"/>
        <v>4.0506329113924051E-2</v>
      </c>
      <c r="U4891" t="str">
        <f>YEAR('Campaign Data'!$A4891)&amp;"-"&amp;TEXT(MONTH('Campaign Data'!$A4891),"00")</f>
        <v>2026-09</v>
      </c>
    </row>
    <row r="4892" spans="1:21" x14ac:dyDescent="0.25">
      <c r="A4892">
        <v>46290</v>
      </c>
      <c r="B4892" t="s">
        <v>167</v>
      </c>
      <c r="C4892" t="s">
        <v>168</v>
      </c>
      <c r="D4892" t="s">
        <v>58</v>
      </c>
      <c r="E4892" t="s">
        <v>33</v>
      </c>
      <c r="F4892" t="s">
        <v>75</v>
      </c>
      <c r="G4892" t="s">
        <v>35</v>
      </c>
      <c r="H4892" t="s">
        <v>27</v>
      </c>
      <c r="I4892" t="s">
        <v>37</v>
      </c>
      <c r="J4892" t="s">
        <v>38</v>
      </c>
      <c r="K4892">
        <v>6249</v>
      </c>
      <c r="L4892">
        <v>68</v>
      </c>
      <c r="M4892">
        <v>64.75</v>
      </c>
      <c r="N4892">
        <v>0</v>
      </c>
      <c r="O4892">
        <v>0</v>
      </c>
      <c r="P4892">
        <f t="shared" si="304"/>
        <v>1.0881741078572572E-2</v>
      </c>
      <c r="Q4892">
        <f t="shared" si="304"/>
        <v>0.95220588235294112</v>
      </c>
      <c r="R4892">
        <f t="shared" si="305"/>
        <v>0</v>
      </c>
      <c r="S4892">
        <f t="shared" si="306"/>
        <v>0</v>
      </c>
      <c r="T4892">
        <f t="shared" si="307"/>
        <v>0</v>
      </c>
      <c r="U4892" t="str">
        <f>YEAR('Campaign Data'!$A4892)&amp;"-"&amp;TEXT(MONTH('Campaign Data'!$A4892),"00")</f>
        <v>2026-09</v>
      </c>
    </row>
    <row r="4893" spans="1:21" x14ac:dyDescent="0.25">
      <c r="A4893">
        <v>46290</v>
      </c>
      <c r="B4893" t="s">
        <v>138</v>
      </c>
      <c r="C4893" t="s">
        <v>139</v>
      </c>
      <c r="D4893" t="s">
        <v>58</v>
      </c>
      <c r="E4893" t="s">
        <v>74</v>
      </c>
      <c r="F4893" t="s">
        <v>34</v>
      </c>
      <c r="G4893" t="s">
        <v>9</v>
      </c>
      <c r="H4893" t="s">
        <v>90</v>
      </c>
      <c r="I4893" t="s">
        <v>37</v>
      </c>
      <c r="J4893" t="s">
        <v>45</v>
      </c>
      <c r="K4893">
        <v>5746</v>
      </c>
      <c r="L4893">
        <v>254</v>
      </c>
      <c r="M4893">
        <v>73.12</v>
      </c>
      <c r="N4893">
        <v>15</v>
      </c>
      <c r="O4893">
        <v>771.52</v>
      </c>
      <c r="P4893">
        <f t="shared" si="304"/>
        <v>4.4204664114166375E-2</v>
      </c>
      <c r="Q4893">
        <f t="shared" si="304"/>
        <v>0.28787401574803151</v>
      </c>
      <c r="R4893">
        <f t="shared" si="305"/>
        <v>4.8746666666666671</v>
      </c>
      <c r="S4893">
        <f t="shared" si="306"/>
        <v>10.551422319474835</v>
      </c>
      <c r="T4893">
        <f t="shared" si="307"/>
        <v>5.905511811023622E-2</v>
      </c>
      <c r="U4893" t="str">
        <f>YEAR('Campaign Data'!$A4893)&amp;"-"&amp;TEXT(MONTH('Campaign Data'!$A4893),"00")</f>
        <v>2026-09</v>
      </c>
    </row>
    <row r="4894" spans="1:21" x14ac:dyDescent="0.25">
      <c r="A4894">
        <v>46290</v>
      </c>
      <c r="B4894" t="s">
        <v>91</v>
      </c>
      <c r="C4894" t="s">
        <v>92</v>
      </c>
      <c r="D4894" t="s">
        <v>41</v>
      </c>
      <c r="E4894" t="s">
        <v>74</v>
      </c>
      <c r="F4894" t="s">
        <v>75</v>
      </c>
      <c r="G4894" t="s">
        <v>9</v>
      </c>
      <c r="H4894" t="s">
        <v>90</v>
      </c>
      <c r="I4894" t="s">
        <v>37</v>
      </c>
      <c r="J4894" t="s">
        <v>29</v>
      </c>
      <c r="K4894">
        <v>7362</v>
      </c>
      <c r="L4894">
        <v>332</v>
      </c>
      <c r="M4894">
        <v>142.63</v>
      </c>
      <c r="N4894">
        <v>23</v>
      </c>
      <c r="O4894">
        <v>154.94999999999999</v>
      </c>
      <c r="P4894">
        <f t="shared" si="304"/>
        <v>4.5096441184460746E-2</v>
      </c>
      <c r="Q4894">
        <f t="shared" si="304"/>
        <v>0.42960843373493973</v>
      </c>
      <c r="R4894">
        <f t="shared" si="305"/>
        <v>6.2013043478260865</v>
      </c>
      <c r="S4894">
        <f t="shared" si="306"/>
        <v>1.0863773399705532</v>
      </c>
      <c r="T4894">
        <f t="shared" si="307"/>
        <v>6.9277108433734941E-2</v>
      </c>
      <c r="U4894" t="str">
        <f>YEAR('Campaign Data'!$A4894)&amp;"-"&amp;TEXT(MONTH('Campaign Data'!$A4894),"00")</f>
        <v>2026-09</v>
      </c>
    </row>
    <row r="4895" spans="1:21" x14ac:dyDescent="0.25">
      <c r="A4895">
        <v>46290</v>
      </c>
      <c r="B4895" t="s">
        <v>93</v>
      </c>
      <c r="C4895" t="s">
        <v>94</v>
      </c>
      <c r="D4895" t="s">
        <v>69</v>
      </c>
      <c r="E4895" t="s">
        <v>42</v>
      </c>
      <c r="F4895" t="s">
        <v>75</v>
      </c>
      <c r="G4895" t="s">
        <v>44</v>
      </c>
      <c r="H4895" t="s">
        <v>71</v>
      </c>
      <c r="I4895" t="s">
        <v>37</v>
      </c>
      <c r="J4895" t="s">
        <v>45</v>
      </c>
      <c r="K4895">
        <v>2462</v>
      </c>
      <c r="L4895">
        <v>20</v>
      </c>
      <c r="M4895">
        <v>108.95</v>
      </c>
      <c r="N4895">
        <v>0</v>
      </c>
      <c r="O4895">
        <v>0</v>
      </c>
      <c r="P4895">
        <f t="shared" si="304"/>
        <v>8.1234768480909821E-3</v>
      </c>
      <c r="Q4895">
        <f t="shared" si="304"/>
        <v>5.4474999999999998</v>
      </c>
      <c r="R4895">
        <f t="shared" si="305"/>
        <v>0</v>
      </c>
      <c r="S4895">
        <f t="shared" si="306"/>
        <v>0</v>
      </c>
      <c r="T4895">
        <f t="shared" si="307"/>
        <v>0</v>
      </c>
      <c r="U4895" t="str">
        <f>YEAR('Campaign Data'!$A4895)&amp;"-"&amp;TEXT(MONTH('Campaign Data'!$A4895),"00")</f>
        <v>2026-09</v>
      </c>
    </row>
    <row r="4896" spans="1:21" x14ac:dyDescent="0.25">
      <c r="A4896">
        <v>46290</v>
      </c>
      <c r="B4896" t="s">
        <v>39</v>
      </c>
      <c r="C4896" t="s">
        <v>40</v>
      </c>
      <c r="D4896" t="s">
        <v>41</v>
      </c>
      <c r="E4896" t="s">
        <v>42</v>
      </c>
      <c r="F4896" t="s">
        <v>43</v>
      </c>
      <c r="G4896" t="s">
        <v>44</v>
      </c>
      <c r="H4896" t="s">
        <v>90</v>
      </c>
      <c r="I4896" t="s">
        <v>37</v>
      </c>
      <c r="J4896" t="s">
        <v>87</v>
      </c>
      <c r="K4896">
        <v>5933</v>
      </c>
      <c r="L4896">
        <v>38</v>
      </c>
      <c r="M4896">
        <v>73.16</v>
      </c>
      <c r="N4896">
        <v>1</v>
      </c>
      <c r="O4896">
        <v>7.79</v>
      </c>
      <c r="P4896">
        <f t="shared" si="304"/>
        <v>6.4048542052924321E-3</v>
      </c>
      <c r="Q4896">
        <f t="shared" si="304"/>
        <v>1.9252631578947368</v>
      </c>
      <c r="R4896">
        <f t="shared" si="305"/>
        <v>73.16</v>
      </c>
      <c r="S4896">
        <f t="shared" si="306"/>
        <v>0.1064789502460361</v>
      </c>
      <c r="T4896">
        <f t="shared" si="307"/>
        <v>2.6315789473684209E-2</v>
      </c>
      <c r="U4896" t="str">
        <f>YEAR('Campaign Data'!$A4896)&amp;"-"&amp;TEXT(MONTH('Campaign Data'!$A4896),"00")</f>
        <v>2026-09</v>
      </c>
    </row>
    <row r="4897" spans="1:21" x14ac:dyDescent="0.25">
      <c r="A4897">
        <v>46290</v>
      </c>
      <c r="B4897" t="s">
        <v>46</v>
      </c>
      <c r="C4897" t="s">
        <v>47</v>
      </c>
      <c r="D4897" t="s">
        <v>48</v>
      </c>
      <c r="E4897" t="s">
        <v>49</v>
      </c>
      <c r="F4897" t="s">
        <v>43</v>
      </c>
      <c r="G4897" t="s">
        <v>50</v>
      </c>
      <c r="H4897" t="s">
        <v>60</v>
      </c>
      <c r="I4897" t="s">
        <v>28</v>
      </c>
      <c r="J4897" t="s">
        <v>87</v>
      </c>
      <c r="K4897">
        <v>5302</v>
      </c>
      <c r="L4897">
        <v>232</v>
      </c>
      <c r="M4897">
        <v>460.18</v>
      </c>
      <c r="N4897">
        <v>14</v>
      </c>
      <c r="O4897">
        <v>444.23</v>
      </c>
      <c r="P4897">
        <f t="shared" si="304"/>
        <v>4.3757072802715957E-2</v>
      </c>
      <c r="Q4897">
        <f t="shared" si="304"/>
        <v>1.9835344827586208</v>
      </c>
      <c r="R4897">
        <f t="shared" si="305"/>
        <v>32.869999999999997</v>
      </c>
      <c r="S4897">
        <f t="shared" si="306"/>
        <v>0.96533964970229047</v>
      </c>
      <c r="T4897">
        <f t="shared" si="307"/>
        <v>6.0344827586206899E-2</v>
      </c>
      <c r="U4897" t="str">
        <f>YEAR('Campaign Data'!$A4897)&amp;"-"&amp;TEXT(MONTH('Campaign Data'!$A4897),"00")</f>
        <v>2026-09</v>
      </c>
    </row>
    <row r="4898" spans="1:21" x14ac:dyDescent="0.25">
      <c r="A4898">
        <v>46290</v>
      </c>
      <c r="B4898" t="s">
        <v>169</v>
      </c>
      <c r="C4898" t="s">
        <v>170</v>
      </c>
      <c r="D4898" t="s">
        <v>58</v>
      </c>
      <c r="E4898" t="s">
        <v>74</v>
      </c>
      <c r="F4898" t="s">
        <v>75</v>
      </c>
      <c r="G4898" t="s">
        <v>9</v>
      </c>
      <c r="H4898" t="s">
        <v>36</v>
      </c>
      <c r="I4898" t="s">
        <v>28</v>
      </c>
      <c r="J4898" t="s">
        <v>38</v>
      </c>
      <c r="K4898">
        <v>3149</v>
      </c>
      <c r="L4898">
        <v>104</v>
      </c>
      <c r="M4898">
        <v>128.87</v>
      </c>
      <c r="N4898">
        <v>2</v>
      </c>
      <c r="O4898">
        <v>43.97</v>
      </c>
      <c r="P4898">
        <f t="shared" si="304"/>
        <v>3.302635757383296E-2</v>
      </c>
      <c r="Q4898">
        <f t="shared" si="304"/>
        <v>1.2391346153846154</v>
      </c>
      <c r="R4898">
        <f t="shared" si="305"/>
        <v>64.435000000000002</v>
      </c>
      <c r="S4898">
        <f t="shared" si="306"/>
        <v>0.34119655466749438</v>
      </c>
      <c r="T4898">
        <f t="shared" si="307"/>
        <v>1.9230769230769232E-2</v>
      </c>
      <c r="U4898" t="str">
        <f>YEAR('Campaign Data'!$A4898)&amp;"-"&amp;TEXT(MONTH('Campaign Data'!$A4898),"00")</f>
        <v>2026-09</v>
      </c>
    </row>
    <row r="4899" spans="1:21" x14ac:dyDescent="0.25">
      <c r="A4899">
        <v>46290</v>
      </c>
      <c r="B4899" t="s">
        <v>110</v>
      </c>
      <c r="C4899" t="s">
        <v>111</v>
      </c>
      <c r="D4899" t="s">
        <v>23</v>
      </c>
      <c r="E4899" t="s">
        <v>49</v>
      </c>
      <c r="F4899" t="s">
        <v>34</v>
      </c>
      <c r="G4899" t="s">
        <v>50</v>
      </c>
      <c r="H4899" t="s">
        <v>36</v>
      </c>
      <c r="I4899" t="s">
        <v>28</v>
      </c>
      <c r="J4899" t="s">
        <v>29</v>
      </c>
      <c r="K4899">
        <v>10702</v>
      </c>
      <c r="L4899">
        <v>561</v>
      </c>
      <c r="M4899">
        <v>1125.1300000000001</v>
      </c>
      <c r="N4899">
        <v>26</v>
      </c>
      <c r="O4899">
        <v>4659.0600000000004</v>
      </c>
      <c r="P4899">
        <f t="shared" si="304"/>
        <v>5.2420108390954963E-2</v>
      </c>
      <c r="Q4899">
        <f t="shared" si="304"/>
        <v>2.0055793226381464</v>
      </c>
      <c r="R4899">
        <f t="shared" si="305"/>
        <v>43.274230769230776</v>
      </c>
      <c r="S4899">
        <f t="shared" si="306"/>
        <v>4.1409081617235337</v>
      </c>
      <c r="T4899">
        <f t="shared" si="307"/>
        <v>4.6345811051693407E-2</v>
      </c>
      <c r="U4899" t="str">
        <f>YEAR('Campaign Data'!$A4899)&amp;"-"&amp;TEXT(MONTH('Campaign Data'!$A4899),"00")</f>
        <v>2026-09</v>
      </c>
    </row>
    <row r="4900" spans="1:21" x14ac:dyDescent="0.25">
      <c r="A4900">
        <v>46290</v>
      </c>
      <c r="B4900" t="s">
        <v>112</v>
      </c>
      <c r="C4900" t="s">
        <v>113</v>
      </c>
      <c r="D4900" t="s">
        <v>32</v>
      </c>
      <c r="E4900" t="s">
        <v>24</v>
      </c>
      <c r="F4900" t="s">
        <v>75</v>
      </c>
      <c r="G4900" t="s">
        <v>66</v>
      </c>
      <c r="H4900" t="s">
        <v>90</v>
      </c>
      <c r="I4900" t="s">
        <v>37</v>
      </c>
      <c r="J4900" t="s">
        <v>29</v>
      </c>
      <c r="K4900">
        <v>17361</v>
      </c>
      <c r="L4900">
        <v>233</v>
      </c>
      <c r="M4900">
        <v>66.14</v>
      </c>
      <c r="N4900">
        <v>1</v>
      </c>
      <c r="O4900">
        <v>7.07</v>
      </c>
      <c r="P4900">
        <f t="shared" si="304"/>
        <v>1.342088589366972E-2</v>
      </c>
      <c r="Q4900">
        <f t="shared" si="304"/>
        <v>0.28386266094420604</v>
      </c>
      <c r="R4900">
        <f t="shared" si="305"/>
        <v>66.14</v>
      </c>
      <c r="S4900">
        <f t="shared" si="306"/>
        <v>0.10689446628364077</v>
      </c>
      <c r="T4900">
        <f t="shared" si="307"/>
        <v>4.2918454935622317E-3</v>
      </c>
      <c r="U4900" t="str">
        <f>YEAR('Campaign Data'!$A4900)&amp;"-"&amp;TEXT(MONTH('Campaign Data'!$A4900),"00")</f>
        <v>2026-09</v>
      </c>
    </row>
    <row r="4901" spans="1:21" x14ac:dyDescent="0.25">
      <c r="A4901">
        <v>46290</v>
      </c>
      <c r="B4901" t="s">
        <v>112</v>
      </c>
      <c r="C4901" t="s">
        <v>113</v>
      </c>
      <c r="D4901" t="s">
        <v>32</v>
      </c>
      <c r="E4901" t="s">
        <v>24</v>
      </c>
      <c r="F4901" t="s">
        <v>75</v>
      </c>
      <c r="G4901" t="s">
        <v>66</v>
      </c>
      <c r="H4901" t="s">
        <v>90</v>
      </c>
      <c r="I4901" t="s">
        <v>28</v>
      </c>
      <c r="J4901" t="s">
        <v>38</v>
      </c>
      <c r="K4901">
        <v>8673</v>
      </c>
      <c r="L4901">
        <v>122</v>
      </c>
      <c r="M4901">
        <v>37.74</v>
      </c>
      <c r="N4901">
        <v>2</v>
      </c>
      <c r="O4901">
        <v>10</v>
      </c>
      <c r="P4901">
        <f t="shared" si="304"/>
        <v>1.4066643606595181E-2</v>
      </c>
      <c r="Q4901">
        <f t="shared" si="304"/>
        <v>0.309344262295082</v>
      </c>
      <c r="R4901">
        <f t="shared" si="305"/>
        <v>18.87</v>
      </c>
      <c r="S4901">
        <f t="shared" si="306"/>
        <v>0.26497085320614733</v>
      </c>
      <c r="T4901">
        <f t="shared" si="307"/>
        <v>1.6393442622950821E-2</v>
      </c>
      <c r="U4901" t="str">
        <f>YEAR('Campaign Data'!$A4901)&amp;"-"&amp;TEXT(MONTH('Campaign Data'!$A4901),"00")</f>
        <v>2026-09</v>
      </c>
    </row>
    <row r="4902" spans="1:21" x14ac:dyDescent="0.25">
      <c r="A4902">
        <v>46290</v>
      </c>
      <c r="B4902" t="s">
        <v>181</v>
      </c>
      <c r="C4902" t="s">
        <v>182</v>
      </c>
      <c r="D4902" t="s">
        <v>32</v>
      </c>
      <c r="E4902" t="s">
        <v>33</v>
      </c>
      <c r="F4902" t="s">
        <v>75</v>
      </c>
      <c r="G4902" t="s">
        <v>59</v>
      </c>
      <c r="H4902" t="s">
        <v>27</v>
      </c>
      <c r="I4902" t="s">
        <v>37</v>
      </c>
      <c r="J4902" t="s">
        <v>29</v>
      </c>
      <c r="K4902">
        <v>6002</v>
      </c>
      <c r="L4902">
        <v>58</v>
      </c>
      <c r="M4902">
        <v>26.63</v>
      </c>
      <c r="N4902">
        <v>0</v>
      </c>
      <c r="O4902">
        <v>0</v>
      </c>
      <c r="P4902">
        <f t="shared" si="304"/>
        <v>9.663445518160613E-3</v>
      </c>
      <c r="Q4902">
        <f t="shared" si="304"/>
        <v>0.45913793103448275</v>
      </c>
      <c r="R4902">
        <f t="shared" si="305"/>
        <v>0</v>
      </c>
      <c r="S4902">
        <f t="shared" si="306"/>
        <v>0</v>
      </c>
      <c r="T4902">
        <f t="shared" si="307"/>
        <v>0</v>
      </c>
      <c r="U4902" t="str">
        <f>YEAR('Campaign Data'!$A4902)&amp;"-"&amp;TEXT(MONTH('Campaign Data'!$A4902),"00")</f>
        <v>2026-09</v>
      </c>
    </row>
    <row r="4903" spans="1:21" x14ac:dyDescent="0.25">
      <c r="A4903">
        <v>46290</v>
      </c>
      <c r="B4903" t="s">
        <v>161</v>
      </c>
      <c r="C4903" t="s">
        <v>162</v>
      </c>
      <c r="D4903" t="s">
        <v>48</v>
      </c>
      <c r="E4903" t="s">
        <v>74</v>
      </c>
      <c r="F4903" t="s">
        <v>34</v>
      </c>
      <c r="G4903" t="s">
        <v>107</v>
      </c>
      <c r="H4903" t="s">
        <v>90</v>
      </c>
      <c r="I4903" t="s">
        <v>37</v>
      </c>
      <c r="J4903" t="s">
        <v>38</v>
      </c>
      <c r="K4903">
        <v>1861</v>
      </c>
      <c r="L4903">
        <v>35</v>
      </c>
      <c r="M4903">
        <v>12.62</v>
      </c>
      <c r="N4903">
        <v>0</v>
      </c>
      <c r="O4903">
        <v>0</v>
      </c>
      <c r="P4903">
        <f t="shared" si="304"/>
        <v>1.8807092960773777E-2</v>
      </c>
      <c r="Q4903">
        <f t="shared" si="304"/>
        <v>0.36057142857142854</v>
      </c>
      <c r="R4903">
        <f t="shared" si="305"/>
        <v>0</v>
      </c>
      <c r="S4903">
        <f t="shared" si="306"/>
        <v>0</v>
      </c>
      <c r="T4903">
        <f t="shared" si="307"/>
        <v>0</v>
      </c>
      <c r="U4903" t="str">
        <f>YEAR('Campaign Data'!$A4903)&amp;"-"&amp;TEXT(MONTH('Campaign Data'!$A4903),"00")</f>
        <v>2026-09</v>
      </c>
    </row>
    <row r="4904" spans="1:21" x14ac:dyDescent="0.25">
      <c r="A4904">
        <v>46290</v>
      </c>
      <c r="B4904" t="s">
        <v>116</v>
      </c>
      <c r="C4904" t="s">
        <v>117</v>
      </c>
      <c r="D4904" t="s">
        <v>48</v>
      </c>
      <c r="E4904" t="s">
        <v>24</v>
      </c>
      <c r="F4904" t="s">
        <v>43</v>
      </c>
      <c r="G4904" t="s">
        <v>26</v>
      </c>
      <c r="H4904" t="s">
        <v>90</v>
      </c>
      <c r="I4904" t="s">
        <v>37</v>
      </c>
      <c r="J4904" t="s">
        <v>62</v>
      </c>
      <c r="K4904">
        <v>10893</v>
      </c>
      <c r="L4904">
        <v>160</v>
      </c>
      <c r="M4904">
        <v>40.799999999999997</v>
      </c>
      <c r="N4904">
        <v>13</v>
      </c>
      <c r="O4904">
        <v>71.22</v>
      </c>
      <c r="P4904">
        <f t="shared" si="304"/>
        <v>1.4688331956302212E-2</v>
      </c>
      <c r="Q4904">
        <f t="shared" si="304"/>
        <v>0.255</v>
      </c>
      <c r="R4904">
        <f t="shared" si="305"/>
        <v>3.1384615384615384</v>
      </c>
      <c r="S4904">
        <f t="shared" si="306"/>
        <v>1.7455882352941177</v>
      </c>
      <c r="T4904">
        <f t="shared" si="307"/>
        <v>8.1250000000000003E-2</v>
      </c>
      <c r="U4904" t="str">
        <f>YEAR('Campaign Data'!$A4904)&amp;"-"&amp;TEXT(MONTH('Campaign Data'!$A4904),"00")</f>
        <v>2026-09</v>
      </c>
    </row>
    <row r="4905" spans="1:21" x14ac:dyDescent="0.25">
      <c r="A4905">
        <v>46290</v>
      </c>
      <c r="B4905" t="s">
        <v>116</v>
      </c>
      <c r="C4905" t="s">
        <v>117</v>
      </c>
      <c r="D4905" t="s">
        <v>48</v>
      </c>
      <c r="E4905" t="s">
        <v>24</v>
      </c>
      <c r="F4905" t="s">
        <v>43</v>
      </c>
      <c r="G4905" t="s">
        <v>26</v>
      </c>
      <c r="H4905" t="s">
        <v>27</v>
      </c>
      <c r="I4905" t="s">
        <v>61</v>
      </c>
      <c r="J4905" t="s">
        <v>62</v>
      </c>
      <c r="K4905">
        <v>5845</v>
      </c>
      <c r="L4905">
        <v>83</v>
      </c>
      <c r="M4905">
        <v>88.53</v>
      </c>
      <c r="N4905">
        <v>2</v>
      </c>
      <c r="O4905">
        <v>77.98</v>
      </c>
      <c r="P4905">
        <f t="shared" si="304"/>
        <v>1.4200171086398631E-2</v>
      </c>
      <c r="Q4905">
        <f t="shared" si="304"/>
        <v>1.0666265060240965</v>
      </c>
      <c r="R4905">
        <f t="shared" si="305"/>
        <v>44.265000000000001</v>
      </c>
      <c r="S4905">
        <f t="shared" si="306"/>
        <v>0.88083135660228173</v>
      </c>
      <c r="T4905">
        <f t="shared" si="307"/>
        <v>2.4096385542168676E-2</v>
      </c>
      <c r="U4905" t="str">
        <f>YEAR('Campaign Data'!$A4905)&amp;"-"&amp;TEXT(MONTH('Campaign Data'!$A4905),"00")</f>
        <v>2026-09</v>
      </c>
    </row>
    <row r="4906" spans="1:21" x14ac:dyDescent="0.25">
      <c r="A4906">
        <v>46290</v>
      </c>
      <c r="B4906" t="s">
        <v>118</v>
      </c>
      <c r="C4906" t="s">
        <v>119</v>
      </c>
      <c r="D4906" t="s">
        <v>69</v>
      </c>
      <c r="E4906" t="s">
        <v>33</v>
      </c>
      <c r="F4906" t="s">
        <v>34</v>
      </c>
      <c r="G4906" t="s">
        <v>35</v>
      </c>
      <c r="H4906" t="s">
        <v>27</v>
      </c>
      <c r="I4906" t="s">
        <v>61</v>
      </c>
      <c r="J4906" t="s">
        <v>45</v>
      </c>
      <c r="K4906">
        <v>2035</v>
      </c>
      <c r="L4906">
        <v>11</v>
      </c>
      <c r="M4906">
        <v>10.47</v>
      </c>
      <c r="N4906">
        <v>0</v>
      </c>
      <c r="O4906">
        <v>0</v>
      </c>
      <c r="P4906">
        <f t="shared" si="304"/>
        <v>5.4054054054054057E-3</v>
      </c>
      <c r="Q4906">
        <f t="shared" si="304"/>
        <v>0.9518181818181819</v>
      </c>
      <c r="R4906">
        <f t="shared" si="305"/>
        <v>0</v>
      </c>
      <c r="S4906">
        <f t="shared" si="306"/>
        <v>0</v>
      </c>
      <c r="T4906">
        <f t="shared" si="307"/>
        <v>0</v>
      </c>
      <c r="U4906" t="str">
        <f>YEAR('Campaign Data'!$A4906)&amp;"-"&amp;TEXT(MONTH('Campaign Data'!$A4906),"00")</f>
        <v>2026-09</v>
      </c>
    </row>
    <row r="4907" spans="1:21" x14ac:dyDescent="0.25">
      <c r="A4907">
        <v>46290</v>
      </c>
      <c r="B4907" t="s">
        <v>163</v>
      </c>
      <c r="C4907" t="s">
        <v>164</v>
      </c>
      <c r="D4907" t="s">
        <v>58</v>
      </c>
      <c r="E4907" t="s">
        <v>42</v>
      </c>
      <c r="F4907" t="s">
        <v>43</v>
      </c>
      <c r="G4907" t="s">
        <v>44</v>
      </c>
      <c r="H4907" t="s">
        <v>60</v>
      </c>
      <c r="I4907" t="s">
        <v>61</v>
      </c>
      <c r="J4907" t="s">
        <v>38</v>
      </c>
      <c r="K4907">
        <v>4465</v>
      </c>
      <c r="L4907">
        <v>17</v>
      </c>
      <c r="M4907">
        <v>107.34</v>
      </c>
      <c r="N4907">
        <v>0</v>
      </c>
      <c r="O4907">
        <v>0</v>
      </c>
      <c r="P4907">
        <f t="shared" si="304"/>
        <v>3.8073908174692051E-3</v>
      </c>
      <c r="Q4907">
        <f t="shared" si="304"/>
        <v>6.3141176470588238</v>
      </c>
      <c r="R4907">
        <f t="shared" si="305"/>
        <v>0</v>
      </c>
      <c r="S4907">
        <f t="shared" si="306"/>
        <v>0</v>
      </c>
      <c r="T4907">
        <f t="shared" si="307"/>
        <v>0</v>
      </c>
      <c r="U4907" t="str">
        <f>YEAR('Campaign Data'!$A4907)&amp;"-"&amp;TEXT(MONTH('Campaign Data'!$A4907),"00")</f>
        <v>2026-09</v>
      </c>
    </row>
    <row r="4908" spans="1:21" x14ac:dyDescent="0.25">
      <c r="A4908">
        <v>46290</v>
      </c>
      <c r="B4908" t="s">
        <v>163</v>
      </c>
      <c r="C4908" t="s">
        <v>164</v>
      </c>
      <c r="D4908" t="s">
        <v>58</v>
      </c>
      <c r="E4908" t="s">
        <v>42</v>
      </c>
      <c r="F4908" t="s">
        <v>43</v>
      </c>
      <c r="G4908" t="s">
        <v>44</v>
      </c>
      <c r="H4908" t="s">
        <v>36</v>
      </c>
      <c r="I4908" t="s">
        <v>37</v>
      </c>
      <c r="J4908" t="s">
        <v>29</v>
      </c>
      <c r="K4908">
        <v>3169</v>
      </c>
      <c r="L4908">
        <v>16</v>
      </c>
      <c r="M4908">
        <v>106</v>
      </c>
      <c r="N4908">
        <v>0</v>
      </c>
      <c r="O4908">
        <v>0</v>
      </c>
      <c r="P4908">
        <f t="shared" si="304"/>
        <v>5.0489113284947935E-3</v>
      </c>
      <c r="Q4908">
        <f t="shared" si="304"/>
        <v>6.625</v>
      </c>
      <c r="R4908">
        <f t="shared" si="305"/>
        <v>0</v>
      </c>
      <c r="S4908">
        <f t="shared" si="306"/>
        <v>0</v>
      </c>
      <c r="T4908">
        <f t="shared" si="307"/>
        <v>0</v>
      </c>
      <c r="U4908" t="str">
        <f>YEAR('Campaign Data'!$A4908)&amp;"-"&amp;TEXT(MONTH('Campaign Data'!$A4908),"00")</f>
        <v>2026-09</v>
      </c>
    </row>
    <row r="4909" spans="1:21" x14ac:dyDescent="0.25">
      <c r="A4909">
        <v>46290</v>
      </c>
      <c r="B4909" t="s">
        <v>145</v>
      </c>
      <c r="C4909" t="s">
        <v>146</v>
      </c>
      <c r="D4909" t="s">
        <v>41</v>
      </c>
      <c r="E4909" t="s">
        <v>49</v>
      </c>
      <c r="F4909" t="s">
        <v>75</v>
      </c>
      <c r="G4909" t="s">
        <v>70</v>
      </c>
      <c r="H4909" t="s">
        <v>27</v>
      </c>
      <c r="I4909" t="s">
        <v>61</v>
      </c>
      <c r="J4909" t="s">
        <v>38</v>
      </c>
      <c r="K4909">
        <v>2602</v>
      </c>
      <c r="L4909">
        <v>136</v>
      </c>
      <c r="M4909">
        <v>251.05</v>
      </c>
      <c r="N4909">
        <v>3</v>
      </c>
      <c r="O4909">
        <v>142.75</v>
      </c>
      <c r="P4909">
        <f t="shared" si="304"/>
        <v>5.2267486548808612E-2</v>
      </c>
      <c r="Q4909">
        <f t="shared" si="304"/>
        <v>1.8459558823529412</v>
      </c>
      <c r="R4909">
        <f t="shared" si="305"/>
        <v>83.683333333333337</v>
      </c>
      <c r="S4909">
        <f t="shared" si="306"/>
        <v>0.56861183031268669</v>
      </c>
      <c r="T4909">
        <f t="shared" si="307"/>
        <v>2.2058823529411766E-2</v>
      </c>
      <c r="U4909" t="str">
        <f>YEAR('Campaign Data'!$A4909)&amp;"-"&amp;TEXT(MONTH('Campaign Data'!$A4909),"00")</f>
        <v>2026-09</v>
      </c>
    </row>
    <row r="4910" spans="1:21" x14ac:dyDescent="0.25">
      <c r="A4910">
        <v>46290</v>
      </c>
      <c r="B4910" t="s">
        <v>78</v>
      </c>
      <c r="C4910" t="s">
        <v>79</v>
      </c>
      <c r="D4910" t="s">
        <v>80</v>
      </c>
      <c r="E4910" t="s">
        <v>24</v>
      </c>
      <c r="F4910" t="s">
        <v>81</v>
      </c>
      <c r="G4910" t="s">
        <v>66</v>
      </c>
      <c r="H4910" t="s">
        <v>90</v>
      </c>
      <c r="I4910" t="s">
        <v>37</v>
      </c>
      <c r="J4910" t="s">
        <v>38</v>
      </c>
      <c r="K4910">
        <v>4494</v>
      </c>
      <c r="L4910">
        <v>76</v>
      </c>
      <c r="M4910">
        <v>20.85</v>
      </c>
      <c r="N4910">
        <v>4</v>
      </c>
      <c r="O4910">
        <v>23.95</v>
      </c>
      <c r="P4910">
        <f t="shared" si="304"/>
        <v>1.6911437472185136E-2</v>
      </c>
      <c r="Q4910">
        <f t="shared" si="304"/>
        <v>0.27434210526315789</v>
      </c>
      <c r="R4910">
        <f t="shared" si="305"/>
        <v>5.2125000000000004</v>
      </c>
      <c r="S4910">
        <f t="shared" si="306"/>
        <v>1.1486810551558753</v>
      </c>
      <c r="T4910">
        <f t="shared" si="307"/>
        <v>5.2631578947368418E-2</v>
      </c>
      <c r="U4910" t="str">
        <f>YEAR('Campaign Data'!$A4910)&amp;"-"&amp;TEXT(MONTH('Campaign Data'!$A4910),"00")</f>
        <v>2026-09</v>
      </c>
    </row>
    <row r="4911" spans="1:21" x14ac:dyDescent="0.25">
      <c r="A4911">
        <v>46291</v>
      </c>
      <c r="B4911" t="s">
        <v>165</v>
      </c>
      <c r="C4911" t="s">
        <v>166</v>
      </c>
      <c r="D4911" t="s">
        <v>41</v>
      </c>
      <c r="E4911" t="s">
        <v>33</v>
      </c>
      <c r="F4911" t="s">
        <v>43</v>
      </c>
      <c r="G4911" t="s">
        <v>59</v>
      </c>
      <c r="H4911" t="s">
        <v>27</v>
      </c>
      <c r="I4911" t="s">
        <v>37</v>
      </c>
      <c r="J4911" t="s">
        <v>87</v>
      </c>
      <c r="K4911">
        <v>4185</v>
      </c>
      <c r="L4911">
        <v>41</v>
      </c>
      <c r="M4911">
        <v>23.29</v>
      </c>
      <c r="N4911">
        <v>1</v>
      </c>
      <c r="O4911">
        <v>25.47</v>
      </c>
      <c r="P4911">
        <f t="shared" si="304"/>
        <v>9.7968936678614095E-3</v>
      </c>
      <c r="Q4911">
        <f t="shared" si="304"/>
        <v>0.56804878048780483</v>
      </c>
      <c r="R4911">
        <f t="shared" si="305"/>
        <v>23.29</v>
      </c>
      <c r="S4911">
        <f t="shared" si="306"/>
        <v>1.0936024044654358</v>
      </c>
      <c r="T4911">
        <f t="shared" si="307"/>
        <v>2.4390243902439025E-2</v>
      </c>
      <c r="U4911" t="str">
        <f>YEAR('Campaign Data'!$A4911)&amp;"-"&amp;TEXT(MONTH('Campaign Data'!$A4911),"00")</f>
        <v>2026-09</v>
      </c>
    </row>
    <row r="4912" spans="1:21" x14ac:dyDescent="0.25">
      <c r="A4912">
        <v>46291</v>
      </c>
      <c r="B4912" t="s">
        <v>175</v>
      </c>
      <c r="C4912" t="s">
        <v>176</v>
      </c>
      <c r="D4912" t="s">
        <v>65</v>
      </c>
      <c r="E4912" t="s">
        <v>49</v>
      </c>
      <c r="F4912" t="s">
        <v>75</v>
      </c>
      <c r="G4912" t="s">
        <v>70</v>
      </c>
      <c r="H4912" t="s">
        <v>71</v>
      </c>
      <c r="I4912" t="s">
        <v>37</v>
      </c>
      <c r="J4912" t="s">
        <v>45</v>
      </c>
      <c r="K4912">
        <v>2270</v>
      </c>
      <c r="L4912">
        <v>145</v>
      </c>
      <c r="M4912">
        <v>249.35</v>
      </c>
      <c r="N4912">
        <v>11</v>
      </c>
      <c r="O4912">
        <v>444.69</v>
      </c>
      <c r="P4912">
        <f t="shared" si="304"/>
        <v>6.3876651982378851E-2</v>
      </c>
      <c r="Q4912">
        <f t="shared" si="304"/>
        <v>1.719655172413793</v>
      </c>
      <c r="R4912">
        <f t="shared" si="305"/>
        <v>22.668181818181818</v>
      </c>
      <c r="S4912">
        <f t="shared" si="306"/>
        <v>1.7833968317625828</v>
      </c>
      <c r="T4912">
        <f t="shared" si="307"/>
        <v>7.586206896551724E-2</v>
      </c>
      <c r="U4912" t="str">
        <f>YEAR('Campaign Data'!$A4912)&amp;"-"&amp;TEXT(MONTH('Campaign Data'!$A4912),"00")</f>
        <v>2026-09</v>
      </c>
    </row>
    <row r="4913" spans="1:21" x14ac:dyDescent="0.25">
      <c r="A4913">
        <v>46291</v>
      </c>
      <c r="B4913" t="s">
        <v>21</v>
      </c>
      <c r="C4913" t="s">
        <v>124</v>
      </c>
      <c r="D4913" t="s">
        <v>23</v>
      </c>
      <c r="E4913" t="s">
        <v>24</v>
      </c>
      <c r="F4913" t="s">
        <v>25</v>
      </c>
      <c r="G4913" t="s">
        <v>26</v>
      </c>
      <c r="H4913" t="s">
        <v>90</v>
      </c>
      <c r="I4913" t="s">
        <v>37</v>
      </c>
      <c r="J4913" t="s">
        <v>38</v>
      </c>
      <c r="K4913">
        <v>6958</v>
      </c>
      <c r="L4913">
        <v>85</v>
      </c>
      <c r="M4913">
        <v>25.82</v>
      </c>
      <c r="N4913">
        <v>2</v>
      </c>
      <c r="O4913">
        <v>116.08</v>
      </c>
      <c r="P4913">
        <f t="shared" si="304"/>
        <v>1.2216154067260707E-2</v>
      </c>
      <c r="Q4913">
        <f t="shared" si="304"/>
        <v>0.30376470588235294</v>
      </c>
      <c r="R4913">
        <f t="shared" si="305"/>
        <v>12.91</v>
      </c>
      <c r="S4913">
        <f t="shared" si="306"/>
        <v>4.4957397366382645</v>
      </c>
      <c r="T4913">
        <f t="shared" si="307"/>
        <v>2.3529411764705882E-2</v>
      </c>
      <c r="U4913" t="str">
        <f>YEAR('Campaign Data'!$A4913)&amp;"-"&amp;TEXT(MONTH('Campaign Data'!$A4913),"00")</f>
        <v>2026-09</v>
      </c>
    </row>
    <row r="4914" spans="1:21" x14ac:dyDescent="0.25">
      <c r="A4914">
        <v>46291</v>
      </c>
      <c r="B4914" t="s">
        <v>147</v>
      </c>
      <c r="C4914" t="s">
        <v>148</v>
      </c>
      <c r="D4914" t="s">
        <v>23</v>
      </c>
      <c r="E4914" t="s">
        <v>42</v>
      </c>
      <c r="F4914" t="s">
        <v>75</v>
      </c>
      <c r="G4914" t="s">
        <v>44</v>
      </c>
      <c r="H4914" t="s">
        <v>90</v>
      </c>
      <c r="I4914" t="s">
        <v>37</v>
      </c>
      <c r="J4914" t="s">
        <v>38</v>
      </c>
      <c r="K4914">
        <v>28250</v>
      </c>
      <c r="L4914">
        <v>146</v>
      </c>
      <c r="M4914">
        <v>335.49</v>
      </c>
      <c r="N4914">
        <v>5</v>
      </c>
      <c r="O4914">
        <v>46.48</v>
      </c>
      <c r="P4914">
        <f t="shared" si="304"/>
        <v>5.1681415929203537E-3</v>
      </c>
      <c r="Q4914">
        <f t="shared" si="304"/>
        <v>2.2978767123287671</v>
      </c>
      <c r="R4914">
        <f t="shared" si="305"/>
        <v>67.097999999999999</v>
      </c>
      <c r="S4914">
        <f t="shared" si="306"/>
        <v>0.13854362276073801</v>
      </c>
      <c r="T4914">
        <f t="shared" si="307"/>
        <v>3.4246575342465752E-2</v>
      </c>
      <c r="U4914" t="str">
        <f>YEAR('Campaign Data'!$A4914)&amp;"-"&amp;TEXT(MONTH('Campaign Data'!$A4914),"00")</f>
        <v>2026-09</v>
      </c>
    </row>
    <row r="4915" spans="1:21" x14ac:dyDescent="0.25">
      <c r="A4915">
        <v>46291</v>
      </c>
      <c r="B4915" t="s">
        <v>125</v>
      </c>
      <c r="C4915" t="s">
        <v>126</v>
      </c>
      <c r="D4915" t="s">
        <v>41</v>
      </c>
      <c r="E4915" t="s">
        <v>42</v>
      </c>
      <c r="F4915" t="s">
        <v>81</v>
      </c>
      <c r="G4915" t="s">
        <v>44</v>
      </c>
      <c r="H4915" t="s">
        <v>71</v>
      </c>
      <c r="I4915" t="s">
        <v>37</v>
      </c>
      <c r="J4915" t="s">
        <v>45</v>
      </c>
      <c r="K4915">
        <v>4959</v>
      </c>
      <c r="L4915">
        <v>19</v>
      </c>
      <c r="M4915">
        <v>108.65</v>
      </c>
      <c r="N4915">
        <v>0</v>
      </c>
      <c r="O4915">
        <v>0</v>
      </c>
      <c r="P4915">
        <f t="shared" si="304"/>
        <v>3.8314176245210726E-3</v>
      </c>
      <c r="Q4915">
        <f t="shared" si="304"/>
        <v>5.7184210526315793</v>
      </c>
      <c r="R4915">
        <f t="shared" si="305"/>
        <v>0</v>
      </c>
      <c r="S4915">
        <f t="shared" si="306"/>
        <v>0</v>
      </c>
      <c r="T4915">
        <f t="shared" si="307"/>
        <v>0</v>
      </c>
      <c r="U4915" t="str">
        <f>YEAR('Campaign Data'!$A4915)&amp;"-"&amp;TEXT(MONTH('Campaign Data'!$A4915),"00")</f>
        <v>2026-09</v>
      </c>
    </row>
    <row r="4916" spans="1:21" x14ac:dyDescent="0.25">
      <c r="A4916">
        <v>46291</v>
      </c>
      <c r="B4916" t="s">
        <v>149</v>
      </c>
      <c r="C4916" t="s">
        <v>150</v>
      </c>
      <c r="D4916" t="s">
        <v>65</v>
      </c>
      <c r="E4916" t="s">
        <v>33</v>
      </c>
      <c r="F4916" t="s">
        <v>43</v>
      </c>
      <c r="G4916" t="s">
        <v>59</v>
      </c>
      <c r="H4916" t="s">
        <v>55</v>
      </c>
      <c r="I4916" t="s">
        <v>28</v>
      </c>
      <c r="J4916" t="s">
        <v>45</v>
      </c>
      <c r="K4916">
        <v>4649</v>
      </c>
      <c r="L4916">
        <v>47</v>
      </c>
      <c r="M4916">
        <v>29.15</v>
      </c>
      <c r="N4916">
        <v>1</v>
      </c>
      <c r="O4916">
        <v>25.47</v>
      </c>
      <c r="P4916">
        <f t="shared" si="304"/>
        <v>1.01097010109701E-2</v>
      </c>
      <c r="Q4916">
        <f t="shared" si="304"/>
        <v>0.62021276595744679</v>
      </c>
      <c r="R4916">
        <f t="shared" si="305"/>
        <v>29.15</v>
      </c>
      <c r="S4916">
        <f t="shared" si="306"/>
        <v>0.87375643224699828</v>
      </c>
      <c r="T4916">
        <f t="shared" si="307"/>
        <v>2.1276595744680851E-2</v>
      </c>
      <c r="U4916" t="str">
        <f>YEAR('Campaign Data'!$A4916)&amp;"-"&amp;TEXT(MONTH('Campaign Data'!$A4916),"00")</f>
        <v>2026-09</v>
      </c>
    </row>
    <row r="4917" spans="1:21" x14ac:dyDescent="0.25">
      <c r="A4917">
        <v>46291</v>
      </c>
      <c r="B4917" t="s">
        <v>169</v>
      </c>
      <c r="C4917" t="s">
        <v>170</v>
      </c>
      <c r="D4917" t="s">
        <v>58</v>
      </c>
      <c r="E4917" t="s">
        <v>74</v>
      </c>
      <c r="F4917" t="s">
        <v>75</v>
      </c>
      <c r="G4917" t="s">
        <v>9</v>
      </c>
      <c r="H4917" t="s">
        <v>90</v>
      </c>
      <c r="I4917" t="s">
        <v>37</v>
      </c>
      <c r="J4917" t="s">
        <v>87</v>
      </c>
      <c r="K4917">
        <v>11209</v>
      </c>
      <c r="L4917">
        <v>507</v>
      </c>
      <c r="M4917">
        <v>135.25</v>
      </c>
      <c r="N4917">
        <v>36</v>
      </c>
      <c r="O4917">
        <v>325.48</v>
      </c>
      <c r="P4917">
        <f t="shared" si="304"/>
        <v>4.5231510393433851E-2</v>
      </c>
      <c r="Q4917">
        <f t="shared" si="304"/>
        <v>0.2667652859960552</v>
      </c>
      <c r="R4917">
        <f t="shared" si="305"/>
        <v>3.7569444444444446</v>
      </c>
      <c r="S4917">
        <f t="shared" si="306"/>
        <v>2.4065064695009242</v>
      </c>
      <c r="T4917">
        <f t="shared" si="307"/>
        <v>7.1005917159763315E-2</v>
      </c>
      <c r="U4917" t="str">
        <f>YEAR('Campaign Data'!$A4917)&amp;"-"&amp;TEXT(MONTH('Campaign Data'!$A4917),"00")</f>
        <v>2026-09</v>
      </c>
    </row>
    <row r="4918" spans="1:21" x14ac:dyDescent="0.25">
      <c r="A4918">
        <v>46291</v>
      </c>
      <c r="B4918" t="s">
        <v>169</v>
      </c>
      <c r="C4918" t="s">
        <v>170</v>
      </c>
      <c r="D4918" t="s">
        <v>58</v>
      </c>
      <c r="E4918" t="s">
        <v>74</v>
      </c>
      <c r="F4918" t="s">
        <v>75</v>
      </c>
      <c r="G4918" t="s">
        <v>9</v>
      </c>
      <c r="H4918" t="s">
        <v>55</v>
      </c>
      <c r="I4918" t="s">
        <v>37</v>
      </c>
      <c r="J4918" t="s">
        <v>62</v>
      </c>
      <c r="K4918">
        <v>4291</v>
      </c>
      <c r="L4918">
        <v>229</v>
      </c>
      <c r="M4918">
        <v>410.83</v>
      </c>
      <c r="N4918">
        <v>21</v>
      </c>
      <c r="O4918">
        <v>377.02</v>
      </c>
      <c r="P4918">
        <f t="shared" si="304"/>
        <v>5.3367513400139829E-2</v>
      </c>
      <c r="Q4918">
        <f t="shared" si="304"/>
        <v>1.7940174672489082</v>
      </c>
      <c r="R4918">
        <f t="shared" si="305"/>
        <v>19.563333333333333</v>
      </c>
      <c r="S4918">
        <f t="shared" si="306"/>
        <v>0.91770318623274838</v>
      </c>
      <c r="T4918">
        <f t="shared" si="307"/>
        <v>9.1703056768558958E-2</v>
      </c>
      <c r="U4918" t="str">
        <f>YEAR('Campaign Data'!$A4918)&amp;"-"&amp;TEXT(MONTH('Campaign Data'!$A4918),"00")</f>
        <v>2026-09</v>
      </c>
    </row>
    <row r="4919" spans="1:21" x14ac:dyDescent="0.25">
      <c r="A4919">
        <v>46291</v>
      </c>
      <c r="B4919" t="s">
        <v>103</v>
      </c>
      <c r="C4919" t="s">
        <v>104</v>
      </c>
      <c r="D4919" t="s">
        <v>65</v>
      </c>
      <c r="E4919" t="s">
        <v>33</v>
      </c>
      <c r="F4919" t="s">
        <v>43</v>
      </c>
      <c r="G4919" t="s">
        <v>102</v>
      </c>
      <c r="H4919" t="s">
        <v>90</v>
      </c>
      <c r="I4919" t="s">
        <v>28</v>
      </c>
      <c r="J4919" t="s">
        <v>62</v>
      </c>
      <c r="K4919">
        <v>3634</v>
      </c>
      <c r="L4919">
        <v>34</v>
      </c>
      <c r="M4919">
        <v>4.2699999999999996</v>
      </c>
      <c r="N4919">
        <v>1</v>
      </c>
      <c r="O4919">
        <v>6.04</v>
      </c>
      <c r="P4919">
        <f t="shared" si="304"/>
        <v>9.3560814529444133E-3</v>
      </c>
      <c r="Q4919">
        <f t="shared" si="304"/>
        <v>0.12558823529411764</v>
      </c>
      <c r="R4919">
        <f t="shared" si="305"/>
        <v>4.2699999999999996</v>
      </c>
      <c r="S4919">
        <f t="shared" si="306"/>
        <v>1.4145199063231852</v>
      </c>
      <c r="T4919">
        <f t="shared" si="307"/>
        <v>2.9411764705882353E-2</v>
      </c>
      <c r="U4919" t="str">
        <f>YEAR('Campaign Data'!$A4919)&amp;"-"&amp;TEXT(MONTH('Campaign Data'!$A4919),"00")</f>
        <v>2026-09</v>
      </c>
    </row>
    <row r="4920" spans="1:21" x14ac:dyDescent="0.25">
      <c r="A4920">
        <v>46291</v>
      </c>
      <c r="B4920" t="s">
        <v>108</v>
      </c>
      <c r="C4920" t="s">
        <v>109</v>
      </c>
      <c r="D4920" t="s">
        <v>58</v>
      </c>
      <c r="E4920" t="s">
        <v>33</v>
      </c>
      <c r="F4920" t="s">
        <v>43</v>
      </c>
      <c r="G4920" t="s">
        <v>59</v>
      </c>
      <c r="H4920" t="s">
        <v>51</v>
      </c>
      <c r="I4920" t="s">
        <v>28</v>
      </c>
      <c r="J4920" t="s">
        <v>87</v>
      </c>
      <c r="K4920">
        <v>1617</v>
      </c>
      <c r="L4920">
        <v>15</v>
      </c>
      <c r="M4920">
        <v>9.23</v>
      </c>
      <c r="N4920">
        <v>0</v>
      </c>
      <c r="O4920">
        <v>0</v>
      </c>
      <c r="P4920">
        <f t="shared" si="304"/>
        <v>9.2764378478664197E-3</v>
      </c>
      <c r="Q4920">
        <f t="shared" si="304"/>
        <v>0.6153333333333334</v>
      </c>
      <c r="R4920">
        <f t="shared" si="305"/>
        <v>0</v>
      </c>
      <c r="S4920">
        <f t="shared" si="306"/>
        <v>0</v>
      </c>
      <c r="T4920">
        <f t="shared" si="307"/>
        <v>0</v>
      </c>
      <c r="U4920" t="str">
        <f>YEAR('Campaign Data'!$A4920)&amp;"-"&amp;TEXT(MONTH('Campaign Data'!$A4920),"00")</f>
        <v>2026-09</v>
      </c>
    </row>
    <row r="4921" spans="1:21" x14ac:dyDescent="0.25">
      <c r="A4921">
        <v>46291</v>
      </c>
      <c r="B4921" t="s">
        <v>132</v>
      </c>
      <c r="C4921" t="s">
        <v>133</v>
      </c>
      <c r="D4921" t="s">
        <v>23</v>
      </c>
      <c r="E4921" t="s">
        <v>42</v>
      </c>
      <c r="F4921" t="s">
        <v>75</v>
      </c>
      <c r="G4921" t="s">
        <v>84</v>
      </c>
      <c r="H4921" t="s">
        <v>51</v>
      </c>
      <c r="I4921" t="s">
        <v>37</v>
      </c>
      <c r="J4921" t="s">
        <v>87</v>
      </c>
      <c r="K4921">
        <v>758</v>
      </c>
      <c r="L4921">
        <v>4</v>
      </c>
      <c r="M4921">
        <v>28.53</v>
      </c>
      <c r="N4921">
        <v>0</v>
      </c>
      <c r="O4921">
        <v>0</v>
      </c>
      <c r="P4921">
        <f t="shared" si="304"/>
        <v>5.2770448548812663E-3</v>
      </c>
      <c r="Q4921">
        <f t="shared" si="304"/>
        <v>7.1325000000000003</v>
      </c>
      <c r="R4921">
        <f t="shared" si="305"/>
        <v>0</v>
      </c>
      <c r="S4921">
        <f t="shared" si="306"/>
        <v>0</v>
      </c>
      <c r="T4921">
        <f t="shared" si="307"/>
        <v>0</v>
      </c>
      <c r="U4921" t="str">
        <f>YEAR('Campaign Data'!$A4921)&amp;"-"&amp;TEXT(MONTH('Campaign Data'!$A4921),"00")</f>
        <v>2026-09</v>
      </c>
    </row>
    <row r="4922" spans="1:21" x14ac:dyDescent="0.25">
      <c r="A4922">
        <v>46291</v>
      </c>
      <c r="B4922" t="s">
        <v>140</v>
      </c>
      <c r="C4922" t="s">
        <v>40</v>
      </c>
      <c r="D4922" t="s">
        <v>41</v>
      </c>
      <c r="E4922" t="s">
        <v>42</v>
      </c>
      <c r="F4922" t="s">
        <v>43</v>
      </c>
      <c r="G4922" t="s">
        <v>44</v>
      </c>
      <c r="H4922" t="s">
        <v>27</v>
      </c>
      <c r="I4922" t="s">
        <v>37</v>
      </c>
      <c r="J4922" t="s">
        <v>38</v>
      </c>
      <c r="K4922">
        <v>5545</v>
      </c>
      <c r="L4922">
        <v>14</v>
      </c>
      <c r="M4922">
        <v>89.78</v>
      </c>
      <c r="N4922">
        <v>2</v>
      </c>
      <c r="O4922">
        <v>34.44</v>
      </c>
      <c r="P4922">
        <f t="shared" si="304"/>
        <v>2.5247971145175834E-3</v>
      </c>
      <c r="Q4922">
        <f t="shared" si="304"/>
        <v>6.4128571428571428</v>
      </c>
      <c r="R4922">
        <f t="shared" si="305"/>
        <v>44.89</v>
      </c>
      <c r="S4922">
        <f t="shared" si="306"/>
        <v>0.38360436622855865</v>
      </c>
      <c r="T4922">
        <f t="shared" si="307"/>
        <v>0.14285714285714285</v>
      </c>
      <c r="U4922" t="str">
        <f>YEAR('Campaign Data'!$A4922)&amp;"-"&amp;TEXT(MONTH('Campaign Data'!$A4922),"00")</f>
        <v>2026-09</v>
      </c>
    </row>
    <row r="4923" spans="1:21" x14ac:dyDescent="0.25">
      <c r="A4923">
        <v>46291</v>
      </c>
      <c r="B4923" t="s">
        <v>159</v>
      </c>
      <c r="C4923" t="s">
        <v>160</v>
      </c>
      <c r="D4923" t="s">
        <v>65</v>
      </c>
      <c r="E4923" t="s">
        <v>42</v>
      </c>
      <c r="F4923" t="s">
        <v>75</v>
      </c>
      <c r="G4923" t="s">
        <v>54</v>
      </c>
      <c r="H4923" t="s">
        <v>51</v>
      </c>
      <c r="I4923" t="s">
        <v>37</v>
      </c>
      <c r="J4923" t="s">
        <v>45</v>
      </c>
      <c r="K4923">
        <v>11195</v>
      </c>
      <c r="L4923">
        <v>32</v>
      </c>
      <c r="M4923">
        <v>137.44999999999999</v>
      </c>
      <c r="N4923">
        <v>0</v>
      </c>
      <c r="O4923">
        <v>0</v>
      </c>
      <c r="P4923">
        <f t="shared" si="304"/>
        <v>2.8584189370254578E-3</v>
      </c>
      <c r="Q4923">
        <f t="shared" si="304"/>
        <v>4.2953124999999996</v>
      </c>
      <c r="R4923">
        <f t="shared" si="305"/>
        <v>0</v>
      </c>
      <c r="S4923">
        <f t="shared" si="306"/>
        <v>0</v>
      </c>
      <c r="T4923">
        <f t="shared" si="307"/>
        <v>0</v>
      </c>
      <c r="U4923" t="str">
        <f>YEAR('Campaign Data'!$A4923)&amp;"-"&amp;TEXT(MONTH('Campaign Data'!$A4923),"00")</f>
        <v>2026-09</v>
      </c>
    </row>
    <row r="4924" spans="1:21" x14ac:dyDescent="0.25">
      <c r="A4924">
        <v>46291</v>
      </c>
      <c r="B4924" t="s">
        <v>56</v>
      </c>
      <c r="C4924" t="s">
        <v>57</v>
      </c>
      <c r="D4924" t="s">
        <v>58</v>
      </c>
      <c r="E4924" t="s">
        <v>33</v>
      </c>
      <c r="F4924" t="s">
        <v>43</v>
      </c>
      <c r="G4924" t="s">
        <v>59</v>
      </c>
      <c r="H4924" t="s">
        <v>71</v>
      </c>
      <c r="I4924" t="s">
        <v>37</v>
      </c>
      <c r="J4924" t="s">
        <v>62</v>
      </c>
      <c r="K4924">
        <v>2410</v>
      </c>
      <c r="L4924">
        <v>27</v>
      </c>
      <c r="M4924">
        <v>19.28</v>
      </c>
      <c r="N4924">
        <v>3</v>
      </c>
      <c r="O4924">
        <v>55.58</v>
      </c>
      <c r="P4924">
        <f t="shared" si="304"/>
        <v>1.1203319502074689E-2</v>
      </c>
      <c r="Q4924">
        <f t="shared" si="304"/>
        <v>0.71407407407407408</v>
      </c>
      <c r="R4924">
        <f t="shared" si="305"/>
        <v>6.4266666666666667</v>
      </c>
      <c r="S4924">
        <f t="shared" si="306"/>
        <v>2.8827800829875514</v>
      </c>
      <c r="T4924">
        <f t="shared" si="307"/>
        <v>0.1111111111111111</v>
      </c>
      <c r="U4924" t="str">
        <f>YEAR('Campaign Data'!$A4924)&amp;"-"&amp;TEXT(MONTH('Campaign Data'!$A4924),"00")</f>
        <v>2026-09</v>
      </c>
    </row>
    <row r="4925" spans="1:21" x14ac:dyDescent="0.25">
      <c r="A4925">
        <v>46291</v>
      </c>
      <c r="B4925" t="s">
        <v>143</v>
      </c>
      <c r="C4925" t="s">
        <v>144</v>
      </c>
      <c r="D4925" t="s">
        <v>48</v>
      </c>
      <c r="E4925" t="s">
        <v>42</v>
      </c>
      <c r="F4925" t="s">
        <v>25</v>
      </c>
      <c r="G4925" t="s">
        <v>84</v>
      </c>
      <c r="H4925" t="s">
        <v>90</v>
      </c>
      <c r="I4925" t="s">
        <v>37</v>
      </c>
      <c r="J4925" t="s">
        <v>87</v>
      </c>
      <c r="K4925">
        <v>4790</v>
      </c>
      <c r="L4925">
        <v>30</v>
      </c>
      <c r="M4925">
        <v>45.92</v>
      </c>
      <c r="N4925">
        <v>1</v>
      </c>
      <c r="O4925">
        <v>47.03</v>
      </c>
      <c r="P4925">
        <f t="shared" si="304"/>
        <v>6.2630480167014616E-3</v>
      </c>
      <c r="Q4925">
        <f t="shared" si="304"/>
        <v>1.5306666666666666</v>
      </c>
      <c r="R4925">
        <f t="shared" si="305"/>
        <v>45.92</v>
      </c>
      <c r="S4925">
        <f t="shared" si="306"/>
        <v>1.0241724738675959</v>
      </c>
      <c r="T4925">
        <f t="shared" si="307"/>
        <v>3.3333333333333333E-2</v>
      </c>
      <c r="U4925" t="str">
        <f>YEAR('Campaign Data'!$A4925)&amp;"-"&amp;TEXT(MONTH('Campaign Data'!$A4925),"00")</f>
        <v>2026-09</v>
      </c>
    </row>
    <row r="4926" spans="1:21" x14ac:dyDescent="0.25">
      <c r="A4926">
        <v>46291</v>
      </c>
      <c r="B4926" t="s">
        <v>183</v>
      </c>
      <c r="C4926" t="s">
        <v>184</v>
      </c>
      <c r="D4926" t="s">
        <v>23</v>
      </c>
      <c r="E4926" t="s">
        <v>24</v>
      </c>
      <c r="F4926" t="s">
        <v>81</v>
      </c>
      <c r="G4926" t="s">
        <v>185</v>
      </c>
      <c r="H4926" t="s">
        <v>90</v>
      </c>
      <c r="I4926" t="s">
        <v>37</v>
      </c>
      <c r="J4926" t="s">
        <v>45</v>
      </c>
      <c r="K4926">
        <v>4201</v>
      </c>
      <c r="L4926">
        <v>44</v>
      </c>
      <c r="M4926">
        <v>10.46</v>
      </c>
      <c r="N4926">
        <v>2</v>
      </c>
      <c r="O4926">
        <v>10</v>
      </c>
      <c r="P4926">
        <f t="shared" si="304"/>
        <v>1.0473696738871698E-2</v>
      </c>
      <c r="Q4926">
        <f t="shared" si="304"/>
        <v>0.23772727272727276</v>
      </c>
      <c r="R4926">
        <f t="shared" si="305"/>
        <v>5.23</v>
      </c>
      <c r="S4926">
        <f t="shared" si="306"/>
        <v>0.95602294455066916</v>
      </c>
      <c r="T4926">
        <f t="shared" si="307"/>
        <v>4.5454545454545456E-2</v>
      </c>
      <c r="U4926" t="str">
        <f>YEAR('Campaign Data'!$A4926)&amp;"-"&amp;TEXT(MONTH('Campaign Data'!$A4926),"00")</f>
        <v>2026-09</v>
      </c>
    </row>
    <row r="4927" spans="1:21" x14ac:dyDescent="0.25">
      <c r="A4927">
        <v>46291</v>
      </c>
      <c r="B4927" t="s">
        <v>76</v>
      </c>
      <c r="C4927" t="s">
        <v>77</v>
      </c>
      <c r="D4927" t="s">
        <v>65</v>
      </c>
      <c r="E4927" t="s">
        <v>42</v>
      </c>
      <c r="F4927" t="s">
        <v>43</v>
      </c>
      <c r="G4927" t="s">
        <v>44</v>
      </c>
      <c r="H4927" t="s">
        <v>90</v>
      </c>
      <c r="I4927" t="s">
        <v>37</v>
      </c>
      <c r="J4927" t="s">
        <v>38</v>
      </c>
      <c r="K4927">
        <v>4380</v>
      </c>
      <c r="L4927">
        <v>23</v>
      </c>
      <c r="M4927">
        <v>31.12</v>
      </c>
      <c r="N4927">
        <v>0</v>
      </c>
      <c r="O4927">
        <v>0</v>
      </c>
      <c r="P4927">
        <f t="shared" si="304"/>
        <v>5.2511415525114159E-3</v>
      </c>
      <c r="Q4927">
        <f t="shared" si="304"/>
        <v>1.3530434782608696</v>
      </c>
      <c r="R4927">
        <f t="shared" si="305"/>
        <v>0</v>
      </c>
      <c r="S4927">
        <f t="shared" si="306"/>
        <v>0</v>
      </c>
      <c r="T4927">
        <f t="shared" si="307"/>
        <v>0</v>
      </c>
      <c r="U4927" t="str">
        <f>YEAR('Campaign Data'!$A4927)&amp;"-"&amp;TEXT(MONTH('Campaign Data'!$A4927),"00")</f>
        <v>2026-09</v>
      </c>
    </row>
    <row r="4928" spans="1:21" x14ac:dyDescent="0.25">
      <c r="A4928">
        <v>46291</v>
      </c>
      <c r="B4928" t="s">
        <v>76</v>
      </c>
      <c r="C4928" t="s">
        <v>77</v>
      </c>
      <c r="D4928" t="s">
        <v>65</v>
      </c>
      <c r="E4928" t="s">
        <v>42</v>
      </c>
      <c r="F4928" t="s">
        <v>43</v>
      </c>
      <c r="G4928" t="s">
        <v>44</v>
      </c>
      <c r="H4928" t="s">
        <v>90</v>
      </c>
      <c r="I4928" t="s">
        <v>37</v>
      </c>
      <c r="J4928" t="s">
        <v>87</v>
      </c>
      <c r="K4928">
        <v>15247</v>
      </c>
      <c r="L4928">
        <v>90</v>
      </c>
      <c r="M4928">
        <v>82.12</v>
      </c>
      <c r="N4928">
        <v>2</v>
      </c>
      <c r="O4928">
        <v>11.77</v>
      </c>
      <c r="P4928">
        <f t="shared" si="304"/>
        <v>5.9028005509280512E-3</v>
      </c>
      <c r="Q4928">
        <f t="shared" si="304"/>
        <v>0.9124444444444445</v>
      </c>
      <c r="R4928">
        <f t="shared" si="305"/>
        <v>41.06</v>
      </c>
      <c r="S4928">
        <f t="shared" si="306"/>
        <v>0.143326838772528</v>
      </c>
      <c r="T4928">
        <f t="shared" si="307"/>
        <v>2.2222222222222223E-2</v>
      </c>
      <c r="U4928" t="str">
        <f>YEAR('Campaign Data'!$A4928)&amp;"-"&amp;TEXT(MONTH('Campaign Data'!$A4928),"00")</f>
        <v>2026-09</v>
      </c>
    </row>
    <row r="4929" spans="1:21" x14ac:dyDescent="0.25">
      <c r="A4929">
        <v>46292</v>
      </c>
      <c r="B4929" t="s">
        <v>173</v>
      </c>
      <c r="C4929" t="s">
        <v>174</v>
      </c>
      <c r="D4929" t="s">
        <v>48</v>
      </c>
      <c r="E4929" t="s">
        <v>74</v>
      </c>
      <c r="F4929" t="s">
        <v>25</v>
      </c>
      <c r="G4929" t="s">
        <v>9</v>
      </c>
      <c r="H4929" t="s">
        <v>36</v>
      </c>
      <c r="I4929" t="s">
        <v>37</v>
      </c>
      <c r="J4929" t="s">
        <v>62</v>
      </c>
      <c r="K4929">
        <v>2598</v>
      </c>
      <c r="L4929">
        <v>97</v>
      </c>
      <c r="M4929">
        <v>149.69</v>
      </c>
      <c r="N4929">
        <v>5</v>
      </c>
      <c r="O4929">
        <v>473.9</v>
      </c>
      <c r="P4929">
        <f t="shared" si="304"/>
        <v>3.7336412625096231E-2</v>
      </c>
      <c r="Q4929">
        <f t="shared" si="304"/>
        <v>1.5431958762886597</v>
      </c>
      <c r="R4929">
        <f t="shared" si="305"/>
        <v>29.937999999999999</v>
      </c>
      <c r="S4929">
        <f t="shared" si="306"/>
        <v>3.1658761440309973</v>
      </c>
      <c r="T4929">
        <f t="shared" si="307"/>
        <v>5.1546391752577317E-2</v>
      </c>
      <c r="U4929" t="str">
        <f>YEAR('Campaign Data'!$A4929)&amp;"-"&amp;TEXT(MONTH('Campaign Data'!$A4929),"00")</f>
        <v>2026-09</v>
      </c>
    </row>
    <row r="4930" spans="1:21" x14ac:dyDescent="0.25">
      <c r="A4930">
        <v>46292</v>
      </c>
      <c r="B4930" t="s">
        <v>21</v>
      </c>
      <c r="C4930" t="s">
        <v>124</v>
      </c>
      <c r="D4930" t="s">
        <v>23</v>
      </c>
      <c r="E4930" t="s">
        <v>24</v>
      </c>
      <c r="F4930" t="s">
        <v>25</v>
      </c>
      <c r="G4930" t="s">
        <v>26</v>
      </c>
      <c r="H4930" t="s">
        <v>36</v>
      </c>
      <c r="I4930" t="s">
        <v>37</v>
      </c>
      <c r="J4930" t="s">
        <v>45</v>
      </c>
      <c r="K4930">
        <v>3118</v>
      </c>
      <c r="L4930">
        <v>32</v>
      </c>
      <c r="M4930">
        <v>19.96</v>
      </c>
      <c r="N4930">
        <v>0</v>
      </c>
      <c r="O4930">
        <v>0</v>
      </c>
      <c r="P4930">
        <f t="shared" ref="P4930:Q4993" si="308">IF(K4930=0,0,L4930/K4930)</f>
        <v>1.0262989095574085E-2</v>
      </c>
      <c r="Q4930">
        <f t="shared" si="308"/>
        <v>0.62375000000000003</v>
      </c>
      <c r="R4930">
        <f t="shared" ref="R4930:R4993" si="309">IF(N4930=0,0,M4930/N4930)</f>
        <v>0</v>
      </c>
      <c r="S4930">
        <f t="shared" ref="S4930:S4993" si="310">IF(M4930=0,0,O4930/M4930)</f>
        <v>0</v>
      </c>
      <c r="T4930">
        <f t="shared" ref="T4930:T4993" si="311">IF(L4930=0,0,N4930/L4930)</f>
        <v>0</v>
      </c>
      <c r="U4930" t="str">
        <f>YEAR('Campaign Data'!$A4930)&amp;"-"&amp;TEXT(MONTH('Campaign Data'!$A4930),"00")</f>
        <v>2026-09</v>
      </c>
    </row>
    <row r="4931" spans="1:21" x14ac:dyDescent="0.25">
      <c r="A4931">
        <v>46292</v>
      </c>
      <c r="B4931" t="s">
        <v>167</v>
      </c>
      <c r="C4931" t="s">
        <v>168</v>
      </c>
      <c r="D4931" t="s">
        <v>58</v>
      </c>
      <c r="E4931" t="s">
        <v>33</v>
      </c>
      <c r="F4931" t="s">
        <v>75</v>
      </c>
      <c r="G4931" t="s">
        <v>35</v>
      </c>
      <c r="H4931" t="s">
        <v>51</v>
      </c>
      <c r="I4931" t="s">
        <v>37</v>
      </c>
      <c r="J4931" t="s">
        <v>87</v>
      </c>
      <c r="K4931">
        <v>1775</v>
      </c>
      <c r="L4931">
        <v>17</v>
      </c>
      <c r="M4931">
        <v>8.4499999999999993</v>
      </c>
      <c r="N4931">
        <v>0</v>
      </c>
      <c r="O4931">
        <v>0</v>
      </c>
      <c r="P4931">
        <f t="shared" si="308"/>
        <v>9.5774647887323944E-3</v>
      </c>
      <c r="Q4931">
        <f t="shared" si="308"/>
        <v>0.49705882352941172</v>
      </c>
      <c r="R4931">
        <f t="shared" si="309"/>
        <v>0</v>
      </c>
      <c r="S4931">
        <f t="shared" si="310"/>
        <v>0</v>
      </c>
      <c r="T4931">
        <f t="shared" si="311"/>
        <v>0</v>
      </c>
      <c r="U4931" t="str">
        <f>YEAR('Campaign Data'!$A4931)&amp;"-"&amp;TEXT(MONTH('Campaign Data'!$A4931),"00")</f>
        <v>2026-09</v>
      </c>
    </row>
    <row r="4932" spans="1:21" x14ac:dyDescent="0.25">
      <c r="A4932">
        <v>46292</v>
      </c>
      <c r="B4932" t="s">
        <v>125</v>
      </c>
      <c r="C4932" t="s">
        <v>126</v>
      </c>
      <c r="D4932" t="s">
        <v>41</v>
      </c>
      <c r="E4932" t="s">
        <v>42</v>
      </c>
      <c r="F4932" t="s">
        <v>81</v>
      </c>
      <c r="G4932" t="s">
        <v>44</v>
      </c>
      <c r="H4932" t="s">
        <v>36</v>
      </c>
      <c r="I4932" t="s">
        <v>37</v>
      </c>
      <c r="J4932" t="s">
        <v>45</v>
      </c>
      <c r="K4932">
        <v>5274</v>
      </c>
      <c r="L4932">
        <v>36</v>
      </c>
      <c r="M4932">
        <v>198.48</v>
      </c>
      <c r="N4932">
        <v>0</v>
      </c>
      <c r="O4932">
        <v>0</v>
      </c>
      <c r="P4932">
        <f t="shared" si="308"/>
        <v>6.8259385665529011E-3</v>
      </c>
      <c r="Q4932">
        <f t="shared" si="308"/>
        <v>5.5133333333333328</v>
      </c>
      <c r="R4932">
        <f t="shared" si="309"/>
        <v>0</v>
      </c>
      <c r="S4932">
        <f t="shared" si="310"/>
        <v>0</v>
      </c>
      <c r="T4932">
        <f t="shared" si="311"/>
        <v>0</v>
      </c>
      <c r="U4932" t="str">
        <f>YEAR('Campaign Data'!$A4932)&amp;"-"&amp;TEXT(MONTH('Campaign Data'!$A4932),"00")</f>
        <v>2026-09</v>
      </c>
    </row>
    <row r="4933" spans="1:21" x14ac:dyDescent="0.25">
      <c r="A4933">
        <v>46292</v>
      </c>
      <c r="B4933" t="s">
        <v>138</v>
      </c>
      <c r="C4933" t="s">
        <v>139</v>
      </c>
      <c r="D4933" t="s">
        <v>58</v>
      </c>
      <c r="E4933" t="s">
        <v>74</v>
      </c>
      <c r="F4933" t="s">
        <v>34</v>
      </c>
      <c r="G4933" t="s">
        <v>9</v>
      </c>
      <c r="H4933" t="s">
        <v>90</v>
      </c>
      <c r="I4933" t="s">
        <v>28</v>
      </c>
      <c r="J4933" t="s">
        <v>87</v>
      </c>
      <c r="K4933">
        <v>4663</v>
      </c>
      <c r="L4933">
        <v>144</v>
      </c>
      <c r="M4933">
        <v>63.67</v>
      </c>
      <c r="N4933">
        <v>3</v>
      </c>
      <c r="O4933">
        <v>125.61</v>
      </c>
      <c r="P4933">
        <f t="shared" si="308"/>
        <v>3.0881406819644006E-2</v>
      </c>
      <c r="Q4933">
        <f t="shared" si="308"/>
        <v>0.44215277777777778</v>
      </c>
      <c r="R4933">
        <f t="shared" si="309"/>
        <v>21.223333333333333</v>
      </c>
      <c r="S4933">
        <f t="shared" si="310"/>
        <v>1.9728286477147792</v>
      </c>
      <c r="T4933">
        <f t="shared" si="311"/>
        <v>2.0833333333333332E-2</v>
      </c>
      <c r="U4933" t="str">
        <f>YEAR('Campaign Data'!$A4933)&amp;"-"&amp;TEXT(MONTH('Campaign Data'!$A4933),"00")</f>
        <v>2026-09</v>
      </c>
    </row>
    <row r="4934" spans="1:21" x14ac:dyDescent="0.25">
      <c r="A4934">
        <v>46292</v>
      </c>
      <c r="B4934" t="s">
        <v>93</v>
      </c>
      <c r="C4934" t="s">
        <v>94</v>
      </c>
      <c r="D4934" t="s">
        <v>69</v>
      </c>
      <c r="E4934" t="s">
        <v>42</v>
      </c>
      <c r="F4934" t="s">
        <v>75</v>
      </c>
      <c r="G4934" t="s">
        <v>44</v>
      </c>
      <c r="H4934" t="s">
        <v>36</v>
      </c>
      <c r="I4934" t="s">
        <v>61</v>
      </c>
      <c r="J4934" t="s">
        <v>45</v>
      </c>
      <c r="K4934">
        <v>2896</v>
      </c>
      <c r="L4934">
        <v>8</v>
      </c>
      <c r="M4934">
        <v>31.45</v>
      </c>
      <c r="N4934">
        <v>0</v>
      </c>
      <c r="O4934">
        <v>0</v>
      </c>
      <c r="P4934">
        <f t="shared" si="308"/>
        <v>2.7624309392265192E-3</v>
      </c>
      <c r="Q4934">
        <f t="shared" si="308"/>
        <v>3.9312499999999999</v>
      </c>
      <c r="R4934">
        <f t="shared" si="309"/>
        <v>0</v>
      </c>
      <c r="S4934">
        <f t="shared" si="310"/>
        <v>0</v>
      </c>
      <c r="T4934">
        <f t="shared" si="311"/>
        <v>0</v>
      </c>
      <c r="U4934" t="str">
        <f>YEAR('Campaign Data'!$A4934)&amp;"-"&amp;TEXT(MONTH('Campaign Data'!$A4934),"00")</f>
        <v>2026-09</v>
      </c>
    </row>
    <row r="4935" spans="1:21" x14ac:dyDescent="0.25">
      <c r="A4935">
        <v>46292</v>
      </c>
      <c r="B4935" t="s">
        <v>151</v>
      </c>
      <c r="C4935" t="s">
        <v>152</v>
      </c>
      <c r="D4935" t="s">
        <v>48</v>
      </c>
      <c r="E4935" t="s">
        <v>24</v>
      </c>
      <c r="F4935" t="s">
        <v>81</v>
      </c>
      <c r="G4935" t="s">
        <v>129</v>
      </c>
      <c r="H4935" t="s">
        <v>90</v>
      </c>
      <c r="I4935" t="s">
        <v>37</v>
      </c>
      <c r="J4935" t="s">
        <v>38</v>
      </c>
      <c r="K4935">
        <v>1143</v>
      </c>
      <c r="L4935">
        <v>11</v>
      </c>
      <c r="M4935">
        <v>2.99</v>
      </c>
      <c r="N4935">
        <v>1</v>
      </c>
      <c r="O4935">
        <v>9.01</v>
      </c>
      <c r="P4935">
        <f t="shared" si="308"/>
        <v>9.6237970253718278E-3</v>
      </c>
      <c r="Q4935">
        <f t="shared" si="308"/>
        <v>0.27181818181818185</v>
      </c>
      <c r="R4935">
        <f t="shared" si="309"/>
        <v>2.99</v>
      </c>
      <c r="S4935">
        <f t="shared" si="310"/>
        <v>3.0133779264214042</v>
      </c>
      <c r="T4935">
        <f t="shared" si="311"/>
        <v>9.0909090909090912E-2</v>
      </c>
      <c r="U4935" t="str">
        <f>YEAR('Campaign Data'!$A4935)&amp;"-"&amp;TEXT(MONTH('Campaign Data'!$A4935),"00")</f>
        <v>2026-09</v>
      </c>
    </row>
    <row r="4936" spans="1:21" x14ac:dyDescent="0.25">
      <c r="A4936">
        <v>46292</v>
      </c>
      <c r="B4936" t="s">
        <v>169</v>
      </c>
      <c r="C4936" t="s">
        <v>170</v>
      </c>
      <c r="D4936" t="s">
        <v>58</v>
      </c>
      <c r="E4936" t="s">
        <v>74</v>
      </c>
      <c r="F4936" t="s">
        <v>75</v>
      </c>
      <c r="G4936" t="s">
        <v>9</v>
      </c>
      <c r="H4936" t="s">
        <v>71</v>
      </c>
      <c r="I4936" t="s">
        <v>28</v>
      </c>
      <c r="J4936" t="s">
        <v>87</v>
      </c>
      <c r="K4936">
        <v>14853</v>
      </c>
      <c r="L4936">
        <v>601</v>
      </c>
      <c r="M4936">
        <v>473.46</v>
      </c>
      <c r="N4936">
        <v>25</v>
      </c>
      <c r="O4936">
        <v>1134.3</v>
      </c>
      <c r="P4936">
        <f t="shared" si="308"/>
        <v>4.0463206086312528E-2</v>
      </c>
      <c r="Q4936">
        <f t="shared" si="308"/>
        <v>0.78778702163061565</v>
      </c>
      <c r="R4936">
        <f t="shared" si="309"/>
        <v>18.938399999999998</v>
      </c>
      <c r="S4936">
        <f t="shared" si="310"/>
        <v>2.3957673298694715</v>
      </c>
      <c r="T4936">
        <f t="shared" si="311"/>
        <v>4.1597337770382693E-2</v>
      </c>
      <c r="U4936" t="str">
        <f>YEAR('Campaign Data'!$A4936)&amp;"-"&amp;TEXT(MONTH('Campaign Data'!$A4936),"00")</f>
        <v>2026-09</v>
      </c>
    </row>
    <row r="4937" spans="1:21" x14ac:dyDescent="0.25">
      <c r="A4937">
        <v>46292</v>
      </c>
      <c r="B4937" t="s">
        <v>127</v>
      </c>
      <c r="C4937" t="s">
        <v>128</v>
      </c>
      <c r="D4937" t="s">
        <v>58</v>
      </c>
      <c r="E4937" t="s">
        <v>24</v>
      </c>
      <c r="F4937" t="s">
        <v>81</v>
      </c>
      <c r="G4937" t="s">
        <v>129</v>
      </c>
      <c r="H4937" t="s">
        <v>90</v>
      </c>
      <c r="I4937" t="s">
        <v>37</v>
      </c>
      <c r="J4937" t="s">
        <v>38</v>
      </c>
      <c r="K4937">
        <v>5671</v>
      </c>
      <c r="L4937">
        <v>58</v>
      </c>
      <c r="M4937">
        <v>14.47</v>
      </c>
      <c r="N4937">
        <v>2</v>
      </c>
      <c r="O4937">
        <v>13.43</v>
      </c>
      <c r="P4937">
        <f t="shared" si="308"/>
        <v>1.0227473108799153E-2</v>
      </c>
      <c r="Q4937">
        <f t="shared" si="308"/>
        <v>0.24948275862068967</v>
      </c>
      <c r="R4937">
        <f t="shared" si="309"/>
        <v>7.2350000000000003</v>
      </c>
      <c r="S4937">
        <f t="shared" si="310"/>
        <v>0.92812715964063575</v>
      </c>
      <c r="T4937">
        <f t="shared" si="311"/>
        <v>3.4482758620689655E-2</v>
      </c>
      <c r="U4937" t="str">
        <f>YEAR('Campaign Data'!$A4937)&amp;"-"&amp;TEXT(MONTH('Campaign Data'!$A4937),"00")</f>
        <v>2026-09</v>
      </c>
    </row>
    <row r="4938" spans="1:21" x14ac:dyDescent="0.25">
      <c r="A4938">
        <v>46292</v>
      </c>
      <c r="B4938" t="s">
        <v>132</v>
      </c>
      <c r="C4938" t="s">
        <v>133</v>
      </c>
      <c r="D4938" t="s">
        <v>23</v>
      </c>
      <c r="E4938" t="s">
        <v>42</v>
      </c>
      <c r="F4938" t="s">
        <v>75</v>
      </c>
      <c r="G4938" t="s">
        <v>84</v>
      </c>
      <c r="H4938" t="s">
        <v>36</v>
      </c>
      <c r="I4938" t="s">
        <v>37</v>
      </c>
      <c r="J4938" t="s">
        <v>45</v>
      </c>
      <c r="K4938">
        <v>2402</v>
      </c>
      <c r="L4938">
        <v>12</v>
      </c>
      <c r="M4938">
        <v>70.63</v>
      </c>
      <c r="N4938">
        <v>0</v>
      </c>
      <c r="O4938">
        <v>0</v>
      </c>
      <c r="P4938">
        <f t="shared" si="308"/>
        <v>4.9958368026644462E-3</v>
      </c>
      <c r="Q4938">
        <f t="shared" si="308"/>
        <v>5.8858333333333333</v>
      </c>
      <c r="R4938">
        <f t="shared" si="309"/>
        <v>0</v>
      </c>
      <c r="S4938">
        <f t="shared" si="310"/>
        <v>0</v>
      </c>
      <c r="T4938">
        <f t="shared" si="311"/>
        <v>0</v>
      </c>
      <c r="U4938" t="str">
        <f>YEAR('Campaign Data'!$A4938)&amp;"-"&amp;TEXT(MONTH('Campaign Data'!$A4938),"00")</f>
        <v>2026-09</v>
      </c>
    </row>
    <row r="4939" spans="1:21" x14ac:dyDescent="0.25">
      <c r="A4939">
        <v>46292</v>
      </c>
      <c r="B4939" t="s">
        <v>153</v>
      </c>
      <c r="C4939" t="s">
        <v>154</v>
      </c>
      <c r="D4939" t="s">
        <v>48</v>
      </c>
      <c r="E4939" t="s">
        <v>33</v>
      </c>
      <c r="F4939" t="s">
        <v>43</v>
      </c>
      <c r="G4939" t="s">
        <v>59</v>
      </c>
      <c r="H4939" t="s">
        <v>55</v>
      </c>
      <c r="I4939" t="s">
        <v>37</v>
      </c>
      <c r="J4939" t="s">
        <v>38</v>
      </c>
      <c r="K4939">
        <v>6635</v>
      </c>
      <c r="L4939">
        <v>53</v>
      </c>
      <c r="M4939">
        <v>34.44</v>
      </c>
      <c r="N4939">
        <v>2</v>
      </c>
      <c r="O4939">
        <v>59.31</v>
      </c>
      <c r="P4939">
        <f t="shared" si="308"/>
        <v>7.9879427279577996E-3</v>
      </c>
      <c r="Q4939">
        <f t="shared" si="308"/>
        <v>0.64981132075471693</v>
      </c>
      <c r="R4939">
        <f t="shared" si="309"/>
        <v>17.22</v>
      </c>
      <c r="S4939">
        <f t="shared" si="310"/>
        <v>1.7221254355400699</v>
      </c>
      <c r="T4939">
        <f t="shared" si="311"/>
        <v>3.7735849056603772E-2</v>
      </c>
      <c r="U4939" t="str">
        <f>YEAR('Campaign Data'!$A4939)&amp;"-"&amp;TEXT(MONTH('Campaign Data'!$A4939),"00")</f>
        <v>2026-09</v>
      </c>
    </row>
    <row r="4940" spans="1:21" x14ac:dyDescent="0.25">
      <c r="A4940">
        <v>46293</v>
      </c>
      <c r="B4940" t="s">
        <v>165</v>
      </c>
      <c r="C4940" t="s">
        <v>166</v>
      </c>
      <c r="D4940" t="s">
        <v>41</v>
      </c>
      <c r="E4940" t="s">
        <v>33</v>
      </c>
      <c r="F4940" t="s">
        <v>43</v>
      </c>
      <c r="G4940" t="s">
        <v>59</v>
      </c>
      <c r="H4940" t="s">
        <v>71</v>
      </c>
      <c r="I4940" t="s">
        <v>37</v>
      </c>
      <c r="J4940" t="s">
        <v>45</v>
      </c>
      <c r="K4940">
        <v>2231</v>
      </c>
      <c r="L4940">
        <v>18</v>
      </c>
      <c r="M4940">
        <v>10.77</v>
      </c>
      <c r="N4940">
        <v>0</v>
      </c>
      <c r="O4940">
        <v>0</v>
      </c>
      <c r="P4940">
        <f t="shared" si="308"/>
        <v>8.0681308830121024E-3</v>
      </c>
      <c r="Q4940">
        <f t="shared" si="308"/>
        <v>0.59833333333333327</v>
      </c>
      <c r="R4940">
        <f t="shared" si="309"/>
        <v>0</v>
      </c>
      <c r="S4940">
        <f t="shared" si="310"/>
        <v>0</v>
      </c>
      <c r="T4940">
        <f t="shared" si="311"/>
        <v>0</v>
      </c>
      <c r="U4940" t="str">
        <f>YEAR('Campaign Data'!$A4940)&amp;"-"&amp;TEXT(MONTH('Campaign Data'!$A4940),"00")</f>
        <v>2026-09</v>
      </c>
    </row>
    <row r="4941" spans="1:21" x14ac:dyDescent="0.25">
      <c r="A4941">
        <v>46293</v>
      </c>
      <c r="B4941" t="s">
        <v>21</v>
      </c>
      <c r="C4941" t="s">
        <v>124</v>
      </c>
      <c r="D4941" t="s">
        <v>23</v>
      </c>
      <c r="E4941" t="s">
        <v>24</v>
      </c>
      <c r="F4941" t="s">
        <v>25</v>
      </c>
      <c r="G4941" t="s">
        <v>26</v>
      </c>
      <c r="H4941" t="s">
        <v>51</v>
      </c>
      <c r="I4941" t="s">
        <v>37</v>
      </c>
      <c r="J4941" t="s">
        <v>87</v>
      </c>
      <c r="K4941">
        <v>4278</v>
      </c>
      <c r="L4941">
        <v>38</v>
      </c>
      <c r="M4941">
        <v>36.89</v>
      </c>
      <c r="N4941">
        <v>1</v>
      </c>
      <c r="O4941">
        <v>136.94</v>
      </c>
      <c r="P4941">
        <f t="shared" si="308"/>
        <v>8.8826554464703136E-3</v>
      </c>
      <c r="Q4941">
        <f t="shared" si="308"/>
        <v>0.97078947368421054</v>
      </c>
      <c r="R4941">
        <f t="shared" si="309"/>
        <v>36.89</v>
      </c>
      <c r="S4941">
        <f t="shared" si="310"/>
        <v>3.7121171049064787</v>
      </c>
      <c r="T4941">
        <f t="shared" si="311"/>
        <v>2.6315789473684209E-2</v>
      </c>
      <c r="U4941" t="str">
        <f>YEAR('Campaign Data'!$A4941)&amp;"-"&amp;TEXT(MONTH('Campaign Data'!$A4941),"00")</f>
        <v>2026-09</v>
      </c>
    </row>
    <row r="4942" spans="1:21" x14ac:dyDescent="0.25">
      <c r="A4942">
        <v>46293</v>
      </c>
      <c r="B4942" t="s">
        <v>91</v>
      </c>
      <c r="C4942" t="s">
        <v>92</v>
      </c>
      <c r="D4942" t="s">
        <v>41</v>
      </c>
      <c r="E4942" t="s">
        <v>74</v>
      </c>
      <c r="F4942" t="s">
        <v>75</v>
      </c>
      <c r="G4942" t="s">
        <v>9</v>
      </c>
      <c r="H4942" t="s">
        <v>27</v>
      </c>
      <c r="I4942" t="s">
        <v>37</v>
      </c>
      <c r="J4942" t="s">
        <v>29</v>
      </c>
      <c r="K4942">
        <v>8722</v>
      </c>
      <c r="L4942">
        <v>298</v>
      </c>
      <c r="M4942">
        <v>533.08000000000004</v>
      </c>
      <c r="N4942">
        <v>22</v>
      </c>
      <c r="O4942">
        <v>1495.12</v>
      </c>
      <c r="P4942">
        <f t="shared" si="308"/>
        <v>3.4166475578995645E-2</v>
      </c>
      <c r="Q4942">
        <f t="shared" si="308"/>
        <v>1.7888590604026846</v>
      </c>
      <c r="R4942">
        <f t="shared" si="309"/>
        <v>24.230909090909094</v>
      </c>
      <c r="S4942">
        <f t="shared" si="310"/>
        <v>2.8046822240564264</v>
      </c>
      <c r="T4942">
        <f t="shared" si="311"/>
        <v>7.3825503355704702E-2</v>
      </c>
      <c r="U4942" t="str">
        <f>YEAR('Campaign Data'!$A4942)&amp;"-"&amp;TEXT(MONTH('Campaign Data'!$A4942),"00")</f>
        <v>2026-09</v>
      </c>
    </row>
    <row r="4943" spans="1:21" x14ac:dyDescent="0.25">
      <c r="A4943">
        <v>46293</v>
      </c>
      <c r="B4943" t="s">
        <v>91</v>
      </c>
      <c r="C4943" t="s">
        <v>92</v>
      </c>
      <c r="D4943" t="s">
        <v>41</v>
      </c>
      <c r="E4943" t="s">
        <v>74</v>
      </c>
      <c r="F4943" t="s">
        <v>75</v>
      </c>
      <c r="G4943" t="s">
        <v>9</v>
      </c>
      <c r="H4943" t="s">
        <v>27</v>
      </c>
      <c r="I4943" t="s">
        <v>37</v>
      </c>
      <c r="J4943" t="s">
        <v>29</v>
      </c>
      <c r="K4943">
        <v>3731</v>
      </c>
      <c r="L4943">
        <v>60</v>
      </c>
      <c r="M4943">
        <v>95.45</v>
      </c>
      <c r="N4943">
        <v>2</v>
      </c>
      <c r="O4943">
        <v>67.91</v>
      </c>
      <c r="P4943">
        <f t="shared" si="308"/>
        <v>1.6081479496113642E-2</v>
      </c>
      <c r="Q4943">
        <f t="shared" si="308"/>
        <v>1.5908333333333333</v>
      </c>
      <c r="R4943">
        <f t="shared" si="309"/>
        <v>47.725000000000001</v>
      </c>
      <c r="S4943">
        <f t="shared" si="310"/>
        <v>0.71147197485594549</v>
      </c>
      <c r="T4943">
        <f t="shared" si="311"/>
        <v>3.3333333333333333E-2</v>
      </c>
      <c r="U4943" t="str">
        <f>YEAR('Campaign Data'!$A4943)&amp;"-"&amp;TEXT(MONTH('Campaign Data'!$A4943),"00")</f>
        <v>2026-09</v>
      </c>
    </row>
    <row r="4944" spans="1:21" x14ac:dyDescent="0.25">
      <c r="A4944">
        <v>46293</v>
      </c>
      <c r="B4944" t="s">
        <v>91</v>
      </c>
      <c r="C4944" t="s">
        <v>92</v>
      </c>
      <c r="D4944" t="s">
        <v>41</v>
      </c>
      <c r="E4944" t="s">
        <v>74</v>
      </c>
      <c r="F4944" t="s">
        <v>75</v>
      </c>
      <c r="G4944" t="s">
        <v>9</v>
      </c>
      <c r="H4944" t="s">
        <v>36</v>
      </c>
      <c r="I4944" t="s">
        <v>37</v>
      </c>
      <c r="J4944" t="s">
        <v>62</v>
      </c>
      <c r="K4944">
        <v>10094</v>
      </c>
      <c r="L4944">
        <v>317</v>
      </c>
      <c r="M4944">
        <v>421.08</v>
      </c>
      <c r="N4944">
        <v>14</v>
      </c>
      <c r="O4944">
        <v>509.72</v>
      </c>
      <c r="P4944">
        <f t="shared" si="308"/>
        <v>3.1404794927679808E-2</v>
      </c>
      <c r="Q4944">
        <f t="shared" si="308"/>
        <v>1.3283280757097791</v>
      </c>
      <c r="R4944">
        <f t="shared" si="309"/>
        <v>30.077142857142857</v>
      </c>
      <c r="S4944">
        <f t="shared" si="310"/>
        <v>1.2105063170893893</v>
      </c>
      <c r="T4944">
        <f t="shared" si="311"/>
        <v>4.4164037854889593E-2</v>
      </c>
      <c r="U4944" t="str">
        <f>YEAR('Campaign Data'!$A4944)&amp;"-"&amp;TEXT(MONTH('Campaign Data'!$A4944),"00")</f>
        <v>2026-09</v>
      </c>
    </row>
    <row r="4945" spans="1:21" x14ac:dyDescent="0.25">
      <c r="A4945">
        <v>46293</v>
      </c>
      <c r="B4945" t="s">
        <v>186</v>
      </c>
      <c r="C4945" t="s">
        <v>187</v>
      </c>
      <c r="D4945" t="s">
        <v>80</v>
      </c>
      <c r="E4945" t="s">
        <v>33</v>
      </c>
      <c r="F4945" t="s">
        <v>43</v>
      </c>
      <c r="G4945" t="s">
        <v>102</v>
      </c>
      <c r="H4945" t="s">
        <v>27</v>
      </c>
      <c r="I4945" t="s">
        <v>28</v>
      </c>
      <c r="J4945" t="s">
        <v>45</v>
      </c>
      <c r="K4945">
        <v>4307</v>
      </c>
      <c r="L4945">
        <v>22</v>
      </c>
      <c r="M4945">
        <v>18.22</v>
      </c>
      <c r="N4945">
        <v>1</v>
      </c>
      <c r="O4945">
        <v>39.72</v>
      </c>
      <c r="P4945">
        <f t="shared" si="308"/>
        <v>5.107963779893197E-3</v>
      </c>
      <c r="Q4945">
        <f t="shared" si="308"/>
        <v>0.82818181818181813</v>
      </c>
      <c r="R4945">
        <f t="shared" si="309"/>
        <v>18.22</v>
      </c>
      <c r="S4945">
        <f t="shared" si="310"/>
        <v>2.1800219538968166</v>
      </c>
      <c r="T4945">
        <f t="shared" si="311"/>
        <v>4.5454545454545456E-2</v>
      </c>
      <c r="U4945" t="str">
        <f>YEAR('Campaign Data'!$A4945)&amp;"-"&amp;TEXT(MONTH('Campaign Data'!$A4945),"00")</f>
        <v>2026-09</v>
      </c>
    </row>
    <row r="4946" spans="1:21" x14ac:dyDescent="0.25">
      <c r="A4946">
        <v>46293</v>
      </c>
      <c r="B4946" t="s">
        <v>93</v>
      </c>
      <c r="C4946" t="s">
        <v>94</v>
      </c>
      <c r="D4946" t="s">
        <v>69</v>
      </c>
      <c r="E4946" t="s">
        <v>42</v>
      </c>
      <c r="F4946" t="s">
        <v>75</v>
      </c>
      <c r="G4946" t="s">
        <v>44</v>
      </c>
      <c r="H4946" t="s">
        <v>71</v>
      </c>
      <c r="I4946" t="s">
        <v>37</v>
      </c>
      <c r="J4946" t="s">
        <v>87</v>
      </c>
      <c r="K4946">
        <v>6780</v>
      </c>
      <c r="L4946">
        <v>40</v>
      </c>
      <c r="M4946">
        <v>239.51</v>
      </c>
      <c r="N4946">
        <v>1</v>
      </c>
      <c r="O4946">
        <v>19.690000000000001</v>
      </c>
      <c r="P4946">
        <f t="shared" si="308"/>
        <v>5.8997050147492625E-3</v>
      </c>
      <c r="Q4946">
        <f t="shared" si="308"/>
        <v>5.9877500000000001</v>
      </c>
      <c r="R4946">
        <f t="shared" si="309"/>
        <v>239.51</v>
      </c>
      <c r="S4946">
        <f t="shared" si="310"/>
        <v>8.220951108513215E-2</v>
      </c>
      <c r="T4946">
        <f t="shared" si="311"/>
        <v>2.5000000000000001E-2</v>
      </c>
      <c r="U4946" t="str">
        <f>YEAR('Campaign Data'!$A4946)&amp;"-"&amp;TEXT(MONTH('Campaign Data'!$A4946),"00")</f>
        <v>2026-09</v>
      </c>
    </row>
    <row r="4947" spans="1:21" x14ac:dyDescent="0.25">
      <c r="A4947">
        <v>46293</v>
      </c>
      <c r="B4947" t="s">
        <v>151</v>
      </c>
      <c r="C4947" t="s">
        <v>152</v>
      </c>
      <c r="D4947" t="s">
        <v>48</v>
      </c>
      <c r="E4947" t="s">
        <v>24</v>
      </c>
      <c r="F4947" t="s">
        <v>81</v>
      </c>
      <c r="G4947" t="s">
        <v>129</v>
      </c>
      <c r="H4947" t="s">
        <v>27</v>
      </c>
      <c r="I4947" t="s">
        <v>28</v>
      </c>
      <c r="J4947" t="s">
        <v>62</v>
      </c>
      <c r="K4947">
        <v>6104</v>
      </c>
      <c r="L4947">
        <v>120</v>
      </c>
      <c r="M4947">
        <v>97.26</v>
      </c>
      <c r="N4947">
        <v>2</v>
      </c>
      <c r="O4947">
        <v>54.89</v>
      </c>
      <c r="P4947">
        <f t="shared" si="308"/>
        <v>1.9659239842726082E-2</v>
      </c>
      <c r="Q4947">
        <f t="shared" si="308"/>
        <v>0.8105</v>
      </c>
      <c r="R4947">
        <f t="shared" si="309"/>
        <v>48.63</v>
      </c>
      <c r="S4947">
        <f t="shared" si="310"/>
        <v>0.56436356158749745</v>
      </c>
      <c r="T4947">
        <f t="shared" si="311"/>
        <v>1.6666666666666666E-2</v>
      </c>
      <c r="U4947" t="str">
        <f>YEAR('Campaign Data'!$A4947)&amp;"-"&amp;TEXT(MONTH('Campaign Data'!$A4947),"00")</f>
        <v>2026-09</v>
      </c>
    </row>
    <row r="4948" spans="1:21" x14ac:dyDescent="0.25">
      <c r="A4948">
        <v>46293</v>
      </c>
      <c r="B4948" t="s">
        <v>39</v>
      </c>
      <c r="C4948" t="s">
        <v>40</v>
      </c>
      <c r="D4948" t="s">
        <v>41</v>
      </c>
      <c r="E4948" t="s">
        <v>42</v>
      </c>
      <c r="F4948" t="s">
        <v>43</v>
      </c>
      <c r="G4948" t="s">
        <v>44</v>
      </c>
      <c r="H4948" t="s">
        <v>90</v>
      </c>
      <c r="I4948" t="s">
        <v>28</v>
      </c>
      <c r="J4948" t="s">
        <v>62</v>
      </c>
      <c r="K4948">
        <v>2711</v>
      </c>
      <c r="L4948">
        <v>17</v>
      </c>
      <c r="M4948">
        <v>28.47</v>
      </c>
      <c r="N4948">
        <v>1</v>
      </c>
      <c r="O4948">
        <v>5</v>
      </c>
      <c r="P4948">
        <f t="shared" si="308"/>
        <v>6.270748801180376E-3</v>
      </c>
      <c r="Q4948">
        <f t="shared" si="308"/>
        <v>1.674705882352941</v>
      </c>
      <c r="R4948">
        <f t="shared" si="309"/>
        <v>28.47</v>
      </c>
      <c r="S4948">
        <f t="shared" si="310"/>
        <v>0.17562346329469619</v>
      </c>
      <c r="T4948">
        <f t="shared" si="311"/>
        <v>5.8823529411764705E-2</v>
      </c>
      <c r="U4948" t="str">
        <f>YEAR('Campaign Data'!$A4948)&amp;"-"&amp;TEXT(MONTH('Campaign Data'!$A4948),"00")</f>
        <v>2026-09</v>
      </c>
    </row>
    <row r="4949" spans="1:21" x14ac:dyDescent="0.25">
      <c r="A4949">
        <v>46293</v>
      </c>
      <c r="B4949" t="s">
        <v>127</v>
      </c>
      <c r="C4949" t="s">
        <v>128</v>
      </c>
      <c r="D4949" t="s">
        <v>58</v>
      </c>
      <c r="E4949" t="s">
        <v>24</v>
      </c>
      <c r="F4949" t="s">
        <v>81</v>
      </c>
      <c r="G4949" t="s">
        <v>129</v>
      </c>
      <c r="H4949" t="s">
        <v>51</v>
      </c>
      <c r="I4949" t="s">
        <v>37</v>
      </c>
      <c r="J4949" t="s">
        <v>62</v>
      </c>
      <c r="K4949">
        <v>20598</v>
      </c>
      <c r="L4949">
        <v>337</v>
      </c>
      <c r="M4949">
        <v>367.67</v>
      </c>
      <c r="N4949">
        <v>23</v>
      </c>
      <c r="O4949">
        <v>405.12</v>
      </c>
      <c r="P4949">
        <f t="shared" si="308"/>
        <v>1.6360811729294107E-2</v>
      </c>
      <c r="Q4949">
        <f t="shared" si="308"/>
        <v>1.0910089020771514</v>
      </c>
      <c r="R4949">
        <f t="shared" si="309"/>
        <v>15.985652173913044</v>
      </c>
      <c r="S4949">
        <f t="shared" si="310"/>
        <v>1.1018576440830092</v>
      </c>
      <c r="T4949">
        <f t="shared" si="311"/>
        <v>6.8249258160237386E-2</v>
      </c>
      <c r="U4949" t="str">
        <f>YEAR('Campaign Data'!$A4949)&amp;"-"&amp;TEXT(MONTH('Campaign Data'!$A4949),"00")</f>
        <v>2026-09</v>
      </c>
    </row>
    <row r="4950" spans="1:21" x14ac:dyDescent="0.25">
      <c r="A4950">
        <v>46293</v>
      </c>
      <c r="B4950" t="s">
        <v>103</v>
      </c>
      <c r="C4950" t="s">
        <v>104</v>
      </c>
      <c r="D4950" t="s">
        <v>65</v>
      </c>
      <c r="E4950" t="s">
        <v>33</v>
      </c>
      <c r="F4950" t="s">
        <v>43</v>
      </c>
      <c r="G4950" t="s">
        <v>102</v>
      </c>
      <c r="H4950" t="s">
        <v>27</v>
      </c>
      <c r="I4950" t="s">
        <v>37</v>
      </c>
      <c r="J4950" t="s">
        <v>29</v>
      </c>
      <c r="K4950">
        <v>4418</v>
      </c>
      <c r="L4950">
        <v>25</v>
      </c>
      <c r="M4950">
        <v>20.46</v>
      </c>
      <c r="N4950">
        <v>0</v>
      </c>
      <c r="O4950">
        <v>0</v>
      </c>
      <c r="P4950">
        <f t="shared" si="308"/>
        <v>5.6586690810321409E-3</v>
      </c>
      <c r="Q4950">
        <f t="shared" si="308"/>
        <v>0.81840000000000002</v>
      </c>
      <c r="R4950">
        <f t="shared" si="309"/>
        <v>0</v>
      </c>
      <c r="S4950">
        <f t="shared" si="310"/>
        <v>0</v>
      </c>
      <c r="T4950">
        <f t="shared" si="311"/>
        <v>0</v>
      </c>
      <c r="U4950" t="str">
        <f>YEAR('Campaign Data'!$A4950)&amp;"-"&amp;TEXT(MONTH('Campaign Data'!$A4950),"00")</f>
        <v>2026-09</v>
      </c>
    </row>
    <row r="4951" spans="1:21" x14ac:dyDescent="0.25">
      <c r="A4951">
        <v>46293</v>
      </c>
      <c r="B4951" t="s">
        <v>130</v>
      </c>
      <c r="C4951" t="s">
        <v>131</v>
      </c>
      <c r="D4951" t="s">
        <v>48</v>
      </c>
      <c r="E4951" t="s">
        <v>33</v>
      </c>
      <c r="F4951" t="s">
        <v>34</v>
      </c>
      <c r="G4951" t="s">
        <v>35</v>
      </c>
      <c r="H4951" t="s">
        <v>27</v>
      </c>
      <c r="I4951" t="s">
        <v>37</v>
      </c>
      <c r="J4951" t="s">
        <v>45</v>
      </c>
      <c r="K4951">
        <v>3578</v>
      </c>
      <c r="L4951">
        <v>36</v>
      </c>
      <c r="M4951">
        <v>30.12</v>
      </c>
      <c r="N4951">
        <v>1</v>
      </c>
      <c r="O4951">
        <v>211.33</v>
      </c>
      <c r="P4951">
        <f t="shared" si="308"/>
        <v>1.0061486864169928E-2</v>
      </c>
      <c r="Q4951">
        <f t="shared" si="308"/>
        <v>0.83666666666666667</v>
      </c>
      <c r="R4951">
        <f t="shared" si="309"/>
        <v>30.12</v>
      </c>
      <c r="S4951">
        <f t="shared" si="310"/>
        <v>7.0162682602921649</v>
      </c>
      <c r="T4951">
        <f t="shared" si="311"/>
        <v>2.7777777777777776E-2</v>
      </c>
      <c r="U4951" t="str">
        <f>YEAR('Campaign Data'!$A4951)&amp;"-"&amp;TEXT(MONTH('Campaign Data'!$A4951),"00")</f>
        <v>2026-09</v>
      </c>
    </row>
    <row r="4952" spans="1:21" x14ac:dyDescent="0.25">
      <c r="A4952">
        <v>46293</v>
      </c>
      <c r="B4952" t="s">
        <v>132</v>
      </c>
      <c r="C4952" t="s">
        <v>133</v>
      </c>
      <c r="D4952" t="s">
        <v>23</v>
      </c>
      <c r="E4952" t="s">
        <v>42</v>
      </c>
      <c r="F4952" t="s">
        <v>75</v>
      </c>
      <c r="G4952" t="s">
        <v>84</v>
      </c>
      <c r="H4952" t="s">
        <v>27</v>
      </c>
      <c r="I4952" t="s">
        <v>37</v>
      </c>
      <c r="J4952" t="s">
        <v>62</v>
      </c>
      <c r="K4952">
        <v>3402</v>
      </c>
      <c r="L4952">
        <v>20</v>
      </c>
      <c r="M4952">
        <v>151.56</v>
      </c>
      <c r="N4952">
        <v>0</v>
      </c>
      <c r="O4952">
        <v>0</v>
      </c>
      <c r="P4952">
        <f t="shared" si="308"/>
        <v>5.8788947677836569E-3</v>
      </c>
      <c r="Q4952">
        <f t="shared" si="308"/>
        <v>7.5780000000000003</v>
      </c>
      <c r="R4952">
        <f t="shared" si="309"/>
        <v>0</v>
      </c>
      <c r="S4952">
        <f t="shared" si="310"/>
        <v>0</v>
      </c>
      <c r="T4952">
        <f t="shared" si="311"/>
        <v>0</v>
      </c>
      <c r="U4952" t="str">
        <f>YEAR('Campaign Data'!$A4952)&amp;"-"&amp;TEXT(MONTH('Campaign Data'!$A4952),"00")</f>
        <v>2026-09</v>
      </c>
    </row>
    <row r="4953" spans="1:21" x14ac:dyDescent="0.25">
      <c r="A4953">
        <v>46293</v>
      </c>
      <c r="B4953" t="s">
        <v>132</v>
      </c>
      <c r="C4953" t="s">
        <v>133</v>
      </c>
      <c r="D4953" t="s">
        <v>23</v>
      </c>
      <c r="E4953" t="s">
        <v>42</v>
      </c>
      <c r="F4953" t="s">
        <v>75</v>
      </c>
      <c r="G4953" t="s">
        <v>84</v>
      </c>
      <c r="H4953" t="s">
        <v>60</v>
      </c>
      <c r="I4953" t="s">
        <v>37</v>
      </c>
      <c r="J4953" t="s">
        <v>45</v>
      </c>
      <c r="K4953">
        <v>8641</v>
      </c>
      <c r="L4953">
        <v>53</v>
      </c>
      <c r="M4953">
        <v>289.77999999999997</v>
      </c>
      <c r="N4953">
        <v>1</v>
      </c>
      <c r="O4953">
        <v>16.579999999999998</v>
      </c>
      <c r="P4953">
        <f t="shared" si="308"/>
        <v>6.1335493577132274E-3</v>
      </c>
      <c r="Q4953">
        <f t="shared" si="308"/>
        <v>5.4675471698113203</v>
      </c>
      <c r="R4953">
        <f t="shared" si="309"/>
        <v>289.77999999999997</v>
      </c>
      <c r="S4953">
        <f t="shared" si="310"/>
        <v>5.7215818897094345E-2</v>
      </c>
      <c r="T4953">
        <f t="shared" si="311"/>
        <v>1.8867924528301886E-2</v>
      </c>
      <c r="U4953" t="str">
        <f>YEAR('Campaign Data'!$A4953)&amp;"-"&amp;TEXT(MONTH('Campaign Data'!$A4953),"00")</f>
        <v>2026-09</v>
      </c>
    </row>
    <row r="4954" spans="1:21" x14ac:dyDescent="0.25">
      <c r="A4954">
        <v>46293</v>
      </c>
      <c r="B4954" t="s">
        <v>110</v>
      </c>
      <c r="C4954" t="s">
        <v>111</v>
      </c>
      <c r="D4954" t="s">
        <v>23</v>
      </c>
      <c r="E4954" t="s">
        <v>49</v>
      </c>
      <c r="F4954" t="s">
        <v>34</v>
      </c>
      <c r="G4954" t="s">
        <v>50</v>
      </c>
      <c r="H4954" t="s">
        <v>36</v>
      </c>
      <c r="I4954" t="s">
        <v>37</v>
      </c>
      <c r="J4954" t="s">
        <v>62</v>
      </c>
      <c r="K4954">
        <v>3549</v>
      </c>
      <c r="L4954">
        <v>220</v>
      </c>
      <c r="M4954">
        <v>262.39</v>
      </c>
      <c r="N4954">
        <v>14</v>
      </c>
      <c r="O4954">
        <v>1100.1300000000001</v>
      </c>
      <c r="P4954">
        <f t="shared" si="308"/>
        <v>6.198929275852353E-2</v>
      </c>
      <c r="Q4954">
        <f t="shared" si="308"/>
        <v>1.1926818181818182</v>
      </c>
      <c r="R4954">
        <f t="shared" si="309"/>
        <v>18.742142857142856</v>
      </c>
      <c r="S4954">
        <f t="shared" si="310"/>
        <v>4.1927283814169751</v>
      </c>
      <c r="T4954">
        <f t="shared" si="311"/>
        <v>6.363636363636363E-2</v>
      </c>
      <c r="U4954" t="str">
        <f>YEAR('Campaign Data'!$A4954)&amp;"-"&amp;TEXT(MONTH('Campaign Data'!$A4954),"00")</f>
        <v>2026-09</v>
      </c>
    </row>
    <row r="4955" spans="1:21" x14ac:dyDescent="0.25">
      <c r="A4955">
        <v>46293</v>
      </c>
      <c r="B4955" t="s">
        <v>110</v>
      </c>
      <c r="C4955" t="s">
        <v>111</v>
      </c>
      <c r="D4955" t="s">
        <v>23</v>
      </c>
      <c r="E4955" t="s">
        <v>49</v>
      </c>
      <c r="F4955" t="s">
        <v>34</v>
      </c>
      <c r="G4955" t="s">
        <v>50</v>
      </c>
      <c r="H4955" t="s">
        <v>36</v>
      </c>
      <c r="I4955" t="s">
        <v>61</v>
      </c>
      <c r="J4955" t="s">
        <v>38</v>
      </c>
      <c r="K4955">
        <v>6084</v>
      </c>
      <c r="L4955">
        <v>277</v>
      </c>
      <c r="M4955">
        <v>404.13</v>
      </c>
      <c r="N4955">
        <v>10</v>
      </c>
      <c r="O4955">
        <v>1477.18</v>
      </c>
      <c r="P4955">
        <f t="shared" si="308"/>
        <v>4.5529257067718605E-2</v>
      </c>
      <c r="Q4955">
        <f t="shared" si="308"/>
        <v>1.4589530685920578</v>
      </c>
      <c r="R4955">
        <f t="shared" si="309"/>
        <v>40.412999999999997</v>
      </c>
      <c r="S4955">
        <f t="shared" si="310"/>
        <v>3.6552099571919929</v>
      </c>
      <c r="T4955">
        <f t="shared" si="311"/>
        <v>3.6101083032490974E-2</v>
      </c>
      <c r="U4955" t="str">
        <f>YEAR('Campaign Data'!$A4955)&amp;"-"&amp;TEXT(MONTH('Campaign Data'!$A4955),"00")</f>
        <v>2026-09</v>
      </c>
    </row>
    <row r="4956" spans="1:21" x14ac:dyDescent="0.25">
      <c r="A4956">
        <v>46293</v>
      </c>
      <c r="B4956" t="s">
        <v>134</v>
      </c>
      <c r="C4956" t="s">
        <v>135</v>
      </c>
      <c r="D4956" t="s">
        <v>32</v>
      </c>
      <c r="E4956" t="s">
        <v>74</v>
      </c>
      <c r="F4956" t="s">
        <v>25</v>
      </c>
      <c r="G4956" t="s">
        <v>107</v>
      </c>
      <c r="H4956" t="s">
        <v>90</v>
      </c>
      <c r="I4956" t="s">
        <v>37</v>
      </c>
      <c r="J4956" t="s">
        <v>29</v>
      </c>
      <c r="K4956">
        <v>3843</v>
      </c>
      <c r="L4956">
        <v>144</v>
      </c>
      <c r="M4956">
        <v>35.44</v>
      </c>
      <c r="N4956">
        <v>8</v>
      </c>
      <c r="O4956">
        <v>385.35</v>
      </c>
      <c r="P4956">
        <f t="shared" si="308"/>
        <v>3.7470725995316159E-2</v>
      </c>
      <c r="Q4956">
        <f t="shared" si="308"/>
        <v>0.24611111111111109</v>
      </c>
      <c r="R4956">
        <f t="shared" si="309"/>
        <v>4.43</v>
      </c>
      <c r="S4956">
        <f t="shared" si="310"/>
        <v>10.873306997742665</v>
      </c>
      <c r="T4956">
        <f t="shared" si="311"/>
        <v>5.5555555555555552E-2</v>
      </c>
      <c r="U4956" t="str">
        <f>YEAR('Campaign Data'!$A4956)&amp;"-"&amp;TEXT(MONTH('Campaign Data'!$A4956),"00")</f>
        <v>2026-09</v>
      </c>
    </row>
    <row r="4957" spans="1:21" x14ac:dyDescent="0.25">
      <c r="A4957">
        <v>46293</v>
      </c>
      <c r="B4957" t="s">
        <v>157</v>
      </c>
      <c r="C4957" t="s">
        <v>158</v>
      </c>
      <c r="D4957" t="s">
        <v>58</v>
      </c>
      <c r="E4957" t="s">
        <v>49</v>
      </c>
      <c r="F4957" t="s">
        <v>81</v>
      </c>
      <c r="G4957" t="s">
        <v>50</v>
      </c>
      <c r="H4957" t="s">
        <v>27</v>
      </c>
      <c r="I4957" t="s">
        <v>28</v>
      </c>
      <c r="J4957" t="s">
        <v>29</v>
      </c>
      <c r="K4957">
        <v>37824</v>
      </c>
      <c r="L4957">
        <v>1567</v>
      </c>
      <c r="M4957">
        <v>3167.48</v>
      </c>
      <c r="N4957">
        <v>127</v>
      </c>
      <c r="O4957">
        <v>1638.97</v>
      </c>
      <c r="P4957">
        <f t="shared" si="308"/>
        <v>4.1428722504230117E-2</v>
      </c>
      <c r="Q4957">
        <f t="shared" si="308"/>
        <v>2.0213656668793876</v>
      </c>
      <c r="R4957">
        <f t="shared" si="309"/>
        <v>24.940787401574802</v>
      </c>
      <c r="S4957">
        <f t="shared" si="310"/>
        <v>0.51743657418515665</v>
      </c>
      <c r="T4957">
        <f t="shared" si="311"/>
        <v>8.1046585832801527E-2</v>
      </c>
      <c r="U4957" t="str">
        <f>YEAR('Campaign Data'!$A4957)&amp;"-"&amp;TEXT(MONTH('Campaign Data'!$A4957),"00")</f>
        <v>2026-09</v>
      </c>
    </row>
    <row r="4958" spans="1:21" x14ac:dyDescent="0.25">
      <c r="A4958">
        <v>46293</v>
      </c>
      <c r="B4958" t="s">
        <v>114</v>
      </c>
      <c r="C4958" t="s">
        <v>115</v>
      </c>
      <c r="D4958" t="s">
        <v>69</v>
      </c>
      <c r="E4958" t="s">
        <v>49</v>
      </c>
      <c r="F4958" t="s">
        <v>25</v>
      </c>
      <c r="G4958" t="s">
        <v>107</v>
      </c>
      <c r="H4958" t="s">
        <v>27</v>
      </c>
      <c r="I4958" t="s">
        <v>28</v>
      </c>
      <c r="J4958" t="s">
        <v>38</v>
      </c>
      <c r="K4958">
        <v>21983</v>
      </c>
      <c r="L4958">
        <v>1218</v>
      </c>
      <c r="M4958">
        <v>2242.8000000000002</v>
      </c>
      <c r="N4958">
        <v>81</v>
      </c>
      <c r="O4958">
        <v>11840.82</v>
      </c>
      <c r="P4958">
        <f t="shared" si="308"/>
        <v>5.5406450438975574E-2</v>
      </c>
      <c r="Q4958">
        <f t="shared" si="308"/>
        <v>1.8413793103448277</v>
      </c>
      <c r="R4958">
        <f t="shared" si="309"/>
        <v>27.68888888888889</v>
      </c>
      <c r="S4958">
        <f t="shared" si="310"/>
        <v>5.2794810058854997</v>
      </c>
      <c r="T4958">
        <f t="shared" si="311"/>
        <v>6.6502463054187194E-2</v>
      </c>
      <c r="U4958" t="str">
        <f>YEAR('Campaign Data'!$A4958)&amp;"-"&amp;TEXT(MONTH('Campaign Data'!$A4958),"00")</f>
        <v>2026-09</v>
      </c>
    </row>
    <row r="4959" spans="1:21" x14ac:dyDescent="0.25">
      <c r="A4959">
        <v>46293</v>
      </c>
      <c r="B4959" t="s">
        <v>183</v>
      </c>
      <c r="C4959" t="s">
        <v>184</v>
      </c>
      <c r="D4959" t="s">
        <v>23</v>
      </c>
      <c r="E4959" t="s">
        <v>24</v>
      </c>
      <c r="F4959" t="s">
        <v>81</v>
      </c>
      <c r="G4959" t="s">
        <v>185</v>
      </c>
      <c r="H4959" t="s">
        <v>90</v>
      </c>
      <c r="I4959" t="s">
        <v>28</v>
      </c>
      <c r="J4959" t="s">
        <v>62</v>
      </c>
      <c r="K4959">
        <v>8463</v>
      </c>
      <c r="L4959">
        <v>128</v>
      </c>
      <c r="M4959">
        <v>35.03</v>
      </c>
      <c r="N4959">
        <v>2</v>
      </c>
      <c r="O4959">
        <v>13.85</v>
      </c>
      <c r="P4959">
        <f t="shared" si="308"/>
        <v>1.5124660285950609E-2</v>
      </c>
      <c r="Q4959">
        <f t="shared" si="308"/>
        <v>0.27367187500000001</v>
      </c>
      <c r="R4959">
        <f t="shared" si="309"/>
        <v>17.515000000000001</v>
      </c>
      <c r="S4959">
        <f t="shared" si="310"/>
        <v>0.39537539252069653</v>
      </c>
      <c r="T4959">
        <f t="shared" si="311"/>
        <v>1.5625E-2</v>
      </c>
      <c r="U4959" t="str">
        <f>YEAR('Campaign Data'!$A4959)&amp;"-"&amp;TEXT(MONTH('Campaign Data'!$A4959),"00")</f>
        <v>2026-09</v>
      </c>
    </row>
    <row r="4960" spans="1:21" x14ac:dyDescent="0.25">
      <c r="A4960">
        <v>46293</v>
      </c>
      <c r="B4960" t="s">
        <v>116</v>
      </c>
      <c r="C4960" t="s">
        <v>117</v>
      </c>
      <c r="D4960" t="s">
        <v>48</v>
      </c>
      <c r="E4960" t="s">
        <v>24</v>
      </c>
      <c r="F4960" t="s">
        <v>43</v>
      </c>
      <c r="G4960" t="s">
        <v>26</v>
      </c>
      <c r="H4960" t="s">
        <v>51</v>
      </c>
      <c r="I4960" t="s">
        <v>28</v>
      </c>
      <c r="J4960" t="s">
        <v>87</v>
      </c>
      <c r="K4960">
        <v>12904</v>
      </c>
      <c r="L4960">
        <v>189</v>
      </c>
      <c r="M4960">
        <v>215.83</v>
      </c>
      <c r="N4960">
        <v>4</v>
      </c>
      <c r="O4960">
        <v>91.41</v>
      </c>
      <c r="P4960">
        <f t="shared" si="308"/>
        <v>1.4646621202727837E-2</v>
      </c>
      <c r="Q4960">
        <f t="shared" si="308"/>
        <v>1.1419576719576721</v>
      </c>
      <c r="R4960">
        <f t="shared" si="309"/>
        <v>53.957500000000003</v>
      </c>
      <c r="S4960">
        <f t="shared" si="310"/>
        <v>0.42352777649075657</v>
      </c>
      <c r="T4960">
        <f t="shared" si="311"/>
        <v>2.1164021164021163E-2</v>
      </c>
      <c r="U4960" t="str">
        <f>YEAR('Campaign Data'!$A4960)&amp;"-"&amp;TEXT(MONTH('Campaign Data'!$A4960),"00")</f>
        <v>2026-09</v>
      </c>
    </row>
    <row r="4961" spans="1:21" x14ac:dyDescent="0.25">
      <c r="A4961">
        <v>46293</v>
      </c>
      <c r="B4961" t="s">
        <v>120</v>
      </c>
      <c r="C4961" t="s">
        <v>121</v>
      </c>
      <c r="D4961" t="s">
        <v>23</v>
      </c>
      <c r="E4961" t="s">
        <v>49</v>
      </c>
      <c r="F4961" t="s">
        <v>75</v>
      </c>
      <c r="G4961" t="s">
        <v>70</v>
      </c>
      <c r="H4961" t="s">
        <v>71</v>
      </c>
      <c r="I4961" t="s">
        <v>28</v>
      </c>
      <c r="J4961" t="s">
        <v>62</v>
      </c>
      <c r="K4961">
        <v>5316</v>
      </c>
      <c r="L4961">
        <v>269</v>
      </c>
      <c r="M4961">
        <v>532.79999999999995</v>
      </c>
      <c r="N4961">
        <v>17</v>
      </c>
      <c r="O4961">
        <v>768.74</v>
      </c>
      <c r="P4961">
        <f t="shared" si="308"/>
        <v>5.060195635816403E-2</v>
      </c>
      <c r="Q4961">
        <f t="shared" si="308"/>
        <v>1.9806691449814124</v>
      </c>
      <c r="R4961">
        <f t="shared" si="309"/>
        <v>31.341176470588234</v>
      </c>
      <c r="S4961">
        <f t="shared" si="310"/>
        <v>1.4428303303303305</v>
      </c>
      <c r="T4961">
        <f t="shared" si="311"/>
        <v>6.3197026022304828E-2</v>
      </c>
      <c r="U4961" t="str">
        <f>YEAR('Campaign Data'!$A4961)&amp;"-"&amp;TEXT(MONTH('Campaign Data'!$A4961),"00")</f>
        <v>2026-09</v>
      </c>
    </row>
    <row r="4962" spans="1:21" x14ac:dyDescent="0.25">
      <c r="A4962">
        <v>46294</v>
      </c>
      <c r="B4962" t="s">
        <v>173</v>
      </c>
      <c r="C4962" t="s">
        <v>174</v>
      </c>
      <c r="D4962" t="s">
        <v>48</v>
      </c>
      <c r="E4962" t="s">
        <v>74</v>
      </c>
      <c r="F4962" t="s">
        <v>25</v>
      </c>
      <c r="G4962" t="s">
        <v>9</v>
      </c>
      <c r="H4962" t="s">
        <v>90</v>
      </c>
      <c r="I4962" t="s">
        <v>28</v>
      </c>
      <c r="J4962" t="s">
        <v>29</v>
      </c>
      <c r="K4962">
        <v>8148</v>
      </c>
      <c r="L4962">
        <v>323</v>
      </c>
      <c r="M4962">
        <v>148.51</v>
      </c>
      <c r="N4962">
        <v>17</v>
      </c>
      <c r="O4962">
        <v>548.42999999999995</v>
      </c>
      <c r="P4962">
        <f t="shared" si="308"/>
        <v>3.9641629847815413E-2</v>
      </c>
      <c r="Q4962">
        <f t="shared" si="308"/>
        <v>0.45978328173374611</v>
      </c>
      <c r="R4962">
        <f t="shared" si="309"/>
        <v>8.7358823529411751</v>
      </c>
      <c r="S4962">
        <f t="shared" si="310"/>
        <v>3.6928826341660494</v>
      </c>
      <c r="T4962">
        <f t="shared" si="311"/>
        <v>5.2631578947368418E-2</v>
      </c>
      <c r="U4962" t="str">
        <f>YEAR('Campaign Data'!$A4962)&amp;"-"&amp;TEXT(MONTH('Campaign Data'!$A4962),"00")</f>
        <v>2026-09</v>
      </c>
    </row>
    <row r="4963" spans="1:21" x14ac:dyDescent="0.25">
      <c r="A4963">
        <v>46294</v>
      </c>
      <c r="B4963" t="s">
        <v>147</v>
      </c>
      <c r="C4963" t="s">
        <v>148</v>
      </c>
      <c r="D4963" t="s">
        <v>23</v>
      </c>
      <c r="E4963" t="s">
        <v>42</v>
      </c>
      <c r="F4963" t="s">
        <v>75</v>
      </c>
      <c r="G4963" t="s">
        <v>44</v>
      </c>
      <c r="H4963" t="s">
        <v>36</v>
      </c>
      <c r="I4963" t="s">
        <v>28</v>
      </c>
      <c r="J4963" t="s">
        <v>87</v>
      </c>
      <c r="K4963">
        <v>7646</v>
      </c>
      <c r="L4963">
        <v>52</v>
      </c>
      <c r="M4963">
        <v>309.08999999999997</v>
      </c>
      <c r="N4963">
        <v>2</v>
      </c>
      <c r="O4963">
        <v>41.26</v>
      </c>
      <c r="P4963">
        <f t="shared" si="308"/>
        <v>6.8009416688464552E-3</v>
      </c>
      <c r="Q4963">
        <f t="shared" si="308"/>
        <v>5.9440384615384607</v>
      </c>
      <c r="R4963">
        <f t="shared" si="309"/>
        <v>154.54499999999999</v>
      </c>
      <c r="S4963">
        <f t="shared" si="310"/>
        <v>0.13348862790772914</v>
      </c>
      <c r="T4963">
        <f t="shared" si="311"/>
        <v>3.8461538461538464E-2</v>
      </c>
      <c r="U4963" t="str">
        <f>YEAR('Campaign Data'!$A4963)&amp;"-"&amp;TEXT(MONTH('Campaign Data'!$A4963),"00")</f>
        <v>2026-09</v>
      </c>
    </row>
    <row r="4964" spans="1:21" x14ac:dyDescent="0.25">
      <c r="A4964">
        <v>46294</v>
      </c>
      <c r="B4964" t="s">
        <v>186</v>
      </c>
      <c r="C4964" t="s">
        <v>187</v>
      </c>
      <c r="D4964" t="s">
        <v>80</v>
      </c>
      <c r="E4964" t="s">
        <v>33</v>
      </c>
      <c r="F4964" t="s">
        <v>43</v>
      </c>
      <c r="G4964" t="s">
        <v>102</v>
      </c>
      <c r="H4964" t="s">
        <v>90</v>
      </c>
      <c r="I4964" t="s">
        <v>37</v>
      </c>
      <c r="J4964" t="s">
        <v>62</v>
      </c>
      <c r="K4964">
        <v>10305</v>
      </c>
      <c r="L4964">
        <v>143</v>
      </c>
      <c r="M4964">
        <v>24.05</v>
      </c>
      <c r="N4964">
        <v>4</v>
      </c>
      <c r="O4964">
        <v>34.04</v>
      </c>
      <c r="P4964">
        <f t="shared" si="308"/>
        <v>1.3876758854924794E-2</v>
      </c>
      <c r="Q4964">
        <f t="shared" si="308"/>
        <v>0.16818181818181818</v>
      </c>
      <c r="R4964">
        <f t="shared" si="309"/>
        <v>6.0125000000000002</v>
      </c>
      <c r="S4964">
        <f t="shared" si="310"/>
        <v>1.4153846153846152</v>
      </c>
      <c r="T4964">
        <f t="shared" si="311"/>
        <v>2.7972027972027972E-2</v>
      </c>
      <c r="U4964" t="str">
        <f>YEAR('Campaign Data'!$A4964)&amp;"-"&amp;TEXT(MONTH('Campaign Data'!$A4964),"00")</f>
        <v>2026-09</v>
      </c>
    </row>
    <row r="4965" spans="1:21" x14ac:dyDescent="0.25">
      <c r="A4965">
        <v>46294</v>
      </c>
      <c r="B4965" t="s">
        <v>151</v>
      </c>
      <c r="C4965" t="s">
        <v>152</v>
      </c>
      <c r="D4965" t="s">
        <v>48</v>
      </c>
      <c r="E4965" t="s">
        <v>24</v>
      </c>
      <c r="F4965" t="s">
        <v>81</v>
      </c>
      <c r="G4965" t="s">
        <v>129</v>
      </c>
      <c r="H4965" t="s">
        <v>27</v>
      </c>
      <c r="I4965" t="s">
        <v>37</v>
      </c>
      <c r="J4965" t="s">
        <v>87</v>
      </c>
      <c r="K4965">
        <v>6642</v>
      </c>
      <c r="L4965">
        <v>50</v>
      </c>
      <c r="M4965">
        <v>66.650000000000006</v>
      </c>
      <c r="N4965">
        <v>2</v>
      </c>
      <c r="O4965">
        <v>44.75</v>
      </c>
      <c r="P4965">
        <f t="shared" si="308"/>
        <v>7.527853056308341E-3</v>
      </c>
      <c r="Q4965">
        <f t="shared" si="308"/>
        <v>1.3330000000000002</v>
      </c>
      <c r="R4965">
        <f t="shared" si="309"/>
        <v>33.325000000000003</v>
      </c>
      <c r="S4965">
        <f t="shared" si="310"/>
        <v>0.67141785446361579</v>
      </c>
      <c r="T4965">
        <f t="shared" si="311"/>
        <v>0.04</v>
      </c>
      <c r="U4965" t="str">
        <f>YEAR('Campaign Data'!$A4965)&amp;"-"&amp;TEXT(MONTH('Campaign Data'!$A4965),"00")</f>
        <v>2026-09</v>
      </c>
    </row>
    <row r="4966" spans="1:21" x14ac:dyDescent="0.25">
      <c r="A4966">
        <v>46294</v>
      </c>
      <c r="B4966" t="s">
        <v>46</v>
      </c>
      <c r="C4966" t="s">
        <v>47</v>
      </c>
      <c r="D4966" t="s">
        <v>48</v>
      </c>
      <c r="E4966" t="s">
        <v>49</v>
      </c>
      <c r="F4966" t="s">
        <v>43</v>
      </c>
      <c r="G4966" t="s">
        <v>50</v>
      </c>
      <c r="H4966" t="s">
        <v>90</v>
      </c>
      <c r="I4966" t="s">
        <v>28</v>
      </c>
      <c r="J4966" t="s">
        <v>29</v>
      </c>
      <c r="K4966">
        <v>6632</v>
      </c>
      <c r="L4966">
        <v>413</v>
      </c>
      <c r="M4966">
        <v>216.57</v>
      </c>
      <c r="N4966">
        <v>23</v>
      </c>
      <c r="O4966">
        <v>181.13</v>
      </c>
      <c r="P4966">
        <f t="shared" si="308"/>
        <v>6.2273823884197832E-2</v>
      </c>
      <c r="Q4966">
        <f t="shared" si="308"/>
        <v>0.52438256658595639</v>
      </c>
      <c r="R4966">
        <f t="shared" si="309"/>
        <v>9.4160869565217382</v>
      </c>
      <c r="S4966">
        <f t="shared" si="310"/>
        <v>0.83635775961582859</v>
      </c>
      <c r="T4966">
        <f t="shared" si="311"/>
        <v>5.569007263922518E-2</v>
      </c>
      <c r="U4966" t="str">
        <f>YEAR('Campaign Data'!$A4966)&amp;"-"&amp;TEXT(MONTH('Campaign Data'!$A4966),"00")</f>
        <v>2026-09</v>
      </c>
    </row>
    <row r="4967" spans="1:21" x14ac:dyDescent="0.25">
      <c r="A4967">
        <v>46294</v>
      </c>
      <c r="B4967" t="s">
        <v>169</v>
      </c>
      <c r="C4967" t="s">
        <v>170</v>
      </c>
      <c r="D4967" t="s">
        <v>58</v>
      </c>
      <c r="E4967" t="s">
        <v>74</v>
      </c>
      <c r="F4967" t="s">
        <v>75</v>
      </c>
      <c r="G4967" t="s">
        <v>9</v>
      </c>
      <c r="H4967" t="s">
        <v>27</v>
      </c>
      <c r="I4967" t="s">
        <v>28</v>
      </c>
      <c r="J4967" t="s">
        <v>45</v>
      </c>
      <c r="K4967">
        <v>8536</v>
      </c>
      <c r="L4967">
        <v>252</v>
      </c>
      <c r="M4967">
        <v>569.74</v>
      </c>
      <c r="N4967">
        <v>1</v>
      </c>
      <c r="O4967">
        <v>52.85</v>
      </c>
      <c r="P4967">
        <f t="shared" si="308"/>
        <v>2.9522024367385193E-2</v>
      </c>
      <c r="Q4967">
        <f t="shared" si="308"/>
        <v>2.2608730158730159</v>
      </c>
      <c r="R4967">
        <f t="shared" si="309"/>
        <v>569.74</v>
      </c>
      <c r="S4967">
        <f t="shared" si="310"/>
        <v>9.2761610559202443E-2</v>
      </c>
      <c r="T4967">
        <f t="shared" si="311"/>
        <v>3.968253968253968E-3</v>
      </c>
      <c r="U4967" t="str">
        <f>YEAR('Campaign Data'!$A4967)&amp;"-"&amp;TEXT(MONTH('Campaign Data'!$A4967),"00")</f>
        <v>2026-09</v>
      </c>
    </row>
    <row r="4968" spans="1:21" x14ac:dyDescent="0.25">
      <c r="A4968">
        <v>46294</v>
      </c>
      <c r="B4968" t="s">
        <v>103</v>
      </c>
      <c r="C4968" t="s">
        <v>104</v>
      </c>
      <c r="D4968" t="s">
        <v>65</v>
      </c>
      <c r="E4968" t="s">
        <v>33</v>
      </c>
      <c r="F4968" t="s">
        <v>43</v>
      </c>
      <c r="G4968" t="s">
        <v>102</v>
      </c>
      <c r="H4968" t="s">
        <v>90</v>
      </c>
      <c r="I4968" t="s">
        <v>28</v>
      </c>
      <c r="J4968" t="s">
        <v>38</v>
      </c>
      <c r="K4968">
        <v>4152</v>
      </c>
      <c r="L4968">
        <v>34</v>
      </c>
      <c r="M4968">
        <v>4.9000000000000004</v>
      </c>
      <c r="N4968">
        <v>0</v>
      </c>
      <c r="O4968">
        <v>0</v>
      </c>
      <c r="P4968">
        <f t="shared" si="308"/>
        <v>8.1888246628131021E-3</v>
      </c>
      <c r="Q4968">
        <f t="shared" si="308"/>
        <v>0.14411764705882354</v>
      </c>
      <c r="R4968">
        <f t="shared" si="309"/>
        <v>0</v>
      </c>
      <c r="S4968">
        <f t="shared" si="310"/>
        <v>0</v>
      </c>
      <c r="T4968">
        <f t="shared" si="311"/>
        <v>0</v>
      </c>
      <c r="U4968" t="str">
        <f>YEAR('Campaign Data'!$A4968)&amp;"-"&amp;TEXT(MONTH('Campaign Data'!$A4968),"00")</f>
        <v>2026-09</v>
      </c>
    </row>
    <row r="4969" spans="1:21" x14ac:dyDescent="0.25">
      <c r="A4969">
        <v>46294</v>
      </c>
      <c r="B4969" t="s">
        <v>108</v>
      </c>
      <c r="C4969" t="s">
        <v>109</v>
      </c>
      <c r="D4969" t="s">
        <v>58</v>
      </c>
      <c r="E4969" t="s">
        <v>33</v>
      </c>
      <c r="F4969" t="s">
        <v>43</v>
      </c>
      <c r="G4969" t="s">
        <v>59</v>
      </c>
      <c r="H4969" t="s">
        <v>55</v>
      </c>
      <c r="I4969" t="s">
        <v>28</v>
      </c>
      <c r="J4969" t="s">
        <v>29</v>
      </c>
      <c r="K4969">
        <v>9637</v>
      </c>
      <c r="L4969">
        <v>60</v>
      </c>
      <c r="M4969">
        <v>45.53</v>
      </c>
      <c r="N4969">
        <v>1</v>
      </c>
      <c r="O4969">
        <v>26.8</v>
      </c>
      <c r="P4969">
        <f t="shared" si="308"/>
        <v>6.2260039431358306E-3</v>
      </c>
      <c r="Q4969">
        <f t="shared" si="308"/>
        <v>0.75883333333333336</v>
      </c>
      <c r="R4969">
        <f t="shared" si="309"/>
        <v>45.53</v>
      </c>
      <c r="S4969">
        <f t="shared" si="310"/>
        <v>0.58862288600922463</v>
      </c>
      <c r="T4969">
        <f t="shared" si="311"/>
        <v>1.6666666666666666E-2</v>
      </c>
      <c r="U4969" t="str">
        <f>YEAR('Campaign Data'!$A4969)&amp;"-"&amp;TEXT(MONTH('Campaign Data'!$A4969),"00")</f>
        <v>2026-09</v>
      </c>
    </row>
    <row r="4970" spans="1:21" x14ac:dyDescent="0.25">
      <c r="A4970">
        <v>46294</v>
      </c>
      <c r="B4970" t="s">
        <v>130</v>
      </c>
      <c r="C4970" t="s">
        <v>131</v>
      </c>
      <c r="D4970" t="s">
        <v>48</v>
      </c>
      <c r="E4970" t="s">
        <v>33</v>
      </c>
      <c r="F4970" t="s">
        <v>34</v>
      </c>
      <c r="G4970" t="s">
        <v>35</v>
      </c>
      <c r="H4970" t="s">
        <v>36</v>
      </c>
      <c r="I4970" t="s">
        <v>37</v>
      </c>
      <c r="J4970" t="s">
        <v>45</v>
      </c>
      <c r="K4970">
        <v>3413</v>
      </c>
      <c r="L4970">
        <v>32</v>
      </c>
      <c r="M4970">
        <v>16.600000000000001</v>
      </c>
      <c r="N4970">
        <v>0</v>
      </c>
      <c r="O4970">
        <v>0</v>
      </c>
      <c r="P4970">
        <f t="shared" si="308"/>
        <v>9.3759156167594494E-3</v>
      </c>
      <c r="Q4970">
        <f t="shared" si="308"/>
        <v>0.51875000000000004</v>
      </c>
      <c r="R4970">
        <f t="shared" si="309"/>
        <v>0</v>
      </c>
      <c r="S4970">
        <f t="shared" si="310"/>
        <v>0</v>
      </c>
      <c r="T4970">
        <f t="shared" si="311"/>
        <v>0</v>
      </c>
      <c r="U4970" t="str">
        <f>YEAR('Campaign Data'!$A4970)&amp;"-"&amp;TEXT(MONTH('Campaign Data'!$A4970),"00")</f>
        <v>2026-09</v>
      </c>
    </row>
    <row r="4971" spans="1:21" x14ac:dyDescent="0.25">
      <c r="A4971">
        <v>46294</v>
      </c>
      <c r="B4971" t="s">
        <v>132</v>
      </c>
      <c r="C4971" t="s">
        <v>133</v>
      </c>
      <c r="D4971" t="s">
        <v>23</v>
      </c>
      <c r="E4971" t="s">
        <v>42</v>
      </c>
      <c r="F4971" t="s">
        <v>75</v>
      </c>
      <c r="G4971" t="s">
        <v>84</v>
      </c>
      <c r="H4971" t="s">
        <v>36</v>
      </c>
      <c r="I4971" t="s">
        <v>37</v>
      </c>
      <c r="J4971" t="s">
        <v>62</v>
      </c>
      <c r="K4971">
        <v>7050</v>
      </c>
      <c r="L4971">
        <v>54</v>
      </c>
      <c r="M4971">
        <v>287.89</v>
      </c>
      <c r="N4971">
        <v>4</v>
      </c>
      <c r="O4971">
        <v>224.63</v>
      </c>
      <c r="P4971">
        <f t="shared" si="308"/>
        <v>7.659574468085106E-3</v>
      </c>
      <c r="Q4971">
        <f t="shared" si="308"/>
        <v>5.331296296296296</v>
      </c>
      <c r="R4971">
        <f t="shared" si="309"/>
        <v>71.972499999999997</v>
      </c>
      <c r="S4971">
        <f t="shared" si="310"/>
        <v>0.78026329500851022</v>
      </c>
      <c r="T4971">
        <f t="shared" si="311"/>
        <v>7.407407407407407E-2</v>
      </c>
      <c r="U4971" t="str">
        <f>YEAR('Campaign Data'!$A4971)&amp;"-"&amp;TEXT(MONTH('Campaign Data'!$A4971),"00")</f>
        <v>2026-09</v>
      </c>
    </row>
    <row r="4972" spans="1:21" x14ac:dyDescent="0.25">
      <c r="A4972">
        <v>46294</v>
      </c>
      <c r="B4972" t="s">
        <v>153</v>
      </c>
      <c r="C4972" t="s">
        <v>154</v>
      </c>
      <c r="D4972" t="s">
        <v>48</v>
      </c>
      <c r="E4972" t="s">
        <v>33</v>
      </c>
      <c r="F4972" t="s">
        <v>43</v>
      </c>
      <c r="G4972" t="s">
        <v>59</v>
      </c>
      <c r="H4972" t="s">
        <v>51</v>
      </c>
      <c r="I4972" t="s">
        <v>37</v>
      </c>
      <c r="J4972" t="s">
        <v>62</v>
      </c>
      <c r="K4972">
        <v>3069</v>
      </c>
      <c r="L4972">
        <v>33</v>
      </c>
      <c r="M4972">
        <v>25.83</v>
      </c>
      <c r="N4972">
        <v>1</v>
      </c>
      <c r="O4972">
        <v>26.33</v>
      </c>
      <c r="P4972">
        <f t="shared" si="308"/>
        <v>1.0752688172043012E-2</v>
      </c>
      <c r="Q4972">
        <f t="shared" si="308"/>
        <v>0.78272727272727272</v>
      </c>
      <c r="R4972">
        <f t="shared" si="309"/>
        <v>25.83</v>
      </c>
      <c r="S4972">
        <f t="shared" si="310"/>
        <v>1.0193573364305071</v>
      </c>
      <c r="T4972">
        <f t="shared" si="311"/>
        <v>3.0303030303030304E-2</v>
      </c>
      <c r="U4972" t="str">
        <f>YEAR('Campaign Data'!$A4972)&amp;"-"&amp;TEXT(MONTH('Campaign Data'!$A4972),"00")</f>
        <v>2026-09</v>
      </c>
    </row>
    <row r="4973" spans="1:21" x14ac:dyDescent="0.25">
      <c r="A4973">
        <v>46294</v>
      </c>
      <c r="B4973" t="s">
        <v>171</v>
      </c>
      <c r="C4973" t="s">
        <v>172</v>
      </c>
      <c r="D4973" t="s">
        <v>23</v>
      </c>
      <c r="E4973" t="s">
        <v>33</v>
      </c>
      <c r="F4973" t="s">
        <v>75</v>
      </c>
      <c r="G4973" t="s">
        <v>59</v>
      </c>
      <c r="H4973" t="s">
        <v>27</v>
      </c>
      <c r="I4973" t="s">
        <v>28</v>
      </c>
      <c r="J4973" t="s">
        <v>62</v>
      </c>
      <c r="K4973">
        <v>2138</v>
      </c>
      <c r="L4973">
        <v>19</v>
      </c>
      <c r="M4973">
        <v>9.36</v>
      </c>
      <c r="N4973">
        <v>1</v>
      </c>
      <c r="O4973">
        <v>40.770000000000003</v>
      </c>
      <c r="P4973">
        <f t="shared" si="308"/>
        <v>8.8868101028999058E-3</v>
      </c>
      <c r="Q4973">
        <f t="shared" si="308"/>
        <v>0.49263157894736836</v>
      </c>
      <c r="R4973">
        <f t="shared" si="309"/>
        <v>9.36</v>
      </c>
      <c r="S4973">
        <f t="shared" si="310"/>
        <v>4.3557692307692317</v>
      </c>
      <c r="T4973">
        <f t="shared" si="311"/>
        <v>5.2631578947368418E-2</v>
      </c>
      <c r="U4973" t="str">
        <f>YEAR('Campaign Data'!$A4973)&amp;"-"&amp;TEXT(MONTH('Campaign Data'!$A4973),"00")</f>
        <v>2026-09</v>
      </c>
    </row>
    <row r="4974" spans="1:21" x14ac:dyDescent="0.25">
      <c r="A4974">
        <v>46294</v>
      </c>
      <c r="B4974" t="s">
        <v>110</v>
      </c>
      <c r="C4974" t="s">
        <v>111</v>
      </c>
      <c r="D4974" t="s">
        <v>23</v>
      </c>
      <c r="E4974" t="s">
        <v>49</v>
      </c>
      <c r="F4974" t="s">
        <v>34</v>
      </c>
      <c r="G4974" t="s">
        <v>50</v>
      </c>
      <c r="H4974" t="s">
        <v>36</v>
      </c>
      <c r="I4974" t="s">
        <v>37</v>
      </c>
      <c r="J4974" t="s">
        <v>62</v>
      </c>
      <c r="K4974">
        <v>2556</v>
      </c>
      <c r="L4974">
        <v>203</v>
      </c>
      <c r="M4974">
        <v>240.14</v>
      </c>
      <c r="N4974">
        <v>6</v>
      </c>
      <c r="O4974">
        <v>604.76</v>
      </c>
      <c r="P4974">
        <f t="shared" si="308"/>
        <v>7.9420970266040683E-2</v>
      </c>
      <c r="Q4974">
        <f t="shared" si="308"/>
        <v>1.1829556650246305</v>
      </c>
      <c r="R4974">
        <f t="shared" si="309"/>
        <v>40.023333333333333</v>
      </c>
      <c r="S4974">
        <f t="shared" si="310"/>
        <v>2.5183642874989589</v>
      </c>
      <c r="T4974">
        <f t="shared" si="311"/>
        <v>2.9556650246305417E-2</v>
      </c>
      <c r="U4974" t="str">
        <f>YEAR('Campaign Data'!$A4974)&amp;"-"&amp;TEXT(MONTH('Campaign Data'!$A4974),"00")</f>
        <v>2026-09</v>
      </c>
    </row>
    <row r="4975" spans="1:21" x14ac:dyDescent="0.25">
      <c r="A4975">
        <v>46294</v>
      </c>
      <c r="B4975" t="s">
        <v>110</v>
      </c>
      <c r="C4975" t="s">
        <v>111</v>
      </c>
      <c r="D4975" t="s">
        <v>23</v>
      </c>
      <c r="E4975" t="s">
        <v>49</v>
      </c>
      <c r="F4975" t="s">
        <v>34</v>
      </c>
      <c r="G4975" t="s">
        <v>50</v>
      </c>
      <c r="H4975" t="s">
        <v>51</v>
      </c>
      <c r="I4975" t="s">
        <v>37</v>
      </c>
      <c r="J4975" t="s">
        <v>45</v>
      </c>
      <c r="K4975">
        <v>1410</v>
      </c>
      <c r="L4975">
        <v>57</v>
      </c>
      <c r="M4975">
        <v>46.27</v>
      </c>
      <c r="N4975">
        <v>6</v>
      </c>
      <c r="O4975">
        <v>602.37</v>
      </c>
      <c r="P4975">
        <f t="shared" si="308"/>
        <v>4.042553191489362E-2</v>
      </c>
      <c r="Q4975">
        <f t="shared" si="308"/>
        <v>0.81175438596491234</v>
      </c>
      <c r="R4975">
        <f t="shared" si="309"/>
        <v>7.7116666666666669</v>
      </c>
      <c r="S4975">
        <f t="shared" si="310"/>
        <v>13.018586557164468</v>
      </c>
      <c r="T4975">
        <f t="shared" si="311"/>
        <v>0.10526315789473684</v>
      </c>
      <c r="U4975" t="str">
        <f>YEAR('Campaign Data'!$A4975)&amp;"-"&amp;TEXT(MONTH('Campaign Data'!$A4975),"00")</f>
        <v>2026-09</v>
      </c>
    </row>
    <row r="4976" spans="1:21" x14ac:dyDescent="0.25">
      <c r="A4976">
        <v>46294</v>
      </c>
      <c r="B4976" t="s">
        <v>134</v>
      </c>
      <c r="C4976" t="s">
        <v>135</v>
      </c>
      <c r="D4976" t="s">
        <v>32</v>
      </c>
      <c r="E4976" t="s">
        <v>74</v>
      </c>
      <c r="F4976" t="s">
        <v>25</v>
      </c>
      <c r="G4976" t="s">
        <v>107</v>
      </c>
      <c r="H4976" t="s">
        <v>90</v>
      </c>
      <c r="I4976" t="s">
        <v>37</v>
      </c>
      <c r="J4976" t="s">
        <v>62</v>
      </c>
      <c r="K4976">
        <v>8615</v>
      </c>
      <c r="L4976">
        <v>318</v>
      </c>
      <c r="M4976">
        <v>143.66999999999999</v>
      </c>
      <c r="N4976">
        <v>21</v>
      </c>
      <c r="O4976">
        <v>954.4</v>
      </c>
      <c r="P4976">
        <f t="shared" si="308"/>
        <v>3.6912362159024957E-2</v>
      </c>
      <c r="Q4976">
        <f t="shared" si="308"/>
        <v>0.45179245283018865</v>
      </c>
      <c r="R4976">
        <f t="shared" si="309"/>
        <v>6.8414285714285707</v>
      </c>
      <c r="S4976">
        <f t="shared" si="310"/>
        <v>6.6430013224751168</v>
      </c>
      <c r="T4976">
        <f t="shared" si="311"/>
        <v>6.6037735849056603E-2</v>
      </c>
      <c r="U4976" t="str">
        <f>YEAR('Campaign Data'!$A4976)&amp;"-"&amp;TEXT(MONTH('Campaign Data'!$A4976),"00")</f>
        <v>2026-09</v>
      </c>
    </row>
    <row r="4977" spans="1:21" x14ac:dyDescent="0.25">
      <c r="A4977">
        <v>46294</v>
      </c>
      <c r="B4977" t="s">
        <v>112</v>
      </c>
      <c r="C4977" t="s">
        <v>113</v>
      </c>
      <c r="D4977" t="s">
        <v>32</v>
      </c>
      <c r="E4977" t="s">
        <v>24</v>
      </c>
      <c r="F4977" t="s">
        <v>75</v>
      </c>
      <c r="G4977" t="s">
        <v>66</v>
      </c>
      <c r="H4977" t="s">
        <v>90</v>
      </c>
      <c r="I4977" t="s">
        <v>37</v>
      </c>
      <c r="J4977" t="s">
        <v>29</v>
      </c>
      <c r="K4977">
        <v>4057</v>
      </c>
      <c r="L4977">
        <v>44</v>
      </c>
      <c r="M4977">
        <v>9.09</v>
      </c>
      <c r="N4977">
        <v>2</v>
      </c>
      <c r="O4977">
        <v>10</v>
      </c>
      <c r="P4977">
        <f t="shared" si="308"/>
        <v>1.0845452304658615E-2</v>
      </c>
      <c r="Q4977">
        <f t="shared" si="308"/>
        <v>0.20659090909090908</v>
      </c>
      <c r="R4977">
        <f t="shared" si="309"/>
        <v>4.5449999999999999</v>
      </c>
      <c r="S4977">
        <f t="shared" si="310"/>
        <v>1.1001100110011002</v>
      </c>
      <c r="T4977">
        <f t="shared" si="311"/>
        <v>4.5454545454545456E-2</v>
      </c>
      <c r="U4977" t="str">
        <f>YEAR('Campaign Data'!$A4977)&amp;"-"&amp;TEXT(MONTH('Campaign Data'!$A4977),"00")</f>
        <v>2026-09</v>
      </c>
    </row>
    <row r="4978" spans="1:21" x14ac:dyDescent="0.25">
      <c r="A4978">
        <v>46294</v>
      </c>
      <c r="B4978" t="s">
        <v>161</v>
      </c>
      <c r="C4978" t="s">
        <v>162</v>
      </c>
      <c r="D4978" t="s">
        <v>48</v>
      </c>
      <c r="E4978" t="s">
        <v>74</v>
      </c>
      <c r="F4978" t="s">
        <v>34</v>
      </c>
      <c r="G4978" t="s">
        <v>107</v>
      </c>
      <c r="H4978" t="s">
        <v>90</v>
      </c>
      <c r="I4978" t="s">
        <v>37</v>
      </c>
      <c r="J4978" t="s">
        <v>38</v>
      </c>
      <c r="K4978">
        <v>26726</v>
      </c>
      <c r="L4978">
        <v>674</v>
      </c>
      <c r="M4978">
        <v>333.39</v>
      </c>
      <c r="N4978">
        <v>35</v>
      </c>
      <c r="O4978">
        <v>1496.09</v>
      </c>
      <c r="P4978">
        <f t="shared" si="308"/>
        <v>2.5218887974257278E-2</v>
      </c>
      <c r="Q4978">
        <f t="shared" si="308"/>
        <v>0.49464391691394655</v>
      </c>
      <c r="R4978">
        <f t="shared" si="309"/>
        <v>9.5254285714285718</v>
      </c>
      <c r="S4978">
        <f t="shared" si="310"/>
        <v>4.4875071237889559</v>
      </c>
      <c r="T4978">
        <f t="shared" si="311"/>
        <v>5.192878338278932E-2</v>
      </c>
      <c r="U4978" t="str">
        <f>YEAR('Campaign Data'!$A4978)&amp;"-"&amp;TEXT(MONTH('Campaign Data'!$A4978),"00")</f>
        <v>2026-09</v>
      </c>
    </row>
    <row r="4979" spans="1:21" x14ac:dyDescent="0.25">
      <c r="A4979">
        <v>46294</v>
      </c>
      <c r="B4979" t="s">
        <v>114</v>
      </c>
      <c r="C4979" t="s">
        <v>115</v>
      </c>
      <c r="D4979" t="s">
        <v>69</v>
      </c>
      <c r="E4979" t="s">
        <v>49</v>
      </c>
      <c r="F4979" t="s">
        <v>25</v>
      </c>
      <c r="G4979" t="s">
        <v>107</v>
      </c>
      <c r="H4979" t="s">
        <v>90</v>
      </c>
      <c r="I4979" t="s">
        <v>28</v>
      </c>
      <c r="J4979" t="s">
        <v>62</v>
      </c>
      <c r="K4979">
        <v>11457</v>
      </c>
      <c r="L4979">
        <v>821</v>
      </c>
      <c r="M4979">
        <v>336.83</v>
      </c>
      <c r="N4979">
        <v>68</v>
      </c>
      <c r="O4979">
        <v>3629.87</v>
      </c>
      <c r="P4979">
        <f t="shared" si="308"/>
        <v>7.1659247621541411E-2</v>
      </c>
      <c r="Q4979">
        <f t="shared" si="308"/>
        <v>0.41026796589524966</v>
      </c>
      <c r="R4979">
        <f t="shared" si="309"/>
        <v>4.9533823529411762</v>
      </c>
      <c r="S4979">
        <f t="shared" si="310"/>
        <v>10.776563845263189</v>
      </c>
      <c r="T4979">
        <f t="shared" si="311"/>
        <v>8.2825822168087704E-2</v>
      </c>
      <c r="U4979" t="str">
        <f>YEAR('Campaign Data'!$A4979)&amp;"-"&amp;TEXT(MONTH('Campaign Data'!$A4979),"00")</f>
        <v>2026-09</v>
      </c>
    </row>
    <row r="4980" spans="1:21" x14ac:dyDescent="0.25">
      <c r="A4980">
        <v>46294</v>
      </c>
      <c r="B4980" t="s">
        <v>136</v>
      </c>
      <c r="C4980" t="s">
        <v>137</v>
      </c>
      <c r="D4980" t="s">
        <v>32</v>
      </c>
      <c r="E4980" t="s">
        <v>49</v>
      </c>
      <c r="F4980" t="s">
        <v>75</v>
      </c>
      <c r="G4980" t="s">
        <v>97</v>
      </c>
      <c r="H4980" t="s">
        <v>90</v>
      </c>
      <c r="I4980" t="s">
        <v>28</v>
      </c>
      <c r="J4980" t="s">
        <v>29</v>
      </c>
      <c r="K4980">
        <v>5579</v>
      </c>
      <c r="L4980">
        <v>237</v>
      </c>
      <c r="M4980">
        <v>92.32</v>
      </c>
      <c r="N4980">
        <v>8</v>
      </c>
      <c r="O4980">
        <v>69.62</v>
      </c>
      <c r="P4980">
        <f t="shared" si="308"/>
        <v>4.2480731313855533E-2</v>
      </c>
      <c r="Q4980">
        <f t="shared" si="308"/>
        <v>0.38953586497890291</v>
      </c>
      <c r="R4980">
        <f t="shared" si="309"/>
        <v>11.54</v>
      </c>
      <c r="S4980">
        <f t="shared" si="310"/>
        <v>0.75411611785095334</v>
      </c>
      <c r="T4980">
        <f t="shared" si="311"/>
        <v>3.3755274261603373E-2</v>
      </c>
      <c r="U4980" t="str">
        <f>YEAR('Campaign Data'!$A4980)&amp;"-"&amp;TEXT(MONTH('Campaign Data'!$A4980),"00")</f>
        <v>2026-09</v>
      </c>
    </row>
    <row r="4981" spans="1:21" x14ac:dyDescent="0.25">
      <c r="A4981">
        <v>46294</v>
      </c>
      <c r="B4981" t="s">
        <v>143</v>
      </c>
      <c r="C4981" t="s">
        <v>144</v>
      </c>
      <c r="D4981" t="s">
        <v>48</v>
      </c>
      <c r="E4981" t="s">
        <v>42</v>
      </c>
      <c r="F4981" t="s">
        <v>25</v>
      </c>
      <c r="G4981" t="s">
        <v>84</v>
      </c>
      <c r="H4981" t="s">
        <v>27</v>
      </c>
      <c r="I4981" t="s">
        <v>37</v>
      </c>
      <c r="J4981" t="s">
        <v>45</v>
      </c>
      <c r="K4981">
        <v>4341</v>
      </c>
      <c r="L4981">
        <v>8</v>
      </c>
      <c r="M4981">
        <v>55.25</v>
      </c>
      <c r="N4981">
        <v>0</v>
      </c>
      <c r="O4981">
        <v>0</v>
      </c>
      <c r="P4981">
        <f t="shared" si="308"/>
        <v>1.8428933425478E-3</v>
      </c>
      <c r="Q4981">
        <f t="shared" si="308"/>
        <v>6.90625</v>
      </c>
      <c r="R4981">
        <f t="shared" si="309"/>
        <v>0</v>
      </c>
      <c r="S4981">
        <f t="shared" si="310"/>
        <v>0</v>
      </c>
      <c r="T4981">
        <f t="shared" si="311"/>
        <v>0</v>
      </c>
      <c r="U4981" t="str">
        <f>YEAR('Campaign Data'!$A4981)&amp;"-"&amp;TEXT(MONTH('Campaign Data'!$A4981),"00")</f>
        <v>2026-09</v>
      </c>
    </row>
    <row r="4982" spans="1:21" x14ac:dyDescent="0.25">
      <c r="A4982">
        <v>46294</v>
      </c>
      <c r="B4982" t="s">
        <v>63</v>
      </c>
      <c r="C4982" t="s">
        <v>64</v>
      </c>
      <c r="D4982" t="s">
        <v>65</v>
      </c>
      <c r="E4982" t="s">
        <v>24</v>
      </c>
      <c r="F4982" t="s">
        <v>43</v>
      </c>
      <c r="G4982" t="s">
        <v>66</v>
      </c>
      <c r="H4982" t="s">
        <v>90</v>
      </c>
      <c r="I4982" t="s">
        <v>37</v>
      </c>
      <c r="J4982" t="s">
        <v>62</v>
      </c>
      <c r="K4982">
        <v>5334</v>
      </c>
      <c r="L4982">
        <v>94</v>
      </c>
      <c r="M4982">
        <v>28.93</v>
      </c>
      <c r="N4982">
        <v>6</v>
      </c>
      <c r="O4982">
        <v>30</v>
      </c>
      <c r="P4982">
        <f t="shared" si="308"/>
        <v>1.7622797150356206E-2</v>
      </c>
      <c r="Q4982">
        <f t="shared" si="308"/>
        <v>0.30776595744680851</v>
      </c>
      <c r="R4982">
        <f t="shared" si="309"/>
        <v>4.8216666666666663</v>
      </c>
      <c r="S4982">
        <f t="shared" si="310"/>
        <v>1.0369858278603525</v>
      </c>
      <c r="T4982">
        <f t="shared" si="311"/>
        <v>6.3829787234042548E-2</v>
      </c>
      <c r="U4982" t="str">
        <f>YEAR('Campaign Data'!$A4982)&amp;"-"&amp;TEXT(MONTH('Campaign Data'!$A4982),"00")</f>
        <v>2026-09</v>
      </c>
    </row>
    <row r="4983" spans="1:21" x14ac:dyDescent="0.25">
      <c r="A4983">
        <v>46294</v>
      </c>
      <c r="B4983" t="s">
        <v>67</v>
      </c>
      <c r="C4983" t="s">
        <v>68</v>
      </c>
      <c r="D4983" t="s">
        <v>69</v>
      </c>
      <c r="E4983" t="s">
        <v>49</v>
      </c>
      <c r="F4983" t="s">
        <v>34</v>
      </c>
      <c r="G4983" t="s">
        <v>70</v>
      </c>
      <c r="H4983" t="s">
        <v>55</v>
      </c>
      <c r="I4983" t="s">
        <v>37</v>
      </c>
      <c r="J4983" t="s">
        <v>87</v>
      </c>
      <c r="K4983">
        <v>4345</v>
      </c>
      <c r="L4983">
        <v>218</v>
      </c>
      <c r="M4983">
        <v>298.57</v>
      </c>
      <c r="N4983">
        <v>15</v>
      </c>
      <c r="O4983">
        <v>1910.44</v>
      </c>
      <c r="P4983">
        <f t="shared" si="308"/>
        <v>5.0172612197928651E-2</v>
      </c>
      <c r="Q4983">
        <f t="shared" si="308"/>
        <v>1.3695871559633028</v>
      </c>
      <c r="R4983">
        <f t="shared" si="309"/>
        <v>19.904666666666667</v>
      </c>
      <c r="S4983">
        <f t="shared" si="310"/>
        <v>6.3986334862846235</v>
      </c>
      <c r="T4983">
        <f t="shared" si="311"/>
        <v>6.8807339449541288E-2</v>
      </c>
      <c r="U4983" t="str">
        <f>YEAR('Campaign Data'!$A4983)&amp;"-"&amp;TEXT(MONTH('Campaign Data'!$A4983),"00")</f>
        <v>2026-09</v>
      </c>
    </row>
    <row r="4984" spans="1:21" x14ac:dyDescent="0.25">
      <c r="A4984">
        <v>46294</v>
      </c>
      <c r="B4984" t="s">
        <v>67</v>
      </c>
      <c r="C4984" t="s">
        <v>68</v>
      </c>
      <c r="D4984" t="s">
        <v>69</v>
      </c>
      <c r="E4984" t="s">
        <v>49</v>
      </c>
      <c r="F4984" t="s">
        <v>34</v>
      </c>
      <c r="G4984" t="s">
        <v>70</v>
      </c>
      <c r="H4984" t="s">
        <v>90</v>
      </c>
      <c r="I4984" t="s">
        <v>28</v>
      </c>
      <c r="J4984" t="s">
        <v>29</v>
      </c>
      <c r="K4984">
        <v>3736</v>
      </c>
      <c r="L4984">
        <v>187</v>
      </c>
      <c r="M4984">
        <v>89.21</v>
      </c>
      <c r="N4984">
        <v>5</v>
      </c>
      <c r="O4984">
        <v>267.76</v>
      </c>
      <c r="P4984">
        <f t="shared" si="308"/>
        <v>5.0053533190578162E-2</v>
      </c>
      <c r="Q4984">
        <f t="shared" si="308"/>
        <v>0.47705882352941176</v>
      </c>
      <c r="R4984">
        <f t="shared" si="309"/>
        <v>17.841999999999999</v>
      </c>
      <c r="S4984">
        <f t="shared" si="310"/>
        <v>3.001457235735904</v>
      </c>
      <c r="T4984">
        <f t="shared" si="311"/>
        <v>2.6737967914438502E-2</v>
      </c>
      <c r="U4984" t="str">
        <f>YEAR('Campaign Data'!$A4984)&amp;"-"&amp;TEXT(MONTH('Campaign Data'!$A4984),"00")</f>
        <v>2026-09</v>
      </c>
    </row>
    <row r="4985" spans="1:21" x14ac:dyDescent="0.25">
      <c r="A4985">
        <v>46294</v>
      </c>
      <c r="B4985" t="s">
        <v>145</v>
      </c>
      <c r="C4985" t="s">
        <v>146</v>
      </c>
      <c r="D4985" t="s">
        <v>41</v>
      </c>
      <c r="E4985" t="s">
        <v>49</v>
      </c>
      <c r="F4985" t="s">
        <v>75</v>
      </c>
      <c r="G4985" t="s">
        <v>70</v>
      </c>
      <c r="H4985" t="s">
        <v>51</v>
      </c>
      <c r="I4985" t="s">
        <v>28</v>
      </c>
      <c r="J4985" t="s">
        <v>38</v>
      </c>
      <c r="K4985">
        <v>16657</v>
      </c>
      <c r="L4985">
        <v>866</v>
      </c>
      <c r="M4985">
        <v>1424.21</v>
      </c>
      <c r="N4985">
        <v>49</v>
      </c>
      <c r="O4985">
        <v>1650.79</v>
      </c>
      <c r="P4985">
        <f t="shared" si="308"/>
        <v>5.1990154289487903E-2</v>
      </c>
      <c r="Q4985">
        <f t="shared" si="308"/>
        <v>1.6445842956120094</v>
      </c>
      <c r="R4985">
        <f t="shared" si="309"/>
        <v>29.065510204081633</v>
      </c>
      <c r="S4985">
        <f t="shared" si="310"/>
        <v>1.1590917069814142</v>
      </c>
      <c r="T4985">
        <f t="shared" si="311"/>
        <v>5.6581986143187067E-2</v>
      </c>
      <c r="U4985" t="str">
        <f>YEAR('Campaign Data'!$A4985)&amp;"-"&amp;TEXT(MONTH('Campaign Data'!$A4985),"00")</f>
        <v>2026-09</v>
      </c>
    </row>
    <row r="4986" spans="1:21" x14ac:dyDescent="0.25">
      <c r="A4986">
        <v>46294</v>
      </c>
      <c r="B4986" t="s">
        <v>145</v>
      </c>
      <c r="C4986" t="s">
        <v>146</v>
      </c>
      <c r="D4986" t="s">
        <v>41</v>
      </c>
      <c r="E4986" t="s">
        <v>49</v>
      </c>
      <c r="F4986" t="s">
        <v>75</v>
      </c>
      <c r="G4986" t="s">
        <v>70</v>
      </c>
      <c r="H4986" t="s">
        <v>27</v>
      </c>
      <c r="I4986" t="s">
        <v>37</v>
      </c>
      <c r="J4986" t="s">
        <v>87</v>
      </c>
      <c r="K4986">
        <v>5094</v>
      </c>
      <c r="L4986">
        <v>305</v>
      </c>
      <c r="M4986">
        <v>834.64</v>
      </c>
      <c r="N4986">
        <v>16</v>
      </c>
      <c r="O4986">
        <v>534.34</v>
      </c>
      <c r="P4986">
        <f t="shared" si="308"/>
        <v>5.9874361994503335E-2</v>
      </c>
      <c r="Q4986">
        <f t="shared" si="308"/>
        <v>2.7365245901639343</v>
      </c>
      <c r="R4986">
        <f t="shared" si="309"/>
        <v>52.164999999999999</v>
      </c>
      <c r="S4986">
        <f t="shared" si="310"/>
        <v>0.64020415987731238</v>
      </c>
      <c r="T4986">
        <f t="shared" si="311"/>
        <v>5.2459016393442623E-2</v>
      </c>
      <c r="U4986" t="str">
        <f>YEAR('Campaign Data'!$A4986)&amp;"-"&amp;TEXT(MONTH('Campaign Data'!$A4986),"00")</f>
        <v>2026-09</v>
      </c>
    </row>
    <row r="4987" spans="1:21" x14ac:dyDescent="0.25">
      <c r="A4987">
        <v>46295</v>
      </c>
      <c r="B4987" t="s">
        <v>85</v>
      </c>
      <c r="C4987" t="s">
        <v>86</v>
      </c>
      <c r="D4987" t="s">
        <v>80</v>
      </c>
      <c r="E4987" t="s">
        <v>33</v>
      </c>
      <c r="F4987" t="s">
        <v>43</v>
      </c>
      <c r="G4987" t="s">
        <v>35</v>
      </c>
      <c r="H4987" t="s">
        <v>90</v>
      </c>
      <c r="I4987" t="s">
        <v>37</v>
      </c>
      <c r="J4987" t="s">
        <v>45</v>
      </c>
      <c r="K4987">
        <v>9933</v>
      </c>
      <c r="L4987">
        <v>127</v>
      </c>
      <c r="M4987">
        <v>23.68</v>
      </c>
      <c r="N4987">
        <v>0</v>
      </c>
      <c r="O4987">
        <v>0</v>
      </c>
      <c r="P4987">
        <f t="shared" si="308"/>
        <v>1.2785663948454646E-2</v>
      </c>
      <c r="Q4987">
        <f t="shared" si="308"/>
        <v>0.18645669291338582</v>
      </c>
      <c r="R4987">
        <f t="shared" si="309"/>
        <v>0</v>
      </c>
      <c r="S4987">
        <f t="shared" si="310"/>
        <v>0</v>
      </c>
      <c r="T4987">
        <f t="shared" si="311"/>
        <v>0</v>
      </c>
      <c r="U4987" t="str">
        <f>YEAR('Campaign Data'!$A4987)&amp;"-"&amp;TEXT(MONTH('Campaign Data'!$A4987),"00")</f>
        <v>2026-09</v>
      </c>
    </row>
    <row r="4988" spans="1:21" x14ac:dyDescent="0.25">
      <c r="A4988">
        <v>46295</v>
      </c>
      <c r="B4988" t="s">
        <v>85</v>
      </c>
      <c r="C4988" t="s">
        <v>86</v>
      </c>
      <c r="D4988" t="s">
        <v>80</v>
      </c>
      <c r="E4988" t="s">
        <v>33</v>
      </c>
      <c r="F4988" t="s">
        <v>43</v>
      </c>
      <c r="G4988" t="s">
        <v>35</v>
      </c>
      <c r="H4988" t="s">
        <v>90</v>
      </c>
      <c r="I4988" t="s">
        <v>37</v>
      </c>
      <c r="J4988" t="s">
        <v>87</v>
      </c>
      <c r="K4988">
        <v>5979</v>
      </c>
      <c r="L4988">
        <v>51</v>
      </c>
      <c r="M4988">
        <v>8.58</v>
      </c>
      <c r="N4988">
        <v>2</v>
      </c>
      <c r="O4988">
        <v>10.44</v>
      </c>
      <c r="P4988">
        <f t="shared" si="308"/>
        <v>8.5298544907175117E-3</v>
      </c>
      <c r="Q4988">
        <f t="shared" si="308"/>
        <v>0.16823529411764707</v>
      </c>
      <c r="R4988">
        <f t="shared" si="309"/>
        <v>4.29</v>
      </c>
      <c r="S4988">
        <f t="shared" si="310"/>
        <v>1.2167832167832167</v>
      </c>
      <c r="T4988">
        <f t="shared" si="311"/>
        <v>3.9215686274509803E-2</v>
      </c>
      <c r="U4988" t="str">
        <f>YEAR('Campaign Data'!$A4988)&amp;"-"&amp;TEXT(MONTH('Campaign Data'!$A4988),"00")</f>
        <v>2026-09</v>
      </c>
    </row>
    <row r="4989" spans="1:21" x14ac:dyDescent="0.25">
      <c r="A4989">
        <v>46295</v>
      </c>
      <c r="B4989" t="s">
        <v>21</v>
      </c>
      <c r="C4989" t="s">
        <v>124</v>
      </c>
      <c r="D4989" t="s">
        <v>23</v>
      </c>
      <c r="E4989" t="s">
        <v>24</v>
      </c>
      <c r="F4989" t="s">
        <v>25</v>
      </c>
      <c r="G4989" t="s">
        <v>26</v>
      </c>
      <c r="H4989" t="s">
        <v>90</v>
      </c>
      <c r="I4989" t="s">
        <v>61</v>
      </c>
      <c r="J4989" t="s">
        <v>29</v>
      </c>
      <c r="K4989">
        <v>20517</v>
      </c>
      <c r="L4989">
        <v>230</v>
      </c>
      <c r="M4989">
        <v>54.09</v>
      </c>
      <c r="N4989">
        <v>2</v>
      </c>
      <c r="O4989">
        <v>79.94</v>
      </c>
      <c r="P4989">
        <f t="shared" si="308"/>
        <v>1.1210215918506605E-2</v>
      </c>
      <c r="Q4989">
        <f t="shared" si="308"/>
        <v>0.23517391304347829</v>
      </c>
      <c r="R4989">
        <f t="shared" si="309"/>
        <v>27.045000000000002</v>
      </c>
      <c r="S4989">
        <f t="shared" si="310"/>
        <v>1.4779071917175077</v>
      </c>
      <c r="T4989">
        <f t="shared" si="311"/>
        <v>8.6956521739130436E-3</v>
      </c>
      <c r="U4989" t="str">
        <f>YEAR('Campaign Data'!$A4989)&amp;"-"&amp;TEXT(MONTH('Campaign Data'!$A4989),"00")</f>
        <v>2026-09</v>
      </c>
    </row>
    <row r="4990" spans="1:21" x14ac:dyDescent="0.25">
      <c r="A4990">
        <v>46295</v>
      </c>
      <c r="B4990" t="s">
        <v>21</v>
      </c>
      <c r="C4990" t="s">
        <v>124</v>
      </c>
      <c r="D4990" t="s">
        <v>23</v>
      </c>
      <c r="E4990" t="s">
        <v>24</v>
      </c>
      <c r="F4990" t="s">
        <v>25</v>
      </c>
      <c r="G4990" t="s">
        <v>26</v>
      </c>
      <c r="H4990" t="s">
        <v>27</v>
      </c>
      <c r="I4990" t="s">
        <v>61</v>
      </c>
      <c r="J4990" t="s">
        <v>29</v>
      </c>
      <c r="K4990">
        <v>4828</v>
      </c>
      <c r="L4990">
        <v>75</v>
      </c>
      <c r="M4990">
        <v>91.81</v>
      </c>
      <c r="N4990">
        <v>1</v>
      </c>
      <c r="O4990">
        <v>180.07</v>
      </c>
      <c r="P4990">
        <f t="shared" si="308"/>
        <v>1.5534382767191384E-2</v>
      </c>
      <c r="Q4990">
        <f t="shared" si="308"/>
        <v>1.2241333333333333</v>
      </c>
      <c r="R4990">
        <f t="shared" si="309"/>
        <v>91.81</v>
      </c>
      <c r="S4990">
        <f t="shared" si="310"/>
        <v>1.9613331881058707</v>
      </c>
      <c r="T4990">
        <f t="shared" si="311"/>
        <v>1.3333333333333334E-2</v>
      </c>
      <c r="U4990" t="str">
        <f>YEAR('Campaign Data'!$A4990)&amp;"-"&amp;TEXT(MONTH('Campaign Data'!$A4990),"00")</f>
        <v>2026-09</v>
      </c>
    </row>
    <row r="4991" spans="1:21" x14ac:dyDescent="0.25">
      <c r="A4991">
        <v>46295</v>
      </c>
      <c r="B4991" t="s">
        <v>149</v>
      </c>
      <c r="C4991" t="s">
        <v>150</v>
      </c>
      <c r="D4991" t="s">
        <v>65</v>
      </c>
      <c r="E4991" t="s">
        <v>33</v>
      </c>
      <c r="F4991" t="s">
        <v>43</v>
      </c>
      <c r="G4991" t="s">
        <v>59</v>
      </c>
      <c r="H4991" t="s">
        <v>51</v>
      </c>
      <c r="I4991" t="s">
        <v>28</v>
      </c>
      <c r="J4991" t="s">
        <v>87</v>
      </c>
      <c r="K4991">
        <v>15496</v>
      </c>
      <c r="L4991">
        <v>70</v>
      </c>
      <c r="M4991">
        <v>28.64</v>
      </c>
      <c r="N4991">
        <v>0</v>
      </c>
      <c r="O4991">
        <v>0</v>
      </c>
      <c r="P4991">
        <f t="shared" si="308"/>
        <v>4.5172947857511619E-3</v>
      </c>
      <c r="Q4991">
        <f t="shared" si="308"/>
        <v>0.40914285714285714</v>
      </c>
      <c r="R4991">
        <f t="shared" si="309"/>
        <v>0</v>
      </c>
      <c r="S4991">
        <f t="shared" si="310"/>
        <v>0</v>
      </c>
      <c r="T4991">
        <f t="shared" si="311"/>
        <v>0</v>
      </c>
      <c r="U4991" t="str">
        <f>YEAR('Campaign Data'!$A4991)&amp;"-"&amp;TEXT(MONTH('Campaign Data'!$A4991),"00")</f>
        <v>2026-09</v>
      </c>
    </row>
    <row r="4992" spans="1:21" x14ac:dyDescent="0.25">
      <c r="A4992">
        <v>46295</v>
      </c>
      <c r="B4992" t="s">
        <v>149</v>
      </c>
      <c r="C4992" t="s">
        <v>150</v>
      </c>
      <c r="D4992" t="s">
        <v>65</v>
      </c>
      <c r="E4992" t="s">
        <v>33</v>
      </c>
      <c r="F4992" t="s">
        <v>43</v>
      </c>
      <c r="G4992" t="s">
        <v>59</v>
      </c>
      <c r="H4992" t="s">
        <v>27</v>
      </c>
      <c r="I4992" t="s">
        <v>37</v>
      </c>
      <c r="J4992" t="s">
        <v>38</v>
      </c>
      <c r="K4992">
        <v>14549</v>
      </c>
      <c r="L4992">
        <v>125</v>
      </c>
      <c r="M4992">
        <v>100.34</v>
      </c>
      <c r="N4992">
        <v>1</v>
      </c>
      <c r="O4992">
        <v>34.700000000000003</v>
      </c>
      <c r="P4992">
        <f t="shared" si="308"/>
        <v>8.5916557839026738E-3</v>
      </c>
      <c r="Q4992">
        <f t="shared" si="308"/>
        <v>0.80271999999999999</v>
      </c>
      <c r="R4992">
        <f t="shared" si="309"/>
        <v>100.34</v>
      </c>
      <c r="S4992">
        <f t="shared" si="310"/>
        <v>0.34582419772772577</v>
      </c>
      <c r="T4992">
        <f t="shared" si="311"/>
        <v>8.0000000000000002E-3</v>
      </c>
      <c r="U4992" t="str">
        <f>YEAR('Campaign Data'!$A4992)&amp;"-"&amp;TEXT(MONTH('Campaign Data'!$A4992),"00")</f>
        <v>2026-09</v>
      </c>
    </row>
    <row r="4993" spans="1:21" x14ac:dyDescent="0.25">
      <c r="A4993">
        <v>46295</v>
      </c>
      <c r="B4993" t="s">
        <v>91</v>
      </c>
      <c r="C4993" t="s">
        <v>92</v>
      </c>
      <c r="D4993" t="s">
        <v>41</v>
      </c>
      <c r="E4993" t="s">
        <v>74</v>
      </c>
      <c r="F4993" t="s">
        <v>75</v>
      </c>
      <c r="G4993" t="s">
        <v>9</v>
      </c>
      <c r="H4993" t="s">
        <v>90</v>
      </c>
      <c r="I4993" t="s">
        <v>37</v>
      </c>
      <c r="J4993" t="s">
        <v>29</v>
      </c>
      <c r="K4993">
        <v>4187</v>
      </c>
      <c r="L4993">
        <v>112</v>
      </c>
      <c r="M4993">
        <v>40.67</v>
      </c>
      <c r="N4993">
        <v>8</v>
      </c>
      <c r="O4993">
        <v>40</v>
      </c>
      <c r="P4993">
        <f t="shared" si="308"/>
        <v>2.6749462622402676E-2</v>
      </c>
      <c r="Q4993">
        <f t="shared" si="308"/>
        <v>0.36312500000000003</v>
      </c>
      <c r="R4993">
        <f t="shared" si="309"/>
        <v>5.0837500000000002</v>
      </c>
      <c r="S4993">
        <f t="shared" si="310"/>
        <v>0.98352594049668052</v>
      </c>
      <c r="T4993">
        <f t="shared" si="311"/>
        <v>7.1428571428571425E-2</v>
      </c>
      <c r="U4993" t="str">
        <f>YEAR('Campaign Data'!$A4993)&amp;"-"&amp;TEXT(MONTH('Campaign Data'!$A4993),"00")</f>
        <v>2026-09</v>
      </c>
    </row>
    <row r="4994" spans="1:21" x14ac:dyDescent="0.25">
      <c r="A4994">
        <v>46295</v>
      </c>
      <c r="B4994" t="s">
        <v>46</v>
      </c>
      <c r="C4994" t="s">
        <v>47</v>
      </c>
      <c r="D4994" t="s">
        <v>48</v>
      </c>
      <c r="E4994" t="s">
        <v>49</v>
      </c>
      <c r="F4994" t="s">
        <v>43</v>
      </c>
      <c r="G4994" t="s">
        <v>50</v>
      </c>
      <c r="H4994" t="s">
        <v>90</v>
      </c>
      <c r="I4994" t="s">
        <v>37</v>
      </c>
      <c r="J4994" t="s">
        <v>62</v>
      </c>
      <c r="K4994">
        <v>9614</v>
      </c>
      <c r="L4994">
        <v>766</v>
      </c>
      <c r="M4994">
        <v>301.24</v>
      </c>
      <c r="N4994">
        <v>52</v>
      </c>
      <c r="O4994">
        <v>274.02999999999997</v>
      </c>
      <c r="P4994">
        <f t="shared" ref="P4994:Q5001" si="312">IF(K4994=0,0,L4994/K4994)</f>
        <v>7.9675473268150609E-2</v>
      </c>
      <c r="Q4994">
        <f t="shared" si="312"/>
        <v>0.39326370757180157</v>
      </c>
      <c r="R4994">
        <f t="shared" ref="R4994:R5001" si="313">IF(N4994=0,0,M4994/N4994)</f>
        <v>5.7930769230769235</v>
      </c>
      <c r="S4994">
        <f t="shared" ref="S4994:S5001" si="314">IF(M4994=0,0,O4994/M4994)</f>
        <v>0.90967335015270201</v>
      </c>
      <c r="T4994">
        <f t="shared" ref="T4994:T5001" si="315">IF(L4994=0,0,N4994/L4994)</f>
        <v>6.7885117493472591E-2</v>
      </c>
      <c r="U4994" t="str">
        <f>YEAR('Campaign Data'!$A4994)&amp;"-"&amp;TEXT(MONTH('Campaign Data'!$A4994),"00")</f>
        <v>2026-09</v>
      </c>
    </row>
    <row r="4995" spans="1:21" x14ac:dyDescent="0.25">
      <c r="A4995">
        <v>46295</v>
      </c>
      <c r="B4995" t="s">
        <v>46</v>
      </c>
      <c r="C4995" t="s">
        <v>47</v>
      </c>
      <c r="D4995" t="s">
        <v>48</v>
      </c>
      <c r="E4995" t="s">
        <v>49</v>
      </c>
      <c r="F4995" t="s">
        <v>43</v>
      </c>
      <c r="G4995" t="s">
        <v>50</v>
      </c>
      <c r="H4995" t="s">
        <v>51</v>
      </c>
      <c r="I4995" t="s">
        <v>61</v>
      </c>
      <c r="J4995" t="s">
        <v>45</v>
      </c>
      <c r="K4995">
        <v>6116</v>
      </c>
      <c r="L4995">
        <v>263</v>
      </c>
      <c r="M4995">
        <v>484.01</v>
      </c>
      <c r="N4995">
        <v>9</v>
      </c>
      <c r="O4995">
        <v>136.66</v>
      </c>
      <c r="P4995">
        <f t="shared" si="312"/>
        <v>4.3001962066710267E-2</v>
      </c>
      <c r="Q4995">
        <f t="shared" si="312"/>
        <v>1.8403422053231939</v>
      </c>
      <c r="R4995">
        <f t="shared" si="313"/>
        <v>53.778888888888886</v>
      </c>
      <c r="S4995">
        <f t="shared" si="314"/>
        <v>0.28234953823268116</v>
      </c>
      <c r="T4995">
        <f t="shared" si="315"/>
        <v>3.4220532319391636E-2</v>
      </c>
      <c r="U4995" t="str">
        <f>YEAR('Campaign Data'!$A4995)&amp;"-"&amp;TEXT(MONTH('Campaign Data'!$A4995),"00")</f>
        <v>2026-09</v>
      </c>
    </row>
    <row r="4996" spans="1:21" x14ac:dyDescent="0.25">
      <c r="A4996">
        <v>46295</v>
      </c>
      <c r="B4996" t="s">
        <v>98</v>
      </c>
      <c r="C4996" t="s">
        <v>99</v>
      </c>
      <c r="D4996" t="s">
        <v>69</v>
      </c>
      <c r="E4996" t="s">
        <v>24</v>
      </c>
      <c r="F4996" t="s">
        <v>75</v>
      </c>
      <c r="G4996" t="s">
        <v>66</v>
      </c>
      <c r="H4996" t="s">
        <v>90</v>
      </c>
      <c r="I4996" t="s">
        <v>37</v>
      </c>
      <c r="J4996" t="s">
        <v>38</v>
      </c>
      <c r="K4996">
        <v>12066</v>
      </c>
      <c r="L4996">
        <v>86</v>
      </c>
      <c r="M4996">
        <v>22.68</v>
      </c>
      <c r="N4996">
        <v>7</v>
      </c>
      <c r="O4996">
        <v>56.38</v>
      </c>
      <c r="P4996">
        <f t="shared" si="312"/>
        <v>7.1274656058345764E-3</v>
      </c>
      <c r="Q4996">
        <f t="shared" si="312"/>
        <v>0.26372093023255816</v>
      </c>
      <c r="R4996">
        <f t="shared" si="313"/>
        <v>3.2399999999999998</v>
      </c>
      <c r="S4996">
        <f t="shared" si="314"/>
        <v>2.4858906525573192</v>
      </c>
      <c r="T4996">
        <f t="shared" si="315"/>
        <v>8.1395348837209308E-2</v>
      </c>
      <c r="U4996" t="str">
        <f>YEAR('Campaign Data'!$A4996)&amp;"-"&amp;TEXT(MONTH('Campaign Data'!$A4996),"00")</f>
        <v>2026-09</v>
      </c>
    </row>
    <row r="4997" spans="1:21" x14ac:dyDescent="0.25">
      <c r="A4997">
        <v>46295</v>
      </c>
      <c r="B4997" t="s">
        <v>169</v>
      </c>
      <c r="C4997" t="s">
        <v>170</v>
      </c>
      <c r="D4997" t="s">
        <v>58</v>
      </c>
      <c r="E4997" t="s">
        <v>74</v>
      </c>
      <c r="F4997" t="s">
        <v>75</v>
      </c>
      <c r="G4997" t="s">
        <v>9</v>
      </c>
      <c r="H4997" t="s">
        <v>60</v>
      </c>
      <c r="I4997" t="s">
        <v>37</v>
      </c>
      <c r="J4997" t="s">
        <v>29</v>
      </c>
      <c r="K4997">
        <v>6220</v>
      </c>
      <c r="L4997">
        <v>91</v>
      </c>
      <c r="M4997">
        <v>92.49</v>
      </c>
      <c r="N4997">
        <v>4</v>
      </c>
      <c r="O4997">
        <v>148.85</v>
      </c>
      <c r="P4997">
        <f t="shared" si="312"/>
        <v>1.4630225080385853E-2</v>
      </c>
      <c r="Q4997">
        <f t="shared" si="312"/>
        <v>1.0163736263736263</v>
      </c>
      <c r="R4997">
        <f t="shared" si="313"/>
        <v>23.122499999999999</v>
      </c>
      <c r="S4997">
        <f t="shared" si="314"/>
        <v>1.6093631743972321</v>
      </c>
      <c r="T4997">
        <f t="shared" si="315"/>
        <v>4.3956043956043959E-2</v>
      </c>
      <c r="U4997" t="str">
        <f>YEAR('Campaign Data'!$A4997)&amp;"-"&amp;TEXT(MONTH('Campaign Data'!$A4997),"00")</f>
        <v>2026-09</v>
      </c>
    </row>
    <row r="4998" spans="1:21" x14ac:dyDescent="0.25">
      <c r="A4998">
        <v>46295</v>
      </c>
      <c r="B4998" t="s">
        <v>161</v>
      </c>
      <c r="C4998" t="s">
        <v>162</v>
      </c>
      <c r="D4998" t="s">
        <v>48</v>
      </c>
      <c r="E4998" t="s">
        <v>74</v>
      </c>
      <c r="F4998" t="s">
        <v>34</v>
      </c>
      <c r="G4998" t="s">
        <v>107</v>
      </c>
      <c r="H4998" t="s">
        <v>27</v>
      </c>
      <c r="I4998" t="s">
        <v>28</v>
      </c>
      <c r="J4998" t="s">
        <v>45</v>
      </c>
      <c r="K4998">
        <v>13459</v>
      </c>
      <c r="L4998">
        <v>411</v>
      </c>
      <c r="M4998">
        <v>848.54</v>
      </c>
      <c r="N4998">
        <v>13</v>
      </c>
      <c r="O4998">
        <v>2415.56</v>
      </c>
      <c r="P4998">
        <f t="shared" si="312"/>
        <v>3.0537187012408054E-2</v>
      </c>
      <c r="Q4998">
        <f t="shared" si="312"/>
        <v>2.064574209245742</v>
      </c>
      <c r="R4998">
        <f t="shared" si="313"/>
        <v>65.272307692307692</v>
      </c>
      <c r="S4998">
        <f t="shared" si="314"/>
        <v>2.8467249628774129</v>
      </c>
      <c r="T4998">
        <f t="shared" si="315"/>
        <v>3.1630170316301706E-2</v>
      </c>
      <c r="U4998" t="str">
        <f>YEAR('Campaign Data'!$A4998)&amp;"-"&amp;TEXT(MONTH('Campaign Data'!$A4998),"00")</f>
        <v>2026-09</v>
      </c>
    </row>
    <row r="4999" spans="1:21" x14ac:dyDescent="0.25">
      <c r="A4999">
        <v>46295</v>
      </c>
      <c r="B4999" t="s">
        <v>143</v>
      </c>
      <c r="C4999" t="s">
        <v>144</v>
      </c>
      <c r="D4999" t="s">
        <v>48</v>
      </c>
      <c r="E4999" t="s">
        <v>42</v>
      </c>
      <c r="F4999" t="s">
        <v>25</v>
      </c>
      <c r="G4999" t="s">
        <v>84</v>
      </c>
      <c r="H4999" t="s">
        <v>27</v>
      </c>
      <c r="I4999" t="s">
        <v>37</v>
      </c>
      <c r="J4999" t="s">
        <v>45</v>
      </c>
      <c r="K4999">
        <v>21402</v>
      </c>
      <c r="L4999">
        <v>124</v>
      </c>
      <c r="M4999">
        <v>901.48</v>
      </c>
      <c r="N4999">
        <v>3</v>
      </c>
      <c r="O4999">
        <v>552.41999999999996</v>
      </c>
      <c r="P4999">
        <f t="shared" si="312"/>
        <v>5.7938510419586952E-3</v>
      </c>
      <c r="Q4999">
        <f t="shared" si="312"/>
        <v>7.2700000000000005</v>
      </c>
      <c r="R4999">
        <f t="shared" si="313"/>
        <v>300.49333333333334</v>
      </c>
      <c r="S4999">
        <f t="shared" si="314"/>
        <v>0.6127922971114167</v>
      </c>
      <c r="T4999">
        <f t="shared" si="315"/>
        <v>2.4193548387096774E-2</v>
      </c>
      <c r="U4999" t="str">
        <f>YEAR('Campaign Data'!$A4999)&amp;"-"&amp;TEXT(MONTH('Campaign Data'!$A4999),"00")</f>
        <v>2026-09</v>
      </c>
    </row>
    <row r="5000" spans="1:21" x14ac:dyDescent="0.25">
      <c r="A5000">
        <v>46295</v>
      </c>
      <c r="B5000" t="s">
        <v>78</v>
      </c>
      <c r="C5000" t="s">
        <v>79</v>
      </c>
      <c r="D5000" t="s">
        <v>80</v>
      </c>
      <c r="E5000" t="s">
        <v>24</v>
      </c>
      <c r="F5000" t="s">
        <v>81</v>
      </c>
      <c r="G5000" t="s">
        <v>66</v>
      </c>
      <c r="H5000" t="s">
        <v>90</v>
      </c>
      <c r="I5000" t="s">
        <v>28</v>
      </c>
      <c r="J5000" t="s">
        <v>38</v>
      </c>
      <c r="K5000">
        <v>7909</v>
      </c>
      <c r="L5000">
        <v>98</v>
      </c>
      <c r="M5000">
        <v>32.409999999999997</v>
      </c>
      <c r="N5000">
        <v>1</v>
      </c>
      <c r="O5000">
        <v>5</v>
      </c>
      <c r="P5000">
        <f t="shared" si="312"/>
        <v>1.2390947022379568E-2</v>
      </c>
      <c r="Q5000">
        <f t="shared" si="312"/>
        <v>0.33071428571428568</v>
      </c>
      <c r="R5000">
        <f t="shared" si="313"/>
        <v>32.409999999999997</v>
      </c>
      <c r="S5000">
        <f t="shared" si="314"/>
        <v>0.15427337241592104</v>
      </c>
      <c r="T5000">
        <f t="shared" si="315"/>
        <v>1.020408163265306E-2</v>
      </c>
      <c r="U5000" t="str">
        <f>YEAR('Campaign Data'!$A5000)&amp;"-"&amp;TEXT(MONTH('Campaign Data'!$A5000),"00")</f>
        <v>2026-09</v>
      </c>
    </row>
    <row r="5001" spans="1:21" x14ac:dyDescent="0.25">
      <c r="A5001">
        <v>46295</v>
      </c>
      <c r="B5001" t="s">
        <v>82</v>
      </c>
      <c r="C5001" t="s">
        <v>83</v>
      </c>
      <c r="D5001" t="s">
        <v>80</v>
      </c>
      <c r="E5001" t="s">
        <v>42</v>
      </c>
      <c r="F5001" t="s">
        <v>34</v>
      </c>
      <c r="G5001" t="s">
        <v>84</v>
      </c>
      <c r="H5001" t="s">
        <v>71</v>
      </c>
      <c r="I5001" t="s">
        <v>37</v>
      </c>
      <c r="J5001" t="s">
        <v>29</v>
      </c>
      <c r="K5001">
        <v>1543</v>
      </c>
      <c r="L5001">
        <v>10</v>
      </c>
      <c r="M5001">
        <v>57.53</v>
      </c>
      <c r="N5001">
        <v>0</v>
      </c>
      <c r="O5001">
        <v>0</v>
      </c>
      <c r="P5001">
        <f t="shared" si="312"/>
        <v>6.4808813998703824E-3</v>
      </c>
      <c r="Q5001">
        <f t="shared" si="312"/>
        <v>5.7530000000000001</v>
      </c>
      <c r="R5001">
        <f t="shared" si="313"/>
        <v>0</v>
      </c>
      <c r="S5001">
        <f t="shared" si="314"/>
        <v>0</v>
      </c>
      <c r="T5001">
        <f t="shared" si="315"/>
        <v>0</v>
      </c>
      <c r="U5001" t="str">
        <f>YEAR('Campaign Data'!$A5001)&amp;"-"&amp;TEXT(MONTH('Campaign Data'!$A5001),"00")</f>
        <v>2026-09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anuragn342@outlook.com</dc:creator>
  <cp:lastModifiedBy>anuragn342@outlook.com</cp:lastModifiedBy>
  <dcterms:created xsi:type="dcterms:W3CDTF">2026-10-05T12:09:57Z</dcterms:created>
  <dcterms:modified xsi:type="dcterms:W3CDTF">2026-10-05T12:14:12Z</dcterms:modified>
</cp:coreProperties>
</file>